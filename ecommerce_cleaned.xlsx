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i\Downloads\"/>
    </mc:Choice>
  </mc:AlternateContent>
  <xr:revisionPtr revIDLastSave="0" documentId="8_{716D4D94-DF9F-4778-B632-044F32AB8D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2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242" i="1"/>
  <c r="AD2243" i="1"/>
  <c r="AD2244" i="1"/>
  <c r="AD2245" i="1"/>
  <c r="AD2246" i="1"/>
  <c r="AD2247" i="1"/>
  <c r="AD2248" i="1"/>
  <c r="AD2249" i="1"/>
  <c r="AD2250" i="1"/>
  <c r="AD2251" i="1"/>
  <c r="AD2252" i="1"/>
  <c r="AD2253" i="1"/>
  <c r="AD2254" i="1"/>
  <c r="AD2255" i="1"/>
  <c r="AD2256" i="1"/>
  <c r="AD2257" i="1"/>
  <c r="AD2258" i="1"/>
  <c r="AD2259" i="1"/>
  <c r="AD2260" i="1"/>
  <c r="AD2261" i="1"/>
  <c r="AD2262" i="1"/>
  <c r="AD2263" i="1"/>
  <c r="AD2264" i="1"/>
  <c r="AD2265" i="1"/>
  <c r="AD2266" i="1"/>
  <c r="AD2267" i="1"/>
  <c r="AD2268" i="1"/>
  <c r="AD2269" i="1"/>
  <c r="AD2270" i="1"/>
  <c r="AD2271" i="1"/>
  <c r="AD2272" i="1"/>
  <c r="AD2273" i="1"/>
  <c r="AD2274" i="1"/>
  <c r="AD2275" i="1"/>
  <c r="AD2276" i="1"/>
  <c r="AD2277" i="1"/>
  <c r="AD2278" i="1"/>
  <c r="AD2279" i="1"/>
  <c r="AD2280" i="1"/>
  <c r="AD2281" i="1"/>
  <c r="AD2282" i="1"/>
  <c r="AD2283" i="1"/>
  <c r="AD2284" i="1"/>
  <c r="AD2285" i="1"/>
  <c r="AD2286" i="1"/>
  <c r="AD2287" i="1"/>
  <c r="AD2288" i="1"/>
  <c r="AD2289" i="1"/>
  <c r="AD2290" i="1"/>
  <c r="AD2291" i="1"/>
  <c r="AD2292" i="1"/>
  <c r="AD2293" i="1"/>
  <c r="AD2294" i="1"/>
  <c r="AD2295" i="1"/>
  <c r="AD2296" i="1"/>
  <c r="AD2297" i="1"/>
  <c r="AD2298" i="1"/>
  <c r="AD2299" i="1"/>
  <c r="AD2300" i="1"/>
  <c r="AD2301" i="1"/>
  <c r="AD2302" i="1"/>
  <c r="AD2303" i="1"/>
  <c r="AD2304" i="1"/>
  <c r="AD2305" i="1"/>
  <c r="AD2306" i="1"/>
  <c r="AD2307" i="1"/>
  <c r="AD2308" i="1"/>
  <c r="AD2309" i="1"/>
  <c r="AD2310" i="1"/>
  <c r="AD2311" i="1"/>
  <c r="AD2312" i="1"/>
  <c r="AD2313" i="1"/>
  <c r="AD2314" i="1"/>
  <c r="AD2315" i="1"/>
  <c r="AD2316" i="1"/>
  <c r="AD2317" i="1"/>
  <c r="AD2318" i="1"/>
  <c r="AD2319" i="1"/>
  <c r="AD2320" i="1"/>
  <c r="AD2321" i="1"/>
  <c r="AD2322" i="1"/>
  <c r="AD2323" i="1"/>
  <c r="AD2324" i="1"/>
  <c r="AD2325" i="1"/>
  <c r="AD2326" i="1"/>
  <c r="AD2327" i="1"/>
  <c r="AD2328" i="1"/>
  <c r="AD2329" i="1"/>
  <c r="AD2330" i="1"/>
  <c r="AD2331" i="1"/>
  <c r="AD2332" i="1"/>
  <c r="AD2333" i="1"/>
  <c r="AD2334" i="1"/>
  <c r="AD2335" i="1"/>
  <c r="AD2336" i="1"/>
  <c r="AD2337" i="1"/>
  <c r="AD2338" i="1"/>
  <c r="AD2339" i="1"/>
  <c r="AD2340" i="1"/>
  <c r="AD2341" i="1"/>
  <c r="AD2342" i="1"/>
  <c r="AD2343" i="1"/>
  <c r="AD2344" i="1"/>
  <c r="AD2345" i="1"/>
  <c r="AD2346" i="1"/>
  <c r="AD2347" i="1"/>
  <c r="AD2348" i="1"/>
  <c r="AD2349" i="1"/>
  <c r="AD2350" i="1"/>
  <c r="AD2351" i="1"/>
  <c r="AD2352" i="1"/>
  <c r="AD2353" i="1"/>
  <c r="AD2354" i="1"/>
  <c r="AD2355" i="1"/>
  <c r="AD2356" i="1"/>
  <c r="AD2357" i="1"/>
  <c r="AD2358" i="1"/>
  <c r="AD2359" i="1"/>
  <c r="AD2360" i="1"/>
  <c r="AD2361" i="1"/>
  <c r="AD2362" i="1"/>
  <c r="AD2363" i="1"/>
  <c r="AD2364" i="1"/>
  <c r="AD2365" i="1"/>
  <c r="AD2366" i="1"/>
  <c r="AD2367" i="1"/>
  <c r="AD2368" i="1"/>
  <c r="AD2369" i="1"/>
  <c r="AD2370" i="1"/>
  <c r="AD2371" i="1"/>
  <c r="AD2372" i="1"/>
  <c r="AD2373" i="1"/>
  <c r="AD2374" i="1"/>
  <c r="AD2375" i="1"/>
  <c r="AD2376" i="1"/>
  <c r="AD2377" i="1"/>
  <c r="AD2378" i="1"/>
  <c r="AD2379" i="1"/>
  <c r="AD2380" i="1"/>
  <c r="AD2381" i="1"/>
  <c r="AD2382" i="1"/>
  <c r="AD2383" i="1"/>
  <c r="AD2384" i="1"/>
  <c r="AD2385" i="1"/>
  <c r="AD2386" i="1"/>
  <c r="AD2387" i="1"/>
  <c r="AD2388" i="1"/>
  <c r="AD2389" i="1"/>
  <c r="AD2390" i="1"/>
  <c r="AD2391" i="1"/>
  <c r="AD2392" i="1"/>
  <c r="AD2393" i="1"/>
  <c r="AD2394" i="1"/>
  <c r="AD2395" i="1"/>
  <c r="AD2396" i="1"/>
  <c r="AD2397" i="1"/>
  <c r="AD2398" i="1"/>
  <c r="AD2399" i="1"/>
  <c r="AD2400" i="1"/>
  <c r="AD2401" i="1"/>
  <c r="AD2402" i="1"/>
  <c r="AD2403" i="1"/>
  <c r="AD2404" i="1"/>
  <c r="AD2405" i="1"/>
  <c r="AD2406" i="1"/>
  <c r="AD2407" i="1"/>
  <c r="AD2408" i="1"/>
  <c r="AD2409" i="1"/>
  <c r="AD2410" i="1"/>
  <c r="AD2411" i="1"/>
  <c r="AD2412" i="1"/>
  <c r="AD2413" i="1"/>
  <c r="AD2414" i="1"/>
  <c r="AD2415" i="1"/>
  <c r="AD2416" i="1"/>
  <c r="AD2417" i="1"/>
  <c r="AD2418" i="1"/>
  <c r="AD2419" i="1"/>
  <c r="AD2420" i="1"/>
  <c r="AD2421" i="1"/>
  <c r="AD2422" i="1"/>
  <c r="AD2423" i="1"/>
  <c r="AD2424" i="1"/>
  <c r="AD2425" i="1"/>
  <c r="AD2426" i="1"/>
  <c r="AD2427" i="1"/>
  <c r="AD2428" i="1"/>
  <c r="AD2429" i="1"/>
  <c r="AD2430" i="1"/>
  <c r="AD2431" i="1"/>
  <c r="AD2432" i="1"/>
  <c r="AD2433" i="1"/>
  <c r="AD2434" i="1"/>
  <c r="AD2435" i="1"/>
  <c r="AD2436" i="1"/>
  <c r="AD2437" i="1"/>
  <c r="AD2438" i="1"/>
  <c r="AD2439" i="1"/>
  <c r="AD2440" i="1"/>
  <c r="AD2441" i="1"/>
  <c r="AD2442" i="1"/>
  <c r="AD2443" i="1"/>
  <c r="AD2444" i="1"/>
  <c r="AD2445" i="1"/>
  <c r="AD2446" i="1"/>
  <c r="AD2447" i="1"/>
  <c r="AD2448" i="1"/>
  <c r="AD2449" i="1"/>
  <c r="AD2450" i="1"/>
  <c r="AD2451" i="1"/>
  <c r="AD2452" i="1"/>
  <c r="AD2453" i="1"/>
  <c r="AD2454" i="1"/>
  <c r="AD2455" i="1"/>
  <c r="AD2456" i="1"/>
  <c r="AD2457" i="1"/>
  <c r="AD2458" i="1"/>
  <c r="AD2459" i="1"/>
  <c r="AD2460" i="1"/>
  <c r="AD2461" i="1"/>
  <c r="AD2462" i="1"/>
  <c r="AD2463" i="1"/>
  <c r="AD2464" i="1"/>
  <c r="AD2465" i="1"/>
  <c r="AD2466" i="1"/>
  <c r="AD2467" i="1"/>
  <c r="AD2468" i="1"/>
  <c r="AD2469" i="1"/>
  <c r="AD2470" i="1"/>
  <c r="AD2471" i="1"/>
  <c r="AD2472" i="1"/>
  <c r="AD2473" i="1"/>
  <c r="AD2474" i="1"/>
  <c r="AD2475" i="1"/>
  <c r="AD2476" i="1"/>
  <c r="AD2477" i="1"/>
  <c r="AD2478" i="1"/>
  <c r="AD2479" i="1"/>
  <c r="AD2480" i="1"/>
  <c r="AD2481" i="1"/>
  <c r="AD2482" i="1"/>
  <c r="AD2483" i="1"/>
  <c r="AD2484" i="1"/>
  <c r="AD2485" i="1"/>
  <c r="AD2486" i="1"/>
  <c r="AD2487" i="1"/>
  <c r="AD2488" i="1"/>
  <c r="AD2489" i="1"/>
  <c r="AD2490" i="1"/>
  <c r="AD2491" i="1"/>
  <c r="AD2492" i="1"/>
  <c r="AD2493" i="1"/>
  <c r="AD2494" i="1"/>
  <c r="AD2495" i="1"/>
  <c r="AD2496" i="1"/>
  <c r="AD2497" i="1"/>
  <c r="AD2498" i="1"/>
  <c r="AD2499" i="1"/>
  <c r="AD2500" i="1"/>
  <c r="AD2501" i="1"/>
  <c r="AD2502" i="1"/>
  <c r="AD2503" i="1"/>
  <c r="AD2504" i="1"/>
  <c r="AD2505" i="1"/>
  <c r="AD2506" i="1"/>
  <c r="AD2507" i="1"/>
  <c r="AD2508" i="1"/>
  <c r="AD2509" i="1"/>
  <c r="AD2510" i="1"/>
  <c r="AD2511" i="1"/>
  <c r="AD2512" i="1"/>
  <c r="AD2513" i="1"/>
  <c r="AD2514" i="1"/>
  <c r="AD2515" i="1"/>
  <c r="AD2516" i="1"/>
  <c r="AD2517" i="1"/>
  <c r="AD2518" i="1"/>
  <c r="AD2519" i="1"/>
  <c r="AD2520" i="1"/>
  <c r="AD2521" i="1"/>
  <c r="AD2522" i="1"/>
  <c r="AD2523" i="1"/>
  <c r="AD2524" i="1"/>
  <c r="AD2525" i="1"/>
  <c r="AD2526" i="1"/>
  <c r="AD2527" i="1"/>
  <c r="AD2528" i="1"/>
  <c r="AD2529" i="1"/>
  <c r="AD2530" i="1"/>
  <c r="AD2531" i="1"/>
  <c r="AD2532" i="1"/>
  <c r="AD2533" i="1"/>
  <c r="AD2534" i="1"/>
  <c r="AD2535" i="1"/>
  <c r="AD2536" i="1"/>
  <c r="AD2537" i="1"/>
  <c r="AD2538" i="1"/>
  <c r="AD2539" i="1"/>
  <c r="AD2540" i="1"/>
  <c r="AD2541" i="1"/>
  <c r="AD2542" i="1"/>
  <c r="AD2543" i="1"/>
  <c r="AD2544" i="1"/>
  <c r="AD2545" i="1"/>
  <c r="AD2546" i="1"/>
  <c r="AD2547" i="1"/>
  <c r="AD2548" i="1"/>
  <c r="AD2549" i="1"/>
  <c r="AD2550" i="1"/>
  <c r="AD2551" i="1"/>
  <c r="AD2552" i="1"/>
  <c r="AD2553" i="1"/>
  <c r="AD2554" i="1"/>
  <c r="AD2555" i="1"/>
  <c r="AD2556" i="1"/>
  <c r="AD2557" i="1"/>
  <c r="AD2558" i="1"/>
  <c r="AD2559" i="1"/>
  <c r="AD2560" i="1"/>
  <c r="AD2561" i="1"/>
  <c r="AD2562" i="1"/>
  <c r="AD2563" i="1"/>
  <c r="AD2564" i="1"/>
  <c r="AD2565" i="1"/>
  <c r="AD2566" i="1"/>
  <c r="AD2567" i="1"/>
  <c r="AD2568" i="1"/>
  <c r="AD2569" i="1"/>
  <c r="AD2570" i="1"/>
  <c r="AD2571" i="1"/>
  <c r="AD2572" i="1"/>
  <c r="AD2573" i="1"/>
  <c r="AD2574" i="1"/>
  <c r="AD2575" i="1"/>
  <c r="AD2576" i="1"/>
  <c r="AD2577" i="1"/>
  <c r="AD2578" i="1"/>
  <c r="AD2579" i="1"/>
  <c r="AD2580" i="1"/>
  <c r="AD2581" i="1"/>
  <c r="AD2582" i="1"/>
  <c r="AD2583" i="1"/>
  <c r="AD2584" i="1"/>
  <c r="AD2585" i="1"/>
  <c r="AD2586" i="1"/>
  <c r="AD2587" i="1"/>
  <c r="AD2588" i="1"/>
  <c r="AD2589" i="1"/>
  <c r="AD2590" i="1"/>
  <c r="AD2591" i="1"/>
  <c r="AD2592" i="1"/>
  <c r="AD2593" i="1"/>
  <c r="AD2594" i="1"/>
  <c r="AD2595" i="1"/>
  <c r="AD2596" i="1"/>
  <c r="AD2597" i="1"/>
  <c r="AD2598" i="1"/>
  <c r="AD2599" i="1"/>
  <c r="AD2600" i="1"/>
  <c r="AD2601" i="1"/>
  <c r="AD2602" i="1"/>
  <c r="AD2603" i="1"/>
  <c r="AD2604" i="1"/>
  <c r="AD2605" i="1"/>
  <c r="AD2606" i="1"/>
  <c r="AD2607" i="1"/>
  <c r="AD2608" i="1"/>
  <c r="AD2609" i="1"/>
  <c r="AD2610" i="1"/>
  <c r="AD2611" i="1"/>
  <c r="AD2612" i="1"/>
  <c r="AD2613" i="1"/>
  <c r="AD2614" i="1"/>
  <c r="AD2615" i="1"/>
  <c r="AD2616" i="1"/>
  <c r="AD2617" i="1"/>
  <c r="AD2618" i="1"/>
  <c r="AD2619" i="1"/>
  <c r="AD2620" i="1"/>
  <c r="AD2621" i="1"/>
  <c r="AD2622" i="1"/>
  <c r="AD2623" i="1"/>
  <c r="AD2624" i="1"/>
  <c r="AD2625" i="1"/>
  <c r="AD2626" i="1"/>
  <c r="AD2627" i="1"/>
  <c r="AD2628" i="1"/>
  <c r="AD2629" i="1"/>
  <c r="AD2630" i="1"/>
  <c r="AD2631" i="1"/>
  <c r="AD2632" i="1"/>
  <c r="AD2633" i="1"/>
  <c r="AD2634" i="1"/>
  <c r="AD2635" i="1"/>
  <c r="AD2636" i="1"/>
  <c r="AD2637" i="1"/>
  <c r="AD2638" i="1"/>
  <c r="AD2639" i="1"/>
  <c r="AD2640" i="1"/>
  <c r="AD2641" i="1"/>
  <c r="AD2642" i="1"/>
  <c r="AD2643" i="1"/>
  <c r="AD2644" i="1"/>
  <c r="AD2645" i="1"/>
  <c r="AD2646" i="1"/>
  <c r="AD2647" i="1"/>
  <c r="AD2648" i="1"/>
  <c r="AD2649" i="1"/>
  <c r="AD2650" i="1"/>
  <c r="AD2651" i="1"/>
  <c r="AD2652" i="1"/>
  <c r="AD2653" i="1"/>
  <c r="AD2654" i="1"/>
  <c r="AD2655" i="1"/>
  <c r="AD2656" i="1"/>
  <c r="AD2657" i="1"/>
  <c r="AD2658" i="1"/>
  <c r="AD2659" i="1"/>
  <c r="AD2660" i="1"/>
  <c r="AD2661" i="1"/>
  <c r="AD2662" i="1"/>
  <c r="AD2663" i="1"/>
  <c r="AD2664" i="1"/>
  <c r="AD2665" i="1"/>
  <c r="AD2666" i="1"/>
  <c r="AD2667" i="1"/>
  <c r="AD2668" i="1"/>
  <c r="AD2669" i="1"/>
  <c r="AD2670" i="1"/>
  <c r="AD2671" i="1"/>
  <c r="AD2672" i="1"/>
  <c r="AD2673" i="1"/>
  <c r="AD2674" i="1"/>
  <c r="AD2675" i="1"/>
  <c r="AD2676" i="1"/>
  <c r="AD2677" i="1"/>
  <c r="AD2678" i="1"/>
  <c r="AD2679" i="1"/>
  <c r="AD2680" i="1"/>
  <c r="AD2681" i="1"/>
  <c r="AD2682" i="1"/>
  <c r="AD2683" i="1"/>
  <c r="AD2684" i="1"/>
  <c r="AD2685" i="1"/>
  <c r="AD2686" i="1"/>
  <c r="AD2687" i="1"/>
  <c r="AD2688" i="1"/>
  <c r="AD2689" i="1"/>
  <c r="AD2690" i="1"/>
  <c r="AD2691" i="1"/>
  <c r="AD2692" i="1"/>
  <c r="AD2693" i="1"/>
  <c r="AD2694" i="1"/>
  <c r="AD2695" i="1"/>
  <c r="AD2696" i="1"/>
  <c r="AD2697" i="1"/>
  <c r="AD2698" i="1"/>
  <c r="AD2699" i="1"/>
  <c r="AD2700" i="1"/>
  <c r="AD2701" i="1"/>
  <c r="AD2702" i="1"/>
  <c r="AD2703" i="1"/>
  <c r="AD2704" i="1"/>
  <c r="AD2705" i="1"/>
  <c r="AD2706" i="1"/>
  <c r="AD2707" i="1"/>
  <c r="AD2708" i="1"/>
  <c r="AD2709" i="1"/>
  <c r="AD2710" i="1"/>
  <c r="AD2711" i="1"/>
  <c r="AD2712" i="1"/>
  <c r="AD2713" i="1"/>
  <c r="AD2714" i="1"/>
  <c r="AD2715" i="1"/>
  <c r="AD2716" i="1"/>
  <c r="AD2717" i="1"/>
  <c r="AD2718" i="1"/>
  <c r="AD2719" i="1"/>
  <c r="AD2720" i="1"/>
  <c r="AD2721" i="1"/>
  <c r="AD2722" i="1"/>
  <c r="AD2723" i="1"/>
  <c r="AD2724" i="1"/>
  <c r="AD2725" i="1"/>
  <c r="AD2726" i="1"/>
  <c r="AD2727" i="1"/>
  <c r="AD2728" i="1"/>
  <c r="AD2729" i="1"/>
  <c r="AD2730" i="1"/>
  <c r="AD2731" i="1"/>
  <c r="AD2732" i="1"/>
  <c r="AD2733" i="1"/>
  <c r="AD2734" i="1"/>
  <c r="AD2735" i="1"/>
  <c r="AD2736" i="1"/>
  <c r="AD2737" i="1"/>
  <c r="AD2738" i="1"/>
  <c r="AD2739" i="1"/>
  <c r="AD2740" i="1"/>
  <c r="AD2741" i="1"/>
  <c r="AD2742" i="1"/>
  <c r="AD2743" i="1"/>
  <c r="AD2744" i="1"/>
  <c r="AD2745" i="1"/>
  <c r="AD2746" i="1"/>
  <c r="AD2747" i="1"/>
  <c r="AD2748" i="1"/>
  <c r="AD2749" i="1"/>
  <c r="AD2750" i="1"/>
  <c r="AD2751" i="1"/>
  <c r="AD2752" i="1"/>
  <c r="AD2753" i="1"/>
  <c r="AD2754" i="1"/>
  <c r="AD2755" i="1"/>
  <c r="AD2756" i="1"/>
  <c r="AD2757" i="1"/>
  <c r="AD2758" i="1"/>
  <c r="AD2759" i="1"/>
  <c r="AD2760" i="1"/>
  <c r="AD2761" i="1"/>
  <c r="AD2762" i="1"/>
  <c r="AD2763" i="1"/>
  <c r="AD2764" i="1"/>
  <c r="AD2765" i="1"/>
  <c r="AD2766" i="1"/>
  <c r="AD2767" i="1"/>
  <c r="AD2768" i="1"/>
  <c r="AD2769" i="1"/>
  <c r="AD2770" i="1"/>
  <c r="AD2771" i="1"/>
  <c r="AD2772" i="1"/>
  <c r="AD2773" i="1"/>
  <c r="AD2774" i="1"/>
  <c r="AD2775" i="1"/>
  <c r="AD2776" i="1"/>
  <c r="AD2777" i="1"/>
  <c r="AD2778" i="1"/>
  <c r="AD2779" i="1"/>
  <c r="AD2780" i="1"/>
  <c r="AD2781" i="1"/>
  <c r="AD2782" i="1"/>
  <c r="AD2783" i="1"/>
  <c r="AD2784" i="1"/>
  <c r="AD2785" i="1"/>
  <c r="AD2786" i="1"/>
  <c r="AD2787" i="1"/>
  <c r="AD2788" i="1"/>
  <c r="AD2789" i="1"/>
  <c r="AD2790" i="1"/>
  <c r="AD2791" i="1"/>
  <c r="AD2792" i="1"/>
  <c r="AD2793" i="1"/>
  <c r="AD2794" i="1"/>
  <c r="AD2795" i="1"/>
  <c r="AD2796" i="1"/>
  <c r="AD2797" i="1"/>
  <c r="AD2798" i="1"/>
  <c r="AD2799" i="1"/>
  <c r="AD2800" i="1"/>
  <c r="AD2801" i="1"/>
  <c r="AD2802" i="1"/>
  <c r="AD2803" i="1"/>
  <c r="AD2804" i="1"/>
  <c r="AD2805" i="1"/>
  <c r="AD2806" i="1"/>
  <c r="AD2807" i="1"/>
  <c r="AD2808" i="1"/>
  <c r="AD2809" i="1"/>
  <c r="AD2810" i="1"/>
  <c r="AD2811" i="1"/>
  <c r="AD2812" i="1"/>
  <c r="AD2813" i="1"/>
  <c r="AD2814" i="1"/>
  <c r="AD2815" i="1"/>
  <c r="AD2816" i="1"/>
  <c r="AD2817" i="1"/>
  <c r="AD2818" i="1"/>
  <c r="AD2819" i="1"/>
  <c r="AD2820" i="1"/>
  <c r="AD2821" i="1"/>
  <c r="AD2822" i="1"/>
  <c r="AD2823" i="1"/>
  <c r="AD2824" i="1"/>
  <c r="AD2825" i="1"/>
  <c r="AD2826" i="1"/>
  <c r="AD2827" i="1"/>
  <c r="AD2828" i="1"/>
  <c r="AD2829" i="1"/>
  <c r="AD2830" i="1"/>
  <c r="AD2831" i="1"/>
  <c r="AD2832" i="1"/>
  <c r="AD2833" i="1"/>
  <c r="AD2834" i="1"/>
  <c r="AD2835" i="1"/>
  <c r="AD2836" i="1"/>
  <c r="AD2837" i="1"/>
  <c r="AD2838" i="1"/>
  <c r="AD2839" i="1"/>
  <c r="AD2840" i="1"/>
  <c r="AD2841" i="1"/>
  <c r="AD2842" i="1"/>
  <c r="AD2843" i="1"/>
  <c r="AD2844" i="1"/>
  <c r="AD2845" i="1"/>
  <c r="AD2846" i="1"/>
  <c r="AD2847" i="1"/>
  <c r="AD2848" i="1"/>
  <c r="AD2849" i="1"/>
  <c r="AD2850" i="1"/>
  <c r="AD2851" i="1"/>
  <c r="AD2852" i="1"/>
  <c r="AD2853" i="1"/>
  <c r="AD2854" i="1"/>
  <c r="AD2855" i="1"/>
  <c r="AD2856" i="1"/>
  <c r="AD2857" i="1"/>
  <c r="AD2858" i="1"/>
  <c r="AD2859" i="1"/>
  <c r="AD2860" i="1"/>
  <c r="AD2861" i="1"/>
  <c r="AD2862" i="1"/>
  <c r="AD2863" i="1"/>
  <c r="AD2864" i="1"/>
  <c r="AD2865" i="1"/>
  <c r="AD2866" i="1"/>
  <c r="AD2867" i="1"/>
  <c r="AD2868" i="1"/>
  <c r="AD2869" i="1"/>
  <c r="AD2870" i="1"/>
  <c r="AD2871" i="1"/>
  <c r="AD2872" i="1"/>
  <c r="AD2873" i="1"/>
  <c r="AD2874" i="1"/>
  <c r="AD2875" i="1"/>
  <c r="AD2876" i="1"/>
  <c r="AD2877" i="1"/>
  <c r="AD2878" i="1"/>
  <c r="AD2879" i="1"/>
  <c r="AD2880" i="1"/>
  <c r="AD2881" i="1"/>
  <c r="AD2882" i="1"/>
  <c r="AD2883" i="1"/>
  <c r="AD2884" i="1"/>
  <c r="AD2885" i="1"/>
  <c r="AD2886" i="1"/>
  <c r="AD2887" i="1"/>
  <c r="AD2888" i="1"/>
  <c r="AD2889" i="1"/>
  <c r="AD2890" i="1"/>
  <c r="AD2891" i="1"/>
  <c r="AD2892" i="1"/>
  <c r="AD2893" i="1"/>
  <c r="AD2894" i="1"/>
  <c r="AD2895" i="1"/>
  <c r="AD2896" i="1"/>
  <c r="AD2897" i="1"/>
  <c r="AD2898" i="1"/>
  <c r="AD2899" i="1"/>
  <c r="AD2900" i="1"/>
  <c r="AD2901" i="1"/>
  <c r="AD2902" i="1"/>
  <c r="AD2903" i="1"/>
  <c r="AD2904" i="1"/>
  <c r="AD2905" i="1"/>
  <c r="AD2906" i="1"/>
  <c r="AD2907" i="1"/>
  <c r="AD2908" i="1"/>
  <c r="AD2909" i="1"/>
  <c r="AD2910" i="1"/>
  <c r="AD2911" i="1"/>
  <c r="AD2912" i="1"/>
  <c r="AD2913" i="1"/>
  <c r="AD2914" i="1"/>
  <c r="AD2915" i="1"/>
  <c r="AD2916" i="1"/>
  <c r="AD2917" i="1"/>
  <c r="AD2918" i="1"/>
  <c r="AD2919" i="1"/>
  <c r="AD2920" i="1"/>
  <c r="AD2921" i="1"/>
  <c r="AD2922" i="1"/>
  <c r="AD2923" i="1"/>
  <c r="AD2924" i="1"/>
  <c r="AD2925" i="1"/>
  <c r="AD2926" i="1"/>
  <c r="AD2927" i="1"/>
  <c r="AD2928" i="1"/>
  <c r="AD2929" i="1"/>
  <c r="AD2930" i="1"/>
  <c r="AD2931" i="1"/>
  <c r="AD2932" i="1"/>
  <c r="AD2933" i="1"/>
  <c r="AD2934" i="1"/>
  <c r="AD2935" i="1"/>
  <c r="AD2936" i="1"/>
  <c r="AD2937" i="1"/>
  <c r="AD2938" i="1"/>
  <c r="AD2939" i="1"/>
  <c r="AD2940" i="1"/>
  <c r="AD2941" i="1"/>
  <c r="AD2942" i="1"/>
  <c r="AD2943" i="1"/>
  <c r="AD2944" i="1"/>
  <c r="AD2945" i="1"/>
  <c r="AD2946" i="1"/>
  <c r="AD2947" i="1"/>
  <c r="AD2948" i="1"/>
  <c r="AD2949" i="1"/>
  <c r="AD2950" i="1"/>
  <c r="AD2951" i="1"/>
  <c r="AD2952" i="1"/>
  <c r="AD2953" i="1"/>
  <c r="AD2954" i="1"/>
  <c r="AD2955" i="1"/>
  <c r="AD2956" i="1"/>
  <c r="AD2957" i="1"/>
  <c r="AD2958" i="1"/>
  <c r="AD2959" i="1"/>
  <c r="AD2960" i="1"/>
  <c r="AD2961" i="1"/>
  <c r="AD2962" i="1"/>
  <c r="AD2963" i="1"/>
  <c r="AD2964" i="1"/>
  <c r="AD2965" i="1"/>
  <c r="AD2966" i="1"/>
  <c r="AD2967" i="1"/>
  <c r="AD2968" i="1"/>
  <c r="AD2969" i="1"/>
  <c r="AD2970" i="1"/>
  <c r="AD2971" i="1"/>
  <c r="AD2972" i="1"/>
  <c r="AD2973" i="1"/>
  <c r="AD2974" i="1"/>
  <c r="AD2975" i="1"/>
  <c r="AD2976" i="1"/>
  <c r="AD2977" i="1"/>
  <c r="AD2978" i="1"/>
  <c r="AD2979" i="1"/>
  <c r="AD2980" i="1"/>
  <c r="AD2981" i="1"/>
  <c r="AD2982" i="1"/>
  <c r="AD2983" i="1"/>
  <c r="AD2984" i="1"/>
  <c r="AD2985" i="1"/>
  <c r="AD2986" i="1"/>
  <c r="AD2987" i="1"/>
  <c r="AD2988" i="1"/>
  <c r="AD2989" i="1"/>
  <c r="AD2990" i="1"/>
  <c r="AD2991" i="1"/>
  <c r="AD2992" i="1"/>
  <c r="AD2993" i="1"/>
  <c r="AD2994" i="1"/>
  <c r="AD2995" i="1"/>
  <c r="AD2996" i="1"/>
  <c r="AD2997" i="1"/>
  <c r="AD2998" i="1"/>
  <c r="AD2999" i="1"/>
  <c r="AD3000" i="1"/>
  <c r="AD3001" i="1"/>
  <c r="AD3002" i="1"/>
  <c r="AD3003" i="1"/>
  <c r="AD3004" i="1"/>
  <c r="AD3005" i="1"/>
  <c r="AD3006" i="1"/>
  <c r="AD3007" i="1"/>
  <c r="AD3008" i="1"/>
  <c r="AD3009" i="1"/>
  <c r="AD3010" i="1"/>
  <c r="AD3011" i="1"/>
  <c r="AD3012" i="1"/>
  <c r="AD3013" i="1"/>
  <c r="AD3014" i="1"/>
  <c r="AD3015" i="1"/>
  <c r="AD3016" i="1"/>
  <c r="AD3017" i="1"/>
  <c r="AD3018" i="1"/>
  <c r="AD3019" i="1"/>
  <c r="AD3020" i="1"/>
  <c r="AD3021" i="1"/>
  <c r="AD3022" i="1"/>
  <c r="AD3023" i="1"/>
  <c r="AD3024" i="1"/>
  <c r="AD3025" i="1"/>
  <c r="AD3026" i="1"/>
  <c r="AD3027" i="1"/>
  <c r="AD3028" i="1"/>
  <c r="AD3029" i="1"/>
  <c r="AD3030" i="1"/>
  <c r="AD3031" i="1"/>
  <c r="AD3032" i="1"/>
  <c r="AD3033" i="1"/>
  <c r="AD3034" i="1"/>
  <c r="AD3035" i="1"/>
  <c r="AD3036" i="1"/>
  <c r="AD3037" i="1"/>
  <c r="AD3038" i="1"/>
  <c r="AD3039" i="1"/>
  <c r="AD3040" i="1"/>
  <c r="AD3041" i="1"/>
  <c r="AD3042" i="1"/>
  <c r="AD3043" i="1"/>
  <c r="AD3044" i="1"/>
  <c r="AD3045" i="1"/>
  <c r="AD3046" i="1"/>
  <c r="AD3047" i="1"/>
  <c r="AD3048" i="1"/>
  <c r="AD3049" i="1"/>
  <c r="AD3050" i="1"/>
  <c r="AD3051" i="1"/>
  <c r="AD3052" i="1"/>
  <c r="AD3053" i="1"/>
  <c r="AD3054" i="1"/>
  <c r="AD3055" i="1"/>
  <c r="AD3056" i="1"/>
  <c r="AD3057" i="1"/>
  <c r="AD3058" i="1"/>
  <c r="AD3059" i="1"/>
  <c r="AD3060" i="1"/>
  <c r="AD3061" i="1"/>
  <c r="AD3062" i="1"/>
  <c r="AD3063" i="1"/>
  <c r="AD3064" i="1"/>
  <c r="AD3065" i="1"/>
  <c r="AD3066" i="1"/>
  <c r="AD3067" i="1"/>
  <c r="AD3068" i="1"/>
  <c r="AD3069" i="1"/>
  <c r="AD3070" i="1"/>
  <c r="AD3071" i="1"/>
  <c r="AD3072" i="1"/>
  <c r="AD3073" i="1"/>
  <c r="AD3074" i="1"/>
  <c r="AD3075" i="1"/>
  <c r="AD3076" i="1"/>
  <c r="AD3077" i="1"/>
  <c r="AD3078" i="1"/>
  <c r="AD3079" i="1"/>
  <c r="AD3080" i="1"/>
  <c r="AD3081" i="1"/>
  <c r="AD3082" i="1"/>
  <c r="AD3083" i="1"/>
  <c r="AD3084" i="1"/>
  <c r="AD3085" i="1"/>
  <c r="AD3086" i="1"/>
  <c r="AD3087" i="1"/>
  <c r="AD3088" i="1"/>
  <c r="AD3089" i="1"/>
  <c r="AD3090" i="1"/>
  <c r="AD3091" i="1"/>
  <c r="AD3092" i="1"/>
  <c r="AD3093" i="1"/>
  <c r="AD3094" i="1"/>
  <c r="AD3095" i="1"/>
  <c r="AD3096" i="1"/>
  <c r="AD3097" i="1"/>
  <c r="AD3098" i="1"/>
  <c r="AD3099" i="1"/>
  <c r="AD3100" i="1"/>
  <c r="AD3101" i="1"/>
  <c r="AD3102" i="1"/>
  <c r="AD3103" i="1"/>
  <c r="AD3104" i="1"/>
  <c r="AD3105" i="1"/>
  <c r="AD3106" i="1"/>
  <c r="AD3107" i="1"/>
  <c r="AD3108" i="1"/>
  <c r="AD3109" i="1"/>
  <c r="AD3110" i="1"/>
  <c r="AD3111" i="1"/>
  <c r="AD3112" i="1"/>
  <c r="AD3113" i="1"/>
  <c r="AD3114" i="1"/>
  <c r="AD3115" i="1"/>
  <c r="AD3116" i="1"/>
  <c r="AD3117" i="1"/>
  <c r="AD3118" i="1"/>
  <c r="AD3119" i="1"/>
  <c r="AD3120" i="1"/>
  <c r="AD3121" i="1"/>
  <c r="AD3122" i="1"/>
  <c r="AD3123" i="1"/>
  <c r="AD3124" i="1"/>
  <c r="AD3125" i="1"/>
  <c r="AD3126" i="1"/>
  <c r="AD3127" i="1"/>
  <c r="AD3128" i="1"/>
  <c r="AD3129" i="1"/>
  <c r="AD3130" i="1"/>
  <c r="AD3131" i="1"/>
  <c r="AD3132" i="1"/>
  <c r="AD3133" i="1"/>
  <c r="AD3134" i="1"/>
  <c r="AD3135" i="1"/>
  <c r="AD3136" i="1"/>
  <c r="AD3137" i="1"/>
  <c r="AD3138" i="1"/>
  <c r="AD3139" i="1"/>
  <c r="AD3140" i="1"/>
  <c r="AD3141" i="1"/>
  <c r="AD3142" i="1"/>
  <c r="AD3143" i="1"/>
  <c r="AD3144" i="1"/>
  <c r="AD3145" i="1"/>
  <c r="AD3146" i="1"/>
  <c r="AD3147" i="1"/>
  <c r="AD3148" i="1"/>
  <c r="AD3149" i="1"/>
  <c r="AD3150" i="1"/>
  <c r="AD3151" i="1"/>
  <c r="AD3152" i="1"/>
  <c r="AD3153" i="1"/>
  <c r="AD3154" i="1"/>
  <c r="AD3155" i="1"/>
  <c r="AD3156" i="1"/>
  <c r="AD3157" i="1"/>
  <c r="AD3158" i="1"/>
  <c r="AD3159" i="1"/>
  <c r="AD3160" i="1"/>
  <c r="AD3161" i="1"/>
  <c r="AD3162" i="1"/>
  <c r="AD3163" i="1"/>
  <c r="AD3164" i="1"/>
  <c r="AD3165" i="1"/>
  <c r="AD3166" i="1"/>
  <c r="AD3167" i="1"/>
  <c r="AD3168" i="1"/>
  <c r="AD3169" i="1"/>
  <c r="AD3170" i="1"/>
  <c r="AD3171" i="1"/>
  <c r="AD3172" i="1"/>
  <c r="AD3173" i="1"/>
  <c r="AD3174" i="1"/>
  <c r="AD3175" i="1"/>
  <c r="AD3176" i="1"/>
  <c r="AD3177" i="1"/>
  <c r="AD3178" i="1"/>
  <c r="AD3179" i="1"/>
  <c r="AD3180" i="1"/>
  <c r="AD3181" i="1"/>
  <c r="AD3182" i="1"/>
  <c r="AD3183" i="1"/>
  <c r="AD3184" i="1"/>
  <c r="AD3185" i="1"/>
  <c r="AD3186" i="1"/>
  <c r="AD3187" i="1"/>
  <c r="AD3188" i="1"/>
  <c r="AD3189" i="1"/>
  <c r="AD3190" i="1"/>
  <c r="AD3191" i="1"/>
  <c r="AD3192" i="1"/>
  <c r="AD3193" i="1"/>
  <c r="AD3194" i="1"/>
  <c r="AD3195" i="1"/>
  <c r="AD3196" i="1"/>
  <c r="AD3197" i="1"/>
  <c r="AD3198" i="1"/>
  <c r="AD3199" i="1"/>
  <c r="AD3200" i="1"/>
  <c r="AD3201" i="1"/>
  <c r="AD3202" i="1"/>
  <c r="AD3203" i="1"/>
  <c r="AD3204" i="1"/>
  <c r="AD3205" i="1"/>
  <c r="AD3206" i="1"/>
  <c r="AD3207" i="1"/>
  <c r="AD3208" i="1"/>
  <c r="AD3209" i="1"/>
  <c r="AD3210" i="1"/>
  <c r="AD3211" i="1"/>
  <c r="AD3212" i="1"/>
  <c r="AD3213" i="1"/>
  <c r="AD3214" i="1"/>
  <c r="AD3215" i="1"/>
  <c r="AD3216" i="1"/>
  <c r="AD3217" i="1"/>
  <c r="AD3218" i="1"/>
  <c r="AD3219" i="1"/>
  <c r="AD3220" i="1"/>
  <c r="AD3221" i="1"/>
  <c r="AD3222" i="1"/>
  <c r="AD3223" i="1"/>
  <c r="AD3224" i="1"/>
  <c r="AD3225" i="1"/>
  <c r="AD3226" i="1"/>
  <c r="AD3227" i="1"/>
  <c r="AD3228" i="1"/>
  <c r="AD3229" i="1"/>
  <c r="AD3230" i="1"/>
  <c r="AD3231" i="1"/>
  <c r="AD3232" i="1"/>
  <c r="AD3233" i="1"/>
  <c r="AD3234" i="1"/>
  <c r="AD3235" i="1"/>
  <c r="AD3236" i="1"/>
  <c r="AD3237" i="1"/>
  <c r="AD3238" i="1"/>
  <c r="AD3239" i="1"/>
  <c r="AD3240" i="1"/>
  <c r="AD3241" i="1"/>
  <c r="AD3242" i="1"/>
  <c r="AD3243" i="1"/>
  <c r="AD3244" i="1"/>
  <c r="AD3245" i="1"/>
  <c r="AD3246" i="1"/>
  <c r="AD3247" i="1"/>
  <c r="AD3248" i="1"/>
  <c r="AD3249" i="1"/>
  <c r="AD3250" i="1"/>
  <c r="AD3251" i="1"/>
  <c r="AD3252" i="1"/>
  <c r="AD3253" i="1"/>
  <c r="AD3254" i="1"/>
  <c r="AD3255" i="1"/>
  <c r="AD3256" i="1"/>
  <c r="AD3257" i="1"/>
  <c r="AD3258" i="1"/>
  <c r="AD3259" i="1"/>
  <c r="AD3260" i="1"/>
  <c r="AD3261" i="1"/>
  <c r="AD3262" i="1"/>
  <c r="AD3263" i="1"/>
  <c r="AD3264" i="1"/>
  <c r="AD3265" i="1"/>
  <c r="AD3266" i="1"/>
  <c r="AD3267" i="1"/>
  <c r="AD3268" i="1"/>
  <c r="AD3269" i="1"/>
  <c r="AD3270" i="1"/>
  <c r="AD3271" i="1"/>
  <c r="AD3272" i="1"/>
  <c r="AD3273" i="1"/>
  <c r="AD3274" i="1"/>
  <c r="AD3275" i="1"/>
  <c r="AD3276" i="1"/>
  <c r="AD3277" i="1"/>
  <c r="AD3278" i="1"/>
  <c r="AD3279" i="1"/>
  <c r="AD3280" i="1"/>
  <c r="AD3281" i="1"/>
  <c r="AD3282" i="1"/>
  <c r="AD3283" i="1"/>
  <c r="AD3284" i="1"/>
  <c r="AD3285" i="1"/>
  <c r="AD3286" i="1"/>
  <c r="AD3287" i="1"/>
  <c r="AD3288" i="1"/>
  <c r="AD3289" i="1"/>
  <c r="AD3290" i="1"/>
  <c r="AD3291" i="1"/>
  <c r="AD3292" i="1"/>
  <c r="AD3293" i="1"/>
  <c r="AD3294" i="1"/>
  <c r="AD3295" i="1"/>
  <c r="AD3296" i="1"/>
  <c r="AD3297" i="1"/>
  <c r="AD3298" i="1"/>
  <c r="AD3299" i="1"/>
  <c r="AD3300" i="1"/>
  <c r="AD3301" i="1"/>
  <c r="AD3302" i="1"/>
  <c r="AD3303" i="1"/>
  <c r="AD3304" i="1"/>
  <c r="AD3305" i="1"/>
  <c r="AD3306" i="1"/>
  <c r="AD3307" i="1"/>
  <c r="AD3308" i="1"/>
  <c r="AD3309" i="1"/>
  <c r="AD3310" i="1"/>
  <c r="AD3311" i="1"/>
  <c r="AD3312" i="1"/>
  <c r="AD3313" i="1"/>
  <c r="AD3314" i="1"/>
  <c r="AD3315" i="1"/>
  <c r="AD3316" i="1"/>
  <c r="AD3317" i="1"/>
  <c r="AD3318" i="1"/>
  <c r="AD3319" i="1"/>
  <c r="AD3320" i="1"/>
  <c r="AD3321" i="1"/>
  <c r="AD3322" i="1"/>
  <c r="AD3323" i="1"/>
  <c r="AD3324" i="1"/>
  <c r="AD3325" i="1"/>
  <c r="AD3326" i="1"/>
  <c r="AD3327" i="1"/>
  <c r="AD3328" i="1"/>
  <c r="AD3329" i="1"/>
  <c r="AD3330" i="1"/>
  <c r="AD3331" i="1"/>
  <c r="AD3332" i="1"/>
  <c r="AD3333" i="1"/>
  <c r="AD3334" i="1"/>
  <c r="AD3335" i="1"/>
  <c r="AD3336" i="1"/>
  <c r="AD3337" i="1"/>
  <c r="AD3338" i="1"/>
  <c r="AD3339" i="1"/>
  <c r="AD3340" i="1"/>
  <c r="AD3341" i="1"/>
  <c r="AD3342" i="1"/>
  <c r="AD3343" i="1"/>
  <c r="AD3344" i="1"/>
  <c r="AD3345" i="1"/>
  <c r="AD3346" i="1"/>
  <c r="AD3347" i="1"/>
  <c r="AD3348" i="1"/>
  <c r="AD3349" i="1"/>
  <c r="AD3350" i="1"/>
  <c r="AD3351" i="1"/>
  <c r="AD3352" i="1"/>
  <c r="AD3353" i="1"/>
  <c r="AD3354" i="1"/>
  <c r="AD3355" i="1"/>
  <c r="AD3356" i="1"/>
  <c r="AD3357" i="1"/>
  <c r="AD3358" i="1"/>
  <c r="AD3359" i="1"/>
  <c r="AD3360" i="1"/>
  <c r="AD3361" i="1"/>
  <c r="AD3362" i="1"/>
  <c r="AD3363" i="1"/>
  <c r="AD3364" i="1"/>
  <c r="AD3365" i="1"/>
  <c r="AD3366" i="1"/>
  <c r="AD3367" i="1"/>
  <c r="AD3368" i="1"/>
  <c r="AD3369" i="1"/>
  <c r="AD3370" i="1"/>
  <c r="AD3371" i="1"/>
  <c r="AD3372" i="1"/>
  <c r="AD3373" i="1"/>
  <c r="AD3374" i="1"/>
  <c r="AD3375" i="1"/>
  <c r="AD3376" i="1"/>
  <c r="AD3377" i="1"/>
  <c r="AD3378" i="1"/>
  <c r="AD3379" i="1"/>
  <c r="AD3380" i="1"/>
  <c r="AD3381" i="1"/>
  <c r="AD3382" i="1"/>
  <c r="AD3383" i="1"/>
  <c r="AD3384" i="1"/>
  <c r="AD3385" i="1"/>
  <c r="AD3386" i="1"/>
  <c r="AD3387" i="1"/>
  <c r="AD3388" i="1"/>
  <c r="AD3389" i="1"/>
  <c r="AD3390" i="1"/>
  <c r="AD3391" i="1"/>
  <c r="AD3392" i="1"/>
  <c r="AD3393" i="1"/>
  <c r="AD3394" i="1"/>
  <c r="AD3395" i="1"/>
  <c r="AD3396" i="1"/>
  <c r="AD3397" i="1"/>
  <c r="AD3398" i="1"/>
  <c r="AD3399" i="1"/>
  <c r="AD3400" i="1"/>
  <c r="AD3401" i="1"/>
  <c r="AD3402" i="1"/>
  <c r="AD3403" i="1"/>
  <c r="AD3404" i="1"/>
  <c r="AD3405" i="1"/>
  <c r="AD3406" i="1"/>
  <c r="AD3407" i="1"/>
  <c r="AD3408" i="1"/>
  <c r="AD3409" i="1"/>
  <c r="AD3410" i="1"/>
  <c r="AD3411" i="1"/>
  <c r="AD3412" i="1"/>
  <c r="AD3413" i="1"/>
  <c r="AD3414" i="1"/>
  <c r="AD3415" i="1"/>
  <c r="AD3416" i="1"/>
  <c r="AD3417" i="1"/>
  <c r="AD3418" i="1"/>
  <c r="AD3419" i="1"/>
  <c r="AD3420" i="1"/>
  <c r="AD3421" i="1"/>
  <c r="AD3422" i="1"/>
  <c r="AD3423" i="1"/>
  <c r="AD3424" i="1"/>
  <c r="AD3425" i="1"/>
  <c r="AD3426" i="1"/>
  <c r="AD3427" i="1"/>
  <c r="AD3428" i="1"/>
  <c r="AD3429" i="1"/>
  <c r="AD3430" i="1"/>
  <c r="AD3431" i="1"/>
  <c r="AD3432" i="1"/>
  <c r="AD3433" i="1"/>
  <c r="AD3434" i="1"/>
  <c r="AD3435" i="1"/>
  <c r="AD3436" i="1"/>
  <c r="AD3437" i="1"/>
  <c r="AD3438" i="1"/>
  <c r="AD3439" i="1"/>
  <c r="AD3440" i="1"/>
  <c r="AD3441" i="1"/>
  <c r="AD3442" i="1"/>
  <c r="AD3443" i="1"/>
  <c r="AD3444" i="1"/>
  <c r="AD3445" i="1"/>
  <c r="AD3446" i="1"/>
  <c r="AD3447" i="1"/>
  <c r="AD3448" i="1"/>
  <c r="AD3449" i="1"/>
  <c r="AD3450" i="1"/>
  <c r="AD3451" i="1"/>
  <c r="AD3452" i="1"/>
  <c r="AD3453" i="1"/>
  <c r="AD3454" i="1"/>
  <c r="AD3455" i="1"/>
  <c r="AD3456" i="1"/>
  <c r="AD3457" i="1"/>
  <c r="AD3458" i="1"/>
  <c r="AD3459" i="1"/>
  <c r="AD3460" i="1"/>
  <c r="AD3461" i="1"/>
  <c r="AD3462" i="1"/>
  <c r="AD3463" i="1"/>
  <c r="AD3464" i="1"/>
  <c r="AD3465" i="1"/>
  <c r="AD3466" i="1"/>
  <c r="AD3467" i="1"/>
  <c r="AD3468" i="1"/>
  <c r="AD3469" i="1"/>
  <c r="AD3470" i="1"/>
  <c r="AD3471" i="1"/>
  <c r="AD3472" i="1"/>
  <c r="AD3473" i="1"/>
  <c r="AD3474" i="1"/>
  <c r="AD3475" i="1"/>
  <c r="AD3476" i="1"/>
  <c r="AD3477" i="1"/>
  <c r="AD3478" i="1"/>
  <c r="AD3479" i="1"/>
  <c r="AD3480" i="1"/>
  <c r="AD3481" i="1"/>
  <c r="AD3482" i="1"/>
  <c r="AD3483" i="1"/>
  <c r="AD3484" i="1"/>
  <c r="AD3485" i="1"/>
  <c r="AD3486" i="1"/>
  <c r="AD3487" i="1"/>
  <c r="AD3488" i="1"/>
  <c r="AD3489" i="1"/>
  <c r="AD3490" i="1"/>
  <c r="AD3491" i="1"/>
  <c r="AD3492" i="1"/>
  <c r="AD3493" i="1"/>
  <c r="AD3494" i="1"/>
  <c r="AD3495" i="1"/>
  <c r="AD3496" i="1"/>
  <c r="AD3497" i="1"/>
  <c r="AD3498" i="1"/>
  <c r="AD3499" i="1"/>
  <c r="AD3500" i="1"/>
  <c r="AD3501" i="1"/>
  <c r="AD3502" i="1"/>
  <c r="AD3503" i="1"/>
  <c r="AD3504" i="1"/>
  <c r="AD3505" i="1"/>
  <c r="AD3506" i="1"/>
  <c r="AD3507" i="1"/>
  <c r="AD3508" i="1"/>
  <c r="AD3509" i="1"/>
  <c r="AD3510" i="1"/>
  <c r="AD3511" i="1"/>
  <c r="AD3512" i="1"/>
  <c r="AD3513" i="1"/>
  <c r="AD3514" i="1"/>
  <c r="AD3515" i="1"/>
  <c r="AD3516" i="1"/>
  <c r="AD3517" i="1"/>
  <c r="AD3518" i="1"/>
  <c r="AD3519" i="1"/>
  <c r="AD3520" i="1"/>
  <c r="AD3521" i="1"/>
  <c r="AD3522" i="1"/>
  <c r="AD3523" i="1"/>
  <c r="AD3524" i="1"/>
  <c r="AD3525" i="1"/>
  <c r="AD3526" i="1"/>
  <c r="AD3527" i="1"/>
  <c r="AD3528" i="1"/>
  <c r="AD3529" i="1"/>
  <c r="AD3530" i="1"/>
  <c r="AD3531" i="1"/>
  <c r="AD3532" i="1"/>
  <c r="AD3533" i="1"/>
  <c r="AD3534" i="1"/>
  <c r="AD3535" i="1"/>
  <c r="AD3536" i="1"/>
  <c r="AD3537" i="1"/>
  <c r="AD3538" i="1"/>
  <c r="AD3539" i="1"/>
  <c r="AD3540" i="1"/>
  <c r="AD3541" i="1"/>
  <c r="AD3542" i="1"/>
  <c r="AD3543" i="1"/>
  <c r="AD3544" i="1"/>
  <c r="AD3545" i="1"/>
  <c r="AD3546" i="1"/>
  <c r="AD3547" i="1"/>
  <c r="AD3548" i="1"/>
  <c r="AD3549" i="1"/>
  <c r="AD3550" i="1"/>
  <c r="AD3551" i="1"/>
  <c r="AD3552" i="1"/>
  <c r="AD3553" i="1"/>
  <c r="AD3554" i="1"/>
  <c r="AD3555" i="1"/>
  <c r="AD3556" i="1"/>
  <c r="AD3557" i="1"/>
  <c r="AD3558" i="1"/>
  <c r="AD3559" i="1"/>
  <c r="AD3560" i="1"/>
  <c r="AD3561" i="1"/>
  <c r="AD3562" i="1"/>
  <c r="AD3563" i="1"/>
  <c r="AD3564" i="1"/>
  <c r="AD3565" i="1"/>
  <c r="AD3566" i="1"/>
  <c r="AD3567" i="1"/>
  <c r="AD3568" i="1"/>
  <c r="AD3569" i="1"/>
  <c r="AD3570" i="1"/>
  <c r="AD3571" i="1"/>
  <c r="AD3572" i="1"/>
  <c r="AD3573" i="1"/>
  <c r="AD3574" i="1"/>
  <c r="AD3575" i="1"/>
  <c r="AD3576" i="1"/>
  <c r="AD3577" i="1"/>
  <c r="AD3578" i="1"/>
  <c r="AD3579" i="1"/>
  <c r="AD3580" i="1"/>
  <c r="AD3581" i="1"/>
  <c r="AD3582" i="1"/>
  <c r="AD3583" i="1"/>
  <c r="AD3584" i="1"/>
  <c r="AD3585" i="1"/>
  <c r="AD3586" i="1"/>
  <c r="AD3587" i="1"/>
  <c r="AD3588" i="1"/>
  <c r="AD3589" i="1"/>
  <c r="AD3590" i="1"/>
  <c r="AD3591" i="1"/>
  <c r="AD3592" i="1"/>
  <c r="AD3593" i="1"/>
  <c r="AD3594" i="1"/>
  <c r="AD3595" i="1"/>
  <c r="AD3596" i="1"/>
  <c r="AD3597" i="1"/>
  <c r="AD3598" i="1"/>
  <c r="AD3599" i="1"/>
  <c r="AD3600" i="1"/>
  <c r="AD3601" i="1"/>
  <c r="AD3602" i="1"/>
  <c r="AD3603" i="1"/>
  <c r="AD3604" i="1"/>
  <c r="AD3605" i="1"/>
  <c r="AD3606" i="1"/>
  <c r="AD3607" i="1"/>
  <c r="AD3608" i="1"/>
  <c r="AD3609" i="1"/>
  <c r="AD3610" i="1"/>
  <c r="AD3611" i="1"/>
  <c r="AD3612" i="1"/>
  <c r="AD3613" i="1"/>
  <c r="AD3614" i="1"/>
  <c r="AD3615" i="1"/>
  <c r="AD3616" i="1"/>
  <c r="AD3617" i="1"/>
  <c r="AD3618" i="1"/>
  <c r="AD3619" i="1"/>
  <c r="AD3620" i="1"/>
  <c r="AD3621" i="1"/>
  <c r="AD3622" i="1"/>
  <c r="AD3623" i="1"/>
  <c r="AD3624" i="1"/>
  <c r="AD3625" i="1"/>
  <c r="AD3626" i="1"/>
  <c r="AD3627" i="1"/>
  <c r="AD3628" i="1"/>
  <c r="AD3629" i="1"/>
  <c r="AD3630" i="1"/>
  <c r="AD3631" i="1"/>
  <c r="AD3632" i="1"/>
  <c r="AD3633" i="1"/>
  <c r="AD3634" i="1"/>
  <c r="AD3635" i="1"/>
  <c r="AD3636" i="1"/>
  <c r="AD3637" i="1"/>
  <c r="AD3638" i="1"/>
  <c r="AD3639" i="1"/>
  <c r="AD3640" i="1"/>
  <c r="AD3641" i="1"/>
  <c r="AD3642" i="1"/>
  <c r="AD3643" i="1"/>
  <c r="AD3644" i="1"/>
  <c r="AD3645" i="1"/>
  <c r="AD3646" i="1"/>
  <c r="AD3647" i="1"/>
  <c r="AD3648" i="1"/>
  <c r="AD3649" i="1"/>
  <c r="AD3650" i="1"/>
  <c r="AD3651" i="1"/>
  <c r="AD3652" i="1"/>
  <c r="AD3653" i="1"/>
  <c r="AD3654" i="1"/>
  <c r="AD3655" i="1"/>
  <c r="AD3656" i="1"/>
  <c r="AD3657" i="1"/>
  <c r="AD3658" i="1"/>
  <c r="AD3659" i="1"/>
  <c r="AD3660" i="1"/>
  <c r="AD3661" i="1"/>
  <c r="AD3662" i="1"/>
  <c r="AD3663" i="1"/>
  <c r="AD3664" i="1"/>
  <c r="AD3665" i="1"/>
  <c r="AD3666" i="1"/>
  <c r="AD3667" i="1"/>
  <c r="AD3668" i="1"/>
  <c r="AD3669" i="1"/>
  <c r="AD3670" i="1"/>
  <c r="AD3671" i="1"/>
  <c r="AD3672" i="1"/>
  <c r="AD3673" i="1"/>
  <c r="AD3674" i="1"/>
  <c r="AD3675" i="1"/>
  <c r="AD3676" i="1"/>
  <c r="AD3677" i="1"/>
  <c r="AD3678" i="1"/>
  <c r="AD3679" i="1"/>
  <c r="AD3680" i="1"/>
  <c r="AD3681" i="1"/>
  <c r="AD3682" i="1"/>
  <c r="AD3683" i="1"/>
  <c r="AD3684" i="1"/>
  <c r="AD3685" i="1"/>
  <c r="AD3686" i="1"/>
  <c r="AD3687" i="1"/>
  <c r="AD3688" i="1"/>
  <c r="AD3689" i="1"/>
  <c r="AD3690" i="1"/>
  <c r="AD3691" i="1"/>
  <c r="AD3692" i="1"/>
  <c r="AD3693" i="1"/>
  <c r="AD3694" i="1"/>
  <c r="AD3695" i="1"/>
  <c r="AD3696" i="1"/>
  <c r="AD3697" i="1"/>
  <c r="AD3698" i="1"/>
  <c r="AD3699" i="1"/>
  <c r="AD3700" i="1"/>
  <c r="AD3701" i="1"/>
  <c r="AD3702" i="1"/>
  <c r="AD3703" i="1"/>
  <c r="AD3704" i="1"/>
  <c r="AD3705" i="1"/>
  <c r="AD3706" i="1"/>
  <c r="AD3707" i="1"/>
  <c r="AD3708" i="1"/>
  <c r="AD3709" i="1"/>
  <c r="AD3710" i="1"/>
  <c r="AD3711" i="1"/>
  <c r="AD3712" i="1"/>
  <c r="AD3713" i="1"/>
  <c r="AD3714" i="1"/>
  <c r="AD3715" i="1"/>
  <c r="AD3716" i="1"/>
  <c r="AD3717" i="1"/>
  <c r="AD3718" i="1"/>
  <c r="AD3719" i="1"/>
  <c r="AD3720" i="1"/>
  <c r="AD3721" i="1"/>
  <c r="AD3722" i="1"/>
  <c r="AD3723" i="1"/>
  <c r="AD3724" i="1"/>
  <c r="AD3725" i="1"/>
  <c r="AD3726" i="1"/>
  <c r="AD3727" i="1"/>
  <c r="AD3728" i="1"/>
  <c r="AD3729" i="1"/>
  <c r="AD3730" i="1"/>
  <c r="AD3731" i="1"/>
  <c r="AD3732" i="1"/>
  <c r="AD3733" i="1"/>
  <c r="AD3734" i="1"/>
  <c r="AD3735" i="1"/>
  <c r="AD3736" i="1"/>
  <c r="AD3737" i="1"/>
  <c r="AD3738" i="1"/>
  <c r="AD3739" i="1"/>
  <c r="AD3740" i="1"/>
  <c r="AD3741" i="1"/>
  <c r="AD3742" i="1"/>
  <c r="AD3743" i="1"/>
  <c r="AD3744" i="1"/>
  <c r="AD3745" i="1"/>
  <c r="AD3746" i="1"/>
  <c r="AD3747" i="1"/>
  <c r="AD3748" i="1"/>
  <c r="AD3749" i="1"/>
  <c r="AD3750" i="1"/>
  <c r="AD3751" i="1"/>
  <c r="AD3752" i="1"/>
  <c r="AD3753" i="1"/>
  <c r="AD3754" i="1"/>
  <c r="AD3755" i="1"/>
  <c r="AD3756" i="1"/>
  <c r="AD3757" i="1"/>
  <c r="AD3758" i="1"/>
  <c r="AD3759" i="1"/>
  <c r="AD3760" i="1"/>
  <c r="AD3761" i="1"/>
  <c r="AD3762" i="1"/>
  <c r="AD3763" i="1"/>
  <c r="AD3764" i="1"/>
  <c r="AD3765" i="1"/>
  <c r="AD3766" i="1"/>
  <c r="AD3767" i="1"/>
  <c r="AD3768" i="1"/>
  <c r="AD3769" i="1"/>
  <c r="AD3770" i="1"/>
  <c r="AD3771" i="1"/>
  <c r="AD3772" i="1"/>
  <c r="AD3773" i="1"/>
  <c r="AD3774" i="1"/>
  <c r="AD3775" i="1"/>
  <c r="AD3776" i="1"/>
  <c r="AD3777" i="1"/>
  <c r="AD3778" i="1"/>
  <c r="AD3779" i="1"/>
  <c r="AD3780" i="1"/>
  <c r="AD3781" i="1"/>
  <c r="AD3782" i="1"/>
  <c r="AD3783" i="1"/>
  <c r="AD3784" i="1"/>
  <c r="AD3785" i="1"/>
  <c r="AD3786" i="1"/>
  <c r="AD3787" i="1"/>
  <c r="AD3788" i="1"/>
  <c r="AD3789" i="1"/>
  <c r="AD3790" i="1"/>
  <c r="AD3791" i="1"/>
  <c r="AD3792" i="1"/>
  <c r="AD3793" i="1"/>
  <c r="AD3794" i="1"/>
  <c r="AD3795" i="1"/>
  <c r="AD3796" i="1"/>
  <c r="AD3797" i="1"/>
  <c r="AD3798" i="1"/>
  <c r="AD3799" i="1"/>
  <c r="AD3800" i="1"/>
  <c r="AD3801" i="1"/>
  <c r="AD3802" i="1"/>
  <c r="AD3803" i="1"/>
  <c r="AD3804" i="1"/>
  <c r="AD3805" i="1"/>
  <c r="AD3806" i="1"/>
  <c r="AD3807" i="1"/>
  <c r="AD3808" i="1"/>
  <c r="AD3809" i="1"/>
  <c r="AD3810" i="1"/>
  <c r="AD3811" i="1"/>
  <c r="AD3812" i="1"/>
  <c r="AD3813" i="1"/>
  <c r="AD3814" i="1"/>
  <c r="AD3815" i="1"/>
  <c r="AD3816" i="1"/>
  <c r="AD3817" i="1"/>
  <c r="AD3818" i="1"/>
  <c r="AD3819" i="1"/>
  <c r="AD3820" i="1"/>
  <c r="AD3821" i="1"/>
  <c r="AD3822" i="1"/>
  <c r="AD3823" i="1"/>
  <c r="AD3824" i="1"/>
  <c r="AD3825" i="1"/>
  <c r="AD3826" i="1"/>
  <c r="AD3827" i="1"/>
  <c r="AD3828" i="1"/>
  <c r="AD3829" i="1"/>
  <c r="AD3830" i="1"/>
  <c r="AD3831" i="1"/>
  <c r="AD3832" i="1"/>
  <c r="AD3833" i="1"/>
  <c r="AD3834" i="1"/>
  <c r="AD3835" i="1"/>
  <c r="AD3836" i="1"/>
  <c r="AD3837" i="1"/>
  <c r="AD3838" i="1"/>
  <c r="AD3839" i="1"/>
  <c r="AD3840" i="1"/>
  <c r="AD3841" i="1"/>
  <c r="AD3842" i="1"/>
  <c r="AD3843" i="1"/>
  <c r="AD3844" i="1"/>
  <c r="AD3845" i="1"/>
  <c r="AD3846" i="1"/>
  <c r="AD3847" i="1"/>
  <c r="AD3848" i="1"/>
  <c r="AD3849" i="1"/>
  <c r="AD3850" i="1"/>
  <c r="AD3851" i="1"/>
  <c r="AD3852" i="1"/>
  <c r="AD3853" i="1"/>
  <c r="AD3854" i="1"/>
  <c r="AD3855" i="1"/>
  <c r="AD3856" i="1"/>
  <c r="AD3857" i="1"/>
  <c r="AD3858" i="1"/>
  <c r="AD3859" i="1"/>
  <c r="AD3860" i="1"/>
  <c r="AD3861" i="1"/>
  <c r="AD3862" i="1"/>
  <c r="AD3863" i="1"/>
  <c r="AD3864" i="1"/>
  <c r="AD3865" i="1"/>
  <c r="AD3866" i="1"/>
  <c r="AD3867" i="1"/>
  <c r="AD3868" i="1"/>
  <c r="AD3869" i="1"/>
  <c r="AD3870" i="1"/>
  <c r="AD3871" i="1"/>
  <c r="AD3872" i="1"/>
  <c r="AD3873" i="1"/>
  <c r="AD3874" i="1"/>
  <c r="AD3875" i="1"/>
  <c r="AD3876" i="1"/>
  <c r="AD3877" i="1"/>
  <c r="AD3878" i="1"/>
  <c r="AD3879" i="1"/>
  <c r="AD3880" i="1"/>
  <c r="AD3881" i="1"/>
  <c r="AD3882" i="1"/>
  <c r="AD3883" i="1"/>
  <c r="AD3884" i="1"/>
  <c r="AD3885" i="1"/>
  <c r="AD3886" i="1"/>
  <c r="AD3887" i="1"/>
  <c r="AD3888" i="1"/>
  <c r="AD3889" i="1"/>
  <c r="AD3890" i="1"/>
  <c r="AD3891" i="1"/>
  <c r="AD3892" i="1"/>
  <c r="AD3893" i="1"/>
  <c r="AD3894" i="1"/>
  <c r="AD3895" i="1"/>
  <c r="AD3896" i="1"/>
  <c r="AD3897" i="1"/>
  <c r="AD3898" i="1"/>
  <c r="AD3899" i="1"/>
  <c r="AD3900" i="1"/>
  <c r="AD3901" i="1"/>
  <c r="AD3902" i="1"/>
  <c r="AD3903" i="1"/>
  <c r="AD3904" i="1"/>
  <c r="AD3905" i="1"/>
  <c r="AD3906" i="1"/>
  <c r="AD3907" i="1"/>
  <c r="AD3908" i="1"/>
  <c r="AD3909" i="1"/>
  <c r="AD3910" i="1"/>
  <c r="AD3911" i="1"/>
  <c r="AD3912" i="1"/>
  <c r="AD3913" i="1"/>
  <c r="AD3914" i="1"/>
  <c r="AD3915" i="1"/>
  <c r="AD3916" i="1"/>
  <c r="AD3917" i="1"/>
  <c r="AD3918" i="1"/>
  <c r="AD3919" i="1"/>
  <c r="AD3920" i="1"/>
  <c r="AD3921" i="1"/>
  <c r="AD3922" i="1"/>
  <c r="AD3923" i="1"/>
  <c r="AD3924" i="1"/>
  <c r="AD3925" i="1"/>
  <c r="AD3926" i="1"/>
  <c r="AD3927" i="1"/>
  <c r="AD3928" i="1"/>
  <c r="AD3929" i="1"/>
  <c r="AD3930" i="1"/>
  <c r="AD3931" i="1"/>
  <c r="AD3932" i="1"/>
  <c r="AD3933" i="1"/>
  <c r="AD3934" i="1"/>
  <c r="AD3935" i="1"/>
  <c r="AD3936" i="1"/>
  <c r="AD3937" i="1"/>
  <c r="AD3938" i="1"/>
  <c r="AD3939" i="1"/>
  <c r="AD3940" i="1"/>
  <c r="AD3941" i="1"/>
  <c r="AD3942" i="1"/>
  <c r="AD3943" i="1"/>
  <c r="AD3944" i="1"/>
  <c r="AD3945" i="1"/>
  <c r="AD3946" i="1"/>
  <c r="AD3947" i="1"/>
  <c r="AD3948" i="1"/>
  <c r="AD3949" i="1"/>
  <c r="AD3950" i="1"/>
  <c r="AD3951" i="1"/>
  <c r="AD3952" i="1"/>
  <c r="AD3953" i="1"/>
  <c r="AD3954" i="1"/>
  <c r="AD3955" i="1"/>
  <c r="AD3956" i="1"/>
  <c r="AD3957" i="1"/>
  <c r="AD3958" i="1"/>
  <c r="AD3959" i="1"/>
  <c r="AD3960" i="1"/>
  <c r="AD3961" i="1"/>
  <c r="AD3962" i="1"/>
  <c r="AD3963" i="1"/>
  <c r="AD3964" i="1"/>
  <c r="AD3965" i="1"/>
  <c r="AD3966" i="1"/>
  <c r="AD3967" i="1"/>
  <c r="AD3968" i="1"/>
  <c r="AD3969" i="1"/>
  <c r="AD3970" i="1"/>
  <c r="AD3971" i="1"/>
  <c r="AD3972" i="1"/>
  <c r="AD3973" i="1"/>
  <c r="AD3974" i="1"/>
  <c r="AD3975" i="1"/>
  <c r="AD3976" i="1"/>
  <c r="AD3977" i="1"/>
  <c r="AD3978" i="1"/>
  <c r="AD3979" i="1"/>
  <c r="AD3980" i="1"/>
  <c r="AD3981" i="1"/>
  <c r="AD3982" i="1"/>
  <c r="AD3983" i="1"/>
  <c r="AD3984" i="1"/>
  <c r="AD3985" i="1"/>
  <c r="AD3986" i="1"/>
  <c r="AD3987" i="1"/>
  <c r="AD3988" i="1"/>
  <c r="AD3989" i="1"/>
  <c r="AD3990" i="1"/>
  <c r="AD3991" i="1"/>
  <c r="AD3992" i="1"/>
  <c r="AD3993" i="1"/>
  <c r="AD3994" i="1"/>
  <c r="AD3995" i="1"/>
  <c r="AD3996" i="1"/>
  <c r="AD3997" i="1"/>
  <c r="AD3998" i="1"/>
  <c r="AD3999" i="1"/>
  <c r="AD4000" i="1"/>
  <c r="AD4001" i="1"/>
  <c r="AD4002" i="1"/>
  <c r="AD4003" i="1"/>
  <c r="AD4004" i="1"/>
  <c r="AD4005" i="1"/>
  <c r="AD4006" i="1"/>
  <c r="AD4007" i="1"/>
  <c r="AD4008" i="1"/>
  <c r="AD4009" i="1"/>
  <c r="AD4010" i="1"/>
  <c r="AD4011" i="1"/>
  <c r="AD4012" i="1"/>
  <c r="AD4013" i="1"/>
  <c r="AD4014" i="1"/>
  <c r="AD4015" i="1"/>
  <c r="AD4016" i="1"/>
  <c r="AD4017" i="1"/>
  <c r="AD4018" i="1"/>
  <c r="AD4019" i="1"/>
  <c r="AD4020" i="1"/>
  <c r="AD4021" i="1"/>
  <c r="AD4022" i="1"/>
  <c r="AD4023" i="1"/>
  <c r="AD4024" i="1"/>
  <c r="AD4025" i="1"/>
  <c r="AD4026" i="1"/>
  <c r="AD4027" i="1"/>
  <c r="AD4028" i="1"/>
  <c r="AD4029" i="1"/>
  <c r="AD4030" i="1"/>
  <c r="AD4031" i="1"/>
  <c r="AD4032" i="1"/>
  <c r="AD4033" i="1"/>
  <c r="AD4034" i="1"/>
  <c r="AD4035" i="1"/>
  <c r="AD4036" i="1"/>
  <c r="AD4037" i="1"/>
  <c r="AD4038" i="1"/>
  <c r="AD4039" i="1"/>
  <c r="AD4040" i="1"/>
  <c r="AD4041" i="1"/>
  <c r="AD4042" i="1"/>
  <c r="AD4043" i="1"/>
  <c r="AD4044" i="1"/>
  <c r="AD4045" i="1"/>
  <c r="AD4046" i="1"/>
  <c r="AD4047" i="1"/>
  <c r="AD4048" i="1"/>
  <c r="AD4049" i="1"/>
  <c r="AD4050" i="1"/>
  <c r="AD4051" i="1"/>
  <c r="AD4052" i="1"/>
  <c r="AD4053" i="1"/>
  <c r="AD4054" i="1"/>
  <c r="AD4055" i="1"/>
  <c r="AD4056" i="1"/>
  <c r="AD4057" i="1"/>
  <c r="AD4058" i="1"/>
  <c r="AD4059" i="1"/>
  <c r="AD4060" i="1"/>
  <c r="AD4061" i="1"/>
  <c r="AD4062" i="1"/>
  <c r="AD4063" i="1"/>
  <c r="AD4064" i="1"/>
  <c r="AD4065" i="1"/>
  <c r="AD4066" i="1"/>
  <c r="AD4067" i="1"/>
  <c r="AD4068" i="1"/>
  <c r="AD4069" i="1"/>
  <c r="AD4070" i="1"/>
  <c r="AD4071" i="1"/>
  <c r="AD4072" i="1"/>
  <c r="AD4073" i="1"/>
  <c r="AD4074" i="1"/>
  <c r="AD4075" i="1"/>
  <c r="AD4076" i="1"/>
  <c r="AD4077" i="1"/>
  <c r="AD4078" i="1"/>
  <c r="AD4079" i="1"/>
  <c r="AD4080" i="1"/>
  <c r="AD4081" i="1"/>
  <c r="AD4082" i="1"/>
  <c r="AD4083" i="1"/>
  <c r="AD4084" i="1"/>
  <c r="AD4085" i="1"/>
  <c r="AD4086" i="1"/>
  <c r="AD4087" i="1"/>
  <c r="AD4088" i="1"/>
  <c r="AD4089" i="1"/>
  <c r="AD4090" i="1"/>
  <c r="AD4091" i="1"/>
  <c r="AD4092" i="1"/>
  <c r="AD4093" i="1"/>
  <c r="AD4094" i="1"/>
  <c r="AD4095" i="1"/>
  <c r="AD4096" i="1"/>
  <c r="AD4097" i="1"/>
  <c r="AD4098" i="1"/>
  <c r="AD4099" i="1"/>
  <c r="AD4100" i="1"/>
  <c r="AD4101" i="1"/>
  <c r="AD4102" i="1"/>
  <c r="AD4103" i="1"/>
  <c r="AD4104" i="1"/>
  <c r="AD4105" i="1"/>
  <c r="AD4106" i="1"/>
  <c r="AD4107" i="1"/>
  <c r="AD4108" i="1"/>
  <c r="AD4109" i="1"/>
  <c r="AD4110" i="1"/>
  <c r="AD4111" i="1"/>
  <c r="AD4112" i="1"/>
  <c r="AD4113" i="1"/>
  <c r="AD4114" i="1"/>
  <c r="AD4115" i="1"/>
  <c r="AD4116" i="1"/>
  <c r="AD4117" i="1"/>
  <c r="AD4118" i="1"/>
  <c r="AD4119" i="1"/>
  <c r="AD4120" i="1"/>
  <c r="AD4121" i="1"/>
  <c r="AD4122" i="1"/>
  <c r="AD4123" i="1"/>
  <c r="AD4124" i="1"/>
  <c r="AD4125" i="1"/>
  <c r="AD4126" i="1"/>
  <c r="AD4127" i="1"/>
  <c r="AD4128" i="1"/>
  <c r="AD4129" i="1"/>
  <c r="AD4130" i="1"/>
  <c r="AD4131" i="1"/>
  <c r="AD4132" i="1"/>
  <c r="AD4133" i="1"/>
  <c r="AD4134" i="1"/>
  <c r="AD4135" i="1"/>
  <c r="AD4136" i="1"/>
  <c r="AD4137" i="1"/>
  <c r="AD4138" i="1"/>
  <c r="AD4139" i="1"/>
  <c r="AD4140" i="1"/>
  <c r="AD4141" i="1"/>
  <c r="AD4142" i="1"/>
  <c r="AD4143" i="1"/>
  <c r="AD4144" i="1"/>
  <c r="AD4145" i="1"/>
  <c r="AD4146" i="1"/>
  <c r="AD4147" i="1"/>
  <c r="AD4148" i="1"/>
  <c r="AD4149" i="1"/>
  <c r="AD4150" i="1"/>
  <c r="AD4151" i="1"/>
  <c r="AD4152" i="1"/>
  <c r="AD4153" i="1"/>
  <c r="AD4154" i="1"/>
  <c r="AD4155" i="1"/>
  <c r="AD4156" i="1"/>
  <c r="AD4157" i="1"/>
  <c r="AD4158" i="1"/>
  <c r="AD4159" i="1"/>
  <c r="AD4160" i="1"/>
  <c r="AD4161" i="1"/>
  <c r="AD4162" i="1"/>
  <c r="AD4163" i="1"/>
  <c r="AD4164" i="1"/>
  <c r="AD4165" i="1"/>
  <c r="AD4166" i="1"/>
  <c r="AD4167" i="1"/>
  <c r="AD4168" i="1"/>
  <c r="AD4169" i="1"/>
  <c r="AD4170" i="1"/>
  <c r="AD4171" i="1"/>
  <c r="AD4172" i="1"/>
  <c r="AD4173" i="1"/>
  <c r="AD4174" i="1"/>
  <c r="AD4175" i="1"/>
  <c r="AD4176" i="1"/>
  <c r="AD4177" i="1"/>
  <c r="AD4178" i="1"/>
  <c r="AD4179" i="1"/>
  <c r="AD4180" i="1"/>
  <c r="AD4181" i="1"/>
  <c r="AD4182" i="1"/>
  <c r="AD4183" i="1"/>
  <c r="AD4184" i="1"/>
  <c r="AD4185" i="1"/>
  <c r="AD4186" i="1"/>
  <c r="AD4187" i="1"/>
  <c r="AD4188" i="1"/>
  <c r="AD4189" i="1"/>
  <c r="AD4190" i="1"/>
  <c r="AD4191" i="1"/>
  <c r="AD4192" i="1"/>
  <c r="AD4193" i="1"/>
  <c r="AD4194" i="1"/>
  <c r="AD4195" i="1"/>
  <c r="AD4196" i="1"/>
  <c r="AD4197" i="1"/>
  <c r="AD4198" i="1"/>
  <c r="AD4199" i="1"/>
  <c r="AD4200" i="1"/>
  <c r="AD4201" i="1"/>
  <c r="AD4202" i="1"/>
  <c r="AD4203" i="1"/>
  <c r="AD4204" i="1"/>
  <c r="AD4205" i="1"/>
  <c r="AD4206" i="1"/>
  <c r="AD4207" i="1"/>
  <c r="AD4208" i="1"/>
  <c r="AD4209" i="1"/>
  <c r="AD4210" i="1"/>
  <c r="AD4211" i="1"/>
  <c r="AD4212" i="1"/>
  <c r="AD4213" i="1"/>
  <c r="AD4214" i="1"/>
  <c r="AD4215" i="1"/>
  <c r="AD4216" i="1"/>
  <c r="AD4217" i="1"/>
  <c r="AD4218" i="1"/>
  <c r="AD4219" i="1"/>
  <c r="AD4220" i="1"/>
  <c r="AD4221" i="1"/>
  <c r="AD4222" i="1"/>
  <c r="AD4223" i="1"/>
  <c r="AD4224" i="1"/>
  <c r="AD4225" i="1"/>
  <c r="AD4226" i="1"/>
  <c r="AD4227" i="1"/>
  <c r="AD4228" i="1"/>
  <c r="AD4229" i="1"/>
  <c r="AD4230" i="1"/>
  <c r="AD4231" i="1"/>
  <c r="AD4232" i="1"/>
  <c r="AD4233" i="1"/>
  <c r="AD4234" i="1"/>
  <c r="AD4235" i="1"/>
  <c r="AD4236" i="1"/>
  <c r="AD4237" i="1"/>
  <c r="AD4238" i="1"/>
  <c r="AD4239" i="1"/>
  <c r="AD4240" i="1"/>
  <c r="AD4241" i="1"/>
  <c r="AD4242" i="1"/>
  <c r="AD4243" i="1"/>
  <c r="AD4244" i="1"/>
  <c r="AD4245" i="1"/>
  <c r="AD4246" i="1"/>
  <c r="AD4247" i="1"/>
  <c r="AD4248" i="1"/>
  <c r="AD4249" i="1"/>
  <c r="AD4250" i="1"/>
  <c r="AD4251" i="1"/>
  <c r="AD4252" i="1"/>
  <c r="AD4253" i="1"/>
  <c r="AD4254" i="1"/>
  <c r="AD4255" i="1"/>
  <c r="AD4256" i="1"/>
  <c r="AD4257" i="1"/>
  <c r="AD4258" i="1"/>
  <c r="AD4259" i="1"/>
  <c r="AD4260" i="1"/>
  <c r="AD4261" i="1"/>
  <c r="AD4262" i="1"/>
  <c r="AD4263" i="1"/>
  <c r="AD4264" i="1"/>
  <c r="AD4265" i="1"/>
  <c r="AD4266" i="1"/>
  <c r="AD4267" i="1"/>
  <c r="AD4268" i="1"/>
  <c r="AD4269" i="1"/>
  <c r="AD4270" i="1"/>
  <c r="AD4271" i="1"/>
  <c r="AD4272" i="1"/>
  <c r="AD4273" i="1"/>
  <c r="AD4274" i="1"/>
  <c r="AD4275" i="1"/>
  <c r="AD4276" i="1"/>
  <c r="AD4277" i="1"/>
  <c r="AD4278" i="1"/>
  <c r="AD4279" i="1"/>
  <c r="AD4280" i="1"/>
  <c r="AD4281" i="1"/>
  <c r="AD4282" i="1"/>
  <c r="AD4283" i="1"/>
  <c r="AD4284" i="1"/>
  <c r="AD4285" i="1"/>
  <c r="AD4286" i="1"/>
  <c r="AD4287" i="1"/>
  <c r="AD4288" i="1"/>
  <c r="AD4289" i="1"/>
  <c r="AD4290" i="1"/>
  <c r="AD4291" i="1"/>
  <c r="AD4292" i="1"/>
  <c r="AD4293" i="1"/>
  <c r="AD4294" i="1"/>
  <c r="AD4295" i="1"/>
  <c r="AD4296" i="1"/>
  <c r="AD4297" i="1"/>
  <c r="AD4298" i="1"/>
  <c r="AD4299" i="1"/>
  <c r="AD4300" i="1"/>
  <c r="AD4301" i="1"/>
  <c r="AD4302" i="1"/>
  <c r="AD4303" i="1"/>
  <c r="AD4304" i="1"/>
  <c r="AD4305" i="1"/>
  <c r="AD4306" i="1"/>
  <c r="AD4307" i="1"/>
  <c r="AD4308" i="1"/>
  <c r="AD4309" i="1"/>
  <c r="AD4310" i="1"/>
  <c r="AD4311" i="1"/>
  <c r="AD4312" i="1"/>
  <c r="AD4313" i="1"/>
  <c r="AD4314" i="1"/>
  <c r="AD4315" i="1"/>
  <c r="AD4316" i="1"/>
  <c r="AD4317" i="1"/>
  <c r="AD4318" i="1"/>
  <c r="AD4319" i="1"/>
  <c r="AD4320" i="1"/>
  <c r="AD4321" i="1"/>
  <c r="AD4322" i="1"/>
  <c r="AD4323" i="1"/>
  <c r="AD4324" i="1"/>
  <c r="AD4325" i="1"/>
  <c r="AD4326" i="1"/>
  <c r="AD4327" i="1"/>
  <c r="AD4328" i="1"/>
  <c r="AD4329" i="1"/>
  <c r="AD4330" i="1"/>
  <c r="AD4331" i="1"/>
  <c r="AD4332" i="1"/>
  <c r="AD4333" i="1"/>
  <c r="AD4334" i="1"/>
  <c r="AD4335" i="1"/>
  <c r="AD4336" i="1"/>
  <c r="AD4337" i="1"/>
  <c r="AD4338" i="1"/>
  <c r="AD4339" i="1"/>
  <c r="AD4340" i="1"/>
  <c r="AD4341" i="1"/>
  <c r="AD4342" i="1"/>
  <c r="AD4343" i="1"/>
  <c r="AD4344" i="1"/>
  <c r="AD4345" i="1"/>
  <c r="AD4346" i="1"/>
  <c r="AD4347" i="1"/>
  <c r="AD4348" i="1"/>
  <c r="AD4349" i="1"/>
  <c r="AD4350" i="1"/>
  <c r="AD4351" i="1"/>
  <c r="AD4352" i="1"/>
  <c r="AD4353" i="1"/>
  <c r="AD4354" i="1"/>
  <c r="AD4355" i="1"/>
  <c r="AD4356" i="1"/>
  <c r="AD4357" i="1"/>
  <c r="AD4358" i="1"/>
  <c r="AD4359" i="1"/>
  <c r="AD4360" i="1"/>
  <c r="AD4361" i="1"/>
  <c r="AD4362" i="1"/>
  <c r="AD4363" i="1"/>
  <c r="AD4364" i="1"/>
  <c r="AD4365" i="1"/>
  <c r="AD4366" i="1"/>
  <c r="AD4367" i="1"/>
  <c r="AD4368" i="1"/>
  <c r="AD4369" i="1"/>
  <c r="AD4370" i="1"/>
  <c r="AD4371" i="1"/>
  <c r="AD4372" i="1"/>
  <c r="AD4373" i="1"/>
  <c r="AD4374" i="1"/>
  <c r="AD4375" i="1"/>
  <c r="AD4376" i="1"/>
  <c r="AD4377" i="1"/>
  <c r="AD4378" i="1"/>
  <c r="AD4379" i="1"/>
  <c r="AD4380" i="1"/>
  <c r="AD4381" i="1"/>
  <c r="AD4382" i="1"/>
  <c r="AD4383" i="1"/>
  <c r="AD4384" i="1"/>
  <c r="AD4385" i="1"/>
  <c r="AD4386" i="1"/>
  <c r="AD4387" i="1"/>
  <c r="AD4388" i="1"/>
  <c r="AD4389" i="1"/>
  <c r="AD4390" i="1"/>
  <c r="AD4391" i="1"/>
  <c r="AD4392" i="1"/>
  <c r="AD4393" i="1"/>
  <c r="AD4394" i="1"/>
  <c r="AD4395" i="1"/>
  <c r="AD4396" i="1"/>
  <c r="AD4397" i="1"/>
  <c r="AD4398" i="1"/>
  <c r="AD4399" i="1"/>
  <c r="AD4400" i="1"/>
  <c r="AD4401" i="1"/>
  <c r="AD4402" i="1"/>
  <c r="AD4403" i="1"/>
  <c r="AD4404" i="1"/>
  <c r="AD4405" i="1"/>
  <c r="AD4406" i="1"/>
  <c r="AD4407" i="1"/>
  <c r="AD4408" i="1"/>
  <c r="AD4409" i="1"/>
  <c r="AD4410" i="1"/>
  <c r="AD4411" i="1"/>
  <c r="AD4412" i="1"/>
  <c r="AD4413" i="1"/>
  <c r="AD4414" i="1"/>
  <c r="AD4415" i="1"/>
  <c r="AD4416" i="1"/>
  <c r="AD4417" i="1"/>
  <c r="AD4418" i="1"/>
  <c r="AD4419" i="1"/>
  <c r="AD4420" i="1"/>
  <c r="AD4421" i="1"/>
  <c r="AD4422" i="1"/>
  <c r="AD4423" i="1"/>
  <c r="AD4424" i="1"/>
  <c r="AD4425" i="1"/>
  <c r="AD4426" i="1"/>
  <c r="AD4427" i="1"/>
  <c r="AD4428" i="1"/>
  <c r="AD4429" i="1"/>
  <c r="AD4430" i="1"/>
  <c r="AD4431" i="1"/>
  <c r="AD4432" i="1"/>
  <c r="AD4433" i="1"/>
  <c r="AD4434" i="1"/>
  <c r="AD4435" i="1"/>
  <c r="AD4436" i="1"/>
  <c r="AD4437" i="1"/>
  <c r="AD4438" i="1"/>
  <c r="AD4439" i="1"/>
  <c r="AD4440" i="1"/>
  <c r="AD4441" i="1"/>
  <c r="AD4442" i="1"/>
  <c r="AD4443" i="1"/>
  <c r="AD4444" i="1"/>
  <c r="AD4445" i="1"/>
  <c r="AD4446" i="1"/>
  <c r="AD4447" i="1"/>
  <c r="AD4448" i="1"/>
  <c r="AD4449" i="1"/>
  <c r="AD4450" i="1"/>
  <c r="AD4451" i="1"/>
  <c r="AD4452" i="1"/>
  <c r="AD4453" i="1"/>
  <c r="AD4454" i="1"/>
  <c r="AD4455" i="1"/>
  <c r="AD4456" i="1"/>
  <c r="AD4457" i="1"/>
  <c r="AD4458" i="1"/>
  <c r="AD4459" i="1"/>
  <c r="AD4460" i="1"/>
  <c r="AD4461" i="1"/>
  <c r="AD4462" i="1"/>
  <c r="AD4463" i="1"/>
  <c r="AD4464" i="1"/>
  <c r="AD4465" i="1"/>
  <c r="AD4466" i="1"/>
  <c r="AD4467" i="1"/>
  <c r="AD4468" i="1"/>
  <c r="AD4469" i="1"/>
  <c r="AD4470" i="1"/>
  <c r="AD4471" i="1"/>
  <c r="AD4472" i="1"/>
  <c r="AD4473" i="1"/>
  <c r="AD4474" i="1"/>
  <c r="AD4475" i="1"/>
  <c r="AD4476" i="1"/>
  <c r="AD4477" i="1"/>
  <c r="AD4478" i="1"/>
  <c r="AD4479" i="1"/>
  <c r="AD4480" i="1"/>
  <c r="AD4481" i="1"/>
  <c r="AD4482" i="1"/>
  <c r="AD4483" i="1"/>
  <c r="AD4484" i="1"/>
  <c r="AD4485" i="1"/>
  <c r="AD4486" i="1"/>
  <c r="AD4487" i="1"/>
  <c r="AD4488" i="1"/>
  <c r="AD4489" i="1"/>
  <c r="AD4490" i="1"/>
  <c r="AD4491" i="1"/>
  <c r="AD4492" i="1"/>
  <c r="AD4493" i="1"/>
  <c r="AD4494" i="1"/>
  <c r="AD4495" i="1"/>
  <c r="AD4496" i="1"/>
  <c r="AD4497" i="1"/>
  <c r="AD4498" i="1"/>
  <c r="AD4499" i="1"/>
  <c r="AD4500" i="1"/>
  <c r="AD4501" i="1"/>
  <c r="AD4502" i="1"/>
  <c r="AD4503" i="1"/>
  <c r="AD4504" i="1"/>
  <c r="AD4505" i="1"/>
  <c r="AD4506" i="1"/>
  <c r="AD4507" i="1"/>
  <c r="AD4508" i="1"/>
  <c r="AD4509" i="1"/>
  <c r="AD4510" i="1"/>
  <c r="AD4511" i="1"/>
  <c r="AD4512" i="1"/>
  <c r="AD4513" i="1"/>
  <c r="AD4514" i="1"/>
  <c r="AD4515" i="1"/>
  <c r="AD4516" i="1"/>
  <c r="AD4517" i="1"/>
  <c r="AD4518" i="1"/>
  <c r="AD4519" i="1"/>
  <c r="AD4520" i="1"/>
  <c r="AD4521" i="1"/>
  <c r="AD4522" i="1"/>
  <c r="AD4523" i="1"/>
  <c r="AD4524" i="1"/>
  <c r="AD4525" i="1"/>
  <c r="AD4526" i="1"/>
  <c r="AD4527" i="1"/>
  <c r="AD4528" i="1"/>
  <c r="AD4529" i="1"/>
  <c r="AD4530" i="1"/>
  <c r="AD4531" i="1"/>
  <c r="AD4532" i="1"/>
  <c r="AD4533" i="1"/>
  <c r="AD4534" i="1"/>
  <c r="AD4535" i="1"/>
  <c r="AD4536" i="1"/>
  <c r="AD4537" i="1"/>
  <c r="AD4538" i="1"/>
  <c r="AD4539" i="1"/>
  <c r="AD4540" i="1"/>
  <c r="AD4541" i="1"/>
  <c r="AD4542" i="1"/>
  <c r="AD4543" i="1"/>
  <c r="AD4544" i="1"/>
  <c r="AD4545" i="1"/>
  <c r="AD4546" i="1"/>
  <c r="AD4547" i="1"/>
  <c r="AD4548" i="1"/>
  <c r="AD4549" i="1"/>
  <c r="AD4550" i="1"/>
  <c r="AD4551" i="1"/>
  <c r="AD4552" i="1"/>
  <c r="AD4553" i="1"/>
  <c r="AD4554" i="1"/>
  <c r="AD4555" i="1"/>
  <c r="AD4556" i="1"/>
  <c r="AD4557" i="1"/>
  <c r="AD4558" i="1"/>
  <c r="AD4559" i="1"/>
  <c r="AD4560" i="1"/>
  <c r="AD4561" i="1"/>
  <c r="AD4562" i="1"/>
  <c r="AD4563" i="1"/>
  <c r="AD4564" i="1"/>
  <c r="AD4565" i="1"/>
  <c r="AD4566" i="1"/>
  <c r="AD4567" i="1"/>
  <c r="AD4568" i="1"/>
  <c r="AD4569" i="1"/>
  <c r="AD4570" i="1"/>
  <c r="AD4571" i="1"/>
  <c r="AD4572" i="1"/>
  <c r="AD4573" i="1"/>
  <c r="AD4574" i="1"/>
  <c r="AD4575" i="1"/>
  <c r="AD4576" i="1"/>
  <c r="AD4577" i="1"/>
  <c r="AD4578" i="1"/>
  <c r="AD4579" i="1"/>
  <c r="AD4580" i="1"/>
  <c r="AD4581" i="1"/>
  <c r="AD4582" i="1"/>
  <c r="AD4583" i="1"/>
  <c r="AD4584" i="1"/>
  <c r="AD4585" i="1"/>
  <c r="AD4586" i="1"/>
  <c r="AD4587" i="1"/>
  <c r="AD4588" i="1"/>
  <c r="AD4589" i="1"/>
  <c r="AD4590" i="1"/>
  <c r="AD4591" i="1"/>
  <c r="AD4592" i="1"/>
  <c r="AD4593" i="1"/>
  <c r="AD4594" i="1"/>
  <c r="AD4595" i="1"/>
  <c r="AD4596" i="1"/>
  <c r="AD4597" i="1"/>
  <c r="AD4598" i="1"/>
  <c r="AD4599" i="1"/>
  <c r="AD4600" i="1"/>
  <c r="AD4601" i="1"/>
  <c r="AD4602" i="1"/>
  <c r="AD4603" i="1"/>
  <c r="AD4604" i="1"/>
  <c r="AD4605" i="1"/>
  <c r="AD4606" i="1"/>
  <c r="AD4607" i="1"/>
  <c r="AD4608" i="1"/>
  <c r="AD4609" i="1"/>
  <c r="AD4610" i="1"/>
  <c r="AD4611" i="1"/>
  <c r="AD4612" i="1"/>
  <c r="AD4613" i="1"/>
  <c r="AD4614" i="1"/>
  <c r="AD4615" i="1"/>
  <c r="AD4616" i="1"/>
  <c r="AD4617" i="1"/>
  <c r="AD4618" i="1"/>
  <c r="AD4619" i="1"/>
  <c r="AD4620" i="1"/>
  <c r="AD4621" i="1"/>
  <c r="AD4622" i="1"/>
  <c r="AD4623" i="1"/>
  <c r="AD4624" i="1"/>
  <c r="AD4625" i="1"/>
  <c r="AD4626" i="1"/>
  <c r="AD4627" i="1"/>
  <c r="AD4628" i="1"/>
  <c r="AD4629" i="1"/>
  <c r="AD4630" i="1"/>
  <c r="AD4631" i="1"/>
  <c r="AD4632" i="1"/>
  <c r="AD4633" i="1"/>
  <c r="AD4634" i="1"/>
  <c r="AD4635" i="1"/>
  <c r="AD4636" i="1"/>
  <c r="AD4637" i="1"/>
  <c r="AD4638" i="1"/>
  <c r="AD4639" i="1"/>
  <c r="AD4640" i="1"/>
  <c r="AD4641" i="1"/>
  <c r="AD4642" i="1"/>
  <c r="AD4643" i="1"/>
  <c r="AD4644" i="1"/>
  <c r="AD4645" i="1"/>
  <c r="AD4646" i="1"/>
  <c r="AD4647" i="1"/>
  <c r="AD4648" i="1"/>
  <c r="AD4649" i="1"/>
  <c r="AD4650" i="1"/>
  <c r="AD4651" i="1"/>
  <c r="AD4652" i="1"/>
  <c r="AD4653" i="1"/>
  <c r="AD4654" i="1"/>
  <c r="AD4655" i="1"/>
  <c r="AD4656" i="1"/>
  <c r="AD4657" i="1"/>
  <c r="AD4658" i="1"/>
  <c r="AD4659" i="1"/>
  <c r="AD4660" i="1"/>
  <c r="AD4661" i="1"/>
  <c r="AD4662" i="1"/>
  <c r="AD4663" i="1"/>
  <c r="AD4664" i="1"/>
  <c r="AD4665" i="1"/>
  <c r="AD4666" i="1"/>
  <c r="AD4667" i="1"/>
  <c r="AD4668" i="1"/>
  <c r="AD4669" i="1"/>
  <c r="AD4670" i="1"/>
  <c r="AD4671" i="1"/>
  <c r="AD4672" i="1"/>
  <c r="AD4673" i="1"/>
  <c r="AD4674" i="1"/>
  <c r="AD4675" i="1"/>
  <c r="AD4676" i="1"/>
  <c r="AD4677" i="1"/>
  <c r="AD4678" i="1"/>
  <c r="AD4679" i="1"/>
  <c r="AD4680" i="1"/>
  <c r="AD4681" i="1"/>
  <c r="AD4682" i="1"/>
  <c r="AD4683" i="1"/>
  <c r="AD4684" i="1"/>
  <c r="AD4685" i="1"/>
  <c r="AD4686" i="1"/>
  <c r="AD4687" i="1"/>
  <c r="AD4688" i="1"/>
  <c r="AD4689" i="1"/>
  <c r="AD4690" i="1"/>
  <c r="AD4691" i="1"/>
  <c r="AD4692" i="1"/>
  <c r="AD4693" i="1"/>
  <c r="AD4694" i="1"/>
  <c r="AD4695" i="1"/>
  <c r="AD4696" i="1"/>
  <c r="AD4697" i="1"/>
  <c r="AD4698" i="1"/>
  <c r="AD4699" i="1"/>
  <c r="AD4700" i="1"/>
  <c r="AD4701" i="1"/>
  <c r="AD4702" i="1"/>
  <c r="AD4703" i="1"/>
  <c r="AD4704" i="1"/>
  <c r="AD4705" i="1"/>
  <c r="AD4706" i="1"/>
  <c r="AD4707" i="1"/>
  <c r="AD4708" i="1"/>
  <c r="AD4709" i="1"/>
  <c r="AD4710" i="1"/>
  <c r="AD4711" i="1"/>
  <c r="AD4712" i="1"/>
  <c r="AD4713" i="1"/>
  <c r="AD4714" i="1"/>
  <c r="AD4715" i="1"/>
  <c r="AD4716" i="1"/>
  <c r="AD4717" i="1"/>
  <c r="AD4718" i="1"/>
  <c r="AD4719" i="1"/>
  <c r="AD4720" i="1"/>
  <c r="AD4721" i="1"/>
  <c r="AD4722" i="1"/>
  <c r="AD4723" i="1"/>
  <c r="AD4724" i="1"/>
  <c r="AD4725" i="1"/>
  <c r="AD4726" i="1"/>
  <c r="AD4727" i="1"/>
  <c r="AD4728" i="1"/>
  <c r="AD4729" i="1"/>
  <c r="AD4730" i="1"/>
  <c r="AD4731" i="1"/>
  <c r="AD4732" i="1"/>
  <c r="AD4733" i="1"/>
  <c r="AD4734" i="1"/>
  <c r="AD4735" i="1"/>
  <c r="AD4736" i="1"/>
  <c r="AD4737" i="1"/>
  <c r="AD4738" i="1"/>
  <c r="AD4739" i="1"/>
  <c r="AD4740" i="1"/>
  <c r="AD4741" i="1"/>
  <c r="AD4742" i="1"/>
  <c r="AD4743" i="1"/>
  <c r="AD4744" i="1"/>
  <c r="AD4745" i="1"/>
  <c r="AD4746" i="1"/>
  <c r="AD4747" i="1"/>
  <c r="AD4748" i="1"/>
  <c r="AD4749" i="1"/>
  <c r="AD4750" i="1"/>
  <c r="AD4751" i="1"/>
  <c r="AD4752" i="1"/>
  <c r="AD4753" i="1"/>
  <c r="AD4754" i="1"/>
  <c r="AD4755" i="1"/>
  <c r="AD4756" i="1"/>
  <c r="AD4757" i="1"/>
  <c r="AD4758" i="1"/>
  <c r="AD4759" i="1"/>
  <c r="AD4760" i="1"/>
  <c r="AD4761" i="1"/>
  <c r="AD4762" i="1"/>
  <c r="AD4763" i="1"/>
  <c r="AD4764" i="1"/>
  <c r="AD4765" i="1"/>
  <c r="AD4766" i="1"/>
  <c r="AD4767" i="1"/>
  <c r="AD4768" i="1"/>
  <c r="AD4769" i="1"/>
  <c r="AD4770" i="1"/>
  <c r="AD4771" i="1"/>
  <c r="AD4772" i="1"/>
  <c r="AD4773" i="1"/>
  <c r="AD4774" i="1"/>
  <c r="AD4775" i="1"/>
  <c r="AD4776" i="1"/>
  <c r="AD4777" i="1"/>
  <c r="AD4778" i="1"/>
  <c r="AD4779" i="1"/>
  <c r="AD4780" i="1"/>
  <c r="AD4781" i="1"/>
  <c r="AD4782" i="1"/>
  <c r="AD4783" i="1"/>
  <c r="AD4784" i="1"/>
  <c r="AD4785" i="1"/>
  <c r="AD4786" i="1"/>
  <c r="AD4787" i="1"/>
  <c r="AD4788" i="1"/>
  <c r="AD4789" i="1"/>
  <c r="AD4790" i="1"/>
  <c r="AD4791" i="1"/>
  <c r="AD4792" i="1"/>
  <c r="AD4793" i="1"/>
  <c r="AD4794" i="1"/>
  <c r="AD4795" i="1"/>
  <c r="AD4796" i="1"/>
  <c r="AD4797" i="1"/>
  <c r="AD4798" i="1"/>
  <c r="AD4799" i="1"/>
  <c r="AD4800" i="1"/>
  <c r="AD4801" i="1"/>
  <c r="AD4802" i="1"/>
  <c r="AD4803" i="1"/>
  <c r="AD4804" i="1"/>
  <c r="AD4805" i="1"/>
  <c r="AD4806" i="1"/>
  <c r="AD4807" i="1"/>
  <c r="AD4808" i="1"/>
  <c r="AD4809" i="1"/>
  <c r="AD4810" i="1"/>
  <c r="AD4811" i="1"/>
  <c r="AD4812" i="1"/>
  <c r="AD4813" i="1"/>
  <c r="AD4814" i="1"/>
  <c r="AD4815" i="1"/>
  <c r="AD4816" i="1"/>
  <c r="AD4817" i="1"/>
  <c r="AD4818" i="1"/>
  <c r="AD4819" i="1"/>
  <c r="AD4820" i="1"/>
  <c r="AD4821" i="1"/>
  <c r="AD4822" i="1"/>
  <c r="AD4823" i="1"/>
  <c r="AD4824" i="1"/>
  <c r="AD4825" i="1"/>
  <c r="AD4826" i="1"/>
  <c r="AD4827" i="1"/>
  <c r="AD4828" i="1"/>
  <c r="AD4829" i="1"/>
  <c r="AD4830" i="1"/>
  <c r="AD4831" i="1"/>
  <c r="AD4832" i="1"/>
  <c r="AD4833" i="1"/>
  <c r="AD4834" i="1"/>
  <c r="AD4835" i="1"/>
  <c r="AD4836" i="1"/>
  <c r="AD4837" i="1"/>
  <c r="AD4838" i="1"/>
  <c r="AD4839" i="1"/>
  <c r="AD4840" i="1"/>
  <c r="AD4841" i="1"/>
  <c r="AD4842" i="1"/>
  <c r="AD4843" i="1"/>
  <c r="AD4844" i="1"/>
  <c r="AD4845" i="1"/>
  <c r="AD4846" i="1"/>
  <c r="AD4847" i="1"/>
  <c r="AD4848" i="1"/>
  <c r="AD4849" i="1"/>
  <c r="AD4850" i="1"/>
  <c r="AD4851" i="1"/>
  <c r="AD4852" i="1"/>
  <c r="AD4853" i="1"/>
  <c r="AD4854" i="1"/>
  <c r="AD4855" i="1"/>
  <c r="AD4856" i="1"/>
  <c r="AD4857" i="1"/>
  <c r="AD4858" i="1"/>
  <c r="AD4859" i="1"/>
  <c r="AD4860" i="1"/>
  <c r="AD4861" i="1"/>
  <c r="AD4862" i="1"/>
  <c r="AD4863" i="1"/>
  <c r="AD4864" i="1"/>
  <c r="AD4865" i="1"/>
  <c r="AD4866" i="1"/>
  <c r="AD4867" i="1"/>
  <c r="AD4868" i="1"/>
  <c r="AD4869" i="1"/>
  <c r="AD4870" i="1"/>
  <c r="AD4871" i="1"/>
  <c r="AD4872" i="1"/>
  <c r="AD4873" i="1"/>
  <c r="AD4874" i="1"/>
  <c r="AD4875" i="1"/>
  <c r="AD4876" i="1"/>
  <c r="AD4877" i="1"/>
  <c r="AD4878" i="1"/>
  <c r="AD4879" i="1"/>
  <c r="AD4880" i="1"/>
  <c r="AD4881" i="1"/>
  <c r="AD4882" i="1"/>
  <c r="AD4883" i="1"/>
  <c r="AD4884" i="1"/>
  <c r="AD4885" i="1"/>
  <c r="AD4886" i="1"/>
  <c r="AD4887" i="1"/>
  <c r="AD4888" i="1"/>
  <c r="AD4889" i="1"/>
  <c r="AD4890" i="1"/>
  <c r="AD4891" i="1"/>
  <c r="AD4892" i="1"/>
  <c r="AD4893" i="1"/>
  <c r="AD4894" i="1"/>
  <c r="AD4895" i="1"/>
  <c r="AD4896" i="1"/>
  <c r="AD4897" i="1"/>
  <c r="AD4898" i="1"/>
  <c r="AD4899" i="1"/>
  <c r="AD4900" i="1"/>
  <c r="AD4901" i="1"/>
  <c r="AD4902" i="1"/>
  <c r="AD4903" i="1"/>
  <c r="AD4904" i="1"/>
  <c r="AD4905" i="1"/>
  <c r="AD4906" i="1"/>
  <c r="AD4907" i="1"/>
  <c r="AD4908" i="1"/>
  <c r="AD4909" i="1"/>
  <c r="AD4910" i="1"/>
  <c r="AD4911" i="1"/>
  <c r="AD4912" i="1"/>
  <c r="AD4913" i="1"/>
  <c r="AD4914" i="1"/>
  <c r="AD4915" i="1"/>
  <c r="AD4916" i="1"/>
  <c r="AD4917" i="1"/>
  <c r="AD4918" i="1"/>
  <c r="AD4919" i="1"/>
  <c r="AD4920" i="1"/>
  <c r="AD4921" i="1"/>
  <c r="AD4922" i="1"/>
  <c r="AD4923" i="1"/>
  <c r="AD4924" i="1"/>
  <c r="AD4925" i="1"/>
  <c r="AD4926" i="1"/>
  <c r="AD4927" i="1"/>
  <c r="AD4928" i="1"/>
  <c r="AD4929" i="1"/>
  <c r="AD4930" i="1"/>
  <c r="AD4931" i="1"/>
  <c r="AD4932" i="1"/>
  <c r="AD4933" i="1"/>
  <c r="AD4934" i="1"/>
  <c r="AD4935" i="1"/>
  <c r="AD4936" i="1"/>
  <c r="AD4937" i="1"/>
  <c r="AD4938" i="1"/>
  <c r="AD4939" i="1"/>
  <c r="AD4940" i="1"/>
  <c r="AD4941" i="1"/>
  <c r="AD4942" i="1"/>
  <c r="AD4943" i="1"/>
  <c r="AD4944" i="1"/>
  <c r="AD4945" i="1"/>
  <c r="AD4946" i="1"/>
  <c r="AD4947" i="1"/>
  <c r="AD4948" i="1"/>
  <c r="AD4949" i="1"/>
  <c r="AD4950" i="1"/>
  <c r="AD4951" i="1"/>
  <c r="AD4952" i="1"/>
  <c r="AD4953" i="1"/>
  <c r="AD4954" i="1"/>
  <c r="AD4955" i="1"/>
  <c r="AD4956" i="1"/>
  <c r="AD4957" i="1"/>
  <c r="AD4958" i="1"/>
  <c r="AD4959" i="1"/>
  <c r="AD4960" i="1"/>
  <c r="AD4961" i="1"/>
  <c r="AD4962" i="1"/>
  <c r="AD4963" i="1"/>
  <c r="AD4964" i="1"/>
  <c r="AD4965" i="1"/>
  <c r="AD4966" i="1"/>
  <c r="AD4967" i="1"/>
  <c r="AD4968" i="1"/>
  <c r="AD4969" i="1"/>
  <c r="AD4970" i="1"/>
  <c r="AD4971" i="1"/>
  <c r="AD4972" i="1"/>
  <c r="AD4973" i="1"/>
  <c r="AD4974" i="1"/>
  <c r="AD4975" i="1"/>
  <c r="AD4976" i="1"/>
  <c r="AD4977" i="1"/>
  <c r="AD4978" i="1"/>
  <c r="AD4979" i="1"/>
  <c r="AD4980" i="1"/>
  <c r="AD4981" i="1"/>
  <c r="AD4982" i="1"/>
  <c r="AD4983" i="1"/>
  <c r="AD4984" i="1"/>
  <c r="AD4985" i="1"/>
  <c r="AD4986" i="1"/>
  <c r="AD4987" i="1"/>
  <c r="AD4988" i="1"/>
  <c r="AD4989" i="1"/>
  <c r="AD4990" i="1"/>
  <c r="AD4991" i="1"/>
  <c r="AD4992" i="1"/>
  <c r="AD4993" i="1"/>
  <c r="AD4994" i="1"/>
  <c r="AD4995" i="1"/>
  <c r="AD4996" i="1"/>
  <c r="AD4997" i="1"/>
  <c r="AD4998" i="1"/>
  <c r="AD4999" i="1"/>
  <c r="AD5000" i="1"/>
  <c r="AD5001" i="1"/>
  <c r="AD2" i="1"/>
  <c r="AC2" i="1"/>
  <c r="AB2" i="1"/>
  <c r="AA2" i="1"/>
</calcChain>
</file>

<file path=xl/sharedStrings.xml><?xml version="1.0" encoding="utf-8"?>
<sst xmlns="http://schemas.openxmlformats.org/spreadsheetml/2006/main" count="70031" uniqueCount="9907">
  <si>
    <t>Order_ID</t>
  </si>
  <si>
    <t>Order_Date</t>
  </si>
  <si>
    <t>Ship_Date</t>
  </si>
  <si>
    <t>Customer_ID</t>
  </si>
  <si>
    <t>Customer_Name</t>
  </si>
  <si>
    <t>Segment</t>
  </si>
  <si>
    <t>Country</t>
  </si>
  <si>
    <t>City</t>
  </si>
  <si>
    <t>Region</t>
  </si>
  <si>
    <t>Category</t>
  </si>
  <si>
    <t>Sub_Category</t>
  </si>
  <si>
    <t>Product_Name</t>
  </si>
  <si>
    <t>Sales</t>
  </si>
  <si>
    <t>Quantity</t>
  </si>
  <si>
    <t>Discount</t>
  </si>
  <si>
    <t>Profit</t>
  </si>
  <si>
    <t>Payment_Mode</t>
  </si>
  <si>
    <t>Delivery_Days</t>
  </si>
  <si>
    <t>Profit_Margin</t>
  </si>
  <si>
    <t>Revenue_Per_Unit</t>
  </si>
  <si>
    <t>Order_Month</t>
  </si>
  <si>
    <t>Order_Year</t>
  </si>
  <si>
    <t>Quarter</t>
  </si>
  <si>
    <t>Is_Loss_Order</t>
  </si>
  <si>
    <t>Discount_Category</t>
  </si>
  <si>
    <t>High_Value_Order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</si>
  <si>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</si>
  <si>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</si>
  <si>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</si>
  <si>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</si>
  <si>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</si>
  <si>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</si>
  <si>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</si>
  <si>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</si>
  <si>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</si>
  <si>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</si>
  <si>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</si>
  <si>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</si>
  <si>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</si>
  <si>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</si>
  <si>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</si>
  <si>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</si>
  <si>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</si>
  <si>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</si>
  <si>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</si>
  <si>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</si>
  <si>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</si>
  <si>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</si>
  <si>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</si>
  <si>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</si>
  <si>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</si>
  <si>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</si>
  <si>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</si>
  <si>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</si>
  <si>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</si>
  <si>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</si>
  <si>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</si>
  <si>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</si>
  <si>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</si>
  <si>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</si>
  <si>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</si>
  <si>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</si>
  <si>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</si>
  <si>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</si>
  <si>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</si>
  <si>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</si>
  <si>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</si>
  <si>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</si>
  <si>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</si>
  <si>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</si>
  <si>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</si>
  <si>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</si>
  <si>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</si>
  <si>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</si>
  <si>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</si>
  <si>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</si>
  <si>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</si>
  <si>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</si>
  <si>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</si>
  <si>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</si>
  <si>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</si>
  <si>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</si>
  <si>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</si>
  <si>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</si>
  <si>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</si>
  <si>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</si>
  <si>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</si>
  <si>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</si>
  <si>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</si>
  <si>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</si>
  <si>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</si>
  <si>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</si>
  <si>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</si>
  <si>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</si>
  <si>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</si>
  <si>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</si>
  <si>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</si>
  <si>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</si>
  <si>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</si>
  <si>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</si>
  <si>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</si>
  <si>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</si>
  <si>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</si>
  <si>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</si>
  <si>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</si>
  <si>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</si>
  <si>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</si>
  <si>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</si>
  <si>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</si>
  <si>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</si>
  <si>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</si>
  <si>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</si>
  <si>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</si>
  <si>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</si>
  <si>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</si>
  <si>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</si>
  <si>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</si>
  <si>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</si>
  <si>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</si>
  <si>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</si>
  <si>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</si>
  <si>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</si>
  <si>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</si>
  <si>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</si>
  <si>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</si>
  <si>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</si>
  <si>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</si>
  <si>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</si>
  <si>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</si>
  <si>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</si>
  <si>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</si>
  <si>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</si>
  <si>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</si>
  <si>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</si>
  <si>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</si>
  <si>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</si>
  <si>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</si>
  <si>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</si>
  <si>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</si>
  <si>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</si>
  <si>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</si>
  <si>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</si>
  <si>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</si>
  <si>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</si>
  <si>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</si>
  <si>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</si>
  <si>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</si>
  <si>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</si>
  <si>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</si>
  <si>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</si>
  <si>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</si>
  <si>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</si>
  <si>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</si>
  <si>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</si>
  <si>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</si>
  <si>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</si>
  <si>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</si>
  <si>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</si>
  <si>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</si>
  <si>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</si>
  <si>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</si>
  <si>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</si>
  <si>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</si>
  <si>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</si>
  <si>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</si>
  <si>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</si>
  <si>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</si>
  <si>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</si>
  <si>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</si>
  <si>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</si>
  <si>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</si>
  <si>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</si>
  <si>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</si>
  <si>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</si>
  <si>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</si>
  <si>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</si>
  <si>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</si>
  <si>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</si>
  <si>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</si>
  <si>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</si>
  <si>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</si>
  <si>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</si>
  <si>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</si>
  <si>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</si>
  <si>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</si>
  <si>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</si>
  <si>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</si>
  <si>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</si>
  <si>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</si>
  <si>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</si>
  <si>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</si>
  <si>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</si>
  <si>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</si>
  <si>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</si>
  <si>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</si>
  <si>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</si>
  <si>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</si>
  <si>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</si>
  <si>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</si>
  <si>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</si>
  <si>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</si>
  <si>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</si>
  <si>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</si>
  <si>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</si>
  <si>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</si>
  <si>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</si>
  <si>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</si>
  <si>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</si>
  <si>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</si>
  <si>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</si>
  <si>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</si>
  <si>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</si>
  <si>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</si>
  <si>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</si>
  <si>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</si>
  <si>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</si>
  <si>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</si>
  <si>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</si>
  <si>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</si>
  <si>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</si>
  <si>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</si>
  <si>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</si>
  <si>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</si>
  <si>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</si>
  <si>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</si>
  <si>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</si>
  <si>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</si>
  <si>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</si>
  <si>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</si>
  <si>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</si>
  <si>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</si>
  <si>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</si>
  <si>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</si>
  <si>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</si>
  <si>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</si>
  <si>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</si>
  <si>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</si>
  <si>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</si>
  <si>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</si>
  <si>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</si>
  <si>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</si>
  <si>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</si>
  <si>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</si>
  <si>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</si>
  <si>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</si>
  <si>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</si>
  <si>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</si>
  <si>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</si>
  <si>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</si>
  <si>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</si>
  <si>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</si>
  <si>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</si>
  <si>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</si>
  <si>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</si>
  <si>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</si>
  <si>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</si>
  <si>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</si>
  <si>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</si>
  <si>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</si>
  <si>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</si>
  <si>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</si>
  <si>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</si>
  <si>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</si>
  <si>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</si>
  <si>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</si>
  <si>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</si>
  <si>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</si>
  <si>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</si>
  <si>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</si>
  <si>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</si>
  <si>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</si>
  <si>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</si>
  <si>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</si>
  <si>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</si>
  <si>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</si>
  <si>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</si>
  <si>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</si>
  <si>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</si>
  <si>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</si>
  <si>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</si>
  <si>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</si>
  <si>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</si>
  <si>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</si>
  <si>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</si>
  <si>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</si>
  <si>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</si>
  <si>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</si>
  <si>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</si>
  <si>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</si>
  <si>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</si>
  <si>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</si>
  <si>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</si>
  <si>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</si>
  <si>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</si>
  <si>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</si>
  <si>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</si>
  <si>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</si>
  <si>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</si>
  <si>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</si>
  <si>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</si>
  <si>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</si>
  <si>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</si>
  <si>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</si>
  <si>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</si>
  <si>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</si>
  <si>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</si>
  <si>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</si>
  <si>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</si>
  <si>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</si>
  <si>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</si>
  <si>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</si>
  <si>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</si>
  <si>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</si>
  <si>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</si>
  <si>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</si>
  <si>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</si>
  <si>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</si>
  <si>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</si>
  <si>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</si>
  <si>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</si>
  <si>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</si>
  <si>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</si>
  <si>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</si>
  <si>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</si>
  <si>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</si>
  <si>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</si>
  <si>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</si>
  <si>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</si>
  <si>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</si>
  <si>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</si>
  <si>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</si>
  <si>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</si>
  <si>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</si>
  <si>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</si>
  <si>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</si>
  <si>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</si>
  <si>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</si>
  <si>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</si>
  <si>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</si>
  <si>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</si>
  <si>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</si>
  <si>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</si>
  <si>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</si>
  <si>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</si>
  <si>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</si>
  <si>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</si>
  <si>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</si>
  <si>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</si>
  <si>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</si>
  <si>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</si>
  <si>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</si>
  <si>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</si>
  <si>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</si>
  <si>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</si>
  <si>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</si>
  <si>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</si>
  <si>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</si>
  <si>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</si>
  <si>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</si>
  <si>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</si>
  <si>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</si>
  <si>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</si>
  <si>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</si>
  <si>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</si>
  <si>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</si>
  <si>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</si>
  <si>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</si>
  <si>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</si>
  <si>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</si>
  <si>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</si>
  <si>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</si>
  <si>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</si>
  <si>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</si>
  <si>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</si>
  <si>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</si>
  <si>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</si>
  <si>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</si>
  <si>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</si>
  <si>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</si>
  <si>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</si>
  <si>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</si>
  <si>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</si>
  <si>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</si>
  <si>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</si>
  <si>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</si>
  <si>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</si>
  <si>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</si>
  <si>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</si>
  <si>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</si>
  <si>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</si>
  <si>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</si>
  <si>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</si>
  <si>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</si>
  <si>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</si>
  <si>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</si>
  <si>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</si>
  <si>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</si>
  <si>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</si>
  <si>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</si>
  <si>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</si>
  <si>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</si>
  <si>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</si>
  <si>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</si>
  <si>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</si>
  <si>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</si>
  <si>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</si>
  <si>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</si>
  <si>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</si>
  <si>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</si>
  <si>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</si>
  <si>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</si>
  <si>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</si>
  <si>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</si>
  <si>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</si>
  <si>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</si>
  <si>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</si>
  <si>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</si>
  <si>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</si>
  <si>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</si>
  <si>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</si>
  <si>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</si>
  <si>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</si>
  <si>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</si>
  <si>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</si>
  <si>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</si>
  <si>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</si>
  <si>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</si>
  <si>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</si>
  <si>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</si>
  <si>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</si>
  <si>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</si>
  <si>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</si>
  <si>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</si>
  <si>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</si>
  <si>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</si>
  <si>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</si>
  <si>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</si>
  <si>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</si>
  <si>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</si>
  <si>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</si>
  <si>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</si>
  <si>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</si>
  <si>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</si>
  <si>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</si>
  <si>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</si>
  <si>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</si>
  <si>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</si>
  <si>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</si>
  <si>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</si>
  <si>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</si>
  <si>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</si>
  <si>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</si>
  <si>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</si>
  <si>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</si>
  <si>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</si>
  <si>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</si>
  <si>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</si>
  <si>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</si>
  <si>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</si>
  <si>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</si>
  <si>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</si>
  <si>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</si>
  <si>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</si>
  <si>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</si>
  <si>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</si>
  <si>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</si>
  <si>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</si>
  <si>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</si>
  <si>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</si>
  <si>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</si>
  <si>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</si>
  <si>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</si>
  <si>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</si>
  <si>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</si>
  <si>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</si>
  <si>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</si>
  <si>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</si>
  <si>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</si>
  <si>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</si>
  <si>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</si>
  <si>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</si>
  <si>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</si>
  <si>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</si>
  <si>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</si>
  <si>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</si>
  <si>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</si>
  <si>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</si>
  <si>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</si>
  <si>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</si>
  <si>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</si>
  <si>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</si>
  <si>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</si>
  <si>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</si>
  <si>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</si>
  <si>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</si>
  <si>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</si>
  <si>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</si>
  <si>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</si>
  <si>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</si>
  <si>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</si>
  <si>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</si>
  <si>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</si>
  <si>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</si>
  <si>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</si>
  <si>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</si>
  <si>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</si>
  <si>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</si>
  <si>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</si>
  <si>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</si>
  <si>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</si>
  <si>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</si>
  <si>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</si>
  <si>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</si>
  <si>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</si>
  <si>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</si>
  <si>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</si>
  <si>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</si>
  <si>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</si>
  <si>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</si>
  <si>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</si>
  <si>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</si>
  <si>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</si>
  <si>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</si>
  <si>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</si>
  <si>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</si>
  <si>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</si>
  <si>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</si>
  <si>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</si>
  <si>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</si>
  <si>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</si>
  <si>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</si>
  <si>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</si>
  <si>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</si>
  <si>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</si>
  <si>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</si>
  <si>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</si>
  <si>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</si>
  <si>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</si>
  <si>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</si>
  <si>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</si>
  <si>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</si>
  <si>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</si>
  <si>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</si>
  <si>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</si>
  <si>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</si>
  <si>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</si>
  <si>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</si>
  <si>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</si>
  <si>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</si>
  <si>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</si>
  <si>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</si>
  <si>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</si>
  <si>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</si>
  <si>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</si>
  <si>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</si>
  <si>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</si>
  <si>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</si>
  <si>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</si>
  <si>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</si>
  <si>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</si>
  <si>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</si>
  <si>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</si>
  <si>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</si>
  <si>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</si>
  <si>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</si>
  <si>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</si>
  <si>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</si>
  <si>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</si>
  <si>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</si>
  <si>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</si>
  <si>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</si>
  <si>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</si>
  <si>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</si>
  <si>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</si>
  <si>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</si>
  <si>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</si>
  <si>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</si>
  <si>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</si>
  <si>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</si>
  <si>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</si>
  <si>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</si>
  <si>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</si>
  <si>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</si>
  <si>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</si>
  <si>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</si>
  <si>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</si>
  <si>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</si>
  <si>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</si>
  <si>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</si>
  <si>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</si>
  <si>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</si>
  <si>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</si>
  <si>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</si>
  <si>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</si>
  <si>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</si>
  <si>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</si>
  <si>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</si>
  <si>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</si>
  <si>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</si>
  <si>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</si>
  <si>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</si>
  <si>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</si>
  <si>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</si>
  <si>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</si>
  <si>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</si>
  <si>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</si>
  <si>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</si>
  <si>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</si>
  <si>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</si>
  <si>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</si>
  <si>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</si>
  <si>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</si>
  <si>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</si>
  <si>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</si>
  <si>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</si>
  <si>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</si>
  <si>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</si>
  <si>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</si>
  <si>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</si>
  <si>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</si>
  <si>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</si>
  <si>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</si>
  <si>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</si>
  <si>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</si>
  <si>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</si>
  <si>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</si>
  <si>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</si>
  <si>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</si>
  <si>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</si>
  <si>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</si>
  <si>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</si>
  <si>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</si>
  <si>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</si>
  <si>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</si>
  <si>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</si>
  <si>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</si>
  <si>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</si>
  <si>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</si>
  <si>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</si>
  <si>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</si>
  <si>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</si>
  <si>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</si>
  <si>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</si>
  <si>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</si>
  <si>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</si>
  <si>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</si>
  <si>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</si>
  <si>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</si>
  <si>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</si>
  <si>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</si>
  <si>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</si>
  <si>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</si>
  <si>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</si>
  <si>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</si>
  <si>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</si>
  <si>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</si>
  <si>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</si>
  <si>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</si>
  <si>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</si>
  <si>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</si>
  <si>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</si>
  <si>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</si>
  <si>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</si>
  <si>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</si>
  <si>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</si>
  <si>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</si>
  <si>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</si>
  <si>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</si>
  <si>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</si>
  <si>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</si>
  <si>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</si>
  <si>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</si>
  <si>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</si>
  <si>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</si>
  <si>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</si>
  <si>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</si>
  <si>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</si>
  <si>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</si>
  <si>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</si>
  <si>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</si>
  <si>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</si>
  <si>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</si>
  <si>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</si>
  <si>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</si>
  <si>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</si>
  <si>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</si>
  <si>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</si>
  <si>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</si>
  <si>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</si>
  <si>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</si>
  <si>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</si>
  <si>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</si>
  <si>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</si>
  <si>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</si>
  <si>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</si>
  <si>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</si>
  <si>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</si>
  <si>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</si>
  <si>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</si>
  <si>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</si>
  <si>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</si>
  <si>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</si>
  <si>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</si>
  <si>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</si>
  <si>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</si>
  <si>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</si>
  <si>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</si>
  <si>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</si>
  <si>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</si>
  <si>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</si>
  <si>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</si>
  <si>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</si>
  <si>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</si>
  <si>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</si>
  <si>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</si>
  <si>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</si>
  <si>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</si>
  <si>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</si>
  <si>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</si>
  <si>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</si>
  <si>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</si>
  <si>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</si>
  <si>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</si>
  <si>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</si>
  <si>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</si>
  <si>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</si>
  <si>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</si>
  <si>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</si>
  <si>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</si>
  <si>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</si>
  <si>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</si>
  <si>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</si>
  <si>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</si>
  <si>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</si>
  <si>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</si>
  <si>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</si>
  <si>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</si>
  <si>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</si>
  <si>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</si>
  <si>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</si>
  <si>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</si>
  <si>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</si>
  <si>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</si>
  <si>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</si>
  <si>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</si>
  <si>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</si>
  <si>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</si>
  <si>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</si>
  <si>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</si>
  <si>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</si>
  <si>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</si>
  <si>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</si>
  <si>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</si>
  <si>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</si>
  <si>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</si>
  <si>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</si>
  <si>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</si>
  <si>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</si>
  <si>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</si>
  <si>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</si>
  <si>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</si>
  <si>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</si>
  <si>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</si>
  <si>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</si>
  <si>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</si>
  <si>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</si>
  <si>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</si>
  <si>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</si>
  <si>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</si>
  <si>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</si>
  <si>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</si>
  <si>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</si>
  <si>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</si>
  <si>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</si>
  <si>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</si>
  <si>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</si>
  <si>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</si>
  <si>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</si>
  <si>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</si>
  <si>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</si>
  <si>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</si>
  <si>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</si>
  <si>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</si>
  <si>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</si>
  <si>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</si>
  <si>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</si>
  <si>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</si>
  <si>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</si>
  <si>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</si>
  <si>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</si>
  <si>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</si>
  <si>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</si>
  <si>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</si>
  <si>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</si>
  <si>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</si>
  <si>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</si>
  <si>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</si>
  <si>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</si>
  <si>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</si>
  <si>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</si>
  <si>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</si>
  <si>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</si>
  <si>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</si>
  <si>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</si>
  <si>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</si>
  <si>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</si>
  <si>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</si>
  <si>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</si>
  <si>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</si>
  <si>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</si>
  <si>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</si>
  <si>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</si>
  <si>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</si>
  <si>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</si>
  <si>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</si>
  <si>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</si>
  <si>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</si>
  <si>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</si>
  <si>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</si>
  <si>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</si>
  <si>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</si>
  <si>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</si>
  <si>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</si>
  <si>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</si>
  <si>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</si>
  <si>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</si>
  <si>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</si>
  <si>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</si>
  <si>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</si>
  <si>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</si>
  <si>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</si>
  <si>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</si>
  <si>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</si>
  <si>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</si>
  <si>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</si>
  <si>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</si>
  <si>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</si>
  <si>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</si>
  <si>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</si>
  <si>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</si>
  <si>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</si>
  <si>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</si>
  <si>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</si>
  <si>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</si>
  <si>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</si>
  <si>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</si>
  <si>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</si>
  <si>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</si>
  <si>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</si>
  <si>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</si>
  <si>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</si>
  <si>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</si>
  <si>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</si>
  <si>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</si>
  <si>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</si>
  <si>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</si>
  <si>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</si>
  <si>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</si>
  <si>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</si>
  <si>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</si>
  <si>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</si>
  <si>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</si>
  <si>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</si>
  <si>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</si>
  <si>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</si>
  <si>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</si>
  <si>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</si>
  <si>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</si>
  <si>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</si>
  <si>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</si>
  <si>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</si>
  <si>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</si>
  <si>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</si>
  <si>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</si>
  <si>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</si>
  <si>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</si>
  <si>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</si>
  <si>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</si>
  <si>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</si>
  <si>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</si>
  <si>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</si>
  <si>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</si>
  <si>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</si>
  <si>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</si>
  <si>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</si>
  <si>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</si>
  <si>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</si>
  <si>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</si>
  <si>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</si>
  <si>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</si>
  <si>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</si>
  <si>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</si>
  <si>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</si>
  <si>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</si>
  <si>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</si>
  <si>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</si>
  <si>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</si>
  <si>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</si>
  <si>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</si>
  <si>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</si>
  <si>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</si>
  <si>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</si>
  <si>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</si>
  <si>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</si>
  <si>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</si>
  <si>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</si>
  <si>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</si>
  <si>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</si>
  <si>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</si>
  <si>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</si>
  <si>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</si>
  <si>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</si>
  <si>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</si>
  <si>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</si>
  <si>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</si>
  <si>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</si>
  <si>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</si>
  <si>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</si>
  <si>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</si>
  <si>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</si>
  <si>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</si>
  <si>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</si>
  <si>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</si>
  <si>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</si>
  <si>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</si>
  <si>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</si>
  <si>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</si>
  <si>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</si>
  <si>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</si>
  <si>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</si>
  <si>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</si>
  <si>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</si>
  <si>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</si>
  <si>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</si>
  <si>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</si>
  <si>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</si>
  <si>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</si>
  <si>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</si>
  <si>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</si>
  <si>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</si>
  <si>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</si>
  <si>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</si>
  <si>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</si>
  <si>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</si>
  <si>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</si>
  <si>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</si>
  <si>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</si>
  <si>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</si>
  <si>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</si>
  <si>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</si>
  <si>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</si>
  <si>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</si>
  <si>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</si>
  <si>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</si>
  <si>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</si>
  <si>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</si>
  <si>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</si>
  <si>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</si>
  <si>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</si>
  <si>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</si>
  <si>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</si>
  <si>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</si>
  <si>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</si>
  <si>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</si>
  <si>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</si>
  <si>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</si>
  <si>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</si>
  <si>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</si>
  <si>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</si>
  <si>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</si>
  <si>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</si>
  <si>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</si>
  <si>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</si>
  <si>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</si>
  <si>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</si>
  <si>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</si>
  <si>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</si>
  <si>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</si>
  <si>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</si>
  <si>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</si>
  <si>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</si>
  <si>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</si>
  <si>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</si>
  <si>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</si>
  <si>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</si>
  <si>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</si>
  <si>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</si>
  <si>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</si>
  <si>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</si>
  <si>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</si>
  <si>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</si>
  <si>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</si>
  <si>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</si>
  <si>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</si>
  <si>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</si>
  <si>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</si>
  <si>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</si>
  <si>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</si>
  <si>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</si>
  <si>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</si>
  <si>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</si>
  <si>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</si>
  <si>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</si>
  <si>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</si>
  <si>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</si>
  <si>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</si>
  <si>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</si>
  <si>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</si>
  <si>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</si>
  <si>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</si>
  <si>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</si>
  <si>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</si>
  <si>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</si>
  <si>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</si>
  <si>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</si>
  <si>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</si>
  <si>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</si>
  <si>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</si>
  <si>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</si>
  <si>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</si>
  <si>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</si>
  <si>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</si>
  <si>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</si>
  <si>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</si>
  <si>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</si>
  <si>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</si>
  <si>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</si>
  <si>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</si>
  <si>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</si>
  <si>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</si>
  <si>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</si>
  <si>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</si>
  <si>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</si>
  <si>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</si>
  <si>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</si>
  <si>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</si>
  <si>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</si>
  <si>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</si>
  <si>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</si>
  <si>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</si>
  <si>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</si>
  <si>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</si>
  <si>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</si>
  <si>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</si>
  <si>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</si>
  <si>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</si>
  <si>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</si>
  <si>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</si>
  <si>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</si>
  <si>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</si>
  <si>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</si>
  <si>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</si>
  <si>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</si>
  <si>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</si>
  <si>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</si>
  <si>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</si>
  <si>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</si>
  <si>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</si>
  <si>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</si>
  <si>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</si>
  <si>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</si>
  <si>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</si>
  <si>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</si>
  <si>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</si>
  <si>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</si>
  <si>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</si>
  <si>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</si>
  <si>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</si>
  <si>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</si>
  <si>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</si>
  <si>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</si>
  <si>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</si>
  <si>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</si>
  <si>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</si>
  <si>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</si>
  <si>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</si>
  <si>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</si>
  <si>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</si>
  <si>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</si>
  <si>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</si>
  <si>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</si>
  <si>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</si>
  <si>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</si>
  <si>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</si>
  <si>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</si>
  <si>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</si>
  <si>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</si>
  <si>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</si>
  <si>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</si>
  <si>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</si>
  <si>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</si>
  <si>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</si>
  <si>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</si>
  <si>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</si>
  <si>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</si>
  <si>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</si>
  <si>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</si>
  <si>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</si>
  <si>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</si>
  <si>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</si>
  <si>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</si>
  <si>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</si>
  <si>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</si>
  <si>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</si>
  <si>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</si>
  <si>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</si>
  <si>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</si>
  <si>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</si>
  <si>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</si>
  <si>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</si>
  <si>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</si>
  <si>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</si>
  <si>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</si>
  <si>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</si>
  <si>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</si>
  <si>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</si>
  <si>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</si>
  <si>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</si>
  <si>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</si>
  <si>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</si>
  <si>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</si>
  <si>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</si>
  <si>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</si>
  <si>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</si>
  <si>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</si>
  <si>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</si>
  <si>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</si>
  <si>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</si>
  <si>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</si>
  <si>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</si>
  <si>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</si>
  <si>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</si>
  <si>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</si>
  <si>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</si>
  <si>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</si>
  <si>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</si>
  <si>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</si>
  <si>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</si>
  <si>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</si>
  <si>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</si>
  <si>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</si>
  <si>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</si>
  <si>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</si>
  <si>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</si>
  <si>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</si>
  <si>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</si>
  <si>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</si>
  <si>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</si>
  <si>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</si>
  <si>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</si>
  <si>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</si>
  <si>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</si>
  <si>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</si>
  <si>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</si>
  <si>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</si>
  <si>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</si>
  <si>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</si>
  <si>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</si>
  <si>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</si>
  <si>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</si>
  <si>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</si>
  <si>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</si>
  <si>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</si>
  <si>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</si>
  <si>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</si>
  <si>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</si>
  <si>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</si>
  <si>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</si>
  <si>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</si>
  <si>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</si>
  <si>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</si>
  <si>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</si>
  <si>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</si>
  <si>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</si>
  <si>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</si>
  <si>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</si>
  <si>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</si>
  <si>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</si>
  <si>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</si>
  <si>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</si>
  <si>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</si>
  <si>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</si>
  <si>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</si>
  <si>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</si>
  <si>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</si>
  <si>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</si>
  <si>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</si>
  <si>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</si>
  <si>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</si>
  <si>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</si>
  <si>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</si>
  <si>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</si>
  <si>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</si>
  <si>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</si>
  <si>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</si>
  <si>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</si>
  <si>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</si>
  <si>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</si>
  <si>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</si>
  <si>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</si>
  <si>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</si>
  <si>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</si>
  <si>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</si>
  <si>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</si>
  <si>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</si>
  <si>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</si>
  <si>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</si>
  <si>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</si>
  <si>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</si>
  <si>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</si>
  <si>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</si>
  <si>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</si>
  <si>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</si>
  <si>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</si>
  <si>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</si>
  <si>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</si>
  <si>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</si>
  <si>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</si>
  <si>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</si>
  <si>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</si>
  <si>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</si>
  <si>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</si>
  <si>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</si>
  <si>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</si>
  <si>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</si>
  <si>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</si>
  <si>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</si>
  <si>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</si>
  <si>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</si>
  <si>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</si>
  <si>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</si>
  <si>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</si>
  <si>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</si>
  <si>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</si>
  <si>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</si>
  <si>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</si>
  <si>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</si>
  <si>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</si>
  <si>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</si>
  <si>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</si>
  <si>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</si>
  <si>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</si>
  <si>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</si>
  <si>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</si>
  <si>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</si>
  <si>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</si>
  <si>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</si>
  <si>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</si>
  <si>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</si>
  <si>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</si>
  <si>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</si>
  <si>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</si>
  <si>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</si>
  <si>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</si>
  <si>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</si>
  <si>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</si>
  <si>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</si>
  <si>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</si>
  <si>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</si>
  <si>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</si>
  <si>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</si>
  <si>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</si>
  <si>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</si>
  <si>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</si>
  <si>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</si>
  <si>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</si>
  <si>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</si>
  <si>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</si>
  <si>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</si>
  <si>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</si>
  <si>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</si>
  <si>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</si>
  <si>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</si>
  <si>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</si>
  <si>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</si>
  <si>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</si>
  <si>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</si>
  <si>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</si>
  <si>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</si>
  <si>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</si>
  <si>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</si>
  <si>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</si>
  <si>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</si>
  <si>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</si>
  <si>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</si>
  <si>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</si>
  <si>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</si>
  <si>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</si>
  <si>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</si>
  <si>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</si>
  <si>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</si>
  <si>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</si>
  <si>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</si>
  <si>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</si>
  <si>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</si>
  <si>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</si>
  <si>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</si>
  <si>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</si>
  <si>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</si>
  <si>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</si>
  <si>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</si>
  <si>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</si>
  <si>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</si>
  <si>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</si>
  <si>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</si>
  <si>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</si>
  <si>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</si>
  <si>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</si>
  <si>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</si>
  <si>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</si>
  <si>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</si>
  <si>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</si>
  <si>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</si>
  <si>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</si>
  <si>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</si>
  <si>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</si>
  <si>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</si>
  <si>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</si>
  <si>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</si>
  <si>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</si>
  <si>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</si>
  <si>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</si>
  <si>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</si>
  <si>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</si>
  <si>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</si>
  <si>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</si>
  <si>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</si>
  <si>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</si>
  <si>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</si>
  <si>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</si>
  <si>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</si>
  <si>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</si>
  <si>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</si>
  <si>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</si>
  <si>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</si>
  <si>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</si>
  <si>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</si>
  <si>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</si>
  <si>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</si>
  <si>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</si>
  <si>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</si>
  <si>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</si>
  <si>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</si>
  <si>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</si>
  <si>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</si>
  <si>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</si>
  <si>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</si>
  <si>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</si>
  <si>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</si>
  <si>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</si>
  <si>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</si>
  <si>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</si>
  <si>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</si>
  <si>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</si>
  <si>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</si>
  <si>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</si>
  <si>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</si>
  <si>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</si>
  <si>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</si>
  <si>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</si>
  <si>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</si>
  <si>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</si>
  <si>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</si>
  <si>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</si>
  <si>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</si>
  <si>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</si>
  <si>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</si>
  <si>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</si>
  <si>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</si>
  <si>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</si>
  <si>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</si>
  <si>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</si>
  <si>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</si>
  <si>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</si>
  <si>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</si>
  <si>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</si>
  <si>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</si>
  <si>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</si>
  <si>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</si>
  <si>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</si>
  <si>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</si>
  <si>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</si>
  <si>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</si>
  <si>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</si>
  <si>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</si>
  <si>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</si>
  <si>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</si>
  <si>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</si>
  <si>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</si>
  <si>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</si>
  <si>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</si>
  <si>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</si>
  <si>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</si>
  <si>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</si>
  <si>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</si>
  <si>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</si>
  <si>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</si>
  <si>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</si>
  <si>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</si>
  <si>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</si>
  <si>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</si>
  <si>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</si>
  <si>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</si>
  <si>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</si>
  <si>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</si>
  <si>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</si>
  <si>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</si>
  <si>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</si>
  <si>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</si>
  <si>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</si>
  <si>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</si>
  <si>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</si>
  <si>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</si>
  <si>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</si>
  <si>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</si>
  <si>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</si>
  <si>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</si>
  <si>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</si>
  <si>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</si>
  <si>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</si>
  <si>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</si>
  <si>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</si>
  <si>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</si>
  <si>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</si>
  <si>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</si>
  <si>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</si>
  <si>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</si>
  <si>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</si>
  <si>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</si>
  <si>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</si>
  <si>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</si>
  <si>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</si>
  <si>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</si>
  <si>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</si>
  <si>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</si>
  <si>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</si>
  <si>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</si>
  <si>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</si>
  <si>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</si>
  <si>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</si>
  <si>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</si>
  <si>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</si>
  <si>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</si>
  <si>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</si>
  <si>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</si>
  <si>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</si>
  <si>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</si>
  <si>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</si>
  <si>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</si>
  <si>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</si>
  <si>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</si>
  <si>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</si>
  <si>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</si>
  <si>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</si>
  <si>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</si>
  <si>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</si>
  <si>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</si>
  <si>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</si>
  <si>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</si>
  <si>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</si>
  <si>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</si>
  <si>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</si>
  <si>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</si>
  <si>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</si>
  <si>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</si>
  <si>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</si>
  <si>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</si>
  <si>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</si>
  <si>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</si>
  <si>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</si>
  <si>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</si>
  <si>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</si>
  <si>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</si>
  <si>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</si>
  <si>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</si>
  <si>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</si>
  <si>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</si>
  <si>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</si>
  <si>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</si>
  <si>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</si>
  <si>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</si>
  <si>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</si>
  <si>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</si>
  <si>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</si>
  <si>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</si>
  <si>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</si>
  <si>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</si>
  <si>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</si>
  <si>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</si>
  <si>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</si>
  <si>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</si>
  <si>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</si>
  <si>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</si>
  <si>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</si>
  <si>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</si>
  <si>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</si>
  <si>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</si>
  <si>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</si>
  <si>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</si>
  <si>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</si>
  <si>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</si>
  <si>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</si>
  <si>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</si>
  <si>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</si>
  <si>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</si>
  <si>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</si>
  <si>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</si>
  <si>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</si>
  <si>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</si>
  <si>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</si>
  <si>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</si>
  <si>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</si>
  <si>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</si>
  <si>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</si>
  <si>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</si>
  <si>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</si>
  <si>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</si>
  <si>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</si>
  <si>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</si>
  <si>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</si>
  <si>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</si>
  <si>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</si>
  <si>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</si>
  <si>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</si>
  <si>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</si>
  <si>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</si>
  <si>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</si>
  <si>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</si>
  <si>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</si>
  <si>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</si>
  <si>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</si>
  <si>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</si>
  <si>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</si>
  <si>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</si>
  <si>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</si>
  <si>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</si>
  <si>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</si>
  <si>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</si>
  <si>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</si>
  <si>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</si>
  <si>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</si>
  <si>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</si>
  <si>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</si>
  <si>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</si>
  <si>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</si>
  <si>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</si>
  <si>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</si>
  <si>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</si>
  <si>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</si>
  <si>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</si>
  <si>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</si>
  <si>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</si>
  <si>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</si>
  <si>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</si>
  <si>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</si>
  <si>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</si>
  <si>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</si>
  <si>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</si>
  <si>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</si>
  <si>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</si>
  <si>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</si>
  <si>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</si>
  <si>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</si>
  <si>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</si>
  <si>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</si>
  <si>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</si>
  <si>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</si>
  <si>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</si>
  <si>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</si>
  <si>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</si>
  <si>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</si>
  <si>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</si>
  <si>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</si>
  <si>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</si>
  <si>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</si>
  <si>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</si>
  <si>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</si>
  <si>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</si>
  <si>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</si>
  <si>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</si>
  <si>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</si>
  <si>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</si>
  <si>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</si>
  <si>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</si>
  <si>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</si>
  <si>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</si>
  <si>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</si>
  <si>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</si>
  <si>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</si>
  <si>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</si>
  <si>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</si>
  <si>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</si>
  <si>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</si>
  <si>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</si>
  <si>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</si>
  <si>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</si>
  <si>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</si>
  <si>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</si>
  <si>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</si>
  <si>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</si>
  <si>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</si>
  <si>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</si>
  <si>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</si>
  <si>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</si>
  <si>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</si>
  <si>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</si>
  <si>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</si>
  <si>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</si>
  <si>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</si>
  <si>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</si>
  <si>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</si>
  <si>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</si>
  <si>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</si>
  <si>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</si>
  <si>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</si>
  <si>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</si>
  <si>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</si>
  <si>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</si>
  <si>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</si>
  <si>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</si>
  <si>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</si>
  <si>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</si>
  <si>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</si>
  <si>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</si>
  <si>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</si>
  <si>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</si>
  <si>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</si>
  <si>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</si>
  <si>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</si>
  <si>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</si>
  <si>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</si>
  <si>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</si>
  <si>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</si>
  <si>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</si>
  <si>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</si>
  <si>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</si>
  <si>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</si>
  <si>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</si>
  <si>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</si>
  <si>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</si>
  <si>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</si>
  <si>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</si>
  <si>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</si>
  <si>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</si>
  <si>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</si>
  <si>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</si>
  <si>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</si>
  <si>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</si>
  <si>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</si>
  <si>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</si>
  <si>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</si>
  <si>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</si>
  <si>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</si>
  <si>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</si>
  <si>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</si>
  <si>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</si>
  <si>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</si>
  <si>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</si>
  <si>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</si>
  <si>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</si>
  <si>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</si>
  <si>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</si>
  <si>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</si>
  <si>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</si>
  <si>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</si>
  <si>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</si>
  <si>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</si>
  <si>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</si>
  <si>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</si>
  <si>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</si>
  <si>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</si>
  <si>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</si>
  <si>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</si>
  <si>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</si>
  <si>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</si>
  <si>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</si>
  <si>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</si>
  <si>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</si>
  <si>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</si>
  <si>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</si>
  <si>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</si>
  <si>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</si>
  <si>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</si>
  <si>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</si>
  <si>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</si>
  <si>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</si>
  <si>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</si>
  <si>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</si>
  <si>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</si>
  <si>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</si>
  <si>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</si>
  <si>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</si>
  <si>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</si>
  <si>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</si>
  <si>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</si>
  <si>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</si>
  <si>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</si>
  <si>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</si>
  <si>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</si>
  <si>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</si>
  <si>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</si>
  <si>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</si>
  <si>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</si>
  <si>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</si>
  <si>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</si>
  <si>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</si>
  <si>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</si>
  <si>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</si>
  <si>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</si>
  <si>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</si>
  <si>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</si>
  <si>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</si>
  <si>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</si>
  <si>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</si>
  <si>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</si>
  <si>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</si>
  <si>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</si>
  <si>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</si>
  <si>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</si>
  <si>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</si>
  <si>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</si>
  <si>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</si>
  <si>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</si>
  <si>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</si>
  <si>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</si>
  <si>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</si>
  <si>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</si>
  <si>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</si>
  <si>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</si>
  <si>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</si>
  <si>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</si>
  <si>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</si>
  <si>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</si>
  <si>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</si>
  <si>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</si>
  <si>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</si>
  <si>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</si>
  <si>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</si>
  <si>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</si>
  <si>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</si>
  <si>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</si>
  <si>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</si>
  <si>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</si>
  <si>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</si>
  <si>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</si>
  <si>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</si>
  <si>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</si>
  <si>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</si>
  <si>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</si>
  <si>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</si>
  <si>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</si>
  <si>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</si>
  <si>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</si>
  <si>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</si>
  <si>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</si>
  <si>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</si>
  <si>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</si>
  <si>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</si>
  <si>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</si>
  <si>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</si>
  <si>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</si>
  <si>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</si>
  <si>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</si>
  <si>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</si>
  <si>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</si>
  <si>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</si>
  <si>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</si>
  <si>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</si>
  <si>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</si>
  <si>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</si>
  <si>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</si>
  <si>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</si>
  <si>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</si>
  <si>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</si>
  <si>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</si>
  <si>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</si>
  <si>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</si>
  <si>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</si>
  <si>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</si>
  <si>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</si>
  <si>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</si>
  <si>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</si>
  <si>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</si>
  <si>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</si>
  <si>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</si>
  <si>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</si>
  <si>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</si>
  <si>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</si>
  <si>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</si>
  <si>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</si>
  <si>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</si>
  <si>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</si>
  <si>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</si>
  <si>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</si>
  <si>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</si>
  <si>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</si>
  <si>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</si>
  <si>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</si>
  <si>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</si>
  <si>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</si>
  <si>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</si>
  <si>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</si>
  <si>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</si>
  <si>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</si>
  <si>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</si>
  <si>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</si>
  <si>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</si>
  <si>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</si>
  <si>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</si>
  <si>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</si>
  <si>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</si>
  <si>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</si>
  <si>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</si>
  <si>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</si>
  <si>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</si>
  <si>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</si>
  <si>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</si>
  <si>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</si>
  <si>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</si>
  <si>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</si>
  <si>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</si>
  <si>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</si>
  <si>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</si>
  <si>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</si>
  <si>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</si>
  <si>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</si>
  <si>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</si>
  <si>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</si>
  <si>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</si>
  <si>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</si>
  <si>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</si>
  <si>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</si>
  <si>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</si>
  <si>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</si>
  <si>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</si>
  <si>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</si>
  <si>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</si>
  <si>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</si>
  <si>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</si>
  <si>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</si>
  <si>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</si>
  <si>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</si>
  <si>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</si>
  <si>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</si>
  <si>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</si>
  <si>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</si>
  <si>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</si>
  <si>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</si>
  <si>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</si>
  <si>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</si>
  <si>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</si>
  <si>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</si>
  <si>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</si>
  <si>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</si>
  <si>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</si>
  <si>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</si>
  <si>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</si>
  <si>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</si>
  <si>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</si>
  <si>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</si>
  <si>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</si>
  <si>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</si>
  <si>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</si>
  <si>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</si>
  <si>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</si>
  <si>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</si>
  <si>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</si>
  <si>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</si>
  <si>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</si>
  <si>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</si>
  <si>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</si>
  <si>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</si>
  <si>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</si>
  <si>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</si>
  <si>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</si>
  <si>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</si>
  <si>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</si>
  <si>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</si>
  <si>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</si>
  <si>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</si>
  <si>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</si>
  <si>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</si>
  <si>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</si>
  <si>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</si>
  <si>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</si>
  <si>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</si>
  <si>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</si>
  <si>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</si>
  <si>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</si>
  <si>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</si>
  <si>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</si>
  <si>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</si>
  <si>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</si>
  <si>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</si>
  <si>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</si>
  <si>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</si>
  <si>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</si>
  <si>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</si>
  <si>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</si>
  <si>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</si>
  <si>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</si>
  <si>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</si>
  <si>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</si>
  <si>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</si>
  <si>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</si>
  <si>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</si>
  <si>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</si>
  <si>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</si>
  <si>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</si>
  <si>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</si>
  <si>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</si>
  <si>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</si>
  <si>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</si>
  <si>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</si>
  <si>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</si>
  <si>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</si>
  <si>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</si>
  <si>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</si>
  <si>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</si>
  <si>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</si>
  <si>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</si>
  <si>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</si>
  <si>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</si>
  <si>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</si>
  <si>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</si>
  <si>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</si>
  <si>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</si>
  <si>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</si>
  <si>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</si>
  <si>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</si>
  <si>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</si>
  <si>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</si>
  <si>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</si>
  <si>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</si>
  <si>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</si>
  <si>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</si>
  <si>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</si>
  <si>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</si>
  <si>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</si>
  <si>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</si>
  <si>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</si>
  <si>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</si>
  <si>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</si>
  <si>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</si>
  <si>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</si>
  <si>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</si>
  <si>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</si>
  <si>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</si>
  <si>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</si>
  <si>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</si>
  <si>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</si>
  <si>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</si>
  <si>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</si>
  <si>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</si>
  <si>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</si>
  <si>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</si>
  <si>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</si>
  <si>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</si>
  <si>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</si>
  <si>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</si>
  <si>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</si>
  <si>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</si>
  <si>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</si>
  <si>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</si>
  <si>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</si>
  <si>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</si>
  <si>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</si>
  <si>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</si>
  <si>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</si>
  <si>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</si>
  <si>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</si>
  <si>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</si>
  <si>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</si>
  <si>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</si>
  <si>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</si>
  <si>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</si>
  <si>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</si>
  <si>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</si>
  <si>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</si>
  <si>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</si>
  <si>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</si>
  <si>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</si>
  <si>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</si>
  <si>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</si>
  <si>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</si>
  <si>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</si>
  <si>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</si>
  <si>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</si>
  <si>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</si>
  <si>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</si>
  <si>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</si>
  <si>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</si>
  <si>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</si>
  <si>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</si>
  <si>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</si>
  <si>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</si>
  <si>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</si>
  <si>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</si>
  <si>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</si>
  <si>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</si>
  <si>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</si>
  <si>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</si>
  <si>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</si>
  <si>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</si>
  <si>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</si>
  <si>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</si>
  <si>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</si>
  <si>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</si>
  <si>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</si>
  <si>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</si>
  <si>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</si>
  <si>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</si>
  <si>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</si>
  <si>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</si>
  <si>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</si>
  <si>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</si>
  <si>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</si>
  <si>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</si>
  <si>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</si>
  <si>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</si>
  <si>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</si>
  <si>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</si>
  <si>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</si>
  <si>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</si>
  <si>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</si>
  <si>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</si>
  <si>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</si>
  <si>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</si>
  <si>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</si>
  <si>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</si>
  <si>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</si>
  <si>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</si>
  <si>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</si>
  <si>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</si>
  <si>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</si>
  <si>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</si>
  <si>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</si>
  <si>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</si>
  <si>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</si>
  <si>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</si>
  <si>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</si>
  <si>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</si>
  <si>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</si>
  <si>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</si>
  <si>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</si>
  <si>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</si>
  <si>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</si>
  <si>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</si>
  <si>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</si>
  <si>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</si>
  <si>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</si>
  <si>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</si>
  <si>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</si>
  <si>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</si>
  <si>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</si>
  <si>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</si>
  <si>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</si>
  <si>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</si>
  <si>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</si>
  <si>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</si>
  <si>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</si>
  <si>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</si>
  <si>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</si>
  <si>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</si>
  <si>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</si>
  <si>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</si>
  <si>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</si>
  <si>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</si>
  <si>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</si>
  <si>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</si>
  <si>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</si>
  <si>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</si>
  <si>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</si>
  <si>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</si>
  <si>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</si>
  <si>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</si>
  <si>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</si>
  <si>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</si>
  <si>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</si>
  <si>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</si>
  <si>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</si>
  <si>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</si>
  <si>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</si>
  <si>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</si>
  <si>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</si>
  <si>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</si>
  <si>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</si>
  <si>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</si>
  <si>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</si>
  <si>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</si>
  <si>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</si>
  <si>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</si>
  <si>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</si>
  <si>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</si>
  <si>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</si>
  <si>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</si>
  <si>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</si>
  <si>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</si>
  <si>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</si>
  <si>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</si>
  <si>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</si>
  <si>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</si>
  <si>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</si>
  <si>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</si>
  <si>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</si>
  <si>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</si>
  <si>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</si>
  <si>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</si>
  <si>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</si>
  <si>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</si>
  <si>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</si>
  <si>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</si>
  <si>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</si>
  <si>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</si>
  <si>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</si>
  <si>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</si>
  <si>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</si>
  <si>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</si>
  <si>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</si>
  <si>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ORD02094</t>
  </si>
  <si>
    <t>ORD02095</t>
  </si>
  <si>
    <t>ORD02096</t>
  </si>
  <si>
    <t>ORD02097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</si>
  <si>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</si>
  <si>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</si>
  <si>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</si>
  <si>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</si>
  <si>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</si>
  <si>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</si>
  <si>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</si>
  <si>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</si>
  <si>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</si>
  <si>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</si>
  <si>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</si>
  <si>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</si>
  <si>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</si>
  <si>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</si>
  <si>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</si>
  <si>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</si>
  <si>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</si>
  <si>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</si>
  <si>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</si>
  <si>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</si>
  <si>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</si>
  <si>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</si>
  <si>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</si>
  <si>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</si>
  <si>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</si>
  <si>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</si>
  <si>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</si>
  <si>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</si>
  <si>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</si>
  <si>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</si>
  <si>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</si>
  <si>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</si>
  <si>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</si>
  <si>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</si>
  <si>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</si>
  <si>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</si>
  <si>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</si>
  <si>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</si>
  <si>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</si>
  <si>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</si>
  <si>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</si>
  <si>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</si>
  <si>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</si>
  <si>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</si>
  <si>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</si>
  <si>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</si>
  <si>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</si>
  <si>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</si>
  <si>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</si>
  <si>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</si>
  <si>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</si>
  <si>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</si>
  <si>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</si>
  <si>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</si>
  <si>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</si>
  <si>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</si>
  <si>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</si>
  <si>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</si>
  <si>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</si>
  <si>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</si>
  <si>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</si>
  <si>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</si>
  <si>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</si>
  <si>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</si>
  <si>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</si>
  <si>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</si>
  <si>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</si>
  <si>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</si>
  <si>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</si>
  <si>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</si>
  <si>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</si>
  <si>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</si>
  <si>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</si>
  <si>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</si>
  <si>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</si>
  <si>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</si>
  <si>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</si>
  <si>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</si>
  <si>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</si>
  <si>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</si>
  <si>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</si>
  <si>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</si>
  <si>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</si>
  <si>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</si>
  <si>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</si>
  <si>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</si>
  <si>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</si>
  <si>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</si>
  <si>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</si>
  <si>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</si>
  <si>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</si>
  <si>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</si>
  <si>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</si>
  <si>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</si>
  <si>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</si>
  <si>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</si>
  <si>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</si>
  <si>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</si>
  <si>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</si>
  <si>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</si>
  <si>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</si>
  <si>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</si>
  <si>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</si>
  <si>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</si>
  <si>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</si>
  <si>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</si>
  <si>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</si>
  <si>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</si>
  <si>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</si>
  <si>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</si>
  <si>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</si>
  <si>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</si>
  <si>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</si>
  <si>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</si>
  <si>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</si>
  <si>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</si>
  <si>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</si>
  <si>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</si>
  <si>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</si>
  <si>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</si>
  <si>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</si>
  <si>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</si>
  <si>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</si>
  <si>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</si>
  <si>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</si>
  <si>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</si>
  <si>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</si>
  <si>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</si>
  <si>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</si>
  <si>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</si>
  <si>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</si>
  <si>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</si>
  <si>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</si>
  <si>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</si>
  <si>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</si>
  <si>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</si>
  <si>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</si>
  <si>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</si>
  <si>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</si>
  <si>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</si>
  <si>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</si>
  <si>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</si>
  <si>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</si>
  <si>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</si>
  <si>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</si>
  <si>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</si>
  <si>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</si>
  <si>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</si>
  <si>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</si>
  <si>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</si>
  <si>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</si>
  <si>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</si>
  <si>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</si>
  <si>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</si>
  <si>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</si>
  <si>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</si>
  <si>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</si>
  <si>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</si>
  <si>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</si>
  <si>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</si>
  <si>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</si>
  <si>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</si>
  <si>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</si>
  <si>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</si>
  <si>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</si>
  <si>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</si>
  <si>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</si>
  <si>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</si>
  <si>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</si>
  <si>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</si>
  <si>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</si>
  <si>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</si>
  <si>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</si>
  <si>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</si>
  <si>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</si>
  <si>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</si>
  <si>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</si>
  <si>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</si>
  <si>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</si>
  <si>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</si>
  <si>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</si>
  <si>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</si>
  <si>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</si>
  <si>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</si>
  <si>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</si>
  <si>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</si>
  <si>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</si>
  <si>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</si>
  <si>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</si>
  <si>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</si>
  <si>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</si>
  <si>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</si>
  <si>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</si>
  <si>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</si>
  <si>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</si>
  <si>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</si>
  <si>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</si>
  <si>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</si>
  <si>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</si>
  <si>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</si>
  <si>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</si>
  <si>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</si>
  <si>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</si>
  <si>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</si>
  <si>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</si>
  <si>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</si>
  <si>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</si>
  <si>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</si>
  <si>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</si>
  <si>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</si>
  <si>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</si>
  <si>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</si>
  <si>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</si>
  <si>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</si>
  <si>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</si>
  <si>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</si>
  <si>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</si>
  <si>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</si>
  <si>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</si>
  <si>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</si>
  <si>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</si>
  <si>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</si>
  <si>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</si>
  <si>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</si>
  <si>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</si>
  <si>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</si>
  <si>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</si>
  <si>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</si>
  <si>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</si>
  <si>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</si>
  <si>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</si>
  <si>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</si>
  <si>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</si>
  <si>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</si>
  <si>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</si>
  <si>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</si>
  <si>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</si>
  <si>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</si>
  <si>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</si>
  <si>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</si>
  <si>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</si>
  <si>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</si>
  <si>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</si>
  <si>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</si>
  <si>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</si>
  <si>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</si>
  <si>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</si>
  <si>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</si>
  <si>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</si>
  <si>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</si>
  <si>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</si>
  <si>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</si>
  <si>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</si>
  <si>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</si>
  <si>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</si>
  <si>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</si>
  <si>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</si>
  <si>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</si>
  <si>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</si>
  <si>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</si>
  <si>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</si>
  <si>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</si>
  <si>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</si>
  <si>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</si>
  <si>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</si>
  <si>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</si>
  <si>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</si>
  <si>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</si>
  <si>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</si>
  <si>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</si>
  <si>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</si>
  <si>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</si>
  <si>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</si>
  <si>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</si>
  <si>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</si>
  <si>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</si>
  <si>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</si>
  <si>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</si>
  <si>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</si>
  <si>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</si>
  <si>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</si>
  <si>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</si>
  <si>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</si>
  <si>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</si>
  <si>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</si>
  <si>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</si>
  <si>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</si>
  <si>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</si>
  <si>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</si>
  <si>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</si>
  <si>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</si>
  <si>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</si>
  <si>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</si>
  <si>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</si>
  <si>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</si>
  <si>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</si>
  <si>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</si>
  <si>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</si>
  <si>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</si>
  <si>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</si>
  <si>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</si>
  <si>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</si>
  <si>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</si>
  <si>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</si>
  <si>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</si>
  <si>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</si>
  <si>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</si>
  <si>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</si>
  <si>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</si>
  <si>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</si>
  <si>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</si>
  <si>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</si>
  <si>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</si>
  <si>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</si>
  <si>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</si>
  <si>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</si>
  <si>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</si>
  <si>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</si>
  <si>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</si>
  <si>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</si>
  <si>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</si>
  <si>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</si>
  <si>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</si>
  <si>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</si>
  <si>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</si>
  <si>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</si>
  <si>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</si>
  <si>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</si>
  <si>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</si>
  <si>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</si>
  <si>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</si>
  <si>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</si>
  <si>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</si>
  <si>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</si>
  <si>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</si>
  <si>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</si>
  <si>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</si>
  <si>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</si>
  <si>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</si>
  <si>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</si>
  <si>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</si>
  <si>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</si>
  <si>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</si>
  <si>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</si>
  <si>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</si>
  <si>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</si>
  <si>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</si>
  <si>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</si>
  <si>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</si>
  <si>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</si>
  <si>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</si>
  <si>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</si>
  <si>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</si>
  <si>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</si>
  <si>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</si>
  <si>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</si>
  <si>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</si>
  <si>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</si>
  <si>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</si>
  <si>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</si>
  <si>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</si>
  <si>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</si>
  <si>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</si>
  <si>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</si>
  <si>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</si>
  <si>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</si>
  <si>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</si>
  <si>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</si>
  <si>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</si>
  <si>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</si>
  <si>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</si>
  <si>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</si>
  <si>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</si>
  <si>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</si>
  <si>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</si>
  <si>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</si>
  <si>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</si>
  <si>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</si>
  <si>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</si>
  <si>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</si>
  <si>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</si>
  <si>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</si>
  <si>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</si>
  <si>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</si>
  <si>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</si>
  <si>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</si>
  <si>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</si>
  <si>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</si>
  <si>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</si>
  <si>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</si>
  <si>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</si>
  <si>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</si>
  <si>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</si>
  <si>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</si>
  <si>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</si>
  <si>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</si>
  <si>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</si>
  <si>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</si>
  <si>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</si>
  <si>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</si>
  <si>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</si>
  <si>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</si>
  <si>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</si>
  <si>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</si>
  <si>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</si>
  <si>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</si>
  <si>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</si>
  <si>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</si>
  <si>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</si>
  <si>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</si>
  <si>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</si>
  <si>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</si>
  <si>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</si>
  <si>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</si>
  <si>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</si>
  <si>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</si>
  <si>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</si>
  <si>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</si>
  <si>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</si>
  <si>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</si>
  <si>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</si>
  <si>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</si>
  <si>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</si>
  <si>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</si>
  <si>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</si>
  <si>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</si>
  <si>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</si>
  <si>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</si>
  <si>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</si>
  <si>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</si>
  <si>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</si>
  <si>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</si>
  <si>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</si>
  <si>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</si>
  <si>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</si>
  <si>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</si>
  <si>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</si>
  <si>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</si>
  <si>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</si>
  <si>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</si>
  <si>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</si>
  <si>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</si>
  <si>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</si>
  <si>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</si>
  <si>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</si>
  <si>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</si>
  <si>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</si>
  <si>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</si>
  <si>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</si>
  <si>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</si>
  <si>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</si>
  <si>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</si>
  <si>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</si>
  <si>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</si>
  <si>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</si>
  <si>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</si>
  <si>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</si>
  <si>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</si>
  <si>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</si>
  <si>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</si>
  <si>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</si>
  <si>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</si>
  <si>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</si>
  <si>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</si>
  <si>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</si>
  <si>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</si>
  <si>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</si>
  <si>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</si>
  <si>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</si>
  <si>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</si>
  <si>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</si>
  <si>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</si>
  <si>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</si>
  <si>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</si>
  <si>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</si>
  <si>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</si>
  <si>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</si>
  <si>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</si>
  <si>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</si>
  <si>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</si>
  <si>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</si>
  <si>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</si>
  <si>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</si>
  <si>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</si>
  <si>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</si>
  <si>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</si>
  <si>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</si>
  <si>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</si>
  <si>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</si>
  <si>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</si>
  <si>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</si>
  <si>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</si>
  <si>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</si>
  <si>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</si>
  <si>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</si>
  <si>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</si>
  <si>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</si>
  <si>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</si>
  <si>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</si>
  <si>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</si>
  <si>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</si>
  <si>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</si>
  <si>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</si>
  <si>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</si>
  <si>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</si>
  <si>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</si>
  <si>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</si>
  <si>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</si>
  <si>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</si>
  <si>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</si>
  <si>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</si>
  <si>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</si>
  <si>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</si>
  <si>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</si>
  <si>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</si>
  <si>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</si>
  <si>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</si>
  <si>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</si>
  <si>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</si>
  <si>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</si>
  <si>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</si>
  <si>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</si>
  <si>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</si>
  <si>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</si>
  <si>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</si>
  <si>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</si>
  <si>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</si>
  <si>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</si>
  <si>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</si>
  <si>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</si>
  <si>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</si>
  <si>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</si>
  <si>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</si>
  <si>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</si>
  <si>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</si>
  <si>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</si>
  <si>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</si>
  <si>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</si>
  <si>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</si>
  <si>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</si>
  <si>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</si>
  <si>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</si>
  <si>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</si>
  <si>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</si>
  <si>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</si>
  <si>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</si>
  <si>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</si>
  <si>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</si>
  <si>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</si>
  <si>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</si>
  <si>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</si>
  <si>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</si>
  <si>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</si>
  <si>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</si>
  <si>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</si>
  <si>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</si>
  <si>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</si>
  <si>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</si>
  <si>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</si>
  <si>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</si>
  <si>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</si>
  <si>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</si>
  <si>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</si>
  <si>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</si>
  <si>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</si>
  <si>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</si>
  <si>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</si>
  <si>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</si>
  <si>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</si>
  <si>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</si>
  <si>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</si>
  <si>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</si>
  <si>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</si>
  <si>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</si>
  <si>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</si>
  <si>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</si>
  <si>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</si>
  <si>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</si>
  <si>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</si>
  <si>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</si>
  <si>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</si>
  <si>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</si>
  <si>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</si>
  <si>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</si>
  <si>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</si>
  <si>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</si>
  <si>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</si>
  <si>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</si>
  <si>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</si>
  <si>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</si>
  <si>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</si>
  <si>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</si>
  <si>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</si>
  <si>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</si>
  <si>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</si>
  <si>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</si>
  <si>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</si>
  <si>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</si>
  <si>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</si>
  <si>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</si>
  <si>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</si>
  <si>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</si>
  <si>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</si>
  <si>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</si>
  <si>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</si>
  <si>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</si>
  <si>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</si>
  <si>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</si>
  <si>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</si>
  <si>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</si>
  <si>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</si>
  <si>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</si>
  <si>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</si>
  <si>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</si>
  <si>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</si>
  <si>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</si>
  <si>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</si>
  <si>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</si>
  <si>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</si>
  <si>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</si>
  <si>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</si>
  <si>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</si>
  <si>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</si>
  <si>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</si>
  <si>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</si>
  <si>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</si>
  <si>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</si>
  <si>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</si>
  <si>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</si>
  <si>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</si>
  <si>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</si>
  <si>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</si>
  <si>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</si>
  <si>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</si>
  <si>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</si>
  <si>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</si>
  <si>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</si>
  <si>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</si>
  <si>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</si>
  <si>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</si>
  <si>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</si>
  <si>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</si>
  <si>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</si>
  <si>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</si>
  <si>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</si>
  <si>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</si>
  <si>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</si>
  <si>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</si>
  <si>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</si>
  <si>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</si>
  <si>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</si>
  <si>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</si>
  <si>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</si>
  <si>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</si>
  <si>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</si>
  <si>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</si>
  <si>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</si>
  <si>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</si>
  <si>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</si>
  <si>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</si>
  <si>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</si>
  <si>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</si>
  <si>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</si>
  <si>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</si>
  <si>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</si>
  <si>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</si>
  <si>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</si>
  <si>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</si>
  <si>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</si>
  <si>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</si>
  <si>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</si>
  <si>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</si>
  <si>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</si>
  <si>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</si>
  <si>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</si>
  <si>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</si>
  <si>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</si>
  <si>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</si>
  <si>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</si>
  <si>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</si>
  <si>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</si>
  <si>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</si>
  <si>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</si>
  <si>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</si>
  <si>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</si>
  <si>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</si>
  <si>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</si>
  <si>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</si>
  <si>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</si>
  <si>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</si>
  <si>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</si>
  <si>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</si>
  <si>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</si>
  <si>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</si>
  <si>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</si>
  <si>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</si>
  <si>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</si>
  <si>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</si>
  <si>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</si>
  <si>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</si>
  <si>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</si>
  <si>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</si>
  <si>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</si>
  <si>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</si>
  <si>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</si>
  <si>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</si>
  <si>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</si>
  <si>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</si>
  <si>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</si>
  <si>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</si>
  <si>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</si>
  <si>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</si>
  <si>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</si>
  <si>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</si>
  <si>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</si>
  <si>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</si>
  <si>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</si>
  <si>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</si>
  <si>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</si>
  <si>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</si>
  <si>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</si>
  <si>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</si>
  <si>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</si>
  <si>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</si>
  <si>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</si>
  <si>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</si>
  <si>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</si>
  <si>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</si>
  <si>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</si>
  <si>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</si>
  <si>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</si>
  <si>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</si>
  <si>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</si>
  <si>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</si>
  <si>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</si>
  <si>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</si>
  <si>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</si>
  <si>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</si>
  <si>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</si>
  <si>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</si>
  <si>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</si>
  <si>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</si>
  <si>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</si>
  <si>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</si>
  <si>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</si>
  <si>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</si>
  <si>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</si>
  <si>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</si>
  <si>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</si>
  <si>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</si>
  <si>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</si>
  <si>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</si>
  <si>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</si>
  <si>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</si>
  <si>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</si>
  <si>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</si>
  <si>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</si>
  <si>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</si>
  <si>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</si>
  <si>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</si>
  <si>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</si>
  <si>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</si>
  <si>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</si>
  <si>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</si>
  <si>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</si>
  <si>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</si>
  <si>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</si>
  <si>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</si>
  <si>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</si>
  <si>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</si>
  <si>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</si>
  <si>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</si>
  <si>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</si>
  <si>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</si>
  <si>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</si>
  <si>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</si>
  <si>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</si>
  <si>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</si>
  <si>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</si>
  <si>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</si>
  <si>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</si>
  <si>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</si>
  <si>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</si>
  <si>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</si>
  <si>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</si>
  <si>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</si>
  <si>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</si>
  <si>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</si>
  <si>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</si>
  <si>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</si>
  <si>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</si>
  <si>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</si>
  <si>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</si>
  <si>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</si>
  <si>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</si>
  <si>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</si>
  <si>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</si>
  <si>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</si>
  <si>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</si>
  <si>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</si>
  <si>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</si>
  <si>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</si>
  <si>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</si>
  <si>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</si>
  <si>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</si>
  <si>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</si>
  <si>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</si>
  <si>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</si>
  <si>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</si>
  <si>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</si>
  <si>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</si>
  <si>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</si>
  <si>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</si>
  <si>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</si>
  <si>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</si>
  <si>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</si>
  <si>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</si>
  <si>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</si>
  <si>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</si>
  <si>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</si>
  <si>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</si>
  <si>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</si>
  <si>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</si>
  <si>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</si>
  <si>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</si>
  <si>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</si>
  <si>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</si>
  <si>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</si>
  <si>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</si>
  <si>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</si>
  <si>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</si>
  <si>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</si>
  <si>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</si>
  <si>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</si>
  <si>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</si>
  <si>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</si>
  <si>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</si>
  <si>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</si>
  <si>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</si>
  <si>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</si>
  <si>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</si>
  <si>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</si>
  <si>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</si>
  <si>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</si>
  <si>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</si>
  <si>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</si>
  <si>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</si>
  <si>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</si>
  <si>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</si>
  <si>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</si>
  <si>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</si>
  <si>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</si>
  <si>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</si>
  <si>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</si>
  <si>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</si>
  <si>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</si>
  <si>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</si>
  <si>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</si>
  <si>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</si>
  <si>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</si>
  <si>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</si>
  <si>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</si>
  <si>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</si>
  <si>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</si>
  <si>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</si>
  <si>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</si>
  <si>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</si>
  <si>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</si>
  <si>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</si>
  <si>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</si>
  <si>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</si>
  <si>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</si>
  <si>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</si>
  <si>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</si>
  <si>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</si>
  <si>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</si>
  <si>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</si>
  <si>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</si>
  <si>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</si>
  <si>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</si>
  <si>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</si>
  <si>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</si>
  <si>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</si>
  <si>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</si>
  <si>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</si>
  <si>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</si>
  <si>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</si>
  <si>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</si>
  <si>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</si>
  <si>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</si>
  <si>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</si>
  <si>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</si>
  <si>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</si>
  <si>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</si>
  <si>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</si>
  <si>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</si>
  <si>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</si>
  <si>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</si>
  <si>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</si>
  <si>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</si>
  <si>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</si>
  <si>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</si>
  <si>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</si>
  <si>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</si>
  <si>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</si>
  <si>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</si>
  <si>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</si>
  <si>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</si>
  <si>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</si>
  <si>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</si>
  <si>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</si>
  <si>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</si>
  <si>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</si>
  <si>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</si>
  <si>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</si>
  <si>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</si>
  <si>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</si>
  <si>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</si>
  <si>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</si>
  <si>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</si>
  <si>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</si>
  <si>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</si>
  <si>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</si>
  <si>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</si>
  <si>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</si>
  <si>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</si>
  <si>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</si>
  <si>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</si>
  <si>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</si>
  <si>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</si>
  <si>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</si>
  <si>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</si>
  <si>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</si>
  <si>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</si>
  <si>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</si>
  <si>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</si>
  <si>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</si>
  <si>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</si>
  <si>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</si>
  <si>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</si>
  <si>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</si>
  <si>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</si>
  <si>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</si>
  <si>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</si>
  <si>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</si>
  <si>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</si>
  <si>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</si>
  <si>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</si>
  <si>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</si>
  <si>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</si>
  <si>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</si>
  <si>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</si>
  <si>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</si>
  <si>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</si>
  <si>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</si>
  <si>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</si>
  <si>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</si>
  <si>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</si>
  <si>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</si>
  <si>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</si>
  <si>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</si>
  <si>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</si>
  <si>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</si>
  <si>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</si>
  <si>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</si>
  <si>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</si>
  <si>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</si>
  <si>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</si>
  <si>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</si>
  <si>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</si>
  <si>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</si>
  <si>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</si>
  <si>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</si>
  <si>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</si>
  <si>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</si>
  <si>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</si>
  <si>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</si>
  <si>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</si>
  <si>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</si>
  <si>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</si>
  <si>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</si>
  <si>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</si>
  <si>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</si>
  <si>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</si>
  <si>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</si>
  <si>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</si>
  <si>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</si>
  <si>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</si>
  <si>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</si>
  <si>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</si>
  <si>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</si>
  <si>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</si>
  <si>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</si>
  <si>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</si>
  <si>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</si>
  <si>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</si>
  <si>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</si>
  <si>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</si>
  <si>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</si>
  <si>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</si>
  <si>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</si>
  <si>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</si>
  <si>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</si>
  <si>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</si>
  <si>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</si>
  <si>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</si>
  <si>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</si>
  <si>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</si>
  <si>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</si>
  <si>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</si>
  <si>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</si>
  <si>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</si>
  <si>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</si>
  <si>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</si>
  <si>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</si>
  <si>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</si>
  <si>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</si>
  <si>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</si>
  <si>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</si>
  <si>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</si>
  <si>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</si>
  <si>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</si>
  <si>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</si>
  <si>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</si>
  <si>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</si>
  <si>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</si>
  <si>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</si>
  <si>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</si>
  <si>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</si>
  <si>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</si>
  <si>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</si>
  <si>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</si>
  <si>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</si>
  <si>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</si>
  <si>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</si>
  <si>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</si>
  <si>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</si>
  <si>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</si>
  <si>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</si>
  <si>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</si>
  <si>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</si>
  <si>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</si>
  <si>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</si>
  <si>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</si>
  <si>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</si>
  <si>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</si>
  <si>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</si>
  <si>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</si>
  <si>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</si>
  <si>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</si>
  <si>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</si>
  <si>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</si>
  <si>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</si>
  <si>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</si>
  <si>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</si>
  <si>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</si>
  <si>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</si>
  <si>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</si>
  <si>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</si>
  <si>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</si>
  <si>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</si>
  <si>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</si>
  <si>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</si>
  <si>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</si>
  <si>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</si>
  <si>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</si>
  <si>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</si>
  <si>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</si>
  <si>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</si>
  <si>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</si>
  <si>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</si>
  <si>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</si>
  <si>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</si>
  <si>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</si>
  <si>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</si>
  <si>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</si>
  <si>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</si>
  <si>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</si>
  <si>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</si>
  <si>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</si>
  <si>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</si>
  <si>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</si>
  <si>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</si>
  <si>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</si>
  <si>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</si>
  <si>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</si>
  <si>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</si>
  <si>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</si>
  <si>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</si>
  <si>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</si>
  <si>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</si>
  <si>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</si>
  <si>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</si>
  <si>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</si>
  <si>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</si>
  <si>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</si>
  <si>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</si>
  <si>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</si>
  <si>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</si>
  <si>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</si>
  <si>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</si>
  <si>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</si>
  <si>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</si>
  <si>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</si>
  <si>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</si>
  <si>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</si>
  <si>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</si>
  <si>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</si>
  <si>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</si>
  <si>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</si>
  <si>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</si>
  <si>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</si>
  <si>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</si>
  <si>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</si>
  <si>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</si>
  <si>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</si>
  <si>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</si>
  <si>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</si>
  <si>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</si>
  <si>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</si>
  <si>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</si>
  <si>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</si>
  <si>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</si>
  <si>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</si>
  <si>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</si>
  <si>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</si>
  <si>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</si>
  <si>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</si>
  <si>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</si>
  <si>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</si>
  <si>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</si>
  <si>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</si>
  <si>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</si>
  <si>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</si>
  <si>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</si>
  <si>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</si>
  <si>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</si>
  <si>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</si>
  <si>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</si>
  <si>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</si>
  <si>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</si>
  <si>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</si>
  <si>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</si>
  <si>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</si>
  <si>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</si>
  <si>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</si>
  <si>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</si>
  <si>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</si>
  <si>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</si>
  <si>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</si>
  <si>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</si>
  <si>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</si>
  <si>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</si>
  <si>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</si>
  <si>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</si>
  <si>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</si>
  <si>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</si>
  <si>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</si>
  <si>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</si>
  <si>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</si>
  <si>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</si>
  <si>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</si>
  <si>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</si>
  <si>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</si>
  <si>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</si>
  <si>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</si>
  <si>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</si>
  <si>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</si>
  <si>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</si>
  <si>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</si>
  <si>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</si>
  <si>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</si>
  <si>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</si>
  <si>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</si>
  <si>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</si>
  <si>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</si>
  <si>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</si>
  <si>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</si>
  <si>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</si>
  <si>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</si>
  <si>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</si>
  <si>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</si>
  <si>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</si>
  <si>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</si>
  <si>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</si>
  <si>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</si>
  <si>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</si>
  <si>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</si>
  <si>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</si>
  <si>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</si>
  <si>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</si>
  <si>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</si>
  <si>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</si>
  <si>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</si>
  <si>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</si>
  <si>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</si>
  <si>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</si>
  <si>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</si>
  <si>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</si>
  <si>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</si>
  <si>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</si>
  <si>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</si>
  <si>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</si>
  <si>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</si>
  <si>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</si>
  <si>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</si>
  <si>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</si>
  <si>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</si>
  <si>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</si>
  <si>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</si>
  <si>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</si>
  <si>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</si>
  <si>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</si>
  <si>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</si>
  <si>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</si>
  <si>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</si>
  <si>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</si>
  <si>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</si>
  <si>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</si>
  <si>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</si>
  <si>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</si>
  <si>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</si>
  <si>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</si>
  <si>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</si>
  <si>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</si>
  <si>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</si>
  <si>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</si>
  <si>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</si>
  <si>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</si>
  <si>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</si>
  <si>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</si>
  <si>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</si>
  <si>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</si>
  <si>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</si>
  <si>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</si>
  <si>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</si>
  <si>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</si>
  <si>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</si>
  <si>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</si>
  <si>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</si>
  <si>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</si>
  <si>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</si>
  <si>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</si>
  <si>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</si>
  <si>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</si>
  <si>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</si>
  <si>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</si>
  <si>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</si>
  <si>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</si>
  <si>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</si>
  <si>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</si>
  <si>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</si>
  <si>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</si>
  <si>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</si>
  <si>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</si>
  <si>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</si>
  <si>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</si>
  <si>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</si>
  <si>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</si>
  <si>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</si>
  <si>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</si>
  <si>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</si>
  <si>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</si>
  <si>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</si>
  <si>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</si>
  <si>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</si>
  <si>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</si>
  <si>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</si>
  <si>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</si>
  <si>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</si>
  <si>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</si>
  <si>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</si>
  <si>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</si>
  <si>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</si>
  <si>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</si>
  <si>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</si>
  <si>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</si>
  <si>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</si>
  <si>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</si>
  <si>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</si>
  <si>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</si>
  <si>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</si>
  <si>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</si>
  <si>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</si>
  <si>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</si>
  <si>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</si>
  <si>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</si>
  <si>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</si>
  <si>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</si>
  <si>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</si>
  <si>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</si>
  <si>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</si>
  <si>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</si>
  <si>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</si>
  <si>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</si>
  <si>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</si>
  <si>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</si>
  <si>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</si>
  <si>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</si>
  <si>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</si>
  <si>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</si>
  <si>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</si>
  <si>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</si>
  <si>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</si>
  <si>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</si>
  <si>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</si>
  <si>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</si>
  <si>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</si>
  <si>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</si>
  <si>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</si>
  <si>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</si>
  <si>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</si>
  <si>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</si>
  <si>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</si>
  <si>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</si>
  <si>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</si>
  <si>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</si>
  <si>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</si>
  <si>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</si>
  <si>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</si>
  <si>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</si>
  <si>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</si>
  <si>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</si>
  <si>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</si>
  <si>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</si>
  <si>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</si>
  <si>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</si>
  <si>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</si>
  <si>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</si>
  <si>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</si>
  <si>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</si>
  <si>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</si>
  <si>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</si>
  <si>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</si>
  <si>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</si>
  <si>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</si>
  <si>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</si>
  <si>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</si>
  <si>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</si>
  <si>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</si>
  <si>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</si>
  <si>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</si>
  <si>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</si>
  <si>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</si>
  <si>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</si>
  <si>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</si>
  <si>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</si>
  <si>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</si>
  <si>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</si>
  <si>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</si>
  <si>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</si>
  <si>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</si>
  <si>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</si>
  <si>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</si>
  <si>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</si>
  <si>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</si>
  <si>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</si>
  <si>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</si>
  <si>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</si>
  <si>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</si>
  <si>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</si>
  <si>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</si>
  <si>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</si>
  <si>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</si>
  <si>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</si>
  <si>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</si>
  <si>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</si>
  <si>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</si>
  <si>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</si>
  <si>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</si>
  <si>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</si>
  <si>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</si>
  <si>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</si>
  <si>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</si>
  <si>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</si>
  <si>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</si>
  <si>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</si>
  <si>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</si>
  <si>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</si>
  <si>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</si>
  <si>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</si>
  <si>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</si>
  <si>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</si>
  <si>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</si>
  <si>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</si>
  <si>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</si>
  <si>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</si>
  <si>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</si>
  <si>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</si>
  <si>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</si>
  <si>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</si>
  <si>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</si>
  <si>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</si>
  <si>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</si>
  <si>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</si>
  <si>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</si>
  <si>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</si>
  <si>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</si>
  <si>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</si>
  <si>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</si>
  <si>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</si>
  <si>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</si>
  <si>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</si>
  <si>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</si>
  <si>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</si>
  <si>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</si>
  <si>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</si>
  <si>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</si>
  <si>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</si>
  <si>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</si>
  <si>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</si>
  <si>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</si>
  <si>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</si>
  <si>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</si>
  <si>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</si>
  <si>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</si>
  <si>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</si>
  <si>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</si>
  <si>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</si>
  <si>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</si>
  <si>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</si>
  <si>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</si>
  <si>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</si>
  <si>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</si>
  <si>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</si>
  <si>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</si>
  <si>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</si>
  <si>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</si>
  <si>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</si>
  <si>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</si>
  <si>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</si>
  <si>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</si>
  <si>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</si>
  <si>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</si>
  <si>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</si>
  <si>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</si>
  <si>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</si>
  <si>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</si>
  <si>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</si>
  <si>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</si>
  <si>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</si>
  <si>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</si>
  <si>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</si>
  <si>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</si>
  <si>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</si>
  <si>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</si>
  <si>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</si>
  <si>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</si>
  <si>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</si>
  <si>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</si>
  <si>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</si>
  <si>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</si>
  <si>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</si>
  <si>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</si>
  <si>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</si>
  <si>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</si>
  <si>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</si>
  <si>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</si>
  <si>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</si>
  <si>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</si>
  <si>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</si>
  <si>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</si>
  <si>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</si>
  <si>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</si>
  <si>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</si>
  <si>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</si>
  <si>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</si>
  <si>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</si>
  <si>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</si>
  <si>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</si>
  <si>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</si>
  <si>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</si>
  <si>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</si>
  <si>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</si>
  <si>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</si>
  <si>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</si>
  <si>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</si>
  <si>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</si>
  <si>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</si>
  <si>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</si>
  <si>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</si>
  <si>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</si>
  <si>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</si>
  <si>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</si>
  <si>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</si>
  <si>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</si>
  <si>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</si>
  <si>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</si>
  <si>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</si>
  <si>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</si>
  <si>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</si>
  <si>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</si>
  <si>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</si>
  <si>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</si>
  <si>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</si>
  <si>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</si>
  <si>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</si>
  <si>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</si>
  <si>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</si>
  <si>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</si>
  <si>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</si>
  <si>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</si>
  <si>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</si>
  <si>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</si>
  <si>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</si>
  <si>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</si>
  <si>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</si>
  <si>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</si>
  <si>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</si>
  <si>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</si>
  <si>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</si>
  <si>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</si>
  <si>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</si>
  <si>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</si>
  <si>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</si>
  <si>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</si>
  <si>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</si>
  <si>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</si>
  <si>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</si>
  <si>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</si>
  <si>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</si>
  <si>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</si>
  <si>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</si>
  <si>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</si>
  <si>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</si>
  <si>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</si>
  <si>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</si>
  <si>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</si>
  <si>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</si>
  <si>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</si>
  <si>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</si>
  <si>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</si>
  <si>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</si>
  <si>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</si>
  <si>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</si>
  <si>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</si>
  <si>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</si>
  <si>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</si>
  <si>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</si>
  <si>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</si>
  <si>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</si>
  <si>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</si>
  <si>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</si>
  <si>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</si>
  <si>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</si>
  <si>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</si>
  <si>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</si>
  <si>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</si>
  <si>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</si>
  <si>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</si>
  <si>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</si>
  <si>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</si>
  <si>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</si>
  <si>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</si>
  <si>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</si>
  <si>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</si>
  <si>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</si>
  <si>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</si>
  <si>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</si>
  <si>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</si>
  <si>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</si>
  <si>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</si>
  <si>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</si>
  <si>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</si>
  <si>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</si>
  <si>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</si>
  <si>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</si>
  <si>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</si>
  <si>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</si>
  <si>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</si>
  <si>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</si>
  <si>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</si>
  <si>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</si>
  <si>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</si>
  <si>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</si>
  <si>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</si>
  <si>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</si>
  <si>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</si>
  <si>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</si>
  <si>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</si>
  <si>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</si>
  <si>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</si>
  <si>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</si>
  <si>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</si>
  <si>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</si>
  <si>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</si>
  <si>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</si>
  <si>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</si>
  <si>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</si>
  <si>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</si>
  <si>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</si>
  <si>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</si>
  <si>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</si>
  <si>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</si>
  <si>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</si>
  <si>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</si>
  <si>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</si>
  <si>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</si>
  <si>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</si>
  <si>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</si>
  <si>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</si>
  <si>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</si>
  <si>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</si>
  <si>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</si>
  <si>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</si>
  <si>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</si>
  <si>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</si>
  <si>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</si>
  <si>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</si>
  <si>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</si>
  <si>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</si>
  <si>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</si>
  <si>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</si>
  <si>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</si>
  <si>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</si>
  <si>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</si>
  <si>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</si>
  <si>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</si>
  <si>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</si>
  <si>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</si>
  <si>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</si>
  <si>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</si>
  <si>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</si>
  <si>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</si>
  <si>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</si>
  <si>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</si>
  <si>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</si>
  <si>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</si>
  <si>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</si>
  <si>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</si>
  <si>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</si>
  <si>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</si>
  <si>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</si>
  <si>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</si>
  <si>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</si>
  <si>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</si>
  <si>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</si>
  <si>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</si>
  <si>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</si>
  <si>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</si>
  <si>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</si>
  <si>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</si>
  <si>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</si>
  <si>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</si>
  <si>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</si>
  <si>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</si>
  <si>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</si>
  <si>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</si>
  <si>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</si>
  <si>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</si>
  <si>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</si>
  <si>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</si>
  <si>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</si>
  <si>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</si>
  <si>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</si>
  <si>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</si>
  <si>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</si>
  <si>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</si>
  <si>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</si>
  <si>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</si>
  <si>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</si>
  <si>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</si>
  <si>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</si>
  <si>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</si>
  <si>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</si>
  <si>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</si>
  <si>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</si>
  <si>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</si>
  <si>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</si>
  <si>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</si>
  <si>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</si>
  <si>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</si>
  <si>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</si>
  <si>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</si>
  <si>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</si>
  <si>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</si>
  <si>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</si>
  <si>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</si>
  <si>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</si>
  <si>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</si>
  <si>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</si>
  <si>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</si>
  <si>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</si>
  <si>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</si>
  <si>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</si>
  <si>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</si>
  <si>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</si>
  <si>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</si>
  <si>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</si>
  <si>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</si>
  <si>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</si>
  <si>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</si>
  <si>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</si>
  <si>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</si>
  <si>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</si>
  <si>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</si>
  <si>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</si>
  <si>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</si>
  <si>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</si>
  <si>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</si>
  <si>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</si>
  <si>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</si>
  <si>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</si>
  <si>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</si>
  <si>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</si>
  <si>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</si>
  <si>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</si>
  <si>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</si>
  <si>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</si>
  <si>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</si>
  <si>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</si>
  <si>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</si>
  <si>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</si>
  <si>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</si>
  <si>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</si>
  <si>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</si>
  <si>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</si>
  <si>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</si>
  <si>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</si>
  <si>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</si>
  <si>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</si>
  <si>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</si>
  <si>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</si>
  <si>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</si>
  <si>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</si>
  <si>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</si>
  <si>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</si>
  <si>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</si>
  <si>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</si>
  <si>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</si>
  <si>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</si>
  <si>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</si>
  <si>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</si>
  <si>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</si>
  <si>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</si>
  <si>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</si>
  <si>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</si>
  <si>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</si>
  <si>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</si>
  <si>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</si>
  <si>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</si>
  <si>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</si>
  <si>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</si>
  <si>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</si>
  <si>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</si>
  <si>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</si>
  <si>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</si>
  <si>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</si>
  <si>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</si>
  <si>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</si>
  <si>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</si>
  <si>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</si>
  <si>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</si>
  <si>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</si>
  <si>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</si>
  <si>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</si>
  <si>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</si>
  <si>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</si>
  <si>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</si>
  <si>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</si>
  <si>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</si>
  <si>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</si>
  <si>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</si>
  <si>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</si>
  <si>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</si>
  <si>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</si>
  <si>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</si>
  <si>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</si>
  <si>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</si>
  <si>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</si>
  <si>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</si>
  <si>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</si>
  <si>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</si>
  <si>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</si>
  <si>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</si>
  <si>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</si>
  <si>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</si>
  <si>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</si>
  <si>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</si>
  <si>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</si>
  <si>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</si>
  <si>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</si>
  <si>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</si>
  <si>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</si>
  <si>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</si>
  <si>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</si>
  <si>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</si>
  <si>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</si>
  <si>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</si>
  <si>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</si>
  <si>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</si>
  <si>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</si>
  <si>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</si>
  <si>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</si>
  <si>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</si>
  <si>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</si>
  <si>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</si>
  <si>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</si>
  <si>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</si>
  <si>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</si>
  <si>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</si>
  <si>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</si>
  <si>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</si>
  <si>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</si>
  <si>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</si>
  <si>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</si>
  <si>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</si>
  <si>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</si>
  <si>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</si>
  <si>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</si>
  <si>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</si>
  <si>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</si>
  <si>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</si>
  <si>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</si>
  <si>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</si>
  <si>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</si>
  <si>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</si>
  <si>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</si>
  <si>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</si>
  <si>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</si>
  <si>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</si>
  <si>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</si>
  <si>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</si>
  <si>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</si>
  <si>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</si>
  <si>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</si>
  <si>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</si>
  <si>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</si>
  <si>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</si>
  <si>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</si>
  <si>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</si>
  <si>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</si>
  <si>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</si>
  <si>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</si>
  <si>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</si>
  <si>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</si>
  <si>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</si>
  <si>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</si>
  <si>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</si>
  <si>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</si>
  <si>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</si>
  <si>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</si>
  <si>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</si>
  <si>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</si>
  <si>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</si>
  <si>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</si>
  <si>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</si>
  <si>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</si>
  <si>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</si>
  <si>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</si>
  <si>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</si>
  <si>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</si>
  <si>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</si>
  <si>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</si>
  <si>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</si>
  <si>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</si>
  <si>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</si>
  <si>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</si>
  <si>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</si>
  <si>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</si>
  <si>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</si>
  <si>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</si>
  <si>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</si>
  <si>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</si>
  <si>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</si>
  <si>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</si>
  <si>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</si>
  <si>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</si>
  <si>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</si>
  <si>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</si>
  <si>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</si>
  <si>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</si>
  <si>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</si>
  <si>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</si>
  <si>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</si>
  <si>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</si>
  <si>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</si>
  <si>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</si>
  <si>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</si>
  <si>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</si>
  <si>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</si>
  <si>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</si>
  <si>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</si>
  <si>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</si>
  <si>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</si>
  <si>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</si>
  <si>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</si>
  <si>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</si>
  <si>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</si>
  <si>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</si>
  <si>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</si>
  <si>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</si>
  <si>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</si>
  <si>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</si>
  <si>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</si>
  <si>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</si>
  <si>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</si>
  <si>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</si>
  <si>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</si>
  <si>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</si>
  <si>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</si>
  <si>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</si>
  <si>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</si>
  <si>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</si>
  <si>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</si>
  <si>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</si>
  <si>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</si>
  <si>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</si>
  <si>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</si>
  <si>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</si>
  <si>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</si>
  <si>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</si>
  <si>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</si>
  <si>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</si>
  <si>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</si>
  <si>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</si>
  <si>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</si>
  <si>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</si>
  <si>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</si>
  <si>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</si>
  <si>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</si>
  <si>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</si>
  <si>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</si>
  <si>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</si>
  <si>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</si>
  <si>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</si>
  <si>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</si>
  <si>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</si>
  <si>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</si>
  <si>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</si>
  <si>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</si>
  <si>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</si>
  <si>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</si>
  <si>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</si>
  <si>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</si>
  <si>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</si>
  <si>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</si>
  <si>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</si>
  <si>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</si>
  <si>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</si>
  <si>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</si>
  <si>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</si>
  <si>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</si>
  <si>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</si>
  <si>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</si>
  <si>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</si>
  <si>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</si>
  <si>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</si>
  <si>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</si>
  <si>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</si>
  <si>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</si>
  <si>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</si>
  <si>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</si>
  <si>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</si>
  <si>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</si>
  <si>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</si>
  <si>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</si>
  <si>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</si>
  <si>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</si>
  <si>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</si>
  <si>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</si>
  <si>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</si>
  <si>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</si>
  <si>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</si>
  <si>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</si>
  <si>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</si>
  <si>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</si>
  <si>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</si>
  <si>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</si>
  <si>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</si>
  <si>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</si>
  <si>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</si>
  <si>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</si>
  <si>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</si>
  <si>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</si>
  <si>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</si>
  <si>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</si>
  <si>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</si>
  <si>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</si>
  <si>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</si>
  <si>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</si>
  <si>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</si>
  <si>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</si>
  <si>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</si>
  <si>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</si>
  <si>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</si>
  <si>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</si>
  <si>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</si>
  <si>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</si>
  <si>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</si>
  <si>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</si>
  <si>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</si>
  <si>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</si>
  <si>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</si>
  <si>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</si>
  <si>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</si>
  <si>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</si>
  <si>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</si>
  <si>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</si>
  <si>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</si>
  <si>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</si>
  <si>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</si>
  <si>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</si>
  <si>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</si>
  <si>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</si>
  <si>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</si>
  <si>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</si>
  <si>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</si>
  <si>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</si>
  <si>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</si>
  <si>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</si>
  <si>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</si>
  <si>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</si>
  <si>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</si>
  <si>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</si>
  <si>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</si>
  <si>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</si>
  <si>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</si>
  <si>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</si>
  <si>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</si>
  <si>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</si>
  <si>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</si>
  <si>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</si>
  <si>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</si>
  <si>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</si>
  <si>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</si>
  <si>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</si>
  <si>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</si>
  <si>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</si>
  <si>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</si>
  <si>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</si>
  <si>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</si>
  <si>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</si>
  <si>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</si>
  <si>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</si>
  <si>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</si>
  <si>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</si>
  <si>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</si>
  <si>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</si>
  <si>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</si>
  <si>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</si>
  <si>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</si>
  <si>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</si>
  <si>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</si>
  <si>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</si>
  <si>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</si>
  <si>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</si>
  <si>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</si>
  <si>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</si>
  <si>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</si>
  <si>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</si>
  <si>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</si>
  <si>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</si>
  <si>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</si>
  <si>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</si>
  <si>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</si>
  <si>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</si>
  <si>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</si>
  <si>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</si>
  <si>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</si>
  <si>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</si>
  <si>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</si>
  <si>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</si>
  <si>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</si>
  <si>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</si>
  <si>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</si>
  <si>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</si>
  <si>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</si>
  <si>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</si>
  <si>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</si>
  <si>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</si>
  <si>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</si>
  <si>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</si>
  <si>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</si>
  <si>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</si>
  <si>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</si>
  <si>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</si>
  <si>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</si>
  <si>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</si>
  <si>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</si>
  <si>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</si>
  <si>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</si>
  <si>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</si>
  <si>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</si>
  <si>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</si>
  <si>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</si>
  <si>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</si>
  <si>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</si>
  <si>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</si>
  <si>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</si>
  <si>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</si>
  <si>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</si>
  <si>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</si>
  <si>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</si>
  <si>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</si>
  <si>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</si>
  <si>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</si>
  <si>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</si>
  <si>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</si>
  <si>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</si>
  <si>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</si>
  <si>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</si>
  <si>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</si>
  <si>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</si>
  <si>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</si>
  <si>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</si>
  <si>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</si>
  <si>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</si>
  <si>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</si>
  <si>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</si>
  <si>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</si>
  <si>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</si>
  <si>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</si>
  <si>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</si>
  <si>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</si>
  <si>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</si>
  <si>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</si>
  <si>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</si>
  <si>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</si>
  <si>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</si>
  <si>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</si>
  <si>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</si>
  <si>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</si>
  <si>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</si>
  <si>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</si>
  <si>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</si>
  <si>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</si>
  <si>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</si>
  <si>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</si>
  <si>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</si>
  <si>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</si>
  <si>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</si>
  <si>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</si>
  <si>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</si>
  <si>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</si>
  <si>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</si>
  <si>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</si>
  <si>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</si>
  <si>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</si>
  <si>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</si>
  <si>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</si>
  <si>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</si>
  <si>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</si>
  <si>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</si>
  <si>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</si>
  <si>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</si>
  <si>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</si>
  <si>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</si>
  <si>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</si>
  <si>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</si>
  <si>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</si>
  <si>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</si>
  <si>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</si>
  <si>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</si>
  <si>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</si>
  <si>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</si>
  <si>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</si>
  <si>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</si>
  <si>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</si>
  <si>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</si>
  <si>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</si>
  <si>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</si>
  <si>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</si>
  <si>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</si>
  <si>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</si>
  <si>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</si>
  <si>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</si>
  <si>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</si>
  <si>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</si>
  <si>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</si>
  <si>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</si>
  <si>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</si>
  <si>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</si>
  <si>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</si>
  <si>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</si>
  <si>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</si>
  <si>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</si>
  <si>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</si>
  <si>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</si>
  <si>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</si>
  <si>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</si>
  <si>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</si>
  <si>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</si>
  <si>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</si>
  <si>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</si>
  <si>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</si>
  <si>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</si>
  <si>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</si>
  <si>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</si>
  <si>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</si>
  <si>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</si>
  <si>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</si>
  <si>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</si>
  <si>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</si>
  <si>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</si>
  <si>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</si>
  <si>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</si>
  <si>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</si>
  <si>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</si>
  <si>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</si>
  <si>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</si>
  <si>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</si>
  <si>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</si>
  <si>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</si>
  <si>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</si>
  <si>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</si>
  <si>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</si>
  <si>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</si>
  <si>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</si>
  <si>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</si>
  <si>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</si>
  <si>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</si>
  <si>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</si>
  <si>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</si>
  <si>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</si>
  <si>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</si>
  <si>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</si>
  <si>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</si>
  <si>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</si>
  <si>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</si>
  <si>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</si>
  <si>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</si>
  <si>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</si>
  <si>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</si>
  <si>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</si>
  <si>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</si>
  <si>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</si>
  <si>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</si>
  <si>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</si>
  <si>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</si>
  <si>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</si>
  <si>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</si>
  <si>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</si>
  <si>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</si>
  <si>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</si>
  <si>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</si>
  <si>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</si>
  <si>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</si>
  <si>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</si>
  <si>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</si>
  <si>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</si>
  <si>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</si>
  <si>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</si>
  <si>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</si>
  <si>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</si>
  <si>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</si>
  <si>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</si>
  <si>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</si>
  <si>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</si>
  <si>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</si>
  <si>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</si>
  <si>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</si>
  <si>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</si>
  <si>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</si>
  <si>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</si>
  <si>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</si>
  <si>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</si>
  <si>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</si>
  <si>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</si>
  <si>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</si>
  <si>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</si>
  <si>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</si>
  <si>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</si>
  <si>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</si>
  <si>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</si>
  <si>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</si>
  <si>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</si>
  <si>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</si>
  <si>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</si>
  <si>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</si>
  <si>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</si>
  <si>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</si>
  <si>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</si>
  <si>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</si>
  <si>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</si>
  <si>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</si>
  <si>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</si>
  <si>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</si>
  <si>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</si>
  <si>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</si>
  <si>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</si>
  <si>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</si>
  <si>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</si>
  <si>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</si>
  <si>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</si>
  <si>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</si>
  <si>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</si>
  <si>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</si>
  <si>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</si>
  <si>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</si>
  <si>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</si>
  <si>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</si>
  <si>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</si>
  <si>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</si>
  <si>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</si>
  <si>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</si>
  <si>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</si>
  <si>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</si>
  <si>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</si>
  <si>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</si>
  <si>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</si>
  <si>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</si>
  <si>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</si>
  <si>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</si>
  <si>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</si>
  <si>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</si>
  <si>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</si>
  <si>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</si>
  <si>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</si>
  <si>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</si>
  <si>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</si>
  <si>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</si>
  <si>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</si>
  <si>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</si>
  <si>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</si>
  <si>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</si>
  <si>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</si>
  <si>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</si>
  <si>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</si>
  <si>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</si>
  <si>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</si>
  <si>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</si>
  <si>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</si>
  <si>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</si>
  <si>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</si>
  <si>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</si>
  <si>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</si>
  <si>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</si>
  <si>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</si>
  <si>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</si>
  <si>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</si>
  <si>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</si>
  <si>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</si>
  <si>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</si>
  <si>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</si>
  <si>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</si>
  <si>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</si>
  <si>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</si>
  <si>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</si>
  <si>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</si>
  <si>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</si>
  <si>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</si>
  <si>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</si>
  <si>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</si>
  <si>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</si>
  <si>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</si>
  <si>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</si>
  <si>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</si>
  <si>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</si>
  <si>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</si>
  <si>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</si>
  <si>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</si>
  <si>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</si>
  <si>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</si>
  <si>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</si>
  <si>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</si>
  <si>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</si>
  <si>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</si>
  <si>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</si>
  <si>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</si>
  <si>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</si>
  <si>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</si>
  <si>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</si>
  <si>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</si>
  <si>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</si>
  <si>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</si>
  <si>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</si>
  <si>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</si>
  <si>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</si>
  <si>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</si>
  <si>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</si>
  <si>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</si>
  <si>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</si>
  <si>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</si>
  <si>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</si>
  <si>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</si>
  <si>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</si>
  <si>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</si>
  <si>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</si>
  <si>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</si>
  <si>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</si>
  <si>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</si>
  <si>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</si>
  <si>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</si>
  <si>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</si>
  <si>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</si>
  <si>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</si>
  <si>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</si>
  <si>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</si>
  <si>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</si>
  <si>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</si>
  <si>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</si>
  <si>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</si>
  <si>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</si>
  <si>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</si>
  <si>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</si>
  <si>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</si>
  <si>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</si>
  <si>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</si>
  <si>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</si>
  <si>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</si>
  <si>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</si>
  <si>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</si>
  <si>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</si>
  <si>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</si>
  <si>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</si>
  <si>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</si>
  <si>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</si>
  <si>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</si>
  <si>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</si>
  <si>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</si>
  <si>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</si>
  <si>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</si>
  <si>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</si>
  <si>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</si>
  <si>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</si>
  <si>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</si>
  <si>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</si>
  <si>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</si>
  <si>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</si>
  <si>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</si>
  <si>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</si>
  <si>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</si>
  <si>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</si>
  <si>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</si>
  <si>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</si>
  <si>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</si>
  <si>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</si>
  <si>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</si>
  <si>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</si>
  <si>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</si>
  <si>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</si>
  <si>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</si>
  <si>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</si>
  <si>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</si>
  <si>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</si>
  <si>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</si>
  <si>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</si>
  <si>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</si>
  <si>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</si>
  <si>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</si>
  <si>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</si>
  <si>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</si>
  <si>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</si>
  <si>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</si>
  <si>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</si>
  <si>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</si>
  <si>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</si>
  <si>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</si>
  <si>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</si>
  <si>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</si>
  <si>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</si>
  <si>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</si>
  <si>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</si>
  <si>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</si>
  <si>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</si>
  <si>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</si>
  <si>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</si>
  <si>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</si>
  <si>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</si>
  <si>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</si>
  <si>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</si>
  <si>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</si>
  <si>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</si>
  <si>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</si>
  <si>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</si>
  <si>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</si>
  <si>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</si>
  <si>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</si>
  <si>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</si>
  <si>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</si>
  <si>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</si>
  <si>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</si>
  <si>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</si>
  <si>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</si>
  <si>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</si>
  <si>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</si>
  <si>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</si>
  <si>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</si>
  <si>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</si>
  <si>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</si>
  <si>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</si>
  <si>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</si>
  <si>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</si>
  <si>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</si>
  <si>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</si>
  <si>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</si>
  <si>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</si>
  <si>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</si>
  <si>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</si>
  <si>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</si>
  <si>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</si>
  <si>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</si>
  <si>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</si>
  <si>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</si>
  <si>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</si>
  <si>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</si>
  <si>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</si>
  <si>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</si>
  <si>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</si>
  <si>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</si>
  <si>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</si>
  <si>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</si>
  <si>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</si>
  <si>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</si>
  <si>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</si>
  <si>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</si>
  <si>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</si>
  <si>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</si>
  <si>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</si>
  <si>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</si>
  <si>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</si>
  <si>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</si>
  <si>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</si>
  <si>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</si>
  <si>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</si>
  <si>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</si>
  <si>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</si>
  <si>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</si>
  <si>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</si>
  <si>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</si>
  <si>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</si>
  <si>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</si>
  <si>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</si>
  <si>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</si>
  <si>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</si>
  <si>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</si>
  <si>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</si>
  <si>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</si>
  <si>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</si>
  <si>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</si>
  <si>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</si>
  <si>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</si>
  <si>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</si>
  <si>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</si>
  <si>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</si>
  <si>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</si>
  <si>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</si>
  <si>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</si>
  <si>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</si>
  <si>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</si>
  <si>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</si>
  <si>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</si>
  <si>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</si>
  <si>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</si>
  <si>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</si>
  <si>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</si>
  <si>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</si>
  <si>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</si>
  <si>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</si>
  <si>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</si>
  <si>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</si>
  <si>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</si>
  <si>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</si>
  <si>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</si>
  <si>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</si>
  <si>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</si>
  <si>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</si>
  <si>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</si>
  <si>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</si>
  <si>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</si>
  <si>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</si>
  <si>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</si>
  <si>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</si>
  <si>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</si>
  <si>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</si>
  <si>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</si>
  <si>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</si>
  <si>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</si>
  <si>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</si>
  <si>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</si>
  <si>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</si>
  <si>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</si>
  <si>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</si>
  <si>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</si>
  <si>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</si>
  <si>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</si>
  <si>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</si>
  <si>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</si>
  <si>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</si>
  <si>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</si>
  <si>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</si>
  <si>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</si>
  <si>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</si>
  <si>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</si>
  <si>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</si>
  <si>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</si>
  <si>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</si>
  <si>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</si>
  <si>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</si>
  <si>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</si>
  <si>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</si>
  <si>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</si>
  <si>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</si>
  <si>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</si>
  <si>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</si>
  <si>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</si>
  <si>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</si>
  <si>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</si>
  <si>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</si>
  <si>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</si>
  <si>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</si>
  <si>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</si>
  <si>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</si>
  <si>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</si>
  <si>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</si>
  <si>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</si>
  <si>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</si>
  <si>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</si>
  <si>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</si>
  <si>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</si>
  <si>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</si>
  <si>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</si>
  <si>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</si>
  <si>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</si>
  <si>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</si>
  <si>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</si>
  <si>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</si>
  <si>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</si>
  <si>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</si>
  <si>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</si>
  <si>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</si>
  <si>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</si>
  <si>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</si>
  <si>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</si>
  <si>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</si>
  <si>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</si>
  <si>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</si>
  <si>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</si>
  <si>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</si>
  <si>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</si>
  <si>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</si>
  <si>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</si>
  <si>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</si>
  <si>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</si>
  <si>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</si>
  <si>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</si>
  <si>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</si>
  <si>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</si>
  <si>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</si>
  <si>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</si>
  <si>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</si>
  <si>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</si>
  <si>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</si>
  <si>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</si>
  <si>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</si>
  <si>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</si>
  <si>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</si>
  <si>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</si>
  <si>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</si>
  <si>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</si>
  <si>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</si>
  <si>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</si>
  <si>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</si>
  <si>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</si>
  <si>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</si>
  <si>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</si>
  <si>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</si>
  <si>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</si>
  <si>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</si>
  <si>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</si>
  <si>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</si>
  <si>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</si>
  <si>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</si>
  <si>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</si>
  <si>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</si>
  <si>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</si>
  <si>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</si>
  <si>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</si>
  <si>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</si>
  <si>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</si>
  <si>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</si>
  <si>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</si>
  <si>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</si>
  <si>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</si>
  <si>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</si>
  <si>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</si>
  <si>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</si>
  <si>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</si>
  <si>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</si>
  <si>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</si>
  <si>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</si>
  <si>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</si>
  <si>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</si>
  <si>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</si>
  <si>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</si>
  <si>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</si>
  <si>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</si>
  <si>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</si>
  <si>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</si>
  <si>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</si>
  <si>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</si>
  <si>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</si>
  <si>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</si>
  <si>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</si>
  <si>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</si>
  <si>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</si>
  <si>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</si>
  <si>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</si>
  <si>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</si>
  <si>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</si>
  <si>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</si>
  <si>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</si>
  <si>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</si>
  <si>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</si>
  <si>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</si>
  <si>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</si>
  <si>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</si>
  <si>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</si>
  <si>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</si>
  <si>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</si>
  <si>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</si>
  <si>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</si>
  <si>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</si>
  <si>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</si>
  <si>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</si>
  <si>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</si>
  <si>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</si>
  <si>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</si>
  <si>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</si>
  <si>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</si>
  <si>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</si>
  <si>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</si>
  <si>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</si>
  <si>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</si>
  <si>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</si>
  <si>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</si>
  <si>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</si>
  <si>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</si>
  <si>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</si>
  <si>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</si>
  <si>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</si>
  <si>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</si>
  <si>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</si>
  <si>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</si>
  <si>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</si>
  <si>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</si>
  <si>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</si>
  <si>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</si>
  <si>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</si>
  <si>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</si>
  <si>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</si>
  <si>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</si>
  <si>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</si>
  <si>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</si>
  <si>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</si>
  <si>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</si>
  <si>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</si>
  <si>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</si>
  <si>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</si>
  <si>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</si>
  <si>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</si>
  <si>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</si>
  <si>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</si>
  <si>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</si>
  <si>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</si>
  <si>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</si>
  <si>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</si>
  <si>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</si>
  <si>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</si>
  <si>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</si>
  <si>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</si>
  <si>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</si>
  <si>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</si>
  <si>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</si>
  <si>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</si>
  <si>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</si>
  <si>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</si>
  <si>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</si>
  <si>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</si>
  <si>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</si>
  <si>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</si>
  <si>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</si>
  <si>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</si>
  <si>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</si>
  <si>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</si>
  <si>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</si>
  <si>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</si>
  <si>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</si>
  <si>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</si>
  <si>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</si>
  <si>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</si>
  <si>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</si>
  <si>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</si>
  <si>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</si>
  <si>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</si>
  <si>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</si>
  <si>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</si>
  <si>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</si>
  <si>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</si>
  <si>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</si>
  <si>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</si>
  <si>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</si>
  <si>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</si>
  <si>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</si>
  <si>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</si>
  <si>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</si>
  <si>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</si>
  <si>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</si>
  <si>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</si>
  <si>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</si>
  <si>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</si>
  <si>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</si>
  <si>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</si>
  <si>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</si>
  <si>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</si>
  <si>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</si>
  <si>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</si>
  <si>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</si>
  <si>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</si>
  <si>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</si>
  <si>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</si>
  <si>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</si>
  <si>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</si>
  <si>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</si>
  <si>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</si>
  <si>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</si>
  <si>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</si>
  <si>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</si>
  <si>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</si>
  <si>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</si>
  <si>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</si>
  <si>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</si>
  <si>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</si>
  <si>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</si>
  <si>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</si>
  <si>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</si>
  <si>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</si>
  <si>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</si>
  <si>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</si>
  <si>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</si>
  <si>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</si>
  <si>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</si>
  <si>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</si>
  <si>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</si>
  <si>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</si>
  <si>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</si>
  <si>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</si>
  <si>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</si>
  <si>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</si>
  <si>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</si>
  <si>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</si>
  <si>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</si>
  <si>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</si>
  <si>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</si>
  <si>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</si>
  <si>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</si>
  <si>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</si>
  <si>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</si>
  <si>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</si>
  <si>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</si>
  <si>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</si>
  <si>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</si>
  <si>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</si>
  <si>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</si>
  <si>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</si>
  <si>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</si>
  <si>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</si>
  <si>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</si>
  <si>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</si>
  <si>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</si>
  <si>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</si>
  <si>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</si>
  <si>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</si>
  <si>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</si>
  <si>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</si>
  <si>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</si>
  <si>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</si>
  <si>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</si>
  <si>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</si>
  <si>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</si>
  <si>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</si>
  <si>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</si>
  <si>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</si>
  <si>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</si>
  <si>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</si>
  <si>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</si>
  <si>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</si>
  <si>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</si>
  <si>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</si>
  <si>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</si>
  <si>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</si>
  <si>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</si>
  <si>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</si>
  <si>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</si>
  <si>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</si>
  <si>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</si>
  <si>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</si>
  <si>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</si>
  <si>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</si>
  <si>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</si>
  <si>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</si>
  <si>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</si>
  <si>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</si>
  <si>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</si>
  <si>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</si>
  <si>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</si>
  <si>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</si>
  <si>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</si>
  <si>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</si>
  <si>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</si>
  <si>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</si>
  <si>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</si>
  <si>
    <t>CUST1403</t>
  </si>
  <si>
    <t>CUST1406</t>
  </si>
  <si>
    <t>CUST1365</t>
  </si>
  <si>
    <t>CUST1074</t>
  </si>
  <si>
    <t>CUST1173</t>
  </si>
  <si>
    <t>CUST1032</t>
  </si>
  <si>
    <t>CUST1316</t>
  </si>
  <si>
    <t>CUST1494</t>
  </si>
  <si>
    <t>CUST1067</t>
  </si>
  <si>
    <t>CUST1408</t>
  </si>
  <si>
    <t>CUST1226</t>
  </si>
  <si>
    <t>CUST1254</t>
  </si>
  <si>
    <t>CUST1319</t>
  </si>
  <si>
    <t>CUST1249</t>
  </si>
  <si>
    <t>CUST1496</t>
  </si>
  <si>
    <t>CUST1387</t>
  </si>
  <si>
    <t>CUST1185</t>
  </si>
  <si>
    <t>CUST1454</t>
  </si>
  <si>
    <t>CUST1342</t>
  </si>
  <si>
    <t>CUST1258</t>
  </si>
  <si>
    <t>CUST1457</t>
  </si>
  <si>
    <t>CUST1469</t>
  </si>
  <si>
    <t>CUST1241</t>
  </si>
  <si>
    <t>CUST1006</t>
  </si>
  <si>
    <t>CUST1407</t>
  </si>
  <si>
    <t>CUST1106</t>
  </si>
  <si>
    <t>CUST1003</t>
  </si>
  <si>
    <t>CUST1062</t>
  </si>
  <si>
    <t>CUST1137</t>
  </si>
  <si>
    <t>CUST1431</t>
  </si>
  <si>
    <t>CUST1031</t>
  </si>
  <si>
    <t>CUST1327</t>
  </si>
  <si>
    <t>CUST1013</t>
  </si>
  <si>
    <t>CUST1113</t>
  </si>
  <si>
    <t>CUST1091</t>
  </si>
  <si>
    <t>CUST1034</t>
  </si>
  <si>
    <t>CUST1434</t>
  </si>
  <si>
    <t>CUST1121</t>
  </si>
  <si>
    <t>CUST1439</t>
  </si>
  <si>
    <t>CUST1139</t>
  </si>
  <si>
    <t>CUST1490</t>
  </si>
  <si>
    <t>CUST1458</t>
  </si>
  <si>
    <t>CUST1402</t>
  </si>
  <si>
    <t>CUST1336</t>
  </si>
  <si>
    <t>CUST1168</t>
  </si>
  <si>
    <t>CUST1347</t>
  </si>
  <si>
    <t>CUST1498</t>
  </si>
  <si>
    <t>CUST1104</t>
  </si>
  <si>
    <t>CUST1205</t>
  </si>
  <si>
    <t>CUST1221</t>
  </si>
  <si>
    <t>CUST1103</t>
  </si>
  <si>
    <t>CUST1065</t>
  </si>
  <si>
    <t>CUST1418</t>
  </si>
  <si>
    <t>CUST1344</t>
  </si>
  <si>
    <t>CUST1300</t>
  </si>
  <si>
    <t>CUST1129</t>
  </si>
  <si>
    <t>CUST1260</t>
  </si>
  <si>
    <t>CUST1101</t>
  </si>
  <si>
    <t>CUST1456</t>
  </si>
  <si>
    <t>CUST1333</t>
  </si>
  <si>
    <t>CUST1330</t>
  </si>
  <si>
    <t>CUST1236</t>
  </si>
  <si>
    <t>CUST1096</t>
  </si>
  <si>
    <t>CUST1162</t>
  </si>
  <si>
    <t>CUST1355</t>
  </si>
  <si>
    <t>CUST1346</t>
  </si>
  <si>
    <t>CUST1487</t>
  </si>
  <si>
    <t>CUST1216</t>
  </si>
  <si>
    <t>CUST1239</t>
  </si>
  <si>
    <t>CUST1243</t>
  </si>
  <si>
    <t>CUST1354</t>
  </si>
  <si>
    <t>CUST1345</t>
  </si>
  <si>
    <t>CUST1248</t>
  </si>
  <si>
    <t>CUST1135</t>
  </si>
  <si>
    <t>CUST1000</t>
  </si>
  <si>
    <t>CUST1225</t>
  </si>
  <si>
    <t>CUST1088</t>
  </si>
  <si>
    <t>CUST1064</t>
  </si>
  <si>
    <t>CUST1324</t>
  </si>
  <si>
    <t>CUST1479</t>
  </si>
  <si>
    <t>CUST1016</t>
  </si>
  <si>
    <t>CUST1169</t>
  </si>
  <si>
    <t>CUST1261</t>
  </si>
  <si>
    <t>CUST1188</t>
  </si>
  <si>
    <t>CUST1069</t>
  </si>
  <si>
    <t>CUST1307</t>
  </si>
  <si>
    <t>CUST1378</t>
  </si>
  <si>
    <t>CUST1466</t>
  </si>
  <si>
    <t>CUST1141</t>
  </si>
  <si>
    <t>CUST1022</t>
  </si>
  <si>
    <t>CUST1131</t>
  </si>
  <si>
    <t>CUST1286</t>
  </si>
  <si>
    <t>CUST1268</t>
  </si>
  <si>
    <t>CUST1417</t>
  </si>
  <si>
    <t>CUST1214</t>
  </si>
  <si>
    <t>CUST1351</t>
  </si>
  <si>
    <t>CUST1320</t>
  </si>
  <si>
    <t>CUST1207</t>
  </si>
  <si>
    <t>CUST1390</t>
  </si>
  <si>
    <t>CUST1145</t>
  </si>
  <si>
    <t>CUST1167</t>
  </si>
  <si>
    <t>CUST1043</t>
  </si>
  <si>
    <t>CUST1461</t>
  </si>
  <si>
    <t>CUST1331</t>
  </si>
  <si>
    <t>CUST1441</t>
  </si>
  <si>
    <t>CUST1437</t>
  </si>
  <si>
    <t>CUST1209</t>
  </si>
  <si>
    <t>CUST1210</t>
  </si>
  <si>
    <t>CUST1465</t>
  </si>
  <si>
    <t>CUST1497</t>
  </si>
  <si>
    <t>CUST1438</t>
  </si>
  <si>
    <t>CUST1217</t>
  </si>
  <si>
    <t>CUST1334</t>
  </si>
  <si>
    <t>CUST1451</t>
  </si>
  <si>
    <t>CUST1493</t>
  </si>
  <si>
    <t>CUST1124</t>
  </si>
  <si>
    <t>CUST1080</t>
  </si>
  <si>
    <t>CUST1284</t>
  </si>
  <si>
    <t>CUST1364</t>
  </si>
  <si>
    <t>CUST1038</t>
  </si>
  <si>
    <t>CUST1395</t>
  </si>
  <si>
    <t>CUST1252</t>
  </si>
  <si>
    <t>CUST1247</t>
  </si>
  <si>
    <t>CUST1009</t>
  </si>
  <si>
    <t>CUST1024</t>
  </si>
  <si>
    <t>CUST1112</t>
  </si>
  <si>
    <t>CUST1382</t>
  </si>
  <si>
    <t>CUST1054</t>
  </si>
  <si>
    <t>CUST1423</t>
  </si>
  <si>
    <t>CUST1057</t>
  </si>
  <si>
    <t>CUST1114</t>
  </si>
  <si>
    <t>CUST1265</t>
  </si>
  <si>
    <t>CUST1174</t>
  </si>
  <si>
    <t>CUST1228</t>
  </si>
  <si>
    <t>CUST1443</t>
  </si>
  <si>
    <t>CUST1150</t>
  </si>
  <si>
    <t>CUST1163</t>
  </si>
  <si>
    <t>CUST1266</t>
  </si>
  <si>
    <t>CUST1090</t>
  </si>
  <si>
    <t>CUST1394</t>
  </si>
  <si>
    <t>CUST1076</t>
  </si>
  <si>
    <t>CUST1180</t>
  </si>
  <si>
    <t>CUST1058</t>
  </si>
  <si>
    <t>CUST1358</t>
  </si>
  <si>
    <t>CUST1432</t>
  </si>
  <si>
    <t>CUST1161</t>
  </si>
  <si>
    <t>CUST1285</t>
  </si>
  <si>
    <t>CUST1424</t>
  </si>
  <si>
    <t>CUST1292</t>
  </si>
  <si>
    <t>CUST1426</t>
  </si>
  <si>
    <t>CUST1296</t>
  </si>
  <si>
    <t>CUST1475</t>
  </si>
  <si>
    <t>CUST1299</t>
  </si>
  <si>
    <t>CUST1130</t>
  </si>
  <si>
    <t>CUST1401</t>
  </si>
  <si>
    <t>CUST1295</t>
  </si>
  <si>
    <t>CUST1051</t>
  </si>
  <si>
    <t>CUST1369</t>
  </si>
  <si>
    <t>CUST1222</t>
  </si>
  <si>
    <t>CUST1278</t>
  </si>
  <si>
    <t>CUST1023</t>
  </si>
  <si>
    <t>CUST1309</t>
  </si>
  <si>
    <t>CUST1480</t>
  </si>
  <si>
    <t>CUST1178</t>
  </si>
  <si>
    <t>CUST1182</t>
  </si>
  <si>
    <t>CUST1335</t>
  </si>
  <si>
    <t>CUST1398</t>
  </si>
  <si>
    <t>CUST1156</t>
  </si>
  <si>
    <t>CUST1119</t>
  </si>
  <si>
    <t>CUST1020</t>
  </si>
  <si>
    <t>CUST1389</t>
  </si>
  <si>
    <t>CUST1158</t>
  </si>
  <si>
    <t>CUST1215</t>
  </si>
  <si>
    <t>CUST1301</t>
  </si>
  <si>
    <t>CUST1348</t>
  </si>
  <si>
    <t>CUST1206</t>
  </si>
  <si>
    <t>CUST1176</t>
  </si>
  <si>
    <t>CUST1098</t>
  </si>
  <si>
    <t>CUST1305</t>
  </si>
  <si>
    <t>CUST1159</t>
  </si>
  <si>
    <t>CUST1297</t>
  </si>
  <si>
    <t>CUST1040</t>
  </si>
  <si>
    <t>CUST1082</t>
  </si>
  <si>
    <t>CUST1277</t>
  </si>
  <si>
    <t>CUST1190</t>
  </si>
  <si>
    <t>CUST1484</t>
  </si>
  <si>
    <t>CUST1270</t>
  </si>
  <si>
    <t>CUST1234</t>
  </si>
  <si>
    <t>CUST1213</t>
  </si>
  <si>
    <t>CUST1001</t>
  </si>
  <si>
    <t>CUST1280</t>
  </si>
  <si>
    <t>CUST1349</t>
  </si>
  <si>
    <t>CUST1219</t>
  </si>
  <si>
    <t>CUST1126</t>
  </si>
  <si>
    <t>CUST1233</t>
  </si>
  <si>
    <t>CUST1203</t>
  </si>
  <si>
    <t>CUST1463</t>
  </si>
  <si>
    <t>CUST1223</t>
  </si>
  <si>
    <t>CUST1368</t>
  </si>
  <si>
    <t>CUST1189</t>
  </si>
  <si>
    <t>CUST1230</t>
  </si>
  <si>
    <t>CUST1483</t>
  </si>
  <si>
    <t>CUST1310</t>
  </si>
  <si>
    <t>CUST1201</t>
  </si>
  <si>
    <t>CUST1177</t>
  </si>
  <si>
    <t>CUST1079</t>
  </si>
  <si>
    <t>CUST1238</t>
  </si>
  <si>
    <t>CUST1462</t>
  </si>
  <si>
    <t>CUST1298</t>
  </si>
  <si>
    <t>CUST1416</t>
  </si>
  <si>
    <t>CUST1160</t>
  </si>
  <si>
    <t>CUST1204</t>
  </si>
  <si>
    <t>CUST1068</t>
  </si>
  <si>
    <t>CUST1453</t>
  </si>
  <si>
    <t>CUST1073</t>
  </si>
  <si>
    <t>CUST1147</t>
  </si>
  <si>
    <t>CUST1472</t>
  </si>
  <si>
    <t>CUST1060</t>
  </si>
  <si>
    <t>CUST1105</t>
  </si>
  <si>
    <t>CUST1385</t>
  </si>
  <si>
    <t>CUST1198</t>
  </si>
  <si>
    <t>CUST1015</t>
  </si>
  <si>
    <t>CUST1072</t>
  </si>
  <si>
    <t>CUST1329</t>
  </si>
  <si>
    <t>CUST1276</t>
  </si>
  <si>
    <t>CUST1436</t>
  </si>
  <si>
    <t>CUST1442</t>
  </si>
  <si>
    <t>CUST1246</t>
  </si>
  <si>
    <t>CUST1078</t>
  </si>
  <si>
    <t>CUST1136</t>
  </si>
  <si>
    <t>CUST1312</t>
  </si>
  <si>
    <t>CUST1447</t>
  </si>
  <si>
    <t>CUST1318</t>
  </si>
  <si>
    <t>CUST1116</t>
  </si>
  <si>
    <t>CUST1470</t>
  </si>
  <si>
    <t>CUST1152</t>
  </si>
  <si>
    <t>CUST1376</t>
  </si>
  <si>
    <t>CUST1195</t>
  </si>
  <si>
    <t>CUST1181</t>
  </si>
  <si>
    <t>CUST1414</t>
  </si>
  <si>
    <t>CUST1240</t>
  </si>
  <si>
    <t>CUST1489</t>
  </si>
  <si>
    <t>CUST1275</t>
  </si>
  <si>
    <t>CUST1311</t>
  </si>
  <si>
    <t>CUST1420</t>
  </si>
  <si>
    <t>CUST1400</t>
  </si>
  <si>
    <t>CUST1397</t>
  </si>
  <si>
    <t>CUST1422</t>
  </si>
  <si>
    <t>CUST1011</t>
  </si>
  <si>
    <t>CUST1411</t>
  </si>
  <si>
    <t>CUST1066</t>
  </si>
  <si>
    <t>CUST1142</t>
  </si>
  <si>
    <t>CUST1196</t>
  </si>
  <si>
    <t>CUST1306</t>
  </si>
  <si>
    <t>CUST1361</t>
  </si>
  <si>
    <t>CUST1467</t>
  </si>
  <si>
    <t>CUST1360</t>
  </si>
  <si>
    <t>CUST1115</t>
  </si>
  <si>
    <t>CUST1063</t>
  </si>
  <si>
    <t>CUST1055</t>
  </si>
  <si>
    <t>CUST1425</t>
  </si>
  <si>
    <t>CUST1005</t>
  </si>
  <si>
    <t>CUST1033</t>
  </si>
  <si>
    <t>CUST1448</t>
  </si>
  <si>
    <t>CUST1409</t>
  </si>
  <si>
    <t>CUST1495</t>
  </si>
  <si>
    <t>CUST1199</t>
  </si>
  <si>
    <t>CUST1486</t>
  </si>
  <si>
    <t>CUST1157</t>
  </si>
  <si>
    <t>CUST1338</t>
  </si>
  <si>
    <t>CUST1153</t>
  </si>
  <si>
    <t>CUST1095</t>
  </si>
  <si>
    <t>CUST1042</t>
  </si>
  <si>
    <t>CUST1429</t>
  </si>
  <si>
    <t>CUST1383</t>
  </si>
  <si>
    <t>CUST1459</t>
  </si>
  <si>
    <t>CUST1264</t>
  </si>
  <si>
    <t>CUST1445</t>
  </si>
  <si>
    <t>CUST1363</t>
  </si>
  <si>
    <t>CUST1097</t>
  </si>
  <si>
    <t>CUST1092</t>
  </si>
  <si>
    <t>CUST1405</t>
  </si>
  <si>
    <t>CUST1289</t>
  </si>
  <si>
    <t>CUST1232</t>
  </si>
  <si>
    <t>CUST1356</t>
  </si>
  <si>
    <t>CUST1455</t>
  </si>
  <si>
    <t>CUST1202</t>
  </si>
  <si>
    <t>CUST1179</t>
  </si>
  <si>
    <t>CUST1191</t>
  </si>
  <si>
    <t>CUST1256</t>
  </si>
  <si>
    <t>CUST1071</t>
  </si>
  <si>
    <t>CUST1183</t>
  </si>
  <si>
    <t>CUST1435</t>
  </si>
  <si>
    <t>CUST1143</t>
  </si>
  <si>
    <t>CUST1302</t>
  </si>
  <si>
    <t>CUST1164</t>
  </si>
  <si>
    <t>CUST1468</t>
  </si>
  <si>
    <t>CUST1002</t>
  </si>
  <si>
    <t>CUST1392</t>
  </si>
  <si>
    <t>CUST1134</t>
  </si>
  <si>
    <t>CUST1165</t>
  </si>
  <si>
    <t>CUST1227</t>
  </si>
  <si>
    <t>CUST1321</t>
  </si>
  <si>
    <t>CUST1194</t>
  </si>
  <si>
    <t>CUST1352</t>
  </si>
  <si>
    <t>CUST1170</t>
  </si>
  <si>
    <t>CUST1083</t>
  </si>
  <si>
    <t>CUST1473</t>
  </si>
  <si>
    <t>CUST1052</t>
  </si>
  <si>
    <t>CUST1187</t>
  </si>
  <si>
    <t>CUST1099</t>
  </si>
  <si>
    <t>CUST1235</t>
  </si>
  <si>
    <t>CUST1404</t>
  </si>
  <si>
    <t>CUST1229</t>
  </si>
  <si>
    <t>CUST1047</t>
  </si>
  <si>
    <t>CUST1362</t>
  </si>
  <si>
    <t>CUST1037</t>
  </si>
  <si>
    <t>CUST1413</t>
  </si>
  <si>
    <t>CUST1271</t>
  </si>
  <si>
    <t>CUST1125</t>
  </si>
  <si>
    <t>CUST1102</t>
  </si>
  <si>
    <t>CUST1081</t>
  </si>
  <si>
    <t>CUST1012</t>
  </si>
  <si>
    <t>CUST1291</t>
  </si>
  <si>
    <t>CUST1283</t>
  </si>
  <si>
    <t>CUST1308</t>
  </si>
  <si>
    <t>CUST1041</t>
  </si>
  <si>
    <t>CUST1482</t>
  </si>
  <si>
    <t>CUST1050</t>
  </si>
  <si>
    <t>CUST1452</t>
  </si>
  <si>
    <t>CUST1061</t>
  </si>
  <si>
    <t>CUST1381</t>
  </si>
  <si>
    <t>CUST1492</t>
  </si>
  <si>
    <t>CUST1132</t>
  </si>
  <si>
    <t>CUST1212</t>
  </si>
  <si>
    <t>CUST1450</t>
  </si>
  <si>
    <t>CUST1388</t>
  </si>
  <si>
    <t>CUST1267</t>
  </si>
  <si>
    <t>CUST1485</t>
  </si>
  <si>
    <t>CUST1293</t>
  </si>
  <si>
    <t>CUST1193</t>
  </si>
  <si>
    <t>CUST1094</t>
  </si>
  <si>
    <t>CUST1273</t>
  </si>
  <si>
    <t>CUST1449</t>
  </si>
  <si>
    <t>CUST1314</t>
  </si>
  <si>
    <t>CUST1366</t>
  </si>
  <si>
    <t>CUST1380</t>
  </si>
  <si>
    <t>CUST1148</t>
  </si>
  <si>
    <t>CUST1279</t>
  </si>
  <si>
    <t>CUST1151</t>
  </si>
  <si>
    <t>CUST1128</t>
  </si>
  <si>
    <t>CUST1046</t>
  </si>
  <si>
    <t>CUST1421</t>
  </si>
  <si>
    <t>CUST1146</t>
  </si>
  <si>
    <t>CUST1231</t>
  </si>
  <si>
    <t>CUST1242</t>
  </si>
  <si>
    <t>CUST1127</t>
  </si>
  <si>
    <t>CUST1393</t>
  </si>
  <si>
    <t>CUST1077</t>
  </si>
  <si>
    <t>CUST1328</t>
  </si>
  <si>
    <t>CUST1386</t>
  </si>
  <si>
    <t>CUST1415</t>
  </si>
  <si>
    <t>CUST1478</t>
  </si>
  <si>
    <t>CUST1377</t>
  </si>
  <si>
    <t>CUST1184</t>
  </si>
  <si>
    <t>CUST1008</t>
  </si>
  <si>
    <t>CUST1315</t>
  </si>
  <si>
    <t>CUST1353</t>
  </si>
  <si>
    <t>CUST1391</t>
  </si>
  <si>
    <t>CUST1350</t>
  </si>
  <si>
    <t>CUST1133</t>
  </si>
  <si>
    <t>CUST1093</t>
  </si>
  <si>
    <t>CUST1110</t>
  </si>
  <si>
    <t>CUST1428</t>
  </si>
  <si>
    <t>CUST1017</t>
  </si>
  <si>
    <t>CUST1272</t>
  </si>
  <si>
    <t>CUST1010</t>
  </si>
  <si>
    <t>CUST1107</t>
  </si>
  <si>
    <t>CUST1039</t>
  </si>
  <si>
    <t>CUST1197</t>
  </si>
  <si>
    <t>CUST1019</t>
  </si>
  <si>
    <t>CUST1471</t>
  </si>
  <si>
    <t>CUST1149</t>
  </si>
  <si>
    <t>CUST1262</t>
  </si>
  <si>
    <t>CUST1087</t>
  </si>
  <si>
    <t>CUST1464</t>
  </si>
  <si>
    <t>CUST1343</t>
  </si>
  <si>
    <t>CUST1337</t>
  </si>
  <si>
    <t>CUST1089</t>
  </si>
  <si>
    <t>CUST1499</t>
  </si>
  <si>
    <t>CUST1048</t>
  </si>
  <si>
    <t>CUST1004</t>
  </si>
  <si>
    <t>CUST1053</t>
  </si>
  <si>
    <t>CUST1304</t>
  </si>
  <si>
    <t>CUST1491</t>
  </si>
  <si>
    <t>CUST1014</t>
  </si>
  <si>
    <t>CUST1274</t>
  </si>
  <si>
    <t>CUST1200</t>
  </si>
  <si>
    <t>CUST1021</t>
  </si>
  <si>
    <t>CUST1018</t>
  </si>
  <si>
    <t>CUST1259</t>
  </si>
  <si>
    <t>CUST1269</t>
  </si>
  <si>
    <t>CUST1317</t>
  </si>
  <si>
    <t>CUST1171</t>
  </si>
  <si>
    <t>CUST1100</t>
  </si>
  <si>
    <t>CUST1396</t>
  </si>
  <si>
    <t>CUST1056</t>
  </si>
  <si>
    <t>CUST1186</t>
  </si>
  <si>
    <t>CUST1488</t>
  </si>
  <si>
    <t>CUST1282</t>
  </si>
  <si>
    <t>CUST1224</t>
  </si>
  <si>
    <t>CUST1155</t>
  </si>
  <si>
    <t>CUST1367</t>
  </si>
  <si>
    <t>CUST1444</t>
  </si>
  <si>
    <t>CUST1288</t>
  </si>
  <si>
    <t>CUST1045</t>
  </si>
  <si>
    <t>CUST1374</t>
  </si>
  <si>
    <t>CUST1084</t>
  </si>
  <si>
    <t>CUST1322</t>
  </si>
  <si>
    <t>CUST1166</t>
  </si>
  <si>
    <t>CUST1028</t>
  </si>
  <si>
    <t>CUST1370</t>
  </si>
  <si>
    <t>CUST1255</t>
  </si>
  <si>
    <t>CUST1108</t>
  </si>
  <si>
    <t>CUST1372</t>
  </si>
  <si>
    <t>CUST1253</t>
  </si>
  <si>
    <t>CUST1192</t>
  </si>
  <si>
    <t>CUST1375</t>
  </si>
  <si>
    <t>CUST1427</t>
  </si>
  <si>
    <t>CUST1460</t>
  </si>
  <si>
    <t>CUST1049</t>
  </si>
  <si>
    <t>CUST1144</t>
  </si>
  <si>
    <t>CUST1140</t>
  </si>
  <si>
    <t>CUST1481</t>
  </si>
  <si>
    <t>CUST1430</t>
  </si>
  <si>
    <t>CUST1250</t>
  </si>
  <si>
    <t>CUST1371</t>
  </si>
  <si>
    <t>CUST1446</t>
  </si>
  <si>
    <t>CUST1339</t>
  </si>
  <si>
    <t>CUST1036</t>
  </si>
  <si>
    <t>CUST1111</t>
  </si>
  <si>
    <t>CUST1211</t>
  </si>
  <si>
    <t>CUST1281</t>
  </si>
  <si>
    <t>CUST1332</t>
  </si>
  <si>
    <t>CUST1326</t>
  </si>
  <si>
    <t>CUST1410</t>
  </si>
  <si>
    <t>CUST1026</t>
  </si>
  <si>
    <t>CUST1357</t>
  </si>
  <si>
    <t>CUST1474</t>
  </si>
  <si>
    <t>CUST1251</t>
  </si>
  <si>
    <t>CUST1419</t>
  </si>
  <si>
    <t>CUST1070</t>
  </si>
  <si>
    <t>CUST1433</t>
  </si>
  <si>
    <t>CUST1399</t>
  </si>
  <si>
    <t>CUST1120</t>
  </si>
  <si>
    <t>CUST1218</t>
  </si>
  <si>
    <t>CUST1257</t>
  </si>
  <si>
    <t>CUST1109</t>
  </si>
  <si>
    <t>CUST1359</t>
  </si>
  <si>
    <t>CUST1237</t>
  </si>
  <si>
    <t>CUST1412</t>
  </si>
  <si>
    <t>CUST1245</t>
  </si>
  <si>
    <t>CUST1075</t>
  </si>
  <si>
    <t>CUST1313</t>
  </si>
  <si>
    <t>CUST1175</t>
  </si>
  <si>
    <t>CUST1323</t>
  </si>
  <si>
    <t>CUST1341</t>
  </si>
  <si>
    <t>CUST1440</t>
  </si>
  <si>
    <t>CUST1476</t>
  </si>
  <si>
    <t>CUST1384</t>
  </si>
  <si>
    <t>CUST1220</t>
  </si>
  <si>
    <t>CUST1035</t>
  </si>
  <si>
    <t>CUST1154</t>
  </si>
  <si>
    <t>CUST1030</t>
  </si>
  <si>
    <t>CUST1290</t>
  </si>
  <si>
    <t>CUST1123</t>
  </si>
  <si>
    <t>CUST1303</t>
  </si>
  <si>
    <t>CUST1122</t>
  </si>
  <si>
    <t>CUST1373</t>
  </si>
  <si>
    <t>CUST1379</t>
  </si>
  <si>
    <t>CUST1138</t>
  </si>
  <si>
    <t>CUST1007</t>
  </si>
  <si>
    <t>CUST1044</t>
  </si>
  <si>
    <t>CUST1086</t>
  </si>
  <si>
    <t>CUST1059</t>
  </si>
  <si>
    <t>CUST1287</t>
  </si>
  <si>
    <t>CUST1208</t>
  </si>
  <si>
    <t>CUST1029</t>
  </si>
  <si>
    <t>CUST1172</t>
  </si>
  <si>
    <t>CUST1117</t>
  </si>
  <si>
    <t>CUST1025</t>
  </si>
  <si>
    <t>CUST1294</t>
  </si>
  <si>
    <t>CUST1263</t>
  </si>
  <si>
    <t>CUST1325</t>
  </si>
  <si>
    <t>CUST1118</t>
  </si>
  <si>
    <t>CUST1340</t>
  </si>
  <si>
    <t>CUST1085</t>
  </si>
  <si>
    <t>CUST1244</t>
  </si>
  <si>
    <t>CUST1477</t>
  </si>
  <si>
    <t>CUST1027</t>
  </si>
  <si>
    <t>Andrew White</t>
  </si>
  <si>
    <t>Pamela Grant</t>
  </si>
  <si>
    <t>Billy Davis</t>
  </si>
  <si>
    <t>Kelsey Stephens</t>
  </si>
  <si>
    <t>Katherine Vega</t>
  </si>
  <si>
    <t>Nancy Lane</t>
  </si>
  <si>
    <t>Karen Cortez</t>
  </si>
  <si>
    <t>Mr. Joseph Hernandez MD</t>
  </si>
  <si>
    <t>Mrs. Kimberly Parks</t>
  </si>
  <si>
    <t>Denise Atkins</t>
  </si>
  <si>
    <t>Michael Pittman</t>
  </si>
  <si>
    <t>Andrea Parker</t>
  </si>
  <si>
    <t>Kari Roberts</t>
  </si>
  <si>
    <t>Darren Dunn</t>
  </si>
  <si>
    <t>Jessica Davis</t>
  </si>
  <si>
    <t>Regina Thomas</t>
  </si>
  <si>
    <t>Caitlin Holland</t>
  </si>
  <si>
    <t>Elizabeth Contreras</t>
  </si>
  <si>
    <t>Catherine Hughes</t>
  </si>
  <si>
    <t>Ashley Frost</t>
  </si>
  <si>
    <t>Sarah Morales</t>
  </si>
  <si>
    <t>Kelly Beck</t>
  </si>
  <si>
    <t>Steven Lucas</t>
  </si>
  <si>
    <t>Brittney Jordan</t>
  </si>
  <si>
    <t>Brenda Hicks</t>
  </si>
  <si>
    <t>Daniel Coleman</t>
  </si>
  <si>
    <t>Kelly Burton</t>
  </si>
  <si>
    <t>Joshua Frank</t>
  </si>
  <si>
    <t>Melissa Richmond</t>
  </si>
  <si>
    <t>Amanda Valencia</t>
  </si>
  <si>
    <t>Brad Perez MD</t>
  </si>
  <si>
    <t>Jason Arnold</t>
  </si>
  <si>
    <t>Frederick Kaufman</t>
  </si>
  <si>
    <t>Jessica Robinson</t>
  </si>
  <si>
    <t>Mark Peterson</t>
  </si>
  <si>
    <t>Sally Christian</t>
  </si>
  <si>
    <t>Kristin Jackson</t>
  </si>
  <si>
    <t>Rebecca Frost</t>
  </si>
  <si>
    <t>Amber Hernandez</t>
  </si>
  <si>
    <t>Shannon Morgan</t>
  </si>
  <si>
    <t>Dennis Thornton</t>
  </si>
  <si>
    <t>Chad Silva</t>
  </si>
  <si>
    <t>Brandi King</t>
  </si>
  <si>
    <t>Patrick Adkins</t>
  </si>
  <si>
    <t>Joe Jones</t>
  </si>
  <si>
    <t>Katie Townsend</t>
  </si>
  <si>
    <t>Amy Phillips</t>
  </si>
  <si>
    <t>Steven Perry</t>
  </si>
  <si>
    <t>Tracy Villa</t>
  </si>
  <si>
    <t>Susan Mayer</t>
  </si>
  <si>
    <t>Ronald Moyer</t>
  </si>
  <si>
    <t>Melissa Chen</t>
  </si>
  <si>
    <t>Melissa Knight</t>
  </si>
  <si>
    <t>Mrs. Kristen Ross</t>
  </si>
  <si>
    <t>Alex Graham</t>
  </si>
  <si>
    <t>Steven Hale</t>
  </si>
  <si>
    <t>Katrina Wilson</t>
  </si>
  <si>
    <t>Carrie Santos</t>
  </si>
  <si>
    <t>John Santiago</t>
  </si>
  <si>
    <t>Kelly Guzman</t>
  </si>
  <si>
    <t>Virginia Kirk</t>
  </si>
  <si>
    <t>Julie Thompson</t>
  </si>
  <si>
    <t>Juan Mitchell</t>
  </si>
  <si>
    <t>Kevin Moore MD</t>
  </si>
  <si>
    <t>Vincent Sanders</t>
  </si>
  <si>
    <t>Daniel White</t>
  </si>
  <si>
    <t>Craig Henson</t>
  </si>
  <si>
    <t>Bradley Strong</t>
  </si>
  <si>
    <t>Edwin Sanders</t>
  </si>
  <si>
    <t>Matthew Stevens</t>
  </si>
  <si>
    <t>Cynthia Bernard</t>
  </si>
  <si>
    <t>William Jacobson</t>
  </si>
  <si>
    <t>Mario Obrien</t>
  </si>
  <si>
    <t>Linda Rice</t>
  </si>
  <si>
    <t>Sabrina Rivera</t>
  </si>
  <si>
    <t>Jon Rivas</t>
  </si>
  <si>
    <t>Brittany Jackson</t>
  </si>
  <si>
    <t>Jeffery Vaughan</t>
  </si>
  <si>
    <t>Laura Mendez</t>
  </si>
  <si>
    <t>Gregory Jackson</t>
  </si>
  <si>
    <t>Darren Hicks</t>
  </si>
  <si>
    <t>Jonathon Lucas</t>
  </si>
  <si>
    <t>Gail Owens</t>
  </si>
  <si>
    <t>Terry Petersen</t>
  </si>
  <si>
    <t>Juan Rivera</t>
  </si>
  <si>
    <t>Deanna Bell</t>
  </si>
  <si>
    <t>Veronica Lindsey</t>
  </si>
  <si>
    <t>Anthony Cohen</t>
  </si>
  <si>
    <t>Stephanie Davis</t>
  </si>
  <si>
    <t>Bradley White</t>
  </si>
  <si>
    <t>Whitney Bryant</t>
  </si>
  <si>
    <t>Sarah Garcia</t>
  </si>
  <si>
    <t>Vanessa Rice</t>
  </si>
  <si>
    <t>Karen Massey</t>
  </si>
  <si>
    <t>Jeffrey Hale</t>
  </si>
  <si>
    <t>Nathan Ramos</t>
  </si>
  <si>
    <t>Julia Wiley</t>
  </si>
  <si>
    <t>Angela Cooley</t>
  </si>
  <si>
    <t>Ryan Russo</t>
  </si>
  <si>
    <t>Cynthia Carter</t>
  </si>
  <si>
    <t>James Vasquez</t>
  </si>
  <si>
    <t>Katrina Walton</t>
  </si>
  <si>
    <t>Sophia Lopez</t>
  </si>
  <si>
    <t>Leah Brown DDS</t>
  </si>
  <si>
    <t>Heather Mcguire</t>
  </si>
  <si>
    <t>Rhonda Peterson</t>
  </si>
  <si>
    <t>Vickie Lopez</t>
  </si>
  <si>
    <t>Paula Shaffer</t>
  </si>
  <si>
    <t>Laura Craig</t>
  </si>
  <si>
    <t>Jennifer Douglas</t>
  </si>
  <si>
    <t>John Torres</t>
  </si>
  <si>
    <t>Mary Walter</t>
  </si>
  <si>
    <t>Laura Campos</t>
  </si>
  <si>
    <t>Juan Nichols</t>
  </si>
  <si>
    <t>Scott Torres</t>
  </si>
  <si>
    <t>Charles Gonzales</t>
  </si>
  <si>
    <t>David Horton</t>
  </si>
  <si>
    <t>Nathan Bryant</t>
  </si>
  <si>
    <t>Erica Rodriguez</t>
  </si>
  <si>
    <t>Heather Black</t>
  </si>
  <si>
    <t>Carol Hernandez</t>
  </si>
  <si>
    <t>Mark Williams</t>
  </si>
  <si>
    <t>Nicholas Ewing</t>
  </si>
  <si>
    <t>Crystal Wright</t>
  </si>
  <si>
    <t>Rachael Padilla</t>
  </si>
  <si>
    <t>Ronald Sharp</t>
  </si>
  <si>
    <t>Kirk Bell</t>
  </si>
  <si>
    <t>Martha Ray</t>
  </si>
  <si>
    <t>Amy Wade</t>
  </si>
  <si>
    <t>Denise Kaufman</t>
  </si>
  <si>
    <t>Phillip Ruiz</t>
  </si>
  <si>
    <t>Angela Vargas</t>
  </si>
  <si>
    <t>Evan Nash</t>
  </si>
  <si>
    <t>Katherine Alvarado</t>
  </si>
  <si>
    <t>Joshua Webb</t>
  </si>
  <si>
    <t>Kelly Marshall</t>
  </si>
  <si>
    <t>Shirley Stark</t>
  </si>
  <si>
    <t>Alexander Ross</t>
  </si>
  <si>
    <t>Patrick Stewart DDS</t>
  </si>
  <si>
    <t>Kim Williams</t>
  </si>
  <si>
    <t>Tracey Foley</t>
  </si>
  <si>
    <t>Robert Stuart</t>
  </si>
  <si>
    <t>Shannon Flynn</t>
  </si>
  <si>
    <t>Jordan Braun</t>
  </si>
  <si>
    <t>Steven Scott DDS</t>
  </si>
  <si>
    <t>Emily Ward</t>
  </si>
  <si>
    <t>Nicholas Higgins</t>
  </si>
  <si>
    <t>Jermaine Haynes</t>
  </si>
  <si>
    <t>Erica Price</t>
  </si>
  <si>
    <t>Jon Wang</t>
  </si>
  <si>
    <t>Mark Morris</t>
  </si>
  <si>
    <t>Traci Harvey</t>
  </si>
  <si>
    <t>Adam Jones</t>
  </si>
  <si>
    <t>Alex Sims</t>
  </si>
  <si>
    <t>Timothy Turner</t>
  </si>
  <si>
    <t>Marissa Martinez</t>
  </si>
  <si>
    <t>Jessica Everett</t>
  </si>
  <si>
    <t>Paul Johnson</t>
  </si>
  <si>
    <t>Timothy Jones</t>
  </si>
  <si>
    <t>Paula Duran</t>
  </si>
  <si>
    <t>Sara Taylor</t>
  </si>
  <si>
    <t>Sean Williams</t>
  </si>
  <si>
    <t>Crystal Martinez</t>
  </si>
  <si>
    <t>Kimberly Delacruz</t>
  </si>
  <si>
    <t>Theresa Leblanc</t>
  </si>
  <si>
    <t>James Rosario</t>
  </si>
  <si>
    <t>Nancy Thomas</t>
  </si>
  <si>
    <t>Blake Roman</t>
  </si>
  <si>
    <t>Steven Yu</t>
  </si>
  <si>
    <t>Thomas Clark</t>
  </si>
  <si>
    <t>Mark Jones</t>
  </si>
  <si>
    <t>Susan Reed</t>
  </si>
  <si>
    <t>Larry Obrien</t>
  </si>
  <si>
    <t>Cheryl Guerra</t>
  </si>
  <si>
    <t>John Schmitt</t>
  </si>
  <si>
    <t>Tina Simon</t>
  </si>
  <si>
    <t>Mackenzie Leonard</t>
  </si>
  <si>
    <t>Troy Mcdonald</t>
  </si>
  <si>
    <t>Sabrina Ramos</t>
  </si>
  <si>
    <t>Peter Morales</t>
  </si>
  <si>
    <t>William Blankenship</t>
  </si>
  <si>
    <t>Veronica Hicks</t>
  </si>
  <si>
    <t>Nicole Clark</t>
  </si>
  <si>
    <t>Shannon Barr</t>
  </si>
  <si>
    <t>Patricia Lopez</t>
  </si>
  <si>
    <t>James Martinez</t>
  </si>
  <si>
    <t>Rebecca Jones</t>
  </si>
  <si>
    <t>Amy Hernandez</t>
  </si>
  <si>
    <t>David Davis</t>
  </si>
  <si>
    <t>George Kim</t>
  </si>
  <si>
    <t>Brandi Walls</t>
  </si>
  <si>
    <t>Nicole Gonzales</t>
  </si>
  <si>
    <t>Mrs. Rebecca Richardson DVM</t>
  </si>
  <si>
    <t>Scott Rush</t>
  </si>
  <si>
    <t>Alicia Lopez</t>
  </si>
  <si>
    <t>Garrett Garcia</t>
  </si>
  <si>
    <t>Jacob Collins</t>
  </si>
  <si>
    <t>Nathan Johnston</t>
  </si>
  <si>
    <t>Michael Dixon</t>
  </si>
  <si>
    <t>Stacy Mccormick</t>
  </si>
  <si>
    <t>Troy Floyd</t>
  </si>
  <si>
    <t>Erica Estes</t>
  </si>
  <si>
    <t>Nicole Jones</t>
  </si>
  <si>
    <t>Alicia Anderson</t>
  </si>
  <si>
    <t>Joseph Thomas</t>
  </si>
  <si>
    <t>Douglas Alexander</t>
  </si>
  <si>
    <t>Shelley Bates</t>
  </si>
  <si>
    <t>Andrew Bryant</t>
  </si>
  <si>
    <t>Sarah Chase</t>
  </si>
  <si>
    <t>Amanda Hahn</t>
  </si>
  <si>
    <t>Michael Pierce</t>
  </si>
  <si>
    <t>Roy Smith MD</t>
  </si>
  <si>
    <t>Ralph Valdez</t>
  </si>
  <si>
    <t>Jacob Bridges</t>
  </si>
  <si>
    <t>Katherine King</t>
  </si>
  <si>
    <t>Katrina Torres</t>
  </si>
  <si>
    <t>Michelle Short</t>
  </si>
  <si>
    <t>Bradley Barrett</t>
  </si>
  <si>
    <t>Janice Sparks</t>
  </si>
  <si>
    <t>Lauren Khan</t>
  </si>
  <si>
    <t>Robert Norris</t>
  </si>
  <si>
    <t>Sarah Kennedy</t>
  </si>
  <si>
    <t>Hannah Moody</t>
  </si>
  <si>
    <t>Sarah Davis</t>
  </si>
  <si>
    <t>Ruben Wong</t>
  </si>
  <si>
    <t>Laura Flowers</t>
  </si>
  <si>
    <t>Beth Mason</t>
  </si>
  <si>
    <t>Bruce Garza</t>
  </si>
  <si>
    <t>Bryce Rodgers</t>
  </si>
  <si>
    <t>Steve Whitaker</t>
  </si>
  <si>
    <t>Priscilla Forbes</t>
  </si>
  <si>
    <t>Bianca Booker</t>
  </si>
  <si>
    <t>Cameron Conrad MD</t>
  </si>
  <si>
    <t>Megan Shelton</t>
  </si>
  <si>
    <t>Mr. Charles Gutierrez</t>
  </si>
  <si>
    <t>Carla Pitts</t>
  </si>
  <si>
    <t>Lisa Stephenson</t>
  </si>
  <si>
    <t>Michelle Roberts</t>
  </si>
  <si>
    <t>Jill Smith</t>
  </si>
  <si>
    <t>George Fox</t>
  </si>
  <si>
    <t>Richard Rodriguez</t>
  </si>
  <si>
    <t>David James</t>
  </si>
  <si>
    <t>Edward Bonilla</t>
  </si>
  <si>
    <t>Krista Simmons</t>
  </si>
  <si>
    <t>Toni Johnson</t>
  </si>
  <si>
    <t>Christopher Alvarez</t>
  </si>
  <si>
    <t>Brenda Miller</t>
  </si>
  <si>
    <t>Jessica Meyers</t>
  </si>
  <si>
    <t>Stephanie Bowers</t>
  </si>
  <si>
    <t>Mr. Sean Matthews</t>
  </si>
  <si>
    <t>Patrick Cabrera</t>
  </si>
  <si>
    <t>Dawn Novak</t>
  </si>
  <si>
    <t>Michael Kirby</t>
  </si>
  <si>
    <t>Cody Rogers</t>
  </si>
  <si>
    <t>James Pineda</t>
  </si>
  <si>
    <t>Casey Boyd</t>
  </si>
  <si>
    <t>Eric Maddox</t>
  </si>
  <si>
    <t>Erica Holden</t>
  </si>
  <si>
    <t>Hannah Wilson</t>
  </si>
  <si>
    <t>Erin Ferguson</t>
  </si>
  <si>
    <t>Jessica Mcdaniel</t>
  </si>
  <si>
    <t>Jessica Mclaughlin</t>
  </si>
  <si>
    <t>Ashley Nelson</t>
  </si>
  <si>
    <t>Joshua Flores</t>
  </si>
  <si>
    <t>Paul Sanford</t>
  </si>
  <si>
    <t>Lauren Bruce</t>
  </si>
  <si>
    <t>Kyle Stephens</t>
  </si>
  <si>
    <t>Charles Garrison</t>
  </si>
  <si>
    <t>Suzanne Davis</t>
  </si>
  <si>
    <t>Haley Buck</t>
  </si>
  <si>
    <t>Dawn Riley</t>
  </si>
  <si>
    <t>Kimberly Cross</t>
  </si>
  <si>
    <t>Brandon Decker</t>
  </si>
  <si>
    <t>Thomas Turner</t>
  </si>
  <si>
    <t>Victoria Diaz</t>
  </si>
  <si>
    <t>Catherine Sherman</t>
  </si>
  <si>
    <t>Ryan Lopez</t>
  </si>
  <si>
    <t>Joseph Deleon</t>
  </si>
  <si>
    <t>Grant Ball</t>
  </si>
  <si>
    <t>Thomas Bass</t>
  </si>
  <si>
    <t>Kevin Bender</t>
  </si>
  <si>
    <t>Patricia Williams</t>
  </si>
  <si>
    <t>Margaret Reid</t>
  </si>
  <si>
    <t>Daniel Jones</t>
  </si>
  <si>
    <t>Kristine Erickson</t>
  </si>
  <si>
    <t>Jimmy Parker</t>
  </si>
  <si>
    <t>Marissa Gutierrez</t>
  </si>
  <si>
    <t>Brian Rose</t>
  </si>
  <si>
    <t>Annette Riddle</t>
  </si>
  <si>
    <t>Tammy Jackson</t>
  </si>
  <si>
    <t>Katherine Ramirez</t>
  </si>
  <si>
    <t>Michele Ortiz</t>
  </si>
  <si>
    <t>Jacob Boyd</t>
  </si>
  <si>
    <t>Christine Adams</t>
  </si>
  <si>
    <t>William Shaw</t>
  </si>
  <si>
    <t>Brian Green</t>
  </si>
  <si>
    <t>Candice Cole</t>
  </si>
  <si>
    <t>Jay Allen</t>
  </si>
  <si>
    <t>Sean Miller</t>
  </si>
  <si>
    <t>Joann Cole</t>
  </si>
  <si>
    <t>James West</t>
  </si>
  <si>
    <t>Thomas Fisher</t>
  </si>
  <si>
    <t>Jason Owens</t>
  </si>
  <si>
    <t>Mrs. Sarah Gardner</t>
  </si>
  <si>
    <t>Trevor Jimenez</t>
  </si>
  <si>
    <t>Brandy Carlson</t>
  </si>
  <si>
    <t>Emily Alvarez</t>
  </si>
  <si>
    <t>Laura Gonzalez</t>
  </si>
  <si>
    <t>Jeffrey Williams</t>
  </si>
  <si>
    <t>Garrett Harris</t>
  </si>
  <si>
    <t>George Davis</t>
  </si>
  <si>
    <t>Nicole Fernandez</t>
  </si>
  <si>
    <t>Corey Lopez</t>
  </si>
  <si>
    <t>Gary Morgan</t>
  </si>
  <si>
    <t>Philip Warner</t>
  </si>
  <si>
    <t>Andrew Valdez</t>
  </si>
  <si>
    <t>Rhonda Palmer</t>
  </si>
  <si>
    <t>Heather Garcia</t>
  </si>
  <si>
    <t>Tina Martin</t>
  </si>
  <si>
    <t>Michael Perez</t>
  </si>
  <si>
    <t>Cory Boyd</t>
  </si>
  <si>
    <t>Joel Archer</t>
  </si>
  <si>
    <t>Jackie Roberts</t>
  </si>
  <si>
    <t>Kathryn Patel</t>
  </si>
  <si>
    <t>Mallory Stevens</t>
  </si>
  <si>
    <t>Randy Smith</t>
  </si>
  <si>
    <t>Jacqueline Sloan</t>
  </si>
  <si>
    <t>Regina Perez</t>
  </si>
  <si>
    <t>Sherry Livingston</t>
  </si>
  <si>
    <t>Joann Black</t>
  </si>
  <si>
    <t>Ashley Jones</t>
  </si>
  <si>
    <t>Shawn Cox</t>
  </si>
  <si>
    <t>Linda Lara</t>
  </si>
  <si>
    <t>Mr. Oscar Bernard</t>
  </si>
  <si>
    <t>Thomas Sullivan</t>
  </si>
  <si>
    <t>Evan Miller</t>
  </si>
  <si>
    <t>Anna Thompson</t>
  </si>
  <si>
    <t>Steven Lin</t>
  </si>
  <si>
    <t>Emily Woods</t>
  </si>
  <si>
    <t>Mary Knox</t>
  </si>
  <si>
    <t>Kenneth Riley</t>
  </si>
  <si>
    <t>Richard Estrada</t>
  </si>
  <si>
    <t>Cindy Gonzalez</t>
  </si>
  <si>
    <t>Carrie Houston</t>
  </si>
  <si>
    <t>Kevin Allison</t>
  </si>
  <si>
    <t>Ryan Barnett</t>
  </si>
  <si>
    <t>Caroline Clark</t>
  </si>
  <si>
    <t>John Bird</t>
  </si>
  <si>
    <t>Casey Carter</t>
  </si>
  <si>
    <t>Steven Warren</t>
  </si>
  <si>
    <t>Steven Butler</t>
  </si>
  <si>
    <t>Christopher Carney</t>
  </si>
  <si>
    <t>Monica Morgan</t>
  </si>
  <si>
    <t>Sara Parrish</t>
  </si>
  <si>
    <t>Kevin Cisneros</t>
  </si>
  <si>
    <t>Max Carrillo</t>
  </si>
  <si>
    <t>Jonathan Parrish</t>
  </si>
  <si>
    <t>Rodney Briggs</t>
  </si>
  <si>
    <t>Laura Stevenson</t>
  </si>
  <si>
    <t>Margaret Jackson</t>
  </si>
  <si>
    <t>Michael Adams</t>
  </si>
  <si>
    <t>Ashley Elliott</t>
  </si>
  <si>
    <t>Carmen Hamilton</t>
  </si>
  <si>
    <t>Susan Moran</t>
  </si>
  <si>
    <t>Ashley Dean</t>
  </si>
  <si>
    <t>Fred Lee</t>
  </si>
  <si>
    <t>Alison Morales</t>
  </si>
  <si>
    <t>Shawn Beck</t>
  </si>
  <si>
    <t>Steven Douglas</t>
  </si>
  <si>
    <t>Chad Jackson</t>
  </si>
  <si>
    <t>Nicholas Miller</t>
  </si>
  <si>
    <t>Mark George</t>
  </si>
  <si>
    <t>Michelle Ibarra</t>
  </si>
  <si>
    <t>Nancy Martin</t>
  </si>
  <si>
    <t>Cynthia Mason</t>
  </si>
  <si>
    <t>Autumn Cameron</t>
  </si>
  <si>
    <t>Jennifer Flowers</t>
  </si>
  <si>
    <t>Mrs. Melissa Brooks MD</t>
  </si>
  <si>
    <t>Patricia Baker</t>
  </si>
  <si>
    <t>Laura Perez</t>
  </si>
  <si>
    <t>Judy Ball</t>
  </si>
  <si>
    <t>Derrick Martin</t>
  </si>
  <si>
    <t>Lori Mora</t>
  </si>
  <si>
    <t>Jacob Aguilar</t>
  </si>
  <si>
    <t>Erin Gray</t>
  </si>
  <si>
    <t>Jason Williams</t>
  </si>
  <si>
    <t>Patricia Barber</t>
  </si>
  <si>
    <t>Kristen Mckinney</t>
  </si>
  <si>
    <t>Gregory Patel</t>
  </si>
  <si>
    <t>Brandon Callahan</t>
  </si>
  <si>
    <t>Chase Taylor</t>
  </si>
  <si>
    <t>Joseph Mills</t>
  </si>
  <si>
    <t>Julie Benson</t>
  </si>
  <si>
    <t>April Fernandez</t>
  </si>
  <si>
    <t>Diana Lee</t>
  </si>
  <si>
    <t>Sherri Meyers</t>
  </si>
  <si>
    <t>Jordan Benson</t>
  </si>
  <si>
    <t>Samantha Barajas</t>
  </si>
  <si>
    <t>Lynn Owens</t>
  </si>
  <si>
    <t>Brent Kelly</t>
  </si>
  <si>
    <t>Jean Sanders</t>
  </si>
  <si>
    <t>Carmen Marshall</t>
  </si>
  <si>
    <t>Victoria Miles</t>
  </si>
  <si>
    <t>Michael Taylor</t>
  </si>
  <si>
    <t>Natalie Johnson</t>
  </si>
  <si>
    <t>Bonnie Johnson</t>
  </si>
  <si>
    <t>Jacob Williams</t>
  </si>
  <si>
    <t>Terri Garcia</t>
  </si>
  <si>
    <t>Sarah Huff</t>
  </si>
  <si>
    <t>William Nolan</t>
  </si>
  <si>
    <t>Melissa Gomez</t>
  </si>
  <si>
    <t>Devin Wolf</t>
  </si>
  <si>
    <t>Michael Odonnell</t>
  </si>
  <si>
    <t>Eric Elliott</t>
  </si>
  <si>
    <t>Laura Mitchell</t>
  </si>
  <si>
    <t>Richard Ford</t>
  </si>
  <si>
    <t>Todd Munoz</t>
  </si>
  <si>
    <t>Kristen Carter</t>
  </si>
  <si>
    <t>April Holland MD</t>
  </si>
  <si>
    <t>Katherine Murray</t>
  </si>
  <si>
    <t>Vanessa Lawrence</t>
  </si>
  <si>
    <t>Emily Tran</t>
  </si>
  <si>
    <t>John Mitchell</t>
  </si>
  <si>
    <t>Edward Richard</t>
  </si>
  <si>
    <t>Joshua Paul</t>
  </si>
  <si>
    <t>Kimberly Mason</t>
  </si>
  <si>
    <t>Laura Farmer</t>
  </si>
  <si>
    <t>Olivia Murphy MD</t>
  </si>
  <si>
    <t>Matthew House</t>
  </si>
  <si>
    <t>Nathan Newton</t>
  </si>
  <si>
    <t>David Padilla</t>
  </si>
  <si>
    <t>Thomas Watson</t>
  </si>
  <si>
    <t>Leslie Brown</t>
  </si>
  <si>
    <t>David Cox</t>
  </si>
  <si>
    <t>James Garcia</t>
  </si>
  <si>
    <t>Michelle Mccullough</t>
  </si>
  <si>
    <t>Vincent Hoffman</t>
  </si>
  <si>
    <t>Jonathan Phillips</t>
  </si>
  <si>
    <t>Matthew Hall</t>
  </si>
  <si>
    <t>Kristen Holt</t>
  </si>
  <si>
    <t>Audrey Terrell</t>
  </si>
  <si>
    <t>Edward Malone</t>
  </si>
  <si>
    <t>Benjamin Collins</t>
  </si>
  <si>
    <t>Andrew Le</t>
  </si>
  <si>
    <t>Cole Ryan</t>
  </si>
  <si>
    <t>Cynthia Smith</t>
  </si>
  <si>
    <t>David Ellis</t>
  </si>
  <si>
    <t>Steven Vazquez</t>
  </si>
  <si>
    <t>Carol Robinson</t>
  </si>
  <si>
    <t>Tabitha Kelly</t>
  </si>
  <si>
    <t>Michael Ball</t>
  </si>
  <si>
    <t>Marc Watkins</t>
  </si>
  <si>
    <t>Richard Harris</t>
  </si>
  <si>
    <t>Michael Massey</t>
  </si>
  <si>
    <t>Travis Roman</t>
  </si>
  <si>
    <t>Dennis Velez</t>
  </si>
  <si>
    <t>Curtis Glover</t>
  </si>
  <si>
    <t>Cynthia Andersen</t>
  </si>
  <si>
    <t>Michelle Vazquez</t>
  </si>
  <si>
    <t>Phillip Torres</t>
  </si>
  <si>
    <t>George Haynes</t>
  </si>
  <si>
    <t>Mark Becker</t>
  </si>
  <si>
    <t>Mason Shannon</t>
  </si>
  <si>
    <t>Peter Garcia</t>
  </si>
  <si>
    <t>Nicholas Simmons</t>
  </si>
  <si>
    <t>Shirley Ruiz</t>
  </si>
  <si>
    <t>Yolanda Wilson</t>
  </si>
  <si>
    <t>Jack Sosa</t>
  </si>
  <si>
    <t>Ana Lopez</t>
  </si>
  <si>
    <t>Derrick Collins</t>
  </si>
  <si>
    <t>Catherine Ellis</t>
  </si>
  <si>
    <t>Dawn Williams</t>
  </si>
  <si>
    <t>Alicia Johnson</t>
  </si>
  <si>
    <t>James Wade</t>
  </si>
  <si>
    <t>Robert Wong</t>
  </si>
  <si>
    <t>Catherine Brown</t>
  </si>
  <si>
    <t>Megan Cooley</t>
  </si>
  <si>
    <t>Erica Davenport</t>
  </si>
  <si>
    <t>April Kelley</t>
  </si>
  <si>
    <t>Michael Hernandez</t>
  </si>
  <si>
    <t>Frank Stanley</t>
  </si>
  <si>
    <t>Kristen Wilson</t>
  </si>
  <si>
    <t>Bradley Richard</t>
  </si>
  <si>
    <t>Nicholas Montgomery</t>
  </si>
  <si>
    <t>Kathryn Orozco</t>
  </si>
  <si>
    <t>Timothy Charles</t>
  </si>
  <si>
    <t>Alec Burgess</t>
  </si>
  <si>
    <t>Denise Pierce</t>
  </si>
  <si>
    <t>Lisa Bruce</t>
  </si>
  <si>
    <t>David Palmer</t>
  </si>
  <si>
    <t>Sara Garrett</t>
  </si>
  <si>
    <t>Jenna Fox</t>
  </si>
  <si>
    <t>Tammy Mcguire</t>
  </si>
  <si>
    <t>Chad Martinez</t>
  </si>
  <si>
    <t>Pamela Yates</t>
  </si>
  <si>
    <t>Amanda Duran</t>
  </si>
  <si>
    <t>Kimberly Hernandez</t>
  </si>
  <si>
    <t>Brenda Gallegos</t>
  </si>
  <si>
    <t>Sandra Gill</t>
  </si>
  <si>
    <t>Destiny Guzman</t>
  </si>
  <si>
    <t>Corporate</t>
  </si>
  <si>
    <t>Home Office</t>
  </si>
  <si>
    <t>Consumer</t>
  </si>
  <si>
    <t>USA</t>
  </si>
  <si>
    <t>UK</t>
  </si>
  <si>
    <t>India</t>
  </si>
  <si>
    <t>Los Angeles</t>
  </si>
  <si>
    <t>Birmingham</t>
  </si>
  <si>
    <t>Bangalore</t>
  </si>
  <si>
    <t>Liverpool</t>
  </si>
  <si>
    <t>Houston</t>
  </si>
  <si>
    <t>Chennai</t>
  </si>
  <si>
    <t>London</t>
  </si>
  <si>
    <t>Manchester</t>
  </si>
  <si>
    <t>Mumbai</t>
  </si>
  <si>
    <t>New York</t>
  </si>
  <si>
    <t>Hyderabad</t>
  </si>
  <si>
    <t>Delhi</t>
  </si>
  <si>
    <t>Chicago</t>
  </si>
  <si>
    <t>Seattle</t>
  </si>
  <si>
    <t>Central</t>
  </si>
  <si>
    <t>England</t>
  </si>
  <si>
    <t>North</t>
  </si>
  <si>
    <t>East</t>
  </si>
  <si>
    <t>West</t>
  </si>
  <si>
    <t>Scotland</t>
  </si>
  <si>
    <t>South</t>
  </si>
  <si>
    <t>Furniture</t>
  </si>
  <si>
    <t>Office Supplies</t>
  </si>
  <si>
    <t>Technology</t>
  </si>
  <si>
    <t>Chairs</t>
  </si>
  <si>
    <t>Tables</t>
  </si>
  <si>
    <t>Storage</t>
  </si>
  <si>
    <t>Paper</t>
  </si>
  <si>
    <t>Art</t>
  </si>
  <si>
    <t>Laptops</t>
  </si>
  <si>
    <t>Binders</t>
  </si>
  <si>
    <t>Phones</t>
  </si>
  <si>
    <t>Accessories</t>
  </si>
  <si>
    <t>Chairs Decide</t>
  </si>
  <si>
    <t>Tables Toward</t>
  </si>
  <si>
    <t>Tables National</t>
  </si>
  <si>
    <t>Storage Car</t>
  </si>
  <si>
    <t>Paper Civil</t>
  </si>
  <si>
    <t>Tables According</t>
  </si>
  <si>
    <t>Paper Job</t>
  </si>
  <si>
    <t>Art Attention</t>
  </si>
  <si>
    <t>Chairs Make</t>
  </si>
  <si>
    <t>Storage More</t>
  </si>
  <si>
    <t>Storage Window</t>
  </si>
  <si>
    <t>Laptops Nearly</t>
  </si>
  <si>
    <t>Chairs Throw</t>
  </si>
  <si>
    <t>Paper Between</t>
  </si>
  <si>
    <t>Storage Rock</t>
  </si>
  <si>
    <t>Binders Prevent</t>
  </si>
  <si>
    <t>Art Land</t>
  </si>
  <si>
    <t>Phones Me</t>
  </si>
  <si>
    <t>Chairs Baby</t>
  </si>
  <si>
    <t>Storage Book</t>
  </si>
  <si>
    <t>Paper Work</t>
  </si>
  <si>
    <t>Art Alone</t>
  </si>
  <si>
    <t>Paper These</t>
  </si>
  <si>
    <t>Laptops Court</t>
  </si>
  <si>
    <t>Laptops To</t>
  </si>
  <si>
    <t>Art Bad</t>
  </si>
  <si>
    <t>Laptops Catch</t>
  </si>
  <si>
    <t>Chairs Recent</t>
  </si>
  <si>
    <t>Accessories Cup</t>
  </si>
  <si>
    <t>Storage Catch</t>
  </si>
  <si>
    <t>Paper Effort</t>
  </si>
  <si>
    <t>Accessories Bring</t>
  </si>
  <si>
    <t>Chairs Else</t>
  </si>
  <si>
    <t>Paper Feeling</t>
  </si>
  <si>
    <t>Binders Class</t>
  </si>
  <si>
    <t>Storage Draw</t>
  </si>
  <si>
    <t>Binders Often</t>
  </si>
  <si>
    <t>Phones Protect</t>
  </si>
  <si>
    <t>Binders Responsibility</t>
  </si>
  <si>
    <t>Phones Benefit</t>
  </si>
  <si>
    <t>Art Firm</t>
  </si>
  <si>
    <t>Accessories Building</t>
  </si>
  <si>
    <t>Chairs Budget</t>
  </si>
  <si>
    <t>Accessories Station</t>
  </si>
  <si>
    <t>Art Suggest</t>
  </si>
  <si>
    <t>Tables Mind</t>
  </si>
  <si>
    <t>Storage Want</t>
  </si>
  <si>
    <t>Phones Per</t>
  </si>
  <si>
    <t>Binders All</t>
  </si>
  <si>
    <t>Art Floor</t>
  </si>
  <si>
    <t>Phones International</t>
  </si>
  <si>
    <t>Art Image</t>
  </si>
  <si>
    <t>Chairs Late</t>
  </si>
  <si>
    <t>Binders Step</t>
  </si>
  <si>
    <t>Accessories Worry</t>
  </si>
  <si>
    <t>Binders Never</t>
  </si>
  <si>
    <t>Storage Through</t>
  </si>
  <si>
    <t>Tables North</t>
  </si>
  <si>
    <t>Tables American</t>
  </si>
  <si>
    <t>Paper Best</t>
  </si>
  <si>
    <t>Art Message</t>
  </si>
  <si>
    <t>Binders Wait</t>
  </si>
  <si>
    <t>Chairs Offer</t>
  </si>
  <si>
    <t>Tables Grow</t>
  </si>
  <si>
    <t>Phones Good</t>
  </si>
  <si>
    <t>Paper Stuff</t>
  </si>
  <si>
    <t>Tables Report</t>
  </si>
  <si>
    <t>Art Lead</t>
  </si>
  <si>
    <t>Accessories A</t>
  </si>
  <si>
    <t>Phones Run</t>
  </si>
  <si>
    <t>Laptops Entire</t>
  </si>
  <si>
    <t>Art Environmental</t>
  </si>
  <si>
    <t>Chairs None</t>
  </si>
  <si>
    <t>Phones Drive</t>
  </si>
  <si>
    <t>Art Down</t>
  </si>
  <si>
    <t>Accessories Car</t>
  </si>
  <si>
    <t>Binders Wide</t>
  </si>
  <si>
    <t>Art Actually</t>
  </si>
  <si>
    <t>Tables Idea</t>
  </si>
  <si>
    <t>Chairs Particularly</t>
  </si>
  <si>
    <t>Paper Back</t>
  </si>
  <si>
    <t>Binders Quickly</t>
  </si>
  <si>
    <t>Paper Free</t>
  </si>
  <si>
    <t>Binders Seem</t>
  </si>
  <si>
    <t>Chairs Few</t>
  </si>
  <si>
    <t>Art Always</t>
  </si>
  <si>
    <t>Phones Resource</t>
  </si>
  <si>
    <t>Paper Near</t>
  </si>
  <si>
    <t>Storage Claim</t>
  </si>
  <si>
    <t>Paper Ahead</t>
  </si>
  <si>
    <t>Tables Lawyer</t>
  </si>
  <si>
    <t>Phones Only</t>
  </si>
  <si>
    <t>Tables Individual</t>
  </si>
  <si>
    <t>Paper Item</t>
  </si>
  <si>
    <t>Tables Program</t>
  </si>
  <si>
    <t>Laptops I</t>
  </si>
  <si>
    <t>Accessories Answer</t>
  </si>
  <si>
    <t>Binders Fact</t>
  </si>
  <si>
    <t>Paper Edge</t>
  </si>
  <si>
    <t>Phones Face</t>
  </si>
  <si>
    <t>Laptops Pretty</t>
  </si>
  <si>
    <t>Laptops Career</t>
  </si>
  <si>
    <t>Tables Say</t>
  </si>
  <si>
    <t>Chairs Artist</t>
  </si>
  <si>
    <t>Storage Natural</t>
  </si>
  <si>
    <t>Binders Power</t>
  </si>
  <si>
    <t>Tables Her</t>
  </si>
  <si>
    <t>Accessories Director</t>
  </si>
  <si>
    <t>Binders When</t>
  </si>
  <si>
    <t>Art True</t>
  </si>
  <si>
    <t>Tables Somebody</t>
  </si>
  <si>
    <t>Tables Station</t>
  </si>
  <si>
    <t>Art That</t>
  </si>
  <si>
    <t>Chairs Road</t>
  </si>
  <si>
    <t>Binders Memory</t>
  </si>
  <si>
    <t>Paper Together</t>
  </si>
  <si>
    <t>Binders Lot</t>
  </si>
  <si>
    <t>Accessories Either</t>
  </si>
  <si>
    <t>Paper And</t>
  </si>
  <si>
    <t>Laptops Kid</t>
  </si>
  <si>
    <t>Art Consider</t>
  </si>
  <si>
    <t>Phones Number</t>
  </si>
  <si>
    <t>Chairs Son</t>
  </si>
  <si>
    <t>Phones Behind</t>
  </si>
  <si>
    <t>Phones Science</t>
  </si>
  <si>
    <t>Art Officer</t>
  </si>
  <si>
    <t>Phones Least</t>
  </si>
  <si>
    <t>Tables Personal</t>
  </si>
  <si>
    <t>Storage Join</t>
  </si>
  <si>
    <t>Phones Present</t>
  </si>
  <si>
    <t>Tables Those</t>
  </si>
  <si>
    <t>Binders Mention</t>
  </si>
  <si>
    <t>Laptops Reveal</t>
  </si>
  <si>
    <t>Paper Pass</t>
  </si>
  <si>
    <t>Storage Report</t>
  </si>
  <si>
    <t>Laptops Heavy</t>
  </si>
  <si>
    <t>Storage Occur</t>
  </si>
  <si>
    <t>Accessories Region</t>
  </si>
  <si>
    <t>Paper Population</t>
  </si>
  <si>
    <t>Storage Room</t>
  </si>
  <si>
    <t>Laptops Energy</t>
  </si>
  <si>
    <t>Art Because</t>
  </si>
  <si>
    <t>Binders Left</t>
  </si>
  <si>
    <t>Chairs Which</t>
  </si>
  <si>
    <t>Paper Say</t>
  </si>
  <si>
    <t>Phones Interview</t>
  </si>
  <si>
    <t>Paper Region</t>
  </si>
  <si>
    <t>Chairs Culture</t>
  </si>
  <si>
    <t>Phones Build</t>
  </si>
  <si>
    <t>Laptops Majority</t>
  </si>
  <si>
    <t>Binders Bring</t>
  </si>
  <si>
    <t>Paper Down</t>
  </si>
  <si>
    <t>Tables No</t>
  </si>
  <si>
    <t>Chairs Ground</t>
  </si>
  <si>
    <t>Chairs Read</t>
  </si>
  <si>
    <t>Accessories Free</t>
  </si>
  <si>
    <t>Laptops Soon</t>
  </si>
  <si>
    <t>Laptops Field</t>
  </si>
  <si>
    <t>Paper Condition</t>
  </si>
  <si>
    <t>Laptops Service</t>
  </si>
  <si>
    <t>Accessories We</t>
  </si>
  <si>
    <t>Tables Start</t>
  </si>
  <si>
    <t>Phones Half</t>
  </si>
  <si>
    <t>Phones Yard</t>
  </si>
  <si>
    <t>Storage Thought</t>
  </si>
  <si>
    <t>Binders If</t>
  </si>
  <si>
    <t>Tables Save</t>
  </si>
  <si>
    <t>Tables Particularly</t>
  </si>
  <si>
    <t>Laptops Foot</t>
  </si>
  <si>
    <t>Laptops Especially</t>
  </si>
  <si>
    <t>Storage Economic</t>
  </si>
  <si>
    <t>Phones When</t>
  </si>
  <si>
    <t>Phones Medical</t>
  </si>
  <si>
    <t>Storage Fight</t>
  </si>
  <si>
    <t>Binders Crime</t>
  </si>
  <si>
    <t>Accessories Memory</t>
  </si>
  <si>
    <t>Storage Public</t>
  </si>
  <si>
    <t>Paper Ability</t>
  </si>
  <si>
    <t>Phones Think</t>
  </si>
  <si>
    <t>Storage Man</t>
  </si>
  <si>
    <t>Paper Congress</t>
  </si>
  <si>
    <t>Laptops Election</t>
  </si>
  <si>
    <t>Storage Big</t>
  </si>
  <si>
    <t>Phones Start</t>
  </si>
  <si>
    <t>Art Dog</t>
  </si>
  <si>
    <t>Accessories Fast</t>
  </si>
  <si>
    <t>Tables Attention</t>
  </si>
  <si>
    <t>Accessories Reason</t>
  </si>
  <si>
    <t>Binders Task</t>
  </si>
  <si>
    <t>Binders Mean</t>
  </si>
  <si>
    <t>Art Simple</t>
  </si>
  <si>
    <t>Tables History</t>
  </si>
  <si>
    <t>Storage Anything</t>
  </si>
  <si>
    <t>Art Feel</t>
  </si>
  <si>
    <t>Tables Politics</t>
  </si>
  <si>
    <t>Storage Sea</t>
  </si>
  <si>
    <t>Paper Project</t>
  </si>
  <si>
    <t>Binders Audience</t>
  </si>
  <si>
    <t>Phones City</t>
  </si>
  <si>
    <t>Binders Believe</t>
  </si>
  <si>
    <t>Tables Product</t>
  </si>
  <si>
    <t>Chairs Must</t>
  </si>
  <si>
    <t>Chairs Audience</t>
  </si>
  <si>
    <t>Paper Before</t>
  </si>
  <si>
    <t>Art Face</t>
  </si>
  <si>
    <t>Binders Current</t>
  </si>
  <si>
    <t>Accessories Participant</t>
  </si>
  <si>
    <t>Tables Get</t>
  </si>
  <si>
    <t>Tables Power</t>
  </si>
  <si>
    <t>Laptops Child</t>
  </si>
  <si>
    <t>Paper Policy</t>
  </si>
  <si>
    <t>Storage Season</t>
  </si>
  <si>
    <t>Storage Realize</t>
  </si>
  <si>
    <t>Storage Culture</t>
  </si>
  <si>
    <t>Accessories Majority</t>
  </si>
  <si>
    <t>Accessories Force</t>
  </si>
  <si>
    <t>Art Finally</t>
  </si>
  <si>
    <t>Phones Light</t>
  </si>
  <si>
    <t>Laptops Both</t>
  </si>
  <si>
    <t>Chairs Around</t>
  </si>
  <si>
    <t>Accessories Prepare</t>
  </si>
  <si>
    <t>Paper Senior</t>
  </si>
  <si>
    <t>Phones Car</t>
  </si>
  <si>
    <t>Accessories Evening</t>
  </si>
  <si>
    <t>Paper Power</t>
  </si>
  <si>
    <t>Paper Citizen</t>
  </si>
  <si>
    <t>Storage Standard</t>
  </si>
  <si>
    <t>Accessories Hot</t>
  </si>
  <si>
    <t>Laptops Culture</t>
  </si>
  <si>
    <t>Paper Two</t>
  </si>
  <si>
    <t>Phones Answer</t>
  </si>
  <si>
    <t>Storage Employee</t>
  </si>
  <si>
    <t>Laptops Base</t>
  </si>
  <si>
    <t>Binders Example</t>
  </si>
  <si>
    <t>Phones Six</t>
  </si>
  <si>
    <t>Storage Point</t>
  </si>
  <si>
    <t>Accessories Child</t>
  </si>
  <si>
    <t>Phones Fund</t>
  </si>
  <si>
    <t>Laptops Identify</t>
  </si>
  <si>
    <t>Accessories Decade</t>
  </si>
  <si>
    <t>Paper Sit</t>
  </si>
  <si>
    <t>Accessories Less</t>
  </si>
  <si>
    <t>Art Describe</t>
  </si>
  <si>
    <t>Laptops Push</t>
  </si>
  <si>
    <t>Paper Natural</t>
  </si>
  <si>
    <t>Paper Loss</t>
  </si>
  <si>
    <t>Binders Key</t>
  </si>
  <si>
    <t>Laptops Affect</t>
  </si>
  <si>
    <t>Accessories Economy</t>
  </si>
  <si>
    <t>Phones What</t>
  </si>
  <si>
    <t>Accessories Direction</t>
  </si>
  <si>
    <t>Laptops Toward</t>
  </si>
  <si>
    <t>Chairs Experience</t>
  </si>
  <si>
    <t>Accessories Billion</t>
  </si>
  <si>
    <t>Binders Rich</t>
  </si>
  <si>
    <t>Phones Information</t>
  </si>
  <si>
    <t>Art Early</t>
  </si>
  <si>
    <t>Chairs Set</t>
  </si>
  <si>
    <t>Tables Kitchen</t>
  </si>
  <si>
    <t>Paper Like</t>
  </si>
  <si>
    <t>Paper Per</t>
  </si>
  <si>
    <t>Chairs Care</t>
  </si>
  <si>
    <t>Accessories Two</t>
  </si>
  <si>
    <t>Tables Modern</t>
  </si>
  <si>
    <t>Chairs Person</t>
  </si>
  <si>
    <t>Art Animal</t>
  </si>
  <si>
    <t>Tables Identify</t>
  </si>
  <si>
    <t>Accessories Ever</t>
  </si>
  <si>
    <t>Art Offer</t>
  </si>
  <si>
    <t>Accessories Suffer</t>
  </si>
  <si>
    <t>Chairs Cost</t>
  </si>
  <si>
    <t>Chairs Try</t>
  </si>
  <si>
    <t>Chairs Get</t>
  </si>
  <si>
    <t>Accessories Nor</t>
  </si>
  <si>
    <t>Tables Firm</t>
  </si>
  <si>
    <t>Paper Rise</t>
  </si>
  <si>
    <t>Chairs Beautiful</t>
  </si>
  <si>
    <t>Tables Civil</t>
  </si>
  <si>
    <t>Paper Base</t>
  </si>
  <si>
    <t>Art Assume</t>
  </si>
  <si>
    <t>Chairs Material</t>
  </si>
  <si>
    <t>Laptops Improve</t>
  </si>
  <si>
    <t>Paper Hear</t>
  </si>
  <si>
    <t>Accessories Him</t>
  </si>
  <si>
    <t>Phones Treat</t>
  </si>
  <si>
    <t>Tables Leader</t>
  </si>
  <si>
    <t>Binders Blue</t>
  </si>
  <si>
    <t>Paper Increase</t>
  </si>
  <si>
    <t>Chairs Dinner</t>
  </si>
  <si>
    <t>Art Similar</t>
  </si>
  <si>
    <t>Tables Book</t>
  </si>
  <si>
    <t>Binders Early</t>
  </si>
  <si>
    <t>Art Manage</t>
  </si>
  <si>
    <t>Binders Community</t>
  </si>
  <si>
    <t>Chairs Current</t>
  </si>
  <si>
    <t>Tables Tree</t>
  </si>
  <si>
    <t>Tables Night</t>
  </si>
  <si>
    <t>Chairs Itself</t>
  </si>
  <si>
    <t>Art Night</t>
  </si>
  <si>
    <t>Storage Throw</t>
  </si>
  <si>
    <t>Laptops Again</t>
  </si>
  <si>
    <t>Chairs Foot</t>
  </si>
  <si>
    <t>Chairs The</t>
  </si>
  <si>
    <t>Laptops Get</t>
  </si>
  <si>
    <t>Phones Hit</t>
  </si>
  <si>
    <t>Laptops Current</t>
  </si>
  <si>
    <t>Art Quickly</t>
  </si>
  <si>
    <t>Paper Eye</t>
  </si>
  <si>
    <t>Binders Above</t>
  </si>
  <si>
    <t>Chairs Strong</t>
  </si>
  <si>
    <t>Laptops Leave</t>
  </si>
  <si>
    <t>Accessories Listen</t>
  </si>
  <si>
    <t>Chairs Personal</t>
  </si>
  <si>
    <t>Accessories Explain</t>
  </si>
  <si>
    <t>Chairs Pass</t>
  </si>
  <si>
    <t>Phones Animal</t>
  </si>
  <si>
    <t>Art Age</t>
  </si>
  <si>
    <t>Accessories Machine</t>
  </si>
  <si>
    <t>Tables Whatever</t>
  </si>
  <si>
    <t>Chairs Movie</t>
  </si>
  <si>
    <t>Accessories Stuff</t>
  </si>
  <si>
    <t>Tables Series</t>
  </si>
  <si>
    <t>Chairs Step</t>
  </si>
  <si>
    <t>Phones Research</t>
  </si>
  <si>
    <t>Binders Brother</t>
  </si>
  <si>
    <t>Phones Report</t>
  </si>
  <si>
    <t>Tables Explain</t>
  </si>
  <si>
    <t>Laptops Work</t>
  </si>
  <si>
    <t>Storage Score</t>
  </si>
  <si>
    <t>Binders Thousand</t>
  </si>
  <si>
    <t>Tables Opportunity</t>
  </si>
  <si>
    <t>Chairs According</t>
  </si>
  <si>
    <t>Binders Support</t>
  </si>
  <si>
    <t>Art Try</t>
  </si>
  <si>
    <t>Chairs Oil</t>
  </si>
  <si>
    <t>Storage Dog</t>
  </si>
  <si>
    <t>Accessories Have</t>
  </si>
  <si>
    <t>Phones National</t>
  </si>
  <si>
    <t>Art Occur</t>
  </si>
  <si>
    <t>Storage Ten</t>
  </si>
  <si>
    <t>Phones Activity</t>
  </si>
  <si>
    <t>Tables Both</t>
  </si>
  <si>
    <t>Storage Might</t>
  </si>
  <si>
    <t>Tables Pm</t>
  </si>
  <si>
    <t>Laptops Challenge</t>
  </si>
  <si>
    <t>Chairs Article</t>
  </si>
  <si>
    <t>Tables Structure</t>
  </si>
  <si>
    <t>Tables State</t>
  </si>
  <si>
    <t>Paper Whole</t>
  </si>
  <si>
    <t>Laptops Grow</t>
  </si>
  <si>
    <t>Phones Threat</t>
  </si>
  <si>
    <t>Art Front</t>
  </si>
  <si>
    <t>Art Recently</t>
  </si>
  <si>
    <t>Tables Until</t>
  </si>
  <si>
    <t>Chairs Animal</t>
  </si>
  <si>
    <t>Tables Respond</t>
  </si>
  <si>
    <t>Accessories Option</t>
  </si>
  <si>
    <t>Paper Far</t>
  </si>
  <si>
    <t>Binders Economy</t>
  </si>
  <si>
    <t>Storage Analysis</t>
  </si>
  <si>
    <t>Art Important</t>
  </si>
  <si>
    <t>Art Left</t>
  </si>
  <si>
    <t>Tables Radio</t>
  </si>
  <si>
    <t>Tables Well</t>
  </si>
  <si>
    <t>Laptops Such</t>
  </si>
  <si>
    <t>Art Like</t>
  </si>
  <si>
    <t>Art Policy</t>
  </si>
  <si>
    <t>Phones Nothing</t>
  </si>
  <si>
    <t>Laptops View</t>
  </si>
  <si>
    <t>Accessories President</t>
  </si>
  <si>
    <t>Storage Stop</t>
  </si>
  <si>
    <t>Laptops Firm</t>
  </si>
  <si>
    <t>Laptops Share</t>
  </si>
  <si>
    <t>Paper Discussion</t>
  </si>
  <si>
    <t>Paper Community</t>
  </si>
  <si>
    <t>Phones However</t>
  </si>
  <si>
    <t>Accessories Others</t>
  </si>
  <si>
    <t>Tables Still</t>
  </si>
  <si>
    <t>Phones Who</t>
  </si>
  <si>
    <t>Phones Fish</t>
  </si>
  <si>
    <t>Chairs Risk</t>
  </si>
  <si>
    <t>Phones Traditional</t>
  </si>
  <si>
    <t>Storage Expert</t>
  </si>
  <si>
    <t>Chairs Sing</t>
  </si>
  <si>
    <t>Art Force</t>
  </si>
  <si>
    <t>Phones Live</t>
  </si>
  <si>
    <t>Paper Artist</t>
  </si>
  <si>
    <t>Tables Between</t>
  </si>
  <si>
    <t>Laptops Four</t>
  </si>
  <si>
    <t>Phones Source</t>
  </si>
  <si>
    <t>Storage Professor</t>
  </si>
  <si>
    <t>Accessories Institution</t>
  </si>
  <si>
    <t>Phones Sea</t>
  </si>
  <si>
    <t>Binders North</t>
  </si>
  <si>
    <t>Art Specific</t>
  </si>
  <si>
    <t>Binders Note</t>
  </si>
  <si>
    <t>Phones Home</t>
  </si>
  <si>
    <t>Art Draw</t>
  </si>
  <si>
    <t>Art Western</t>
  </si>
  <si>
    <t>Chairs Your</t>
  </si>
  <si>
    <t>Chairs Finish</t>
  </si>
  <si>
    <t>Binders Cup</t>
  </si>
  <si>
    <t>Accessories Property</t>
  </si>
  <si>
    <t>Tables Quality</t>
  </si>
  <si>
    <t>Accessories Produce</t>
  </si>
  <si>
    <t>Tables Base</t>
  </si>
  <si>
    <t>Tables Sometimes</t>
  </si>
  <si>
    <t>Art Child</t>
  </si>
  <si>
    <t>Accessories Want</t>
  </si>
  <si>
    <t>Binders Recognize</t>
  </si>
  <si>
    <t>Accessories Test</t>
  </si>
  <si>
    <t>Laptops Structure</t>
  </si>
  <si>
    <t>Chairs Probably</t>
  </si>
  <si>
    <t>Laptops Who</t>
  </si>
  <si>
    <t>Chairs Research</t>
  </si>
  <si>
    <t>Binders Push</t>
  </si>
  <si>
    <t>Art Site</t>
  </si>
  <si>
    <t>Storage Poor</t>
  </si>
  <si>
    <t>Chairs Eight</t>
  </si>
  <si>
    <t>Art Area</t>
  </si>
  <si>
    <t>Art Enjoy</t>
  </si>
  <si>
    <t>Art Follow</t>
  </si>
  <si>
    <t>Accessories Material</t>
  </si>
  <si>
    <t>Accessories Future</t>
  </si>
  <si>
    <t>Storage Unit</t>
  </si>
  <si>
    <t>Phones Stand</t>
  </si>
  <si>
    <t>Tables Mention</t>
  </si>
  <si>
    <t>Storage Tend</t>
  </si>
  <si>
    <t>Storage Tough</t>
  </si>
  <si>
    <t>Accessories Toward</t>
  </si>
  <si>
    <t>Tables Picture</t>
  </si>
  <si>
    <t>Phones Attack</t>
  </si>
  <si>
    <t>Paper Until</t>
  </si>
  <si>
    <t>Storage Debate</t>
  </si>
  <si>
    <t>Laptops Run</t>
  </si>
  <si>
    <t>Chairs Wear</t>
  </si>
  <si>
    <t>Binders Say</t>
  </si>
  <si>
    <t>Storage Their</t>
  </si>
  <si>
    <t>Laptops Religious</t>
  </si>
  <si>
    <t>Tables Per</t>
  </si>
  <si>
    <t>Storage Program</t>
  </si>
  <si>
    <t>Tables Themselves</t>
  </si>
  <si>
    <t>Chairs Indeed</t>
  </si>
  <si>
    <t>Phones Life</t>
  </si>
  <si>
    <t>Storage Nature</t>
  </si>
  <si>
    <t>Binders Agency</t>
  </si>
  <si>
    <t>Chairs Other</t>
  </si>
  <si>
    <t>Art Too</t>
  </si>
  <si>
    <t>Art Table</t>
  </si>
  <si>
    <t>Phones Help</t>
  </si>
  <si>
    <t>Chairs Our</t>
  </si>
  <si>
    <t>Storage Politics</t>
  </si>
  <si>
    <t>Storage Issue</t>
  </si>
  <si>
    <t>Tables Argue</t>
  </si>
  <si>
    <t>Phones Smile</t>
  </si>
  <si>
    <t>Binders Discover</t>
  </si>
  <si>
    <t>Storage Camera</t>
  </si>
  <si>
    <t>Art Yard</t>
  </si>
  <si>
    <t>Phones Take</t>
  </si>
  <si>
    <t>Chairs Continue</t>
  </si>
  <si>
    <t>Accessories Dream</t>
  </si>
  <si>
    <t>Laptops Protect</t>
  </si>
  <si>
    <t>Laptops Yet</t>
  </si>
  <si>
    <t>Accessories Discussion</t>
  </si>
  <si>
    <t>Storage Three</t>
  </si>
  <si>
    <t>Tables Visit</t>
  </si>
  <si>
    <t>Accessories Carry</t>
  </si>
  <si>
    <t>Tables Leg</t>
  </si>
  <si>
    <t>Tables Let</t>
  </si>
  <si>
    <t>Paper Week</t>
  </si>
  <si>
    <t>Phones Visit</t>
  </si>
  <si>
    <t>Phones Rise</t>
  </si>
  <si>
    <t>Laptops As</t>
  </si>
  <si>
    <t>Phones Direction</t>
  </si>
  <si>
    <t>Paper From</t>
  </si>
  <si>
    <t>Storage Full</t>
  </si>
  <si>
    <t>Art Other</t>
  </si>
  <si>
    <t>Tables Place</t>
  </si>
  <si>
    <t>Chairs Young</t>
  </si>
  <si>
    <t>Storage Mind</t>
  </si>
  <si>
    <t>Laptops Necessary</t>
  </si>
  <si>
    <t>Art Mean</t>
  </si>
  <si>
    <t>Art Mrs</t>
  </si>
  <si>
    <t>Chairs Way</t>
  </si>
  <si>
    <t>Tables To</t>
  </si>
  <si>
    <t>Phones Small</t>
  </si>
  <si>
    <t>Laptops Fill</t>
  </si>
  <si>
    <t>Chairs Author</t>
  </si>
  <si>
    <t>Storage Tax</t>
  </si>
  <si>
    <t>Accessories Task</t>
  </si>
  <si>
    <t>Storage Open</t>
  </si>
  <si>
    <t>Paper Value</t>
  </si>
  <si>
    <t>Paper Want</t>
  </si>
  <si>
    <t>Tables Owner</t>
  </si>
  <si>
    <t>Binders Subject</t>
  </si>
  <si>
    <t>Art Issue</t>
  </si>
  <si>
    <t>Binders Morning</t>
  </si>
  <si>
    <t>Storage Various</t>
  </si>
  <si>
    <t>Paper Give</t>
  </si>
  <si>
    <t>Tables Line</t>
  </si>
  <si>
    <t>Binders Thing</t>
  </si>
  <si>
    <t>Storage From</t>
  </si>
  <si>
    <t>Binders Cut</t>
  </si>
  <si>
    <t>Binders No</t>
  </si>
  <si>
    <t>Paper Customer</t>
  </si>
  <si>
    <t>Tables Last</t>
  </si>
  <si>
    <t>Binders Politics</t>
  </si>
  <si>
    <t>Accessories Identify</t>
  </si>
  <si>
    <t>Binders Will</t>
  </si>
  <si>
    <t>Accessories Value</t>
  </si>
  <si>
    <t>Accessories Despite</t>
  </si>
  <si>
    <t>Paper Their</t>
  </si>
  <si>
    <t>Art Team</t>
  </si>
  <si>
    <t>Art Scene</t>
  </si>
  <si>
    <t>Storage Rise</t>
  </si>
  <si>
    <t>Art Station</t>
  </si>
  <si>
    <t>Laptops Understand</t>
  </si>
  <si>
    <t>Paper Personal</t>
  </si>
  <si>
    <t>Art Trial</t>
  </si>
  <si>
    <t>Laptops Able</t>
  </si>
  <si>
    <t>Storage Around</t>
  </si>
  <si>
    <t>Chairs Police</t>
  </si>
  <si>
    <t>Art Star</t>
  </si>
  <si>
    <t>Accessories Arm</t>
  </si>
  <si>
    <t>Art All</t>
  </si>
  <si>
    <t>Art Church</t>
  </si>
  <si>
    <t>Chairs Management</t>
  </si>
  <si>
    <t>Chairs Simply</t>
  </si>
  <si>
    <t>Art Matter</t>
  </si>
  <si>
    <t>Accessories Establish</t>
  </si>
  <si>
    <t>Phones Watch</t>
  </si>
  <si>
    <t>Chairs Exactly</t>
  </si>
  <si>
    <t>Binders Herself</t>
  </si>
  <si>
    <t>Chairs Instead</t>
  </si>
  <si>
    <t>Art None</t>
  </si>
  <si>
    <t>Binders Successful</t>
  </si>
  <si>
    <t>Paper Improve</t>
  </si>
  <si>
    <t>Accessories History</t>
  </si>
  <si>
    <t>Binders Miss</t>
  </si>
  <si>
    <t>Accessories Woman</t>
  </si>
  <si>
    <t>Paper National</t>
  </si>
  <si>
    <t>Tables Single</t>
  </si>
  <si>
    <t>Phones On</t>
  </si>
  <si>
    <t>Accessories Baby</t>
  </si>
  <si>
    <t>Paper Article</t>
  </si>
  <si>
    <t>Tables Guy</t>
  </si>
  <si>
    <t>Phones Generation</t>
  </si>
  <si>
    <t>Art Test</t>
  </si>
  <si>
    <t>Phones Worker</t>
  </si>
  <si>
    <t>Storage Necessary</t>
  </si>
  <si>
    <t>Paper Open</t>
  </si>
  <si>
    <t>Chairs Miss</t>
  </si>
  <si>
    <t>Binders Force</t>
  </si>
  <si>
    <t>Laptops Hot</t>
  </si>
  <si>
    <t>Chairs Mind</t>
  </si>
  <si>
    <t>Art Author</t>
  </si>
  <si>
    <t>Tables Sit</t>
  </si>
  <si>
    <t>Art Information</t>
  </si>
  <si>
    <t>Art Cell</t>
  </si>
  <si>
    <t>Art Around</t>
  </si>
  <si>
    <t>Chairs Effort</t>
  </si>
  <si>
    <t>Paper Investment</t>
  </si>
  <si>
    <t>Phones He</t>
  </si>
  <si>
    <t>Tables After</t>
  </si>
  <si>
    <t>Binders Total</t>
  </si>
  <si>
    <t>Storage Explain</t>
  </si>
  <si>
    <t>Paper Off</t>
  </si>
  <si>
    <t>Binders Might</t>
  </si>
  <si>
    <t>Tables Free</t>
  </si>
  <si>
    <t>Chairs Away</t>
  </si>
  <si>
    <t>Art Project</t>
  </si>
  <si>
    <t>Chairs Society</t>
  </si>
  <si>
    <t>Binders Follow</t>
  </si>
  <si>
    <t>Laptops Laugh</t>
  </si>
  <si>
    <t>Binders Now</t>
  </si>
  <si>
    <t>Phones Some</t>
  </si>
  <si>
    <t>Chairs Shake</t>
  </si>
  <si>
    <t>Paper My</t>
  </si>
  <si>
    <t>Chairs Congress</t>
  </si>
  <si>
    <t>Paper No</t>
  </si>
  <si>
    <t>Binders Green</t>
  </si>
  <si>
    <t>Art Late</t>
  </si>
  <si>
    <t>Phones Chance</t>
  </si>
  <si>
    <t>Tables Poor</t>
  </si>
  <si>
    <t>Laptops Maintain</t>
  </si>
  <si>
    <t>Accessories Continue</t>
  </si>
  <si>
    <t>Binders Impact</t>
  </si>
  <si>
    <t>Binders Table</t>
  </si>
  <si>
    <t>Tables The</t>
  </si>
  <si>
    <t>Tables East</t>
  </si>
  <si>
    <t>Accessories Difference</t>
  </si>
  <si>
    <t>Chairs Protect</t>
  </si>
  <si>
    <t>Paper Debate</t>
  </si>
  <si>
    <t>Paper Oil</t>
  </si>
  <si>
    <t>Paper Whose</t>
  </si>
  <si>
    <t>Chairs Most</t>
  </si>
  <si>
    <t>Chairs Tv</t>
  </si>
  <si>
    <t>Tables Long</t>
  </si>
  <si>
    <t>Tables Trouble</t>
  </si>
  <si>
    <t>Chairs Should</t>
  </si>
  <si>
    <t>Chairs Hot</t>
  </si>
  <si>
    <t>Binders Travel</t>
  </si>
  <si>
    <t>Accessories Local</t>
  </si>
  <si>
    <t>Phones Industry</t>
  </si>
  <si>
    <t>Phones Pay</t>
  </si>
  <si>
    <t>Storage Decide</t>
  </si>
  <si>
    <t>Chairs Surface</t>
  </si>
  <si>
    <t>Phones Bed</t>
  </si>
  <si>
    <t>Accessories Happy</t>
  </si>
  <si>
    <t>Art Field</t>
  </si>
  <si>
    <t>Laptops Item</t>
  </si>
  <si>
    <t>Accessories Successful</t>
  </si>
  <si>
    <t>Tables Rest</t>
  </si>
  <si>
    <t>Binders Remain</t>
  </si>
  <si>
    <t>Tables Authority</t>
  </si>
  <si>
    <t>Paper Idea</t>
  </si>
  <si>
    <t>Binders Speak</t>
  </si>
  <si>
    <t>Chairs Evening</t>
  </si>
  <si>
    <t>Accessories Degree</t>
  </si>
  <si>
    <t>Paper Range</t>
  </si>
  <si>
    <t>Tables Development</t>
  </si>
  <si>
    <t>Chairs These</t>
  </si>
  <si>
    <t>Paper Office</t>
  </si>
  <si>
    <t>Laptops Move</t>
  </si>
  <si>
    <t>Laptops Meeting</t>
  </si>
  <si>
    <t>Laptops Difference</t>
  </si>
  <si>
    <t>Chairs Part</t>
  </si>
  <si>
    <t>Phones Participant</t>
  </si>
  <si>
    <t>Binders World</t>
  </si>
  <si>
    <t>Laptops Wife</t>
  </si>
  <si>
    <t>Paper If</t>
  </si>
  <si>
    <t>Phones Necessary</t>
  </si>
  <si>
    <t>Laptops Drop</t>
  </si>
  <si>
    <t>Storage Ago</t>
  </si>
  <si>
    <t>Phones Road</t>
  </si>
  <si>
    <t>Tables College</t>
  </si>
  <si>
    <t>Art Friend</t>
  </si>
  <si>
    <t>Art Base</t>
  </si>
  <si>
    <t>Laptops Although</t>
  </si>
  <si>
    <t>Laptops Enjoy</t>
  </si>
  <si>
    <t>Art News</t>
  </si>
  <si>
    <t>Accessories Our</t>
  </si>
  <si>
    <t>Accessories Issue</t>
  </si>
  <si>
    <t>Storage Put</t>
  </si>
  <si>
    <t>Binders Most</t>
  </si>
  <si>
    <t>Paper Might</t>
  </si>
  <si>
    <t>Binders Mind</t>
  </si>
  <si>
    <t>Tables Particular</t>
  </si>
  <si>
    <t>Accessories Say</t>
  </si>
  <si>
    <t>Chairs Poor</t>
  </si>
  <si>
    <t>Tables Reach</t>
  </si>
  <si>
    <t>Laptops Control</t>
  </si>
  <si>
    <t>Accessories Budget</t>
  </si>
  <si>
    <t>Art Skill</t>
  </si>
  <si>
    <t>Phones Put</t>
  </si>
  <si>
    <t>Laptops Hour</t>
  </si>
  <si>
    <t>Storage Amount</t>
  </si>
  <si>
    <t>Chairs West</t>
  </si>
  <si>
    <t>Tables Along</t>
  </si>
  <si>
    <t>Art Both</t>
  </si>
  <si>
    <t>Accessories Computer</t>
  </si>
  <si>
    <t>Binders By</t>
  </si>
  <si>
    <t>Binders Capital</t>
  </si>
  <si>
    <t>Art Nearly</t>
  </si>
  <si>
    <t>Tables Western</t>
  </si>
  <si>
    <t>Binders Check</t>
  </si>
  <si>
    <t>Phones Group</t>
  </si>
  <si>
    <t>Paper Fast</t>
  </si>
  <si>
    <t>Accessories South</t>
  </si>
  <si>
    <t>Chairs Relationship</t>
  </si>
  <si>
    <t>Tables Experience</t>
  </si>
  <si>
    <t>Paper Although</t>
  </si>
  <si>
    <t>Accessories Real</t>
  </si>
  <si>
    <t>Paper Herself</t>
  </si>
  <si>
    <t>Phones Spend</t>
  </si>
  <si>
    <t>Storage Doctor</t>
  </si>
  <si>
    <t>Art Despite</t>
  </si>
  <si>
    <t>Art Almost</t>
  </si>
  <si>
    <t>Chairs Child</t>
  </si>
  <si>
    <t>Accessories Chair</t>
  </si>
  <si>
    <t>Art Item</t>
  </si>
  <si>
    <t>Art Culture</t>
  </si>
  <si>
    <t>Storage Material</t>
  </si>
  <si>
    <t>Phones Word</t>
  </si>
  <si>
    <t>Laptops Common</t>
  </si>
  <si>
    <t>Binders Inside</t>
  </si>
  <si>
    <t>Art Common</t>
  </si>
  <si>
    <t>Binders Building</t>
  </si>
  <si>
    <t>Laptops Eight</t>
  </si>
  <si>
    <t>Chairs Account</t>
  </si>
  <si>
    <t>Accessories Important</t>
  </si>
  <si>
    <t>Accessories Sport</t>
  </si>
  <si>
    <t>Tables How</t>
  </si>
  <si>
    <t>Tables Point</t>
  </si>
  <si>
    <t>Art Again</t>
  </si>
  <si>
    <t>Accessories Whose</t>
  </si>
  <si>
    <t>Art Young</t>
  </si>
  <si>
    <t>Paper Light</t>
  </si>
  <si>
    <t>Accessories Inside</t>
  </si>
  <si>
    <t>Storage New</t>
  </si>
  <si>
    <t>Laptops Federal</t>
  </si>
  <si>
    <t>Tables Give</t>
  </si>
  <si>
    <t>Phones Be</t>
  </si>
  <si>
    <t>Art Interesting</t>
  </si>
  <si>
    <t>Phones Find</t>
  </si>
  <si>
    <t>Paper Avoid</t>
  </si>
  <si>
    <t>Binders Scientist</t>
  </si>
  <si>
    <t>Paper Offer</t>
  </si>
  <si>
    <t>Accessories True</t>
  </si>
  <si>
    <t>Binders Month</t>
  </si>
  <si>
    <t>Phones Simply</t>
  </si>
  <si>
    <t>Phones Without</t>
  </si>
  <si>
    <t>Tables Involve</t>
  </si>
  <si>
    <t>Accessories Shake</t>
  </si>
  <si>
    <t>Phones In</t>
  </si>
  <si>
    <t>Paper Not</t>
  </si>
  <si>
    <t>Accessories Respond</t>
  </si>
  <si>
    <t>Accessories Capital</t>
  </si>
  <si>
    <t>Tables Its</t>
  </si>
  <si>
    <t>Phones Relationship</t>
  </si>
  <si>
    <t>Chairs Sure</t>
  </si>
  <si>
    <t>Art Seat</t>
  </si>
  <si>
    <t>Tables Treat</t>
  </si>
  <si>
    <t>Storage Include</t>
  </si>
  <si>
    <t>Storage Truth</t>
  </si>
  <si>
    <t>Chairs Compare</t>
  </si>
  <si>
    <t>Accessories Contain</t>
  </si>
  <si>
    <t>Laptops Somebody</t>
  </si>
  <si>
    <t>Accessories Practice</t>
  </si>
  <si>
    <t>Phones Wife</t>
  </si>
  <si>
    <t>Paper Visit</t>
  </si>
  <si>
    <t>Tables Walk</t>
  </si>
  <si>
    <t>Laptops Take</t>
  </si>
  <si>
    <t>Chairs Country</t>
  </si>
  <si>
    <t>Tables Enjoy</t>
  </si>
  <si>
    <t>Binders Hour</t>
  </si>
  <si>
    <t>Phones Production</t>
  </si>
  <si>
    <t>Accessories Form</t>
  </si>
  <si>
    <t>Tables Current</t>
  </si>
  <si>
    <t>Binders Organization</t>
  </si>
  <si>
    <t>Phones Data</t>
  </si>
  <si>
    <t>Paper Marriage</t>
  </si>
  <si>
    <t>Tables Data</t>
  </si>
  <si>
    <t>Chairs Study</t>
  </si>
  <si>
    <t>Storage Financial</t>
  </si>
  <si>
    <t>Laptops Finish</t>
  </si>
  <si>
    <t>Art Choice</t>
  </si>
  <si>
    <t>Accessories Prove</t>
  </si>
  <si>
    <t>Accessories Election</t>
  </si>
  <si>
    <t>Chairs Name</t>
  </si>
  <si>
    <t>Accessories Personal</t>
  </si>
  <si>
    <t>Phones Course</t>
  </si>
  <si>
    <t>Chairs Build</t>
  </si>
  <si>
    <t>Chairs Understand</t>
  </si>
  <si>
    <t>Laptops Decade</t>
  </si>
  <si>
    <t>Laptops Page</t>
  </si>
  <si>
    <t>Tables Baby</t>
  </si>
  <si>
    <t>Binders Allow</t>
  </si>
  <si>
    <t>Art Resource</t>
  </si>
  <si>
    <t>Tables Rock</t>
  </si>
  <si>
    <t>Paper Better</t>
  </si>
  <si>
    <t>Laptops Oil</t>
  </si>
  <si>
    <t>Tables Build</t>
  </si>
  <si>
    <t>Laptops Against</t>
  </si>
  <si>
    <t>Laptops Possible</t>
  </si>
  <si>
    <t>Paper Rate</t>
  </si>
  <si>
    <t>Storage Pattern</t>
  </si>
  <si>
    <t>Paper Last</t>
  </si>
  <si>
    <t>Binders Word</t>
  </si>
  <si>
    <t>Storage Avoid</t>
  </si>
  <si>
    <t>Chairs Positive</t>
  </si>
  <si>
    <t>Tables Though</t>
  </si>
  <si>
    <t>Paper Church</t>
  </si>
  <si>
    <t>Storage Whole</t>
  </si>
  <si>
    <t>Binders Ask</t>
  </si>
  <si>
    <t>Laptops Defense</t>
  </si>
  <si>
    <t>Storage Find</t>
  </si>
  <si>
    <t>Tables Level</t>
  </si>
  <si>
    <t>Binders Picture</t>
  </si>
  <si>
    <t>Accessories Create</t>
  </si>
  <si>
    <t>Laptops Financial</t>
  </si>
  <si>
    <t>Phones Long</t>
  </si>
  <si>
    <t>Phones Congress</t>
  </si>
  <si>
    <t>Phones From</t>
  </si>
  <si>
    <t>Tables Player</t>
  </si>
  <si>
    <t>Tables Coach</t>
  </si>
  <si>
    <t>Accessories Wide</t>
  </si>
  <si>
    <t>Phones Board</t>
  </si>
  <si>
    <t>Binders Thus</t>
  </si>
  <si>
    <t>Tables Soon</t>
  </si>
  <si>
    <t>Accessories Tonight</t>
  </si>
  <si>
    <t>Laptops Us</t>
  </si>
  <si>
    <t>Accessories Smile</t>
  </si>
  <si>
    <t>Art Effort</t>
  </si>
  <si>
    <t>Tables Fill</t>
  </si>
  <si>
    <t>Laptops Condition</t>
  </si>
  <si>
    <t>Accessories Allow</t>
  </si>
  <si>
    <t>Paper Save</t>
  </si>
  <si>
    <t>Tables Pick</t>
  </si>
  <si>
    <t>Binders Return</t>
  </si>
  <si>
    <t>Paper Executive</t>
  </si>
  <si>
    <t>Accessories Bed</t>
  </si>
  <si>
    <t>Accessories Sea</t>
  </si>
  <si>
    <t>Art Maybe</t>
  </si>
  <si>
    <t>Binders Seek</t>
  </si>
  <si>
    <t>Storage Increase</t>
  </si>
  <si>
    <t>Accessories Bad</t>
  </si>
  <si>
    <t>Accessories Green</t>
  </si>
  <si>
    <t>Tables Too</t>
  </si>
  <si>
    <t>Accessories Safe</t>
  </si>
  <si>
    <t>Phones Easy</t>
  </si>
  <si>
    <t>Phones Last</t>
  </si>
  <si>
    <t>Accessories Recently</t>
  </si>
  <si>
    <t>Binders Federal</t>
  </si>
  <si>
    <t>Binders Recent</t>
  </si>
  <si>
    <t>Phones Produce</t>
  </si>
  <si>
    <t>Storage Bank</t>
  </si>
  <si>
    <t>Storage Low</t>
  </si>
  <si>
    <t>Paper Painting</t>
  </si>
  <si>
    <t>Chairs Ever</t>
  </si>
  <si>
    <t>Paper Authority</t>
  </si>
  <si>
    <t>Accessories Turn</t>
  </si>
  <si>
    <t>Chairs Main</t>
  </si>
  <si>
    <t>Paper Door</t>
  </si>
  <si>
    <t>Accessories Serve</t>
  </si>
  <si>
    <t>Binders Station</t>
  </si>
  <si>
    <t>Storage Right</t>
  </si>
  <si>
    <t>Laptops International</t>
  </si>
  <si>
    <t>Binders Fall</t>
  </si>
  <si>
    <t>Art Beat</t>
  </si>
  <si>
    <t>Paper Ready</t>
  </si>
  <si>
    <t>Accessories Risk</t>
  </si>
  <si>
    <t>Binders Until</t>
  </si>
  <si>
    <t>Tables Body</t>
  </si>
  <si>
    <t>Phones Dinner</t>
  </si>
  <si>
    <t>Chairs A</t>
  </si>
  <si>
    <t>Accessories Notice</t>
  </si>
  <si>
    <t>Phones Maintain</t>
  </si>
  <si>
    <t>Laptops Race</t>
  </si>
  <si>
    <t>Phones Western</t>
  </si>
  <si>
    <t>Tables Cold</t>
  </si>
  <si>
    <t>Chairs Administration</t>
  </si>
  <si>
    <t>Accessories Especially</t>
  </si>
  <si>
    <t>Accessories Still</t>
  </si>
  <si>
    <t>Laptops Strategy</t>
  </si>
  <si>
    <t>Accessories Learn</t>
  </si>
  <si>
    <t>Phones Can</t>
  </si>
  <si>
    <t>Art Question</t>
  </si>
  <si>
    <t>Storage Concern</t>
  </si>
  <si>
    <t>Binders Policy</t>
  </si>
  <si>
    <t>Paper First</t>
  </si>
  <si>
    <t>Tables Medical</t>
  </si>
  <si>
    <t>Laptops Cell</t>
  </si>
  <si>
    <t>Paper Tv</t>
  </si>
  <si>
    <t>Storage Response</t>
  </si>
  <si>
    <t>Storage Everything</t>
  </si>
  <si>
    <t>Tables Wait</t>
  </si>
  <si>
    <t>Laptops Poor</t>
  </si>
  <si>
    <t>Binders Cell</t>
  </si>
  <si>
    <t>Chairs Join</t>
  </si>
  <si>
    <t>Accessories Maybe</t>
  </si>
  <si>
    <t>Chairs Difference</t>
  </si>
  <si>
    <t>Paper Movie</t>
  </si>
  <si>
    <t>Storage Land</t>
  </si>
  <si>
    <t>Paper Our</t>
  </si>
  <si>
    <t>Art Happen</t>
  </si>
  <si>
    <t>Binders Partner</t>
  </si>
  <si>
    <t>Laptops Send</t>
  </si>
  <si>
    <t>Laptops Cover</t>
  </si>
  <si>
    <t>Phones Always</t>
  </si>
  <si>
    <t>Art Still</t>
  </si>
  <si>
    <t>Chairs Smile</t>
  </si>
  <si>
    <t>Binders Child</t>
  </si>
  <si>
    <t>Art Nothing</t>
  </si>
  <si>
    <t>Tables Decision</t>
  </si>
  <si>
    <t>Laptops Or</t>
  </si>
  <si>
    <t>Accessories Ahead</t>
  </si>
  <si>
    <t>Accessories Character</t>
  </si>
  <si>
    <t>Accessories Compare</t>
  </si>
  <si>
    <t>Binders Institution</t>
  </si>
  <si>
    <t>Storage Protect</t>
  </si>
  <si>
    <t>Paper Share</t>
  </si>
  <si>
    <t>Phones Agreement</t>
  </si>
  <si>
    <t>Accessories Few</t>
  </si>
  <si>
    <t>Storage Product</t>
  </si>
  <si>
    <t>Paper Interesting</t>
  </si>
  <si>
    <t>Tables Simply</t>
  </si>
  <si>
    <t>Tables Always</t>
  </si>
  <si>
    <t>Phones Town</t>
  </si>
  <si>
    <t>Laptops Cause</t>
  </si>
  <si>
    <t>Storage Enough</t>
  </si>
  <si>
    <t>Storage Drive</t>
  </si>
  <si>
    <t>Laptops Usually</t>
  </si>
  <si>
    <t>Storage Lose</t>
  </si>
  <si>
    <t>Paper Theory</t>
  </si>
  <si>
    <t>Phones Computer</t>
  </si>
  <si>
    <t>Paper Else</t>
  </si>
  <si>
    <t>Laptops Staff</t>
  </si>
  <si>
    <t>Accessories Suggest</t>
  </si>
  <si>
    <t>Laptops Vote</t>
  </si>
  <si>
    <t>Paper To</t>
  </si>
  <si>
    <t>Phones Throughout</t>
  </si>
  <si>
    <t>Accessories Today</t>
  </si>
  <si>
    <t>Chairs Power</t>
  </si>
  <si>
    <t>Art Themselves</t>
  </si>
  <si>
    <t>Art Until</t>
  </si>
  <si>
    <t>Accessories Party</t>
  </si>
  <si>
    <t>Art Win</t>
  </si>
  <si>
    <t>Art Purpose</t>
  </si>
  <si>
    <t>Binders Someone</t>
  </si>
  <si>
    <t>Accessories Then</t>
  </si>
  <si>
    <t>Laptops City</t>
  </si>
  <si>
    <t>Tables Probably</t>
  </si>
  <si>
    <t>Paper Move</t>
  </si>
  <si>
    <t>Tables Situation</t>
  </si>
  <si>
    <t>Accessories Share</t>
  </si>
  <si>
    <t>Binders Century</t>
  </si>
  <si>
    <t>Art Hundred</t>
  </si>
  <si>
    <t>Tables Support</t>
  </si>
  <si>
    <t>Binders Senior</t>
  </si>
  <si>
    <t>Phones Anyone</t>
  </si>
  <si>
    <t>Chairs Before</t>
  </si>
  <si>
    <t>Binders Physical</t>
  </si>
  <si>
    <t>Laptops Treat</t>
  </si>
  <si>
    <t>Laptops Own</t>
  </si>
  <si>
    <t>Tables Simple</t>
  </si>
  <si>
    <t>Storage Sort</t>
  </si>
  <si>
    <t>Tables Raise</t>
  </si>
  <si>
    <t>Art Carry</t>
  </si>
  <si>
    <t>Chairs House</t>
  </si>
  <si>
    <t>Phones Employee</t>
  </si>
  <si>
    <t>Storage Believe</t>
  </si>
  <si>
    <t>Art Sound</t>
  </si>
  <si>
    <t>Binders Wrong</t>
  </si>
  <si>
    <t>Storage Apply</t>
  </si>
  <si>
    <t>Chairs Clearly</t>
  </si>
  <si>
    <t>Binders Which</t>
  </si>
  <si>
    <t>Storage Two</t>
  </si>
  <si>
    <t>Paper Public</t>
  </si>
  <si>
    <t>Accessories Choose</t>
  </si>
  <si>
    <t>Art Race</t>
  </si>
  <si>
    <t>Paper Go</t>
  </si>
  <si>
    <t>Art Upon</t>
  </si>
  <si>
    <t>Storage Group</t>
  </si>
  <si>
    <t>Phones Need</t>
  </si>
  <si>
    <t>Accessories Enough</t>
  </si>
  <si>
    <t>Tables Statement</t>
  </si>
  <si>
    <t>Paper Watch</t>
  </si>
  <si>
    <t>Paper Medical</t>
  </si>
  <si>
    <t>Tables Letter</t>
  </si>
  <si>
    <t>Laptops Six</t>
  </si>
  <si>
    <t>Paper Will</t>
  </si>
  <si>
    <t>Accessories Show</t>
  </si>
  <si>
    <t>Tables Wish</t>
  </si>
  <si>
    <t>Paper Heart</t>
  </si>
  <si>
    <t>Tables Enough</t>
  </si>
  <si>
    <t>Tables Control</t>
  </si>
  <si>
    <t>Chairs Price</t>
  </si>
  <si>
    <t>Chairs Growth</t>
  </si>
  <si>
    <t>Paper Simply</t>
  </si>
  <si>
    <t>Tables Become</t>
  </si>
  <si>
    <t>Accessories Year</t>
  </si>
  <si>
    <t>Phones Later</t>
  </si>
  <si>
    <t>Phones Fly</t>
  </si>
  <si>
    <t>Chairs Little</t>
  </si>
  <si>
    <t>Accessories Large</t>
  </si>
  <si>
    <t>Tables Oil</t>
  </si>
  <si>
    <t>Binders Huge</t>
  </si>
  <si>
    <t>Tables Find</t>
  </si>
  <si>
    <t>Art Discover</t>
  </si>
  <si>
    <t>Art Color</t>
  </si>
  <si>
    <t>Phones Ten</t>
  </si>
  <si>
    <t>Phones North</t>
  </si>
  <si>
    <t>Tables Wear</t>
  </si>
  <si>
    <t>Accessories Parent</t>
  </si>
  <si>
    <t>Paper Source</t>
  </si>
  <si>
    <t>Art Maintain</t>
  </si>
  <si>
    <t>Storage Sit</t>
  </si>
  <si>
    <t>Storage Candidate</t>
  </si>
  <si>
    <t>Storage Bill</t>
  </si>
  <si>
    <t>Storage Drug</t>
  </si>
  <si>
    <t>Phones Apply</t>
  </si>
  <si>
    <t>Paper Seven</t>
  </si>
  <si>
    <t>Laptops Marriage</t>
  </si>
  <si>
    <t>Accessories Really</t>
  </si>
  <si>
    <t>Storage Also</t>
  </si>
  <si>
    <t>Art Success</t>
  </si>
  <si>
    <t>Phones Type</t>
  </si>
  <si>
    <t>Paper Protect</t>
  </si>
  <si>
    <t>Chairs Friend</t>
  </si>
  <si>
    <t>Binders Student</t>
  </si>
  <si>
    <t>Storage Leader</t>
  </si>
  <si>
    <t>Storage Leave</t>
  </si>
  <si>
    <t>Storage Science</t>
  </si>
  <si>
    <t>Accessories Blood</t>
  </si>
  <si>
    <t>Binders Lay</t>
  </si>
  <si>
    <t>Paper Truth</t>
  </si>
  <si>
    <t>Art To</t>
  </si>
  <si>
    <t>Accessories Store</t>
  </si>
  <si>
    <t>Accessories Expert</t>
  </si>
  <si>
    <t>Tables Across</t>
  </si>
  <si>
    <t>Tables Serious</t>
  </si>
  <si>
    <t>Phones Amount</t>
  </si>
  <si>
    <t>Chairs Woman</t>
  </si>
  <si>
    <t>Accessories Court</t>
  </si>
  <si>
    <t>Paper Control</t>
  </si>
  <si>
    <t>Art Into</t>
  </si>
  <si>
    <t>Chairs Note</t>
  </si>
  <si>
    <t>Laptops Serious</t>
  </si>
  <si>
    <t>Phones Reality</t>
  </si>
  <si>
    <t>Accessories Kid</t>
  </si>
  <si>
    <t>Tables Military</t>
  </si>
  <si>
    <t>Paper Establish</t>
  </si>
  <si>
    <t>Art Whether</t>
  </si>
  <si>
    <t>Phones Allow</t>
  </si>
  <si>
    <t>Chairs Couple</t>
  </si>
  <si>
    <t>Accessories Foot</t>
  </si>
  <si>
    <t>Storage You</t>
  </si>
  <si>
    <t>Storage Stage</t>
  </si>
  <si>
    <t>Tables However</t>
  </si>
  <si>
    <t>Paper Matter</t>
  </si>
  <si>
    <t>Laptops May</t>
  </si>
  <si>
    <t>Phones Challenge</t>
  </si>
  <si>
    <t>Laptops Describe</t>
  </si>
  <si>
    <t>Chairs Action</t>
  </si>
  <si>
    <t>Laptops Prepare</t>
  </si>
  <si>
    <t>Storage Whose</t>
  </si>
  <si>
    <t>Storage Senior</t>
  </si>
  <si>
    <t>Accessories Next</t>
  </si>
  <si>
    <t>Laptops Into</t>
  </si>
  <si>
    <t>Paper Make</t>
  </si>
  <si>
    <t>Art Generation</t>
  </si>
  <si>
    <t>Chairs Whatever</t>
  </si>
  <si>
    <t>Art Figure</t>
  </si>
  <si>
    <t>Tables Blood</t>
  </si>
  <si>
    <t>Phones Teacher</t>
  </si>
  <si>
    <t>Paper Though</t>
  </si>
  <si>
    <t>Chairs Major</t>
  </si>
  <si>
    <t>Binders Fish</t>
  </si>
  <si>
    <t>Tables Wonder</t>
  </si>
  <si>
    <t>Binders Type</t>
  </si>
  <si>
    <t>Tables Matter</t>
  </si>
  <si>
    <t>Binders These</t>
  </si>
  <si>
    <t>Chairs Many</t>
  </si>
  <si>
    <t>Accessories Price</t>
  </si>
  <si>
    <t>Art American</t>
  </si>
  <si>
    <t>Chairs Guy</t>
  </si>
  <si>
    <t>Accessories Story</t>
  </si>
  <si>
    <t>Phones General</t>
  </si>
  <si>
    <t>Art Direction</t>
  </si>
  <si>
    <t>Chairs You</t>
  </si>
  <si>
    <t>Storage Often</t>
  </si>
  <si>
    <t>Art White</t>
  </si>
  <si>
    <t>Phones Anything</t>
  </si>
  <si>
    <t>Accessories Shoulder</t>
  </si>
  <si>
    <t>Tables Three</t>
  </si>
  <si>
    <t>Binders International</t>
  </si>
  <si>
    <t>Laptops Physical</t>
  </si>
  <si>
    <t>Art Fund</t>
  </si>
  <si>
    <t>Binders Save</t>
  </si>
  <si>
    <t>Binders Include</t>
  </si>
  <si>
    <t>Paper Structure</t>
  </si>
  <si>
    <t>Chairs Bar</t>
  </si>
  <si>
    <t>Chairs Cause</t>
  </si>
  <si>
    <t>Tables Total</t>
  </si>
  <si>
    <t>Laptops Never</t>
  </si>
  <si>
    <t>Paper Third</t>
  </si>
  <si>
    <t>Laptops Point</t>
  </si>
  <si>
    <t>Binders Pattern</t>
  </si>
  <si>
    <t>Phones Toward</t>
  </si>
  <si>
    <t>Accessories Through</t>
  </si>
  <si>
    <t>Phones Member</t>
  </si>
  <si>
    <t>Phones Mission</t>
  </si>
  <si>
    <t>Accessories First</t>
  </si>
  <si>
    <t>Chairs Commercial</t>
  </si>
  <si>
    <t>Phones Father</t>
  </si>
  <si>
    <t>Phones Same</t>
  </si>
  <si>
    <t>Chairs Control</t>
  </si>
  <si>
    <t>Accessories Sign</t>
  </si>
  <si>
    <t>Chairs History</t>
  </si>
  <si>
    <t>Laptops Skin</t>
  </si>
  <si>
    <t>Tables Democrat</t>
  </si>
  <si>
    <t>Binders Middle</t>
  </si>
  <si>
    <t>Paper Manager</t>
  </si>
  <si>
    <t>Binders That</t>
  </si>
  <si>
    <t>Accessories Simple</t>
  </si>
  <si>
    <t>Phones Understand</t>
  </si>
  <si>
    <t>Chairs Dog</t>
  </si>
  <si>
    <t>Accessories Hundred</t>
  </si>
  <si>
    <t>Chairs Lead</t>
  </si>
  <si>
    <t>Storage Rest</t>
  </si>
  <si>
    <t>Chairs Often</t>
  </si>
  <si>
    <t>Paper Rich</t>
  </si>
  <si>
    <t>Laptops Herself</t>
  </si>
  <si>
    <t>Storage Himself</t>
  </si>
  <si>
    <t>Art Quality</t>
  </si>
  <si>
    <t>Chairs Senior</t>
  </si>
  <si>
    <t>Chairs Day</t>
  </si>
  <si>
    <t>Phones Wait</t>
  </si>
  <si>
    <t>Storage Decision</t>
  </si>
  <si>
    <t>Art Of</t>
  </si>
  <si>
    <t>Binders Method</t>
  </si>
  <si>
    <t>Storage Professional</t>
  </si>
  <si>
    <t>Storage Toward</t>
  </si>
  <si>
    <t>Paper Allow</t>
  </si>
  <si>
    <t>Binders Position</t>
  </si>
  <si>
    <t>Art Contain</t>
  </si>
  <si>
    <t>Chairs Too</t>
  </si>
  <si>
    <t>Chairs Give</t>
  </si>
  <si>
    <t>Accessories Much</t>
  </si>
  <si>
    <t>Tables Future</t>
  </si>
  <si>
    <t>Laptops Just</t>
  </si>
  <si>
    <t>Storage Computer</t>
  </si>
  <si>
    <t>Chairs Report</t>
  </si>
  <si>
    <t>Chairs Hospital</t>
  </si>
  <si>
    <t>Tables Fall</t>
  </si>
  <si>
    <t>Phones Two</t>
  </si>
  <si>
    <t>Art Major</t>
  </si>
  <si>
    <t>Paper Term</t>
  </si>
  <si>
    <t>Accessories Realize</t>
  </si>
  <si>
    <t>Tables Example</t>
  </si>
  <si>
    <t>Storage Rich</t>
  </si>
  <si>
    <t>Storage Operation</t>
  </si>
  <si>
    <t>Chairs Nature</t>
  </si>
  <si>
    <t>Chairs Easy</t>
  </si>
  <si>
    <t>Binders Difference</t>
  </si>
  <si>
    <t>Tables Learn</t>
  </si>
  <si>
    <t>Paper Check</t>
  </si>
  <si>
    <t>Accessories Second</t>
  </si>
  <si>
    <t>Accessories Pm</t>
  </si>
  <si>
    <t>Art Special</t>
  </si>
  <si>
    <t>Laptops Free</t>
  </si>
  <si>
    <t>Chairs Force</t>
  </si>
  <si>
    <t>Tables City</t>
  </si>
  <si>
    <t>Paper Point</t>
  </si>
  <si>
    <t>Tables Friend</t>
  </si>
  <si>
    <t>Laptops Follow</t>
  </si>
  <si>
    <t>Storage Something</t>
  </si>
  <si>
    <t>Tables Responsibility</t>
  </si>
  <si>
    <t>Binders Customer</t>
  </si>
  <si>
    <t>Tables Talk</t>
  </si>
  <si>
    <t>Phones Staff</t>
  </si>
  <si>
    <t>Art Throw</t>
  </si>
  <si>
    <t>Storage Rate</t>
  </si>
  <si>
    <t>Phones Each</t>
  </si>
  <si>
    <t>Phones Carry</t>
  </si>
  <si>
    <t>Binders Same</t>
  </si>
  <si>
    <t>Accessories Senior</t>
  </si>
  <si>
    <t>Binders Move</t>
  </si>
  <si>
    <t>Tables Plant</t>
  </si>
  <si>
    <t>Art Car</t>
  </si>
  <si>
    <t>Art Five</t>
  </si>
  <si>
    <t>Laptops Tell</t>
  </si>
  <si>
    <t>Accessories Soldier</t>
  </si>
  <si>
    <t>Art Police</t>
  </si>
  <si>
    <t>Binders Address</t>
  </si>
  <si>
    <t>Accessories Better</t>
  </si>
  <si>
    <t>Accessories Generation</t>
  </si>
  <si>
    <t>Paper Key</t>
  </si>
  <si>
    <t>Laptops Project</t>
  </si>
  <si>
    <t>Storage Ever</t>
  </si>
  <si>
    <t>Paper Side</t>
  </si>
  <si>
    <t>Storage Stock</t>
  </si>
  <si>
    <t>Art Free</t>
  </si>
  <si>
    <t>Chairs Tough</t>
  </si>
  <si>
    <t>Laptops Society</t>
  </si>
  <si>
    <t>Art Beautiful</t>
  </si>
  <si>
    <t>Phones Why</t>
  </si>
  <si>
    <t>Paper Likely</t>
  </si>
  <si>
    <t>Paper Safe</t>
  </si>
  <si>
    <t>Paper House</t>
  </si>
  <si>
    <t>Accessories Prevent</t>
  </si>
  <si>
    <t>Laptops Republican</t>
  </si>
  <si>
    <t>Binders Against</t>
  </si>
  <si>
    <t>Chairs Behind</t>
  </si>
  <si>
    <t>Phones Agree</t>
  </si>
  <si>
    <t>Accessories Focus</t>
  </si>
  <si>
    <t>Binders American</t>
  </si>
  <si>
    <t>Laptops Address</t>
  </si>
  <si>
    <t>Storage Do</t>
  </si>
  <si>
    <t>Tables Glass</t>
  </si>
  <si>
    <t>Phones Able</t>
  </si>
  <si>
    <t>Paper Fear</t>
  </si>
  <si>
    <t>Storage Different</t>
  </si>
  <si>
    <t>Art Indeed</t>
  </si>
  <si>
    <t>Paper Despite</t>
  </si>
  <si>
    <t>Accessories Fight</t>
  </si>
  <si>
    <t>Laptops Doctor</t>
  </si>
  <si>
    <t>Art Soldier</t>
  </si>
  <si>
    <t>Accessories Half</t>
  </si>
  <si>
    <t>Accessories Speech</t>
  </si>
  <si>
    <t>Laptops Same</t>
  </si>
  <si>
    <t>Phones Choice</t>
  </si>
  <si>
    <t>Phones Likely</t>
  </si>
  <si>
    <t>Binders Less</t>
  </si>
  <si>
    <t>Phones Indicate</t>
  </si>
  <si>
    <t>Accessories Protect</t>
  </si>
  <si>
    <t>Chairs Meet</t>
  </si>
  <si>
    <t>Art One</t>
  </si>
  <si>
    <t>Phones New</t>
  </si>
  <si>
    <t>Chairs Federal</t>
  </si>
  <si>
    <t>Laptops Positive</t>
  </si>
  <si>
    <t>Chairs Place</t>
  </si>
  <si>
    <t>Art Seek</t>
  </si>
  <si>
    <t>Storage Surface</t>
  </si>
  <si>
    <t>Binders Police</t>
  </si>
  <si>
    <t>Storage Walk</t>
  </si>
  <si>
    <t>Paper Interest</t>
  </si>
  <si>
    <t>Accessories Person</t>
  </si>
  <si>
    <t>Storage Enter</t>
  </si>
  <si>
    <t>Tables Push</t>
  </si>
  <si>
    <t>Laptops Simple</t>
  </si>
  <si>
    <t>Art Stay</t>
  </si>
  <si>
    <t>Paper Should</t>
  </si>
  <si>
    <t>Phones Let</t>
  </si>
  <si>
    <t>Art Clear</t>
  </si>
  <si>
    <t>Laptops Article</t>
  </si>
  <si>
    <t>Accessories Manager</t>
  </si>
  <si>
    <t>Storage Suddenly</t>
  </si>
  <si>
    <t>Chairs Seven</t>
  </si>
  <si>
    <t>Binders Cultural</t>
  </si>
  <si>
    <t>Binders Close</t>
  </si>
  <si>
    <t>Accessories Lay</t>
  </si>
  <si>
    <t>Phones Method</t>
  </si>
  <si>
    <t>Chairs Military</t>
  </si>
  <si>
    <t>Chairs Free</t>
  </si>
  <si>
    <t>Paper Rest</t>
  </si>
  <si>
    <t>Binders How</t>
  </si>
  <si>
    <t>Laptops Degree</t>
  </si>
  <si>
    <t>Paper Wait</t>
  </si>
  <si>
    <t>Accessories Stock</t>
  </si>
  <si>
    <t>Tables Us</t>
  </si>
  <si>
    <t>Accessories Moment</t>
  </si>
  <si>
    <t>Laptops Huge</t>
  </si>
  <si>
    <t>Storage Such</t>
  </si>
  <si>
    <t>Phones Society</t>
  </si>
  <si>
    <t>Laptops Building</t>
  </si>
  <si>
    <t>Laptops Forget</t>
  </si>
  <si>
    <t>Chairs Mention</t>
  </si>
  <si>
    <t>Binders Want</t>
  </si>
  <si>
    <t>Paper Surface</t>
  </si>
  <si>
    <t>Art Become</t>
  </si>
  <si>
    <t>Chairs American</t>
  </si>
  <si>
    <t>Art Investment</t>
  </si>
  <si>
    <t>Phones Career</t>
  </si>
  <si>
    <t>Chairs Six</t>
  </si>
  <si>
    <t>Storage Color</t>
  </si>
  <si>
    <t>Art Relationship</t>
  </si>
  <si>
    <t>Laptops Stock</t>
  </si>
  <si>
    <t>Art Believe</t>
  </si>
  <si>
    <t>Tables Thing</t>
  </si>
  <si>
    <t>Binders Together</t>
  </si>
  <si>
    <t>Paper Behind</t>
  </si>
  <si>
    <t>Phones Exist</t>
  </si>
  <si>
    <t>Binders Put</t>
  </si>
  <si>
    <t>Chairs Expert</t>
  </si>
  <si>
    <t>Art Walk</t>
  </si>
  <si>
    <t>Phones Store</t>
  </si>
  <si>
    <t>Laptops Century</t>
  </si>
  <si>
    <t>Laptops Nor</t>
  </si>
  <si>
    <t>Storage Follow</t>
  </si>
  <si>
    <t>Storage Attorney</t>
  </si>
  <si>
    <t>Tables Item</t>
  </si>
  <si>
    <t>Storage Chance</t>
  </si>
  <si>
    <t>Laptops Act</t>
  </si>
  <si>
    <t>Storage Again</t>
  </si>
  <si>
    <t>Accessories Class</t>
  </si>
  <si>
    <t>Chairs Look</t>
  </si>
  <si>
    <t>Chairs Heart</t>
  </si>
  <si>
    <t>Storage Deep</t>
  </si>
  <si>
    <t>Binders Toward</t>
  </si>
  <si>
    <t>Laptops Help</t>
  </si>
  <si>
    <t>Phones Stuff</t>
  </si>
  <si>
    <t>Paper Somebody</t>
  </si>
  <si>
    <t>Laptops Alone</t>
  </si>
  <si>
    <t>Chairs Usually</t>
  </si>
  <si>
    <t>Phones Where</t>
  </si>
  <si>
    <t>Chairs Visit</t>
  </si>
  <si>
    <t>Tables Activity</t>
  </si>
  <si>
    <t>Accessories Member</t>
  </si>
  <si>
    <t>Binders Tree</t>
  </si>
  <si>
    <t>Storage Finally</t>
  </si>
  <si>
    <t>Phones Guy</t>
  </si>
  <si>
    <t>Laptops Seek</t>
  </si>
  <si>
    <t>Paper Fall</t>
  </si>
  <si>
    <t>Phones Affect</t>
  </si>
  <si>
    <t>Paper Paper</t>
  </si>
  <si>
    <t>Binders View</t>
  </si>
  <si>
    <t>Phones None</t>
  </si>
  <si>
    <t>Art Near</t>
  </si>
  <si>
    <t>Tables Other</t>
  </si>
  <si>
    <t>Tables Road</t>
  </si>
  <si>
    <t>Chairs Ago</t>
  </si>
  <si>
    <t>Tables Information</t>
  </si>
  <si>
    <t>Chairs Film</t>
  </si>
  <si>
    <t>Storage On</t>
  </si>
  <si>
    <t>Chairs Newspaper</t>
  </si>
  <si>
    <t>Chairs Work</t>
  </si>
  <si>
    <t>Binders Your</t>
  </si>
  <si>
    <t>Chairs Information</t>
  </si>
  <si>
    <t>Tables Generation</t>
  </si>
  <si>
    <t>Phones Others</t>
  </si>
  <si>
    <t>Paper Local</t>
  </si>
  <si>
    <t>Phones Mean</t>
  </si>
  <si>
    <t>Art Student</t>
  </si>
  <si>
    <t>Paper Bill</t>
  </si>
  <si>
    <t>Accessories Bank</t>
  </si>
  <si>
    <t>Phones Ahead</t>
  </si>
  <si>
    <t>Paper Factor</t>
  </si>
  <si>
    <t>Laptops Food</t>
  </si>
  <si>
    <t>Chairs Conference</t>
  </si>
  <si>
    <t>Laptops Long</t>
  </si>
  <si>
    <t>Laptops Paper</t>
  </si>
  <si>
    <t>Phones Another</t>
  </si>
  <si>
    <t>Storage Onto</t>
  </si>
  <si>
    <t>Storage Herself</t>
  </si>
  <si>
    <t>Binders Reduce</t>
  </si>
  <si>
    <t>Accessories Both</t>
  </si>
  <si>
    <t>Laptops Bed</t>
  </si>
  <si>
    <t>Accessories Some</t>
  </si>
  <si>
    <t>Binders This</t>
  </si>
  <si>
    <t>Binders Administration</t>
  </si>
  <si>
    <t>Binders Yourself</t>
  </si>
  <si>
    <t>Chairs Bill</t>
  </si>
  <si>
    <t>Accessories Firm</t>
  </si>
  <si>
    <t>Laptops Size</t>
  </si>
  <si>
    <t>Art College</t>
  </si>
  <si>
    <t>Binders Hotel</t>
  </si>
  <si>
    <t>Accessories Her</t>
  </si>
  <si>
    <t>Binders Deal</t>
  </si>
  <si>
    <t>Binders Bit</t>
  </si>
  <si>
    <t>Storage Door</t>
  </si>
  <si>
    <t>Chairs Red</t>
  </si>
  <si>
    <t>Paper Game</t>
  </si>
  <si>
    <t>Phones Age</t>
  </si>
  <si>
    <t>Binders Business</t>
  </si>
  <si>
    <t>Chairs Structure</t>
  </si>
  <si>
    <t>Chairs Go</t>
  </si>
  <si>
    <t>Paper Himself</t>
  </si>
  <si>
    <t>Chairs Guess</t>
  </si>
  <si>
    <t>Storage Her</t>
  </si>
  <si>
    <t>Tables Tough</t>
  </si>
  <si>
    <t>Paper Exist</t>
  </si>
  <si>
    <t>Accessories Left</t>
  </si>
  <si>
    <t>Storage National</t>
  </si>
  <si>
    <t>Laptops Mind</t>
  </si>
  <si>
    <t>Paper Attorney</t>
  </si>
  <si>
    <t>Paper Learn</t>
  </si>
  <si>
    <t>Tables Phone</t>
  </si>
  <si>
    <t>Accessories Attack</t>
  </si>
  <si>
    <t>Storage Option</t>
  </si>
  <si>
    <t>Paper Management</t>
  </si>
  <si>
    <t>Tables Once</t>
  </si>
  <si>
    <t>Storage Condition</t>
  </si>
  <si>
    <t>Storage Owner</t>
  </si>
  <si>
    <t>Paper Military</t>
  </si>
  <si>
    <t>Storage Responsibility</t>
  </si>
  <si>
    <t>Chairs One</t>
  </si>
  <si>
    <t>Tables Subject</t>
  </si>
  <si>
    <t>Phones Listen</t>
  </si>
  <si>
    <t>Binders Dream</t>
  </si>
  <si>
    <t>Phones My</t>
  </si>
  <si>
    <t>Art The</t>
  </si>
  <si>
    <t>Chairs Sell</t>
  </si>
  <si>
    <t>Paper Involve</t>
  </si>
  <si>
    <t>Chairs There</t>
  </si>
  <si>
    <t>Chairs Form</t>
  </si>
  <si>
    <t>Accessories Television</t>
  </si>
  <si>
    <t>Laptops Mr</t>
  </si>
  <si>
    <t>Laptops Reality</t>
  </si>
  <si>
    <t>Binders Sell</t>
  </si>
  <si>
    <t>Binders Reality</t>
  </si>
  <si>
    <t>Art Bag</t>
  </si>
  <si>
    <t>Storage Most</t>
  </si>
  <si>
    <t>Paper Through</t>
  </si>
  <si>
    <t>Phones Go</t>
  </si>
  <si>
    <t>Art You</t>
  </si>
  <si>
    <t>Laptops Operation</t>
  </si>
  <si>
    <t>Storage Appear</t>
  </si>
  <si>
    <t>Storage Less</t>
  </si>
  <si>
    <t>Accessories Always</t>
  </si>
  <si>
    <t>Accessories Watch</t>
  </si>
  <si>
    <t>Paper Consumer</t>
  </si>
  <si>
    <t>Chairs Return</t>
  </si>
  <si>
    <t>Art Truth</t>
  </si>
  <si>
    <t>Laptops Kind</t>
  </si>
  <si>
    <t>Art Several</t>
  </si>
  <si>
    <t>Storage Beyond</t>
  </si>
  <si>
    <t>Laptops Front</t>
  </si>
  <si>
    <t>Laptops Face</t>
  </si>
  <si>
    <t>Storage Force</t>
  </si>
  <si>
    <t>Tables Human</t>
  </si>
  <si>
    <t>Laptops More</t>
  </si>
  <si>
    <t>Accessories Individual</t>
  </si>
  <si>
    <t>Paper Order</t>
  </si>
  <si>
    <t>Tables Third</t>
  </si>
  <si>
    <t>Storage Lawyer</t>
  </si>
  <si>
    <t>Storage Control</t>
  </si>
  <si>
    <t>Phones Account</t>
  </si>
  <si>
    <t>Art Likely</t>
  </si>
  <si>
    <t>Phones Consider</t>
  </si>
  <si>
    <t>Accessories Man</t>
  </si>
  <si>
    <t>Laptops Author</t>
  </si>
  <si>
    <t>Storage Reveal</t>
  </si>
  <si>
    <t>Accessories Loss</t>
  </si>
  <si>
    <t>Tables Hotel</t>
  </si>
  <si>
    <t>Chairs View</t>
  </si>
  <si>
    <t>Accessories Benefit</t>
  </si>
  <si>
    <t>Accessories To</t>
  </si>
  <si>
    <t>Chairs Shoulder</t>
  </si>
  <si>
    <t>Accessories Administration</t>
  </si>
  <si>
    <t>Accessories Mother</t>
  </si>
  <si>
    <t>Accessories Almost</t>
  </si>
  <si>
    <t>Phones Name</t>
  </si>
  <si>
    <t>Art Protect</t>
  </si>
  <si>
    <t>Binders Fill</t>
  </si>
  <si>
    <t>Laptops Team</t>
  </si>
  <si>
    <t>Storage Remember</t>
  </si>
  <si>
    <t>Accessories Red</t>
  </si>
  <si>
    <t>Accessories Major</t>
  </si>
  <si>
    <t>Laptops Office</t>
  </si>
  <si>
    <t>Tables Worry</t>
  </si>
  <si>
    <t>Binders Computer</t>
  </si>
  <si>
    <t>Chairs Present</t>
  </si>
  <si>
    <t>Tables Which</t>
  </si>
  <si>
    <t>Laptops Would</t>
  </si>
  <si>
    <t>Chairs Rest</t>
  </si>
  <si>
    <t>Paper Wind</t>
  </si>
  <si>
    <t>Tables Receive</t>
  </si>
  <si>
    <t>Art Something</t>
  </si>
  <si>
    <t>Chairs Yet</t>
  </si>
  <si>
    <t>Phones Pick</t>
  </si>
  <si>
    <t>Paper It</t>
  </si>
  <si>
    <t>Tables Hear</t>
  </si>
  <si>
    <t>Binders Manage</t>
  </si>
  <si>
    <t>Phones Difference</t>
  </si>
  <si>
    <t>Paper Media</t>
  </si>
  <si>
    <t>Tables Upon</t>
  </si>
  <si>
    <t>Paper Adult</t>
  </si>
  <si>
    <t>Art Plant</t>
  </si>
  <si>
    <t>Storage Imagine</t>
  </si>
  <si>
    <t>Tables Realize</t>
  </si>
  <si>
    <t>Storage Woman</t>
  </si>
  <si>
    <t>Phones Probably</t>
  </si>
  <si>
    <t>Laptops Collection</t>
  </si>
  <si>
    <t>Chairs Center</t>
  </si>
  <si>
    <t>Paper Up</t>
  </si>
  <si>
    <t>Art Herself</t>
  </si>
  <si>
    <t>Tables Drop</t>
  </si>
  <si>
    <t>Art There</t>
  </si>
  <si>
    <t>Chairs This</t>
  </si>
  <si>
    <t>Laptops Book</t>
  </si>
  <si>
    <t>Tables Agreement</t>
  </si>
  <si>
    <t>Storage Gun</t>
  </si>
  <si>
    <t>Laptops Tonight</t>
  </si>
  <si>
    <t>Binders Officer</t>
  </si>
  <si>
    <t>Storage Sense</t>
  </si>
  <si>
    <t>Paper Clearly</t>
  </si>
  <si>
    <t>Tables Goal</t>
  </si>
  <si>
    <t>Tables Summer</t>
  </si>
  <si>
    <t>Chairs About</t>
  </si>
  <si>
    <t>Paper Direction</t>
  </si>
  <si>
    <t>Accessories Art</t>
  </si>
  <si>
    <t>Binders Music</t>
  </si>
  <si>
    <t>Paper Blue</t>
  </si>
  <si>
    <t>Phones Arm</t>
  </si>
  <si>
    <t>Binders Usually</t>
  </si>
  <si>
    <t>Storage Late</t>
  </si>
  <si>
    <t>Storage Everyone</t>
  </si>
  <si>
    <t>Binders Offer</t>
  </si>
  <si>
    <t>Accessories Expect</t>
  </si>
  <si>
    <t>Phones Example</t>
  </si>
  <si>
    <t>Phones History</t>
  </si>
  <si>
    <t>Binders Billion</t>
  </si>
  <si>
    <t>Storage Assume</t>
  </si>
  <si>
    <t>Art So</t>
  </si>
  <si>
    <t>Phones Pattern</t>
  </si>
  <si>
    <t>Laptops At</t>
  </si>
  <si>
    <t>Chairs Need</t>
  </si>
  <si>
    <t>Paper Now</t>
  </si>
  <si>
    <t>Art Republican</t>
  </si>
  <si>
    <t>Phones Product</t>
  </si>
  <si>
    <t>Laptops White</t>
  </si>
  <si>
    <t>Laptops Nothing</t>
  </si>
  <si>
    <t>Paper Piece</t>
  </si>
  <si>
    <t>Binders Chance</t>
  </si>
  <si>
    <t>Phones Sport</t>
  </si>
  <si>
    <t>Laptops Threat</t>
  </si>
  <si>
    <t>Phones Even</t>
  </si>
  <si>
    <t>Binders Remember</t>
  </si>
  <si>
    <t>Art Fill</t>
  </si>
  <si>
    <t>Art Play</t>
  </si>
  <si>
    <t>Chairs Space</t>
  </si>
  <si>
    <t>Accessories Crime</t>
  </si>
  <si>
    <t>Chairs Per</t>
  </si>
  <si>
    <t>Storage My</t>
  </si>
  <si>
    <t>Art Total</t>
  </si>
  <si>
    <t>Binders Executive</t>
  </si>
  <si>
    <t>Storage Lay</t>
  </si>
  <si>
    <t>Storage Local</t>
  </si>
  <si>
    <t>Tables Effect</t>
  </si>
  <si>
    <t>Binders War</t>
  </si>
  <si>
    <t>Paper State</t>
  </si>
  <si>
    <t>Paper Choose</t>
  </si>
  <si>
    <t>Art Ground</t>
  </si>
  <si>
    <t>Laptops Research</t>
  </si>
  <si>
    <t>Laptops Institution</t>
  </si>
  <si>
    <t>Storage Measure</t>
  </si>
  <si>
    <t>Tables Computer</t>
  </si>
  <si>
    <t>Storage Thus</t>
  </si>
  <si>
    <t>Binders Performance</t>
  </si>
  <si>
    <t>Laptops Kitchen</t>
  </si>
  <si>
    <t>Paper Themselves</t>
  </si>
  <si>
    <t>Tables Remain</t>
  </si>
  <si>
    <t>Chairs Great</t>
  </si>
  <si>
    <t>Binders Old</t>
  </si>
  <si>
    <t>Laptops Write</t>
  </si>
  <si>
    <t>Laptops Read</t>
  </si>
  <si>
    <t>Accessories West</t>
  </si>
  <si>
    <t>Paper A</t>
  </si>
  <si>
    <t>Laptops Effect</t>
  </si>
  <si>
    <t>Art Recent</t>
  </si>
  <si>
    <t>Phones These</t>
  </si>
  <si>
    <t>Binders Movement</t>
  </si>
  <si>
    <t>Laptops Yeah</t>
  </si>
  <si>
    <t>Tables Manager</t>
  </si>
  <si>
    <t>Storage Speak</t>
  </si>
  <si>
    <t>Phones Crime</t>
  </si>
  <si>
    <t>Accessories City</t>
  </si>
  <si>
    <t>Chairs Story</t>
  </si>
  <si>
    <t>Art Use</t>
  </si>
  <si>
    <t>Accessories Pull</t>
  </si>
  <si>
    <t>Art Argue</t>
  </si>
  <si>
    <t>Laptops Box</t>
  </si>
  <si>
    <t>Binders Nation</t>
  </si>
  <si>
    <t>Art Technology</t>
  </si>
  <si>
    <t>Phones Chair</t>
  </si>
  <si>
    <t>Phones Also</t>
  </si>
  <si>
    <t>Art Bit</t>
  </si>
  <si>
    <t>Accessories From</t>
  </si>
  <si>
    <t>Binders Fast</t>
  </si>
  <si>
    <t>Binders Clearly</t>
  </si>
  <si>
    <t>Binders Blood</t>
  </si>
  <si>
    <t>Tables Increase</t>
  </si>
  <si>
    <t>Accessories More</t>
  </si>
  <si>
    <t>Art Quite</t>
  </si>
  <si>
    <t>Phones Cut</t>
  </si>
  <si>
    <t>Storage Would</t>
  </si>
  <si>
    <t>Phones Firm</t>
  </si>
  <si>
    <t>Storage Body</t>
  </si>
  <si>
    <t>Accessories Remain</t>
  </si>
  <si>
    <t>Storage Five</t>
  </si>
  <si>
    <t>Accessories Most</t>
  </si>
  <si>
    <t>Accessories Democratic</t>
  </si>
  <si>
    <t>Paper Success</t>
  </si>
  <si>
    <t>Binders Activity</t>
  </si>
  <si>
    <t>Art Final</t>
  </si>
  <si>
    <t>Chairs Leave</t>
  </si>
  <si>
    <t>Phones Notice</t>
  </si>
  <si>
    <t>Laptops Outside</t>
  </si>
  <si>
    <t>Phones Act</t>
  </si>
  <si>
    <t>Laptops Production</t>
  </si>
  <si>
    <t>Tables Range</t>
  </si>
  <si>
    <t>Storage Form</t>
  </si>
  <si>
    <t>Phones Country</t>
  </si>
  <si>
    <t>Tables Must</t>
  </si>
  <si>
    <t>Accessories Visit</t>
  </si>
  <si>
    <t>Accessories Training</t>
  </si>
  <si>
    <t>Accessories Voice</t>
  </si>
  <si>
    <t>Paper Peace</t>
  </si>
  <si>
    <t>Binders Question</t>
  </si>
  <si>
    <t>Laptops Require</t>
  </si>
  <si>
    <t>Paper Century</t>
  </si>
  <si>
    <t>Art Should</t>
  </si>
  <si>
    <t>Tables Sense</t>
  </si>
  <si>
    <t>Binders West</t>
  </si>
  <si>
    <t>Paper Environmental</t>
  </si>
  <si>
    <t>Binders College</t>
  </si>
  <si>
    <t>Laptops Determine</t>
  </si>
  <si>
    <t>Art Wear</t>
  </si>
  <si>
    <t>Laptops Put</t>
  </si>
  <si>
    <t>Binders Fly</t>
  </si>
  <si>
    <t>Paper They</t>
  </si>
  <si>
    <t>Phones Our</t>
  </si>
  <si>
    <t>Art Perhaps</t>
  </si>
  <si>
    <t>Storage Character</t>
  </si>
  <si>
    <t>Paper Occur</t>
  </si>
  <si>
    <t>Phones Argue</t>
  </si>
  <si>
    <t>Binders Specific</t>
  </si>
  <si>
    <t>Tables Morning</t>
  </si>
  <si>
    <t>Binders Approach</t>
  </si>
  <si>
    <t>Binders Main</t>
  </si>
  <si>
    <t>Storage Important</t>
  </si>
  <si>
    <t>Storage Its</t>
  </si>
  <si>
    <t>Binders Ten</t>
  </si>
  <si>
    <t>Accessories Note</t>
  </si>
  <si>
    <t>Laptops List</t>
  </si>
  <si>
    <t>Storage Between</t>
  </si>
  <si>
    <t>Laptops Still</t>
  </si>
  <si>
    <t>Chairs Right</t>
  </si>
  <si>
    <t>Laptops It</t>
  </si>
  <si>
    <t>Art Writer</t>
  </si>
  <si>
    <t>Laptops Call</t>
  </si>
  <si>
    <t>Binders To</t>
  </si>
  <si>
    <t>Tables Stop</t>
  </si>
  <si>
    <t>Laptops Big</t>
  </si>
  <si>
    <t>Paper Human</t>
  </si>
  <si>
    <t>Paper Son</t>
  </si>
  <si>
    <t>Tables Deal</t>
  </si>
  <si>
    <t>Binders Tough</t>
  </si>
  <si>
    <t>Chairs Follow</t>
  </si>
  <si>
    <t>Storage Painting</t>
  </si>
  <si>
    <t>Laptops Quite</t>
  </si>
  <si>
    <t>Accessories Service</t>
  </si>
  <si>
    <t>Accessories Well</t>
  </si>
  <si>
    <t>Tables Available</t>
  </si>
  <si>
    <t>Phones Well</t>
  </si>
  <si>
    <t>Paper Challenge</t>
  </si>
  <si>
    <t>Art Sure</t>
  </si>
  <si>
    <t>Paper Send</t>
  </si>
  <si>
    <t>Laptops Red</t>
  </si>
  <si>
    <t>Paper Treat</t>
  </si>
  <si>
    <t>Art Idea</t>
  </si>
  <si>
    <t>Accessories Work</t>
  </si>
  <si>
    <t>Art Popular</t>
  </si>
  <si>
    <t>Binders Share</t>
  </si>
  <si>
    <t>Tables Put</t>
  </si>
  <si>
    <t>Chairs Likely</t>
  </si>
  <si>
    <t>Binders Cost</t>
  </si>
  <si>
    <t>Paper Worry</t>
  </si>
  <si>
    <t>Art Under</t>
  </si>
  <si>
    <t>Phones Several</t>
  </si>
  <si>
    <t>Phones Author</t>
  </si>
  <si>
    <t>Chairs Fine</t>
  </si>
  <si>
    <t>Art Factor</t>
  </si>
  <si>
    <t>Art Result</t>
  </si>
  <si>
    <t>Binders Threat</t>
  </si>
  <si>
    <t>Phones Business</t>
  </si>
  <si>
    <t>Laptops Former</t>
  </si>
  <si>
    <t>Storage Arm</t>
  </si>
  <si>
    <t>Paper Respond</t>
  </si>
  <si>
    <t>Accessories Represent</t>
  </si>
  <si>
    <t>Storage Course</t>
  </si>
  <si>
    <t>Phones Kind</t>
  </si>
  <si>
    <t>Laptops South</t>
  </si>
  <si>
    <t>Phones Whether</t>
  </si>
  <si>
    <t>Art It</t>
  </si>
  <si>
    <t>Phones Officer</t>
  </si>
  <si>
    <t>Storage College</t>
  </si>
  <si>
    <t>Accessories Technology</t>
  </si>
  <si>
    <t>Laptops Indeed</t>
  </si>
  <si>
    <t>Paper Dinner</t>
  </si>
  <si>
    <t>Tables Star</t>
  </si>
  <si>
    <t>Laptops Tend</t>
  </si>
  <si>
    <t>Phones Wonder</t>
  </si>
  <si>
    <t>Storage Nice</t>
  </si>
  <si>
    <t>Art Fly</t>
  </si>
  <si>
    <t>Accessories Catch</t>
  </si>
  <si>
    <t>Tables Tell</t>
  </si>
  <si>
    <t>Accessories Production</t>
  </si>
  <si>
    <t>Tables Recently</t>
  </si>
  <si>
    <t>Phones Thus</t>
  </si>
  <si>
    <t>Storage Bit</t>
  </si>
  <si>
    <t>Paper Nothing</t>
  </si>
  <si>
    <t>Laptops Song</t>
  </si>
  <si>
    <t>Storage Hot</t>
  </si>
  <si>
    <t>Binders Ago</t>
  </si>
  <si>
    <t>Art Red</t>
  </si>
  <si>
    <t>Laptops World</t>
  </si>
  <si>
    <t>Storage Movie</t>
  </si>
  <si>
    <t>Phones Feel</t>
  </si>
  <si>
    <t>Chairs Long</t>
  </si>
  <si>
    <t>Storage Rule</t>
  </si>
  <si>
    <t>Phones Structure</t>
  </si>
  <si>
    <t>Storage Economy</t>
  </si>
  <si>
    <t>Laptops Spend</t>
  </si>
  <si>
    <t>Paper Own</t>
  </si>
  <si>
    <t>Binders Well</t>
  </si>
  <si>
    <t>Chairs Sign</t>
  </si>
  <si>
    <t>Paper Writer</t>
  </si>
  <si>
    <t>Chairs Interview</t>
  </si>
  <si>
    <t>Storage Resource</t>
  </si>
  <si>
    <t>Phones Leader</t>
  </si>
  <si>
    <t>Tables Hospital</t>
  </si>
  <si>
    <t>Storage Lead</t>
  </si>
  <si>
    <t>Phones Cold</t>
  </si>
  <si>
    <t>Binders Fire</t>
  </si>
  <si>
    <t>Phones Glass</t>
  </si>
  <si>
    <t>Accessories Alone</t>
  </si>
  <si>
    <t>Tables Evening</t>
  </si>
  <si>
    <t>Phones Eat</t>
  </si>
  <si>
    <t>Phones Mouth</t>
  </si>
  <si>
    <t>Storage Charge</t>
  </si>
  <si>
    <t>Tables Huge</t>
  </si>
  <si>
    <t>Binders Catch</t>
  </si>
  <si>
    <t>Phones Myself</t>
  </si>
  <si>
    <t>Chairs Program</t>
  </si>
  <si>
    <t>Chairs Series</t>
  </si>
  <si>
    <t>Binders Possible</t>
  </si>
  <si>
    <t>Accessories Animal</t>
  </si>
  <si>
    <t>Art Our</t>
  </si>
  <si>
    <t>Storage Likely</t>
  </si>
  <si>
    <t>Art Mission</t>
  </si>
  <si>
    <t>Accessories Make</t>
  </si>
  <si>
    <t>Tables During</t>
  </si>
  <si>
    <t>Tables Organization</t>
  </si>
  <si>
    <t>Paper Produce</t>
  </si>
  <si>
    <t>Phones Offer</t>
  </si>
  <si>
    <t>Tables Section</t>
  </si>
  <si>
    <t>Paper Help</t>
  </si>
  <si>
    <t>Binders Answer</t>
  </si>
  <si>
    <t>Chairs Happen</t>
  </si>
  <si>
    <t>Accessories Chance</t>
  </si>
  <si>
    <t>Phones Growth</t>
  </si>
  <si>
    <t>Laptops Himself</t>
  </si>
  <si>
    <t>Accessories Position</t>
  </si>
  <si>
    <t>Paper Born</t>
  </si>
  <si>
    <t>Binders Single</t>
  </si>
  <si>
    <t>Accessories So</t>
  </si>
  <si>
    <t>Storage Begin</t>
  </si>
  <si>
    <t>Chairs People</t>
  </si>
  <si>
    <t>Laptops Particular</t>
  </si>
  <si>
    <t>Binders Citizen</t>
  </si>
  <si>
    <t>Tables Street</t>
  </si>
  <si>
    <t>Phones Music</t>
  </si>
  <si>
    <t>Storage Shoulder</t>
  </si>
  <si>
    <t>Chairs Fill</t>
  </si>
  <si>
    <t>Art Home</t>
  </si>
  <si>
    <t>Storage Trial</t>
  </si>
  <si>
    <t>Laptops Design</t>
  </si>
  <si>
    <t>Chairs News</t>
  </si>
  <si>
    <t>Storage All</t>
  </si>
  <si>
    <t>Accessories Leg</t>
  </si>
  <si>
    <t>Binders Buy</t>
  </si>
  <si>
    <t>Binders Necessary</t>
  </si>
  <si>
    <t>Tables View</t>
  </si>
  <si>
    <t>Tables Good</t>
  </si>
  <si>
    <t>Storage Ahead</t>
  </si>
  <si>
    <t>Laptops Approach</t>
  </si>
  <si>
    <t>Accessories Easy</t>
  </si>
  <si>
    <t>Paper Four</t>
  </si>
  <si>
    <t>Binders Beyond</t>
  </si>
  <si>
    <t>Chairs Agreement</t>
  </si>
  <si>
    <t>Storage Baby</t>
  </si>
  <si>
    <t>Laptops Explain</t>
  </si>
  <si>
    <t>Paper Such</t>
  </si>
  <si>
    <t>Phones Soon</t>
  </si>
  <si>
    <t>Art Score</t>
  </si>
  <si>
    <t>Chairs Question</t>
  </si>
  <si>
    <t>Accessories Should</t>
  </si>
  <si>
    <t>Accessories Happen</t>
  </si>
  <si>
    <t>Storage While</t>
  </si>
  <si>
    <t>Accessories Give</t>
  </si>
  <si>
    <t>Paper Nature</t>
  </si>
  <si>
    <t>Laptops Audience</t>
  </si>
  <si>
    <t>Tables Including</t>
  </si>
  <si>
    <t>Binders Term</t>
  </si>
  <si>
    <t>Accessories Onto</t>
  </si>
  <si>
    <t>Chairs Voice</t>
  </si>
  <si>
    <t>Storage Hospital</t>
  </si>
  <si>
    <t>Paper Environment</t>
  </si>
  <si>
    <t>Tables Behind</t>
  </si>
  <si>
    <t>Chairs Send</t>
  </si>
  <si>
    <t>Chairs Them</t>
  </si>
  <si>
    <t>Storage Success</t>
  </si>
  <si>
    <t>Accessories Paper</t>
  </si>
  <si>
    <t>Paper Road</t>
  </si>
  <si>
    <t>Accessories Various</t>
  </si>
  <si>
    <t>Accessories Effort</t>
  </si>
  <si>
    <t>Art Wife</t>
  </si>
  <si>
    <t>Laptops Edge</t>
  </si>
  <si>
    <t>Chairs Hope</t>
  </si>
  <si>
    <t>Tables Far</t>
  </si>
  <si>
    <t>Laptops About</t>
  </si>
  <si>
    <t>Accessories Sure</t>
  </si>
  <si>
    <t>Binders Seven</t>
  </si>
  <si>
    <t>Chairs Century</t>
  </si>
  <si>
    <t>Accessories Along</t>
  </si>
  <si>
    <t>Paper Analysis</t>
  </si>
  <si>
    <t>Accessories Modern</t>
  </si>
  <si>
    <t>Storage Guess</t>
  </si>
  <si>
    <t>Art Spring</t>
  </si>
  <si>
    <t>Binders Laugh</t>
  </si>
  <si>
    <t>Phones Any</t>
  </si>
  <si>
    <t>Paper Me</t>
  </si>
  <si>
    <t>Chairs Something</t>
  </si>
  <si>
    <t>Paper Decade</t>
  </si>
  <si>
    <t>Laptops Military</t>
  </si>
  <si>
    <t>Tables Everyone</t>
  </si>
  <si>
    <t>Art Forget</t>
  </si>
  <si>
    <t>Laptops Technology</t>
  </si>
  <si>
    <t>Binders Turn</t>
  </si>
  <si>
    <t>Tables Important</t>
  </si>
  <si>
    <t>Paper Society</t>
  </si>
  <si>
    <t>Phones Since</t>
  </si>
  <si>
    <t>Tables Participant</t>
  </si>
  <si>
    <t>Binders It</t>
  </si>
  <si>
    <t>Tables Establish</t>
  </si>
  <si>
    <t>Laptops Anyone</t>
  </si>
  <si>
    <t>Tables Improve</t>
  </si>
  <si>
    <t>Chairs Watch</t>
  </si>
  <si>
    <t>Phones South</t>
  </si>
  <si>
    <t>Binders Reason</t>
  </si>
  <si>
    <t>Laptops Employee</t>
  </si>
  <si>
    <t>Accessories One</t>
  </si>
  <si>
    <t>Paper Instead</t>
  </si>
  <si>
    <t>Chairs Suddenly</t>
  </si>
  <si>
    <t>Phones Body</t>
  </si>
  <si>
    <t>Storage Maybe</t>
  </si>
  <si>
    <t>Storage The</t>
  </si>
  <si>
    <t>Phones Especially</t>
  </si>
  <si>
    <t>Art Bill</t>
  </si>
  <si>
    <t>Paper Believe</t>
  </si>
  <si>
    <t>Art Reach</t>
  </si>
  <si>
    <t>Phones Operation</t>
  </si>
  <si>
    <t>Storage Benefit</t>
  </si>
  <si>
    <t>Accessories Recognize</t>
  </si>
  <si>
    <t>Phones Could</t>
  </si>
  <si>
    <t>Phones Degree</t>
  </si>
  <si>
    <t>Tables Carry</t>
  </si>
  <si>
    <t>Chairs Truth</t>
  </si>
  <si>
    <t>Tables Water</t>
  </si>
  <si>
    <t>Chairs Score</t>
  </si>
  <si>
    <t>Binders Candidate</t>
  </si>
  <si>
    <t>Tables Executive</t>
  </si>
  <si>
    <t>Binders Special</t>
  </si>
  <si>
    <t>Phones Reach</t>
  </si>
  <si>
    <t>Storage Than</t>
  </si>
  <si>
    <t>Accessories Job</t>
  </si>
  <si>
    <t>Accessories Blue</t>
  </si>
  <si>
    <t>Laptops Purpose</t>
  </si>
  <si>
    <t>Laptops College</t>
  </si>
  <si>
    <t>Tables Share</t>
  </si>
  <si>
    <t>Chairs Cup</t>
  </si>
  <si>
    <t>Binders Education</t>
  </si>
  <si>
    <t>Laptops Specific</t>
  </si>
  <si>
    <t>Tables Message</t>
  </si>
  <si>
    <t>Tables Site</t>
  </si>
  <si>
    <t>Phones Again</t>
  </si>
  <si>
    <t>Phones Interesting</t>
  </si>
  <si>
    <t>Tables Behavior</t>
  </si>
  <si>
    <t>Art Product</t>
  </si>
  <si>
    <t>Accessories Political</t>
  </si>
  <si>
    <t>Phones Often</t>
  </si>
  <si>
    <t>Laptops Teach</t>
  </si>
  <si>
    <t>Art Thank</t>
  </si>
  <si>
    <t>Binders Fine</t>
  </si>
  <si>
    <t>Paper Which</t>
  </si>
  <si>
    <t>Accessories Consumer</t>
  </si>
  <si>
    <t>Binders Little</t>
  </si>
  <si>
    <t>Chairs Physical</t>
  </si>
  <si>
    <t>Art Look</t>
  </si>
  <si>
    <t>Laptops Manage</t>
  </si>
  <si>
    <t>Paper Happen</t>
  </si>
  <si>
    <t>Tables Case</t>
  </si>
  <si>
    <t>Laptops With</t>
  </si>
  <si>
    <t>Phones Entire</t>
  </si>
  <si>
    <t>Binders Street</t>
  </si>
  <si>
    <t>Accessories Husband</t>
  </si>
  <si>
    <t>Tables Policy</t>
  </si>
  <si>
    <t>Binders Walk</t>
  </si>
  <si>
    <t>Art Customer</t>
  </si>
  <si>
    <t>Art Go</t>
  </si>
  <si>
    <t>Paper Necessary</t>
  </si>
  <si>
    <t>Tables Health</t>
  </si>
  <si>
    <t>Phones Candidate</t>
  </si>
  <si>
    <t>Paper Yeah</t>
  </si>
  <si>
    <t>Tables Main</t>
  </si>
  <si>
    <t>Accessories Remember</t>
  </si>
  <si>
    <t>Laptops True</t>
  </si>
  <si>
    <t>Tables Yeah</t>
  </si>
  <si>
    <t>Paper Almost</t>
  </si>
  <si>
    <t>Phones Land</t>
  </si>
  <si>
    <t>Accessories Artist</t>
  </si>
  <si>
    <t>Phones Rock</t>
  </si>
  <si>
    <t>Binders Reveal</t>
  </si>
  <si>
    <t>Chairs Agree</t>
  </si>
  <si>
    <t>Phones I</t>
  </si>
  <si>
    <t>Art Magazine</t>
  </si>
  <si>
    <t>Art Example</t>
  </si>
  <si>
    <t>Chairs Exist</t>
  </si>
  <si>
    <t>Art Shoulder</t>
  </si>
  <si>
    <t>Tables Choice</t>
  </si>
  <si>
    <t>Binders Couple</t>
  </si>
  <si>
    <t>Phones Outside</t>
  </si>
  <si>
    <t>Accessories Public</t>
  </si>
  <si>
    <t>Paper Expert</t>
  </si>
  <si>
    <t>Tables Claim</t>
  </si>
  <si>
    <t>Binders Under</t>
  </si>
  <si>
    <t>Tables Girl</t>
  </si>
  <si>
    <t>Binders Run</t>
  </si>
  <si>
    <t>Chairs Partner</t>
  </si>
  <si>
    <t>Art Least</t>
  </si>
  <si>
    <t>Art Start</t>
  </si>
  <si>
    <t>Tables Investment</t>
  </si>
  <si>
    <t>Binders Those</t>
  </si>
  <si>
    <t>Phones Space</t>
  </si>
  <si>
    <t>Tables Job</t>
  </si>
  <si>
    <t>Phones Money</t>
  </si>
  <si>
    <t>Phones Discussion</t>
  </si>
  <si>
    <t>Paper Cup</t>
  </si>
  <si>
    <t>Laptops Those</t>
  </si>
  <si>
    <t>Phones Her</t>
  </si>
  <si>
    <t>Binders Range</t>
  </si>
  <si>
    <t>Chairs White</t>
  </si>
  <si>
    <t>Accessories Fine</t>
  </si>
  <si>
    <t>Art Day</t>
  </si>
  <si>
    <t>Art Performance</t>
  </si>
  <si>
    <t>Laptops Have</t>
  </si>
  <si>
    <t>Storage Summer</t>
  </si>
  <si>
    <t>Binders Learn</t>
  </si>
  <si>
    <t>Binders Baby</t>
  </si>
  <si>
    <t>Art Picture</t>
  </si>
  <si>
    <t>Paper Push</t>
  </si>
  <si>
    <t>Chairs Move</t>
  </si>
  <si>
    <t>Laptops Over</t>
  </si>
  <si>
    <t>Accessories Add</t>
  </si>
  <si>
    <t>Accessories Ten</t>
  </si>
  <si>
    <t>Phones Ago</t>
  </si>
  <si>
    <t>Art Hot</t>
  </si>
  <si>
    <t>Binders Media</t>
  </si>
  <si>
    <t>Paper Often</t>
  </si>
  <si>
    <t>Laptops Reduce</t>
  </si>
  <si>
    <t>Chairs Family</t>
  </si>
  <si>
    <t>Phones Significant</t>
  </si>
  <si>
    <t>Chairs Maintain</t>
  </si>
  <si>
    <t>Paper Difference</t>
  </si>
  <si>
    <t>Accessories Together</t>
  </si>
  <si>
    <t>Paper Model</t>
  </si>
  <si>
    <t>Laptops Discuss</t>
  </si>
  <si>
    <t>Storage Pick</t>
  </si>
  <si>
    <t>Tables Yourself</t>
  </si>
  <si>
    <t>Paper Buy</t>
  </si>
  <si>
    <t>Laptops Simply</t>
  </si>
  <si>
    <t>Tables Film</t>
  </si>
  <si>
    <t>Storage Spend</t>
  </si>
  <si>
    <t>Binders Win</t>
  </si>
  <si>
    <t>Laptops Goal</t>
  </si>
  <si>
    <t>Binders Back</t>
  </si>
  <si>
    <t>Art Cost</t>
  </si>
  <si>
    <t>Phones Decide</t>
  </si>
  <si>
    <t>Phones Require</t>
  </si>
  <si>
    <t>Paper Hope</t>
  </si>
  <si>
    <t>Chairs Bad</t>
  </si>
  <si>
    <t>Paper International</t>
  </si>
  <si>
    <t>Chairs Herself</t>
  </si>
  <si>
    <t>Art Drop</t>
  </si>
  <si>
    <t>Art Person</t>
  </si>
  <si>
    <t>Phones Professor</t>
  </si>
  <si>
    <t>Chairs Government</t>
  </si>
  <si>
    <t>Laptops High</t>
  </si>
  <si>
    <t>Binders Effect</t>
  </si>
  <si>
    <t>Chairs Approach</t>
  </si>
  <si>
    <t>Paper Partner</t>
  </si>
  <si>
    <t>Binders Attention</t>
  </si>
  <si>
    <t>Chairs Assume</t>
  </si>
  <si>
    <t>Storage Miss</t>
  </si>
  <si>
    <t>Binders Gun</t>
  </si>
  <si>
    <t>Binders Whole</t>
  </si>
  <si>
    <t>Tables Economy</t>
  </si>
  <si>
    <t>Laptops Dark</t>
  </si>
  <si>
    <t>Tables Beat</t>
  </si>
  <si>
    <t>Chairs She</t>
  </si>
  <si>
    <t>Tables Try</t>
  </si>
  <si>
    <t>Tables Nation</t>
  </si>
  <si>
    <t>Chairs Become</t>
  </si>
  <si>
    <t>Paper Successful</t>
  </si>
  <si>
    <t>Binders Make</t>
  </si>
  <si>
    <t>Accessories If</t>
  </si>
  <si>
    <t>Accessories Develop</t>
  </si>
  <si>
    <t>Art Yourself</t>
  </si>
  <si>
    <t>Laptops Hospital</t>
  </si>
  <si>
    <t>Binders True</t>
  </si>
  <si>
    <t>Accessories Bit</t>
  </si>
  <si>
    <t>Art Them</t>
  </si>
  <si>
    <t>Storage Table</t>
  </si>
  <si>
    <t>Binders Draw</t>
  </si>
  <si>
    <t>Binders Material</t>
  </si>
  <si>
    <t>Chairs Their</t>
  </si>
  <si>
    <t>Storage Record</t>
  </si>
  <si>
    <t>Art Development</t>
  </si>
  <si>
    <t>Phones Up</t>
  </si>
  <si>
    <t>Tables Pretty</t>
  </si>
  <si>
    <t>Phones Month</t>
  </si>
  <si>
    <t>Binders Seat</t>
  </si>
  <si>
    <t>Tables Value</t>
  </si>
  <si>
    <t>Storage With</t>
  </si>
  <si>
    <t>Paper Risk</t>
  </si>
  <si>
    <t>Paper Join</t>
  </si>
  <si>
    <t>Paper Win</t>
  </si>
  <si>
    <t>Storage Turn</t>
  </si>
  <si>
    <t>Tables End</t>
  </si>
  <si>
    <t>Chairs Health</t>
  </si>
  <si>
    <t>Phones Financial</t>
  </si>
  <si>
    <t>Laptops Back</t>
  </si>
  <si>
    <t>Chairs Full</t>
  </si>
  <si>
    <t>Tables Black</t>
  </si>
  <si>
    <t>Paper Certainly</t>
  </si>
  <si>
    <t>Art Account</t>
  </si>
  <si>
    <t>Accessories Space</t>
  </si>
  <si>
    <t>Binders Project</t>
  </si>
  <si>
    <t>Tables Help</t>
  </si>
  <si>
    <t>Tables From</t>
  </si>
  <si>
    <t>Laptops Center</t>
  </si>
  <si>
    <t>Accessories Own</t>
  </si>
  <si>
    <t>Laptops Where</t>
  </si>
  <si>
    <t>Laptops Join</t>
  </si>
  <si>
    <t>Phones Team</t>
  </si>
  <si>
    <t>Laptops Community</t>
  </si>
  <si>
    <t>Paper Field</t>
  </si>
  <si>
    <t>Chairs Morning</t>
  </si>
  <si>
    <t>Paper Level</t>
  </si>
  <si>
    <t>Phones Paper</t>
  </si>
  <si>
    <t>Tables Foot</t>
  </si>
  <si>
    <t>Laptops Customer</t>
  </si>
  <si>
    <t>Phones Writer</t>
  </si>
  <si>
    <t>Laptops Find</t>
  </si>
  <si>
    <t>Laptops Side</t>
  </si>
  <si>
    <t>Accessories Ago</t>
  </si>
  <si>
    <t>Binders Suddenly</t>
  </si>
  <si>
    <t>Laptops Investment</t>
  </si>
  <si>
    <t>Storage Anyone</t>
  </si>
  <si>
    <t>Art Billion</t>
  </si>
  <si>
    <t>Paper Hand</t>
  </si>
  <si>
    <t>Binders Along</t>
  </si>
  <si>
    <t>Art Body</t>
  </si>
  <si>
    <t>Tables Man</t>
  </si>
  <si>
    <t>Paper Miss</t>
  </si>
  <si>
    <t>Chairs Character</t>
  </si>
  <si>
    <t>Art Power</t>
  </si>
  <si>
    <t>Paper Every</t>
  </si>
  <si>
    <t>Paper Baby</t>
  </si>
  <si>
    <t>Laptops Level</t>
  </si>
  <si>
    <t>Binders Own</t>
  </si>
  <si>
    <t>Phones Choose</t>
  </si>
  <si>
    <t>Phones Former</t>
  </si>
  <si>
    <t>Paper Course</t>
  </si>
  <si>
    <t>Paper Enter</t>
  </si>
  <si>
    <t>Phones High</t>
  </si>
  <si>
    <t>Binders Every</t>
  </si>
  <si>
    <t>Tables Painting</t>
  </si>
  <si>
    <t>Art Piece</t>
  </si>
  <si>
    <t>Paper Case</t>
  </si>
  <si>
    <t>Accessories This</t>
  </si>
  <si>
    <t>Chairs Sound</t>
  </si>
  <si>
    <t>Binders Church</t>
  </si>
  <si>
    <t>Laptops Wish</t>
  </si>
  <si>
    <t>Art Well</t>
  </si>
  <si>
    <t>Phones Dream</t>
  </si>
  <si>
    <t>Storage Work</t>
  </si>
  <si>
    <t>Art Series</t>
  </si>
  <si>
    <t>Art Painting</t>
  </si>
  <si>
    <t>Storage Term</t>
  </si>
  <si>
    <t>Paper Participant</t>
  </si>
  <si>
    <t>Binders Without</t>
  </si>
  <si>
    <t>Phones Shoulder</t>
  </si>
  <si>
    <t>Laptops Hand</t>
  </si>
  <si>
    <t>Tables Animal</t>
  </si>
  <si>
    <t>Binders Team</t>
  </si>
  <si>
    <t>Art Bring</t>
  </si>
  <si>
    <t>Tables Senior</t>
  </si>
  <si>
    <t>Storage Try</t>
  </si>
  <si>
    <t>Accessories Must</t>
  </si>
  <si>
    <t>Phones Fast</t>
  </si>
  <si>
    <t>Paper Majority</t>
  </si>
  <si>
    <t>Art Know</t>
  </si>
  <si>
    <t>Chairs See</t>
  </si>
  <si>
    <t>Storage Six</t>
  </si>
  <si>
    <t>Accessories Back</t>
  </si>
  <si>
    <t>Tables Fish</t>
  </si>
  <si>
    <t>Laptops Pattern</t>
  </si>
  <si>
    <t>Storage She</t>
  </si>
  <si>
    <t>Art Shake</t>
  </si>
  <si>
    <t>Laptops Result</t>
  </si>
  <si>
    <t>Chairs Subject</t>
  </si>
  <si>
    <t>Binders Year</t>
  </si>
  <si>
    <t>Chairs Carry</t>
  </si>
  <si>
    <t>Storage Wide</t>
  </si>
  <si>
    <t>Paper Month</t>
  </si>
  <si>
    <t>Accessories Four</t>
  </si>
  <si>
    <t>Chairs Real</t>
  </si>
  <si>
    <t>Accessories Each</t>
  </si>
  <si>
    <t>Accessories Miss</t>
  </si>
  <si>
    <t>Chairs Sometimes</t>
  </si>
  <si>
    <t>Accessories Us</t>
  </si>
  <si>
    <t>Art Country</t>
  </si>
  <si>
    <t>Laptops Imagine</t>
  </si>
  <si>
    <t>Paper View</t>
  </si>
  <si>
    <t>Storage Trade</t>
  </si>
  <si>
    <t>Binders Doctor</t>
  </si>
  <si>
    <t>Accessories Eat</t>
  </si>
  <si>
    <t>Chairs Teacher</t>
  </si>
  <si>
    <t>Storage Vote</t>
  </si>
  <si>
    <t>Phones Station</t>
  </si>
  <si>
    <t>Accessories Thing</t>
  </si>
  <si>
    <t>Phones Game</t>
  </si>
  <si>
    <t>Binders Unit</t>
  </si>
  <si>
    <t>Phones Its</t>
  </si>
  <si>
    <t>Chairs Total</t>
  </si>
  <si>
    <t>Tables Member</t>
  </si>
  <si>
    <t>Accessories Medical</t>
  </si>
  <si>
    <t>Paper Build</t>
  </si>
  <si>
    <t>Chairs Live</t>
  </si>
  <si>
    <t>Binders Available</t>
  </si>
  <si>
    <t>Phones Whatever</t>
  </si>
  <si>
    <t>Storage Entire</t>
  </si>
  <si>
    <t>Binders Worry</t>
  </si>
  <si>
    <t>Phones Nor</t>
  </si>
  <si>
    <t>Laptops Response</t>
  </si>
  <si>
    <t>Laptops Daughter</t>
  </si>
  <si>
    <t>Accessories Program</t>
  </si>
  <si>
    <t>Phones Vote</t>
  </si>
  <si>
    <t>Accessories Daughter</t>
  </si>
  <si>
    <t>Paper Activity</t>
  </si>
  <si>
    <t>Phones Arrive</t>
  </si>
  <si>
    <t>Paper Five</t>
  </si>
  <si>
    <t>Binders Five</t>
  </si>
  <si>
    <t>Chairs Participant</t>
  </si>
  <si>
    <t>Paper Agent</t>
  </si>
  <si>
    <t>Phones Machine</t>
  </si>
  <si>
    <t>Tables In</t>
  </si>
  <si>
    <t>Chairs Executive</t>
  </si>
  <si>
    <t>Accessories Letter</t>
  </si>
  <si>
    <t>Paper Picture</t>
  </si>
  <si>
    <t>Laptops Case</t>
  </si>
  <si>
    <t>Storage Participant</t>
  </si>
  <si>
    <t>Laptops Direction</t>
  </si>
  <si>
    <t>Phones Reduce</t>
  </si>
  <si>
    <t>Paper Dog</t>
  </si>
  <si>
    <t>Storage Idea</t>
  </si>
  <si>
    <t>Binders Letter</t>
  </si>
  <si>
    <t>Storage Phone</t>
  </si>
  <si>
    <t>Storage Add</t>
  </si>
  <si>
    <t>Phones Front</t>
  </si>
  <si>
    <t>Art Control</t>
  </si>
  <si>
    <t>Binders Certainly</t>
  </si>
  <si>
    <t>Accessories Size</t>
  </si>
  <si>
    <t>Chairs Western</t>
  </si>
  <si>
    <t>Tables Career</t>
  </si>
  <si>
    <t>Art Civil</t>
  </si>
  <si>
    <t>Laptops Under</t>
  </si>
  <si>
    <t>Laptops Theory</t>
  </si>
  <si>
    <t>Art Property</t>
  </si>
  <si>
    <t>Chairs Issue</t>
  </si>
  <si>
    <t>Laptops Blue</t>
  </si>
  <si>
    <t>Storage Power</t>
  </si>
  <si>
    <t>Laptops Attention</t>
  </si>
  <si>
    <t>Tables Time</t>
  </si>
  <si>
    <t>Art Behind</t>
  </si>
  <si>
    <t>Paper Carry</t>
  </si>
  <si>
    <t>Laptops Scientist</t>
  </si>
  <si>
    <t>Phones Debate</t>
  </si>
  <si>
    <t>Laptops Success</t>
  </si>
  <si>
    <t>Storage Us</t>
  </si>
  <si>
    <t>Chairs Building</t>
  </si>
  <si>
    <t>Laptops Great</t>
  </si>
  <si>
    <t>Tables Trade</t>
  </si>
  <si>
    <t>Chairs Until</t>
  </si>
  <si>
    <t>Tables Rich</t>
  </si>
  <si>
    <t>Chairs Out</t>
  </si>
  <si>
    <t>Laptops Too</t>
  </si>
  <si>
    <t>Accessories By</t>
  </si>
  <si>
    <t>Tables Low</t>
  </si>
  <si>
    <t>Accessories Near</t>
  </si>
  <si>
    <t>Tables For</t>
  </si>
  <si>
    <t>Phones Section</t>
  </si>
  <si>
    <t>Accessories Not</t>
  </si>
  <si>
    <t>Paper Ask</t>
  </si>
  <si>
    <t>Phones Religious</t>
  </si>
  <si>
    <t>Paper Part</t>
  </si>
  <si>
    <t>Chairs Land</t>
  </si>
  <si>
    <t>Chairs Data</t>
  </si>
  <si>
    <t>Phones Population</t>
  </si>
  <si>
    <t>Paper Car</t>
  </si>
  <si>
    <t>Phones Reveal</t>
  </si>
  <si>
    <t>Accessories Time</t>
  </si>
  <si>
    <t>Art Attorney</t>
  </si>
  <si>
    <t>Paper Situation</t>
  </si>
  <si>
    <t>Laptops Minute</t>
  </si>
  <si>
    <t>Accessories Result</t>
  </si>
  <si>
    <t>Paper Pick</t>
  </si>
  <si>
    <t>Accessories Your</t>
  </si>
  <si>
    <t>Art At</t>
  </si>
  <si>
    <t>Binders Behavior</t>
  </si>
  <si>
    <t>Storage Still</t>
  </si>
  <si>
    <t>Storage Party</t>
  </si>
  <si>
    <t>Art Kitchen</t>
  </si>
  <si>
    <t>Storage Give</t>
  </si>
  <si>
    <t>Chairs Consider</t>
  </si>
  <si>
    <t>Laptops Course</t>
  </si>
  <si>
    <t>Storage Simply</t>
  </si>
  <si>
    <t>Tables Course</t>
  </si>
  <si>
    <t>Paper Young</t>
  </si>
  <si>
    <t>Art Parent</t>
  </si>
  <si>
    <t>Chairs Moment</t>
  </si>
  <si>
    <t>Tables Wife</t>
  </si>
  <si>
    <t>Storage Usually</t>
  </si>
  <si>
    <t>Art Suddenly</t>
  </si>
  <si>
    <t>Binders Lawyer</t>
  </si>
  <si>
    <t>Paper Under</t>
  </si>
  <si>
    <t>Tables Former</t>
  </si>
  <si>
    <t>Binders Former</t>
  </si>
  <si>
    <t>Art Remain</t>
  </si>
  <si>
    <t>Laptops Process</t>
  </si>
  <si>
    <t>Laptops Everybody</t>
  </si>
  <si>
    <t>Storage Blood</t>
  </si>
  <si>
    <t>Phones Style</t>
  </si>
  <si>
    <t>Tables Recognize</t>
  </si>
  <si>
    <t>Phones Full</t>
  </si>
  <si>
    <t>Laptops Watch</t>
  </si>
  <si>
    <t>Accessories Standard</t>
  </si>
  <si>
    <t>Art Film</t>
  </si>
  <si>
    <t>Art Road</t>
  </si>
  <si>
    <t>Chairs Cold</t>
  </si>
  <si>
    <t>Laptops Chair</t>
  </si>
  <si>
    <t>Laptops Cold</t>
  </si>
  <si>
    <t>Tables Suggest</t>
  </si>
  <si>
    <t>Storage Month</t>
  </si>
  <si>
    <t>Accessories Operation</t>
  </si>
  <si>
    <t>Accessories Face</t>
  </si>
  <si>
    <t>Phones Today</t>
  </si>
  <si>
    <t>Paper Nice</t>
  </si>
  <si>
    <t>Tables Dark</t>
  </si>
  <si>
    <t>Laptops Off</t>
  </si>
  <si>
    <t>Storage He</t>
  </si>
  <si>
    <t>Laptops Democratic</t>
  </si>
  <si>
    <t>Laptops Real</t>
  </si>
  <si>
    <t>Laptops Large</t>
  </si>
  <si>
    <t>Tables Cause</t>
  </si>
  <si>
    <t>Art Seven</t>
  </si>
  <si>
    <t>Paper Film</t>
  </si>
  <si>
    <t>Tables Face</t>
  </si>
  <si>
    <t>Tables Environmental</t>
  </si>
  <si>
    <t>Accessories Industry</t>
  </si>
  <si>
    <t>Art Watch</t>
  </si>
  <si>
    <t>Art Particularly</t>
  </si>
  <si>
    <t>Binders Practice</t>
  </si>
  <si>
    <t>Laptops Loss</t>
  </si>
  <si>
    <t>Binders Issue</t>
  </si>
  <si>
    <t>Binders Participant</t>
  </si>
  <si>
    <t>Storage Business</t>
  </si>
  <si>
    <t>Art Whatever</t>
  </si>
  <si>
    <t>Phones Part</t>
  </si>
  <si>
    <t>Storage Project</t>
  </si>
  <si>
    <t>Phones Beat</t>
  </si>
  <si>
    <t>Art Apply</t>
  </si>
  <si>
    <t>Phones Add</t>
  </si>
  <si>
    <t>Binders Movie</t>
  </si>
  <si>
    <t>Chairs Either</t>
  </si>
  <si>
    <t>Art Rock</t>
  </si>
  <si>
    <t>Tables Source</t>
  </si>
  <si>
    <t>Art Even</t>
  </si>
  <si>
    <t>Accessories Return</t>
  </si>
  <si>
    <t>Storage Sing</t>
  </si>
  <si>
    <t>Paper Town</t>
  </si>
  <si>
    <t>Art Expect</t>
  </si>
  <si>
    <t>Accessories Hair</t>
  </si>
  <si>
    <t>Laptops Table</t>
  </si>
  <si>
    <t>Storage Pay</t>
  </si>
  <si>
    <t>Accessories Move</t>
  </si>
  <si>
    <t>Accessories Process</t>
  </si>
  <si>
    <t>Art Former</t>
  </si>
  <si>
    <t>Laptops Prove</t>
  </si>
  <si>
    <t>Binders Structure</t>
  </si>
  <si>
    <t>Tables Piece</t>
  </si>
  <si>
    <t>Phones Send</t>
  </si>
  <si>
    <t>Phones Strategy</t>
  </si>
  <si>
    <t>Accessories Wait</t>
  </si>
  <si>
    <t>Paper Image</t>
  </si>
  <si>
    <t>Laptops Inside</t>
  </si>
  <si>
    <t>Art Head</t>
  </si>
  <si>
    <t>Paper Mr</t>
  </si>
  <si>
    <t>Storage By</t>
  </si>
  <si>
    <t>Laptops Thought</t>
  </si>
  <si>
    <t>Phones Us</t>
  </si>
  <si>
    <t>Tables Without</t>
  </si>
  <si>
    <t>Tables School</t>
  </si>
  <si>
    <t>Tables Maybe</t>
  </si>
  <si>
    <t>Phones Door</t>
  </si>
  <si>
    <t>Phones Letter</t>
  </si>
  <si>
    <t>Chairs Skin</t>
  </si>
  <si>
    <t>Tables Reality</t>
  </si>
  <si>
    <t>Accessories Figure</t>
  </si>
  <si>
    <t>Art Whom</t>
  </si>
  <si>
    <t>Laptops Apply</t>
  </si>
  <si>
    <t>Binders Model</t>
  </si>
  <si>
    <t>Storage Image</t>
  </si>
  <si>
    <t>Accessories Follow</t>
  </si>
  <si>
    <t>Binders Particular</t>
  </si>
  <si>
    <t>Binders Write</t>
  </si>
  <si>
    <t>Storage Result</t>
  </si>
  <si>
    <t>Storage Significant</t>
  </si>
  <si>
    <t>Chairs Yard</t>
  </si>
  <si>
    <t>Tables Environment</t>
  </si>
  <si>
    <t>Phones Water</t>
  </si>
  <si>
    <t>Paper Season</t>
  </si>
  <si>
    <t>Art Show</t>
  </si>
  <si>
    <t>Tables Century</t>
  </si>
  <si>
    <t>Tables Foreign</t>
  </si>
  <si>
    <t>Chairs Situation</t>
  </si>
  <si>
    <t>Accessories Support</t>
  </si>
  <si>
    <t>Accessories Business</t>
  </si>
  <si>
    <t>Binders Hear</t>
  </si>
  <si>
    <t>Phones Star</t>
  </si>
  <si>
    <t>Laptops Yourself</t>
  </si>
  <si>
    <t>Phones Environmental</t>
  </si>
  <si>
    <t>Storage Water</t>
  </si>
  <si>
    <t>Chairs May</t>
  </si>
  <si>
    <t>Chairs Media</t>
  </si>
  <si>
    <t>Art Visit</t>
  </si>
  <si>
    <t>Accessories Tree</t>
  </si>
  <si>
    <t>Art Professor</t>
  </si>
  <si>
    <t>Chairs Medical</t>
  </si>
  <si>
    <t>Chairs Week</t>
  </si>
  <si>
    <t>Accessories Rich</t>
  </si>
  <si>
    <t>Paper Behavior</t>
  </si>
  <si>
    <t>Tables Down</t>
  </si>
  <si>
    <t>Phones Seek</t>
  </si>
  <si>
    <t>Storage Little</t>
  </si>
  <si>
    <t>Accessories Discover</t>
  </si>
  <si>
    <t>Chairs Bank</t>
  </si>
  <si>
    <t>Chairs Concern</t>
  </si>
  <si>
    <t>Tables Doctor</t>
  </si>
  <si>
    <t>Phones Knowledge</t>
  </si>
  <si>
    <t>Laptops Treatment</t>
  </si>
  <si>
    <t>Binders Television</t>
  </si>
  <si>
    <t>Laptops Class</t>
  </si>
  <si>
    <t>Chairs Coach</t>
  </si>
  <si>
    <t>Phones Situation</t>
  </si>
  <si>
    <t>Paper Us</t>
  </si>
  <si>
    <t>Laptops Produce</t>
  </si>
  <si>
    <t>Phones Young</t>
  </si>
  <si>
    <t>Accessories Authority</t>
  </si>
  <si>
    <t>Binders Record</t>
  </si>
  <si>
    <t>Binders Hand</t>
  </si>
  <si>
    <t>Art Value</t>
  </si>
  <si>
    <t>Paper Various</t>
  </si>
  <si>
    <t>Storage Actually</t>
  </si>
  <si>
    <t>Tables Drive</t>
  </si>
  <si>
    <t>Tables Pass</t>
  </si>
  <si>
    <t>Art Practice</t>
  </si>
  <si>
    <t>Phones Write</t>
  </si>
  <si>
    <t>Binders Finally</t>
  </si>
  <si>
    <t>Storage Plan</t>
  </si>
  <si>
    <t>Binders Play</t>
  </si>
  <si>
    <t>Binders Thank</t>
  </si>
  <si>
    <t>Laptops Option</t>
  </si>
  <si>
    <t>Paper Spend</t>
  </si>
  <si>
    <t>Chairs Spend</t>
  </si>
  <si>
    <t>Chairs Soldier</t>
  </si>
  <si>
    <t>Accessories At</t>
  </si>
  <si>
    <t>Binders Language</t>
  </si>
  <si>
    <t>Paper Station</t>
  </si>
  <si>
    <t>Art Response</t>
  </si>
  <si>
    <t>Binders Decision</t>
  </si>
  <si>
    <t>Binders Take</t>
  </si>
  <si>
    <t>Tables Sea</t>
  </si>
  <si>
    <t>Phones Service</t>
  </si>
  <si>
    <t>Phones Training</t>
  </si>
  <si>
    <t>Art System</t>
  </si>
  <si>
    <t>Chairs Activity</t>
  </si>
  <si>
    <t>Paper Break</t>
  </si>
  <si>
    <t>Tables Stage</t>
  </si>
  <si>
    <t>Phones Thing</t>
  </si>
  <si>
    <t>Paper Create</t>
  </si>
  <si>
    <t>Laptops Nature</t>
  </si>
  <si>
    <t>Binders Hit</t>
  </si>
  <si>
    <t>Binders Matter</t>
  </si>
  <si>
    <t>Paper Language</t>
  </si>
  <si>
    <t>Laptops In</t>
  </si>
  <si>
    <t>Laptops Heart</t>
  </si>
  <si>
    <t>Laptops Make</t>
  </si>
  <si>
    <t>Accessories Staff</t>
  </si>
  <si>
    <t>Laptops Talk</t>
  </si>
  <si>
    <t>Accessories Keep</t>
  </si>
  <si>
    <t>Laptops Truth</t>
  </si>
  <si>
    <t>Tables Run</t>
  </si>
  <si>
    <t>Chairs Quite</t>
  </si>
  <si>
    <t>Binders Agreement</t>
  </si>
  <si>
    <t>Tables Than</t>
  </si>
  <si>
    <t>Storage Without</t>
  </si>
  <si>
    <t>Binders Leader</t>
  </si>
  <si>
    <t>Phones Democrat</t>
  </si>
  <si>
    <t>Binders Bank</t>
  </si>
  <si>
    <t>Art Size</t>
  </si>
  <si>
    <t>Storage View</t>
  </si>
  <si>
    <t>Accessories Down</t>
  </si>
  <si>
    <t>Art Defense</t>
  </si>
  <si>
    <t>Storage Couple</t>
  </si>
  <si>
    <t>Accessories Last</t>
  </si>
  <si>
    <t>Art Range</t>
  </si>
  <si>
    <t>Tables Whom</t>
  </si>
  <si>
    <t>Paper Name</t>
  </si>
  <si>
    <t>Laptops Offer</t>
  </si>
  <si>
    <t>Binders Last</t>
  </si>
  <si>
    <t>Paper Can</t>
  </si>
  <si>
    <t>Chairs Professor</t>
  </si>
  <si>
    <t>Art Pretty</t>
  </si>
  <si>
    <t>Laptops Several</t>
  </si>
  <si>
    <t>Chairs Party</t>
  </si>
  <si>
    <t>Laptops Foreign</t>
  </si>
  <si>
    <t>Chairs Whole</t>
  </si>
  <si>
    <t>Accessories Serious</t>
  </si>
  <si>
    <t>Laptops Young</t>
  </si>
  <si>
    <t>Laptops Involve</t>
  </si>
  <si>
    <t>Phones Safe</t>
  </si>
  <si>
    <t>Storage Final</t>
  </si>
  <si>
    <t>Tables Worker</t>
  </si>
  <si>
    <t>Binders Wonder</t>
  </si>
  <si>
    <t>Phones Result</t>
  </si>
  <si>
    <t>Phones Thousand</t>
  </si>
  <si>
    <t>Phones Scientist</t>
  </si>
  <si>
    <t>Binders Story</t>
  </si>
  <si>
    <t>Laptops A</t>
  </si>
  <si>
    <t>Art Some</t>
  </si>
  <si>
    <t>Phones Popular</t>
  </si>
  <si>
    <t>Binders Card</t>
  </si>
  <si>
    <t>Accessories Federal</t>
  </si>
  <si>
    <t>Storage President</t>
  </si>
  <si>
    <t>Phones Most</t>
  </si>
  <si>
    <t>Paper Perform</t>
  </si>
  <si>
    <t>Storage Station</t>
  </si>
  <si>
    <t>Storage Year</t>
  </si>
  <si>
    <t>Accessories Side</t>
  </si>
  <si>
    <t>Accessories Couple</t>
  </si>
  <si>
    <t>Binders There</t>
  </si>
  <si>
    <t>Accessories Now</t>
  </si>
  <si>
    <t>Chairs Brother</t>
  </si>
  <si>
    <t>Paper New</t>
  </si>
  <si>
    <t>Phones A</t>
  </si>
  <si>
    <t>Art Hit</t>
  </si>
  <si>
    <t>Phones Evidence</t>
  </si>
  <si>
    <t>Tables Off</t>
  </si>
  <si>
    <t>Art Social</t>
  </si>
  <si>
    <t>Tables Voice</t>
  </si>
  <si>
    <t>Accessories Per</t>
  </si>
  <si>
    <t>Storage Available</t>
  </si>
  <si>
    <t>Chairs Ten</t>
  </si>
  <si>
    <t>Chairs Appear</t>
  </si>
  <si>
    <t>Laptops Maybe</t>
  </si>
  <si>
    <t>Tables Make</t>
  </si>
  <si>
    <t>Storage Career</t>
  </si>
  <si>
    <t>Binders Too</t>
  </si>
  <si>
    <t>Art Can</t>
  </si>
  <si>
    <t>Storage Billion</t>
  </si>
  <si>
    <t>Tables Own</t>
  </si>
  <si>
    <t>Laptops No</t>
  </si>
  <si>
    <t>Storage Future</t>
  </si>
  <si>
    <t>Storage Buy</t>
  </si>
  <si>
    <t>Storage Ready</t>
  </si>
  <si>
    <t>Chairs Why</t>
  </si>
  <si>
    <t>Art Financial</t>
  </si>
  <si>
    <t>Accessories Military</t>
  </si>
  <si>
    <t>Phones Trade</t>
  </si>
  <si>
    <t>Art Personal</t>
  </si>
  <si>
    <t>Tables First</t>
  </si>
  <si>
    <t>Accessories Or</t>
  </si>
  <si>
    <t>Tables Him</t>
  </si>
  <si>
    <t>Binders Soon</t>
  </si>
  <si>
    <t>Laptops Either</t>
  </si>
  <si>
    <t>Storage Model</t>
  </si>
  <si>
    <t>Tables President</t>
  </si>
  <si>
    <t>Accessories Commercial</t>
  </si>
  <si>
    <t>Laptops Place</t>
  </si>
  <si>
    <t>Chairs Add</t>
  </si>
  <si>
    <t>Storage Create</t>
  </si>
  <si>
    <t>Paper Science</t>
  </si>
  <si>
    <t>Paper Usually</t>
  </si>
  <si>
    <t>Chairs Less</t>
  </si>
  <si>
    <t>Storage Free</t>
  </si>
  <si>
    <t>Laptops Middle</t>
  </si>
  <si>
    <t>Phones Every</t>
  </si>
  <si>
    <t>Paper Official</t>
  </si>
  <si>
    <t>Accessories Since</t>
  </si>
  <si>
    <t>Laptops Resource</t>
  </si>
  <si>
    <t>Art Health</t>
  </si>
  <si>
    <t>Laptops Drive</t>
  </si>
  <si>
    <t>Paper Think</t>
  </si>
  <si>
    <t>Paper Quickly</t>
  </si>
  <si>
    <t>Paper Issue</t>
  </si>
  <si>
    <t>Art Necessary</t>
  </si>
  <si>
    <t>Paper Catch</t>
  </si>
  <si>
    <t>Tables Town</t>
  </si>
  <si>
    <t>Accessories Republican</t>
  </si>
  <si>
    <t>Laptops Officer</t>
  </si>
  <si>
    <t>Accessories Late</t>
  </si>
  <si>
    <t>Art Medical</t>
  </si>
  <si>
    <t>Phones Quickly</t>
  </si>
  <si>
    <t>Paper Place</t>
  </si>
  <si>
    <t>Laptops Body</t>
  </si>
  <si>
    <t>Storage Hear</t>
  </si>
  <si>
    <t>Art Nice</t>
  </si>
  <si>
    <t>Binders Voice</t>
  </si>
  <si>
    <t>Tables Admit</t>
  </si>
  <si>
    <t>Paper Across</t>
  </si>
  <si>
    <t>Chairs Plant</t>
  </si>
  <si>
    <t>Laptops Piece</t>
  </si>
  <si>
    <t>Paper Individual</t>
  </si>
  <si>
    <t>Accessories Themselves</t>
  </si>
  <si>
    <t>Laptops Mrs</t>
  </si>
  <si>
    <t>Accessories Old</t>
  </si>
  <si>
    <t>Paper Drug</t>
  </si>
  <si>
    <t>Accessories Camera</t>
  </si>
  <si>
    <t>Storage Mr</t>
  </si>
  <si>
    <t>Chairs Necessary</t>
  </si>
  <si>
    <t>Paper West</t>
  </si>
  <si>
    <t>Accessories Company</t>
  </si>
  <si>
    <t>Binders Budget</t>
  </si>
  <si>
    <t>Laptops Fall</t>
  </si>
  <si>
    <t>Laptops Way</t>
  </si>
  <si>
    <t>Chairs Stay</t>
  </si>
  <si>
    <t>Binders End</t>
  </si>
  <si>
    <t>Paper Indeed</t>
  </si>
  <si>
    <t>Laptops Subject</t>
  </si>
  <si>
    <t>Art Action</t>
  </si>
  <si>
    <t>Paper Woman</t>
  </si>
  <si>
    <t>Tables Laugh</t>
  </si>
  <si>
    <t>Binders Court</t>
  </si>
  <si>
    <t>Accessories Everything</t>
  </si>
  <si>
    <t>Phones Tax</t>
  </si>
  <si>
    <t>Storage Source</t>
  </si>
  <si>
    <t>Phones Size</t>
  </si>
  <si>
    <t>Accessories Third</t>
  </si>
  <si>
    <t>Accessories With</t>
  </si>
  <si>
    <t>Paper Magazine</t>
  </si>
  <si>
    <t>Accessories Build</t>
  </si>
  <si>
    <t>Tables Something</t>
  </si>
  <si>
    <t>Accessories Need</t>
  </si>
  <si>
    <t>Paper Federal</t>
  </si>
  <si>
    <t>Art Page</t>
  </si>
  <si>
    <t>Phones Drop</t>
  </si>
  <si>
    <t>Binders Apply</t>
  </si>
  <si>
    <t>Laptops Ball</t>
  </si>
  <si>
    <t>Art Deal</t>
  </si>
  <si>
    <t>Storage Author</t>
  </si>
  <si>
    <t>Art Debate</t>
  </si>
  <si>
    <t>Storage Home</t>
  </si>
  <si>
    <t>Chairs Treat</t>
  </si>
  <si>
    <t>Binders First</t>
  </si>
  <si>
    <t>Tables Company</t>
  </si>
  <si>
    <t>Storage Same</t>
  </si>
  <si>
    <t>Tables Up</t>
  </si>
  <si>
    <t>Chairs Take</t>
  </si>
  <si>
    <t>Binders Focus</t>
  </si>
  <si>
    <t>Phones Test</t>
  </si>
  <si>
    <t>Phones Score</t>
  </si>
  <si>
    <t>Art Movie</t>
  </si>
  <si>
    <t>Tables Society</t>
  </si>
  <si>
    <t>Binders At</t>
  </si>
  <si>
    <t>Art Economy</t>
  </si>
  <si>
    <t>Accessories Soon</t>
  </si>
  <si>
    <t>Laptops Worry</t>
  </si>
  <si>
    <t>Accessories Than</t>
  </si>
  <si>
    <t>Phones Fact</t>
  </si>
  <si>
    <t>Binders Cause</t>
  </si>
  <si>
    <t>Storage Key</t>
  </si>
  <si>
    <t>Phones Would</t>
  </si>
  <si>
    <t>Paper Health</t>
  </si>
  <si>
    <t>Storage Security</t>
  </si>
  <si>
    <t>Art Line</t>
  </si>
  <si>
    <t>Binders Color</t>
  </si>
  <si>
    <t>Binders Role</t>
  </si>
  <si>
    <t>Storage World</t>
  </si>
  <si>
    <t>Storage Perform</t>
  </si>
  <si>
    <t>Phones After</t>
  </si>
  <si>
    <t>Storage Soon</t>
  </si>
  <si>
    <t>Storage Firm</t>
  </si>
  <si>
    <t>Accessories International</t>
  </si>
  <si>
    <t>Chairs We</t>
  </si>
  <si>
    <t>Chairs Several</t>
  </si>
  <si>
    <t>Paper Radio</t>
  </si>
  <si>
    <t>Tables Perform</t>
  </si>
  <si>
    <t>Storage Technology</t>
  </si>
  <si>
    <t>Binders Evening</t>
  </si>
  <si>
    <t>Accessories Every</t>
  </si>
  <si>
    <t>Paper Remember</t>
  </si>
  <si>
    <t>Tables Show</t>
  </si>
  <si>
    <t>Laptops Baby</t>
  </si>
  <si>
    <t>Phones Beautiful</t>
  </si>
  <si>
    <t>Chairs Themselves</t>
  </si>
  <si>
    <t>Art Network</t>
  </si>
  <si>
    <t>Chairs High</t>
  </si>
  <si>
    <t>Laptops Position</t>
  </si>
  <si>
    <t>Art Notice</t>
  </si>
  <si>
    <t>Tables Myself</t>
  </si>
  <si>
    <t>Laptops Behind</t>
  </si>
  <si>
    <t>Chairs Say</t>
  </si>
  <si>
    <t>Storage Though</t>
  </si>
  <si>
    <t>Accessories Statement</t>
  </si>
  <si>
    <t>Paper Past</t>
  </si>
  <si>
    <t>Accessories He</t>
  </si>
  <si>
    <t>Storage Away</t>
  </si>
  <si>
    <t>Tables Store</t>
  </si>
  <si>
    <t>Phones Leave</t>
  </si>
  <si>
    <t>Chairs Whom</t>
  </si>
  <si>
    <t>Phones Despite</t>
  </si>
  <si>
    <t>Paper Approach</t>
  </si>
  <si>
    <t>Chairs Provide</t>
  </si>
  <si>
    <t>Binders Hard</t>
  </si>
  <si>
    <t>Binders Represent</t>
  </si>
  <si>
    <t>Laptops Attack</t>
  </si>
  <si>
    <t>Tables Ten</t>
  </si>
  <si>
    <t>Binders Employee</t>
  </si>
  <si>
    <t>Tables Government</t>
  </si>
  <si>
    <t>Storage Much</t>
  </si>
  <si>
    <t>Storage Once</t>
  </si>
  <si>
    <t>Laptops Very</t>
  </si>
  <si>
    <t>Laptops Trial</t>
  </si>
  <si>
    <t>Accessories Hit</t>
  </si>
  <si>
    <t>Binders School</t>
  </si>
  <si>
    <t>Chairs Floor</t>
  </si>
  <si>
    <t>Phones Economic</t>
  </si>
  <si>
    <t>Phones War</t>
  </si>
  <si>
    <t>Paper Collection</t>
  </si>
  <si>
    <t>Paper Others</t>
  </si>
  <si>
    <t>Tables On</t>
  </si>
  <si>
    <t>Storage Director</t>
  </si>
  <si>
    <t>Phones Agent</t>
  </si>
  <si>
    <t>Chairs Time</t>
  </si>
  <si>
    <t>Binders Population</t>
  </si>
  <si>
    <t>Art Tonight</t>
  </si>
  <si>
    <t>Phones Trip</t>
  </si>
  <si>
    <t>Paper Very</t>
  </si>
  <si>
    <t>Storage Know</t>
  </si>
  <si>
    <t>Binders Star</t>
  </si>
  <si>
    <t>Paper Couple</t>
  </si>
  <si>
    <t>Art Position</t>
  </si>
  <si>
    <t>Storage Church</t>
  </si>
  <si>
    <t>Phones Identify</t>
  </si>
  <si>
    <t>Chairs Consumer</t>
  </si>
  <si>
    <t>Phones Collection</t>
  </si>
  <si>
    <t>Chairs Difficult</t>
  </si>
  <si>
    <t>Binders Similar</t>
  </si>
  <si>
    <t>Tables She</t>
  </si>
  <si>
    <t>Binders May</t>
  </si>
  <si>
    <t>Tables Space</t>
  </si>
  <si>
    <t>Paper After</t>
  </si>
  <si>
    <t>Tables Room</t>
  </si>
  <si>
    <t>Art Grow</t>
  </si>
  <si>
    <t>Laptops Senior</t>
  </si>
  <si>
    <t>Binders White</t>
  </si>
  <si>
    <t>Storage Learn</t>
  </si>
  <si>
    <t>Tables Never</t>
  </si>
  <si>
    <t>Phones Commercial</t>
  </si>
  <si>
    <t>Accessories Hear</t>
  </si>
  <si>
    <t>Accessories Citizen</t>
  </si>
  <si>
    <t>Phones May</t>
  </si>
  <si>
    <t>Tables A</t>
  </si>
  <si>
    <t>Accessories Everybody</t>
  </si>
  <si>
    <t>Paper Sport</t>
  </si>
  <si>
    <t>Binders Knowledge</t>
  </si>
  <si>
    <t>Accessories World</t>
  </si>
  <si>
    <t>Phones Guess</t>
  </si>
  <si>
    <t>Tables Region</t>
  </si>
  <si>
    <t>Storage Magazine</t>
  </si>
  <si>
    <t>Binders Trial</t>
  </si>
  <si>
    <t>Paper Most</t>
  </si>
  <si>
    <t>Chairs Individual</t>
  </si>
  <si>
    <t>Binders Care</t>
  </si>
  <si>
    <t>Chairs Prepare</t>
  </si>
  <si>
    <t>Storage Change</t>
  </si>
  <si>
    <t>Accessories Nothing</t>
  </si>
  <si>
    <t>Accessories Data</t>
  </si>
  <si>
    <t>Accessories Quite</t>
  </si>
  <si>
    <t>Storage Green</t>
  </si>
  <si>
    <t>Accessories Understand</t>
  </si>
  <si>
    <t>Paper Each</t>
  </si>
  <si>
    <t>Tables Need</t>
  </si>
  <si>
    <t>Laptops This</t>
  </si>
  <si>
    <t>Phones Look</t>
  </si>
  <si>
    <t>Phones Cell</t>
  </si>
  <si>
    <t>Chairs Simple</t>
  </si>
  <si>
    <t>Storage Who</t>
  </si>
  <si>
    <t>Binders Office</t>
  </si>
  <si>
    <t>Paper Left</t>
  </si>
  <si>
    <t>Paper Fill</t>
  </si>
  <si>
    <t>Storage And</t>
  </si>
  <si>
    <t>Chairs Girl</t>
  </si>
  <si>
    <t>Laptops Wall</t>
  </si>
  <si>
    <t>Binders Family</t>
  </si>
  <si>
    <t>Binders Consumer</t>
  </si>
  <si>
    <t>Binders Avoid</t>
  </si>
  <si>
    <t>Paper Inside</t>
  </si>
  <si>
    <t>Laptops Ability</t>
  </si>
  <si>
    <t>Art World</t>
  </si>
  <si>
    <t>Chairs In</t>
  </si>
  <si>
    <t>Laptops Many</t>
  </si>
  <si>
    <t>Storage Subject</t>
  </si>
  <si>
    <t>Binders Society</t>
  </si>
  <si>
    <t>Storage Outside</t>
  </si>
  <si>
    <t>Binders Sound</t>
  </si>
  <si>
    <t>Chairs Machine</t>
  </si>
  <si>
    <t>Binders Message</t>
  </si>
  <si>
    <t>Storage Son</t>
  </si>
  <si>
    <t>Paper Bit</t>
  </si>
  <si>
    <t>Phones Seem</t>
  </si>
  <si>
    <t>Paper Really</t>
  </si>
  <si>
    <t>Phones Citizen</t>
  </si>
  <si>
    <t>Tables Side</t>
  </si>
  <si>
    <t>Laptops Remain</t>
  </si>
  <si>
    <t>Accessories Model</t>
  </si>
  <si>
    <t>Art As</t>
  </si>
  <si>
    <t>Tables Will</t>
  </si>
  <si>
    <t>Laptops Sit</t>
  </si>
  <si>
    <t>Accessories Brother</t>
  </si>
  <si>
    <t>Art Season</t>
  </si>
  <si>
    <t>Paper Hot</t>
  </si>
  <si>
    <t>Accessories Policy</t>
  </si>
  <si>
    <t>Binders Bed</t>
  </si>
  <si>
    <t>Art Produce</t>
  </si>
  <si>
    <t>Paper By</t>
  </si>
  <si>
    <t>Chairs Pay</t>
  </si>
  <si>
    <t>Laptops Should</t>
  </si>
  <si>
    <t>Tables Usually</t>
  </si>
  <si>
    <t>Tables Cell</t>
  </si>
  <si>
    <t>Accessories Also</t>
  </si>
  <si>
    <t>Binders Yes</t>
  </si>
  <si>
    <t>Storage To</t>
  </si>
  <si>
    <t>Laptops Sort</t>
  </si>
  <si>
    <t>Laptops Order</t>
  </si>
  <si>
    <t>Binders Summer</t>
  </si>
  <si>
    <t>Binders Build</t>
  </si>
  <si>
    <t>Binders Money</t>
  </si>
  <si>
    <t>Art Wall</t>
  </si>
  <si>
    <t>Storage Listen</t>
  </si>
  <si>
    <t>Accessories Series</t>
  </si>
  <si>
    <t>Tables Answer</t>
  </si>
  <si>
    <t>Binders Help</t>
  </si>
  <si>
    <t>Laptops Hit</t>
  </si>
  <si>
    <t>Accessories Board</t>
  </si>
  <si>
    <t>Tables All</t>
  </si>
  <si>
    <t>Art Eat</t>
  </si>
  <si>
    <t>Phones Major</t>
  </si>
  <si>
    <t>Binders Heart</t>
  </si>
  <si>
    <t>Storage Age</t>
  </si>
  <si>
    <t>Chairs State</t>
  </si>
  <si>
    <t>Art Away</t>
  </si>
  <si>
    <t>Storage Teach</t>
  </si>
  <si>
    <t>Paper Action</t>
  </si>
  <si>
    <t>Accessories Mean</t>
  </si>
  <si>
    <t>Paper According</t>
  </si>
  <si>
    <t>Laptops Add</t>
  </si>
  <si>
    <t>Chairs Magazine</t>
  </si>
  <si>
    <t>Accessories Center</t>
  </si>
  <si>
    <t>Storage Century</t>
  </si>
  <si>
    <t>Tables Interesting</t>
  </si>
  <si>
    <t>Tables Everybody</t>
  </si>
  <si>
    <t>Storage Consumer</t>
  </si>
  <si>
    <t>Paper Let</t>
  </si>
  <si>
    <t>Art Do</t>
  </si>
  <si>
    <t>Art Professional</t>
  </si>
  <si>
    <t>Tables Rate</t>
  </si>
  <si>
    <t>Binders Determine</t>
  </si>
  <si>
    <t>Phones Clearly</t>
  </si>
  <si>
    <t>Art Form</t>
  </si>
  <si>
    <t>Binders Professional</t>
  </si>
  <si>
    <t>Laptops There</t>
  </si>
  <si>
    <t>Phones First</t>
  </si>
  <si>
    <t>Art Remember</t>
  </si>
  <si>
    <t>Chairs Have</t>
  </si>
  <si>
    <t>Chairs International</t>
  </si>
  <si>
    <t>Storage Young</t>
  </si>
  <si>
    <t>Phones Main</t>
  </si>
  <si>
    <t>Binders Company</t>
  </si>
  <si>
    <t>Laptops Note</t>
  </si>
  <si>
    <t>Accessories Me</t>
  </si>
  <si>
    <t>Tables Spend</t>
  </si>
  <si>
    <t>Storage Movement</t>
  </si>
  <si>
    <t>Storage Crime</t>
  </si>
  <si>
    <t>Tables Arrive</t>
  </si>
  <si>
    <t>Laptops Win</t>
  </si>
  <si>
    <t>Accessories Far</t>
  </si>
  <si>
    <t>Laptops Happy</t>
  </si>
  <si>
    <t>Phones Hotel</t>
  </si>
  <si>
    <t>Paper Gun</t>
  </si>
  <si>
    <t>Tables Fight</t>
  </si>
  <si>
    <t>Phones Throw</t>
  </si>
  <si>
    <t>Phones Campaign</t>
  </si>
  <si>
    <t>Storage Very</t>
  </si>
  <si>
    <t>Phones Enter</t>
  </si>
  <si>
    <t>Laptops Which</t>
  </si>
  <si>
    <t>Accessories Fund</t>
  </si>
  <si>
    <t>Phones Close</t>
  </si>
  <si>
    <t>Tables Appear</t>
  </si>
  <si>
    <t>Chairs Expect</t>
  </si>
  <si>
    <t>Binders Skin</t>
  </si>
  <si>
    <t>Accessories Spring</t>
  </si>
  <si>
    <t>Phones Cup</t>
  </si>
  <si>
    <t>Binders Relate</t>
  </si>
  <si>
    <t>Art Cut</t>
  </si>
  <si>
    <t>Tables While</t>
  </si>
  <si>
    <t>Storage Nothing</t>
  </si>
  <si>
    <t>Phones Indeed</t>
  </si>
  <si>
    <t>Art Later</t>
  </si>
  <si>
    <t>Chairs Tonight</t>
  </si>
  <si>
    <t>Accessories Everyone</t>
  </si>
  <si>
    <t>Tables Add</t>
  </si>
  <si>
    <t>Storage Style</t>
  </si>
  <si>
    <t>Phones While</t>
  </si>
  <si>
    <t>Accessories Sing</t>
  </si>
  <si>
    <t>Accessories Wrong</t>
  </si>
  <si>
    <t>Accessories Audience</t>
  </si>
  <si>
    <t>Phones Success</t>
  </si>
  <si>
    <t>Accessories Significant</t>
  </si>
  <si>
    <t>Laptops Candidate</t>
  </si>
  <si>
    <t>Phones Second</t>
  </si>
  <si>
    <t>Paper Bed</t>
  </si>
  <si>
    <t>Phones Particularly</t>
  </si>
  <si>
    <t>Tables Thousand</t>
  </si>
  <si>
    <t>Laptops Today</t>
  </si>
  <si>
    <t>Storage Him</t>
  </si>
  <si>
    <t>Storage Staff</t>
  </si>
  <si>
    <t>Binders Whether</t>
  </si>
  <si>
    <t>Tables Sister</t>
  </si>
  <si>
    <t>Storage Maintain</t>
  </si>
  <si>
    <t>Chairs Art</t>
  </si>
  <si>
    <t>Paper Poor</t>
  </si>
  <si>
    <t>Accessories Here</t>
  </si>
  <si>
    <t>Chairs Fund</t>
  </si>
  <si>
    <t>Storage None</t>
  </si>
  <si>
    <t>Accessories Worker</t>
  </si>
  <si>
    <t>Paper Cut</t>
  </si>
  <si>
    <t>Paper Why</t>
  </si>
  <si>
    <t>Binders Before</t>
  </si>
  <si>
    <t>Tables Bring</t>
  </si>
  <si>
    <t>Phones Must</t>
  </si>
  <si>
    <t>Paper Mother</t>
  </si>
  <si>
    <t>Tables See</t>
  </si>
  <si>
    <t>Art Opportunity</t>
  </si>
  <si>
    <t>Art Computer</t>
  </si>
  <si>
    <t>Art Goal</t>
  </si>
  <si>
    <t>Laptops Of</t>
  </si>
  <si>
    <t>Binders Three</t>
  </si>
  <si>
    <t>Laptops Impact</t>
  </si>
  <si>
    <t>Storage Throughout</t>
  </si>
  <si>
    <t>Phones Politics</t>
  </si>
  <si>
    <t>Binders Behind</t>
  </si>
  <si>
    <t>Tables Resource</t>
  </si>
  <si>
    <t>Laptops Company</t>
  </si>
  <si>
    <t>Binders Tax</t>
  </si>
  <si>
    <t>Tables Home</t>
  </si>
  <si>
    <t>Tables There</t>
  </si>
  <si>
    <t>Chairs Generation</t>
  </si>
  <si>
    <t>Storage Four</t>
  </si>
  <si>
    <t>Phones Evening</t>
  </si>
  <si>
    <t>Accessories Even</t>
  </si>
  <si>
    <t>Phones Four</t>
  </si>
  <si>
    <t>Phones Plant</t>
  </si>
  <si>
    <t>Laptops If</t>
  </si>
  <si>
    <t>Storage Impact</t>
  </si>
  <si>
    <t>Laptops Economic</t>
  </si>
  <si>
    <t>Art We</t>
  </si>
  <si>
    <t>Chairs Man</t>
  </si>
  <si>
    <t>Tables Prepare</t>
  </si>
  <si>
    <t>Storage Statement</t>
  </si>
  <si>
    <t>Accessories Analysis</t>
  </si>
  <si>
    <t>Art Surface</t>
  </si>
  <si>
    <t>Art Then</t>
  </si>
  <si>
    <t>Accessories System</t>
  </si>
  <si>
    <t>Art Population</t>
  </si>
  <si>
    <t>Accessories Buy</t>
  </si>
  <si>
    <t>Chairs Each</t>
  </si>
  <si>
    <t>Binders Join</t>
  </si>
  <si>
    <t>Chairs Fish</t>
  </si>
  <si>
    <t>Phones Keep</t>
  </si>
  <si>
    <t>Chairs Determine</t>
  </si>
  <si>
    <t>Chairs Television</t>
  </si>
  <si>
    <t>Accessories Mention</t>
  </si>
  <si>
    <t>Laptops Deal</t>
  </si>
  <si>
    <t>Storage I</t>
  </si>
  <si>
    <t>Phones Doctor</t>
  </si>
  <si>
    <t>Phones Professional</t>
  </si>
  <si>
    <t>Paper Story</t>
  </si>
  <si>
    <t>Laptops Perhaps</t>
  </si>
  <si>
    <t>Storage Difficult</t>
  </si>
  <si>
    <t>Storage Eye</t>
  </si>
  <si>
    <t>Binders Concern</t>
  </si>
  <si>
    <t>Phones There</t>
  </si>
  <si>
    <t>Binders Hope</t>
  </si>
  <si>
    <t>Chairs Line</t>
  </si>
  <si>
    <t>Art House</t>
  </si>
  <si>
    <t>Storage Manager</t>
  </si>
  <si>
    <t>Binders Black</t>
  </si>
  <si>
    <t>Phones Majority</t>
  </si>
  <si>
    <t>Accessories Rather</t>
  </si>
  <si>
    <t>Paper Kind</t>
  </si>
  <si>
    <t>Art Step</t>
  </si>
  <si>
    <t>Laptops Window</t>
  </si>
  <si>
    <t>Laptops Strong</t>
  </si>
  <si>
    <t>Art Return</t>
  </si>
  <si>
    <t>Chairs Share</t>
  </si>
  <si>
    <t>Tables Unit</t>
  </si>
  <si>
    <t>Storage Choose</t>
  </si>
  <si>
    <t>Art Interest</t>
  </si>
  <si>
    <t>Laptops Gas</t>
  </si>
  <si>
    <t>Paper When</t>
  </si>
  <si>
    <t>Art Summer</t>
  </si>
  <si>
    <t>Storage Clearly</t>
  </si>
  <si>
    <t>Laptops Million</t>
  </si>
  <si>
    <t>Chairs Base</t>
  </si>
  <si>
    <t>Storage Strong</t>
  </si>
  <si>
    <t>Storage Cause</t>
  </si>
  <si>
    <t>Storage Kind</t>
  </si>
  <si>
    <t>Laptops Light</t>
  </si>
  <si>
    <t>Binders Sense</t>
  </si>
  <si>
    <t>Binders Garden</t>
  </si>
  <si>
    <t>Storage Test</t>
  </si>
  <si>
    <t>Art Coach</t>
  </si>
  <si>
    <t>Paper Rather</t>
  </si>
  <si>
    <t>Art Reflect</t>
  </si>
  <si>
    <t>Accessories Table</t>
  </si>
  <si>
    <t>Accessories Boy</t>
  </si>
  <si>
    <t>Laptops Study</t>
  </si>
  <si>
    <t>Storage Meet</t>
  </si>
  <si>
    <t>Phones Involve</t>
  </si>
  <si>
    <t>Accessories Why</t>
  </si>
  <si>
    <t>Art Poor</t>
  </si>
  <si>
    <t>Tables Like</t>
  </si>
  <si>
    <t>Art Entire</t>
  </si>
  <si>
    <t>Laptops Myself</t>
  </si>
  <si>
    <t>Binders Forward</t>
  </si>
  <si>
    <t>Binders Able</t>
  </si>
  <si>
    <t>Binders Happen</t>
  </si>
  <si>
    <t>Storage Admit</t>
  </si>
  <si>
    <t>Paper World</t>
  </si>
  <si>
    <t>Phones Fill</t>
  </si>
  <si>
    <t>Art Physical</t>
  </si>
  <si>
    <t>Art Involve</t>
  </si>
  <si>
    <t>Chairs Together</t>
  </si>
  <si>
    <t>Tables True</t>
  </si>
  <si>
    <t>Paper Concern</t>
  </si>
  <si>
    <t>Binders Very</t>
  </si>
  <si>
    <t>Tables Someone</t>
  </si>
  <si>
    <t>Chairs Bed</t>
  </si>
  <si>
    <t>Phones Thought</t>
  </si>
  <si>
    <t>Accessories Part</t>
  </si>
  <si>
    <t>Chairs Rule</t>
  </si>
  <si>
    <t>Art Son</t>
  </si>
  <si>
    <t>Binders Final</t>
  </si>
  <si>
    <t>Accessories Movie</t>
  </si>
  <si>
    <t>Paper Reflect</t>
  </si>
  <si>
    <t>Laptops Product</t>
  </si>
  <si>
    <t>Paper Wish</t>
  </si>
  <si>
    <t>Chairs Stop</t>
  </si>
  <si>
    <t>Tables Ground</t>
  </si>
  <si>
    <t>Phones Successful</t>
  </si>
  <si>
    <t>Phones Common</t>
  </si>
  <si>
    <t>Storage Grow</t>
  </si>
  <si>
    <t>Art Hand</t>
  </si>
  <si>
    <t>Chairs Admit</t>
  </si>
  <si>
    <t>Binders Of</t>
  </si>
  <si>
    <t>Paper Research</t>
  </si>
  <si>
    <t>Storage Recognize</t>
  </si>
  <si>
    <t>Phones Break</t>
  </si>
  <si>
    <t>Laptops Someone</t>
  </si>
  <si>
    <t>Art Stock</t>
  </si>
  <si>
    <t>Chairs Key</t>
  </si>
  <si>
    <t>Storage Describe</t>
  </si>
  <si>
    <t>Phones Memory</t>
  </si>
  <si>
    <t>Art Open</t>
  </si>
  <si>
    <t>Art Material</t>
  </si>
  <si>
    <t>Chairs National</t>
  </si>
  <si>
    <t>Art Someone</t>
  </si>
  <si>
    <t>Paper Water</t>
  </si>
  <si>
    <t>Chairs Church</t>
  </si>
  <si>
    <t>Paper Technology</t>
  </si>
  <si>
    <t>Art Political</t>
  </si>
  <si>
    <t>Storage There</t>
  </si>
  <si>
    <t>Laptops Matter</t>
  </si>
  <si>
    <t>Tables Most</t>
  </si>
  <si>
    <t>Storage Stand</t>
  </si>
  <si>
    <t>Laptops Sometimes</t>
  </si>
  <si>
    <t>Tables Game</t>
  </si>
  <si>
    <t>Paper Final</t>
  </si>
  <si>
    <t>Paper Tonight</t>
  </si>
  <si>
    <t>Binders Spend</t>
  </si>
  <si>
    <t>Paper About</t>
  </si>
  <si>
    <t>Storage Pretty</t>
  </si>
  <si>
    <t>Binders Wish</t>
  </si>
  <si>
    <t>Paper Clear</t>
  </si>
  <si>
    <t>Phones Goal</t>
  </si>
  <si>
    <t>Laptops From</t>
  </si>
  <si>
    <t>Binders Husband</t>
  </si>
  <si>
    <t>Paper Charge</t>
  </si>
  <si>
    <t>Storage Out</t>
  </si>
  <si>
    <t>Art Rise</t>
  </si>
  <si>
    <t>Storage Matter</t>
  </si>
  <si>
    <t>Tables Number</t>
  </si>
  <si>
    <t>Binders Small</t>
  </si>
  <si>
    <t>Storage Life</t>
  </si>
  <si>
    <t>Binders Drop</t>
  </si>
  <si>
    <t>Laptops Analysis</t>
  </si>
  <si>
    <t>Chairs Through</t>
  </si>
  <si>
    <t>Laptops Home</t>
  </si>
  <si>
    <t>Phones Against</t>
  </si>
  <si>
    <t>Phones Or</t>
  </si>
  <si>
    <t>Art Big</t>
  </si>
  <si>
    <t>Storage Address</t>
  </si>
  <si>
    <t>Tables Today</t>
  </si>
  <si>
    <t>Tables Movement</t>
  </si>
  <si>
    <t>Binders Already</t>
  </si>
  <si>
    <t>Chairs Local</t>
  </si>
  <si>
    <t>Binders Notice</t>
  </si>
  <si>
    <t>Laptops Bill</t>
  </si>
  <si>
    <t>Art Clearly</t>
  </si>
  <si>
    <t>Accessories Drug</t>
  </si>
  <si>
    <t>Chairs Deep</t>
  </si>
  <si>
    <t>Chairs Because</t>
  </si>
  <si>
    <t>Tables New</t>
  </si>
  <si>
    <t>Accessories Author</t>
  </si>
  <si>
    <t>Binders Either</t>
  </si>
  <si>
    <t>Paper Guy</t>
  </si>
  <si>
    <t>Paper Dark</t>
  </si>
  <si>
    <t>Tables Part</t>
  </si>
  <si>
    <t>Binders Keep</t>
  </si>
  <si>
    <t>Accessories Already</t>
  </si>
  <si>
    <t>Accessories Song</t>
  </si>
  <si>
    <t>Paper Information</t>
  </si>
  <si>
    <t>Paper Art</t>
  </si>
  <si>
    <t>Storage At</t>
  </si>
  <si>
    <t>Paper Anything</t>
  </si>
  <si>
    <t>Chairs Treatment</t>
  </si>
  <si>
    <t>Chairs Knowledge</t>
  </si>
  <si>
    <t>Laptops Occur</t>
  </si>
  <si>
    <t>Art May</t>
  </si>
  <si>
    <t>Storage Help</t>
  </si>
  <si>
    <t>Phones Seat</t>
  </si>
  <si>
    <t>Art Woman</t>
  </si>
  <si>
    <t>Chairs Me</t>
  </si>
  <si>
    <t>Storage Eight</t>
  </si>
  <si>
    <t>Art Radio</t>
  </si>
  <si>
    <t>Tables Memory</t>
  </si>
  <si>
    <t>Binders Civil</t>
  </si>
  <si>
    <t>Art Your</t>
  </si>
  <si>
    <t>Tables If</t>
  </si>
  <si>
    <t>Phones Above</t>
  </si>
  <si>
    <t>Storage They</t>
  </si>
  <si>
    <t>Tables Occur</t>
  </si>
  <si>
    <t>Phones Woman</t>
  </si>
  <si>
    <t>Laptops Your</t>
  </si>
  <si>
    <t>Tables Approach</t>
  </si>
  <si>
    <t>Paper Worker</t>
  </si>
  <si>
    <t>Paper Six</t>
  </si>
  <si>
    <t>Storage Then</t>
  </si>
  <si>
    <t>Storage Bed</t>
  </si>
  <si>
    <t>Storage Plant</t>
  </si>
  <si>
    <t>Laptops Boy</t>
  </si>
  <si>
    <t>Art Arrive</t>
  </si>
  <si>
    <t>Laptops Week</t>
  </si>
  <si>
    <t>Tables Treatment</t>
  </si>
  <si>
    <t>Paper Production</t>
  </si>
  <si>
    <t>Binders Name</t>
  </si>
  <si>
    <t>Paper Her</t>
  </si>
  <si>
    <t>Tables Action</t>
  </si>
  <si>
    <t>Tables Meet</t>
  </si>
  <si>
    <t>Phones Job</t>
  </si>
  <si>
    <t>Phones Instead</t>
  </si>
  <si>
    <t>Accessories Someone</t>
  </si>
  <si>
    <t>Art Best</t>
  </si>
  <si>
    <t>Tables Affect</t>
  </si>
  <si>
    <t>Storage People</t>
  </si>
  <si>
    <t>Art Certainly</t>
  </si>
  <si>
    <t>Phones Skin</t>
  </si>
  <si>
    <t>Laptops Science</t>
  </si>
  <si>
    <t>Phones Artist</t>
  </si>
  <si>
    <t>Phones Skill</t>
  </si>
  <si>
    <t>Storage Hour</t>
  </si>
  <si>
    <t>Laptops That</t>
  </si>
  <si>
    <t>Accessories Structure</t>
  </si>
  <si>
    <t>Laptops Above</t>
  </si>
  <si>
    <t>Chairs Ahead</t>
  </si>
  <si>
    <t>Phones West</t>
  </si>
  <si>
    <t>Phones Loss</t>
  </si>
  <si>
    <t>Phones Forward</t>
  </si>
  <si>
    <t>Chairs Scene</t>
  </si>
  <si>
    <t>Accessories Heavy</t>
  </si>
  <si>
    <t>Laptops Politics</t>
  </si>
  <si>
    <t>Art Raise</t>
  </si>
  <si>
    <t>Tables He</t>
  </si>
  <si>
    <t>Laptops Sister</t>
  </si>
  <si>
    <t>Phones Heavy</t>
  </si>
  <si>
    <t>Laptops Story</t>
  </si>
  <si>
    <t>Accessories Account</t>
  </si>
  <si>
    <t>Paper Former</t>
  </si>
  <si>
    <t>Binders She</t>
  </si>
  <si>
    <t>Laptops While</t>
  </si>
  <si>
    <t>Accessories Apply</t>
  </si>
  <si>
    <t>Tables Use</t>
  </si>
  <si>
    <t>Storage Note</t>
  </si>
  <si>
    <t>Tables Brother</t>
  </si>
  <si>
    <t>Accessories Describe</t>
  </si>
  <si>
    <t>Accessories All</t>
  </si>
  <si>
    <t>Accessories Out</t>
  </si>
  <si>
    <t>Tables Relationship</t>
  </si>
  <si>
    <t>Storage Why</t>
  </si>
  <si>
    <t>Phones Right</t>
  </si>
  <si>
    <t>Binders Kid</t>
  </si>
  <si>
    <t>Laptops Garden</t>
  </si>
  <si>
    <t>Accessories Agent</t>
  </si>
  <si>
    <t>Accessories Treat</t>
  </si>
  <si>
    <t>Chairs Speech</t>
  </si>
  <si>
    <t>Phones Seven</t>
  </si>
  <si>
    <t>Accessories Nature</t>
  </si>
  <si>
    <t>Phones Manager</t>
  </si>
  <si>
    <t>Phones Case</t>
  </si>
  <si>
    <t>Binders Mission</t>
  </si>
  <si>
    <t>Binders Side</t>
  </si>
  <si>
    <t>Tables Address</t>
  </si>
  <si>
    <t>Storage Upon</t>
  </si>
  <si>
    <t>Paper Affect</t>
  </si>
  <si>
    <t>Tables Ask</t>
  </si>
  <si>
    <t>Art Pm</t>
  </si>
  <si>
    <t>Laptops So</t>
  </si>
  <si>
    <t>Art Yeah</t>
  </si>
  <si>
    <t>Accessories Wife</t>
  </si>
  <si>
    <t>Chairs Manage</t>
  </si>
  <si>
    <t>Laptops Agreement</t>
  </si>
  <si>
    <t>Phones Away</t>
  </si>
  <si>
    <t>Chairs Economic</t>
  </si>
  <si>
    <t>Phones Beyond</t>
  </si>
  <si>
    <t>Art Across</t>
  </si>
  <si>
    <t>Paper Suffer</t>
  </si>
  <si>
    <t>Laptops Quickly</t>
  </si>
  <si>
    <t>Chairs Strategy</t>
  </si>
  <si>
    <t>Storage Certainly</t>
  </si>
  <si>
    <t>Chairs Investment</t>
  </si>
  <si>
    <t>Storage Hand</t>
  </si>
  <si>
    <t>Art Work</t>
  </si>
  <si>
    <t>Phones Nice</t>
  </si>
  <si>
    <t>Paper Discuss</t>
  </si>
  <si>
    <t>Binders Certain</t>
  </si>
  <si>
    <t>Paper Friend</t>
  </si>
  <si>
    <t>Binders Democrat</t>
  </si>
  <si>
    <t>Binders Perform</t>
  </si>
  <si>
    <t>Laptops Expert</t>
  </si>
  <si>
    <t>Laptops Night</t>
  </si>
  <si>
    <t>Tables Speech</t>
  </si>
  <si>
    <t>Accessories Reflect</t>
  </si>
  <si>
    <t>Storage Born</t>
  </si>
  <si>
    <t>Accessories Scientist</t>
  </si>
  <si>
    <t>Phones Purpose</t>
  </si>
  <si>
    <t>Binders Career</t>
  </si>
  <si>
    <t>Chairs Southern</t>
  </si>
  <si>
    <t>Storage Where</t>
  </si>
  <si>
    <t>Storage Investment</t>
  </si>
  <si>
    <t>Binders Think</t>
  </si>
  <si>
    <t>Phones Investment</t>
  </si>
  <si>
    <t>Chairs Perhaps</t>
  </si>
  <si>
    <t>Storage Chair</t>
  </si>
  <si>
    <t>Chairs Wish</t>
  </si>
  <si>
    <t>Accessories Politics</t>
  </si>
  <si>
    <t>Tables Trial</t>
  </si>
  <si>
    <t>Art Window</t>
  </si>
  <si>
    <t>Phones Surface</t>
  </si>
  <si>
    <t>Storage Garden</t>
  </si>
  <si>
    <t>Art Help</t>
  </si>
  <si>
    <t>Laptops Gun</t>
  </si>
  <si>
    <t>Art Peace</t>
  </si>
  <si>
    <t>Paper Threat</t>
  </si>
  <si>
    <t>Accessories Network</t>
  </si>
  <si>
    <t>Tables Include</t>
  </si>
  <si>
    <t>Binders Imagine</t>
  </si>
  <si>
    <t>Accessories But</t>
  </si>
  <si>
    <t>Art Last</t>
  </si>
  <si>
    <t>Laptops Start</t>
  </si>
  <si>
    <t>Chairs Husband</t>
  </si>
  <si>
    <t>Laptops Because</t>
  </si>
  <si>
    <t>Binders Simple</t>
  </si>
  <si>
    <t>Binders A</t>
  </si>
  <si>
    <t>Storage Activity</t>
  </si>
  <si>
    <t>Art However</t>
  </si>
  <si>
    <t>Chairs Environmental</t>
  </si>
  <si>
    <t>Tables West</t>
  </si>
  <si>
    <t>Binders Result</t>
  </si>
  <si>
    <t>Phones Join</t>
  </si>
  <si>
    <t>Binders Personal</t>
  </si>
  <si>
    <t>Art Girl</t>
  </si>
  <si>
    <t>Chairs Stage</t>
  </si>
  <si>
    <t>Art Many</t>
  </si>
  <si>
    <t>Tables Success</t>
  </si>
  <si>
    <t>Storage Cut</t>
  </si>
  <si>
    <t>Storage Thank</t>
  </si>
  <si>
    <t>Accessories Season</t>
  </si>
  <si>
    <t>Chairs Heavy</t>
  </si>
  <si>
    <t>Laptops Nice</t>
  </si>
  <si>
    <t>Laptops You</t>
  </si>
  <si>
    <t>Tables Wrong</t>
  </si>
  <si>
    <t>Accessories Owner</t>
  </si>
  <si>
    <t>Paper Book</t>
  </si>
  <si>
    <t>Phones Project</t>
  </si>
  <si>
    <t>Art Staff</t>
  </si>
  <si>
    <t>Paper That</t>
  </si>
  <si>
    <t>Accessories Other</t>
  </si>
  <si>
    <t>Accessories Include</t>
  </si>
  <si>
    <t>Tables Age</t>
  </si>
  <si>
    <t>Phones Blood</t>
  </si>
  <si>
    <t>Laptops Professor</t>
  </si>
  <si>
    <t>Phones Certain</t>
  </si>
  <si>
    <t>Phones More</t>
  </si>
  <si>
    <t>Accessories Yet</t>
  </si>
  <si>
    <t>Storage Mention</t>
  </si>
  <si>
    <t>Art Difference</t>
  </si>
  <si>
    <t>Tables Media</t>
  </si>
  <si>
    <t>Chairs Remember</t>
  </si>
  <si>
    <t>Art Central</t>
  </si>
  <si>
    <t>Laptops What</t>
  </si>
  <si>
    <t>Art Affect</t>
  </si>
  <si>
    <t>Paper Return</t>
  </si>
  <si>
    <t>Art Fast</t>
  </si>
  <si>
    <t>Laptops Cup</t>
  </si>
  <si>
    <t>Laptops Magazine</t>
  </si>
  <si>
    <t>Storage Data</t>
  </si>
  <si>
    <t>Art Traditional</t>
  </si>
  <si>
    <t>Tables Within</t>
  </si>
  <si>
    <t>Binders Through</t>
  </si>
  <si>
    <t>Paper Newspaper</t>
  </si>
  <si>
    <t>Storage Series</t>
  </si>
  <si>
    <t>Storage Evening</t>
  </si>
  <si>
    <t>Paper In</t>
  </si>
  <si>
    <t>Art Only</t>
  </si>
  <si>
    <t>Paper Southern</t>
  </si>
  <si>
    <t>Art Able</t>
  </si>
  <si>
    <t>Art Production</t>
  </si>
  <si>
    <t>Chairs Weight</t>
  </si>
  <si>
    <t>Storage Discussion</t>
  </si>
  <si>
    <t>Accessories Assume</t>
  </si>
  <si>
    <t>Chairs Course</t>
  </si>
  <si>
    <t>Art In</t>
  </si>
  <si>
    <t>Art Certain</t>
  </si>
  <si>
    <t>Tables Write</t>
  </si>
  <si>
    <t>Phones Big</t>
  </si>
  <si>
    <t>Chairs Reach</t>
  </si>
  <si>
    <t>Phones Discover</t>
  </si>
  <si>
    <t>Chairs North</t>
  </si>
  <si>
    <t>Phones Southern</t>
  </si>
  <si>
    <t>Storage Citizen</t>
  </si>
  <si>
    <t>Chairs Buy</t>
  </si>
  <si>
    <t>Laptops Look</t>
  </si>
  <si>
    <t>Binders Economic</t>
  </si>
  <si>
    <t>Binders Sort</t>
  </si>
  <si>
    <t>Art Great</t>
  </si>
  <si>
    <t>Art Begin</t>
  </si>
  <si>
    <t>Storage Particular</t>
  </si>
  <si>
    <t>Chairs Able</t>
  </si>
  <si>
    <t>Laptops Could</t>
  </si>
  <si>
    <t>Chairs Democrat</t>
  </si>
  <si>
    <t>Tables Would</t>
  </si>
  <si>
    <t>Storage Someone</t>
  </si>
  <si>
    <t>Chairs System</t>
  </si>
  <si>
    <t>Binders Receive</t>
  </si>
  <si>
    <t>Accessories Floor</t>
  </si>
  <si>
    <t>Phones Power</t>
  </si>
  <si>
    <t>Accessories Amount</t>
  </si>
  <si>
    <t>Chairs Town</t>
  </si>
  <si>
    <t>Phones Court</t>
  </si>
  <si>
    <t>Storage Total</t>
  </si>
  <si>
    <t>Laptops Lot</t>
  </si>
  <si>
    <t>Art Sport</t>
  </si>
  <si>
    <t>Paper Pattern</t>
  </si>
  <si>
    <t>Laptops Shoulder</t>
  </si>
  <si>
    <t>Accessories Month</t>
  </si>
  <si>
    <t>Phones Option</t>
  </si>
  <si>
    <t>Art Out</t>
  </si>
  <si>
    <t>Accessories Little</t>
  </si>
  <si>
    <t>Accessories Like</t>
  </si>
  <si>
    <t>Storage Traditional</t>
  </si>
  <si>
    <t>Storage Accept</t>
  </si>
  <si>
    <t>Phones Real</t>
  </si>
  <si>
    <t>Tables Your</t>
  </si>
  <si>
    <t>Chairs Her</t>
  </si>
  <si>
    <t>Chairs Face</t>
  </si>
  <si>
    <t>Paper Big</t>
  </si>
  <si>
    <t>Binders Low</t>
  </si>
  <si>
    <t>Chairs Clear</t>
  </si>
  <si>
    <t>Storage Visit</t>
  </si>
  <si>
    <t>Tables Lead</t>
  </si>
  <si>
    <t>Phones Create</t>
  </si>
  <si>
    <t>Art Low</t>
  </si>
  <si>
    <t>Accessories Role</t>
  </si>
  <si>
    <t>Chairs On</t>
  </si>
  <si>
    <t>Storage Third</t>
  </si>
  <si>
    <t>Accessories Across</t>
  </si>
  <si>
    <t>Tables Sell</t>
  </si>
  <si>
    <t>Chairs Computer</t>
  </si>
  <si>
    <t>Storage Picture</t>
  </si>
  <si>
    <t>Laptops Record</t>
  </si>
  <si>
    <t>Accessories Yourself</t>
  </si>
  <si>
    <t>Chairs Enter</t>
  </si>
  <si>
    <t>Art Either</t>
  </si>
  <si>
    <t>Chairs Show</t>
  </si>
  <si>
    <t>Art Old</t>
  </si>
  <si>
    <t>Laptops Account</t>
  </si>
  <si>
    <t>Tables Much</t>
  </si>
  <si>
    <t>Art Recognize</t>
  </si>
  <si>
    <t>Chairs Choice</t>
  </si>
  <si>
    <t>Accessories Piece</t>
  </si>
  <si>
    <t>Binders Mrs</t>
  </si>
  <si>
    <t>Storage Weight</t>
  </si>
  <si>
    <t>Paper News</t>
  </si>
  <si>
    <t>Binders Also</t>
  </si>
  <si>
    <t>Tables Offer</t>
  </si>
  <si>
    <t>Binders Else</t>
  </si>
  <si>
    <t>Binders Treat</t>
  </si>
  <si>
    <t>Storage Threat</t>
  </si>
  <si>
    <t>Chairs Performance</t>
  </si>
  <si>
    <t>Laptops The</t>
  </si>
  <si>
    <t>Accessories National</t>
  </si>
  <si>
    <t>Tables News</t>
  </si>
  <si>
    <t>Paper Over</t>
  </si>
  <si>
    <t>Chairs Product</t>
  </si>
  <si>
    <t>Chairs Yeah</t>
  </si>
  <si>
    <t>Art Community</t>
  </si>
  <si>
    <t>Laptops Ever</t>
  </si>
  <si>
    <t>Paper Look</t>
  </si>
  <si>
    <t>Storage Ask</t>
  </si>
  <si>
    <t>Binders Half</t>
  </si>
  <si>
    <t>Storage Decade</t>
  </si>
  <si>
    <t>Accessories Live</t>
  </si>
  <si>
    <t>Phones Oil</t>
  </si>
  <si>
    <t>Tables Among</t>
  </si>
  <si>
    <t>Tables Break</t>
  </si>
  <si>
    <t>Phones Owner</t>
  </si>
  <si>
    <t>Laptops Age</t>
  </si>
  <si>
    <t>Binders Anything</t>
  </si>
  <si>
    <t>Storage Treat</t>
  </si>
  <si>
    <t>Phones Performance</t>
  </si>
  <si>
    <t>Accessories Mr</t>
  </si>
  <si>
    <t>Art Space</t>
  </si>
  <si>
    <t>Binders Long</t>
  </si>
  <si>
    <t>Laptops Certainly</t>
  </si>
  <si>
    <t>Paper Run</t>
  </si>
  <si>
    <t>Phones Floor</t>
  </si>
  <si>
    <t>Tables Such</t>
  </si>
  <si>
    <t>Laptops Tv</t>
  </si>
  <si>
    <t>Storage Many</t>
  </si>
  <si>
    <t>Chairs Two</t>
  </si>
  <si>
    <t>Storage Field</t>
  </si>
  <si>
    <t>Laptops Individual</t>
  </si>
  <si>
    <t>Paper Fly</t>
  </si>
  <si>
    <t>Art Party</t>
  </si>
  <si>
    <t>Tables Itself</t>
  </si>
  <si>
    <t>Tables Better</t>
  </si>
  <si>
    <t>Phones Sit</t>
  </si>
  <si>
    <t>Tables Fast</t>
  </si>
  <si>
    <t>Storage Center</t>
  </si>
  <si>
    <t>Chairs Light</t>
  </si>
  <si>
    <t>Accessories Organization</t>
  </si>
  <si>
    <t>Tables Risk</t>
  </si>
  <si>
    <t>Chairs Start</t>
  </si>
  <si>
    <t>Accessories Natural</t>
  </si>
  <si>
    <t>Art Reality</t>
  </si>
  <si>
    <t>Tables Prove</t>
  </si>
  <si>
    <t>Accessories Cut</t>
  </si>
  <si>
    <t>Art Economic</t>
  </si>
  <si>
    <t>Accessories Thus</t>
  </si>
  <si>
    <t>Storage Adult</t>
  </si>
  <si>
    <t>Tables Detail</t>
  </si>
  <si>
    <t>Binders Carry</t>
  </si>
  <si>
    <t>Paper Top</t>
  </si>
  <si>
    <t>Laptops Security</t>
  </si>
  <si>
    <t>Paper Beyond</t>
  </si>
  <si>
    <t>Tables Manage</t>
  </si>
  <si>
    <t>Art Stuff</t>
  </si>
  <si>
    <t>Accessories Area</t>
  </si>
  <si>
    <t>Paper Everybody</t>
  </si>
  <si>
    <t>Paper Machine</t>
  </si>
  <si>
    <t>Binders Area</t>
  </si>
  <si>
    <t>Storage First</t>
  </si>
  <si>
    <t>Binders Suggest</t>
  </si>
  <si>
    <t>Laptops Five</t>
  </si>
  <si>
    <t>Chairs Entire</t>
  </si>
  <si>
    <t>Laptops Sound</t>
  </si>
  <si>
    <t>Art Fact</t>
  </si>
  <si>
    <t>Paper Draw</t>
  </si>
  <si>
    <t>Paper Company</t>
  </si>
  <si>
    <t>Tables Democratic</t>
  </si>
  <si>
    <t>Phones Everyone</t>
  </si>
  <si>
    <t>Paper Require</t>
  </si>
  <si>
    <t>Accessories Rock</t>
  </si>
  <si>
    <t>Phones Forget</t>
  </si>
  <si>
    <t>Chairs East</t>
  </si>
  <si>
    <t>Phones Suggest</t>
  </si>
  <si>
    <t>Binders Significant</t>
  </si>
  <si>
    <t>Laptops Difficult</t>
  </si>
  <si>
    <t>Paper Mind</t>
  </si>
  <si>
    <t>Storage Affect</t>
  </si>
  <si>
    <t>Art Once</t>
  </si>
  <si>
    <t>Phones Serve</t>
  </si>
  <si>
    <t>Tables Fact</t>
  </si>
  <si>
    <t>Binders However</t>
  </si>
  <si>
    <t>Binders Who</t>
  </si>
  <si>
    <t>Binders Value</t>
  </si>
  <si>
    <t>Storage Best</t>
  </si>
  <si>
    <t>Phones Better</t>
  </si>
  <si>
    <t>Chairs For</t>
  </si>
  <si>
    <t>Chairs Example</t>
  </si>
  <si>
    <t>Accessories Imagine</t>
  </si>
  <si>
    <t>Storage Southern</t>
  </si>
  <si>
    <t>Laptops Through</t>
  </si>
  <si>
    <t>Laptops Sense</t>
  </si>
  <si>
    <t>Tables Edge</t>
  </si>
  <si>
    <t>Paper Cold</t>
  </si>
  <si>
    <t>Art Close</t>
  </si>
  <si>
    <t>Chairs Doctor</t>
  </si>
  <si>
    <t>Storage Political</t>
  </si>
  <si>
    <t>Paper Imagine</t>
  </si>
  <si>
    <t>Accessories Clearly</t>
  </si>
  <si>
    <t>Laptops Be</t>
  </si>
  <si>
    <t>Storage However</t>
  </si>
  <si>
    <t>Paper Smile</t>
  </si>
  <si>
    <t>Binders Medical</t>
  </si>
  <si>
    <t>Art Capital</t>
  </si>
  <si>
    <t>Art Particular</t>
  </si>
  <si>
    <t>Tables Season</t>
  </si>
  <si>
    <t>Tables Social</t>
  </si>
  <si>
    <t>Binders Serve</t>
  </si>
  <si>
    <t>Phones Assume</t>
  </si>
  <si>
    <t>Tables Mission</t>
  </si>
  <si>
    <t>Accessories Draw</t>
  </si>
  <si>
    <t>Storage Should</t>
  </si>
  <si>
    <t>Accessories Interest</t>
  </si>
  <si>
    <t>Paper Coach</t>
  </si>
  <si>
    <t>Phones Over</t>
  </si>
  <si>
    <t>Laptops Trade</t>
  </si>
  <si>
    <t>Art Business</t>
  </si>
  <si>
    <t>Binders Item</t>
  </si>
  <si>
    <t>Chairs President</t>
  </si>
  <si>
    <t>Art Require</t>
  </si>
  <si>
    <t>Tables Whose</t>
  </si>
  <si>
    <t>Chairs Region</t>
  </si>
  <si>
    <t>Storage Into</t>
  </si>
  <si>
    <t>Laptops Teacher</t>
  </si>
  <si>
    <t>Binders Form</t>
  </si>
  <si>
    <t>Chairs Than</t>
  </si>
  <si>
    <t>Storage Next</t>
  </si>
  <si>
    <t>Accessories Glass</t>
  </si>
  <si>
    <t>Laptops Fly</t>
  </si>
  <si>
    <t>Tables Forward</t>
  </si>
  <si>
    <t>Laptops Parent</t>
  </si>
  <si>
    <t>Binders Region</t>
  </si>
  <si>
    <t>Tables Two</t>
  </si>
  <si>
    <t>Storage Fly</t>
  </si>
  <si>
    <t>Chairs Table</t>
  </si>
  <si>
    <t>Phones Push</t>
  </si>
  <si>
    <t>Phones News</t>
  </si>
  <si>
    <t>Accessories Trouble</t>
  </si>
  <si>
    <t>Storage Deal</t>
  </si>
  <si>
    <t>Binders Guess</t>
  </si>
  <si>
    <t>Laptops Whole</t>
  </si>
  <si>
    <t>Tables Yard</t>
  </si>
  <si>
    <t>Accessories Help</t>
  </si>
  <si>
    <t>Paper She</t>
  </si>
  <si>
    <t>Accessories Special</t>
  </si>
  <si>
    <t>Binders Throw</t>
  </si>
  <si>
    <t>Phones Include</t>
  </si>
  <si>
    <t>Binders Eye</t>
  </si>
  <si>
    <t>Laptops Lay</t>
  </si>
  <si>
    <t>Paper Color</t>
  </si>
  <si>
    <t>Chairs College</t>
  </si>
  <si>
    <t>Chairs Traditional</t>
  </si>
  <si>
    <t>Paper Little</t>
  </si>
  <si>
    <t>Binders Several</t>
  </si>
  <si>
    <t>Storage Return</t>
  </si>
  <si>
    <t>Storage Effort</t>
  </si>
  <si>
    <t>Art Scientist</t>
  </si>
  <si>
    <t>Binders Anyone</t>
  </si>
  <si>
    <t>Tables By</t>
  </si>
  <si>
    <t>Art Toward</t>
  </si>
  <si>
    <t>Laptops Up</t>
  </si>
  <si>
    <t>Phones Will</t>
  </si>
  <si>
    <t>Tables Federal</t>
  </si>
  <si>
    <t>Phones Stage</t>
  </si>
  <si>
    <t>Chairs Fly</t>
  </si>
  <si>
    <t>Tables Couple</t>
  </si>
  <si>
    <t>Tables Sign</t>
  </si>
  <si>
    <t>Art Continue</t>
  </si>
  <si>
    <t>Storage Yourself</t>
  </si>
  <si>
    <t>Binders In</t>
  </si>
  <si>
    <t>Art According</t>
  </si>
  <si>
    <t>Art Report</t>
  </si>
  <si>
    <t>Storage Page</t>
  </si>
  <si>
    <t>Tables Country</t>
  </si>
  <si>
    <t>Storage Few</t>
  </si>
  <si>
    <t>Binders While</t>
  </si>
  <si>
    <t>Phones Everything</t>
  </si>
  <si>
    <t>Tables About</t>
  </si>
  <si>
    <t>Binders For</t>
  </si>
  <si>
    <t>Binders Loss</t>
  </si>
  <si>
    <t>Tables Bill</t>
  </si>
  <si>
    <t>Art Deep</t>
  </si>
  <si>
    <t>Art Before</t>
  </si>
  <si>
    <t>Phones Rest</t>
  </si>
  <si>
    <t>Binders Defense</t>
  </si>
  <si>
    <t>Tables Seat</t>
  </si>
  <si>
    <t>Phones Late</t>
  </si>
  <si>
    <t>Accessories Bag</t>
  </si>
  <si>
    <t>Binders Grow</t>
  </si>
  <si>
    <t>Tables Local</t>
  </si>
  <si>
    <t>Tables Able</t>
  </si>
  <si>
    <t>Tables Smile</t>
  </si>
  <si>
    <t>Laptops My</t>
  </si>
  <si>
    <t>Accessories Else</t>
  </si>
  <si>
    <t>Accessories Head</t>
  </si>
  <si>
    <t>Art History</t>
  </si>
  <si>
    <t>Binders Truth</t>
  </si>
  <si>
    <t>Laptops North</t>
  </si>
  <si>
    <t>Storage Wait</t>
  </si>
  <si>
    <t>Tables Court</t>
  </si>
  <si>
    <t>Paper Simple</t>
  </si>
  <si>
    <t>Chairs Improve</t>
  </si>
  <si>
    <t>Art Boy</t>
  </si>
  <si>
    <t>Storage Defense</t>
  </si>
  <si>
    <t>Chairs Pattern</t>
  </si>
  <si>
    <t>Chairs Practice</t>
  </si>
  <si>
    <t>Accessories Wind</t>
  </si>
  <si>
    <t>Chairs Wrong</t>
  </si>
  <si>
    <t>Paper Notice</t>
  </si>
  <si>
    <t>Paper Heavy</t>
  </si>
  <si>
    <t>Paper Cover</t>
  </si>
  <si>
    <t>Phones Mother</t>
  </si>
  <si>
    <t>Chairs Significant</t>
  </si>
  <si>
    <t>Tables Large</t>
  </si>
  <si>
    <t>Storage Short</t>
  </si>
  <si>
    <t>Laptops Available</t>
  </si>
  <si>
    <t>Chairs Cut</t>
  </si>
  <si>
    <t>Accessories Join</t>
  </si>
  <si>
    <t>Phones Newspaper</t>
  </si>
  <si>
    <t>Paper Defense</t>
  </si>
  <si>
    <t>Laptops System</t>
  </si>
  <si>
    <t>Storage Majority</t>
  </si>
  <si>
    <t>Phones Risk</t>
  </si>
  <si>
    <t>Laptops Sure</t>
  </si>
  <si>
    <t>Accessories Off</t>
  </si>
  <si>
    <t>Accessories Thank</t>
  </si>
  <si>
    <t>Art Cover</t>
  </si>
  <si>
    <t>Phones Wide</t>
  </si>
  <si>
    <t>Storage Successful</t>
  </si>
  <si>
    <t>Phones At</t>
  </si>
  <si>
    <t>Binders Continue</t>
  </si>
  <si>
    <t>Tables Left</t>
  </si>
  <si>
    <t>Storage Share</t>
  </si>
  <si>
    <t>Phones Heart</t>
  </si>
  <si>
    <t>Binders Science</t>
  </si>
  <si>
    <t>Paper Staff</t>
  </si>
  <si>
    <t>Art Thus</t>
  </si>
  <si>
    <t>Phones Reflect</t>
  </si>
  <si>
    <t>Laptops Last</t>
  </si>
  <si>
    <t>Accessories Week</t>
  </si>
  <si>
    <t>Laptops Adult</t>
  </si>
  <si>
    <t>Tables Soldier</t>
  </si>
  <si>
    <t>Art Theory</t>
  </si>
  <si>
    <t>Laptops Concern</t>
  </si>
  <si>
    <t>Accessories Discuss</t>
  </si>
  <si>
    <t>Laptops Use</t>
  </si>
  <si>
    <t>Storage Medical</t>
  </si>
  <si>
    <t>Tables Nature</t>
  </si>
  <si>
    <t>Tables Every</t>
  </si>
  <si>
    <t>Chairs Wide</t>
  </si>
  <si>
    <t>Chairs Chance</t>
  </si>
  <si>
    <t>Paper Store</t>
  </si>
  <si>
    <t>Laptops Summer</t>
  </si>
  <si>
    <t>Accessories Within</t>
  </si>
  <si>
    <t>Tables Child</t>
  </si>
  <si>
    <t>Laptops East</t>
  </si>
  <si>
    <t>Paper Word</t>
  </si>
  <si>
    <t>Paper Anyone</t>
  </si>
  <si>
    <t>Chairs Loss</t>
  </si>
  <si>
    <t>Phones Force</t>
  </si>
  <si>
    <t>Accessories Road</t>
  </si>
  <si>
    <t>Laptops Down</t>
  </si>
  <si>
    <t>Storage Fish</t>
  </si>
  <si>
    <t>Accessories See</t>
  </si>
  <si>
    <t>Paper Drive</t>
  </si>
  <si>
    <t>Tables Surface</t>
  </si>
  <si>
    <t>Accessories Dog</t>
  </si>
  <si>
    <t>Tables Partner</t>
  </si>
  <si>
    <t>Paper Business</t>
  </si>
  <si>
    <t>Laptops Expect</t>
  </si>
  <si>
    <t>Chairs Wall</t>
  </si>
  <si>
    <t>Tables Beyond</t>
  </si>
  <si>
    <t>Laptops Term</t>
  </si>
  <si>
    <t>Binders Accept</t>
  </si>
  <si>
    <t>Chairs Under</t>
  </si>
  <si>
    <t>Laptops Image</t>
  </si>
  <si>
    <t>Chairs Drive</t>
  </si>
  <si>
    <t>Laptops And</t>
  </si>
  <si>
    <t>Tables Note</t>
  </si>
  <si>
    <t>Binders Do</t>
  </si>
  <si>
    <t>Chairs Learn</t>
  </si>
  <si>
    <t>Paper More</t>
  </si>
  <si>
    <t>Chairs Lay</t>
  </si>
  <si>
    <t>Binders Themselves</t>
  </si>
  <si>
    <t>Tables These</t>
  </si>
  <si>
    <t>Phones Sister</t>
  </si>
  <si>
    <t>Chairs Let</t>
  </si>
  <si>
    <t>Phones But</t>
  </si>
  <si>
    <t>Tables Happy</t>
  </si>
  <si>
    <t>Phones Base</t>
  </si>
  <si>
    <t>Phones Ask</t>
  </si>
  <si>
    <t>Phones Similar</t>
  </si>
  <si>
    <t>Binders Read</t>
  </si>
  <si>
    <t>Phones Exactly</t>
  </si>
  <si>
    <t>Chairs Large</t>
  </si>
  <si>
    <t>Art Type</t>
  </si>
  <si>
    <t>Art Artist</t>
  </si>
  <si>
    <t>Phones Appear</t>
  </si>
  <si>
    <t>Art Local</t>
  </si>
  <si>
    <t>Art Three</t>
  </si>
  <si>
    <t>Art Market</t>
  </si>
  <si>
    <t>Storage Myself</t>
  </si>
  <si>
    <t>Binders Health</t>
  </si>
  <si>
    <t>Phones Bill</t>
  </si>
  <si>
    <t>Paper Eight</t>
  </si>
  <si>
    <t>Accessories Begin</t>
  </si>
  <si>
    <t>Phones President</t>
  </si>
  <si>
    <t>Chairs Manager</t>
  </si>
  <si>
    <t>Accessories Very</t>
  </si>
  <si>
    <t>Tables Again</t>
  </si>
  <si>
    <t>Phones To</t>
  </si>
  <si>
    <t>Art Nation</t>
  </si>
  <si>
    <t>Storage Travel</t>
  </si>
  <si>
    <t>Storage Sometimes</t>
  </si>
  <si>
    <t>Accessories Several</t>
  </si>
  <si>
    <t>Laptops However</t>
  </si>
  <si>
    <t>Chairs Business</t>
  </si>
  <si>
    <t>Chairs Both</t>
  </si>
  <si>
    <t>Paper Also</t>
  </si>
  <si>
    <t>Chairs Front</t>
  </si>
  <si>
    <t>Phones Story</t>
  </si>
  <si>
    <t>Art Subject</t>
  </si>
  <si>
    <t>Binders Pull</t>
  </si>
  <si>
    <t>Art Drug</t>
  </si>
  <si>
    <t>Accessories Agreement</t>
  </si>
  <si>
    <t>Accessories Friend</t>
  </si>
  <si>
    <t>Chairs Officer</t>
  </si>
  <si>
    <t>Paper Style</t>
  </si>
  <si>
    <t>Paper Stand</t>
  </si>
  <si>
    <t>Laptops Now</t>
  </si>
  <si>
    <t>Laptops Decision</t>
  </si>
  <si>
    <t>Phones Fall</t>
  </si>
  <si>
    <t>Storage Beautiful</t>
  </si>
  <si>
    <t>Tables Issue</t>
  </si>
  <si>
    <t>Laptops Seem</t>
  </si>
  <si>
    <t>Binders Across</t>
  </si>
  <si>
    <t>Chairs Threat</t>
  </si>
  <si>
    <t>Paper Foot</t>
  </si>
  <si>
    <t>Accessories Student</t>
  </si>
  <si>
    <t>Laptops Care</t>
  </si>
  <si>
    <t>Storage West</t>
  </si>
  <si>
    <t>Chairs Believe</t>
  </si>
  <si>
    <t>Laptops Game</t>
  </si>
  <si>
    <t>Laptops Want</t>
  </si>
  <si>
    <t>Laptops Space</t>
  </si>
  <si>
    <t>Art Unit</t>
  </si>
  <si>
    <t>Tables Right</t>
  </si>
  <si>
    <t>Art Him</t>
  </si>
  <si>
    <t>Art Ball</t>
  </si>
  <si>
    <t>Laptops Clearly</t>
  </si>
  <si>
    <t>Laptops Test</t>
  </si>
  <si>
    <t>Laptops Top</t>
  </si>
  <si>
    <t>Accessories Group</t>
  </si>
  <si>
    <t>Binders Risk</t>
  </si>
  <si>
    <t>Paper Everyone</t>
  </si>
  <si>
    <t>Storage South</t>
  </si>
  <si>
    <t>Art Yes</t>
  </si>
  <si>
    <t>Paper Phone</t>
  </si>
  <si>
    <t>Paper Other</t>
  </si>
  <si>
    <t>Laptops Man</t>
  </si>
  <si>
    <t>Art But</t>
  </si>
  <si>
    <t>Accessories Democrat</t>
  </si>
  <si>
    <t>Art Budget</t>
  </si>
  <si>
    <t>Tables Alone</t>
  </si>
  <si>
    <t>Paper Standard</t>
  </si>
  <si>
    <t>Tables And</t>
  </si>
  <si>
    <t>Laptops Claim</t>
  </si>
  <si>
    <t>Binders Drug</t>
  </si>
  <si>
    <t>Chairs Seem</t>
  </si>
  <si>
    <t>Accessories Seem</t>
  </si>
  <si>
    <t>Accessories Up</t>
  </si>
  <si>
    <t>Phones Physical</t>
  </si>
  <si>
    <t>Art Future</t>
  </si>
  <si>
    <t>Accessories Who</t>
  </si>
  <si>
    <t>Art Life</t>
  </si>
  <si>
    <t>Tables Bag</t>
  </si>
  <si>
    <t>Accessories Education</t>
  </si>
  <si>
    <t>Storage Former</t>
  </si>
  <si>
    <t>Art Environment</t>
  </si>
  <si>
    <t>Laptops Benefit</t>
  </si>
  <si>
    <t>Binders Attack</t>
  </si>
  <si>
    <t>Art Worker</t>
  </si>
  <si>
    <t>Accessories Save</t>
  </si>
  <si>
    <t>Laptops Eye</t>
  </si>
  <si>
    <t>Binders Though</t>
  </si>
  <si>
    <t>Tables Significant</t>
  </si>
  <si>
    <t>Laptops Popular</t>
  </si>
  <si>
    <t>Paper Support</t>
  </si>
  <si>
    <t>Art Treat</t>
  </si>
  <si>
    <t>Laptops Billion</t>
  </si>
  <si>
    <t>Paper Reality</t>
  </si>
  <si>
    <t>Tables So</t>
  </si>
  <si>
    <t>Binders Magazine</t>
  </si>
  <si>
    <t>Paper Plan</t>
  </si>
  <si>
    <t>Tables Collection</t>
  </si>
  <si>
    <t>Tables Consumer</t>
  </si>
  <si>
    <t>Phones Yes</t>
  </si>
  <si>
    <t>Art Indicate</t>
  </si>
  <si>
    <t>Storage Mrs</t>
  </si>
  <si>
    <t>Storage Service</t>
  </si>
  <si>
    <t>Binders Them</t>
  </si>
  <si>
    <t>Binders Pay</t>
  </si>
  <si>
    <t>Art Those</t>
  </si>
  <si>
    <t>Paper Live</t>
  </si>
  <si>
    <t>Storage North</t>
  </si>
  <si>
    <t>Chairs Music</t>
  </si>
  <si>
    <t>Binders Group</t>
  </si>
  <si>
    <t>Accessories Born</t>
  </si>
  <si>
    <t>Storage Hold</t>
  </si>
  <si>
    <t>Art Address</t>
  </si>
  <si>
    <t>Binders From</t>
  </si>
  <si>
    <t>Laptops Public</t>
  </si>
  <si>
    <t>Art Player</t>
  </si>
  <si>
    <t>Laptops Accept</t>
  </si>
  <si>
    <t>Art Office</t>
  </si>
  <si>
    <t>Phones Eight</t>
  </si>
  <si>
    <t>Accessories Put</t>
  </si>
  <si>
    <t>Accessories Write</t>
  </si>
  <si>
    <t>Accessories Tv</t>
  </si>
  <si>
    <t>Chairs Later</t>
  </si>
  <si>
    <t>Paper Life</t>
  </si>
  <si>
    <t>Paper Maybe</t>
  </si>
  <si>
    <t>Chairs Leader</t>
  </si>
  <si>
    <t>Phones Just</t>
  </si>
  <si>
    <t>Binders Job</t>
  </si>
  <si>
    <t>Binders Nice</t>
  </si>
  <si>
    <t>Paper Institution</t>
  </si>
  <si>
    <t>Accessories Strategy</t>
  </si>
  <si>
    <t>Laptops Thank</t>
  </si>
  <si>
    <t>Binders Quite</t>
  </si>
  <si>
    <t>Accessories East</t>
  </si>
  <si>
    <t>Binders Arrive</t>
  </si>
  <si>
    <t>Tables Heavy</t>
  </si>
  <si>
    <t>Laptops All</t>
  </si>
  <si>
    <t>Laptops Environment</t>
  </si>
  <si>
    <t>Chairs Focus</t>
  </si>
  <si>
    <t>Art Behavior</t>
  </si>
  <si>
    <t>Phones Effect</t>
  </si>
  <si>
    <t>Storage Expect</t>
  </si>
  <si>
    <t>Art Crime</t>
  </si>
  <si>
    <t>Storage Race</t>
  </si>
  <si>
    <t>Art Relate</t>
  </si>
  <si>
    <t>Phones Nation</t>
  </si>
  <si>
    <t>Paper Later</t>
  </si>
  <si>
    <t>Binders Window</t>
  </si>
  <si>
    <t>Tables Gas</t>
  </si>
  <si>
    <t>Paper Test</t>
  </si>
  <si>
    <t>Storage For</t>
  </si>
  <si>
    <t>Art Southern</t>
  </si>
  <si>
    <t>Laptops Two</t>
  </si>
  <si>
    <t>Art Ahead</t>
  </si>
  <si>
    <t>Binders Sing</t>
  </si>
  <si>
    <t>Laptops Dog</t>
  </si>
  <si>
    <t>Art Leader</t>
  </si>
  <si>
    <t>Phones According</t>
  </si>
  <si>
    <t>Accessories Could</t>
  </si>
  <si>
    <t>Accessories Fill</t>
  </si>
  <si>
    <t>Laptops Southern</t>
  </si>
  <si>
    <t>Phones Buy</t>
  </si>
  <si>
    <t>Art Newspaper</t>
  </si>
  <si>
    <t>Chairs Old</t>
  </si>
  <si>
    <t>Accessories Science</t>
  </si>
  <si>
    <t>Tables Bank</t>
  </si>
  <si>
    <t>Laptops Save</t>
  </si>
  <si>
    <t>Art Weight</t>
  </si>
  <si>
    <t>Storage Brother</t>
  </si>
  <si>
    <t>Tables Police</t>
  </si>
  <si>
    <t>Chairs Apply</t>
  </si>
  <si>
    <t>Art School</t>
  </si>
  <si>
    <t>Tables Understand</t>
  </si>
  <si>
    <t>Paper Fine</t>
  </si>
  <si>
    <t>Tables Card</t>
  </si>
  <si>
    <t>Laptops Ten</t>
  </si>
  <si>
    <t>Art Although</t>
  </si>
  <si>
    <t>Phones Government</t>
  </si>
  <si>
    <t>Chairs Whether</t>
  </si>
  <si>
    <t>Phones Stop</t>
  </si>
  <si>
    <t>Art General</t>
  </si>
  <si>
    <t>Accessories Plant</t>
  </si>
  <si>
    <t>Accessories Just</t>
  </si>
  <si>
    <t>Phones Spring</t>
  </si>
  <si>
    <t>Accessories Believe</t>
  </si>
  <si>
    <t>Accessories These</t>
  </si>
  <si>
    <t>Paper Green</t>
  </si>
  <si>
    <t>Binders Create</t>
  </si>
  <si>
    <t>Accessories It</t>
  </si>
  <si>
    <t>Storage Voice</t>
  </si>
  <si>
    <t>Storage Large</t>
  </si>
  <si>
    <t>Binders Study</t>
  </si>
  <si>
    <t>Art Over</t>
  </si>
  <si>
    <t>Laptops Decide</t>
  </si>
  <si>
    <t>Tables Be</t>
  </si>
  <si>
    <t>Tables Paper</t>
  </si>
  <si>
    <t>Paper Could</t>
  </si>
  <si>
    <t>Chairs Property</t>
  </si>
  <si>
    <t>Binders Image</t>
  </si>
  <si>
    <t>Binders Oil</t>
  </si>
  <si>
    <t>Phones Play</t>
  </si>
  <si>
    <t>Laptops Knowledge</t>
  </si>
  <si>
    <t>Binders Idea</t>
  </si>
  <si>
    <t>Storage Feel</t>
  </si>
  <si>
    <t>Art Want</t>
  </si>
  <si>
    <t>Art Though</t>
  </si>
  <si>
    <t>Chairs Skill</t>
  </si>
  <si>
    <t>Paper East</t>
  </si>
  <si>
    <t>Tables Finally</t>
  </si>
  <si>
    <t>Chairs Staff</t>
  </si>
  <si>
    <t>Laptops Major</t>
  </si>
  <si>
    <t>Paper His</t>
  </si>
  <si>
    <t>Phones Movie</t>
  </si>
  <si>
    <t>Art Morning</t>
  </si>
  <si>
    <t>Art Laugh</t>
  </si>
  <si>
    <t>Phones Statement</t>
  </si>
  <si>
    <t>Laptops Show</t>
  </si>
  <si>
    <t>Storage Message</t>
  </si>
  <si>
    <t>Binders Least</t>
  </si>
  <si>
    <t>Laptops Fire</t>
  </si>
  <si>
    <t>Laptops Must</t>
  </si>
  <si>
    <t>Tables Discover</t>
  </si>
  <si>
    <t>Art Story</t>
  </si>
  <si>
    <t>Net Banking</t>
  </si>
  <si>
    <t>UPI</t>
  </si>
  <si>
    <t>Credit Card</t>
  </si>
  <si>
    <t>Debit Card</t>
  </si>
  <si>
    <t>COD</t>
  </si>
  <si>
    <t>Yes</t>
  </si>
  <si>
    <t>No</t>
  </si>
  <si>
    <t>Medium</t>
  </si>
  <si>
    <t>Low</t>
  </si>
  <si>
    <t>High</t>
  </si>
  <si>
    <t>Duplicate_Check</t>
  </si>
  <si>
    <t>Negative Profit Orders</t>
  </si>
  <si>
    <t>High Discount Orders (&gt;30%)</t>
  </si>
  <si>
    <t>&gt;5 days to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</si>
</sst>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1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1" fillId="0" borderId="0" xfId="0" applyFont="1" applyFill="1" applyBorder="1" applyAlignment="1">
      <alignment horizont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01"/>
  <sheetViews>
    <sheetView tabSelected="1" topLeftCell="U1" workbookViewId="0">
      <selection activeCell="T2" sqref="T2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10.42578125" bestFit="1" customWidth="1"/>
    <col min="4" max="4" width="12.42578125" bestFit="1" customWidth="1"/>
    <col min="5" max="5" width="28" bestFit="1" customWidth="1"/>
    <col min="6" max="6" width="12.140625" bestFit="1" customWidth="1"/>
    <col min="7" max="7" width="8" bestFit="1" customWidth="1"/>
    <col min="8" max="8" width="11.7109375" bestFit="1" customWidth="1"/>
    <col min="9" max="9" width="8.5703125" bestFit="1" customWidth="1"/>
    <col min="10" max="10" width="14.5703125" bestFit="1" customWidth="1"/>
    <col min="11" max="11" width="13.28515625" bestFit="1" customWidth="1"/>
    <col min="12" max="12" width="25.5703125" bestFit="1" customWidth="1"/>
    <col min="13" max="13" width="8" bestFit="1" customWidth="1"/>
    <col min="14" max="15" width="8.7109375" bestFit="1" customWidth="1"/>
    <col min="16" max="16" width="7.7109375" bestFit="1" customWidth="1"/>
    <col min="17" max="17" width="15.28515625" bestFit="1" customWidth="1"/>
    <col min="18" max="18" width="13.7109375" bestFit="1" customWidth="1"/>
    <col min="19" max="19" width="13.42578125" bestFit="1" customWidth="1"/>
    <col min="20" max="20" width="18" bestFit="1" customWidth="1"/>
    <col min="21" max="21" width="13.28515625" bestFit="1" customWidth="1"/>
    <col min="22" max="22" width="11.140625" bestFit="1" customWidth="1"/>
    <col min="23" max="23" width="7.85546875" bestFit="1" customWidth="1"/>
    <col min="24" max="24" width="13.42578125" bestFit="1" customWidth="1"/>
    <col min="25" max="25" width="17.85546875" bestFit="1" customWidth="1"/>
    <col min="26" max="26" width="17.5703125" bestFit="1" customWidth="1"/>
    <col min="27" max="27" width="15.85546875" bestFit="1" customWidth="1"/>
    <col min="28" max="28" width="21.140625" bestFit="1" customWidth="1"/>
    <col min="29" max="29" width="25.85546875" bestFit="1" customWidth="1"/>
    <col min="30" max="30" width="13.7109375" bestFit="1" customWidth="1"/>
    <col min="31" max="31" width="17.7109375" bestFit="1" customWidth="1"/>
    <col min="32" max="32" width="13.285156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9903</v>
      </c>
      <c r="AB1" s="3" t="s">
        <v>9904</v>
      </c>
      <c r="AC1" s="3" t="s">
        <v>9905</v>
      </c>
      <c r="AD1" s="3" t="s">
        <v>17</v>
      </c>
      <c r="AE1" s="4" t="s">
        <v>9906</v>
      </c>
      <c r="AF1" s="3"/>
    </row>
    <row r="2" spans="1:32" x14ac:dyDescent="0.25">
      <c r="A2" t="s">
        <v>26</v>
      </c>
      <c r="B2" s="2">
        <v>44570</v>
      </c>
      <c r="C2" s="2">
        <v>44576</v>
      </c>
      <c r="D2" t="s">
        <v>5026</v>
      </c>
      <c r="E2" t="s">
        <v>5526</v>
      </c>
      <c r="F2" t="s">
        <v>6026</v>
      </c>
      <c r="G2" t="s">
        <v>6029</v>
      </c>
      <c r="H2" t="s">
        <v>6032</v>
      </c>
      <c r="I2" t="s">
        <v>6046</v>
      </c>
      <c r="J2" t="s">
        <v>6053</v>
      </c>
      <c r="K2" t="s">
        <v>6056</v>
      </c>
      <c r="L2" t="s">
        <v>6065</v>
      </c>
      <c r="M2">
        <v>387.97</v>
      </c>
      <c r="N2">
        <v>6</v>
      </c>
      <c r="O2">
        <v>0.24</v>
      </c>
      <c r="P2">
        <v>-11.49</v>
      </c>
      <c r="Q2" t="s">
        <v>9893</v>
      </c>
      <c r="R2">
        <v>6</v>
      </c>
      <c r="S2" s="5">
        <f>P2/M2</f>
        <v>-2.9615691934943421E-2</v>
      </c>
      <c r="T2">
        <v>64.661666666666676</v>
      </c>
      <c r="U2">
        <v>1</v>
      </c>
      <c r="V2">
        <v>2022</v>
      </c>
      <c r="W2">
        <v>1</v>
      </c>
      <c r="X2" t="s">
        <v>9898</v>
      </c>
      <c r="Y2" t="s">
        <v>9900</v>
      </c>
      <c r="Z2" t="s">
        <v>9899</v>
      </c>
      <c r="AA2" t="b">
        <f>COUNTIF(A:A,A2)&gt;1</f>
        <v>0</v>
      </c>
      <c r="AB2">
        <f>COUNTIF(P:P,"&lt;0")</f>
        <v>2076</v>
      </c>
      <c r="AC2">
        <f>COUNTIF(O:O,"&gt;0.30")</f>
        <v>622</v>
      </c>
      <c r="AD2">
        <f>C2-B2</f>
        <v>6</v>
      </c>
      <c r="AE2">
        <f>COUNTIF(Q:Q,"&gt;5")</f>
        <v>0</v>
      </c>
    </row>
    <row r="3" spans="1:32" x14ac:dyDescent="0.25">
      <c r="A3" t="s">
        <v>27</v>
      </c>
      <c r="B3" s="2">
        <v>44766</v>
      </c>
      <c r="C3" s="2">
        <v>44768</v>
      </c>
      <c r="D3" t="s">
        <v>5027</v>
      </c>
      <c r="E3" t="s">
        <v>5527</v>
      </c>
      <c r="F3" t="s">
        <v>6026</v>
      </c>
      <c r="G3" t="s">
        <v>6030</v>
      </c>
      <c r="H3" t="s">
        <v>6033</v>
      </c>
      <c r="I3" t="s">
        <v>6047</v>
      </c>
      <c r="J3" t="s">
        <v>6053</v>
      </c>
      <c r="K3" t="s">
        <v>6057</v>
      </c>
      <c r="L3" t="s">
        <v>6066</v>
      </c>
      <c r="M3">
        <v>1159.75</v>
      </c>
      <c r="N3">
        <v>6</v>
      </c>
      <c r="O3">
        <v>0.28000000000000003</v>
      </c>
      <c r="P3">
        <v>-56.14</v>
      </c>
      <c r="Q3" t="s">
        <v>9893</v>
      </c>
      <c r="R3">
        <v>2</v>
      </c>
      <c r="S3" s="5">
        <f t="shared" ref="S3:S66" si="0">P3/M3</f>
        <v>-4.840698426384997E-2</v>
      </c>
      <c r="T3">
        <v>193.29166666666671</v>
      </c>
      <c r="U3">
        <v>7</v>
      </c>
      <c r="V3">
        <v>2022</v>
      </c>
      <c r="W3">
        <v>3</v>
      </c>
      <c r="X3" t="s">
        <v>9898</v>
      </c>
      <c r="Y3" t="s">
        <v>9900</v>
      </c>
      <c r="Z3" t="s">
        <v>9898</v>
      </c>
      <c r="AD3">
        <f t="shared" ref="AD3:AD66" si="1">C3-B3</f>
        <v>2</v>
      </c>
    </row>
    <row r="4" spans="1:32" x14ac:dyDescent="0.25">
      <c r="A4" t="s">
        <v>28</v>
      </c>
      <c r="B4" s="2">
        <v>45196</v>
      </c>
      <c r="C4" s="2">
        <v>45200</v>
      </c>
      <c r="D4" t="s">
        <v>5028</v>
      </c>
      <c r="E4" t="s">
        <v>5528</v>
      </c>
      <c r="F4" t="s">
        <v>6027</v>
      </c>
      <c r="G4" t="s">
        <v>6031</v>
      </c>
      <c r="H4" t="s">
        <v>6034</v>
      </c>
      <c r="I4" t="s">
        <v>6048</v>
      </c>
      <c r="J4" t="s">
        <v>6053</v>
      </c>
      <c r="K4" t="s">
        <v>6057</v>
      </c>
      <c r="L4" t="s">
        <v>6067</v>
      </c>
      <c r="M4">
        <v>1494.84</v>
      </c>
      <c r="N4">
        <v>7</v>
      </c>
      <c r="O4">
        <v>0.11</v>
      </c>
      <c r="P4">
        <v>173.85</v>
      </c>
      <c r="Q4" t="s">
        <v>9894</v>
      </c>
      <c r="R4">
        <v>4</v>
      </c>
      <c r="S4" s="5">
        <f t="shared" si="0"/>
        <v>0.11630007224853496</v>
      </c>
      <c r="T4">
        <v>213.54857142857139</v>
      </c>
      <c r="U4">
        <v>9</v>
      </c>
      <c r="V4">
        <v>2023</v>
      </c>
      <c r="W4">
        <v>3</v>
      </c>
      <c r="X4" t="s">
        <v>9899</v>
      </c>
      <c r="Y4" t="s">
        <v>9901</v>
      </c>
      <c r="Z4" t="s">
        <v>9898</v>
      </c>
      <c r="AD4">
        <f t="shared" si="1"/>
        <v>4</v>
      </c>
    </row>
    <row r="5" spans="1:32" x14ac:dyDescent="0.25">
      <c r="A5" t="s">
        <v>29</v>
      </c>
      <c r="B5" s="2">
        <v>45246</v>
      </c>
      <c r="C5" s="2">
        <v>45252</v>
      </c>
      <c r="D5" t="s">
        <v>5029</v>
      </c>
      <c r="E5" t="s">
        <v>5529</v>
      </c>
      <c r="F5" t="s">
        <v>6027</v>
      </c>
      <c r="G5" t="s">
        <v>6030</v>
      </c>
      <c r="H5" t="s">
        <v>6035</v>
      </c>
      <c r="I5" t="s">
        <v>6047</v>
      </c>
      <c r="J5" t="s">
        <v>6053</v>
      </c>
      <c r="K5" t="s">
        <v>6058</v>
      </c>
      <c r="L5" t="s">
        <v>6068</v>
      </c>
      <c r="M5">
        <v>553.20000000000005</v>
      </c>
      <c r="N5">
        <v>1</v>
      </c>
      <c r="O5">
        <v>0.25</v>
      </c>
      <c r="P5">
        <v>-52.44</v>
      </c>
      <c r="Q5" t="s">
        <v>9893</v>
      </c>
      <c r="R5">
        <v>6</v>
      </c>
      <c r="S5" s="5">
        <f t="shared" si="0"/>
        <v>-9.4793926247288496E-2</v>
      </c>
      <c r="T5">
        <v>553.20000000000005</v>
      </c>
      <c r="U5">
        <v>11</v>
      </c>
      <c r="V5">
        <v>2023</v>
      </c>
      <c r="W5">
        <v>4</v>
      </c>
      <c r="X5" t="s">
        <v>9898</v>
      </c>
      <c r="Y5" t="s">
        <v>9900</v>
      </c>
      <c r="Z5" t="s">
        <v>9899</v>
      </c>
      <c r="AD5">
        <f t="shared" si="1"/>
        <v>6</v>
      </c>
    </row>
    <row r="6" spans="1:32" x14ac:dyDescent="0.25">
      <c r="A6" t="s">
        <v>30</v>
      </c>
      <c r="B6" s="2">
        <v>45060</v>
      </c>
      <c r="C6" s="2">
        <v>45067</v>
      </c>
      <c r="D6" t="s">
        <v>5030</v>
      </c>
      <c r="E6" t="s">
        <v>5530</v>
      </c>
      <c r="F6" t="s">
        <v>6026</v>
      </c>
      <c r="G6" t="s">
        <v>6029</v>
      </c>
      <c r="H6" t="s">
        <v>6036</v>
      </c>
      <c r="I6" t="s">
        <v>6049</v>
      </c>
      <c r="J6" t="s">
        <v>6054</v>
      </c>
      <c r="K6" t="s">
        <v>6059</v>
      </c>
      <c r="L6" t="s">
        <v>6069</v>
      </c>
      <c r="M6">
        <v>1759.61</v>
      </c>
      <c r="N6">
        <v>8</v>
      </c>
      <c r="O6">
        <v>0.12</v>
      </c>
      <c r="P6">
        <v>71.709999999999994</v>
      </c>
      <c r="Q6" t="s">
        <v>9893</v>
      </c>
      <c r="R6">
        <v>7</v>
      </c>
      <c r="S6" s="5">
        <f t="shared" si="0"/>
        <v>4.0753348753416949E-2</v>
      </c>
      <c r="T6">
        <v>219.95124999999999</v>
      </c>
      <c r="U6">
        <v>5</v>
      </c>
      <c r="V6">
        <v>2023</v>
      </c>
      <c r="W6">
        <v>2</v>
      </c>
      <c r="X6" t="s">
        <v>9899</v>
      </c>
      <c r="Y6" t="s">
        <v>9901</v>
      </c>
      <c r="Z6" t="s">
        <v>9898</v>
      </c>
      <c r="AD6">
        <f t="shared" si="1"/>
        <v>7</v>
      </c>
    </row>
    <row r="7" spans="1:32" x14ac:dyDescent="0.25">
      <c r="A7" t="s">
        <v>31</v>
      </c>
      <c r="B7" s="2">
        <v>45149</v>
      </c>
      <c r="C7" s="2">
        <v>45155</v>
      </c>
      <c r="D7" t="s">
        <v>5031</v>
      </c>
      <c r="E7" t="s">
        <v>5531</v>
      </c>
      <c r="F7" t="s">
        <v>6027</v>
      </c>
      <c r="G7" t="s">
        <v>6031</v>
      </c>
      <c r="H7" t="s">
        <v>6037</v>
      </c>
      <c r="I7" t="s">
        <v>6050</v>
      </c>
      <c r="J7" t="s">
        <v>6053</v>
      </c>
      <c r="K7" t="s">
        <v>6057</v>
      </c>
      <c r="L7" t="s">
        <v>6070</v>
      </c>
      <c r="M7">
        <v>1971.26</v>
      </c>
      <c r="N7">
        <v>1</v>
      </c>
      <c r="O7">
        <v>0.04</v>
      </c>
      <c r="P7">
        <v>236.93</v>
      </c>
      <c r="Q7" t="s">
        <v>9895</v>
      </c>
      <c r="R7">
        <v>6</v>
      </c>
      <c r="S7" s="5">
        <f t="shared" si="0"/>
        <v>0.12019216135872487</v>
      </c>
      <c r="T7">
        <v>1971.26</v>
      </c>
      <c r="U7">
        <v>8</v>
      </c>
      <c r="V7">
        <v>2023</v>
      </c>
      <c r="W7">
        <v>3</v>
      </c>
      <c r="X7" t="s">
        <v>9899</v>
      </c>
      <c r="Y7" t="s">
        <v>9901</v>
      </c>
      <c r="Z7" t="s">
        <v>9898</v>
      </c>
      <c r="AD7">
        <f t="shared" si="1"/>
        <v>6</v>
      </c>
    </row>
    <row r="8" spans="1:32" x14ac:dyDescent="0.25">
      <c r="A8" t="s">
        <v>32</v>
      </c>
      <c r="B8" s="2">
        <v>44563</v>
      </c>
      <c r="C8" s="2">
        <v>44570</v>
      </c>
      <c r="D8" t="s">
        <v>5032</v>
      </c>
      <c r="E8" t="s">
        <v>5532</v>
      </c>
      <c r="F8" t="s">
        <v>6027</v>
      </c>
      <c r="G8" t="s">
        <v>6030</v>
      </c>
      <c r="H8" t="s">
        <v>6038</v>
      </c>
      <c r="I8" t="s">
        <v>6047</v>
      </c>
      <c r="J8" t="s">
        <v>6054</v>
      </c>
      <c r="K8" t="s">
        <v>6059</v>
      </c>
      <c r="L8" t="s">
        <v>6071</v>
      </c>
      <c r="M8">
        <v>122.51</v>
      </c>
      <c r="N8">
        <v>2</v>
      </c>
      <c r="O8">
        <v>0.11</v>
      </c>
      <c r="P8">
        <v>10.67</v>
      </c>
      <c r="Q8" t="s">
        <v>9894</v>
      </c>
      <c r="R8">
        <v>7</v>
      </c>
      <c r="S8" s="5">
        <f t="shared" si="0"/>
        <v>8.7094931026038686E-2</v>
      </c>
      <c r="T8">
        <v>61.255000000000003</v>
      </c>
      <c r="U8">
        <v>1</v>
      </c>
      <c r="V8">
        <v>2022</v>
      </c>
      <c r="W8">
        <v>1</v>
      </c>
      <c r="X8" t="s">
        <v>9899</v>
      </c>
      <c r="Y8" t="s">
        <v>9901</v>
      </c>
      <c r="Z8" t="s">
        <v>9899</v>
      </c>
      <c r="AD8">
        <f t="shared" si="1"/>
        <v>7</v>
      </c>
    </row>
    <row r="9" spans="1:32" x14ac:dyDescent="0.25">
      <c r="A9" t="s">
        <v>33</v>
      </c>
      <c r="B9" s="2">
        <v>45356</v>
      </c>
      <c r="C9" s="2">
        <v>45358</v>
      </c>
      <c r="D9" t="s">
        <v>5029</v>
      </c>
      <c r="E9" t="s">
        <v>5529</v>
      </c>
      <c r="F9" t="s">
        <v>6028</v>
      </c>
      <c r="G9" t="s">
        <v>6030</v>
      </c>
      <c r="H9" t="s">
        <v>6033</v>
      </c>
      <c r="I9" t="s">
        <v>6047</v>
      </c>
      <c r="J9" t="s">
        <v>6054</v>
      </c>
      <c r="K9" t="s">
        <v>6060</v>
      </c>
      <c r="L9" t="s">
        <v>6072</v>
      </c>
      <c r="M9">
        <v>1922.42</v>
      </c>
      <c r="N9">
        <v>4</v>
      </c>
      <c r="O9">
        <v>0.09</v>
      </c>
      <c r="P9">
        <v>250.54</v>
      </c>
      <c r="Q9" t="s">
        <v>9895</v>
      </c>
      <c r="R9">
        <v>2</v>
      </c>
      <c r="S9" s="5">
        <f t="shared" si="0"/>
        <v>0.13032531912901446</v>
      </c>
      <c r="T9">
        <v>480.60500000000002</v>
      </c>
      <c r="U9">
        <v>3</v>
      </c>
      <c r="V9">
        <v>2024</v>
      </c>
      <c r="W9">
        <v>1</v>
      </c>
      <c r="X9" t="s">
        <v>9899</v>
      </c>
      <c r="Y9" t="s">
        <v>9901</v>
      </c>
      <c r="Z9" t="s">
        <v>9898</v>
      </c>
      <c r="AD9">
        <f t="shared" si="1"/>
        <v>2</v>
      </c>
    </row>
    <row r="10" spans="1:32" x14ac:dyDescent="0.25">
      <c r="A10" t="s">
        <v>34</v>
      </c>
      <c r="B10" s="2">
        <v>44701</v>
      </c>
      <c r="C10" s="2">
        <v>44703</v>
      </c>
      <c r="D10" t="s">
        <v>5033</v>
      </c>
      <c r="E10" t="s">
        <v>5533</v>
      </c>
      <c r="F10" t="s">
        <v>6028</v>
      </c>
      <c r="G10" t="s">
        <v>6030</v>
      </c>
      <c r="H10" t="s">
        <v>6039</v>
      </c>
      <c r="I10" t="s">
        <v>6047</v>
      </c>
      <c r="J10" t="s">
        <v>6053</v>
      </c>
      <c r="K10" t="s">
        <v>6056</v>
      </c>
      <c r="L10" t="s">
        <v>6073</v>
      </c>
      <c r="M10">
        <v>1926.65</v>
      </c>
      <c r="N10">
        <v>3</v>
      </c>
      <c r="O10">
        <v>0.18</v>
      </c>
      <c r="P10">
        <v>-34.01</v>
      </c>
      <c r="Q10" t="s">
        <v>9893</v>
      </c>
      <c r="R10">
        <v>2</v>
      </c>
      <c r="S10" s="5">
        <f t="shared" si="0"/>
        <v>-1.7652401837386134E-2</v>
      </c>
      <c r="T10">
        <v>642.2166666666667</v>
      </c>
      <c r="U10">
        <v>5</v>
      </c>
      <c r="V10">
        <v>2022</v>
      </c>
      <c r="W10">
        <v>2</v>
      </c>
      <c r="X10" t="s">
        <v>9898</v>
      </c>
      <c r="Y10" t="s">
        <v>9900</v>
      </c>
      <c r="Z10" t="s">
        <v>9898</v>
      </c>
      <c r="AD10">
        <f t="shared" si="1"/>
        <v>2</v>
      </c>
    </row>
    <row r="11" spans="1:32" x14ac:dyDescent="0.25">
      <c r="A11" t="s">
        <v>35</v>
      </c>
      <c r="B11" s="2">
        <v>45082</v>
      </c>
      <c r="C11" s="2">
        <v>45086</v>
      </c>
      <c r="D11" t="s">
        <v>5034</v>
      </c>
      <c r="E11" t="s">
        <v>5534</v>
      </c>
      <c r="F11" t="s">
        <v>6028</v>
      </c>
      <c r="G11" t="s">
        <v>6030</v>
      </c>
      <c r="H11" t="s">
        <v>6035</v>
      </c>
      <c r="I11" t="s">
        <v>6051</v>
      </c>
      <c r="J11" t="s">
        <v>6053</v>
      </c>
      <c r="K11" t="s">
        <v>6058</v>
      </c>
      <c r="L11" t="s">
        <v>6074</v>
      </c>
      <c r="M11">
        <v>701.85</v>
      </c>
      <c r="N11">
        <v>3</v>
      </c>
      <c r="O11">
        <v>0.33</v>
      </c>
      <c r="P11">
        <v>-96.28</v>
      </c>
      <c r="Q11" t="s">
        <v>9895</v>
      </c>
      <c r="R11">
        <v>4</v>
      </c>
      <c r="S11" s="5">
        <f t="shared" si="0"/>
        <v>-0.13718030918287383</v>
      </c>
      <c r="T11">
        <v>233.95</v>
      </c>
      <c r="U11">
        <v>6</v>
      </c>
      <c r="V11">
        <v>2023</v>
      </c>
      <c r="W11">
        <v>2</v>
      </c>
      <c r="X11" t="s">
        <v>9898</v>
      </c>
      <c r="Y11" t="s">
        <v>9902</v>
      </c>
      <c r="Z11" t="s">
        <v>9899</v>
      </c>
      <c r="AD11">
        <f t="shared" si="1"/>
        <v>4</v>
      </c>
    </row>
    <row r="12" spans="1:32" x14ac:dyDescent="0.25">
      <c r="A12" t="s">
        <v>36</v>
      </c>
      <c r="B12" s="2">
        <v>44660</v>
      </c>
      <c r="C12" s="2">
        <v>44663</v>
      </c>
      <c r="D12" t="s">
        <v>5035</v>
      </c>
      <c r="E12" t="s">
        <v>5535</v>
      </c>
      <c r="F12" t="s">
        <v>6026</v>
      </c>
      <c r="G12" t="s">
        <v>6031</v>
      </c>
      <c r="H12" t="s">
        <v>6040</v>
      </c>
      <c r="I12" t="s">
        <v>6050</v>
      </c>
      <c r="J12" t="s">
        <v>6053</v>
      </c>
      <c r="K12" t="s">
        <v>6058</v>
      </c>
      <c r="L12" t="s">
        <v>6075</v>
      </c>
      <c r="M12">
        <v>579.20000000000005</v>
      </c>
      <c r="N12">
        <v>8</v>
      </c>
      <c r="O12">
        <v>0.11</v>
      </c>
      <c r="P12">
        <v>65.760000000000005</v>
      </c>
      <c r="Q12" t="s">
        <v>9896</v>
      </c>
      <c r="R12">
        <v>3</v>
      </c>
      <c r="S12" s="5">
        <f t="shared" si="0"/>
        <v>0.11353591160220994</v>
      </c>
      <c r="T12">
        <v>72.400000000000006</v>
      </c>
      <c r="U12">
        <v>4</v>
      </c>
      <c r="V12">
        <v>2022</v>
      </c>
      <c r="W12">
        <v>2</v>
      </c>
      <c r="X12" t="s">
        <v>9899</v>
      </c>
      <c r="Y12" t="s">
        <v>9901</v>
      </c>
      <c r="Z12" t="s">
        <v>9899</v>
      </c>
      <c r="AD12">
        <f t="shared" si="1"/>
        <v>3</v>
      </c>
    </row>
    <row r="13" spans="1:32" x14ac:dyDescent="0.25">
      <c r="A13" t="s">
        <v>37</v>
      </c>
      <c r="B13" s="2">
        <v>44755</v>
      </c>
      <c r="C13" s="2">
        <v>44759</v>
      </c>
      <c r="D13" t="s">
        <v>5036</v>
      </c>
      <c r="E13" t="s">
        <v>5536</v>
      </c>
      <c r="F13" t="s">
        <v>6026</v>
      </c>
      <c r="G13" t="s">
        <v>6031</v>
      </c>
      <c r="H13" t="s">
        <v>6040</v>
      </c>
      <c r="I13" t="s">
        <v>6048</v>
      </c>
      <c r="J13" t="s">
        <v>6055</v>
      </c>
      <c r="K13" t="s">
        <v>6061</v>
      </c>
      <c r="L13" t="s">
        <v>6076</v>
      </c>
      <c r="M13">
        <v>1871.16</v>
      </c>
      <c r="N13">
        <v>8</v>
      </c>
      <c r="O13">
        <v>0.18</v>
      </c>
      <c r="P13">
        <v>32.43</v>
      </c>
      <c r="Q13" t="s">
        <v>9894</v>
      </c>
      <c r="R13">
        <v>4</v>
      </c>
      <c r="S13" s="5">
        <f t="shared" si="0"/>
        <v>1.733149490155839E-2</v>
      </c>
      <c r="T13">
        <v>233.89500000000001</v>
      </c>
      <c r="U13">
        <v>7</v>
      </c>
      <c r="V13">
        <v>2022</v>
      </c>
      <c r="W13">
        <v>3</v>
      </c>
      <c r="X13" t="s">
        <v>9899</v>
      </c>
      <c r="Y13" t="s">
        <v>9900</v>
      </c>
      <c r="Z13" t="s">
        <v>9898</v>
      </c>
      <c r="AD13">
        <f t="shared" si="1"/>
        <v>4</v>
      </c>
    </row>
    <row r="14" spans="1:32" x14ac:dyDescent="0.25">
      <c r="A14" t="s">
        <v>38</v>
      </c>
      <c r="B14" s="2">
        <v>45083</v>
      </c>
      <c r="C14" s="2">
        <v>45086</v>
      </c>
      <c r="D14" t="s">
        <v>5037</v>
      </c>
      <c r="E14" t="s">
        <v>5537</v>
      </c>
      <c r="F14" t="s">
        <v>6028</v>
      </c>
      <c r="G14" t="s">
        <v>6029</v>
      </c>
      <c r="H14" t="s">
        <v>6041</v>
      </c>
      <c r="I14" t="s">
        <v>6046</v>
      </c>
      <c r="J14" t="s">
        <v>6053</v>
      </c>
      <c r="K14" t="s">
        <v>6056</v>
      </c>
      <c r="L14" t="s">
        <v>6077</v>
      </c>
      <c r="M14">
        <v>1622.65</v>
      </c>
      <c r="N14">
        <v>5</v>
      </c>
      <c r="O14">
        <v>0</v>
      </c>
      <c r="P14">
        <v>176.49</v>
      </c>
      <c r="Q14" t="s">
        <v>9896</v>
      </c>
      <c r="R14">
        <v>3</v>
      </c>
      <c r="S14" s="5">
        <f t="shared" si="0"/>
        <v>0.1087665238960959</v>
      </c>
      <c r="T14">
        <v>324.52999999999997</v>
      </c>
      <c r="U14">
        <v>6</v>
      </c>
      <c r="V14">
        <v>2023</v>
      </c>
      <c r="W14">
        <v>2</v>
      </c>
      <c r="X14" t="s">
        <v>9899</v>
      </c>
      <c r="Y14" t="s">
        <v>9901</v>
      </c>
      <c r="Z14" t="s">
        <v>9898</v>
      </c>
      <c r="AD14">
        <f t="shared" si="1"/>
        <v>3</v>
      </c>
    </row>
    <row r="15" spans="1:32" x14ac:dyDescent="0.25">
      <c r="A15" t="s">
        <v>39</v>
      </c>
      <c r="B15" s="2">
        <v>45442</v>
      </c>
      <c r="C15" s="2">
        <v>45446</v>
      </c>
      <c r="D15" t="s">
        <v>5038</v>
      </c>
      <c r="E15" t="s">
        <v>5538</v>
      </c>
      <c r="F15" t="s">
        <v>6027</v>
      </c>
      <c r="G15" t="s">
        <v>6031</v>
      </c>
      <c r="H15" t="s">
        <v>6042</v>
      </c>
      <c r="I15" t="s">
        <v>6050</v>
      </c>
      <c r="J15" t="s">
        <v>6054</v>
      </c>
      <c r="K15" t="s">
        <v>6059</v>
      </c>
      <c r="L15" t="s">
        <v>6078</v>
      </c>
      <c r="M15">
        <v>1159.5999999999999</v>
      </c>
      <c r="N15">
        <v>6</v>
      </c>
      <c r="O15">
        <v>0.23</v>
      </c>
      <c r="P15">
        <v>32.08</v>
      </c>
      <c r="Q15" t="s">
        <v>9894</v>
      </c>
      <c r="R15">
        <v>4</v>
      </c>
      <c r="S15" s="5">
        <f t="shared" si="0"/>
        <v>2.7664711969644706E-2</v>
      </c>
      <c r="T15">
        <v>193.26666666666671</v>
      </c>
      <c r="U15">
        <v>5</v>
      </c>
      <c r="V15">
        <v>2024</v>
      </c>
      <c r="W15">
        <v>2</v>
      </c>
      <c r="X15" t="s">
        <v>9899</v>
      </c>
      <c r="Y15" t="s">
        <v>9900</v>
      </c>
      <c r="Z15" t="s">
        <v>9898</v>
      </c>
      <c r="AD15">
        <f t="shared" si="1"/>
        <v>4</v>
      </c>
    </row>
    <row r="16" spans="1:32" x14ac:dyDescent="0.25">
      <c r="A16" t="s">
        <v>40</v>
      </c>
      <c r="B16" s="2">
        <v>45423</v>
      </c>
      <c r="C16" s="2">
        <v>45430</v>
      </c>
      <c r="D16" t="s">
        <v>5036</v>
      </c>
      <c r="E16" t="s">
        <v>5536</v>
      </c>
      <c r="F16" t="s">
        <v>6026</v>
      </c>
      <c r="G16" t="s">
        <v>6030</v>
      </c>
      <c r="H16" t="s">
        <v>6035</v>
      </c>
      <c r="I16" t="s">
        <v>6051</v>
      </c>
      <c r="J16" t="s">
        <v>6053</v>
      </c>
      <c r="K16" t="s">
        <v>6058</v>
      </c>
      <c r="L16" t="s">
        <v>6079</v>
      </c>
      <c r="M16">
        <v>519.14</v>
      </c>
      <c r="N16">
        <v>3</v>
      </c>
      <c r="O16">
        <v>0.15</v>
      </c>
      <c r="P16">
        <v>54.18</v>
      </c>
      <c r="Q16" t="s">
        <v>9894</v>
      </c>
      <c r="R16">
        <v>7</v>
      </c>
      <c r="S16" s="5">
        <f t="shared" si="0"/>
        <v>0.10436491119929114</v>
      </c>
      <c r="T16">
        <v>173.04666666666671</v>
      </c>
      <c r="U16">
        <v>5</v>
      </c>
      <c r="V16">
        <v>2024</v>
      </c>
      <c r="W16">
        <v>2</v>
      </c>
      <c r="X16" t="s">
        <v>9899</v>
      </c>
      <c r="Y16" t="s">
        <v>9901</v>
      </c>
      <c r="Z16" t="s">
        <v>9899</v>
      </c>
      <c r="AD16">
        <f t="shared" si="1"/>
        <v>7</v>
      </c>
    </row>
    <row r="17" spans="1:30" x14ac:dyDescent="0.25">
      <c r="A17" t="s">
        <v>41</v>
      </c>
      <c r="B17" s="2">
        <v>44885</v>
      </c>
      <c r="C17" s="2">
        <v>44892</v>
      </c>
      <c r="D17" t="s">
        <v>5039</v>
      </c>
      <c r="E17" t="s">
        <v>5539</v>
      </c>
      <c r="F17" t="s">
        <v>6026</v>
      </c>
      <c r="G17" t="s">
        <v>6031</v>
      </c>
      <c r="H17" t="s">
        <v>6043</v>
      </c>
      <c r="I17" t="s">
        <v>6050</v>
      </c>
      <c r="J17" t="s">
        <v>6054</v>
      </c>
      <c r="K17" t="s">
        <v>6062</v>
      </c>
      <c r="L17" t="s">
        <v>6080</v>
      </c>
      <c r="M17">
        <v>549.61</v>
      </c>
      <c r="N17">
        <v>5</v>
      </c>
      <c r="O17">
        <v>0.12</v>
      </c>
      <c r="P17">
        <v>-3.44</v>
      </c>
      <c r="Q17" t="s">
        <v>9895</v>
      </c>
      <c r="R17">
        <v>7</v>
      </c>
      <c r="S17" s="5">
        <f t="shared" si="0"/>
        <v>-6.2589836429468165E-3</v>
      </c>
      <c r="T17">
        <v>109.922</v>
      </c>
      <c r="U17">
        <v>11</v>
      </c>
      <c r="V17">
        <v>2022</v>
      </c>
      <c r="W17">
        <v>4</v>
      </c>
      <c r="X17" t="s">
        <v>9898</v>
      </c>
      <c r="Y17" t="s">
        <v>9901</v>
      </c>
      <c r="Z17" t="s">
        <v>9899</v>
      </c>
      <c r="AD17">
        <f t="shared" si="1"/>
        <v>7</v>
      </c>
    </row>
    <row r="18" spans="1:30" x14ac:dyDescent="0.25">
      <c r="A18" t="s">
        <v>42</v>
      </c>
      <c r="B18" s="2">
        <v>45015</v>
      </c>
      <c r="C18" s="2">
        <v>45022</v>
      </c>
      <c r="D18" t="s">
        <v>5040</v>
      </c>
      <c r="E18" t="s">
        <v>5540</v>
      </c>
      <c r="F18" t="s">
        <v>6027</v>
      </c>
      <c r="G18" t="s">
        <v>6030</v>
      </c>
      <c r="H18" t="s">
        <v>6035</v>
      </c>
      <c r="I18" t="s">
        <v>6051</v>
      </c>
      <c r="J18" t="s">
        <v>6054</v>
      </c>
      <c r="K18" t="s">
        <v>6060</v>
      </c>
      <c r="L18" t="s">
        <v>6081</v>
      </c>
      <c r="M18">
        <v>186.1</v>
      </c>
      <c r="N18">
        <v>8</v>
      </c>
      <c r="O18">
        <v>0.34</v>
      </c>
      <c r="P18">
        <v>-30.62</v>
      </c>
      <c r="Q18" t="s">
        <v>9897</v>
      </c>
      <c r="R18">
        <v>7</v>
      </c>
      <c r="S18" s="5">
        <f t="shared" si="0"/>
        <v>-0.16453519613111231</v>
      </c>
      <c r="T18">
        <v>23.262499999999999</v>
      </c>
      <c r="U18">
        <v>3</v>
      </c>
      <c r="V18">
        <v>2023</v>
      </c>
      <c r="W18">
        <v>1</v>
      </c>
      <c r="X18" t="s">
        <v>9898</v>
      </c>
      <c r="Y18" t="s">
        <v>9902</v>
      </c>
      <c r="Z18" t="s">
        <v>9899</v>
      </c>
      <c r="AD18">
        <f t="shared" si="1"/>
        <v>7</v>
      </c>
    </row>
    <row r="19" spans="1:30" x14ac:dyDescent="0.25">
      <c r="A19" t="s">
        <v>43</v>
      </c>
      <c r="B19" s="2">
        <v>45145</v>
      </c>
      <c r="C19" s="2">
        <v>45152</v>
      </c>
      <c r="D19" t="s">
        <v>5041</v>
      </c>
      <c r="E19" t="s">
        <v>5541</v>
      </c>
      <c r="F19" t="s">
        <v>6026</v>
      </c>
      <c r="G19" t="s">
        <v>6031</v>
      </c>
      <c r="H19" t="s">
        <v>6040</v>
      </c>
      <c r="I19" t="s">
        <v>6052</v>
      </c>
      <c r="J19" t="s">
        <v>6055</v>
      </c>
      <c r="K19" t="s">
        <v>6063</v>
      </c>
      <c r="L19" t="s">
        <v>6082</v>
      </c>
      <c r="M19">
        <v>1510.7</v>
      </c>
      <c r="N19">
        <v>7</v>
      </c>
      <c r="O19">
        <v>0.24</v>
      </c>
      <c r="P19">
        <v>72.16</v>
      </c>
      <c r="Q19" t="s">
        <v>9893</v>
      </c>
      <c r="R19">
        <v>7</v>
      </c>
      <c r="S19" s="5">
        <f t="shared" si="0"/>
        <v>4.7765936320910835E-2</v>
      </c>
      <c r="T19">
        <v>215.81428571428569</v>
      </c>
      <c r="U19">
        <v>8</v>
      </c>
      <c r="V19">
        <v>2023</v>
      </c>
      <c r="W19">
        <v>3</v>
      </c>
      <c r="X19" t="s">
        <v>9899</v>
      </c>
      <c r="Y19" t="s">
        <v>9900</v>
      </c>
      <c r="Z19" t="s">
        <v>9898</v>
      </c>
      <c r="AD19">
        <f t="shared" si="1"/>
        <v>7</v>
      </c>
    </row>
    <row r="20" spans="1:30" x14ac:dyDescent="0.25">
      <c r="A20" t="s">
        <v>44</v>
      </c>
      <c r="B20" s="2">
        <v>45195</v>
      </c>
      <c r="C20" s="2">
        <v>45198</v>
      </c>
      <c r="D20" t="s">
        <v>5042</v>
      </c>
      <c r="E20" t="s">
        <v>5542</v>
      </c>
      <c r="F20" t="s">
        <v>6027</v>
      </c>
      <c r="G20" t="s">
        <v>6031</v>
      </c>
      <c r="H20" t="s">
        <v>6043</v>
      </c>
      <c r="I20" t="s">
        <v>6050</v>
      </c>
      <c r="J20" t="s">
        <v>6053</v>
      </c>
      <c r="K20" t="s">
        <v>6056</v>
      </c>
      <c r="L20" t="s">
        <v>6083</v>
      </c>
      <c r="M20">
        <v>581.88</v>
      </c>
      <c r="N20">
        <v>5</v>
      </c>
      <c r="O20">
        <v>0.23</v>
      </c>
      <c r="P20">
        <v>17.32</v>
      </c>
      <c r="Q20" t="s">
        <v>9893</v>
      </c>
      <c r="R20">
        <v>3</v>
      </c>
      <c r="S20" s="5">
        <f t="shared" si="0"/>
        <v>2.9765587406338077E-2</v>
      </c>
      <c r="T20">
        <v>116.376</v>
      </c>
      <c r="U20">
        <v>9</v>
      </c>
      <c r="V20">
        <v>2023</v>
      </c>
      <c r="W20">
        <v>3</v>
      </c>
      <c r="X20" t="s">
        <v>9899</v>
      </c>
      <c r="Y20" t="s">
        <v>9900</v>
      </c>
      <c r="Z20" t="s">
        <v>9899</v>
      </c>
      <c r="AD20">
        <f t="shared" si="1"/>
        <v>3</v>
      </c>
    </row>
    <row r="21" spans="1:30" x14ac:dyDescent="0.25">
      <c r="A21" t="s">
        <v>45</v>
      </c>
      <c r="B21" s="2">
        <v>44929</v>
      </c>
      <c r="C21" s="2">
        <v>44936</v>
      </c>
      <c r="D21" t="s">
        <v>5043</v>
      </c>
      <c r="E21" t="s">
        <v>5543</v>
      </c>
      <c r="F21" t="s">
        <v>6026</v>
      </c>
      <c r="G21" t="s">
        <v>6031</v>
      </c>
      <c r="H21" t="s">
        <v>6040</v>
      </c>
      <c r="I21" t="s">
        <v>6052</v>
      </c>
      <c r="J21" t="s">
        <v>6053</v>
      </c>
      <c r="K21" t="s">
        <v>6058</v>
      </c>
      <c r="L21" t="s">
        <v>6084</v>
      </c>
      <c r="M21">
        <v>244.61</v>
      </c>
      <c r="N21">
        <v>2</v>
      </c>
      <c r="O21">
        <v>0.3</v>
      </c>
      <c r="P21">
        <v>-13.16</v>
      </c>
      <c r="Q21" t="s">
        <v>9894</v>
      </c>
      <c r="R21">
        <v>7</v>
      </c>
      <c r="S21" s="5">
        <f t="shared" si="0"/>
        <v>-5.3799926413474509E-2</v>
      </c>
      <c r="T21">
        <v>122.30500000000001</v>
      </c>
      <c r="U21">
        <v>1</v>
      </c>
      <c r="V21">
        <v>2023</v>
      </c>
      <c r="W21">
        <v>1</v>
      </c>
      <c r="X21" t="s">
        <v>9898</v>
      </c>
      <c r="Y21" t="s">
        <v>9900</v>
      </c>
      <c r="Z21" t="s">
        <v>9899</v>
      </c>
      <c r="AD21">
        <f t="shared" si="1"/>
        <v>7</v>
      </c>
    </row>
    <row r="22" spans="1:30" x14ac:dyDescent="0.25">
      <c r="A22" t="s">
        <v>46</v>
      </c>
      <c r="B22" s="2">
        <v>45258</v>
      </c>
      <c r="C22" s="2">
        <v>45259</v>
      </c>
      <c r="D22" t="s">
        <v>5044</v>
      </c>
      <c r="E22" t="s">
        <v>5544</v>
      </c>
      <c r="F22" t="s">
        <v>6026</v>
      </c>
      <c r="G22" t="s">
        <v>6029</v>
      </c>
      <c r="H22" t="s">
        <v>6036</v>
      </c>
      <c r="I22" t="s">
        <v>6049</v>
      </c>
      <c r="J22" t="s">
        <v>6054</v>
      </c>
      <c r="K22" t="s">
        <v>6059</v>
      </c>
      <c r="L22" t="s">
        <v>6085</v>
      </c>
      <c r="M22">
        <v>572.82000000000005</v>
      </c>
      <c r="N22">
        <v>4</v>
      </c>
      <c r="O22">
        <v>0.28999999999999998</v>
      </c>
      <c r="P22">
        <v>-27.68</v>
      </c>
      <c r="Q22" t="s">
        <v>9893</v>
      </c>
      <c r="R22">
        <v>1</v>
      </c>
      <c r="S22" s="5">
        <f t="shared" si="0"/>
        <v>-4.832233511399741E-2</v>
      </c>
      <c r="T22">
        <v>143.20500000000001</v>
      </c>
      <c r="U22">
        <v>11</v>
      </c>
      <c r="V22">
        <v>2023</v>
      </c>
      <c r="W22">
        <v>4</v>
      </c>
      <c r="X22" t="s">
        <v>9898</v>
      </c>
      <c r="Y22" t="s">
        <v>9900</v>
      </c>
      <c r="Z22" t="s">
        <v>9899</v>
      </c>
      <c r="AD22">
        <f t="shared" si="1"/>
        <v>1</v>
      </c>
    </row>
    <row r="23" spans="1:30" x14ac:dyDescent="0.25">
      <c r="A23" t="s">
        <v>47</v>
      </c>
      <c r="B23" s="2">
        <v>44993</v>
      </c>
      <c r="C23" s="2">
        <v>44997</v>
      </c>
      <c r="D23" t="s">
        <v>5026</v>
      </c>
      <c r="E23" t="s">
        <v>5526</v>
      </c>
      <c r="F23" t="s">
        <v>6026</v>
      </c>
      <c r="G23" t="s">
        <v>6031</v>
      </c>
      <c r="H23" t="s">
        <v>6037</v>
      </c>
      <c r="I23" t="s">
        <v>6048</v>
      </c>
      <c r="J23" t="s">
        <v>6054</v>
      </c>
      <c r="K23" t="s">
        <v>6060</v>
      </c>
      <c r="L23" t="s">
        <v>6086</v>
      </c>
      <c r="M23">
        <v>1112.8</v>
      </c>
      <c r="N23">
        <v>6</v>
      </c>
      <c r="O23">
        <v>0</v>
      </c>
      <c r="P23">
        <v>295.88</v>
      </c>
      <c r="Q23" t="s">
        <v>9895</v>
      </c>
      <c r="R23">
        <v>4</v>
      </c>
      <c r="S23" s="5">
        <f t="shared" si="0"/>
        <v>0.26588785046728974</v>
      </c>
      <c r="T23">
        <v>185.4666666666667</v>
      </c>
      <c r="U23">
        <v>3</v>
      </c>
      <c r="V23">
        <v>2023</v>
      </c>
      <c r="W23">
        <v>1</v>
      </c>
      <c r="X23" t="s">
        <v>9899</v>
      </c>
      <c r="Y23" t="s">
        <v>9901</v>
      </c>
      <c r="Z23" t="s">
        <v>9898</v>
      </c>
      <c r="AD23">
        <f t="shared" si="1"/>
        <v>4</v>
      </c>
    </row>
    <row r="24" spans="1:30" x14ac:dyDescent="0.25">
      <c r="A24" t="s">
        <v>48</v>
      </c>
      <c r="B24" s="2">
        <v>44674</v>
      </c>
      <c r="C24" s="2">
        <v>44678</v>
      </c>
      <c r="D24" t="s">
        <v>5045</v>
      </c>
      <c r="E24" t="s">
        <v>5545</v>
      </c>
      <c r="F24" t="s">
        <v>6027</v>
      </c>
      <c r="G24" t="s">
        <v>6031</v>
      </c>
      <c r="H24" t="s">
        <v>6040</v>
      </c>
      <c r="I24" t="s">
        <v>6052</v>
      </c>
      <c r="J24" t="s">
        <v>6054</v>
      </c>
      <c r="K24" t="s">
        <v>6059</v>
      </c>
      <c r="L24" t="s">
        <v>6087</v>
      </c>
      <c r="M24">
        <v>595.11</v>
      </c>
      <c r="N24">
        <v>6</v>
      </c>
      <c r="O24">
        <v>0.14000000000000001</v>
      </c>
      <c r="P24">
        <v>64.819999999999993</v>
      </c>
      <c r="Q24" t="s">
        <v>9894</v>
      </c>
      <c r="R24">
        <v>4</v>
      </c>
      <c r="S24" s="5">
        <f t="shared" si="0"/>
        <v>0.10892103980776661</v>
      </c>
      <c r="T24">
        <v>99.185000000000002</v>
      </c>
      <c r="U24">
        <v>4</v>
      </c>
      <c r="V24">
        <v>2022</v>
      </c>
      <c r="W24">
        <v>2</v>
      </c>
      <c r="X24" t="s">
        <v>9899</v>
      </c>
      <c r="Y24" t="s">
        <v>9901</v>
      </c>
      <c r="Z24" t="s">
        <v>9899</v>
      </c>
      <c r="AD24">
        <f t="shared" si="1"/>
        <v>4</v>
      </c>
    </row>
    <row r="25" spans="1:30" x14ac:dyDescent="0.25">
      <c r="A25" t="s">
        <v>49</v>
      </c>
      <c r="B25" s="2">
        <v>45318</v>
      </c>
      <c r="C25" s="2">
        <v>45320</v>
      </c>
      <c r="D25" t="s">
        <v>5046</v>
      </c>
      <c r="E25" t="s">
        <v>5546</v>
      </c>
      <c r="F25" t="s">
        <v>6028</v>
      </c>
      <c r="G25" t="s">
        <v>6029</v>
      </c>
      <c r="H25" t="s">
        <v>6044</v>
      </c>
      <c r="I25" t="s">
        <v>6049</v>
      </c>
      <c r="J25" t="s">
        <v>6055</v>
      </c>
      <c r="K25" t="s">
        <v>6061</v>
      </c>
      <c r="L25" t="s">
        <v>6088</v>
      </c>
      <c r="M25">
        <v>1338.16</v>
      </c>
      <c r="N25">
        <v>6</v>
      </c>
      <c r="O25">
        <v>0.09</v>
      </c>
      <c r="P25">
        <v>118.27</v>
      </c>
      <c r="Q25" t="s">
        <v>9897</v>
      </c>
      <c r="R25">
        <v>2</v>
      </c>
      <c r="S25" s="5">
        <f t="shared" si="0"/>
        <v>8.8382555150355702E-2</v>
      </c>
      <c r="T25">
        <v>223.0266666666667</v>
      </c>
      <c r="U25">
        <v>1</v>
      </c>
      <c r="V25">
        <v>2024</v>
      </c>
      <c r="W25">
        <v>1</v>
      </c>
      <c r="X25" t="s">
        <v>9899</v>
      </c>
      <c r="Y25" t="s">
        <v>9901</v>
      </c>
      <c r="Z25" t="s">
        <v>9898</v>
      </c>
      <c r="AD25">
        <f t="shared" si="1"/>
        <v>2</v>
      </c>
    </row>
    <row r="26" spans="1:30" x14ac:dyDescent="0.25">
      <c r="A26" t="s">
        <v>50</v>
      </c>
      <c r="B26" s="2">
        <v>45436</v>
      </c>
      <c r="C26" s="2">
        <v>45437</v>
      </c>
      <c r="D26" t="s">
        <v>5047</v>
      </c>
      <c r="E26" t="s">
        <v>5547</v>
      </c>
      <c r="F26" t="s">
        <v>6026</v>
      </c>
      <c r="G26" t="s">
        <v>6030</v>
      </c>
      <c r="H26" t="s">
        <v>6038</v>
      </c>
      <c r="I26" t="s">
        <v>6051</v>
      </c>
      <c r="J26" t="s">
        <v>6055</v>
      </c>
      <c r="K26" t="s">
        <v>6061</v>
      </c>
      <c r="L26" t="s">
        <v>6089</v>
      </c>
      <c r="M26">
        <v>1039.1400000000001</v>
      </c>
      <c r="N26">
        <v>7</v>
      </c>
      <c r="O26">
        <v>0.05</v>
      </c>
      <c r="P26">
        <v>184.35</v>
      </c>
      <c r="Q26" t="s">
        <v>9897</v>
      </c>
      <c r="R26">
        <v>1</v>
      </c>
      <c r="S26" s="5">
        <f t="shared" si="0"/>
        <v>0.17740631676193774</v>
      </c>
      <c r="T26">
        <v>148.44857142857151</v>
      </c>
      <c r="U26">
        <v>5</v>
      </c>
      <c r="V26">
        <v>2024</v>
      </c>
      <c r="W26">
        <v>2</v>
      </c>
      <c r="X26" t="s">
        <v>9899</v>
      </c>
      <c r="Y26" t="s">
        <v>9901</v>
      </c>
      <c r="Z26" t="s">
        <v>9898</v>
      </c>
      <c r="AD26">
        <f t="shared" si="1"/>
        <v>1</v>
      </c>
    </row>
    <row r="27" spans="1:30" x14ac:dyDescent="0.25">
      <c r="A27" t="s">
        <v>51</v>
      </c>
      <c r="B27" s="2">
        <v>44960</v>
      </c>
      <c r="C27" s="2">
        <v>44964</v>
      </c>
      <c r="D27" t="s">
        <v>5048</v>
      </c>
      <c r="E27" t="s">
        <v>5548</v>
      </c>
      <c r="F27" t="s">
        <v>6028</v>
      </c>
      <c r="G27" t="s">
        <v>6029</v>
      </c>
      <c r="H27" t="s">
        <v>6044</v>
      </c>
      <c r="I27" t="s">
        <v>6050</v>
      </c>
      <c r="J27" t="s">
        <v>6054</v>
      </c>
      <c r="K27" t="s">
        <v>6060</v>
      </c>
      <c r="L27" t="s">
        <v>6090</v>
      </c>
      <c r="M27">
        <v>1057.06</v>
      </c>
      <c r="N27">
        <v>2</v>
      </c>
      <c r="O27">
        <v>0.12</v>
      </c>
      <c r="P27">
        <v>37.35</v>
      </c>
      <c r="Q27" t="s">
        <v>9897</v>
      </c>
      <c r="R27">
        <v>4</v>
      </c>
      <c r="S27" s="5">
        <f t="shared" si="0"/>
        <v>3.5333850490984434E-2</v>
      </c>
      <c r="T27">
        <v>528.53</v>
      </c>
      <c r="U27">
        <v>2</v>
      </c>
      <c r="V27">
        <v>2023</v>
      </c>
      <c r="W27">
        <v>1</v>
      </c>
      <c r="X27" t="s">
        <v>9899</v>
      </c>
      <c r="Y27" t="s">
        <v>9901</v>
      </c>
      <c r="Z27" t="s">
        <v>9898</v>
      </c>
      <c r="AD27">
        <f t="shared" si="1"/>
        <v>4</v>
      </c>
    </row>
    <row r="28" spans="1:30" x14ac:dyDescent="0.25">
      <c r="A28" t="s">
        <v>52</v>
      </c>
      <c r="B28" s="2">
        <v>45144</v>
      </c>
      <c r="C28" s="2">
        <v>45149</v>
      </c>
      <c r="D28" t="s">
        <v>5049</v>
      </c>
      <c r="E28" t="s">
        <v>5549</v>
      </c>
      <c r="F28" t="s">
        <v>6028</v>
      </c>
      <c r="G28" t="s">
        <v>6029</v>
      </c>
      <c r="H28" t="s">
        <v>6036</v>
      </c>
      <c r="I28" t="s">
        <v>6046</v>
      </c>
      <c r="J28" t="s">
        <v>6055</v>
      </c>
      <c r="K28" t="s">
        <v>6061</v>
      </c>
      <c r="L28" t="s">
        <v>6091</v>
      </c>
      <c r="M28">
        <v>1052.81</v>
      </c>
      <c r="N28">
        <v>2</v>
      </c>
      <c r="O28">
        <v>0.27</v>
      </c>
      <c r="P28">
        <v>1.24</v>
      </c>
      <c r="Q28" t="s">
        <v>9895</v>
      </c>
      <c r="R28">
        <v>5</v>
      </c>
      <c r="S28" s="5">
        <f t="shared" si="0"/>
        <v>1.1778003628384989E-3</v>
      </c>
      <c r="T28">
        <v>526.40499999999997</v>
      </c>
      <c r="U28">
        <v>8</v>
      </c>
      <c r="V28">
        <v>2023</v>
      </c>
      <c r="W28">
        <v>3</v>
      </c>
      <c r="X28" t="s">
        <v>9899</v>
      </c>
      <c r="Y28" t="s">
        <v>9900</v>
      </c>
      <c r="Z28" t="s">
        <v>9898</v>
      </c>
      <c r="AD28">
        <f t="shared" si="1"/>
        <v>5</v>
      </c>
    </row>
    <row r="29" spans="1:30" x14ac:dyDescent="0.25">
      <c r="A29" t="s">
        <v>53</v>
      </c>
      <c r="B29" s="2">
        <v>44564</v>
      </c>
      <c r="C29" s="2">
        <v>44568</v>
      </c>
      <c r="D29" t="s">
        <v>5050</v>
      </c>
      <c r="E29" t="s">
        <v>5550</v>
      </c>
      <c r="F29" t="s">
        <v>6027</v>
      </c>
      <c r="G29" t="s">
        <v>6030</v>
      </c>
      <c r="H29" t="s">
        <v>6035</v>
      </c>
      <c r="I29" t="s">
        <v>6047</v>
      </c>
      <c r="J29" t="s">
        <v>6053</v>
      </c>
      <c r="K29" t="s">
        <v>6056</v>
      </c>
      <c r="L29" t="s">
        <v>6092</v>
      </c>
      <c r="M29">
        <v>1820.52</v>
      </c>
      <c r="N29">
        <v>6</v>
      </c>
      <c r="O29">
        <v>0.3</v>
      </c>
      <c r="P29">
        <v>-153.01</v>
      </c>
      <c r="Q29" t="s">
        <v>9893</v>
      </c>
      <c r="R29">
        <v>4</v>
      </c>
      <c r="S29" s="5">
        <f t="shared" si="0"/>
        <v>-8.4047415024278774E-2</v>
      </c>
      <c r="T29">
        <v>303.42</v>
      </c>
      <c r="U29">
        <v>1</v>
      </c>
      <c r="V29">
        <v>2022</v>
      </c>
      <c r="W29">
        <v>1</v>
      </c>
      <c r="X29" t="s">
        <v>9898</v>
      </c>
      <c r="Y29" t="s">
        <v>9900</v>
      </c>
      <c r="Z29" t="s">
        <v>9898</v>
      </c>
      <c r="AD29">
        <f t="shared" si="1"/>
        <v>4</v>
      </c>
    </row>
    <row r="30" spans="1:30" x14ac:dyDescent="0.25">
      <c r="A30" t="s">
        <v>54</v>
      </c>
      <c r="B30" s="2">
        <v>45037</v>
      </c>
      <c r="C30" s="2">
        <v>45042</v>
      </c>
      <c r="D30" t="s">
        <v>5051</v>
      </c>
      <c r="E30" t="s">
        <v>5551</v>
      </c>
      <c r="F30" t="s">
        <v>6028</v>
      </c>
      <c r="G30" t="s">
        <v>6029</v>
      </c>
      <c r="H30" t="s">
        <v>6045</v>
      </c>
      <c r="I30" t="s">
        <v>6046</v>
      </c>
      <c r="J30" t="s">
        <v>6055</v>
      </c>
      <c r="K30" t="s">
        <v>6064</v>
      </c>
      <c r="L30" t="s">
        <v>6093</v>
      </c>
      <c r="M30">
        <v>1161.5899999999999</v>
      </c>
      <c r="N30">
        <v>1</v>
      </c>
      <c r="O30">
        <v>0.33</v>
      </c>
      <c r="P30">
        <v>-181.92</v>
      </c>
      <c r="Q30" t="s">
        <v>9897</v>
      </c>
      <c r="R30">
        <v>5</v>
      </c>
      <c r="S30" s="5">
        <f t="shared" si="0"/>
        <v>-0.15661291849964273</v>
      </c>
      <c r="T30">
        <v>1161.5899999999999</v>
      </c>
      <c r="U30">
        <v>4</v>
      </c>
      <c r="V30">
        <v>2023</v>
      </c>
      <c r="W30">
        <v>2</v>
      </c>
      <c r="X30" t="s">
        <v>9898</v>
      </c>
      <c r="Y30" t="s">
        <v>9902</v>
      </c>
      <c r="Z30" t="s">
        <v>9898</v>
      </c>
      <c r="AD30">
        <f t="shared" si="1"/>
        <v>5</v>
      </c>
    </row>
    <row r="31" spans="1:30" x14ac:dyDescent="0.25">
      <c r="A31" t="s">
        <v>55</v>
      </c>
      <c r="B31" s="2">
        <v>44925</v>
      </c>
      <c r="C31" s="2">
        <v>44929</v>
      </c>
      <c r="D31" t="s">
        <v>5052</v>
      </c>
      <c r="E31" t="s">
        <v>5552</v>
      </c>
      <c r="F31" t="s">
        <v>6028</v>
      </c>
      <c r="G31" t="s">
        <v>6031</v>
      </c>
      <c r="H31" t="s">
        <v>6040</v>
      </c>
      <c r="I31" t="s">
        <v>6052</v>
      </c>
      <c r="J31" t="s">
        <v>6053</v>
      </c>
      <c r="K31" t="s">
        <v>6058</v>
      </c>
      <c r="L31" t="s">
        <v>6094</v>
      </c>
      <c r="M31">
        <v>1487</v>
      </c>
      <c r="N31">
        <v>5</v>
      </c>
      <c r="O31">
        <v>0.15</v>
      </c>
      <c r="P31">
        <v>140.38</v>
      </c>
      <c r="Q31" t="s">
        <v>9893</v>
      </c>
      <c r="R31">
        <v>4</v>
      </c>
      <c r="S31" s="5">
        <f t="shared" si="0"/>
        <v>9.4404841963685274E-2</v>
      </c>
      <c r="T31">
        <v>297.39999999999998</v>
      </c>
      <c r="U31">
        <v>12</v>
      </c>
      <c r="V31">
        <v>2022</v>
      </c>
      <c r="W31">
        <v>4</v>
      </c>
      <c r="X31" t="s">
        <v>9899</v>
      </c>
      <c r="Y31" t="s">
        <v>9901</v>
      </c>
      <c r="Z31" t="s">
        <v>9898</v>
      </c>
      <c r="AD31">
        <f t="shared" si="1"/>
        <v>4</v>
      </c>
    </row>
    <row r="32" spans="1:30" x14ac:dyDescent="0.25">
      <c r="A32" t="s">
        <v>56</v>
      </c>
      <c r="B32" s="2">
        <v>45006</v>
      </c>
      <c r="C32" s="2">
        <v>45011</v>
      </c>
      <c r="D32" t="s">
        <v>5053</v>
      </c>
      <c r="E32" t="s">
        <v>5553</v>
      </c>
      <c r="F32" t="s">
        <v>6028</v>
      </c>
      <c r="G32" t="s">
        <v>6029</v>
      </c>
      <c r="H32" t="s">
        <v>6032</v>
      </c>
      <c r="I32" t="s">
        <v>6046</v>
      </c>
      <c r="J32" t="s">
        <v>6054</v>
      </c>
      <c r="K32" t="s">
        <v>6059</v>
      </c>
      <c r="L32" t="s">
        <v>6095</v>
      </c>
      <c r="M32">
        <v>458.41</v>
      </c>
      <c r="N32">
        <v>5</v>
      </c>
      <c r="O32">
        <v>0.22</v>
      </c>
      <c r="P32">
        <v>-44.05</v>
      </c>
      <c r="Q32" t="s">
        <v>9897</v>
      </c>
      <c r="R32">
        <v>5</v>
      </c>
      <c r="S32" s="5">
        <f t="shared" si="0"/>
        <v>-9.6093017168037337E-2</v>
      </c>
      <c r="T32">
        <v>91.682000000000002</v>
      </c>
      <c r="U32">
        <v>3</v>
      </c>
      <c r="V32">
        <v>2023</v>
      </c>
      <c r="W32">
        <v>1</v>
      </c>
      <c r="X32" t="s">
        <v>9898</v>
      </c>
      <c r="Y32" t="s">
        <v>9900</v>
      </c>
      <c r="Z32" t="s">
        <v>9899</v>
      </c>
      <c r="AD32">
        <f t="shared" si="1"/>
        <v>5</v>
      </c>
    </row>
    <row r="33" spans="1:30" x14ac:dyDescent="0.25">
      <c r="A33" t="s">
        <v>57</v>
      </c>
      <c r="B33" s="2">
        <v>45441</v>
      </c>
      <c r="C33" s="2">
        <v>45445</v>
      </c>
      <c r="D33" t="s">
        <v>5054</v>
      </c>
      <c r="E33" t="s">
        <v>5554</v>
      </c>
      <c r="F33" t="s">
        <v>6026</v>
      </c>
      <c r="G33" t="s">
        <v>6030</v>
      </c>
      <c r="H33" t="s">
        <v>6033</v>
      </c>
      <c r="I33" t="s">
        <v>6047</v>
      </c>
      <c r="J33" t="s">
        <v>6055</v>
      </c>
      <c r="K33" t="s">
        <v>6064</v>
      </c>
      <c r="L33" t="s">
        <v>6096</v>
      </c>
      <c r="M33">
        <v>1764</v>
      </c>
      <c r="N33">
        <v>2</v>
      </c>
      <c r="O33">
        <v>0.26</v>
      </c>
      <c r="P33">
        <v>-249.16</v>
      </c>
      <c r="Q33" t="s">
        <v>9894</v>
      </c>
      <c r="R33">
        <v>4</v>
      </c>
      <c r="S33" s="5">
        <f t="shared" si="0"/>
        <v>-0.1412471655328798</v>
      </c>
      <c r="T33">
        <v>882</v>
      </c>
      <c r="U33">
        <v>5</v>
      </c>
      <c r="V33">
        <v>2024</v>
      </c>
      <c r="W33">
        <v>2</v>
      </c>
      <c r="X33" t="s">
        <v>9898</v>
      </c>
      <c r="Y33" t="s">
        <v>9900</v>
      </c>
      <c r="Z33" t="s">
        <v>9898</v>
      </c>
      <c r="AD33">
        <f t="shared" si="1"/>
        <v>4</v>
      </c>
    </row>
    <row r="34" spans="1:30" x14ac:dyDescent="0.25">
      <c r="A34" t="s">
        <v>58</v>
      </c>
      <c r="B34" s="2">
        <v>45237</v>
      </c>
      <c r="C34" s="2">
        <v>45243</v>
      </c>
      <c r="D34" t="s">
        <v>5055</v>
      </c>
      <c r="E34" t="s">
        <v>5555</v>
      </c>
      <c r="F34" t="s">
        <v>6027</v>
      </c>
      <c r="G34" t="s">
        <v>6031</v>
      </c>
      <c r="H34" t="s">
        <v>6037</v>
      </c>
      <c r="I34" t="s">
        <v>6052</v>
      </c>
      <c r="J34" t="s">
        <v>6053</v>
      </c>
      <c r="K34" t="s">
        <v>6056</v>
      </c>
      <c r="L34" t="s">
        <v>6097</v>
      </c>
      <c r="M34">
        <v>1758.04</v>
      </c>
      <c r="N34">
        <v>1</v>
      </c>
      <c r="O34">
        <v>0.18</v>
      </c>
      <c r="P34">
        <v>-49.15</v>
      </c>
      <c r="Q34" t="s">
        <v>9893</v>
      </c>
      <c r="R34">
        <v>6</v>
      </c>
      <c r="S34" s="5">
        <f t="shared" si="0"/>
        <v>-2.7957270596800983E-2</v>
      </c>
      <c r="T34">
        <v>1758.04</v>
      </c>
      <c r="U34">
        <v>11</v>
      </c>
      <c r="V34">
        <v>2023</v>
      </c>
      <c r="W34">
        <v>4</v>
      </c>
      <c r="X34" t="s">
        <v>9898</v>
      </c>
      <c r="Y34" t="s">
        <v>9900</v>
      </c>
      <c r="Z34" t="s">
        <v>9898</v>
      </c>
      <c r="AD34">
        <f t="shared" si="1"/>
        <v>6</v>
      </c>
    </row>
    <row r="35" spans="1:30" x14ac:dyDescent="0.25">
      <c r="A35" t="s">
        <v>59</v>
      </c>
      <c r="B35" s="2">
        <v>44855</v>
      </c>
      <c r="C35" s="2">
        <v>44859</v>
      </c>
      <c r="D35" t="s">
        <v>5056</v>
      </c>
      <c r="E35" t="s">
        <v>5556</v>
      </c>
      <c r="F35" t="s">
        <v>6026</v>
      </c>
      <c r="G35" t="s">
        <v>6029</v>
      </c>
      <c r="H35" t="s">
        <v>6041</v>
      </c>
      <c r="I35" t="s">
        <v>6049</v>
      </c>
      <c r="J35" t="s">
        <v>6054</v>
      </c>
      <c r="K35" t="s">
        <v>6059</v>
      </c>
      <c r="L35" t="s">
        <v>6098</v>
      </c>
      <c r="M35">
        <v>1354.85</v>
      </c>
      <c r="N35">
        <v>2</v>
      </c>
      <c r="O35">
        <v>0.28999999999999998</v>
      </c>
      <c r="P35">
        <v>-177.87</v>
      </c>
      <c r="Q35" t="s">
        <v>9897</v>
      </c>
      <c r="R35">
        <v>4</v>
      </c>
      <c r="S35" s="5">
        <f t="shared" si="0"/>
        <v>-0.13128390596745029</v>
      </c>
      <c r="T35">
        <v>677.42499999999995</v>
      </c>
      <c r="U35">
        <v>10</v>
      </c>
      <c r="V35">
        <v>2022</v>
      </c>
      <c r="W35">
        <v>4</v>
      </c>
      <c r="X35" t="s">
        <v>9898</v>
      </c>
      <c r="Y35" t="s">
        <v>9900</v>
      </c>
      <c r="Z35" t="s">
        <v>9898</v>
      </c>
      <c r="AD35">
        <f t="shared" si="1"/>
        <v>4</v>
      </c>
    </row>
    <row r="36" spans="1:30" x14ac:dyDescent="0.25">
      <c r="A36" t="s">
        <v>60</v>
      </c>
      <c r="B36" s="2">
        <v>44675</v>
      </c>
      <c r="C36" s="2">
        <v>44682</v>
      </c>
      <c r="D36" t="s">
        <v>5051</v>
      </c>
      <c r="E36" t="s">
        <v>5551</v>
      </c>
      <c r="F36" t="s">
        <v>6026</v>
      </c>
      <c r="G36" t="s">
        <v>6031</v>
      </c>
      <c r="H36" t="s">
        <v>6037</v>
      </c>
      <c r="I36" t="s">
        <v>6050</v>
      </c>
      <c r="J36" t="s">
        <v>6054</v>
      </c>
      <c r="K36" t="s">
        <v>6062</v>
      </c>
      <c r="L36" t="s">
        <v>6099</v>
      </c>
      <c r="M36">
        <v>322.86</v>
      </c>
      <c r="N36">
        <v>6</v>
      </c>
      <c r="O36">
        <v>0.13</v>
      </c>
      <c r="P36">
        <v>11.05</v>
      </c>
      <c r="Q36" t="s">
        <v>9893</v>
      </c>
      <c r="R36">
        <v>7</v>
      </c>
      <c r="S36" s="5">
        <f t="shared" si="0"/>
        <v>3.4225360837514714E-2</v>
      </c>
      <c r="T36">
        <v>53.81</v>
      </c>
      <c r="U36">
        <v>4</v>
      </c>
      <c r="V36">
        <v>2022</v>
      </c>
      <c r="W36">
        <v>2</v>
      </c>
      <c r="X36" t="s">
        <v>9899</v>
      </c>
      <c r="Y36" t="s">
        <v>9901</v>
      </c>
      <c r="Z36" t="s">
        <v>9899</v>
      </c>
      <c r="AD36">
        <f t="shared" si="1"/>
        <v>7</v>
      </c>
    </row>
    <row r="37" spans="1:30" x14ac:dyDescent="0.25">
      <c r="A37" t="s">
        <v>61</v>
      </c>
      <c r="B37" s="2">
        <v>45307</v>
      </c>
      <c r="C37" s="2">
        <v>45312</v>
      </c>
      <c r="D37" t="s">
        <v>5057</v>
      </c>
      <c r="E37" t="s">
        <v>5557</v>
      </c>
      <c r="F37" t="s">
        <v>6026</v>
      </c>
      <c r="G37" t="s">
        <v>6029</v>
      </c>
      <c r="H37" t="s">
        <v>6044</v>
      </c>
      <c r="I37" t="s">
        <v>6050</v>
      </c>
      <c r="J37" t="s">
        <v>6053</v>
      </c>
      <c r="K37" t="s">
        <v>6058</v>
      </c>
      <c r="L37" t="s">
        <v>6100</v>
      </c>
      <c r="M37">
        <v>1086.0999999999999</v>
      </c>
      <c r="N37">
        <v>1</v>
      </c>
      <c r="O37">
        <v>0.06</v>
      </c>
      <c r="P37">
        <v>231.31</v>
      </c>
      <c r="Q37" t="s">
        <v>9895</v>
      </c>
      <c r="R37">
        <v>5</v>
      </c>
      <c r="S37" s="5">
        <f t="shared" si="0"/>
        <v>0.21297302274192065</v>
      </c>
      <c r="T37">
        <v>1086.0999999999999</v>
      </c>
      <c r="U37">
        <v>1</v>
      </c>
      <c r="V37">
        <v>2024</v>
      </c>
      <c r="W37">
        <v>1</v>
      </c>
      <c r="X37" t="s">
        <v>9899</v>
      </c>
      <c r="Y37" t="s">
        <v>9901</v>
      </c>
      <c r="Z37" t="s">
        <v>9898</v>
      </c>
      <c r="AD37">
        <f t="shared" si="1"/>
        <v>5</v>
      </c>
    </row>
    <row r="38" spans="1:30" x14ac:dyDescent="0.25">
      <c r="A38" t="s">
        <v>62</v>
      </c>
      <c r="B38" s="2">
        <v>44794</v>
      </c>
      <c r="C38" s="2">
        <v>44796</v>
      </c>
      <c r="D38" t="s">
        <v>5058</v>
      </c>
      <c r="E38" t="s">
        <v>5558</v>
      </c>
      <c r="F38" t="s">
        <v>6028</v>
      </c>
      <c r="G38" t="s">
        <v>6029</v>
      </c>
      <c r="H38" t="s">
        <v>6045</v>
      </c>
      <c r="I38" t="s">
        <v>6046</v>
      </c>
      <c r="J38" t="s">
        <v>6054</v>
      </c>
      <c r="K38" t="s">
        <v>6062</v>
      </c>
      <c r="L38" t="s">
        <v>6101</v>
      </c>
      <c r="M38">
        <v>1584.54</v>
      </c>
      <c r="N38">
        <v>8</v>
      </c>
      <c r="O38">
        <v>0.14000000000000001</v>
      </c>
      <c r="P38">
        <v>210.35</v>
      </c>
      <c r="Q38" t="s">
        <v>9894</v>
      </c>
      <c r="R38">
        <v>2</v>
      </c>
      <c r="S38" s="5">
        <f t="shared" si="0"/>
        <v>0.1327514609918336</v>
      </c>
      <c r="T38">
        <v>198.0675</v>
      </c>
      <c r="U38">
        <v>8</v>
      </c>
      <c r="V38">
        <v>2022</v>
      </c>
      <c r="W38">
        <v>3</v>
      </c>
      <c r="X38" t="s">
        <v>9899</v>
      </c>
      <c r="Y38" t="s">
        <v>9901</v>
      </c>
      <c r="Z38" t="s">
        <v>9898</v>
      </c>
      <c r="AD38">
        <f t="shared" si="1"/>
        <v>2</v>
      </c>
    </row>
    <row r="39" spans="1:30" x14ac:dyDescent="0.25">
      <c r="A39" t="s">
        <v>63</v>
      </c>
      <c r="B39" s="2">
        <v>45017</v>
      </c>
      <c r="C39" s="2">
        <v>45019</v>
      </c>
      <c r="D39" t="s">
        <v>5059</v>
      </c>
      <c r="E39" t="s">
        <v>5559</v>
      </c>
      <c r="F39" t="s">
        <v>6028</v>
      </c>
      <c r="G39" t="s">
        <v>6031</v>
      </c>
      <c r="H39" t="s">
        <v>6042</v>
      </c>
      <c r="I39" t="s">
        <v>6050</v>
      </c>
      <c r="J39" t="s">
        <v>6055</v>
      </c>
      <c r="K39" t="s">
        <v>6063</v>
      </c>
      <c r="L39" t="s">
        <v>6102</v>
      </c>
      <c r="M39">
        <v>1835.9</v>
      </c>
      <c r="N39">
        <v>1</v>
      </c>
      <c r="O39">
        <v>0.14000000000000001</v>
      </c>
      <c r="P39">
        <v>97.03</v>
      </c>
      <c r="Q39" t="s">
        <v>9894</v>
      </c>
      <c r="R39">
        <v>2</v>
      </c>
      <c r="S39" s="5">
        <f t="shared" si="0"/>
        <v>5.2851462497957406E-2</v>
      </c>
      <c r="T39">
        <v>1835.9</v>
      </c>
      <c r="U39">
        <v>4</v>
      </c>
      <c r="V39">
        <v>2023</v>
      </c>
      <c r="W39">
        <v>2</v>
      </c>
      <c r="X39" t="s">
        <v>9899</v>
      </c>
      <c r="Y39" t="s">
        <v>9901</v>
      </c>
      <c r="Z39" t="s">
        <v>9898</v>
      </c>
      <c r="AD39">
        <f t="shared" si="1"/>
        <v>2</v>
      </c>
    </row>
    <row r="40" spans="1:30" x14ac:dyDescent="0.25">
      <c r="A40" t="s">
        <v>64</v>
      </c>
      <c r="B40" s="2">
        <v>45217</v>
      </c>
      <c r="C40" s="2">
        <v>45220</v>
      </c>
      <c r="D40" t="s">
        <v>5060</v>
      </c>
      <c r="E40" t="s">
        <v>5560</v>
      </c>
      <c r="F40" t="s">
        <v>6028</v>
      </c>
      <c r="G40" t="s">
        <v>6029</v>
      </c>
      <c r="H40" t="s">
        <v>6036</v>
      </c>
      <c r="I40" t="s">
        <v>6050</v>
      </c>
      <c r="J40" t="s">
        <v>6054</v>
      </c>
      <c r="K40" t="s">
        <v>6062</v>
      </c>
      <c r="L40" t="s">
        <v>6103</v>
      </c>
      <c r="M40">
        <v>390.34</v>
      </c>
      <c r="N40">
        <v>8</v>
      </c>
      <c r="O40">
        <v>0.26</v>
      </c>
      <c r="P40">
        <v>-44.73</v>
      </c>
      <c r="Q40" t="s">
        <v>9897</v>
      </c>
      <c r="R40">
        <v>3</v>
      </c>
      <c r="S40" s="5">
        <f t="shared" si="0"/>
        <v>-0.11459240661986986</v>
      </c>
      <c r="T40">
        <v>48.792499999999997</v>
      </c>
      <c r="U40">
        <v>10</v>
      </c>
      <c r="V40">
        <v>2023</v>
      </c>
      <c r="W40">
        <v>4</v>
      </c>
      <c r="X40" t="s">
        <v>9898</v>
      </c>
      <c r="Y40" t="s">
        <v>9900</v>
      </c>
      <c r="Z40" t="s">
        <v>9899</v>
      </c>
      <c r="AD40">
        <f t="shared" si="1"/>
        <v>3</v>
      </c>
    </row>
    <row r="41" spans="1:30" x14ac:dyDescent="0.25">
      <c r="A41" t="s">
        <v>65</v>
      </c>
      <c r="B41" s="2">
        <v>45374</v>
      </c>
      <c r="C41" s="2">
        <v>45379</v>
      </c>
      <c r="D41" t="s">
        <v>5061</v>
      </c>
      <c r="E41" t="s">
        <v>5561</v>
      </c>
      <c r="F41" t="s">
        <v>6027</v>
      </c>
      <c r="G41" t="s">
        <v>6030</v>
      </c>
      <c r="H41" t="s">
        <v>6035</v>
      </c>
      <c r="I41" t="s">
        <v>6047</v>
      </c>
      <c r="J41" t="s">
        <v>6055</v>
      </c>
      <c r="K41" t="s">
        <v>6063</v>
      </c>
      <c r="L41" t="s">
        <v>6104</v>
      </c>
      <c r="M41">
        <v>1588.75</v>
      </c>
      <c r="N41">
        <v>4</v>
      </c>
      <c r="O41">
        <v>0.12</v>
      </c>
      <c r="P41">
        <v>230.94</v>
      </c>
      <c r="Q41" t="s">
        <v>9894</v>
      </c>
      <c r="R41">
        <v>5</v>
      </c>
      <c r="S41" s="5">
        <f t="shared" si="0"/>
        <v>0.14535955940204562</v>
      </c>
      <c r="T41">
        <v>397.1875</v>
      </c>
      <c r="U41">
        <v>3</v>
      </c>
      <c r="V41">
        <v>2024</v>
      </c>
      <c r="W41">
        <v>1</v>
      </c>
      <c r="X41" t="s">
        <v>9899</v>
      </c>
      <c r="Y41" t="s">
        <v>9901</v>
      </c>
      <c r="Z41" t="s">
        <v>9898</v>
      </c>
      <c r="AD41">
        <f t="shared" si="1"/>
        <v>5</v>
      </c>
    </row>
    <row r="42" spans="1:30" x14ac:dyDescent="0.25">
      <c r="A42" t="s">
        <v>66</v>
      </c>
      <c r="B42" s="2">
        <v>45230</v>
      </c>
      <c r="C42" s="2">
        <v>45237</v>
      </c>
      <c r="D42" t="s">
        <v>5062</v>
      </c>
      <c r="E42" t="s">
        <v>5562</v>
      </c>
      <c r="F42" t="s">
        <v>6028</v>
      </c>
      <c r="G42" t="s">
        <v>6030</v>
      </c>
      <c r="H42" t="s">
        <v>6039</v>
      </c>
      <c r="I42" t="s">
        <v>6047</v>
      </c>
      <c r="J42" t="s">
        <v>6054</v>
      </c>
      <c r="K42" t="s">
        <v>6060</v>
      </c>
      <c r="L42" t="s">
        <v>6105</v>
      </c>
      <c r="M42">
        <v>1238.77</v>
      </c>
      <c r="N42">
        <v>7</v>
      </c>
      <c r="O42">
        <v>0.08</v>
      </c>
      <c r="P42">
        <v>247.05</v>
      </c>
      <c r="Q42" t="s">
        <v>9894</v>
      </c>
      <c r="R42">
        <v>7</v>
      </c>
      <c r="S42" s="5">
        <f t="shared" si="0"/>
        <v>0.19943169434196825</v>
      </c>
      <c r="T42">
        <v>176.96714285714279</v>
      </c>
      <c r="U42">
        <v>10</v>
      </c>
      <c r="V42">
        <v>2023</v>
      </c>
      <c r="W42">
        <v>4</v>
      </c>
      <c r="X42" t="s">
        <v>9899</v>
      </c>
      <c r="Y42" t="s">
        <v>9901</v>
      </c>
      <c r="Z42" t="s">
        <v>9898</v>
      </c>
      <c r="AD42">
        <f t="shared" si="1"/>
        <v>7</v>
      </c>
    </row>
    <row r="43" spans="1:30" x14ac:dyDescent="0.25">
      <c r="A43" t="s">
        <v>67</v>
      </c>
      <c r="B43" s="2">
        <v>44567</v>
      </c>
      <c r="C43" s="2">
        <v>44573</v>
      </c>
      <c r="D43" t="s">
        <v>5063</v>
      </c>
      <c r="E43" t="s">
        <v>5563</v>
      </c>
      <c r="F43" t="s">
        <v>6026</v>
      </c>
      <c r="G43" t="s">
        <v>6029</v>
      </c>
      <c r="H43" t="s">
        <v>6032</v>
      </c>
      <c r="I43" t="s">
        <v>6046</v>
      </c>
      <c r="J43" t="s">
        <v>6055</v>
      </c>
      <c r="K43" t="s">
        <v>6064</v>
      </c>
      <c r="L43" t="s">
        <v>6106</v>
      </c>
      <c r="M43">
        <v>1731.38</v>
      </c>
      <c r="N43">
        <v>6</v>
      </c>
      <c r="O43">
        <v>0.08</v>
      </c>
      <c r="P43">
        <v>186.58</v>
      </c>
      <c r="Q43" t="s">
        <v>9894</v>
      </c>
      <c r="R43">
        <v>6</v>
      </c>
      <c r="S43" s="5">
        <f t="shared" si="0"/>
        <v>0.10776374914807842</v>
      </c>
      <c r="T43">
        <v>288.56333333333328</v>
      </c>
      <c r="U43">
        <v>1</v>
      </c>
      <c r="V43">
        <v>2022</v>
      </c>
      <c r="W43">
        <v>1</v>
      </c>
      <c r="X43" t="s">
        <v>9899</v>
      </c>
      <c r="Y43" t="s">
        <v>9901</v>
      </c>
      <c r="Z43" t="s">
        <v>9898</v>
      </c>
      <c r="AD43">
        <f t="shared" si="1"/>
        <v>6</v>
      </c>
    </row>
    <row r="44" spans="1:30" x14ac:dyDescent="0.25">
      <c r="A44" t="s">
        <v>68</v>
      </c>
      <c r="B44" s="2">
        <v>44579</v>
      </c>
      <c r="C44" s="2">
        <v>44582</v>
      </c>
      <c r="D44" t="s">
        <v>5064</v>
      </c>
      <c r="E44" t="s">
        <v>5564</v>
      </c>
      <c r="F44" t="s">
        <v>6026</v>
      </c>
      <c r="G44" t="s">
        <v>6029</v>
      </c>
      <c r="H44" t="s">
        <v>6041</v>
      </c>
      <c r="I44" t="s">
        <v>6046</v>
      </c>
      <c r="J44" t="s">
        <v>6053</v>
      </c>
      <c r="K44" t="s">
        <v>6056</v>
      </c>
      <c r="L44" t="s">
        <v>6107</v>
      </c>
      <c r="M44">
        <v>1916.8</v>
      </c>
      <c r="N44">
        <v>4</v>
      </c>
      <c r="O44">
        <v>0.02</v>
      </c>
      <c r="P44">
        <v>308.47000000000003</v>
      </c>
      <c r="Q44" t="s">
        <v>9897</v>
      </c>
      <c r="R44">
        <v>3</v>
      </c>
      <c r="S44" s="5">
        <f t="shared" si="0"/>
        <v>0.16092967445742906</v>
      </c>
      <c r="T44">
        <v>479.2</v>
      </c>
      <c r="U44">
        <v>1</v>
      </c>
      <c r="V44">
        <v>2022</v>
      </c>
      <c r="W44">
        <v>1</v>
      </c>
      <c r="X44" t="s">
        <v>9899</v>
      </c>
      <c r="Y44" t="s">
        <v>9901</v>
      </c>
      <c r="Z44" t="s">
        <v>9898</v>
      </c>
      <c r="AD44">
        <f t="shared" si="1"/>
        <v>3</v>
      </c>
    </row>
    <row r="45" spans="1:30" x14ac:dyDescent="0.25">
      <c r="A45" t="s">
        <v>69</v>
      </c>
      <c r="B45" s="2">
        <v>45340</v>
      </c>
      <c r="C45" s="2">
        <v>45346</v>
      </c>
      <c r="D45" t="s">
        <v>5065</v>
      </c>
      <c r="E45" t="s">
        <v>5565</v>
      </c>
      <c r="F45" t="s">
        <v>6028</v>
      </c>
      <c r="G45" t="s">
        <v>6029</v>
      </c>
      <c r="H45" t="s">
        <v>6044</v>
      </c>
      <c r="I45" t="s">
        <v>6049</v>
      </c>
      <c r="J45" t="s">
        <v>6055</v>
      </c>
      <c r="K45" t="s">
        <v>6064</v>
      </c>
      <c r="L45" t="s">
        <v>6108</v>
      </c>
      <c r="M45">
        <v>974.02</v>
      </c>
      <c r="N45">
        <v>1</v>
      </c>
      <c r="O45">
        <v>0.14000000000000001</v>
      </c>
      <c r="P45">
        <v>28.06</v>
      </c>
      <c r="Q45" t="s">
        <v>9894</v>
      </c>
      <c r="R45">
        <v>6</v>
      </c>
      <c r="S45" s="5">
        <f t="shared" si="0"/>
        <v>2.8808443358452597E-2</v>
      </c>
      <c r="T45">
        <v>974.02</v>
      </c>
      <c r="U45">
        <v>2</v>
      </c>
      <c r="V45">
        <v>2024</v>
      </c>
      <c r="W45">
        <v>1</v>
      </c>
      <c r="X45" t="s">
        <v>9899</v>
      </c>
      <c r="Y45" t="s">
        <v>9901</v>
      </c>
      <c r="Z45" t="s">
        <v>9899</v>
      </c>
      <c r="AD45">
        <f t="shared" si="1"/>
        <v>6</v>
      </c>
    </row>
    <row r="46" spans="1:30" x14ac:dyDescent="0.25">
      <c r="A46" t="s">
        <v>70</v>
      </c>
      <c r="B46" s="2">
        <v>44607</v>
      </c>
      <c r="C46" s="2">
        <v>44613</v>
      </c>
      <c r="D46" t="s">
        <v>5066</v>
      </c>
      <c r="E46" t="s">
        <v>5566</v>
      </c>
      <c r="F46" t="s">
        <v>6027</v>
      </c>
      <c r="G46" t="s">
        <v>6031</v>
      </c>
      <c r="H46" t="s">
        <v>6043</v>
      </c>
      <c r="I46" t="s">
        <v>6052</v>
      </c>
      <c r="J46" t="s">
        <v>6054</v>
      </c>
      <c r="K46" t="s">
        <v>6060</v>
      </c>
      <c r="L46" t="s">
        <v>6109</v>
      </c>
      <c r="M46">
        <v>1227.9100000000001</v>
      </c>
      <c r="N46">
        <v>7</v>
      </c>
      <c r="O46">
        <v>0.3</v>
      </c>
      <c r="P46">
        <v>-145.01</v>
      </c>
      <c r="Q46" t="s">
        <v>9896</v>
      </c>
      <c r="R46">
        <v>6</v>
      </c>
      <c r="S46" s="5">
        <f t="shared" si="0"/>
        <v>-0.11809497438737365</v>
      </c>
      <c r="T46">
        <v>175.4157142857143</v>
      </c>
      <c r="U46">
        <v>2</v>
      </c>
      <c r="V46">
        <v>2022</v>
      </c>
      <c r="W46">
        <v>1</v>
      </c>
      <c r="X46" t="s">
        <v>9898</v>
      </c>
      <c r="Y46" t="s">
        <v>9900</v>
      </c>
      <c r="Z46" t="s">
        <v>9898</v>
      </c>
      <c r="AD46">
        <f t="shared" si="1"/>
        <v>6</v>
      </c>
    </row>
    <row r="47" spans="1:30" x14ac:dyDescent="0.25">
      <c r="A47" t="s">
        <v>71</v>
      </c>
      <c r="B47" s="2">
        <v>44742</v>
      </c>
      <c r="C47" s="2">
        <v>44746</v>
      </c>
      <c r="D47" t="s">
        <v>5067</v>
      </c>
      <c r="E47" t="s">
        <v>5567</v>
      </c>
      <c r="F47" t="s">
        <v>6026</v>
      </c>
      <c r="G47" t="s">
        <v>6030</v>
      </c>
      <c r="H47" t="s">
        <v>6038</v>
      </c>
      <c r="I47" t="s">
        <v>6047</v>
      </c>
      <c r="J47" t="s">
        <v>6053</v>
      </c>
      <c r="K47" t="s">
        <v>6057</v>
      </c>
      <c r="L47" t="s">
        <v>6110</v>
      </c>
      <c r="M47">
        <v>868.35</v>
      </c>
      <c r="N47">
        <v>7</v>
      </c>
      <c r="O47">
        <v>0.13</v>
      </c>
      <c r="P47">
        <v>122.5</v>
      </c>
      <c r="Q47" t="s">
        <v>9895</v>
      </c>
      <c r="R47">
        <v>4</v>
      </c>
      <c r="S47" s="5">
        <f t="shared" si="0"/>
        <v>0.14107214832728737</v>
      </c>
      <c r="T47">
        <v>124.05</v>
      </c>
      <c r="U47">
        <v>6</v>
      </c>
      <c r="V47">
        <v>2022</v>
      </c>
      <c r="W47">
        <v>2</v>
      </c>
      <c r="X47" t="s">
        <v>9899</v>
      </c>
      <c r="Y47" t="s">
        <v>9901</v>
      </c>
      <c r="Z47" t="s">
        <v>9899</v>
      </c>
      <c r="AD47">
        <f t="shared" si="1"/>
        <v>4</v>
      </c>
    </row>
    <row r="48" spans="1:30" x14ac:dyDescent="0.25">
      <c r="A48" t="s">
        <v>72</v>
      </c>
      <c r="B48" s="2">
        <v>44889</v>
      </c>
      <c r="C48" s="2">
        <v>44891</v>
      </c>
      <c r="D48" t="s">
        <v>5068</v>
      </c>
      <c r="E48" t="s">
        <v>5568</v>
      </c>
      <c r="F48" t="s">
        <v>6028</v>
      </c>
      <c r="G48" t="s">
        <v>6029</v>
      </c>
      <c r="H48" t="s">
        <v>6044</v>
      </c>
      <c r="I48" t="s">
        <v>6046</v>
      </c>
      <c r="J48" t="s">
        <v>6053</v>
      </c>
      <c r="K48" t="s">
        <v>6058</v>
      </c>
      <c r="L48" t="s">
        <v>6111</v>
      </c>
      <c r="M48">
        <v>1530.1</v>
      </c>
      <c r="N48">
        <v>7</v>
      </c>
      <c r="O48">
        <v>0.06</v>
      </c>
      <c r="P48">
        <v>181.45</v>
      </c>
      <c r="Q48" t="s">
        <v>9894</v>
      </c>
      <c r="R48">
        <v>2</v>
      </c>
      <c r="S48" s="5">
        <f t="shared" si="0"/>
        <v>0.11858702045617933</v>
      </c>
      <c r="T48">
        <v>218.58571428571429</v>
      </c>
      <c r="U48">
        <v>11</v>
      </c>
      <c r="V48">
        <v>2022</v>
      </c>
      <c r="W48">
        <v>4</v>
      </c>
      <c r="X48" t="s">
        <v>9899</v>
      </c>
      <c r="Y48" t="s">
        <v>9901</v>
      </c>
      <c r="Z48" t="s">
        <v>9898</v>
      </c>
      <c r="AD48">
        <f t="shared" si="1"/>
        <v>2</v>
      </c>
    </row>
    <row r="49" spans="1:30" x14ac:dyDescent="0.25">
      <c r="A49" t="s">
        <v>73</v>
      </c>
      <c r="B49" s="2">
        <v>45323</v>
      </c>
      <c r="C49" s="2">
        <v>45325</v>
      </c>
      <c r="D49" t="s">
        <v>5069</v>
      </c>
      <c r="E49" t="s">
        <v>5569</v>
      </c>
      <c r="F49" t="s">
        <v>6028</v>
      </c>
      <c r="G49" t="s">
        <v>6029</v>
      </c>
      <c r="H49" t="s">
        <v>6032</v>
      </c>
      <c r="I49" t="s">
        <v>6050</v>
      </c>
      <c r="J49" t="s">
        <v>6055</v>
      </c>
      <c r="K49" t="s">
        <v>6063</v>
      </c>
      <c r="L49" t="s">
        <v>6112</v>
      </c>
      <c r="M49">
        <v>418.59</v>
      </c>
      <c r="N49">
        <v>6</v>
      </c>
      <c r="O49">
        <v>0.31</v>
      </c>
      <c r="P49">
        <v>-55.24</v>
      </c>
      <c r="Q49" t="s">
        <v>9893</v>
      </c>
      <c r="R49">
        <v>2</v>
      </c>
      <c r="S49" s="5">
        <f t="shared" si="0"/>
        <v>-0.1319668410616594</v>
      </c>
      <c r="T49">
        <v>69.765000000000001</v>
      </c>
      <c r="U49">
        <v>2</v>
      </c>
      <c r="V49">
        <v>2024</v>
      </c>
      <c r="W49">
        <v>1</v>
      </c>
      <c r="X49" t="s">
        <v>9898</v>
      </c>
      <c r="Y49" t="s">
        <v>9902</v>
      </c>
      <c r="Z49" t="s">
        <v>9899</v>
      </c>
      <c r="AD49">
        <f t="shared" si="1"/>
        <v>2</v>
      </c>
    </row>
    <row r="50" spans="1:30" x14ac:dyDescent="0.25">
      <c r="A50" t="s">
        <v>74</v>
      </c>
      <c r="B50" s="2">
        <v>44724</v>
      </c>
      <c r="C50" s="2">
        <v>44729</v>
      </c>
      <c r="D50" t="s">
        <v>5070</v>
      </c>
      <c r="E50" t="s">
        <v>5570</v>
      </c>
      <c r="F50" t="s">
        <v>6028</v>
      </c>
      <c r="G50" t="s">
        <v>6030</v>
      </c>
      <c r="H50" t="s">
        <v>6033</v>
      </c>
      <c r="I50" t="s">
        <v>6047</v>
      </c>
      <c r="J50" t="s">
        <v>6054</v>
      </c>
      <c r="K50" t="s">
        <v>6062</v>
      </c>
      <c r="L50" t="s">
        <v>6113</v>
      </c>
      <c r="M50">
        <v>894.41</v>
      </c>
      <c r="N50">
        <v>4</v>
      </c>
      <c r="O50">
        <v>0.32</v>
      </c>
      <c r="P50">
        <v>-88.83</v>
      </c>
      <c r="Q50" t="s">
        <v>9895</v>
      </c>
      <c r="R50">
        <v>5</v>
      </c>
      <c r="S50" s="5">
        <f t="shared" si="0"/>
        <v>-9.9316868102995268E-2</v>
      </c>
      <c r="T50">
        <v>223.60249999999999</v>
      </c>
      <c r="U50">
        <v>6</v>
      </c>
      <c r="V50">
        <v>2022</v>
      </c>
      <c r="W50">
        <v>2</v>
      </c>
      <c r="X50" t="s">
        <v>9898</v>
      </c>
      <c r="Y50" t="s">
        <v>9902</v>
      </c>
      <c r="Z50" t="s">
        <v>9899</v>
      </c>
      <c r="AD50">
        <f t="shared" si="1"/>
        <v>5</v>
      </c>
    </row>
    <row r="51" spans="1:30" x14ac:dyDescent="0.25">
      <c r="A51" t="s">
        <v>75</v>
      </c>
      <c r="B51" s="2">
        <v>44639</v>
      </c>
      <c r="C51" s="2">
        <v>44645</v>
      </c>
      <c r="D51" t="s">
        <v>5071</v>
      </c>
      <c r="E51" t="s">
        <v>5571</v>
      </c>
      <c r="F51" t="s">
        <v>6028</v>
      </c>
      <c r="G51" t="s">
        <v>6030</v>
      </c>
      <c r="H51" t="s">
        <v>6033</v>
      </c>
      <c r="I51" t="s">
        <v>6047</v>
      </c>
      <c r="J51" t="s">
        <v>6054</v>
      </c>
      <c r="K51" t="s">
        <v>6060</v>
      </c>
      <c r="L51" t="s">
        <v>6114</v>
      </c>
      <c r="M51">
        <v>1805.94</v>
      </c>
      <c r="N51">
        <v>5</v>
      </c>
      <c r="O51">
        <v>0.14000000000000001</v>
      </c>
      <c r="P51">
        <v>206.77</v>
      </c>
      <c r="Q51" t="s">
        <v>9897</v>
      </c>
      <c r="R51">
        <v>6</v>
      </c>
      <c r="S51" s="5">
        <f t="shared" si="0"/>
        <v>0.11449439073280397</v>
      </c>
      <c r="T51">
        <v>361.18799999999999</v>
      </c>
      <c r="U51">
        <v>3</v>
      </c>
      <c r="V51">
        <v>2022</v>
      </c>
      <c r="W51">
        <v>1</v>
      </c>
      <c r="X51" t="s">
        <v>9899</v>
      </c>
      <c r="Y51" t="s">
        <v>9901</v>
      </c>
      <c r="Z51" t="s">
        <v>9898</v>
      </c>
      <c r="AD51">
        <f t="shared" si="1"/>
        <v>6</v>
      </c>
    </row>
    <row r="52" spans="1:30" x14ac:dyDescent="0.25">
      <c r="A52" t="s">
        <v>76</v>
      </c>
      <c r="B52" s="2">
        <v>45239</v>
      </c>
      <c r="C52" s="2">
        <v>45242</v>
      </c>
      <c r="D52" t="s">
        <v>5072</v>
      </c>
      <c r="E52" t="s">
        <v>5572</v>
      </c>
      <c r="F52" t="s">
        <v>6028</v>
      </c>
      <c r="G52" t="s">
        <v>6031</v>
      </c>
      <c r="H52" t="s">
        <v>6043</v>
      </c>
      <c r="I52" t="s">
        <v>6050</v>
      </c>
      <c r="J52" t="s">
        <v>6055</v>
      </c>
      <c r="K52" t="s">
        <v>6063</v>
      </c>
      <c r="L52" t="s">
        <v>6115</v>
      </c>
      <c r="M52">
        <v>1157.55</v>
      </c>
      <c r="N52">
        <v>5</v>
      </c>
      <c r="O52">
        <v>0.15</v>
      </c>
      <c r="P52">
        <v>125.79</v>
      </c>
      <c r="Q52" t="s">
        <v>9893</v>
      </c>
      <c r="R52">
        <v>3</v>
      </c>
      <c r="S52" s="5">
        <f t="shared" si="0"/>
        <v>0.10866917195801479</v>
      </c>
      <c r="T52">
        <v>231.51</v>
      </c>
      <c r="U52">
        <v>11</v>
      </c>
      <c r="V52">
        <v>2023</v>
      </c>
      <c r="W52">
        <v>4</v>
      </c>
      <c r="X52" t="s">
        <v>9899</v>
      </c>
      <c r="Y52" t="s">
        <v>9901</v>
      </c>
      <c r="Z52" t="s">
        <v>9898</v>
      </c>
      <c r="AD52">
        <f t="shared" si="1"/>
        <v>3</v>
      </c>
    </row>
    <row r="53" spans="1:30" x14ac:dyDescent="0.25">
      <c r="A53" t="s">
        <v>77</v>
      </c>
      <c r="B53" s="2">
        <v>44649</v>
      </c>
      <c r="C53" s="2">
        <v>44653</v>
      </c>
      <c r="D53" t="s">
        <v>5073</v>
      </c>
      <c r="E53" t="s">
        <v>5573</v>
      </c>
      <c r="F53" t="s">
        <v>6026</v>
      </c>
      <c r="G53" t="s">
        <v>6029</v>
      </c>
      <c r="H53" t="s">
        <v>6036</v>
      </c>
      <c r="I53" t="s">
        <v>6046</v>
      </c>
      <c r="J53" t="s">
        <v>6054</v>
      </c>
      <c r="K53" t="s">
        <v>6060</v>
      </c>
      <c r="L53" t="s">
        <v>6116</v>
      </c>
      <c r="M53">
        <v>1514.76</v>
      </c>
      <c r="N53">
        <v>5</v>
      </c>
      <c r="O53">
        <v>0.25</v>
      </c>
      <c r="P53">
        <v>57.02</v>
      </c>
      <c r="Q53" t="s">
        <v>9896</v>
      </c>
      <c r="R53">
        <v>4</v>
      </c>
      <c r="S53" s="5">
        <f t="shared" si="0"/>
        <v>3.7642926932319312E-2</v>
      </c>
      <c r="T53">
        <v>302.952</v>
      </c>
      <c r="U53">
        <v>3</v>
      </c>
      <c r="V53">
        <v>2022</v>
      </c>
      <c r="W53">
        <v>1</v>
      </c>
      <c r="X53" t="s">
        <v>9899</v>
      </c>
      <c r="Y53" t="s">
        <v>9900</v>
      </c>
      <c r="Z53" t="s">
        <v>9898</v>
      </c>
      <c r="AD53">
        <f t="shared" si="1"/>
        <v>4</v>
      </c>
    </row>
    <row r="54" spans="1:30" x14ac:dyDescent="0.25">
      <c r="A54" t="s">
        <v>78</v>
      </c>
      <c r="B54" s="2">
        <v>44725</v>
      </c>
      <c r="C54" s="2">
        <v>44732</v>
      </c>
      <c r="D54" t="s">
        <v>5074</v>
      </c>
      <c r="E54" t="s">
        <v>5574</v>
      </c>
      <c r="F54" t="s">
        <v>6026</v>
      </c>
      <c r="G54" t="s">
        <v>6031</v>
      </c>
      <c r="H54" t="s">
        <v>6042</v>
      </c>
      <c r="I54" t="s">
        <v>6048</v>
      </c>
      <c r="J54" t="s">
        <v>6053</v>
      </c>
      <c r="K54" t="s">
        <v>6056</v>
      </c>
      <c r="L54" t="s">
        <v>6117</v>
      </c>
      <c r="M54">
        <v>1861.8</v>
      </c>
      <c r="N54">
        <v>6</v>
      </c>
      <c r="O54">
        <v>0.13</v>
      </c>
      <c r="P54">
        <v>37.409999999999997</v>
      </c>
      <c r="Q54" t="s">
        <v>9896</v>
      </c>
      <c r="R54">
        <v>7</v>
      </c>
      <c r="S54" s="5">
        <f t="shared" si="0"/>
        <v>2.0093457943925232E-2</v>
      </c>
      <c r="T54">
        <v>310.3</v>
      </c>
      <c r="U54">
        <v>6</v>
      </c>
      <c r="V54">
        <v>2022</v>
      </c>
      <c r="W54">
        <v>2</v>
      </c>
      <c r="X54" t="s">
        <v>9899</v>
      </c>
      <c r="Y54" t="s">
        <v>9901</v>
      </c>
      <c r="Z54" t="s">
        <v>9898</v>
      </c>
      <c r="AD54">
        <f t="shared" si="1"/>
        <v>7</v>
      </c>
    </row>
    <row r="55" spans="1:30" x14ac:dyDescent="0.25">
      <c r="A55" t="s">
        <v>79</v>
      </c>
      <c r="B55" s="2">
        <v>45364</v>
      </c>
      <c r="C55" s="2">
        <v>45367</v>
      </c>
      <c r="D55" t="s">
        <v>5075</v>
      </c>
      <c r="E55" t="s">
        <v>5575</v>
      </c>
      <c r="F55" t="s">
        <v>6028</v>
      </c>
      <c r="G55" t="s">
        <v>6029</v>
      </c>
      <c r="H55" t="s">
        <v>6036</v>
      </c>
      <c r="I55" t="s">
        <v>6046</v>
      </c>
      <c r="J55" t="s">
        <v>6054</v>
      </c>
      <c r="K55" t="s">
        <v>6062</v>
      </c>
      <c r="L55" t="s">
        <v>6118</v>
      </c>
      <c r="M55">
        <v>671.59</v>
      </c>
      <c r="N55">
        <v>3</v>
      </c>
      <c r="O55">
        <v>0.16</v>
      </c>
      <c r="P55">
        <v>56.46</v>
      </c>
      <c r="Q55" t="s">
        <v>9894</v>
      </c>
      <c r="R55">
        <v>3</v>
      </c>
      <c r="S55" s="5">
        <f t="shared" si="0"/>
        <v>8.4069149332181833E-2</v>
      </c>
      <c r="T55">
        <v>223.86333333333329</v>
      </c>
      <c r="U55">
        <v>3</v>
      </c>
      <c r="V55">
        <v>2024</v>
      </c>
      <c r="W55">
        <v>1</v>
      </c>
      <c r="X55" t="s">
        <v>9899</v>
      </c>
      <c r="Y55" t="s">
        <v>9900</v>
      </c>
      <c r="Z55" t="s">
        <v>9899</v>
      </c>
      <c r="AD55">
        <f t="shared" si="1"/>
        <v>3</v>
      </c>
    </row>
    <row r="56" spans="1:30" x14ac:dyDescent="0.25">
      <c r="A56" t="s">
        <v>80</v>
      </c>
      <c r="B56" s="2">
        <v>44629</v>
      </c>
      <c r="C56" s="2">
        <v>44631</v>
      </c>
      <c r="D56" t="s">
        <v>5076</v>
      </c>
      <c r="E56" t="s">
        <v>5576</v>
      </c>
      <c r="F56" t="s">
        <v>6027</v>
      </c>
      <c r="G56" t="s">
        <v>6030</v>
      </c>
      <c r="H56" t="s">
        <v>6038</v>
      </c>
      <c r="I56" t="s">
        <v>6047</v>
      </c>
      <c r="J56" t="s">
        <v>6055</v>
      </c>
      <c r="K56" t="s">
        <v>6064</v>
      </c>
      <c r="L56" t="s">
        <v>6119</v>
      </c>
      <c r="M56">
        <v>1765.13</v>
      </c>
      <c r="N56">
        <v>2</v>
      </c>
      <c r="O56">
        <v>0.1</v>
      </c>
      <c r="P56">
        <v>248.49</v>
      </c>
      <c r="Q56" t="s">
        <v>9896</v>
      </c>
      <c r="R56">
        <v>2</v>
      </c>
      <c r="S56" s="5">
        <f t="shared" si="0"/>
        <v>0.14077716655430478</v>
      </c>
      <c r="T56">
        <v>882.56500000000005</v>
      </c>
      <c r="U56">
        <v>3</v>
      </c>
      <c r="V56">
        <v>2022</v>
      </c>
      <c r="W56">
        <v>1</v>
      </c>
      <c r="X56" t="s">
        <v>9899</v>
      </c>
      <c r="Y56" t="s">
        <v>9901</v>
      </c>
      <c r="Z56" t="s">
        <v>9898</v>
      </c>
      <c r="AD56">
        <f t="shared" si="1"/>
        <v>2</v>
      </c>
    </row>
    <row r="57" spans="1:30" x14ac:dyDescent="0.25">
      <c r="A57" t="s">
        <v>81</v>
      </c>
      <c r="B57" s="2">
        <v>45195</v>
      </c>
      <c r="C57" s="2">
        <v>45198</v>
      </c>
      <c r="D57" t="s">
        <v>5077</v>
      </c>
      <c r="E57" t="s">
        <v>5577</v>
      </c>
      <c r="F57" t="s">
        <v>6026</v>
      </c>
      <c r="G57" t="s">
        <v>6029</v>
      </c>
      <c r="H57" t="s">
        <v>6036</v>
      </c>
      <c r="I57" t="s">
        <v>6050</v>
      </c>
      <c r="J57" t="s">
        <v>6054</v>
      </c>
      <c r="K57" t="s">
        <v>6062</v>
      </c>
      <c r="L57" t="s">
        <v>6120</v>
      </c>
      <c r="M57">
        <v>717.28</v>
      </c>
      <c r="N57">
        <v>7</v>
      </c>
      <c r="O57">
        <v>0.31</v>
      </c>
      <c r="P57">
        <v>-31.78</v>
      </c>
      <c r="Q57" t="s">
        <v>9894</v>
      </c>
      <c r="R57">
        <v>3</v>
      </c>
      <c r="S57" s="5">
        <f t="shared" si="0"/>
        <v>-4.4306268124024092E-2</v>
      </c>
      <c r="T57">
        <v>102.46857142857139</v>
      </c>
      <c r="U57">
        <v>9</v>
      </c>
      <c r="V57">
        <v>2023</v>
      </c>
      <c r="W57">
        <v>3</v>
      </c>
      <c r="X57" t="s">
        <v>9898</v>
      </c>
      <c r="Y57" t="s">
        <v>9902</v>
      </c>
      <c r="Z57" t="s">
        <v>9899</v>
      </c>
      <c r="AD57">
        <f t="shared" si="1"/>
        <v>3</v>
      </c>
    </row>
    <row r="58" spans="1:30" x14ac:dyDescent="0.25">
      <c r="A58" t="s">
        <v>82</v>
      </c>
      <c r="B58" s="2">
        <v>45445</v>
      </c>
      <c r="C58" s="2">
        <v>45448</v>
      </c>
      <c r="D58" t="s">
        <v>5078</v>
      </c>
      <c r="E58" t="s">
        <v>5578</v>
      </c>
      <c r="F58" t="s">
        <v>6026</v>
      </c>
      <c r="G58" t="s">
        <v>6029</v>
      </c>
      <c r="H58" t="s">
        <v>6036</v>
      </c>
      <c r="I58" t="s">
        <v>6049</v>
      </c>
      <c r="J58" t="s">
        <v>6053</v>
      </c>
      <c r="K58" t="s">
        <v>6058</v>
      </c>
      <c r="L58" t="s">
        <v>6121</v>
      </c>
      <c r="M58">
        <v>507.81</v>
      </c>
      <c r="N58">
        <v>2</v>
      </c>
      <c r="O58">
        <v>0.31</v>
      </c>
      <c r="P58">
        <v>-30.17</v>
      </c>
      <c r="Q58" t="s">
        <v>9894</v>
      </c>
      <c r="R58">
        <v>3</v>
      </c>
      <c r="S58" s="5">
        <f t="shared" si="0"/>
        <v>-5.9411984797463624E-2</v>
      </c>
      <c r="T58">
        <v>253.905</v>
      </c>
      <c r="U58">
        <v>6</v>
      </c>
      <c r="V58">
        <v>2024</v>
      </c>
      <c r="W58">
        <v>2</v>
      </c>
      <c r="X58" t="s">
        <v>9898</v>
      </c>
      <c r="Y58" t="s">
        <v>9902</v>
      </c>
      <c r="Z58" t="s">
        <v>9899</v>
      </c>
      <c r="AD58">
        <f t="shared" si="1"/>
        <v>3</v>
      </c>
    </row>
    <row r="59" spans="1:30" x14ac:dyDescent="0.25">
      <c r="A59" t="s">
        <v>83</v>
      </c>
      <c r="B59" s="2">
        <v>45156</v>
      </c>
      <c r="C59" s="2">
        <v>45157</v>
      </c>
      <c r="D59" t="s">
        <v>5079</v>
      </c>
      <c r="E59" t="s">
        <v>5579</v>
      </c>
      <c r="F59" t="s">
        <v>6028</v>
      </c>
      <c r="G59" t="s">
        <v>6029</v>
      </c>
      <c r="H59" t="s">
        <v>6041</v>
      </c>
      <c r="I59" t="s">
        <v>6046</v>
      </c>
      <c r="J59" t="s">
        <v>6053</v>
      </c>
      <c r="K59" t="s">
        <v>6057</v>
      </c>
      <c r="L59" t="s">
        <v>6122</v>
      </c>
      <c r="M59">
        <v>491.88</v>
      </c>
      <c r="N59">
        <v>2</v>
      </c>
      <c r="O59">
        <v>0.08</v>
      </c>
      <c r="P59">
        <v>81.64</v>
      </c>
      <c r="Q59" t="s">
        <v>9895</v>
      </c>
      <c r="R59">
        <v>1</v>
      </c>
      <c r="S59" s="5">
        <f t="shared" si="0"/>
        <v>0.16597544116451168</v>
      </c>
      <c r="T59">
        <v>245.94</v>
      </c>
      <c r="U59">
        <v>8</v>
      </c>
      <c r="V59">
        <v>2023</v>
      </c>
      <c r="W59">
        <v>3</v>
      </c>
      <c r="X59" t="s">
        <v>9899</v>
      </c>
      <c r="Y59" t="s">
        <v>9901</v>
      </c>
      <c r="Z59" t="s">
        <v>9899</v>
      </c>
      <c r="AD59">
        <f t="shared" si="1"/>
        <v>1</v>
      </c>
    </row>
    <row r="60" spans="1:30" x14ac:dyDescent="0.25">
      <c r="A60" t="s">
        <v>84</v>
      </c>
      <c r="B60" s="2">
        <v>44921</v>
      </c>
      <c r="C60" s="2">
        <v>44927</v>
      </c>
      <c r="D60" t="s">
        <v>5080</v>
      </c>
      <c r="E60" t="s">
        <v>5580</v>
      </c>
      <c r="F60" t="s">
        <v>6028</v>
      </c>
      <c r="G60" t="s">
        <v>6029</v>
      </c>
      <c r="H60" t="s">
        <v>6044</v>
      </c>
      <c r="I60" t="s">
        <v>6046</v>
      </c>
      <c r="J60" t="s">
        <v>6053</v>
      </c>
      <c r="K60" t="s">
        <v>6057</v>
      </c>
      <c r="L60" t="s">
        <v>6123</v>
      </c>
      <c r="M60">
        <v>299.27999999999997</v>
      </c>
      <c r="N60">
        <v>7</v>
      </c>
      <c r="O60">
        <v>0.05</v>
      </c>
      <c r="P60">
        <v>19.510000000000002</v>
      </c>
      <c r="Q60" t="s">
        <v>9897</v>
      </c>
      <c r="R60">
        <v>6</v>
      </c>
      <c r="S60" s="5">
        <f t="shared" si="0"/>
        <v>6.5189788826516978E-2</v>
      </c>
      <c r="T60">
        <v>42.754285714285707</v>
      </c>
      <c r="U60">
        <v>12</v>
      </c>
      <c r="V60">
        <v>2022</v>
      </c>
      <c r="W60">
        <v>4</v>
      </c>
      <c r="X60" t="s">
        <v>9899</v>
      </c>
      <c r="Y60" t="s">
        <v>9901</v>
      </c>
      <c r="Z60" t="s">
        <v>9899</v>
      </c>
      <c r="AD60">
        <f t="shared" si="1"/>
        <v>6</v>
      </c>
    </row>
    <row r="61" spans="1:30" x14ac:dyDescent="0.25">
      <c r="A61" t="s">
        <v>85</v>
      </c>
      <c r="B61" s="2">
        <v>44693</v>
      </c>
      <c r="C61" s="2">
        <v>44695</v>
      </c>
      <c r="D61" t="s">
        <v>5081</v>
      </c>
      <c r="E61" t="s">
        <v>5581</v>
      </c>
      <c r="F61" t="s">
        <v>6027</v>
      </c>
      <c r="G61" t="s">
        <v>6031</v>
      </c>
      <c r="H61" t="s">
        <v>6034</v>
      </c>
      <c r="I61" t="s">
        <v>6048</v>
      </c>
      <c r="J61" t="s">
        <v>6054</v>
      </c>
      <c r="K61" t="s">
        <v>6059</v>
      </c>
      <c r="L61" t="s">
        <v>6124</v>
      </c>
      <c r="M61">
        <v>1051.4000000000001</v>
      </c>
      <c r="N61">
        <v>2</v>
      </c>
      <c r="O61">
        <v>0.01</v>
      </c>
      <c r="P61">
        <v>163.16999999999999</v>
      </c>
      <c r="Q61" t="s">
        <v>9893</v>
      </c>
      <c r="R61">
        <v>2</v>
      </c>
      <c r="S61" s="5">
        <f t="shared" si="0"/>
        <v>0.15519307589880157</v>
      </c>
      <c r="T61">
        <v>525.70000000000005</v>
      </c>
      <c r="U61">
        <v>5</v>
      </c>
      <c r="V61">
        <v>2022</v>
      </c>
      <c r="W61">
        <v>2</v>
      </c>
      <c r="X61" t="s">
        <v>9899</v>
      </c>
      <c r="Y61" t="s">
        <v>9901</v>
      </c>
      <c r="Z61" t="s">
        <v>9898</v>
      </c>
      <c r="AD61">
        <f t="shared" si="1"/>
        <v>2</v>
      </c>
    </row>
    <row r="62" spans="1:30" x14ac:dyDescent="0.25">
      <c r="A62" t="s">
        <v>86</v>
      </c>
      <c r="B62" s="2">
        <v>44610</v>
      </c>
      <c r="C62" s="2">
        <v>44617</v>
      </c>
      <c r="D62" t="s">
        <v>5082</v>
      </c>
      <c r="E62" t="s">
        <v>5582</v>
      </c>
      <c r="F62" t="s">
        <v>6027</v>
      </c>
      <c r="G62" t="s">
        <v>6031</v>
      </c>
      <c r="H62" t="s">
        <v>6040</v>
      </c>
      <c r="I62" t="s">
        <v>6052</v>
      </c>
      <c r="J62" t="s">
        <v>6054</v>
      </c>
      <c r="K62" t="s">
        <v>6060</v>
      </c>
      <c r="L62" t="s">
        <v>6125</v>
      </c>
      <c r="M62">
        <v>117.27</v>
      </c>
      <c r="N62">
        <v>4</v>
      </c>
      <c r="O62">
        <v>0.28000000000000003</v>
      </c>
      <c r="P62">
        <v>-7.78</v>
      </c>
      <c r="Q62" t="s">
        <v>9896</v>
      </c>
      <c r="R62">
        <v>7</v>
      </c>
      <c r="S62" s="5">
        <f t="shared" si="0"/>
        <v>-6.6342628123134656E-2</v>
      </c>
      <c r="T62">
        <v>29.317499999999999</v>
      </c>
      <c r="U62">
        <v>2</v>
      </c>
      <c r="V62">
        <v>2022</v>
      </c>
      <c r="W62">
        <v>1</v>
      </c>
      <c r="X62" t="s">
        <v>9898</v>
      </c>
      <c r="Y62" t="s">
        <v>9900</v>
      </c>
      <c r="Z62" t="s">
        <v>9899</v>
      </c>
      <c r="AD62">
        <f t="shared" si="1"/>
        <v>7</v>
      </c>
    </row>
    <row r="63" spans="1:30" x14ac:dyDescent="0.25">
      <c r="A63" t="s">
        <v>87</v>
      </c>
      <c r="B63" s="2">
        <v>45078</v>
      </c>
      <c r="C63" s="2">
        <v>45081</v>
      </c>
      <c r="D63" t="s">
        <v>5083</v>
      </c>
      <c r="E63" t="s">
        <v>5583</v>
      </c>
      <c r="F63" t="s">
        <v>6027</v>
      </c>
      <c r="G63" t="s">
        <v>6030</v>
      </c>
      <c r="H63" t="s">
        <v>6033</v>
      </c>
      <c r="I63" t="s">
        <v>6051</v>
      </c>
      <c r="J63" t="s">
        <v>6054</v>
      </c>
      <c r="K63" t="s">
        <v>6062</v>
      </c>
      <c r="L63" t="s">
        <v>6126</v>
      </c>
      <c r="M63">
        <v>1140.19</v>
      </c>
      <c r="N63">
        <v>7</v>
      </c>
      <c r="O63">
        <v>0.25</v>
      </c>
      <c r="P63">
        <v>-71</v>
      </c>
      <c r="Q63" t="s">
        <v>9894</v>
      </c>
      <c r="R63">
        <v>3</v>
      </c>
      <c r="S63" s="5">
        <f t="shared" si="0"/>
        <v>-6.2270323367158105E-2</v>
      </c>
      <c r="T63">
        <v>162.88428571428571</v>
      </c>
      <c r="U63">
        <v>6</v>
      </c>
      <c r="V63">
        <v>2023</v>
      </c>
      <c r="W63">
        <v>2</v>
      </c>
      <c r="X63" t="s">
        <v>9898</v>
      </c>
      <c r="Y63" t="s">
        <v>9900</v>
      </c>
      <c r="Z63" t="s">
        <v>9898</v>
      </c>
      <c r="AD63">
        <f t="shared" si="1"/>
        <v>3</v>
      </c>
    </row>
    <row r="64" spans="1:30" x14ac:dyDescent="0.25">
      <c r="A64" t="s">
        <v>88</v>
      </c>
      <c r="B64" s="2">
        <v>45051</v>
      </c>
      <c r="C64" s="2">
        <v>45058</v>
      </c>
      <c r="D64" t="s">
        <v>5084</v>
      </c>
      <c r="E64" t="s">
        <v>5584</v>
      </c>
      <c r="F64" t="s">
        <v>6028</v>
      </c>
      <c r="G64" t="s">
        <v>6029</v>
      </c>
      <c r="H64" t="s">
        <v>6045</v>
      </c>
      <c r="I64" t="s">
        <v>6049</v>
      </c>
      <c r="J64" t="s">
        <v>6053</v>
      </c>
      <c r="K64" t="s">
        <v>6056</v>
      </c>
      <c r="L64" t="s">
        <v>6127</v>
      </c>
      <c r="M64">
        <v>475.74</v>
      </c>
      <c r="N64">
        <v>8</v>
      </c>
      <c r="O64">
        <v>0.28999999999999998</v>
      </c>
      <c r="P64">
        <v>-30.35</v>
      </c>
      <c r="Q64" t="s">
        <v>9893</v>
      </c>
      <c r="R64">
        <v>7</v>
      </c>
      <c r="S64" s="5">
        <f t="shared" si="0"/>
        <v>-6.3795350401479808E-2</v>
      </c>
      <c r="T64">
        <v>59.467500000000001</v>
      </c>
      <c r="U64">
        <v>5</v>
      </c>
      <c r="V64">
        <v>2023</v>
      </c>
      <c r="W64">
        <v>2</v>
      </c>
      <c r="X64" t="s">
        <v>9898</v>
      </c>
      <c r="Y64" t="s">
        <v>9900</v>
      </c>
      <c r="Z64" t="s">
        <v>9899</v>
      </c>
      <c r="AD64">
        <f t="shared" si="1"/>
        <v>7</v>
      </c>
    </row>
    <row r="65" spans="1:30" x14ac:dyDescent="0.25">
      <c r="A65" t="s">
        <v>89</v>
      </c>
      <c r="B65" s="2">
        <v>44577</v>
      </c>
      <c r="C65" s="2">
        <v>44578</v>
      </c>
      <c r="D65" t="s">
        <v>5085</v>
      </c>
      <c r="E65" t="s">
        <v>5585</v>
      </c>
      <c r="F65" t="s">
        <v>6026</v>
      </c>
      <c r="G65" t="s">
        <v>6031</v>
      </c>
      <c r="H65" t="s">
        <v>6037</v>
      </c>
      <c r="I65" t="s">
        <v>6050</v>
      </c>
      <c r="J65" t="s">
        <v>6053</v>
      </c>
      <c r="K65" t="s">
        <v>6057</v>
      </c>
      <c r="L65" t="s">
        <v>6128</v>
      </c>
      <c r="M65">
        <v>1883.81</v>
      </c>
      <c r="N65">
        <v>1</v>
      </c>
      <c r="O65">
        <v>0.06</v>
      </c>
      <c r="P65">
        <v>392.78</v>
      </c>
      <c r="Q65" t="s">
        <v>9896</v>
      </c>
      <c r="R65">
        <v>1</v>
      </c>
      <c r="S65" s="5">
        <f t="shared" si="0"/>
        <v>0.20850298066153167</v>
      </c>
      <c r="T65">
        <v>1883.81</v>
      </c>
      <c r="U65">
        <v>1</v>
      </c>
      <c r="V65">
        <v>2022</v>
      </c>
      <c r="W65">
        <v>1</v>
      </c>
      <c r="X65" t="s">
        <v>9899</v>
      </c>
      <c r="Y65" t="s">
        <v>9901</v>
      </c>
      <c r="Z65" t="s">
        <v>9898</v>
      </c>
      <c r="AD65">
        <f t="shared" si="1"/>
        <v>1</v>
      </c>
    </row>
    <row r="66" spans="1:30" x14ac:dyDescent="0.25">
      <c r="A66" t="s">
        <v>90</v>
      </c>
      <c r="B66" s="2">
        <v>44999</v>
      </c>
      <c r="C66" s="2">
        <v>45003</v>
      </c>
      <c r="D66" t="s">
        <v>5086</v>
      </c>
      <c r="E66" t="s">
        <v>5586</v>
      </c>
      <c r="F66" t="s">
        <v>6028</v>
      </c>
      <c r="G66" t="s">
        <v>6030</v>
      </c>
      <c r="H66" t="s">
        <v>6035</v>
      </c>
      <c r="I66" t="s">
        <v>6047</v>
      </c>
      <c r="J66" t="s">
        <v>6055</v>
      </c>
      <c r="K66" t="s">
        <v>6063</v>
      </c>
      <c r="L66" t="s">
        <v>6129</v>
      </c>
      <c r="M66">
        <v>551.58000000000004</v>
      </c>
      <c r="N66">
        <v>7</v>
      </c>
      <c r="O66">
        <v>0.23</v>
      </c>
      <c r="P66">
        <v>-2.3199999999999998</v>
      </c>
      <c r="Q66" t="s">
        <v>9893</v>
      </c>
      <c r="R66">
        <v>4</v>
      </c>
      <c r="S66" s="5">
        <f t="shared" si="0"/>
        <v>-4.2060988433228171E-3</v>
      </c>
      <c r="T66">
        <v>78.797142857142859</v>
      </c>
      <c r="U66">
        <v>3</v>
      </c>
      <c r="V66">
        <v>2023</v>
      </c>
      <c r="W66">
        <v>1</v>
      </c>
      <c r="X66" t="s">
        <v>9898</v>
      </c>
      <c r="Y66" t="s">
        <v>9900</v>
      </c>
      <c r="Z66" t="s">
        <v>9899</v>
      </c>
      <c r="AD66">
        <f t="shared" si="1"/>
        <v>4</v>
      </c>
    </row>
    <row r="67" spans="1:30" x14ac:dyDescent="0.25">
      <c r="A67" t="s">
        <v>91</v>
      </c>
      <c r="B67" s="2">
        <v>44996</v>
      </c>
      <c r="C67" s="2">
        <v>45003</v>
      </c>
      <c r="D67" t="s">
        <v>5083</v>
      </c>
      <c r="E67" t="s">
        <v>5583</v>
      </c>
      <c r="F67" t="s">
        <v>6026</v>
      </c>
      <c r="G67" t="s">
        <v>6030</v>
      </c>
      <c r="H67" t="s">
        <v>6035</v>
      </c>
      <c r="I67" t="s">
        <v>6047</v>
      </c>
      <c r="J67" t="s">
        <v>6054</v>
      </c>
      <c r="K67" t="s">
        <v>6059</v>
      </c>
      <c r="L67" t="s">
        <v>6130</v>
      </c>
      <c r="M67">
        <v>1493.82</v>
      </c>
      <c r="N67">
        <v>6</v>
      </c>
      <c r="O67">
        <v>0.01</v>
      </c>
      <c r="P67">
        <v>215.21</v>
      </c>
      <c r="Q67" t="s">
        <v>9896</v>
      </c>
      <c r="R67">
        <v>7</v>
      </c>
      <c r="S67" s="5">
        <f t="shared" ref="S67:S130" si="2">P67/M67</f>
        <v>0.14406688891566588</v>
      </c>
      <c r="T67">
        <v>248.97</v>
      </c>
      <c r="U67">
        <v>3</v>
      </c>
      <c r="V67">
        <v>2023</v>
      </c>
      <c r="W67">
        <v>1</v>
      </c>
      <c r="X67" t="s">
        <v>9899</v>
      </c>
      <c r="Y67" t="s">
        <v>9901</v>
      </c>
      <c r="Z67" t="s">
        <v>9898</v>
      </c>
      <c r="AD67">
        <f t="shared" ref="AD67:AD130" si="3">C67-B67</f>
        <v>7</v>
      </c>
    </row>
    <row r="68" spans="1:30" x14ac:dyDescent="0.25">
      <c r="A68" t="s">
        <v>92</v>
      </c>
      <c r="B68" s="2">
        <v>44671</v>
      </c>
      <c r="C68" s="2">
        <v>44678</v>
      </c>
      <c r="D68" t="s">
        <v>5087</v>
      </c>
      <c r="E68" t="s">
        <v>5587</v>
      </c>
      <c r="F68" t="s">
        <v>6026</v>
      </c>
      <c r="G68" t="s">
        <v>6031</v>
      </c>
      <c r="H68" t="s">
        <v>6042</v>
      </c>
      <c r="I68" t="s">
        <v>6050</v>
      </c>
      <c r="J68" t="s">
        <v>6053</v>
      </c>
      <c r="K68" t="s">
        <v>6057</v>
      </c>
      <c r="L68" t="s">
        <v>6131</v>
      </c>
      <c r="M68">
        <v>999.12</v>
      </c>
      <c r="N68">
        <v>4</v>
      </c>
      <c r="O68">
        <v>0.13</v>
      </c>
      <c r="P68">
        <v>13.7</v>
      </c>
      <c r="Q68" t="s">
        <v>9897</v>
      </c>
      <c r="R68">
        <v>7</v>
      </c>
      <c r="S68" s="5">
        <f t="shared" si="2"/>
        <v>1.3712066618624388E-2</v>
      </c>
      <c r="T68">
        <v>249.78</v>
      </c>
      <c r="U68">
        <v>4</v>
      </c>
      <c r="V68">
        <v>2022</v>
      </c>
      <c r="W68">
        <v>2</v>
      </c>
      <c r="X68" t="s">
        <v>9899</v>
      </c>
      <c r="Y68" t="s">
        <v>9901</v>
      </c>
      <c r="Z68" t="s">
        <v>9899</v>
      </c>
      <c r="AD68">
        <f t="shared" si="3"/>
        <v>7</v>
      </c>
    </row>
    <row r="69" spans="1:30" x14ac:dyDescent="0.25">
      <c r="A69" t="s">
        <v>93</v>
      </c>
      <c r="B69" s="2">
        <v>45401</v>
      </c>
      <c r="C69" s="2">
        <v>45405</v>
      </c>
      <c r="D69" t="s">
        <v>5088</v>
      </c>
      <c r="E69" t="s">
        <v>5588</v>
      </c>
      <c r="F69" t="s">
        <v>6028</v>
      </c>
      <c r="G69" t="s">
        <v>6030</v>
      </c>
      <c r="H69" t="s">
        <v>6039</v>
      </c>
      <c r="I69" t="s">
        <v>6051</v>
      </c>
      <c r="J69" t="s">
        <v>6054</v>
      </c>
      <c r="K69" t="s">
        <v>6060</v>
      </c>
      <c r="L69" t="s">
        <v>6132</v>
      </c>
      <c r="M69">
        <v>703.7</v>
      </c>
      <c r="N69">
        <v>1</v>
      </c>
      <c r="O69">
        <v>0.23</v>
      </c>
      <c r="P69">
        <v>18.39</v>
      </c>
      <c r="Q69" t="s">
        <v>9894</v>
      </c>
      <c r="R69">
        <v>4</v>
      </c>
      <c r="S69" s="5">
        <f t="shared" si="2"/>
        <v>2.6133295438397042E-2</v>
      </c>
      <c r="T69">
        <v>703.7</v>
      </c>
      <c r="U69">
        <v>4</v>
      </c>
      <c r="V69">
        <v>2024</v>
      </c>
      <c r="W69">
        <v>2</v>
      </c>
      <c r="X69" t="s">
        <v>9899</v>
      </c>
      <c r="Y69" t="s">
        <v>9900</v>
      </c>
      <c r="Z69" t="s">
        <v>9899</v>
      </c>
      <c r="AD69">
        <f t="shared" si="3"/>
        <v>4</v>
      </c>
    </row>
    <row r="70" spans="1:30" x14ac:dyDescent="0.25">
      <c r="A70" t="s">
        <v>94</v>
      </c>
      <c r="B70" s="2">
        <v>45097</v>
      </c>
      <c r="C70" s="2">
        <v>45099</v>
      </c>
      <c r="D70" t="s">
        <v>5089</v>
      </c>
      <c r="E70" t="s">
        <v>5589</v>
      </c>
      <c r="F70" t="s">
        <v>6027</v>
      </c>
      <c r="G70" t="s">
        <v>6031</v>
      </c>
      <c r="H70" t="s">
        <v>6040</v>
      </c>
      <c r="I70" t="s">
        <v>6052</v>
      </c>
      <c r="J70" t="s">
        <v>6055</v>
      </c>
      <c r="K70" t="s">
        <v>6064</v>
      </c>
      <c r="L70" t="s">
        <v>6133</v>
      </c>
      <c r="M70">
        <v>926.1</v>
      </c>
      <c r="N70">
        <v>3</v>
      </c>
      <c r="O70">
        <v>0.02</v>
      </c>
      <c r="P70">
        <v>129.03</v>
      </c>
      <c r="Q70" t="s">
        <v>9897</v>
      </c>
      <c r="R70">
        <v>2</v>
      </c>
      <c r="S70" s="5">
        <f t="shared" si="2"/>
        <v>0.13932620667314544</v>
      </c>
      <c r="T70">
        <v>308.7</v>
      </c>
      <c r="U70">
        <v>6</v>
      </c>
      <c r="V70">
        <v>2023</v>
      </c>
      <c r="W70">
        <v>2</v>
      </c>
      <c r="X70" t="s">
        <v>9899</v>
      </c>
      <c r="Y70" t="s">
        <v>9901</v>
      </c>
      <c r="Z70" t="s">
        <v>9899</v>
      </c>
      <c r="AD70">
        <f t="shared" si="3"/>
        <v>2</v>
      </c>
    </row>
    <row r="71" spans="1:30" x14ac:dyDescent="0.25">
      <c r="A71" t="s">
        <v>95</v>
      </c>
      <c r="B71" s="2">
        <v>44943</v>
      </c>
      <c r="C71" s="2">
        <v>44946</v>
      </c>
      <c r="D71" t="s">
        <v>5090</v>
      </c>
      <c r="E71" t="s">
        <v>5590</v>
      </c>
      <c r="F71" t="s">
        <v>6026</v>
      </c>
      <c r="G71" t="s">
        <v>6029</v>
      </c>
      <c r="H71" t="s">
        <v>6041</v>
      </c>
      <c r="I71" t="s">
        <v>6050</v>
      </c>
      <c r="J71" t="s">
        <v>6055</v>
      </c>
      <c r="K71" t="s">
        <v>6063</v>
      </c>
      <c r="L71" t="s">
        <v>6134</v>
      </c>
      <c r="M71">
        <v>1879.01</v>
      </c>
      <c r="N71">
        <v>7</v>
      </c>
      <c r="O71">
        <v>0.23</v>
      </c>
      <c r="P71">
        <v>-118.65</v>
      </c>
      <c r="Q71" t="s">
        <v>9897</v>
      </c>
      <c r="R71">
        <v>3</v>
      </c>
      <c r="S71" s="5">
        <f t="shared" si="2"/>
        <v>-6.3144953991729688E-2</v>
      </c>
      <c r="T71">
        <v>268.43</v>
      </c>
      <c r="U71">
        <v>1</v>
      </c>
      <c r="V71">
        <v>2023</v>
      </c>
      <c r="W71">
        <v>1</v>
      </c>
      <c r="X71" t="s">
        <v>9898</v>
      </c>
      <c r="Y71" t="s">
        <v>9900</v>
      </c>
      <c r="Z71" t="s">
        <v>9898</v>
      </c>
      <c r="AD71">
        <f t="shared" si="3"/>
        <v>3</v>
      </c>
    </row>
    <row r="72" spans="1:30" x14ac:dyDescent="0.25">
      <c r="A72" t="s">
        <v>96</v>
      </c>
      <c r="B72" s="2">
        <v>45371</v>
      </c>
      <c r="C72" s="2">
        <v>45376</v>
      </c>
      <c r="D72" t="s">
        <v>5091</v>
      </c>
      <c r="E72" t="s">
        <v>5591</v>
      </c>
      <c r="F72" t="s">
        <v>6026</v>
      </c>
      <c r="G72" t="s">
        <v>6031</v>
      </c>
      <c r="H72" t="s">
        <v>6043</v>
      </c>
      <c r="I72" t="s">
        <v>6048</v>
      </c>
      <c r="J72" t="s">
        <v>6055</v>
      </c>
      <c r="K72" t="s">
        <v>6061</v>
      </c>
      <c r="L72" t="s">
        <v>6135</v>
      </c>
      <c r="M72">
        <v>1327</v>
      </c>
      <c r="N72">
        <v>7</v>
      </c>
      <c r="O72">
        <v>0.08</v>
      </c>
      <c r="P72">
        <v>52.07</v>
      </c>
      <c r="Q72" t="s">
        <v>9897</v>
      </c>
      <c r="R72">
        <v>5</v>
      </c>
      <c r="S72" s="5">
        <f t="shared" si="2"/>
        <v>3.9238884702336094E-2</v>
      </c>
      <c r="T72">
        <v>189.57142857142861</v>
      </c>
      <c r="U72">
        <v>3</v>
      </c>
      <c r="V72">
        <v>2024</v>
      </c>
      <c r="W72">
        <v>1</v>
      </c>
      <c r="X72" t="s">
        <v>9899</v>
      </c>
      <c r="Y72" t="s">
        <v>9901</v>
      </c>
      <c r="Z72" t="s">
        <v>9898</v>
      </c>
      <c r="AD72">
        <f t="shared" si="3"/>
        <v>5</v>
      </c>
    </row>
    <row r="73" spans="1:30" x14ac:dyDescent="0.25">
      <c r="A73" t="s">
        <v>97</v>
      </c>
      <c r="B73" s="2">
        <v>45129</v>
      </c>
      <c r="C73" s="2">
        <v>45133</v>
      </c>
      <c r="D73" t="s">
        <v>5092</v>
      </c>
      <c r="E73" t="s">
        <v>5592</v>
      </c>
      <c r="F73" t="s">
        <v>6026</v>
      </c>
      <c r="G73" t="s">
        <v>6031</v>
      </c>
      <c r="H73" t="s">
        <v>6040</v>
      </c>
      <c r="I73" t="s">
        <v>6052</v>
      </c>
      <c r="J73" t="s">
        <v>6054</v>
      </c>
      <c r="K73" t="s">
        <v>6060</v>
      </c>
      <c r="L73" t="s">
        <v>6136</v>
      </c>
      <c r="M73">
        <v>1025.76</v>
      </c>
      <c r="N73">
        <v>7</v>
      </c>
      <c r="O73">
        <v>0.16</v>
      </c>
      <c r="P73">
        <v>-56.21</v>
      </c>
      <c r="Q73" t="s">
        <v>9897</v>
      </c>
      <c r="R73">
        <v>4</v>
      </c>
      <c r="S73" s="5">
        <f t="shared" si="2"/>
        <v>-5.4798393386367182E-2</v>
      </c>
      <c r="T73">
        <v>146.5371428571429</v>
      </c>
      <c r="U73">
        <v>7</v>
      </c>
      <c r="V73">
        <v>2023</v>
      </c>
      <c r="W73">
        <v>3</v>
      </c>
      <c r="X73" t="s">
        <v>9898</v>
      </c>
      <c r="Y73" t="s">
        <v>9900</v>
      </c>
      <c r="Z73" t="s">
        <v>9898</v>
      </c>
      <c r="AD73">
        <f t="shared" si="3"/>
        <v>4</v>
      </c>
    </row>
    <row r="74" spans="1:30" x14ac:dyDescent="0.25">
      <c r="A74" t="s">
        <v>98</v>
      </c>
      <c r="B74" s="2">
        <v>44671</v>
      </c>
      <c r="C74" s="2">
        <v>44675</v>
      </c>
      <c r="D74" t="s">
        <v>5093</v>
      </c>
      <c r="E74" t="s">
        <v>5593</v>
      </c>
      <c r="F74" t="s">
        <v>6026</v>
      </c>
      <c r="G74" t="s">
        <v>6029</v>
      </c>
      <c r="H74" t="s">
        <v>6036</v>
      </c>
      <c r="I74" t="s">
        <v>6046</v>
      </c>
      <c r="J74" t="s">
        <v>6053</v>
      </c>
      <c r="K74" t="s">
        <v>6056</v>
      </c>
      <c r="L74" t="s">
        <v>6137</v>
      </c>
      <c r="M74">
        <v>982.57</v>
      </c>
      <c r="N74">
        <v>5</v>
      </c>
      <c r="O74">
        <v>0.06</v>
      </c>
      <c r="P74">
        <v>224.11</v>
      </c>
      <c r="Q74" t="s">
        <v>9896</v>
      </c>
      <c r="R74">
        <v>4</v>
      </c>
      <c r="S74" s="5">
        <f t="shared" si="2"/>
        <v>0.22808553080187671</v>
      </c>
      <c r="T74">
        <v>196.51400000000001</v>
      </c>
      <c r="U74">
        <v>4</v>
      </c>
      <c r="V74">
        <v>2022</v>
      </c>
      <c r="W74">
        <v>2</v>
      </c>
      <c r="X74" t="s">
        <v>9899</v>
      </c>
      <c r="Y74" t="s">
        <v>9901</v>
      </c>
      <c r="Z74" t="s">
        <v>9899</v>
      </c>
      <c r="AD74">
        <f t="shared" si="3"/>
        <v>4</v>
      </c>
    </row>
    <row r="75" spans="1:30" x14ac:dyDescent="0.25">
      <c r="A75" t="s">
        <v>99</v>
      </c>
      <c r="B75" s="2">
        <v>45393</v>
      </c>
      <c r="C75" s="2">
        <v>45394</v>
      </c>
      <c r="D75" t="s">
        <v>5094</v>
      </c>
      <c r="E75" t="s">
        <v>5594</v>
      </c>
      <c r="F75" t="s">
        <v>6026</v>
      </c>
      <c r="G75" t="s">
        <v>6030</v>
      </c>
      <c r="H75" t="s">
        <v>6035</v>
      </c>
      <c r="I75" t="s">
        <v>6047</v>
      </c>
      <c r="J75" t="s">
        <v>6055</v>
      </c>
      <c r="K75" t="s">
        <v>6063</v>
      </c>
      <c r="L75" t="s">
        <v>6138</v>
      </c>
      <c r="M75">
        <v>1725.22</v>
      </c>
      <c r="N75">
        <v>1</v>
      </c>
      <c r="O75">
        <v>0.31</v>
      </c>
      <c r="P75">
        <v>-77.900000000000006</v>
      </c>
      <c r="Q75" t="s">
        <v>9897</v>
      </c>
      <c r="R75">
        <v>1</v>
      </c>
      <c r="S75" s="5">
        <f t="shared" si="2"/>
        <v>-4.5153661562003691E-2</v>
      </c>
      <c r="T75">
        <v>1725.22</v>
      </c>
      <c r="U75">
        <v>4</v>
      </c>
      <c r="V75">
        <v>2024</v>
      </c>
      <c r="W75">
        <v>2</v>
      </c>
      <c r="X75" t="s">
        <v>9898</v>
      </c>
      <c r="Y75" t="s">
        <v>9902</v>
      </c>
      <c r="Z75" t="s">
        <v>9898</v>
      </c>
      <c r="AD75">
        <f t="shared" si="3"/>
        <v>1</v>
      </c>
    </row>
    <row r="76" spans="1:30" x14ac:dyDescent="0.25">
      <c r="A76" t="s">
        <v>100</v>
      </c>
      <c r="B76" s="2">
        <v>45089</v>
      </c>
      <c r="C76" s="2">
        <v>45091</v>
      </c>
      <c r="D76" t="s">
        <v>5092</v>
      </c>
      <c r="E76" t="s">
        <v>5592</v>
      </c>
      <c r="F76" t="s">
        <v>6028</v>
      </c>
      <c r="G76" t="s">
        <v>6031</v>
      </c>
      <c r="H76" t="s">
        <v>6034</v>
      </c>
      <c r="I76" t="s">
        <v>6052</v>
      </c>
      <c r="J76" t="s">
        <v>6054</v>
      </c>
      <c r="K76" t="s">
        <v>6060</v>
      </c>
      <c r="L76" t="s">
        <v>6139</v>
      </c>
      <c r="M76">
        <v>1538.84</v>
      </c>
      <c r="N76">
        <v>5</v>
      </c>
      <c r="O76">
        <v>0.35</v>
      </c>
      <c r="P76">
        <v>-123.93</v>
      </c>
      <c r="Q76" t="s">
        <v>9894</v>
      </c>
      <c r="R76">
        <v>2</v>
      </c>
      <c r="S76" s="5">
        <f t="shared" si="2"/>
        <v>-8.0534688466637222E-2</v>
      </c>
      <c r="T76">
        <v>307.76799999999997</v>
      </c>
      <c r="U76">
        <v>6</v>
      </c>
      <c r="V76">
        <v>2023</v>
      </c>
      <c r="W76">
        <v>2</v>
      </c>
      <c r="X76" t="s">
        <v>9898</v>
      </c>
      <c r="Y76" t="s">
        <v>9902</v>
      </c>
      <c r="Z76" t="s">
        <v>9898</v>
      </c>
      <c r="AD76">
        <f t="shared" si="3"/>
        <v>2</v>
      </c>
    </row>
    <row r="77" spans="1:30" x14ac:dyDescent="0.25">
      <c r="A77" t="s">
        <v>101</v>
      </c>
      <c r="B77" s="2">
        <v>45327</v>
      </c>
      <c r="C77" s="2">
        <v>45328</v>
      </c>
      <c r="D77" t="s">
        <v>5095</v>
      </c>
      <c r="E77" t="s">
        <v>5595</v>
      </c>
      <c r="F77" t="s">
        <v>6026</v>
      </c>
      <c r="G77" t="s">
        <v>6031</v>
      </c>
      <c r="H77" t="s">
        <v>6037</v>
      </c>
      <c r="I77" t="s">
        <v>6048</v>
      </c>
      <c r="J77" t="s">
        <v>6055</v>
      </c>
      <c r="K77" t="s">
        <v>6064</v>
      </c>
      <c r="L77" t="s">
        <v>6140</v>
      </c>
      <c r="M77">
        <v>225.21</v>
      </c>
      <c r="N77">
        <v>6</v>
      </c>
      <c r="O77">
        <v>0.21</v>
      </c>
      <c r="P77">
        <v>-10.84</v>
      </c>
      <c r="Q77" t="s">
        <v>9894</v>
      </c>
      <c r="R77">
        <v>1</v>
      </c>
      <c r="S77" s="5">
        <f t="shared" si="2"/>
        <v>-4.8132853780915585E-2</v>
      </c>
      <c r="T77">
        <v>37.534999999999997</v>
      </c>
      <c r="U77">
        <v>2</v>
      </c>
      <c r="V77">
        <v>2024</v>
      </c>
      <c r="W77">
        <v>1</v>
      </c>
      <c r="X77" t="s">
        <v>9898</v>
      </c>
      <c r="Y77" t="s">
        <v>9900</v>
      </c>
      <c r="Z77" t="s">
        <v>9899</v>
      </c>
      <c r="AD77">
        <f t="shared" si="3"/>
        <v>1</v>
      </c>
    </row>
    <row r="78" spans="1:30" x14ac:dyDescent="0.25">
      <c r="A78" t="s">
        <v>102</v>
      </c>
      <c r="B78" s="2">
        <v>45259</v>
      </c>
      <c r="C78" s="2">
        <v>45263</v>
      </c>
      <c r="D78" t="s">
        <v>5096</v>
      </c>
      <c r="E78" t="s">
        <v>5596</v>
      </c>
      <c r="F78" t="s">
        <v>6026</v>
      </c>
      <c r="G78" t="s">
        <v>6030</v>
      </c>
      <c r="H78" t="s">
        <v>6035</v>
      </c>
      <c r="I78" t="s">
        <v>6047</v>
      </c>
      <c r="J78" t="s">
        <v>6054</v>
      </c>
      <c r="K78" t="s">
        <v>6062</v>
      </c>
      <c r="L78" t="s">
        <v>6141</v>
      </c>
      <c r="M78">
        <v>1842.92</v>
      </c>
      <c r="N78">
        <v>5</v>
      </c>
      <c r="O78">
        <v>0.08</v>
      </c>
      <c r="P78">
        <v>293.24</v>
      </c>
      <c r="Q78" t="s">
        <v>9896</v>
      </c>
      <c r="R78">
        <v>4</v>
      </c>
      <c r="S78" s="5">
        <f t="shared" si="2"/>
        <v>0.15911705337182297</v>
      </c>
      <c r="T78">
        <v>368.584</v>
      </c>
      <c r="U78">
        <v>11</v>
      </c>
      <c r="V78">
        <v>2023</v>
      </c>
      <c r="W78">
        <v>4</v>
      </c>
      <c r="X78" t="s">
        <v>9899</v>
      </c>
      <c r="Y78" t="s">
        <v>9901</v>
      </c>
      <c r="Z78" t="s">
        <v>9898</v>
      </c>
      <c r="AD78">
        <f t="shared" si="3"/>
        <v>4</v>
      </c>
    </row>
    <row r="79" spans="1:30" x14ac:dyDescent="0.25">
      <c r="A79" t="s">
        <v>103</v>
      </c>
      <c r="B79" s="2">
        <v>45141</v>
      </c>
      <c r="C79" s="2">
        <v>45145</v>
      </c>
      <c r="D79" t="s">
        <v>5097</v>
      </c>
      <c r="E79" t="s">
        <v>5597</v>
      </c>
      <c r="F79" t="s">
        <v>6028</v>
      </c>
      <c r="G79" t="s">
        <v>6030</v>
      </c>
      <c r="H79" t="s">
        <v>6038</v>
      </c>
      <c r="I79" t="s">
        <v>6047</v>
      </c>
      <c r="J79" t="s">
        <v>6054</v>
      </c>
      <c r="K79" t="s">
        <v>6060</v>
      </c>
      <c r="L79" t="s">
        <v>6142</v>
      </c>
      <c r="M79">
        <v>1620.57</v>
      </c>
      <c r="N79">
        <v>6</v>
      </c>
      <c r="O79">
        <v>0.08</v>
      </c>
      <c r="P79">
        <v>164.14</v>
      </c>
      <c r="Q79" t="s">
        <v>9894</v>
      </c>
      <c r="R79">
        <v>4</v>
      </c>
      <c r="S79" s="5">
        <f t="shared" si="2"/>
        <v>0.10128535021628192</v>
      </c>
      <c r="T79">
        <v>270.09500000000003</v>
      </c>
      <c r="U79">
        <v>8</v>
      </c>
      <c r="V79">
        <v>2023</v>
      </c>
      <c r="W79">
        <v>3</v>
      </c>
      <c r="X79" t="s">
        <v>9899</v>
      </c>
      <c r="Y79" t="s">
        <v>9901</v>
      </c>
      <c r="Z79" t="s">
        <v>9898</v>
      </c>
      <c r="AD79">
        <f t="shared" si="3"/>
        <v>4</v>
      </c>
    </row>
    <row r="80" spans="1:30" x14ac:dyDescent="0.25">
      <c r="A80" t="s">
        <v>104</v>
      </c>
      <c r="B80" s="2">
        <v>44816</v>
      </c>
      <c r="C80" s="2">
        <v>44819</v>
      </c>
      <c r="D80" t="s">
        <v>5046</v>
      </c>
      <c r="E80" t="s">
        <v>5546</v>
      </c>
      <c r="F80" t="s">
        <v>6027</v>
      </c>
      <c r="G80" t="s">
        <v>6029</v>
      </c>
      <c r="H80" t="s">
        <v>6036</v>
      </c>
      <c r="I80" t="s">
        <v>6046</v>
      </c>
      <c r="J80" t="s">
        <v>6053</v>
      </c>
      <c r="K80" t="s">
        <v>6057</v>
      </c>
      <c r="L80" t="s">
        <v>6143</v>
      </c>
      <c r="M80">
        <v>1918.96</v>
      </c>
      <c r="N80">
        <v>8</v>
      </c>
      <c r="O80">
        <v>0.18</v>
      </c>
      <c r="P80">
        <v>-92.02</v>
      </c>
      <c r="Q80" t="s">
        <v>9897</v>
      </c>
      <c r="R80">
        <v>3</v>
      </c>
      <c r="S80" s="5">
        <f t="shared" si="2"/>
        <v>-4.7953057906365948E-2</v>
      </c>
      <c r="T80">
        <v>239.87</v>
      </c>
      <c r="U80">
        <v>9</v>
      </c>
      <c r="V80">
        <v>2022</v>
      </c>
      <c r="W80">
        <v>3</v>
      </c>
      <c r="X80" t="s">
        <v>9898</v>
      </c>
      <c r="Y80" t="s">
        <v>9900</v>
      </c>
      <c r="Z80" t="s">
        <v>9898</v>
      </c>
      <c r="AD80">
        <f t="shared" si="3"/>
        <v>3</v>
      </c>
    </row>
    <row r="81" spans="1:30" x14ac:dyDescent="0.25">
      <c r="A81" t="s">
        <v>105</v>
      </c>
      <c r="B81" s="2">
        <v>44899</v>
      </c>
      <c r="C81" s="2">
        <v>44906</v>
      </c>
      <c r="D81" t="s">
        <v>5098</v>
      </c>
      <c r="E81" t="s">
        <v>5598</v>
      </c>
      <c r="F81" t="s">
        <v>6026</v>
      </c>
      <c r="G81" t="s">
        <v>6029</v>
      </c>
      <c r="H81" t="s">
        <v>6045</v>
      </c>
      <c r="I81" t="s">
        <v>6049</v>
      </c>
      <c r="J81" t="s">
        <v>6053</v>
      </c>
      <c r="K81" t="s">
        <v>6056</v>
      </c>
      <c r="L81" t="s">
        <v>6144</v>
      </c>
      <c r="M81">
        <v>719.01</v>
      </c>
      <c r="N81">
        <v>4</v>
      </c>
      <c r="O81">
        <v>0.15</v>
      </c>
      <c r="P81">
        <v>72.22</v>
      </c>
      <c r="Q81" t="s">
        <v>9893</v>
      </c>
      <c r="R81">
        <v>7</v>
      </c>
      <c r="S81" s="5">
        <f t="shared" si="2"/>
        <v>0.10044366559574971</v>
      </c>
      <c r="T81">
        <v>179.7525</v>
      </c>
      <c r="U81">
        <v>12</v>
      </c>
      <c r="V81">
        <v>2022</v>
      </c>
      <c r="W81">
        <v>4</v>
      </c>
      <c r="X81" t="s">
        <v>9899</v>
      </c>
      <c r="Y81" t="s">
        <v>9901</v>
      </c>
      <c r="Z81" t="s">
        <v>9899</v>
      </c>
      <c r="AD81">
        <f t="shared" si="3"/>
        <v>7</v>
      </c>
    </row>
    <row r="82" spans="1:30" x14ac:dyDescent="0.25">
      <c r="A82" t="s">
        <v>106</v>
      </c>
      <c r="B82" s="2">
        <v>44887</v>
      </c>
      <c r="C82" s="2">
        <v>44893</v>
      </c>
      <c r="D82" t="s">
        <v>5084</v>
      </c>
      <c r="E82" t="s">
        <v>5584</v>
      </c>
      <c r="F82" t="s">
        <v>6026</v>
      </c>
      <c r="G82" t="s">
        <v>6031</v>
      </c>
      <c r="H82" t="s">
        <v>6040</v>
      </c>
      <c r="I82" t="s">
        <v>6050</v>
      </c>
      <c r="J82" t="s">
        <v>6054</v>
      </c>
      <c r="K82" t="s">
        <v>6059</v>
      </c>
      <c r="L82" t="s">
        <v>6145</v>
      </c>
      <c r="M82">
        <v>1075.22</v>
      </c>
      <c r="N82">
        <v>3</v>
      </c>
      <c r="O82">
        <v>0.25</v>
      </c>
      <c r="P82">
        <v>-99.04</v>
      </c>
      <c r="Q82" t="s">
        <v>9893</v>
      </c>
      <c r="R82">
        <v>6</v>
      </c>
      <c r="S82" s="5">
        <f t="shared" si="2"/>
        <v>-9.2111381856736299E-2</v>
      </c>
      <c r="T82">
        <v>358.40666666666669</v>
      </c>
      <c r="U82">
        <v>11</v>
      </c>
      <c r="V82">
        <v>2022</v>
      </c>
      <c r="W82">
        <v>4</v>
      </c>
      <c r="X82" t="s">
        <v>9898</v>
      </c>
      <c r="Y82" t="s">
        <v>9900</v>
      </c>
      <c r="Z82" t="s">
        <v>9898</v>
      </c>
      <c r="AD82">
        <f t="shared" si="3"/>
        <v>6</v>
      </c>
    </row>
    <row r="83" spans="1:30" x14ac:dyDescent="0.25">
      <c r="A83" t="s">
        <v>107</v>
      </c>
      <c r="B83" s="2">
        <v>44857</v>
      </c>
      <c r="C83" s="2">
        <v>44864</v>
      </c>
      <c r="D83" t="s">
        <v>5099</v>
      </c>
      <c r="E83" t="s">
        <v>5599</v>
      </c>
      <c r="F83" t="s">
        <v>6026</v>
      </c>
      <c r="G83" t="s">
        <v>6029</v>
      </c>
      <c r="H83" t="s">
        <v>6041</v>
      </c>
      <c r="I83" t="s">
        <v>6049</v>
      </c>
      <c r="J83" t="s">
        <v>6054</v>
      </c>
      <c r="K83" t="s">
        <v>6062</v>
      </c>
      <c r="L83" t="s">
        <v>6146</v>
      </c>
      <c r="M83">
        <v>1932.98</v>
      </c>
      <c r="N83">
        <v>5</v>
      </c>
      <c r="O83">
        <v>0.15</v>
      </c>
      <c r="P83">
        <v>222.88</v>
      </c>
      <c r="Q83" t="s">
        <v>9896</v>
      </c>
      <c r="R83">
        <v>7</v>
      </c>
      <c r="S83" s="5">
        <f t="shared" si="2"/>
        <v>0.1153038313898747</v>
      </c>
      <c r="T83">
        <v>386.596</v>
      </c>
      <c r="U83">
        <v>10</v>
      </c>
      <c r="V83">
        <v>2022</v>
      </c>
      <c r="W83">
        <v>4</v>
      </c>
      <c r="X83" t="s">
        <v>9899</v>
      </c>
      <c r="Y83" t="s">
        <v>9901</v>
      </c>
      <c r="Z83" t="s">
        <v>9898</v>
      </c>
      <c r="AD83">
        <f t="shared" si="3"/>
        <v>7</v>
      </c>
    </row>
    <row r="84" spans="1:30" x14ac:dyDescent="0.25">
      <c r="A84" t="s">
        <v>108</v>
      </c>
      <c r="B84" s="2">
        <v>44637</v>
      </c>
      <c r="C84" s="2">
        <v>44642</v>
      </c>
      <c r="D84" t="s">
        <v>5100</v>
      </c>
      <c r="E84" t="s">
        <v>5600</v>
      </c>
      <c r="F84" t="s">
        <v>6026</v>
      </c>
      <c r="G84" t="s">
        <v>6031</v>
      </c>
      <c r="H84" t="s">
        <v>6040</v>
      </c>
      <c r="I84" t="s">
        <v>6048</v>
      </c>
      <c r="J84" t="s">
        <v>6054</v>
      </c>
      <c r="K84" t="s">
        <v>6059</v>
      </c>
      <c r="L84" t="s">
        <v>6147</v>
      </c>
      <c r="M84">
        <v>1914.48</v>
      </c>
      <c r="N84">
        <v>6</v>
      </c>
      <c r="O84">
        <v>0.05</v>
      </c>
      <c r="P84">
        <v>435.87</v>
      </c>
      <c r="Q84" t="s">
        <v>9893</v>
      </c>
      <c r="R84">
        <v>5</v>
      </c>
      <c r="S84" s="5">
        <f t="shared" si="2"/>
        <v>0.22767017675817977</v>
      </c>
      <c r="T84">
        <v>319.08</v>
      </c>
      <c r="U84">
        <v>3</v>
      </c>
      <c r="V84">
        <v>2022</v>
      </c>
      <c r="W84">
        <v>1</v>
      </c>
      <c r="X84" t="s">
        <v>9899</v>
      </c>
      <c r="Y84" t="s">
        <v>9901</v>
      </c>
      <c r="Z84" t="s">
        <v>9898</v>
      </c>
      <c r="AD84">
        <f t="shared" si="3"/>
        <v>5</v>
      </c>
    </row>
    <row r="85" spans="1:30" x14ac:dyDescent="0.25">
      <c r="A85" t="s">
        <v>109</v>
      </c>
      <c r="B85" s="2">
        <v>45150</v>
      </c>
      <c r="C85" s="2">
        <v>45153</v>
      </c>
      <c r="D85" t="s">
        <v>5101</v>
      </c>
      <c r="E85" t="s">
        <v>5601</v>
      </c>
      <c r="F85" t="s">
        <v>6028</v>
      </c>
      <c r="G85" t="s">
        <v>6031</v>
      </c>
      <c r="H85" t="s">
        <v>6042</v>
      </c>
      <c r="I85" t="s">
        <v>6050</v>
      </c>
      <c r="J85" t="s">
        <v>6054</v>
      </c>
      <c r="K85" t="s">
        <v>6062</v>
      </c>
      <c r="L85" t="s">
        <v>6148</v>
      </c>
      <c r="M85">
        <v>1366.17</v>
      </c>
      <c r="N85">
        <v>3</v>
      </c>
      <c r="O85">
        <v>0.15</v>
      </c>
      <c r="P85">
        <v>127.34</v>
      </c>
      <c r="Q85" t="s">
        <v>9895</v>
      </c>
      <c r="R85">
        <v>3</v>
      </c>
      <c r="S85" s="5">
        <f t="shared" si="2"/>
        <v>9.3209483446423214E-2</v>
      </c>
      <c r="T85">
        <v>455.39</v>
      </c>
      <c r="U85">
        <v>8</v>
      </c>
      <c r="V85">
        <v>2023</v>
      </c>
      <c r="W85">
        <v>3</v>
      </c>
      <c r="X85" t="s">
        <v>9899</v>
      </c>
      <c r="Y85" t="s">
        <v>9901</v>
      </c>
      <c r="Z85" t="s">
        <v>9898</v>
      </c>
      <c r="AD85">
        <f t="shared" si="3"/>
        <v>3</v>
      </c>
    </row>
    <row r="86" spans="1:30" x14ac:dyDescent="0.25">
      <c r="A86" t="s">
        <v>110</v>
      </c>
      <c r="B86" s="2">
        <v>45373</v>
      </c>
      <c r="C86" s="2">
        <v>45378</v>
      </c>
      <c r="D86" t="s">
        <v>5102</v>
      </c>
      <c r="E86" t="s">
        <v>5602</v>
      </c>
      <c r="F86" t="s">
        <v>6026</v>
      </c>
      <c r="G86" t="s">
        <v>6030</v>
      </c>
      <c r="H86" t="s">
        <v>6039</v>
      </c>
      <c r="I86" t="s">
        <v>6047</v>
      </c>
      <c r="J86" t="s">
        <v>6053</v>
      </c>
      <c r="K86" t="s">
        <v>6056</v>
      </c>
      <c r="L86" t="s">
        <v>6149</v>
      </c>
      <c r="M86">
        <v>1173.22</v>
      </c>
      <c r="N86">
        <v>1</v>
      </c>
      <c r="O86">
        <v>0.09</v>
      </c>
      <c r="P86">
        <v>123.86</v>
      </c>
      <c r="Q86" t="s">
        <v>9897</v>
      </c>
      <c r="R86">
        <v>5</v>
      </c>
      <c r="S86" s="5">
        <f t="shared" si="2"/>
        <v>0.10557269736281345</v>
      </c>
      <c r="T86">
        <v>1173.22</v>
      </c>
      <c r="U86">
        <v>3</v>
      </c>
      <c r="V86">
        <v>2024</v>
      </c>
      <c r="W86">
        <v>1</v>
      </c>
      <c r="X86" t="s">
        <v>9899</v>
      </c>
      <c r="Y86" t="s">
        <v>9901</v>
      </c>
      <c r="Z86" t="s">
        <v>9898</v>
      </c>
      <c r="AD86">
        <f t="shared" si="3"/>
        <v>5</v>
      </c>
    </row>
    <row r="87" spans="1:30" x14ac:dyDescent="0.25">
      <c r="A87" t="s">
        <v>111</v>
      </c>
      <c r="B87" s="2">
        <v>44837</v>
      </c>
      <c r="C87" s="2">
        <v>44841</v>
      </c>
      <c r="D87" t="s">
        <v>5103</v>
      </c>
      <c r="E87" t="s">
        <v>5603</v>
      </c>
      <c r="F87" t="s">
        <v>6028</v>
      </c>
      <c r="G87" t="s">
        <v>6030</v>
      </c>
      <c r="H87" t="s">
        <v>6033</v>
      </c>
      <c r="I87" t="s">
        <v>6051</v>
      </c>
      <c r="J87" t="s">
        <v>6054</v>
      </c>
      <c r="K87" t="s">
        <v>6060</v>
      </c>
      <c r="L87" t="s">
        <v>6150</v>
      </c>
      <c r="M87">
        <v>1309.75</v>
      </c>
      <c r="N87">
        <v>4</v>
      </c>
      <c r="O87">
        <v>0.17</v>
      </c>
      <c r="P87">
        <v>2.41</v>
      </c>
      <c r="Q87" t="s">
        <v>9893</v>
      </c>
      <c r="R87">
        <v>4</v>
      </c>
      <c r="S87" s="5">
        <f t="shared" si="2"/>
        <v>1.8400458102691354E-3</v>
      </c>
      <c r="T87">
        <v>327.4375</v>
      </c>
      <c r="U87">
        <v>10</v>
      </c>
      <c r="V87">
        <v>2022</v>
      </c>
      <c r="W87">
        <v>4</v>
      </c>
      <c r="X87" t="s">
        <v>9899</v>
      </c>
      <c r="Y87" t="s">
        <v>9900</v>
      </c>
      <c r="Z87" t="s">
        <v>9898</v>
      </c>
      <c r="AD87">
        <f t="shared" si="3"/>
        <v>4</v>
      </c>
    </row>
    <row r="88" spans="1:30" x14ac:dyDescent="0.25">
      <c r="A88" t="s">
        <v>112</v>
      </c>
      <c r="B88" s="2">
        <v>44648</v>
      </c>
      <c r="C88" s="2">
        <v>44651</v>
      </c>
      <c r="D88" t="s">
        <v>5104</v>
      </c>
      <c r="E88" t="s">
        <v>5604</v>
      </c>
      <c r="F88" t="s">
        <v>6026</v>
      </c>
      <c r="G88" t="s">
        <v>6031</v>
      </c>
      <c r="H88" t="s">
        <v>6042</v>
      </c>
      <c r="I88" t="s">
        <v>6048</v>
      </c>
      <c r="J88" t="s">
        <v>6055</v>
      </c>
      <c r="K88" t="s">
        <v>6063</v>
      </c>
      <c r="L88" t="s">
        <v>6151</v>
      </c>
      <c r="M88">
        <v>1033.92</v>
      </c>
      <c r="N88">
        <v>6</v>
      </c>
      <c r="O88">
        <v>0.1</v>
      </c>
      <c r="P88">
        <v>68.569999999999993</v>
      </c>
      <c r="Q88" t="s">
        <v>9896</v>
      </c>
      <c r="R88">
        <v>3</v>
      </c>
      <c r="S88" s="5">
        <f t="shared" si="2"/>
        <v>6.6320411637263987E-2</v>
      </c>
      <c r="T88">
        <v>172.32</v>
      </c>
      <c r="U88">
        <v>3</v>
      </c>
      <c r="V88">
        <v>2022</v>
      </c>
      <c r="W88">
        <v>1</v>
      </c>
      <c r="X88" t="s">
        <v>9899</v>
      </c>
      <c r="Y88" t="s">
        <v>9901</v>
      </c>
      <c r="Z88" t="s">
        <v>9898</v>
      </c>
      <c r="AD88">
        <f t="shared" si="3"/>
        <v>3</v>
      </c>
    </row>
    <row r="89" spans="1:30" x14ac:dyDescent="0.25">
      <c r="A89" t="s">
        <v>113</v>
      </c>
      <c r="B89" s="2">
        <v>45026</v>
      </c>
      <c r="C89" s="2">
        <v>45029</v>
      </c>
      <c r="D89" t="s">
        <v>5103</v>
      </c>
      <c r="E89" t="s">
        <v>5603</v>
      </c>
      <c r="F89" t="s">
        <v>6026</v>
      </c>
      <c r="G89" t="s">
        <v>6030</v>
      </c>
      <c r="H89" t="s">
        <v>6035</v>
      </c>
      <c r="I89" t="s">
        <v>6047</v>
      </c>
      <c r="J89" t="s">
        <v>6054</v>
      </c>
      <c r="K89" t="s">
        <v>6059</v>
      </c>
      <c r="L89" t="s">
        <v>6152</v>
      </c>
      <c r="M89">
        <v>1462.47</v>
      </c>
      <c r="N89">
        <v>4</v>
      </c>
      <c r="O89">
        <v>0.16</v>
      </c>
      <c r="P89">
        <v>114</v>
      </c>
      <c r="Q89" t="s">
        <v>9896</v>
      </c>
      <c r="R89">
        <v>3</v>
      </c>
      <c r="S89" s="5">
        <f t="shared" si="2"/>
        <v>7.7950316929578045E-2</v>
      </c>
      <c r="T89">
        <v>365.61750000000001</v>
      </c>
      <c r="U89">
        <v>4</v>
      </c>
      <c r="V89">
        <v>2023</v>
      </c>
      <c r="W89">
        <v>2</v>
      </c>
      <c r="X89" t="s">
        <v>9899</v>
      </c>
      <c r="Y89" t="s">
        <v>9900</v>
      </c>
      <c r="Z89" t="s">
        <v>9898</v>
      </c>
      <c r="AD89">
        <f t="shared" si="3"/>
        <v>3</v>
      </c>
    </row>
    <row r="90" spans="1:30" x14ac:dyDescent="0.25">
      <c r="A90" t="s">
        <v>114</v>
      </c>
      <c r="B90" s="2">
        <v>44834</v>
      </c>
      <c r="C90" s="2">
        <v>44840</v>
      </c>
      <c r="D90" t="s">
        <v>5105</v>
      </c>
      <c r="E90" t="s">
        <v>5605</v>
      </c>
      <c r="F90" t="s">
        <v>6026</v>
      </c>
      <c r="G90" t="s">
        <v>6030</v>
      </c>
      <c r="H90" t="s">
        <v>6035</v>
      </c>
      <c r="I90" t="s">
        <v>6051</v>
      </c>
      <c r="J90" t="s">
        <v>6053</v>
      </c>
      <c r="K90" t="s">
        <v>6058</v>
      </c>
      <c r="L90" t="s">
        <v>6153</v>
      </c>
      <c r="M90">
        <v>1391.97</v>
      </c>
      <c r="N90">
        <v>8</v>
      </c>
      <c r="O90">
        <v>0.26</v>
      </c>
      <c r="P90">
        <v>-127.23</v>
      </c>
      <c r="Q90" t="s">
        <v>9894</v>
      </c>
      <c r="R90">
        <v>6</v>
      </c>
      <c r="S90" s="5">
        <f t="shared" si="2"/>
        <v>-9.1402831957585293E-2</v>
      </c>
      <c r="T90">
        <v>173.99625</v>
      </c>
      <c r="U90">
        <v>9</v>
      </c>
      <c r="V90">
        <v>2022</v>
      </c>
      <c r="W90">
        <v>3</v>
      </c>
      <c r="X90" t="s">
        <v>9898</v>
      </c>
      <c r="Y90" t="s">
        <v>9900</v>
      </c>
      <c r="Z90" t="s">
        <v>9898</v>
      </c>
      <c r="AD90">
        <f t="shared" si="3"/>
        <v>6</v>
      </c>
    </row>
    <row r="91" spans="1:30" x14ac:dyDescent="0.25">
      <c r="A91" t="s">
        <v>115</v>
      </c>
      <c r="B91" s="2">
        <v>45420</v>
      </c>
      <c r="C91" s="2">
        <v>45422</v>
      </c>
      <c r="D91" t="s">
        <v>5106</v>
      </c>
      <c r="E91" t="s">
        <v>5606</v>
      </c>
      <c r="F91" t="s">
        <v>6028</v>
      </c>
      <c r="G91" t="s">
        <v>6030</v>
      </c>
      <c r="H91" t="s">
        <v>6038</v>
      </c>
      <c r="I91" t="s">
        <v>6051</v>
      </c>
      <c r="J91" t="s">
        <v>6054</v>
      </c>
      <c r="K91" t="s">
        <v>6059</v>
      </c>
      <c r="L91" t="s">
        <v>6154</v>
      </c>
      <c r="M91">
        <v>1284.71</v>
      </c>
      <c r="N91">
        <v>2</v>
      </c>
      <c r="O91">
        <v>0.24</v>
      </c>
      <c r="P91">
        <v>18.64</v>
      </c>
      <c r="Q91" t="s">
        <v>9897</v>
      </c>
      <c r="R91">
        <v>2</v>
      </c>
      <c r="S91" s="5">
        <f t="shared" si="2"/>
        <v>1.4509111005596594E-2</v>
      </c>
      <c r="T91">
        <v>642.35500000000002</v>
      </c>
      <c r="U91">
        <v>5</v>
      </c>
      <c r="V91">
        <v>2024</v>
      </c>
      <c r="W91">
        <v>2</v>
      </c>
      <c r="X91" t="s">
        <v>9899</v>
      </c>
      <c r="Y91" t="s">
        <v>9900</v>
      </c>
      <c r="Z91" t="s">
        <v>9898</v>
      </c>
      <c r="AD91">
        <f t="shared" si="3"/>
        <v>2</v>
      </c>
    </row>
    <row r="92" spans="1:30" x14ac:dyDescent="0.25">
      <c r="A92" t="s">
        <v>116</v>
      </c>
      <c r="B92" s="2">
        <v>44634</v>
      </c>
      <c r="C92" s="2">
        <v>44637</v>
      </c>
      <c r="D92" t="s">
        <v>5107</v>
      </c>
      <c r="E92" t="s">
        <v>5607</v>
      </c>
      <c r="F92" t="s">
        <v>6028</v>
      </c>
      <c r="G92" t="s">
        <v>6029</v>
      </c>
      <c r="H92" t="s">
        <v>6041</v>
      </c>
      <c r="I92" t="s">
        <v>6050</v>
      </c>
      <c r="J92" t="s">
        <v>6053</v>
      </c>
      <c r="K92" t="s">
        <v>6057</v>
      </c>
      <c r="L92" t="s">
        <v>6155</v>
      </c>
      <c r="M92">
        <v>1657.03</v>
      </c>
      <c r="N92">
        <v>2</v>
      </c>
      <c r="O92">
        <v>0.08</v>
      </c>
      <c r="P92">
        <v>344.39</v>
      </c>
      <c r="Q92" t="s">
        <v>9894</v>
      </c>
      <c r="R92">
        <v>3</v>
      </c>
      <c r="S92" s="5">
        <f t="shared" si="2"/>
        <v>0.20783570605239493</v>
      </c>
      <c r="T92">
        <v>828.51499999999999</v>
      </c>
      <c r="U92">
        <v>3</v>
      </c>
      <c r="V92">
        <v>2022</v>
      </c>
      <c r="W92">
        <v>1</v>
      </c>
      <c r="X92" t="s">
        <v>9899</v>
      </c>
      <c r="Y92" t="s">
        <v>9901</v>
      </c>
      <c r="Z92" t="s">
        <v>9898</v>
      </c>
      <c r="AD92">
        <f t="shared" si="3"/>
        <v>3</v>
      </c>
    </row>
    <row r="93" spans="1:30" x14ac:dyDescent="0.25">
      <c r="A93" t="s">
        <v>117</v>
      </c>
      <c r="B93" s="2">
        <v>44697</v>
      </c>
      <c r="C93" s="2">
        <v>44702</v>
      </c>
      <c r="D93" t="s">
        <v>5108</v>
      </c>
      <c r="E93" t="s">
        <v>5608</v>
      </c>
      <c r="F93" t="s">
        <v>6026</v>
      </c>
      <c r="G93" t="s">
        <v>6031</v>
      </c>
      <c r="H93" t="s">
        <v>6043</v>
      </c>
      <c r="I93" t="s">
        <v>6048</v>
      </c>
      <c r="J93" t="s">
        <v>6055</v>
      </c>
      <c r="K93" t="s">
        <v>6063</v>
      </c>
      <c r="L93" t="s">
        <v>6156</v>
      </c>
      <c r="M93">
        <v>1353.29</v>
      </c>
      <c r="N93">
        <v>4</v>
      </c>
      <c r="O93">
        <v>0.16</v>
      </c>
      <c r="P93">
        <v>154.09</v>
      </c>
      <c r="Q93" t="s">
        <v>9893</v>
      </c>
      <c r="R93">
        <v>5</v>
      </c>
      <c r="S93" s="5">
        <f t="shared" si="2"/>
        <v>0.11386325177899785</v>
      </c>
      <c r="T93">
        <v>338.32249999999999</v>
      </c>
      <c r="U93">
        <v>5</v>
      </c>
      <c r="V93">
        <v>2022</v>
      </c>
      <c r="W93">
        <v>2</v>
      </c>
      <c r="X93" t="s">
        <v>9899</v>
      </c>
      <c r="Y93" t="s">
        <v>9900</v>
      </c>
      <c r="Z93" t="s">
        <v>9898</v>
      </c>
      <c r="AD93">
        <f t="shared" si="3"/>
        <v>5</v>
      </c>
    </row>
    <row r="94" spans="1:30" x14ac:dyDescent="0.25">
      <c r="A94" t="s">
        <v>118</v>
      </c>
      <c r="B94" s="2">
        <v>44749</v>
      </c>
      <c r="C94" s="2">
        <v>44751</v>
      </c>
      <c r="D94" t="s">
        <v>5109</v>
      </c>
      <c r="E94" t="s">
        <v>5609</v>
      </c>
      <c r="F94" t="s">
        <v>6028</v>
      </c>
      <c r="G94" t="s">
        <v>6030</v>
      </c>
      <c r="H94" t="s">
        <v>6038</v>
      </c>
      <c r="I94" t="s">
        <v>6047</v>
      </c>
      <c r="J94" t="s">
        <v>6053</v>
      </c>
      <c r="K94" t="s">
        <v>6057</v>
      </c>
      <c r="L94" t="s">
        <v>6157</v>
      </c>
      <c r="M94">
        <v>1994.16</v>
      </c>
      <c r="N94">
        <v>6</v>
      </c>
      <c r="O94">
        <v>0.01</v>
      </c>
      <c r="P94">
        <v>337.88</v>
      </c>
      <c r="Q94" t="s">
        <v>9893</v>
      </c>
      <c r="R94">
        <v>2</v>
      </c>
      <c r="S94" s="5">
        <f t="shared" si="2"/>
        <v>0.16943474946844786</v>
      </c>
      <c r="T94">
        <v>332.36</v>
      </c>
      <c r="U94">
        <v>7</v>
      </c>
      <c r="V94">
        <v>2022</v>
      </c>
      <c r="W94">
        <v>3</v>
      </c>
      <c r="X94" t="s">
        <v>9899</v>
      </c>
      <c r="Y94" t="s">
        <v>9901</v>
      </c>
      <c r="Z94" t="s">
        <v>9898</v>
      </c>
      <c r="AD94">
        <f t="shared" si="3"/>
        <v>2</v>
      </c>
    </row>
    <row r="95" spans="1:30" x14ac:dyDescent="0.25">
      <c r="A95" t="s">
        <v>119</v>
      </c>
      <c r="B95" s="2">
        <v>44984</v>
      </c>
      <c r="C95" s="2">
        <v>44989</v>
      </c>
      <c r="D95" t="s">
        <v>5110</v>
      </c>
      <c r="E95" t="s">
        <v>5610</v>
      </c>
      <c r="F95" t="s">
        <v>6028</v>
      </c>
      <c r="G95" t="s">
        <v>6030</v>
      </c>
      <c r="H95" t="s">
        <v>6039</v>
      </c>
      <c r="I95" t="s">
        <v>6051</v>
      </c>
      <c r="J95" t="s">
        <v>6054</v>
      </c>
      <c r="K95" t="s">
        <v>6059</v>
      </c>
      <c r="L95" t="s">
        <v>6158</v>
      </c>
      <c r="M95">
        <v>1496.07</v>
      </c>
      <c r="N95">
        <v>7</v>
      </c>
      <c r="O95">
        <v>0.34</v>
      </c>
      <c r="P95">
        <v>-301.18</v>
      </c>
      <c r="Q95" t="s">
        <v>9896</v>
      </c>
      <c r="R95">
        <v>5</v>
      </c>
      <c r="S95" s="5">
        <f t="shared" si="2"/>
        <v>-0.20131410963390753</v>
      </c>
      <c r="T95">
        <v>213.72428571428571</v>
      </c>
      <c r="U95">
        <v>2</v>
      </c>
      <c r="V95">
        <v>2023</v>
      </c>
      <c r="W95">
        <v>1</v>
      </c>
      <c r="X95" t="s">
        <v>9898</v>
      </c>
      <c r="Y95" t="s">
        <v>9902</v>
      </c>
      <c r="Z95" t="s">
        <v>9898</v>
      </c>
      <c r="AD95">
        <f t="shared" si="3"/>
        <v>5</v>
      </c>
    </row>
    <row r="96" spans="1:30" x14ac:dyDescent="0.25">
      <c r="A96" t="s">
        <v>120</v>
      </c>
      <c r="B96" s="2">
        <v>44765</v>
      </c>
      <c r="C96" s="2">
        <v>44769</v>
      </c>
      <c r="D96" t="s">
        <v>5111</v>
      </c>
      <c r="E96" t="s">
        <v>5611</v>
      </c>
      <c r="F96" t="s">
        <v>6027</v>
      </c>
      <c r="G96" t="s">
        <v>6030</v>
      </c>
      <c r="H96" t="s">
        <v>6038</v>
      </c>
      <c r="I96" t="s">
        <v>6051</v>
      </c>
      <c r="J96" t="s">
        <v>6053</v>
      </c>
      <c r="K96" t="s">
        <v>6057</v>
      </c>
      <c r="L96" t="s">
        <v>6159</v>
      </c>
      <c r="M96">
        <v>1314.54</v>
      </c>
      <c r="N96">
        <v>8</v>
      </c>
      <c r="O96">
        <v>0.35</v>
      </c>
      <c r="P96">
        <v>-302.01</v>
      </c>
      <c r="Q96" t="s">
        <v>9896</v>
      </c>
      <c r="R96">
        <v>4</v>
      </c>
      <c r="S96" s="5">
        <f t="shared" si="2"/>
        <v>-0.2297457665799443</v>
      </c>
      <c r="T96">
        <v>164.3175</v>
      </c>
      <c r="U96">
        <v>7</v>
      </c>
      <c r="V96">
        <v>2022</v>
      </c>
      <c r="W96">
        <v>3</v>
      </c>
      <c r="X96" t="s">
        <v>9898</v>
      </c>
      <c r="Y96" t="s">
        <v>9902</v>
      </c>
      <c r="Z96" t="s">
        <v>9898</v>
      </c>
      <c r="AD96">
        <f t="shared" si="3"/>
        <v>4</v>
      </c>
    </row>
    <row r="97" spans="1:30" x14ac:dyDescent="0.25">
      <c r="A97" t="s">
        <v>121</v>
      </c>
      <c r="B97" s="2">
        <v>45371</v>
      </c>
      <c r="C97" s="2">
        <v>45377</v>
      </c>
      <c r="D97" t="s">
        <v>5112</v>
      </c>
      <c r="E97" t="s">
        <v>5612</v>
      </c>
      <c r="F97" t="s">
        <v>6026</v>
      </c>
      <c r="G97" t="s">
        <v>6029</v>
      </c>
      <c r="H97" t="s">
        <v>6045</v>
      </c>
      <c r="I97" t="s">
        <v>6049</v>
      </c>
      <c r="J97" t="s">
        <v>6055</v>
      </c>
      <c r="K97" t="s">
        <v>6061</v>
      </c>
      <c r="L97" t="s">
        <v>6160</v>
      </c>
      <c r="M97">
        <v>1697.1</v>
      </c>
      <c r="N97">
        <v>3</v>
      </c>
      <c r="O97">
        <v>0.01</v>
      </c>
      <c r="P97">
        <v>383.83</v>
      </c>
      <c r="Q97" t="s">
        <v>9894</v>
      </c>
      <c r="R97">
        <v>6</v>
      </c>
      <c r="S97" s="5">
        <f t="shared" si="2"/>
        <v>0.22616816922986271</v>
      </c>
      <c r="T97">
        <v>565.69999999999993</v>
      </c>
      <c r="U97">
        <v>3</v>
      </c>
      <c r="V97">
        <v>2024</v>
      </c>
      <c r="W97">
        <v>1</v>
      </c>
      <c r="X97" t="s">
        <v>9899</v>
      </c>
      <c r="Y97" t="s">
        <v>9901</v>
      </c>
      <c r="Z97" t="s">
        <v>9898</v>
      </c>
      <c r="AD97">
        <f t="shared" si="3"/>
        <v>6</v>
      </c>
    </row>
    <row r="98" spans="1:30" x14ac:dyDescent="0.25">
      <c r="A98" t="s">
        <v>122</v>
      </c>
      <c r="B98" s="2">
        <v>45222</v>
      </c>
      <c r="C98" s="2">
        <v>45226</v>
      </c>
      <c r="D98" t="s">
        <v>5113</v>
      </c>
      <c r="E98" t="s">
        <v>5613</v>
      </c>
      <c r="F98" t="s">
        <v>6027</v>
      </c>
      <c r="G98" t="s">
        <v>6029</v>
      </c>
      <c r="H98" t="s">
        <v>6032</v>
      </c>
      <c r="I98" t="s">
        <v>6049</v>
      </c>
      <c r="J98" t="s">
        <v>6055</v>
      </c>
      <c r="K98" t="s">
        <v>6064</v>
      </c>
      <c r="L98" t="s">
        <v>6161</v>
      </c>
      <c r="M98">
        <v>1686.92</v>
      </c>
      <c r="N98">
        <v>6</v>
      </c>
      <c r="O98">
        <v>0.21</v>
      </c>
      <c r="P98">
        <v>-70.36</v>
      </c>
      <c r="Q98" t="s">
        <v>9894</v>
      </c>
      <c r="R98">
        <v>4</v>
      </c>
      <c r="S98" s="5">
        <f t="shared" si="2"/>
        <v>-4.1709150404287104E-2</v>
      </c>
      <c r="T98">
        <v>281.15333333333342</v>
      </c>
      <c r="U98">
        <v>10</v>
      </c>
      <c r="V98">
        <v>2023</v>
      </c>
      <c r="W98">
        <v>4</v>
      </c>
      <c r="X98" t="s">
        <v>9898</v>
      </c>
      <c r="Y98" t="s">
        <v>9900</v>
      </c>
      <c r="Z98" t="s">
        <v>9898</v>
      </c>
      <c r="AD98">
        <f t="shared" si="3"/>
        <v>4</v>
      </c>
    </row>
    <row r="99" spans="1:30" x14ac:dyDescent="0.25">
      <c r="A99" t="s">
        <v>123</v>
      </c>
      <c r="B99" s="2">
        <v>45180</v>
      </c>
      <c r="C99" s="2">
        <v>45187</v>
      </c>
      <c r="D99" t="s">
        <v>5114</v>
      </c>
      <c r="E99" t="s">
        <v>5614</v>
      </c>
      <c r="F99" t="s">
        <v>6028</v>
      </c>
      <c r="G99" t="s">
        <v>6029</v>
      </c>
      <c r="H99" t="s">
        <v>6041</v>
      </c>
      <c r="I99" t="s">
        <v>6049</v>
      </c>
      <c r="J99" t="s">
        <v>6054</v>
      </c>
      <c r="K99" t="s">
        <v>6062</v>
      </c>
      <c r="L99" t="s">
        <v>6162</v>
      </c>
      <c r="M99">
        <v>691.68</v>
      </c>
      <c r="N99">
        <v>5</v>
      </c>
      <c r="O99">
        <v>0.17</v>
      </c>
      <c r="P99">
        <v>60.95</v>
      </c>
      <c r="Q99" t="s">
        <v>9895</v>
      </c>
      <c r="R99">
        <v>7</v>
      </c>
      <c r="S99" s="5">
        <f t="shared" si="2"/>
        <v>8.8118783252371047E-2</v>
      </c>
      <c r="T99">
        <v>138.33600000000001</v>
      </c>
      <c r="U99">
        <v>9</v>
      </c>
      <c r="V99">
        <v>2023</v>
      </c>
      <c r="W99">
        <v>3</v>
      </c>
      <c r="X99" t="s">
        <v>9899</v>
      </c>
      <c r="Y99" t="s">
        <v>9900</v>
      </c>
      <c r="Z99" t="s">
        <v>9899</v>
      </c>
      <c r="AD99">
        <f t="shared" si="3"/>
        <v>7</v>
      </c>
    </row>
    <row r="100" spans="1:30" x14ac:dyDescent="0.25">
      <c r="A100" t="s">
        <v>124</v>
      </c>
      <c r="B100" s="2">
        <v>44983</v>
      </c>
      <c r="C100" s="2">
        <v>44986</v>
      </c>
      <c r="D100" t="s">
        <v>5115</v>
      </c>
      <c r="E100" t="s">
        <v>5615</v>
      </c>
      <c r="F100" t="s">
        <v>6026</v>
      </c>
      <c r="G100" t="s">
        <v>6030</v>
      </c>
      <c r="H100" t="s">
        <v>6038</v>
      </c>
      <c r="I100" t="s">
        <v>6047</v>
      </c>
      <c r="J100" t="s">
        <v>6054</v>
      </c>
      <c r="K100" t="s">
        <v>6059</v>
      </c>
      <c r="L100" t="s">
        <v>6163</v>
      </c>
      <c r="M100">
        <v>311.27999999999997</v>
      </c>
      <c r="N100">
        <v>5</v>
      </c>
      <c r="O100">
        <v>0.17</v>
      </c>
      <c r="P100">
        <v>-21.61</v>
      </c>
      <c r="Q100" t="s">
        <v>9895</v>
      </c>
      <c r="R100">
        <v>3</v>
      </c>
      <c r="S100" s="5">
        <f t="shared" si="2"/>
        <v>-6.9423027499357498E-2</v>
      </c>
      <c r="T100">
        <v>62.255999999999993</v>
      </c>
      <c r="U100">
        <v>2</v>
      </c>
      <c r="V100">
        <v>2023</v>
      </c>
      <c r="W100">
        <v>1</v>
      </c>
      <c r="X100" t="s">
        <v>9898</v>
      </c>
      <c r="Y100" t="s">
        <v>9900</v>
      </c>
      <c r="Z100" t="s">
        <v>9899</v>
      </c>
      <c r="AD100">
        <f t="shared" si="3"/>
        <v>3</v>
      </c>
    </row>
    <row r="101" spans="1:30" x14ac:dyDescent="0.25">
      <c r="A101" t="s">
        <v>125</v>
      </c>
      <c r="B101" s="2">
        <v>45214</v>
      </c>
      <c r="C101" s="2">
        <v>45219</v>
      </c>
      <c r="D101" t="s">
        <v>5116</v>
      </c>
      <c r="E101" t="s">
        <v>5616</v>
      </c>
      <c r="F101" t="s">
        <v>6026</v>
      </c>
      <c r="G101" t="s">
        <v>6031</v>
      </c>
      <c r="H101" t="s">
        <v>6040</v>
      </c>
      <c r="I101" t="s">
        <v>6048</v>
      </c>
      <c r="J101" t="s">
        <v>6055</v>
      </c>
      <c r="K101" t="s">
        <v>6063</v>
      </c>
      <c r="L101" t="s">
        <v>6164</v>
      </c>
      <c r="M101">
        <v>820.74</v>
      </c>
      <c r="N101">
        <v>5</v>
      </c>
      <c r="O101">
        <v>0.13</v>
      </c>
      <c r="P101">
        <v>-11.92</v>
      </c>
      <c r="Q101" t="s">
        <v>9895</v>
      </c>
      <c r="R101">
        <v>5</v>
      </c>
      <c r="S101" s="5">
        <f t="shared" si="2"/>
        <v>-1.4523478811803981E-2</v>
      </c>
      <c r="T101">
        <v>164.148</v>
      </c>
      <c r="U101">
        <v>10</v>
      </c>
      <c r="V101">
        <v>2023</v>
      </c>
      <c r="W101">
        <v>4</v>
      </c>
      <c r="X101" t="s">
        <v>9898</v>
      </c>
      <c r="Y101" t="s">
        <v>9901</v>
      </c>
      <c r="Z101" t="s">
        <v>9899</v>
      </c>
      <c r="AD101">
        <f t="shared" si="3"/>
        <v>5</v>
      </c>
    </row>
    <row r="102" spans="1:30" x14ac:dyDescent="0.25">
      <c r="A102" t="s">
        <v>126</v>
      </c>
      <c r="B102" s="2">
        <v>45400</v>
      </c>
      <c r="C102" s="2">
        <v>45406</v>
      </c>
      <c r="D102" t="s">
        <v>5117</v>
      </c>
      <c r="E102" t="s">
        <v>5617</v>
      </c>
      <c r="F102" t="s">
        <v>6028</v>
      </c>
      <c r="G102" t="s">
        <v>6029</v>
      </c>
      <c r="H102" t="s">
        <v>6032</v>
      </c>
      <c r="I102" t="s">
        <v>6046</v>
      </c>
      <c r="J102" t="s">
        <v>6055</v>
      </c>
      <c r="K102" t="s">
        <v>6061</v>
      </c>
      <c r="L102" t="s">
        <v>6165</v>
      </c>
      <c r="M102">
        <v>578.91999999999996</v>
      </c>
      <c r="N102">
        <v>7</v>
      </c>
      <c r="O102">
        <v>0.3</v>
      </c>
      <c r="P102">
        <v>-57.43</v>
      </c>
      <c r="Q102" t="s">
        <v>9895</v>
      </c>
      <c r="R102">
        <v>6</v>
      </c>
      <c r="S102" s="5">
        <f t="shared" si="2"/>
        <v>-9.9201962274580266E-2</v>
      </c>
      <c r="T102">
        <v>82.702857142857141</v>
      </c>
      <c r="U102">
        <v>4</v>
      </c>
      <c r="V102">
        <v>2024</v>
      </c>
      <c r="W102">
        <v>2</v>
      </c>
      <c r="X102" t="s">
        <v>9898</v>
      </c>
      <c r="Y102" t="s">
        <v>9900</v>
      </c>
      <c r="Z102" t="s">
        <v>9899</v>
      </c>
      <c r="AD102">
        <f t="shared" si="3"/>
        <v>6</v>
      </c>
    </row>
    <row r="103" spans="1:30" x14ac:dyDescent="0.25">
      <c r="A103" t="s">
        <v>127</v>
      </c>
      <c r="B103" s="2">
        <v>45294</v>
      </c>
      <c r="C103" s="2">
        <v>45295</v>
      </c>
      <c r="D103" t="s">
        <v>5118</v>
      </c>
      <c r="E103" t="s">
        <v>5618</v>
      </c>
      <c r="F103" t="s">
        <v>6028</v>
      </c>
      <c r="G103" t="s">
        <v>6030</v>
      </c>
      <c r="H103" t="s">
        <v>6035</v>
      </c>
      <c r="I103" t="s">
        <v>6047</v>
      </c>
      <c r="J103" t="s">
        <v>6055</v>
      </c>
      <c r="K103" t="s">
        <v>6061</v>
      </c>
      <c r="L103" t="s">
        <v>6166</v>
      </c>
      <c r="M103">
        <v>687.62</v>
      </c>
      <c r="N103">
        <v>7</v>
      </c>
      <c r="O103">
        <v>0.22</v>
      </c>
      <c r="P103">
        <v>8.2899999999999991</v>
      </c>
      <c r="Q103" t="s">
        <v>9893</v>
      </c>
      <c r="R103">
        <v>1</v>
      </c>
      <c r="S103" s="5">
        <f t="shared" si="2"/>
        <v>1.2056077484657222E-2</v>
      </c>
      <c r="T103">
        <v>98.231428571428566</v>
      </c>
      <c r="U103">
        <v>1</v>
      </c>
      <c r="V103">
        <v>2024</v>
      </c>
      <c r="W103">
        <v>1</v>
      </c>
      <c r="X103" t="s">
        <v>9899</v>
      </c>
      <c r="Y103" t="s">
        <v>9900</v>
      </c>
      <c r="Z103" t="s">
        <v>9899</v>
      </c>
      <c r="AD103">
        <f t="shared" si="3"/>
        <v>1</v>
      </c>
    </row>
    <row r="104" spans="1:30" x14ac:dyDescent="0.25">
      <c r="A104" t="s">
        <v>128</v>
      </c>
      <c r="B104" s="2">
        <v>44643</v>
      </c>
      <c r="C104" s="2">
        <v>44648</v>
      </c>
      <c r="D104" t="s">
        <v>5119</v>
      </c>
      <c r="E104" t="s">
        <v>5619</v>
      </c>
      <c r="F104" t="s">
        <v>6028</v>
      </c>
      <c r="G104" t="s">
        <v>6029</v>
      </c>
      <c r="H104" t="s">
        <v>6036</v>
      </c>
      <c r="I104" t="s">
        <v>6050</v>
      </c>
      <c r="J104" t="s">
        <v>6053</v>
      </c>
      <c r="K104" t="s">
        <v>6057</v>
      </c>
      <c r="L104" t="s">
        <v>6167</v>
      </c>
      <c r="M104">
        <v>389.86</v>
      </c>
      <c r="N104">
        <v>7</v>
      </c>
      <c r="O104">
        <v>0.01</v>
      </c>
      <c r="P104">
        <v>52.23</v>
      </c>
      <c r="Q104" t="s">
        <v>9893</v>
      </c>
      <c r="R104">
        <v>5</v>
      </c>
      <c r="S104" s="5">
        <f t="shared" si="2"/>
        <v>0.13397116913763915</v>
      </c>
      <c r="T104">
        <v>55.694285714285719</v>
      </c>
      <c r="U104">
        <v>3</v>
      </c>
      <c r="V104">
        <v>2022</v>
      </c>
      <c r="W104">
        <v>1</v>
      </c>
      <c r="X104" t="s">
        <v>9899</v>
      </c>
      <c r="Y104" t="s">
        <v>9901</v>
      </c>
      <c r="Z104" t="s">
        <v>9899</v>
      </c>
      <c r="AD104">
        <f t="shared" si="3"/>
        <v>5</v>
      </c>
    </row>
    <row r="105" spans="1:30" x14ac:dyDescent="0.25">
      <c r="A105" t="s">
        <v>129</v>
      </c>
      <c r="B105" s="2">
        <v>45441</v>
      </c>
      <c r="C105" s="2">
        <v>45443</v>
      </c>
      <c r="D105" t="s">
        <v>5072</v>
      </c>
      <c r="E105" t="s">
        <v>5572</v>
      </c>
      <c r="F105" t="s">
        <v>6028</v>
      </c>
      <c r="G105" t="s">
        <v>6030</v>
      </c>
      <c r="H105" t="s">
        <v>6033</v>
      </c>
      <c r="I105" t="s">
        <v>6051</v>
      </c>
      <c r="J105" t="s">
        <v>6053</v>
      </c>
      <c r="K105" t="s">
        <v>6056</v>
      </c>
      <c r="L105" t="s">
        <v>6168</v>
      </c>
      <c r="M105">
        <v>1124.6600000000001</v>
      </c>
      <c r="N105">
        <v>4</v>
      </c>
      <c r="O105">
        <v>0.03</v>
      </c>
      <c r="P105">
        <v>139.30000000000001</v>
      </c>
      <c r="Q105" t="s">
        <v>9893</v>
      </c>
      <c r="R105">
        <v>2</v>
      </c>
      <c r="S105" s="5">
        <f t="shared" si="2"/>
        <v>0.12385965536250956</v>
      </c>
      <c r="T105">
        <v>281.16500000000002</v>
      </c>
      <c r="U105">
        <v>5</v>
      </c>
      <c r="V105">
        <v>2024</v>
      </c>
      <c r="W105">
        <v>2</v>
      </c>
      <c r="X105" t="s">
        <v>9899</v>
      </c>
      <c r="Y105" t="s">
        <v>9901</v>
      </c>
      <c r="Z105" t="s">
        <v>9898</v>
      </c>
      <c r="AD105">
        <f t="shared" si="3"/>
        <v>2</v>
      </c>
    </row>
    <row r="106" spans="1:30" x14ac:dyDescent="0.25">
      <c r="A106" t="s">
        <v>130</v>
      </c>
      <c r="B106" s="2">
        <v>44937</v>
      </c>
      <c r="C106" s="2">
        <v>44940</v>
      </c>
      <c r="D106" t="s">
        <v>5120</v>
      </c>
      <c r="E106" t="s">
        <v>5620</v>
      </c>
      <c r="F106" t="s">
        <v>6027</v>
      </c>
      <c r="G106" t="s">
        <v>6031</v>
      </c>
      <c r="H106" t="s">
        <v>6040</v>
      </c>
      <c r="I106" t="s">
        <v>6050</v>
      </c>
      <c r="J106" t="s">
        <v>6053</v>
      </c>
      <c r="K106" t="s">
        <v>6058</v>
      </c>
      <c r="L106" t="s">
        <v>6169</v>
      </c>
      <c r="M106">
        <v>1498.67</v>
      </c>
      <c r="N106">
        <v>1</v>
      </c>
      <c r="O106">
        <v>0.33</v>
      </c>
      <c r="P106">
        <v>-110.11</v>
      </c>
      <c r="Q106" t="s">
        <v>9895</v>
      </c>
      <c r="R106">
        <v>3</v>
      </c>
      <c r="S106" s="5">
        <f t="shared" si="2"/>
        <v>-7.3471811673016738E-2</v>
      </c>
      <c r="T106">
        <v>1498.67</v>
      </c>
      <c r="U106">
        <v>1</v>
      </c>
      <c r="V106">
        <v>2023</v>
      </c>
      <c r="W106">
        <v>1</v>
      </c>
      <c r="X106" t="s">
        <v>9898</v>
      </c>
      <c r="Y106" t="s">
        <v>9902</v>
      </c>
      <c r="Z106" t="s">
        <v>9898</v>
      </c>
      <c r="AD106">
        <f t="shared" si="3"/>
        <v>3</v>
      </c>
    </row>
    <row r="107" spans="1:30" x14ac:dyDescent="0.25">
      <c r="A107" t="s">
        <v>131</v>
      </c>
      <c r="B107" s="2">
        <v>45348</v>
      </c>
      <c r="C107" s="2">
        <v>45355</v>
      </c>
      <c r="D107" t="s">
        <v>5121</v>
      </c>
      <c r="E107" t="s">
        <v>5621</v>
      </c>
      <c r="F107" t="s">
        <v>6027</v>
      </c>
      <c r="G107" t="s">
        <v>6030</v>
      </c>
      <c r="H107" t="s">
        <v>6035</v>
      </c>
      <c r="I107" t="s">
        <v>6051</v>
      </c>
      <c r="J107" t="s">
        <v>6054</v>
      </c>
      <c r="K107" t="s">
        <v>6062</v>
      </c>
      <c r="L107" t="s">
        <v>6170</v>
      </c>
      <c r="M107">
        <v>829.09</v>
      </c>
      <c r="N107">
        <v>3</v>
      </c>
      <c r="O107">
        <v>0.04</v>
      </c>
      <c r="P107">
        <v>174.49</v>
      </c>
      <c r="Q107" t="s">
        <v>9896</v>
      </c>
      <c r="R107">
        <v>7</v>
      </c>
      <c r="S107" s="5">
        <f t="shared" si="2"/>
        <v>0.2104596605917331</v>
      </c>
      <c r="T107">
        <v>276.36333333333329</v>
      </c>
      <c r="U107">
        <v>2</v>
      </c>
      <c r="V107">
        <v>2024</v>
      </c>
      <c r="W107">
        <v>1</v>
      </c>
      <c r="X107" t="s">
        <v>9899</v>
      </c>
      <c r="Y107" t="s">
        <v>9901</v>
      </c>
      <c r="Z107" t="s">
        <v>9899</v>
      </c>
      <c r="AD107">
        <f t="shared" si="3"/>
        <v>7</v>
      </c>
    </row>
    <row r="108" spans="1:30" x14ac:dyDescent="0.25">
      <c r="A108" t="s">
        <v>132</v>
      </c>
      <c r="B108" s="2">
        <v>45033</v>
      </c>
      <c r="C108" s="2">
        <v>45040</v>
      </c>
      <c r="D108" t="s">
        <v>5085</v>
      </c>
      <c r="E108" t="s">
        <v>5585</v>
      </c>
      <c r="F108" t="s">
        <v>6026</v>
      </c>
      <c r="G108" t="s">
        <v>6030</v>
      </c>
      <c r="H108" t="s">
        <v>6039</v>
      </c>
      <c r="I108" t="s">
        <v>6051</v>
      </c>
      <c r="J108" t="s">
        <v>6053</v>
      </c>
      <c r="K108" t="s">
        <v>6057</v>
      </c>
      <c r="L108" t="s">
        <v>6171</v>
      </c>
      <c r="M108">
        <v>202.85</v>
      </c>
      <c r="N108">
        <v>2</v>
      </c>
      <c r="O108">
        <v>0.24</v>
      </c>
      <c r="P108">
        <v>-6.16</v>
      </c>
      <c r="Q108" t="s">
        <v>9896</v>
      </c>
      <c r="R108">
        <v>7</v>
      </c>
      <c r="S108" s="5">
        <f t="shared" si="2"/>
        <v>-3.0367266453044123E-2</v>
      </c>
      <c r="T108">
        <v>101.425</v>
      </c>
      <c r="U108">
        <v>4</v>
      </c>
      <c r="V108">
        <v>2023</v>
      </c>
      <c r="W108">
        <v>2</v>
      </c>
      <c r="X108" t="s">
        <v>9898</v>
      </c>
      <c r="Y108" t="s">
        <v>9900</v>
      </c>
      <c r="Z108" t="s">
        <v>9899</v>
      </c>
      <c r="AD108">
        <f t="shared" si="3"/>
        <v>7</v>
      </c>
    </row>
    <row r="109" spans="1:30" x14ac:dyDescent="0.25">
      <c r="A109" t="s">
        <v>133</v>
      </c>
      <c r="B109" s="2">
        <v>45009</v>
      </c>
      <c r="C109" s="2">
        <v>45012</v>
      </c>
      <c r="D109" t="s">
        <v>5122</v>
      </c>
      <c r="E109" t="s">
        <v>5622</v>
      </c>
      <c r="F109" t="s">
        <v>6026</v>
      </c>
      <c r="G109" t="s">
        <v>6030</v>
      </c>
      <c r="H109" t="s">
        <v>6035</v>
      </c>
      <c r="I109" t="s">
        <v>6047</v>
      </c>
      <c r="J109" t="s">
        <v>6055</v>
      </c>
      <c r="K109" t="s">
        <v>6064</v>
      </c>
      <c r="L109" t="s">
        <v>6172</v>
      </c>
      <c r="M109">
        <v>746.73</v>
      </c>
      <c r="N109">
        <v>7</v>
      </c>
      <c r="O109">
        <v>0.16</v>
      </c>
      <c r="P109">
        <v>-43.33</v>
      </c>
      <c r="Q109" t="s">
        <v>9897</v>
      </c>
      <c r="R109">
        <v>3</v>
      </c>
      <c r="S109" s="5">
        <f t="shared" si="2"/>
        <v>-5.8026328123953766E-2</v>
      </c>
      <c r="T109">
        <v>106.67571428571431</v>
      </c>
      <c r="U109">
        <v>3</v>
      </c>
      <c r="V109">
        <v>2023</v>
      </c>
      <c r="W109">
        <v>1</v>
      </c>
      <c r="X109" t="s">
        <v>9898</v>
      </c>
      <c r="Y109" t="s">
        <v>9900</v>
      </c>
      <c r="Z109" t="s">
        <v>9899</v>
      </c>
      <c r="AD109">
        <f t="shared" si="3"/>
        <v>3</v>
      </c>
    </row>
    <row r="110" spans="1:30" x14ac:dyDescent="0.25">
      <c r="A110" t="s">
        <v>134</v>
      </c>
      <c r="B110" s="2">
        <v>44984</v>
      </c>
      <c r="C110" s="2">
        <v>44991</v>
      </c>
      <c r="D110" t="s">
        <v>5123</v>
      </c>
      <c r="E110" t="s">
        <v>5623</v>
      </c>
      <c r="F110" t="s">
        <v>6026</v>
      </c>
      <c r="G110" t="s">
        <v>6031</v>
      </c>
      <c r="H110" t="s">
        <v>6043</v>
      </c>
      <c r="I110" t="s">
        <v>6048</v>
      </c>
      <c r="J110" t="s">
        <v>6054</v>
      </c>
      <c r="K110" t="s">
        <v>6062</v>
      </c>
      <c r="L110" t="s">
        <v>6173</v>
      </c>
      <c r="M110">
        <v>1527.65</v>
      </c>
      <c r="N110">
        <v>7</v>
      </c>
      <c r="O110">
        <v>0.02</v>
      </c>
      <c r="P110">
        <v>337.88</v>
      </c>
      <c r="Q110" t="s">
        <v>9894</v>
      </c>
      <c r="R110">
        <v>7</v>
      </c>
      <c r="S110" s="5">
        <f t="shared" si="2"/>
        <v>0.22117631656465811</v>
      </c>
      <c r="T110">
        <v>218.23571428571429</v>
      </c>
      <c r="U110">
        <v>2</v>
      </c>
      <c r="V110">
        <v>2023</v>
      </c>
      <c r="W110">
        <v>1</v>
      </c>
      <c r="X110" t="s">
        <v>9899</v>
      </c>
      <c r="Y110" t="s">
        <v>9901</v>
      </c>
      <c r="Z110" t="s">
        <v>9898</v>
      </c>
      <c r="AD110">
        <f t="shared" si="3"/>
        <v>7</v>
      </c>
    </row>
    <row r="111" spans="1:30" x14ac:dyDescent="0.25">
      <c r="A111" t="s">
        <v>135</v>
      </c>
      <c r="B111" s="2">
        <v>44628</v>
      </c>
      <c r="C111" s="2">
        <v>44629</v>
      </c>
      <c r="D111" t="s">
        <v>5124</v>
      </c>
      <c r="E111" t="s">
        <v>5624</v>
      </c>
      <c r="F111" t="s">
        <v>6026</v>
      </c>
      <c r="G111" t="s">
        <v>6031</v>
      </c>
      <c r="H111" t="s">
        <v>6042</v>
      </c>
      <c r="I111" t="s">
        <v>6048</v>
      </c>
      <c r="J111" t="s">
        <v>6054</v>
      </c>
      <c r="K111" t="s">
        <v>6060</v>
      </c>
      <c r="L111" t="s">
        <v>6174</v>
      </c>
      <c r="M111">
        <v>881.35</v>
      </c>
      <c r="N111">
        <v>1</v>
      </c>
      <c r="O111">
        <v>0.03</v>
      </c>
      <c r="P111">
        <v>114.96</v>
      </c>
      <c r="Q111" t="s">
        <v>9894</v>
      </c>
      <c r="R111">
        <v>1</v>
      </c>
      <c r="S111" s="5">
        <f t="shared" si="2"/>
        <v>0.13043626255176716</v>
      </c>
      <c r="T111">
        <v>881.35</v>
      </c>
      <c r="U111">
        <v>3</v>
      </c>
      <c r="V111">
        <v>2022</v>
      </c>
      <c r="W111">
        <v>1</v>
      </c>
      <c r="X111" t="s">
        <v>9899</v>
      </c>
      <c r="Y111" t="s">
        <v>9901</v>
      </c>
      <c r="Z111" t="s">
        <v>9899</v>
      </c>
      <c r="AD111">
        <f t="shared" si="3"/>
        <v>1</v>
      </c>
    </row>
    <row r="112" spans="1:30" x14ac:dyDescent="0.25">
      <c r="A112" t="s">
        <v>136</v>
      </c>
      <c r="B112" s="2">
        <v>45092</v>
      </c>
      <c r="C112" s="2">
        <v>45098</v>
      </c>
      <c r="D112" t="s">
        <v>5114</v>
      </c>
      <c r="E112" t="s">
        <v>5614</v>
      </c>
      <c r="F112" t="s">
        <v>6027</v>
      </c>
      <c r="G112" t="s">
        <v>6031</v>
      </c>
      <c r="H112" t="s">
        <v>6034</v>
      </c>
      <c r="I112" t="s">
        <v>6050</v>
      </c>
      <c r="J112" t="s">
        <v>6053</v>
      </c>
      <c r="K112" t="s">
        <v>6057</v>
      </c>
      <c r="L112" t="s">
        <v>6175</v>
      </c>
      <c r="M112">
        <v>1733.82</v>
      </c>
      <c r="N112">
        <v>8</v>
      </c>
      <c r="O112">
        <v>0.21</v>
      </c>
      <c r="P112">
        <v>68.739999999999995</v>
      </c>
      <c r="Q112" t="s">
        <v>9894</v>
      </c>
      <c r="R112">
        <v>6</v>
      </c>
      <c r="S112" s="5">
        <f t="shared" si="2"/>
        <v>3.9646560773321335E-2</v>
      </c>
      <c r="T112">
        <v>216.72749999999999</v>
      </c>
      <c r="U112">
        <v>6</v>
      </c>
      <c r="V112">
        <v>2023</v>
      </c>
      <c r="W112">
        <v>2</v>
      </c>
      <c r="X112" t="s">
        <v>9899</v>
      </c>
      <c r="Y112" t="s">
        <v>9900</v>
      </c>
      <c r="Z112" t="s">
        <v>9898</v>
      </c>
      <c r="AD112">
        <f t="shared" si="3"/>
        <v>6</v>
      </c>
    </row>
    <row r="113" spans="1:30" x14ac:dyDescent="0.25">
      <c r="A113" t="s">
        <v>137</v>
      </c>
      <c r="B113" s="2">
        <v>44982</v>
      </c>
      <c r="C113" s="2">
        <v>44985</v>
      </c>
      <c r="D113" t="s">
        <v>5125</v>
      </c>
      <c r="E113" t="s">
        <v>5625</v>
      </c>
      <c r="F113" t="s">
        <v>6028</v>
      </c>
      <c r="G113" t="s">
        <v>6029</v>
      </c>
      <c r="H113" t="s">
        <v>6036</v>
      </c>
      <c r="I113" t="s">
        <v>6050</v>
      </c>
      <c r="J113" t="s">
        <v>6053</v>
      </c>
      <c r="K113" t="s">
        <v>6057</v>
      </c>
      <c r="L113" t="s">
        <v>6176</v>
      </c>
      <c r="M113">
        <v>1169.1400000000001</v>
      </c>
      <c r="N113">
        <v>5</v>
      </c>
      <c r="O113">
        <v>0.05</v>
      </c>
      <c r="P113">
        <v>229.09</v>
      </c>
      <c r="Q113" t="s">
        <v>9894</v>
      </c>
      <c r="R113">
        <v>3</v>
      </c>
      <c r="S113" s="5">
        <f t="shared" si="2"/>
        <v>0.19594744855192706</v>
      </c>
      <c r="T113">
        <v>233.828</v>
      </c>
      <c r="U113">
        <v>2</v>
      </c>
      <c r="V113">
        <v>2023</v>
      </c>
      <c r="W113">
        <v>1</v>
      </c>
      <c r="X113" t="s">
        <v>9899</v>
      </c>
      <c r="Y113" t="s">
        <v>9901</v>
      </c>
      <c r="Z113" t="s">
        <v>9898</v>
      </c>
      <c r="AD113">
        <f t="shared" si="3"/>
        <v>3</v>
      </c>
    </row>
    <row r="114" spans="1:30" x14ac:dyDescent="0.25">
      <c r="A114" t="s">
        <v>138</v>
      </c>
      <c r="B114" s="2">
        <v>45347</v>
      </c>
      <c r="C114" s="2">
        <v>45353</v>
      </c>
      <c r="D114" t="s">
        <v>5113</v>
      </c>
      <c r="E114" t="s">
        <v>5613</v>
      </c>
      <c r="F114" t="s">
        <v>6028</v>
      </c>
      <c r="G114" t="s">
        <v>6029</v>
      </c>
      <c r="H114" t="s">
        <v>6036</v>
      </c>
      <c r="I114" t="s">
        <v>6046</v>
      </c>
      <c r="J114" t="s">
        <v>6054</v>
      </c>
      <c r="K114" t="s">
        <v>6060</v>
      </c>
      <c r="L114" t="s">
        <v>6177</v>
      </c>
      <c r="M114">
        <v>473.57</v>
      </c>
      <c r="N114">
        <v>7</v>
      </c>
      <c r="O114">
        <v>0.26</v>
      </c>
      <c r="P114">
        <v>-42.56</v>
      </c>
      <c r="Q114" t="s">
        <v>9894</v>
      </c>
      <c r="R114">
        <v>6</v>
      </c>
      <c r="S114" s="5">
        <f t="shared" si="2"/>
        <v>-8.9870557678907032E-2</v>
      </c>
      <c r="T114">
        <v>67.652857142857144</v>
      </c>
      <c r="U114">
        <v>2</v>
      </c>
      <c r="V114">
        <v>2024</v>
      </c>
      <c r="W114">
        <v>1</v>
      </c>
      <c r="X114" t="s">
        <v>9898</v>
      </c>
      <c r="Y114" t="s">
        <v>9900</v>
      </c>
      <c r="Z114" t="s">
        <v>9899</v>
      </c>
      <c r="AD114">
        <f t="shared" si="3"/>
        <v>6</v>
      </c>
    </row>
    <row r="115" spans="1:30" x14ac:dyDescent="0.25">
      <c r="A115" t="s">
        <v>139</v>
      </c>
      <c r="B115" s="2">
        <v>45343</v>
      </c>
      <c r="C115" s="2">
        <v>45349</v>
      </c>
      <c r="D115" t="s">
        <v>5126</v>
      </c>
      <c r="E115" t="s">
        <v>5626</v>
      </c>
      <c r="F115" t="s">
        <v>6028</v>
      </c>
      <c r="G115" t="s">
        <v>6031</v>
      </c>
      <c r="H115" t="s">
        <v>6034</v>
      </c>
      <c r="I115" t="s">
        <v>6050</v>
      </c>
      <c r="J115" t="s">
        <v>6053</v>
      </c>
      <c r="K115" t="s">
        <v>6056</v>
      </c>
      <c r="L115" t="s">
        <v>6178</v>
      </c>
      <c r="M115">
        <v>1166.49</v>
      </c>
      <c r="N115">
        <v>4</v>
      </c>
      <c r="O115">
        <v>0.08</v>
      </c>
      <c r="P115">
        <v>91.51</v>
      </c>
      <c r="Q115" t="s">
        <v>9896</v>
      </c>
      <c r="R115">
        <v>6</v>
      </c>
      <c r="S115" s="5">
        <f t="shared" si="2"/>
        <v>7.844902228051677E-2</v>
      </c>
      <c r="T115">
        <v>291.6225</v>
      </c>
      <c r="U115">
        <v>2</v>
      </c>
      <c r="V115">
        <v>2024</v>
      </c>
      <c r="W115">
        <v>1</v>
      </c>
      <c r="X115" t="s">
        <v>9899</v>
      </c>
      <c r="Y115" t="s">
        <v>9901</v>
      </c>
      <c r="Z115" t="s">
        <v>9898</v>
      </c>
      <c r="AD115">
        <f t="shared" si="3"/>
        <v>6</v>
      </c>
    </row>
    <row r="116" spans="1:30" x14ac:dyDescent="0.25">
      <c r="A116" t="s">
        <v>140</v>
      </c>
      <c r="B116" s="2">
        <v>44930</v>
      </c>
      <c r="C116" s="2">
        <v>44937</v>
      </c>
      <c r="D116" t="s">
        <v>5127</v>
      </c>
      <c r="E116" t="s">
        <v>5627</v>
      </c>
      <c r="F116" t="s">
        <v>6027</v>
      </c>
      <c r="G116" t="s">
        <v>6029</v>
      </c>
      <c r="H116" t="s">
        <v>6044</v>
      </c>
      <c r="I116" t="s">
        <v>6050</v>
      </c>
      <c r="J116" t="s">
        <v>6054</v>
      </c>
      <c r="K116" t="s">
        <v>6062</v>
      </c>
      <c r="L116" t="s">
        <v>6179</v>
      </c>
      <c r="M116">
        <v>1308.48</v>
      </c>
      <c r="N116">
        <v>3</v>
      </c>
      <c r="O116">
        <v>0.35</v>
      </c>
      <c r="P116">
        <v>-100.93</v>
      </c>
      <c r="Q116" t="s">
        <v>9893</v>
      </c>
      <c r="R116">
        <v>7</v>
      </c>
      <c r="S116" s="5">
        <f t="shared" si="2"/>
        <v>-7.713530202983615E-2</v>
      </c>
      <c r="T116">
        <v>436.16</v>
      </c>
      <c r="U116">
        <v>1</v>
      </c>
      <c r="V116">
        <v>2023</v>
      </c>
      <c r="W116">
        <v>1</v>
      </c>
      <c r="X116" t="s">
        <v>9898</v>
      </c>
      <c r="Y116" t="s">
        <v>9902</v>
      </c>
      <c r="Z116" t="s">
        <v>9898</v>
      </c>
      <c r="AD116">
        <f t="shared" si="3"/>
        <v>7</v>
      </c>
    </row>
    <row r="117" spans="1:30" x14ac:dyDescent="0.25">
      <c r="A117" t="s">
        <v>141</v>
      </c>
      <c r="B117" s="2">
        <v>44567</v>
      </c>
      <c r="C117" s="2">
        <v>44568</v>
      </c>
      <c r="D117" t="s">
        <v>5098</v>
      </c>
      <c r="E117" t="s">
        <v>5598</v>
      </c>
      <c r="F117" t="s">
        <v>6027</v>
      </c>
      <c r="G117" t="s">
        <v>6029</v>
      </c>
      <c r="H117" t="s">
        <v>6036</v>
      </c>
      <c r="I117" t="s">
        <v>6046</v>
      </c>
      <c r="J117" t="s">
        <v>6054</v>
      </c>
      <c r="K117" t="s">
        <v>6059</v>
      </c>
      <c r="L117" t="s">
        <v>6180</v>
      </c>
      <c r="M117">
        <v>866.88</v>
      </c>
      <c r="N117">
        <v>1</v>
      </c>
      <c r="O117">
        <v>0.14000000000000001</v>
      </c>
      <c r="P117">
        <v>16.739999999999998</v>
      </c>
      <c r="Q117" t="s">
        <v>9893</v>
      </c>
      <c r="R117">
        <v>1</v>
      </c>
      <c r="S117" s="5">
        <f t="shared" si="2"/>
        <v>1.9310631229235879E-2</v>
      </c>
      <c r="T117">
        <v>866.88</v>
      </c>
      <c r="U117">
        <v>1</v>
      </c>
      <c r="V117">
        <v>2022</v>
      </c>
      <c r="W117">
        <v>1</v>
      </c>
      <c r="X117" t="s">
        <v>9899</v>
      </c>
      <c r="Y117" t="s">
        <v>9901</v>
      </c>
      <c r="Z117" t="s">
        <v>9899</v>
      </c>
      <c r="AD117">
        <f t="shared" si="3"/>
        <v>1</v>
      </c>
    </row>
    <row r="118" spans="1:30" x14ac:dyDescent="0.25">
      <c r="A118" t="s">
        <v>142</v>
      </c>
      <c r="B118" s="2">
        <v>45319</v>
      </c>
      <c r="C118" s="2">
        <v>45321</v>
      </c>
      <c r="D118" t="s">
        <v>5128</v>
      </c>
      <c r="E118" t="s">
        <v>5628</v>
      </c>
      <c r="F118" t="s">
        <v>6028</v>
      </c>
      <c r="G118" t="s">
        <v>6029</v>
      </c>
      <c r="H118" t="s">
        <v>6041</v>
      </c>
      <c r="I118" t="s">
        <v>6046</v>
      </c>
      <c r="J118" t="s">
        <v>6054</v>
      </c>
      <c r="K118" t="s">
        <v>6062</v>
      </c>
      <c r="L118" t="s">
        <v>6181</v>
      </c>
      <c r="M118">
        <v>1900.97</v>
      </c>
      <c r="N118">
        <v>5</v>
      </c>
      <c r="O118">
        <v>0.3</v>
      </c>
      <c r="P118">
        <v>-236.98</v>
      </c>
      <c r="Q118" t="s">
        <v>9897</v>
      </c>
      <c r="R118">
        <v>2</v>
      </c>
      <c r="S118" s="5">
        <f t="shared" si="2"/>
        <v>-0.12466267221471143</v>
      </c>
      <c r="T118">
        <v>380.19400000000002</v>
      </c>
      <c r="U118">
        <v>1</v>
      </c>
      <c r="V118">
        <v>2024</v>
      </c>
      <c r="W118">
        <v>1</v>
      </c>
      <c r="X118" t="s">
        <v>9898</v>
      </c>
      <c r="Y118" t="s">
        <v>9900</v>
      </c>
      <c r="Z118" t="s">
        <v>9898</v>
      </c>
      <c r="AD118">
        <f t="shared" si="3"/>
        <v>2</v>
      </c>
    </row>
    <row r="119" spans="1:30" x14ac:dyDescent="0.25">
      <c r="A119" t="s">
        <v>143</v>
      </c>
      <c r="B119" s="2">
        <v>45169</v>
      </c>
      <c r="C119" s="2">
        <v>45171</v>
      </c>
      <c r="D119" t="s">
        <v>5129</v>
      </c>
      <c r="E119" t="s">
        <v>5629</v>
      </c>
      <c r="F119" t="s">
        <v>6028</v>
      </c>
      <c r="G119" t="s">
        <v>6031</v>
      </c>
      <c r="H119" t="s">
        <v>6042</v>
      </c>
      <c r="I119" t="s">
        <v>6052</v>
      </c>
      <c r="J119" t="s">
        <v>6055</v>
      </c>
      <c r="K119" t="s">
        <v>6064</v>
      </c>
      <c r="L119" t="s">
        <v>6182</v>
      </c>
      <c r="M119">
        <v>695.24</v>
      </c>
      <c r="N119">
        <v>2</v>
      </c>
      <c r="O119">
        <v>0.28999999999999998</v>
      </c>
      <c r="P119">
        <v>-120.45</v>
      </c>
      <c r="Q119" t="s">
        <v>9895</v>
      </c>
      <c r="R119">
        <v>2</v>
      </c>
      <c r="S119" s="5">
        <f t="shared" si="2"/>
        <v>-0.17324952534376617</v>
      </c>
      <c r="T119">
        <v>347.62</v>
      </c>
      <c r="U119">
        <v>8</v>
      </c>
      <c r="V119">
        <v>2023</v>
      </c>
      <c r="W119">
        <v>3</v>
      </c>
      <c r="X119" t="s">
        <v>9898</v>
      </c>
      <c r="Y119" t="s">
        <v>9900</v>
      </c>
      <c r="Z119" t="s">
        <v>9899</v>
      </c>
      <c r="AD119">
        <f t="shared" si="3"/>
        <v>2</v>
      </c>
    </row>
    <row r="120" spans="1:30" x14ac:dyDescent="0.25">
      <c r="A120" t="s">
        <v>144</v>
      </c>
      <c r="B120" s="2">
        <v>44630</v>
      </c>
      <c r="C120" s="2">
        <v>44632</v>
      </c>
      <c r="D120" t="s">
        <v>5130</v>
      </c>
      <c r="E120" t="s">
        <v>5630</v>
      </c>
      <c r="F120" t="s">
        <v>6026</v>
      </c>
      <c r="G120" t="s">
        <v>6029</v>
      </c>
      <c r="H120" t="s">
        <v>6045</v>
      </c>
      <c r="I120" t="s">
        <v>6046</v>
      </c>
      <c r="J120" t="s">
        <v>6054</v>
      </c>
      <c r="K120" t="s">
        <v>6059</v>
      </c>
      <c r="L120" t="s">
        <v>6183</v>
      </c>
      <c r="M120">
        <v>1015.03</v>
      </c>
      <c r="N120">
        <v>4</v>
      </c>
      <c r="O120">
        <v>0.19</v>
      </c>
      <c r="P120">
        <v>74.2</v>
      </c>
      <c r="Q120" t="s">
        <v>9896</v>
      </c>
      <c r="R120">
        <v>2</v>
      </c>
      <c r="S120" s="5">
        <f t="shared" si="2"/>
        <v>7.3101287646670551E-2</v>
      </c>
      <c r="T120">
        <v>253.75749999999999</v>
      </c>
      <c r="U120">
        <v>3</v>
      </c>
      <c r="V120">
        <v>2022</v>
      </c>
      <c r="W120">
        <v>1</v>
      </c>
      <c r="X120" t="s">
        <v>9899</v>
      </c>
      <c r="Y120" t="s">
        <v>9900</v>
      </c>
      <c r="Z120" t="s">
        <v>9898</v>
      </c>
      <c r="AD120">
        <f t="shared" si="3"/>
        <v>2</v>
      </c>
    </row>
    <row r="121" spans="1:30" x14ac:dyDescent="0.25">
      <c r="A121" t="s">
        <v>145</v>
      </c>
      <c r="B121" s="2">
        <v>45309</v>
      </c>
      <c r="C121" s="2">
        <v>45314</v>
      </c>
      <c r="D121" t="s">
        <v>5131</v>
      </c>
      <c r="E121" t="s">
        <v>5631</v>
      </c>
      <c r="F121" t="s">
        <v>6028</v>
      </c>
      <c r="G121" t="s">
        <v>6029</v>
      </c>
      <c r="H121" t="s">
        <v>6044</v>
      </c>
      <c r="I121" t="s">
        <v>6046</v>
      </c>
      <c r="J121" t="s">
        <v>6055</v>
      </c>
      <c r="K121" t="s">
        <v>6061</v>
      </c>
      <c r="L121" t="s">
        <v>6184</v>
      </c>
      <c r="M121">
        <v>1397.28</v>
      </c>
      <c r="N121">
        <v>1</v>
      </c>
      <c r="O121">
        <v>0.19</v>
      </c>
      <c r="P121">
        <v>-57.94</v>
      </c>
      <c r="Q121" t="s">
        <v>9895</v>
      </c>
      <c r="R121">
        <v>5</v>
      </c>
      <c r="S121" s="5">
        <f t="shared" si="2"/>
        <v>-4.1466277338829724E-2</v>
      </c>
      <c r="T121">
        <v>1397.28</v>
      </c>
      <c r="U121">
        <v>1</v>
      </c>
      <c r="V121">
        <v>2024</v>
      </c>
      <c r="W121">
        <v>1</v>
      </c>
      <c r="X121" t="s">
        <v>9898</v>
      </c>
      <c r="Y121" t="s">
        <v>9900</v>
      </c>
      <c r="Z121" t="s">
        <v>9898</v>
      </c>
      <c r="AD121">
        <f t="shared" si="3"/>
        <v>5</v>
      </c>
    </row>
    <row r="122" spans="1:30" x14ac:dyDescent="0.25">
      <c r="A122" t="s">
        <v>146</v>
      </c>
      <c r="B122" s="2">
        <v>45307</v>
      </c>
      <c r="C122" s="2">
        <v>45314</v>
      </c>
      <c r="D122" t="s">
        <v>5132</v>
      </c>
      <c r="E122" t="s">
        <v>5632</v>
      </c>
      <c r="F122" t="s">
        <v>6028</v>
      </c>
      <c r="G122" t="s">
        <v>6030</v>
      </c>
      <c r="H122" t="s">
        <v>6039</v>
      </c>
      <c r="I122" t="s">
        <v>6047</v>
      </c>
      <c r="J122" t="s">
        <v>6054</v>
      </c>
      <c r="K122" t="s">
        <v>6060</v>
      </c>
      <c r="L122" t="s">
        <v>6185</v>
      </c>
      <c r="M122">
        <v>1278.9000000000001</v>
      </c>
      <c r="N122">
        <v>7</v>
      </c>
      <c r="O122">
        <v>0.14000000000000001</v>
      </c>
      <c r="P122">
        <v>15.48</v>
      </c>
      <c r="Q122" t="s">
        <v>9897</v>
      </c>
      <c r="R122">
        <v>7</v>
      </c>
      <c r="S122" s="5">
        <f t="shared" si="2"/>
        <v>1.2104152005629837E-2</v>
      </c>
      <c r="T122">
        <v>182.7</v>
      </c>
      <c r="U122">
        <v>1</v>
      </c>
      <c r="V122">
        <v>2024</v>
      </c>
      <c r="W122">
        <v>1</v>
      </c>
      <c r="X122" t="s">
        <v>9899</v>
      </c>
      <c r="Y122" t="s">
        <v>9901</v>
      </c>
      <c r="Z122" t="s">
        <v>9898</v>
      </c>
      <c r="AD122">
        <f t="shared" si="3"/>
        <v>7</v>
      </c>
    </row>
    <row r="123" spans="1:30" x14ac:dyDescent="0.25">
      <c r="A123" t="s">
        <v>147</v>
      </c>
      <c r="B123" s="2">
        <v>44975</v>
      </c>
      <c r="C123" s="2">
        <v>44979</v>
      </c>
      <c r="D123" t="s">
        <v>5111</v>
      </c>
      <c r="E123" t="s">
        <v>5611</v>
      </c>
      <c r="F123" t="s">
        <v>6028</v>
      </c>
      <c r="G123" t="s">
        <v>6031</v>
      </c>
      <c r="H123" t="s">
        <v>6040</v>
      </c>
      <c r="I123" t="s">
        <v>6050</v>
      </c>
      <c r="J123" t="s">
        <v>6055</v>
      </c>
      <c r="K123" t="s">
        <v>6063</v>
      </c>
      <c r="L123" t="s">
        <v>6186</v>
      </c>
      <c r="M123">
        <v>1344.75</v>
      </c>
      <c r="N123">
        <v>4</v>
      </c>
      <c r="O123">
        <v>0.11</v>
      </c>
      <c r="P123">
        <v>20.95</v>
      </c>
      <c r="Q123" t="s">
        <v>9897</v>
      </c>
      <c r="R123">
        <v>4</v>
      </c>
      <c r="S123" s="5">
        <f t="shared" si="2"/>
        <v>1.5579103922662204E-2</v>
      </c>
      <c r="T123">
        <v>336.1875</v>
      </c>
      <c r="U123">
        <v>2</v>
      </c>
      <c r="V123">
        <v>2023</v>
      </c>
      <c r="W123">
        <v>1</v>
      </c>
      <c r="X123" t="s">
        <v>9899</v>
      </c>
      <c r="Y123" t="s">
        <v>9901</v>
      </c>
      <c r="Z123" t="s">
        <v>9898</v>
      </c>
      <c r="AD123">
        <f t="shared" si="3"/>
        <v>4</v>
      </c>
    </row>
    <row r="124" spans="1:30" x14ac:dyDescent="0.25">
      <c r="A124" t="s">
        <v>148</v>
      </c>
      <c r="B124" s="2">
        <v>45223</v>
      </c>
      <c r="C124" s="2">
        <v>45230</v>
      </c>
      <c r="D124" t="s">
        <v>5133</v>
      </c>
      <c r="E124" t="s">
        <v>5633</v>
      </c>
      <c r="F124" t="s">
        <v>6026</v>
      </c>
      <c r="G124" t="s">
        <v>6031</v>
      </c>
      <c r="H124" t="s">
        <v>6042</v>
      </c>
      <c r="I124" t="s">
        <v>6052</v>
      </c>
      <c r="J124" t="s">
        <v>6053</v>
      </c>
      <c r="K124" t="s">
        <v>6056</v>
      </c>
      <c r="L124" t="s">
        <v>6187</v>
      </c>
      <c r="M124">
        <v>944.29</v>
      </c>
      <c r="N124">
        <v>1</v>
      </c>
      <c r="O124">
        <v>0.33</v>
      </c>
      <c r="P124">
        <v>-82.37</v>
      </c>
      <c r="Q124" t="s">
        <v>9897</v>
      </c>
      <c r="R124">
        <v>7</v>
      </c>
      <c r="S124" s="5">
        <f t="shared" si="2"/>
        <v>-8.7229558716072395E-2</v>
      </c>
      <c r="T124">
        <v>944.29</v>
      </c>
      <c r="U124">
        <v>10</v>
      </c>
      <c r="V124">
        <v>2023</v>
      </c>
      <c r="W124">
        <v>4</v>
      </c>
      <c r="X124" t="s">
        <v>9898</v>
      </c>
      <c r="Y124" t="s">
        <v>9902</v>
      </c>
      <c r="Z124" t="s">
        <v>9899</v>
      </c>
      <c r="AD124">
        <f t="shared" si="3"/>
        <v>7</v>
      </c>
    </row>
    <row r="125" spans="1:30" x14ac:dyDescent="0.25">
      <c r="A125" t="s">
        <v>149</v>
      </c>
      <c r="B125" s="2">
        <v>45378</v>
      </c>
      <c r="C125" s="2">
        <v>45385</v>
      </c>
      <c r="D125" t="s">
        <v>5134</v>
      </c>
      <c r="E125" t="s">
        <v>5634</v>
      </c>
      <c r="F125" t="s">
        <v>6026</v>
      </c>
      <c r="G125" t="s">
        <v>6029</v>
      </c>
      <c r="H125" t="s">
        <v>6036</v>
      </c>
      <c r="I125" t="s">
        <v>6046</v>
      </c>
      <c r="J125" t="s">
        <v>6055</v>
      </c>
      <c r="K125" t="s">
        <v>6063</v>
      </c>
      <c r="L125" t="s">
        <v>6188</v>
      </c>
      <c r="M125">
        <v>1225.28</v>
      </c>
      <c r="N125">
        <v>1</v>
      </c>
      <c r="O125">
        <v>0.19</v>
      </c>
      <c r="P125">
        <v>-24.6</v>
      </c>
      <c r="Q125" t="s">
        <v>9893</v>
      </c>
      <c r="R125">
        <v>7</v>
      </c>
      <c r="S125" s="5">
        <f t="shared" si="2"/>
        <v>-2.0077043614520763E-2</v>
      </c>
      <c r="T125">
        <v>1225.28</v>
      </c>
      <c r="U125">
        <v>3</v>
      </c>
      <c r="V125">
        <v>2024</v>
      </c>
      <c r="W125">
        <v>1</v>
      </c>
      <c r="X125" t="s">
        <v>9898</v>
      </c>
      <c r="Y125" t="s">
        <v>9900</v>
      </c>
      <c r="Z125" t="s">
        <v>9898</v>
      </c>
      <c r="AD125">
        <f t="shared" si="3"/>
        <v>7</v>
      </c>
    </row>
    <row r="126" spans="1:30" x14ac:dyDescent="0.25">
      <c r="A126" t="s">
        <v>150</v>
      </c>
      <c r="B126" s="2">
        <v>44609</v>
      </c>
      <c r="C126" s="2">
        <v>44614</v>
      </c>
      <c r="D126" t="s">
        <v>5135</v>
      </c>
      <c r="E126" t="s">
        <v>5635</v>
      </c>
      <c r="F126" t="s">
        <v>6027</v>
      </c>
      <c r="G126" t="s">
        <v>6029</v>
      </c>
      <c r="H126" t="s">
        <v>6044</v>
      </c>
      <c r="I126" t="s">
        <v>6050</v>
      </c>
      <c r="J126" t="s">
        <v>6055</v>
      </c>
      <c r="K126" t="s">
        <v>6063</v>
      </c>
      <c r="L126" t="s">
        <v>6189</v>
      </c>
      <c r="M126">
        <v>401.34</v>
      </c>
      <c r="N126">
        <v>1</v>
      </c>
      <c r="O126">
        <v>0.02</v>
      </c>
      <c r="P126">
        <v>111.78</v>
      </c>
      <c r="Q126" t="s">
        <v>9894</v>
      </c>
      <c r="R126">
        <v>5</v>
      </c>
      <c r="S126" s="5">
        <f t="shared" si="2"/>
        <v>0.27851696815667515</v>
      </c>
      <c r="T126">
        <v>401.34</v>
      </c>
      <c r="U126">
        <v>2</v>
      </c>
      <c r="V126">
        <v>2022</v>
      </c>
      <c r="W126">
        <v>1</v>
      </c>
      <c r="X126" t="s">
        <v>9899</v>
      </c>
      <c r="Y126" t="s">
        <v>9901</v>
      </c>
      <c r="Z126" t="s">
        <v>9899</v>
      </c>
      <c r="AD126">
        <f t="shared" si="3"/>
        <v>5</v>
      </c>
    </row>
    <row r="127" spans="1:30" x14ac:dyDescent="0.25">
      <c r="A127" t="s">
        <v>151</v>
      </c>
      <c r="B127" s="2">
        <v>44928</v>
      </c>
      <c r="C127" s="2">
        <v>44933</v>
      </c>
      <c r="D127" t="s">
        <v>5136</v>
      </c>
      <c r="E127" t="s">
        <v>5636</v>
      </c>
      <c r="F127" t="s">
        <v>6027</v>
      </c>
      <c r="G127" t="s">
        <v>6031</v>
      </c>
      <c r="H127" t="s">
        <v>6034</v>
      </c>
      <c r="I127" t="s">
        <v>6050</v>
      </c>
      <c r="J127" t="s">
        <v>6054</v>
      </c>
      <c r="K127" t="s">
        <v>6060</v>
      </c>
      <c r="L127" t="s">
        <v>6190</v>
      </c>
      <c r="M127">
        <v>912.01</v>
      </c>
      <c r="N127">
        <v>5</v>
      </c>
      <c r="O127">
        <v>0.13</v>
      </c>
      <c r="P127">
        <v>131.11000000000001</v>
      </c>
      <c r="Q127" t="s">
        <v>9896</v>
      </c>
      <c r="R127">
        <v>5</v>
      </c>
      <c r="S127" s="5">
        <f t="shared" si="2"/>
        <v>0.14375938860319515</v>
      </c>
      <c r="T127">
        <v>182.40199999999999</v>
      </c>
      <c r="U127">
        <v>1</v>
      </c>
      <c r="V127">
        <v>2023</v>
      </c>
      <c r="W127">
        <v>1</v>
      </c>
      <c r="X127" t="s">
        <v>9899</v>
      </c>
      <c r="Y127" t="s">
        <v>9901</v>
      </c>
      <c r="Z127" t="s">
        <v>9899</v>
      </c>
      <c r="AD127">
        <f t="shared" si="3"/>
        <v>5</v>
      </c>
    </row>
    <row r="128" spans="1:30" x14ac:dyDescent="0.25">
      <c r="A128" t="s">
        <v>152</v>
      </c>
      <c r="B128" s="2">
        <v>44801</v>
      </c>
      <c r="C128" s="2">
        <v>44804</v>
      </c>
      <c r="D128" t="s">
        <v>5137</v>
      </c>
      <c r="E128" t="s">
        <v>5637</v>
      </c>
      <c r="F128" t="s">
        <v>6026</v>
      </c>
      <c r="G128" t="s">
        <v>6030</v>
      </c>
      <c r="H128" t="s">
        <v>6038</v>
      </c>
      <c r="I128" t="s">
        <v>6047</v>
      </c>
      <c r="J128" t="s">
        <v>6055</v>
      </c>
      <c r="K128" t="s">
        <v>6063</v>
      </c>
      <c r="L128" t="s">
        <v>6191</v>
      </c>
      <c r="M128">
        <v>1202.6300000000001</v>
      </c>
      <c r="N128">
        <v>6</v>
      </c>
      <c r="O128">
        <v>0.19</v>
      </c>
      <c r="P128">
        <v>58.7</v>
      </c>
      <c r="Q128" t="s">
        <v>9893</v>
      </c>
      <c r="R128">
        <v>3</v>
      </c>
      <c r="S128" s="5">
        <f t="shared" si="2"/>
        <v>4.8809692091499463E-2</v>
      </c>
      <c r="T128">
        <v>200.43833333333339</v>
      </c>
      <c r="U128">
        <v>8</v>
      </c>
      <c r="V128">
        <v>2022</v>
      </c>
      <c r="W128">
        <v>3</v>
      </c>
      <c r="X128" t="s">
        <v>9899</v>
      </c>
      <c r="Y128" t="s">
        <v>9900</v>
      </c>
      <c r="Z128" t="s">
        <v>9898</v>
      </c>
      <c r="AD128">
        <f t="shared" si="3"/>
        <v>3</v>
      </c>
    </row>
    <row r="129" spans="1:30" x14ac:dyDescent="0.25">
      <c r="A129" t="s">
        <v>153</v>
      </c>
      <c r="B129" s="2">
        <v>45096</v>
      </c>
      <c r="C129" s="2">
        <v>45100</v>
      </c>
      <c r="D129" t="s">
        <v>5138</v>
      </c>
      <c r="E129" t="s">
        <v>5638</v>
      </c>
      <c r="F129" t="s">
        <v>6027</v>
      </c>
      <c r="G129" t="s">
        <v>6030</v>
      </c>
      <c r="H129" t="s">
        <v>6035</v>
      </c>
      <c r="I129" t="s">
        <v>6047</v>
      </c>
      <c r="J129" t="s">
        <v>6053</v>
      </c>
      <c r="K129" t="s">
        <v>6057</v>
      </c>
      <c r="L129" t="s">
        <v>6192</v>
      </c>
      <c r="M129">
        <v>1833.42</v>
      </c>
      <c r="N129">
        <v>1</v>
      </c>
      <c r="O129">
        <v>0.16</v>
      </c>
      <c r="P129">
        <v>196.96</v>
      </c>
      <c r="Q129" t="s">
        <v>9897</v>
      </c>
      <c r="R129">
        <v>4</v>
      </c>
      <c r="S129" s="5">
        <f t="shared" si="2"/>
        <v>0.10742764887478047</v>
      </c>
      <c r="T129">
        <v>1833.42</v>
      </c>
      <c r="U129">
        <v>6</v>
      </c>
      <c r="V129">
        <v>2023</v>
      </c>
      <c r="W129">
        <v>2</v>
      </c>
      <c r="X129" t="s">
        <v>9899</v>
      </c>
      <c r="Y129" t="s">
        <v>9900</v>
      </c>
      <c r="Z129" t="s">
        <v>9898</v>
      </c>
      <c r="AD129">
        <f t="shared" si="3"/>
        <v>4</v>
      </c>
    </row>
    <row r="130" spans="1:30" x14ac:dyDescent="0.25">
      <c r="A130" t="s">
        <v>154</v>
      </c>
      <c r="B130" s="2">
        <v>44933</v>
      </c>
      <c r="C130" s="2">
        <v>44940</v>
      </c>
      <c r="D130" t="s">
        <v>5139</v>
      </c>
      <c r="E130" t="s">
        <v>5639</v>
      </c>
      <c r="F130" t="s">
        <v>6027</v>
      </c>
      <c r="G130" t="s">
        <v>6031</v>
      </c>
      <c r="H130" t="s">
        <v>6042</v>
      </c>
      <c r="I130" t="s">
        <v>6048</v>
      </c>
      <c r="J130" t="s">
        <v>6053</v>
      </c>
      <c r="K130" t="s">
        <v>6058</v>
      </c>
      <c r="L130" t="s">
        <v>6193</v>
      </c>
      <c r="M130">
        <v>1589.05</v>
      </c>
      <c r="N130">
        <v>3</v>
      </c>
      <c r="O130">
        <v>0.02</v>
      </c>
      <c r="P130">
        <v>308.77999999999997</v>
      </c>
      <c r="Q130" t="s">
        <v>9894</v>
      </c>
      <c r="R130">
        <v>7</v>
      </c>
      <c r="S130" s="5">
        <f t="shared" si="2"/>
        <v>0.19431735942858941</v>
      </c>
      <c r="T130">
        <v>529.68333333333328</v>
      </c>
      <c r="U130">
        <v>1</v>
      </c>
      <c r="V130">
        <v>2023</v>
      </c>
      <c r="W130">
        <v>1</v>
      </c>
      <c r="X130" t="s">
        <v>9899</v>
      </c>
      <c r="Y130" t="s">
        <v>9901</v>
      </c>
      <c r="Z130" t="s">
        <v>9898</v>
      </c>
      <c r="AD130">
        <f t="shared" si="3"/>
        <v>7</v>
      </c>
    </row>
    <row r="131" spans="1:30" x14ac:dyDescent="0.25">
      <c r="A131" t="s">
        <v>155</v>
      </c>
      <c r="B131" s="2">
        <v>45116</v>
      </c>
      <c r="C131" s="2">
        <v>45118</v>
      </c>
      <c r="D131" t="s">
        <v>5085</v>
      </c>
      <c r="E131" t="s">
        <v>5585</v>
      </c>
      <c r="F131" t="s">
        <v>6028</v>
      </c>
      <c r="G131" t="s">
        <v>6029</v>
      </c>
      <c r="H131" t="s">
        <v>6032</v>
      </c>
      <c r="I131" t="s">
        <v>6050</v>
      </c>
      <c r="J131" t="s">
        <v>6055</v>
      </c>
      <c r="K131" t="s">
        <v>6063</v>
      </c>
      <c r="L131" t="s">
        <v>6194</v>
      </c>
      <c r="M131">
        <v>1408.51</v>
      </c>
      <c r="N131">
        <v>2</v>
      </c>
      <c r="O131">
        <v>0.13</v>
      </c>
      <c r="P131">
        <v>146.94999999999999</v>
      </c>
      <c r="Q131" t="s">
        <v>9894</v>
      </c>
      <c r="R131">
        <v>2</v>
      </c>
      <c r="S131" s="5">
        <f t="shared" ref="S131:S194" si="4">P131/M131</f>
        <v>0.10433010770246572</v>
      </c>
      <c r="T131">
        <v>704.255</v>
      </c>
      <c r="U131">
        <v>7</v>
      </c>
      <c r="V131">
        <v>2023</v>
      </c>
      <c r="W131">
        <v>3</v>
      </c>
      <c r="X131" t="s">
        <v>9899</v>
      </c>
      <c r="Y131" t="s">
        <v>9901</v>
      </c>
      <c r="Z131" t="s">
        <v>9898</v>
      </c>
      <c r="AD131">
        <f t="shared" ref="AD131:AD194" si="5">C131-B131</f>
        <v>2</v>
      </c>
    </row>
    <row r="132" spans="1:30" x14ac:dyDescent="0.25">
      <c r="A132" t="s">
        <v>156</v>
      </c>
      <c r="B132" s="2">
        <v>44863</v>
      </c>
      <c r="C132" s="2">
        <v>44869</v>
      </c>
      <c r="D132" t="s">
        <v>5140</v>
      </c>
      <c r="E132" t="s">
        <v>5640</v>
      </c>
      <c r="F132" t="s">
        <v>6027</v>
      </c>
      <c r="G132" t="s">
        <v>6029</v>
      </c>
      <c r="H132" t="s">
        <v>6036</v>
      </c>
      <c r="I132" t="s">
        <v>6050</v>
      </c>
      <c r="J132" t="s">
        <v>6053</v>
      </c>
      <c r="K132" t="s">
        <v>6057</v>
      </c>
      <c r="L132" t="s">
        <v>6195</v>
      </c>
      <c r="M132">
        <v>1404.71</v>
      </c>
      <c r="N132">
        <v>1</v>
      </c>
      <c r="O132">
        <v>0.33</v>
      </c>
      <c r="P132">
        <v>-309.29000000000002</v>
      </c>
      <c r="Q132" t="s">
        <v>9893</v>
      </c>
      <c r="R132">
        <v>6</v>
      </c>
      <c r="S132" s="5">
        <f t="shared" si="4"/>
        <v>-0.22018067786233458</v>
      </c>
      <c r="T132">
        <v>1404.71</v>
      </c>
      <c r="U132">
        <v>10</v>
      </c>
      <c r="V132">
        <v>2022</v>
      </c>
      <c r="W132">
        <v>4</v>
      </c>
      <c r="X132" t="s">
        <v>9898</v>
      </c>
      <c r="Y132" t="s">
        <v>9902</v>
      </c>
      <c r="Z132" t="s">
        <v>9898</v>
      </c>
      <c r="AD132">
        <f t="shared" si="5"/>
        <v>6</v>
      </c>
    </row>
    <row r="133" spans="1:30" x14ac:dyDescent="0.25">
      <c r="A133" t="s">
        <v>157</v>
      </c>
      <c r="B133" s="2">
        <v>45200</v>
      </c>
      <c r="C133" s="2">
        <v>45203</v>
      </c>
      <c r="D133" t="s">
        <v>5092</v>
      </c>
      <c r="E133" t="s">
        <v>5592</v>
      </c>
      <c r="F133" t="s">
        <v>6028</v>
      </c>
      <c r="G133" t="s">
        <v>6029</v>
      </c>
      <c r="H133" t="s">
        <v>6032</v>
      </c>
      <c r="I133" t="s">
        <v>6046</v>
      </c>
      <c r="J133" t="s">
        <v>6054</v>
      </c>
      <c r="K133" t="s">
        <v>6062</v>
      </c>
      <c r="L133" t="s">
        <v>6196</v>
      </c>
      <c r="M133">
        <v>1625.2</v>
      </c>
      <c r="N133">
        <v>8</v>
      </c>
      <c r="O133">
        <v>0.28999999999999998</v>
      </c>
      <c r="P133">
        <v>-66.010000000000005</v>
      </c>
      <c r="Q133" t="s">
        <v>9894</v>
      </c>
      <c r="R133">
        <v>3</v>
      </c>
      <c r="S133" s="5">
        <f t="shared" si="4"/>
        <v>-4.0616539502830423E-2</v>
      </c>
      <c r="T133">
        <v>203.15</v>
      </c>
      <c r="U133">
        <v>10</v>
      </c>
      <c r="V133">
        <v>2023</v>
      </c>
      <c r="W133">
        <v>4</v>
      </c>
      <c r="X133" t="s">
        <v>9898</v>
      </c>
      <c r="Y133" t="s">
        <v>9900</v>
      </c>
      <c r="Z133" t="s">
        <v>9898</v>
      </c>
      <c r="AD133">
        <f t="shared" si="5"/>
        <v>3</v>
      </c>
    </row>
    <row r="134" spans="1:30" x14ac:dyDescent="0.25">
      <c r="A134" t="s">
        <v>158</v>
      </c>
      <c r="B134" s="2">
        <v>45389</v>
      </c>
      <c r="C134" s="2">
        <v>45393</v>
      </c>
      <c r="D134" t="s">
        <v>5141</v>
      </c>
      <c r="E134" t="s">
        <v>5641</v>
      </c>
      <c r="F134" t="s">
        <v>6026</v>
      </c>
      <c r="G134" t="s">
        <v>6029</v>
      </c>
      <c r="H134" t="s">
        <v>6044</v>
      </c>
      <c r="I134" t="s">
        <v>6050</v>
      </c>
      <c r="J134" t="s">
        <v>6055</v>
      </c>
      <c r="K134" t="s">
        <v>6061</v>
      </c>
      <c r="L134" t="s">
        <v>6197</v>
      </c>
      <c r="M134">
        <v>224.66</v>
      </c>
      <c r="N134">
        <v>8</v>
      </c>
      <c r="O134">
        <v>0.23</v>
      </c>
      <c r="P134">
        <v>4.9400000000000004</v>
      </c>
      <c r="Q134" t="s">
        <v>9894</v>
      </c>
      <c r="R134">
        <v>4</v>
      </c>
      <c r="S134" s="5">
        <f t="shared" si="4"/>
        <v>2.1988783049942139E-2</v>
      </c>
      <c r="T134">
        <v>28.0825</v>
      </c>
      <c r="U134">
        <v>4</v>
      </c>
      <c r="V134">
        <v>2024</v>
      </c>
      <c r="W134">
        <v>2</v>
      </c>
      <c r="X134" t="s">
        <v>9899</v>
      </c>
      <c r="Y134" t="s">
        <v>9900</v>
      </c>
      <c r="Z134" t="s">
        <v>9899</v>
      </c>
      <c r="AD134">
        <f t="shared" si="5"/>
        <v>4</v>
      </c>
    </row>
    <row r="135" spans="1:30" x14ac:dyDescent="0.25">
      <c r="A135" t="s">
        <v>159</v>
      </c>
      <c r="B135" s="2">
        <v>45429</v>
      </c>
      <c r="C135" s="2">
        <v>45432</v>
      </c>
      <c r="D135" t="s">
        <v>5142</v>
      </c>
      <c r="E135" t="s">
        <v>5642</v>
      </c>
      <c r="F135" t="s">
        <v>6026</v>
      </c>
      <c r="G135" t="s">
        <v>6031</v>
      </c>
      <c r="H135" t="s">
        <v>6040</v>
      </c>
      <c r="I135" t="s">
        <v>6052</v>
      </c>
      <c r="J135" t="s">
        <v>6054</v>
      </c>
      <c r="K135" t="s">
        <v>6059</v>
      </c>
      <c r="L135" t="s">
        <v>6198</v>
      </c>
      <c r="M135">
        <v>958.98</v>
      </c>
      <c r="N135">
        <v>5</v>
      </c>
      <c r="O135">
        <v>0.27</v>
      </c>
      <c r="P135">
        <v>-83.54</v>
      </c>
      <c r="Q135" t="s">
        <v>9897</v>
      </c>
      <c r="R135">
        <v>3</v>
      </c>
      <c r="S135" s="5">
        <f t="shared" si="4"/>
        <v>-8.7113391311601909E-2</v>
      </c>
      <c r="T135">
        <v>191.79599999999999</v>
      </c>
      <c r="U135">
        <v>5</v>
      </c>
      <c r="V135">
        <v>2024</v>
      </c>
      <c r="W135">
        <v>2</v>
      </c>
      <c r="X135" t="s">
        <v>9898</v>
      </c>
      <c r="Y135" t="s">
        <v>9900</v>
      </c>
      <c r="Z135" t="s">
        <v>9899</v>
      </c>
      <c r="AD135">
        <f t="shared" si="5"/>
        <v>3</v>
      </c>
    </row>
    <row r="136" spans="1:30" x14ac:dyDescent="0.25">
      <c r="A136" t="s">
        <v>160</v>
      </c>
      <c r="B136" s="2">
        <v>45109</v>
      </c>
      <c r="C136" s="2">
        <v>45111</v>
      </c>
      <c r="D136" t="s">
        <v>5060</v>
      </c>
      <c r="E136" t="s">
        <v>5560</v>
      </c>
      <c r="F136" t="s">
        <v>6028</v>
      </c>
      <c r="G136" t="s">
        <v>6029</v>
      </c>
      <c r="H136" t="s">
        <v>6045</v>
      </c>
      <c r="I136" t="s">
        <v>6049</v>
      </c>
      <c r="J136" t="s">
        <v>6053</v>
      </c>
      <c r="K136" t="s">
        <v>6058</v>
      </c>
      <c r="L136" t="s">
        <v>6199</v>
      </c>
      <c r="M136">
        <v>598.26</v>
      </c>
      <c r="N136">
        <v>1</v>
      </c>
      <c r="O136">
        <v>0.3</v>
      </c>
      <c r="P136">
        <v>-4.92</v>
      </c>
      <c r="Q136" t="s">
        <v>9893</v>
      </c>
      <c r="R136">
        <v>2</v>
      </c>
      <c r="S136" s="5">
        <f t="shared" si="4"/>
        <v>-8.2238491625714564E-3</v>
      </c>
      <c r="T136">
        <v>598.26</v>
      </c>
      <c r="U136">
        <v>7</v>
      </c>
      <c r="V136">
        <v>2023</v>
      </c>
      <c r="W136">
        <v>3</v>
      </c>
      <c r="X136" t="s">
        <v>9898</v>
      </c>
      <c r="Y136" t="s">
        <v>9900</v>
      </c>
      <c r="Z136" t="s">
        <v>9899</v>
      </c>
      <c r="AD136">
        <f t="shared" si="5"/>
        <v>2</v>
      </c>
    </row>
    <row r="137" spans="1:30" x14ac:dyDescent="0.25">
      <c r="A137" t="s">
        <v>161</v>
      </c>
      <c r="B137" s="2">
        <v>44577</v>
      </c>
      <c r="C137" s="2">
        <v>44581</v>
      </c>
      <c r="D137" t="s">
        <v>5143</v>
      </c>
      <c r="E137" t="s">
        <v>5643</v>
      </c>
      <c r="F137" t="s">
        <v>6026</v>
      </c>
      <c r="G137" t="s">
        <v>6030</v>
      </c>
      <c r="H137" t="s">
        <v>6035</v>
      </c>
      <c r="I137" t="s">
        <v>6047</v>
      </c>
      <c r="J137" t="s">
        <v>6055</v>
      </c>
      <c r="K137" t="s">
        <v>6061</v>
      </c>
      <c r="L137" t="s">
        <v>6200</v>
      </c>
      <c r="M137">
        <v>884.6</v>
      </c>
      <c r="N137">
        <v>6</v>
      </c>
      <c r="O137">
        <v>0.27</v>
      </c>
      <c r="P137">
        <v>-142.79</v>
      </c>
      <c r="Q137" t="s">
        <v>9896</v>
      </c>
      <c r="R137">
        <v>4</v>
      </c>
      <c r="S137" s="5">
        <f t="shared" si="4"/>
        <v>-0.16141758987112817</v>
      </c>
      <c r="T137">
        <v>147.43333333333331</v>
      </c>
      <c r="U137">
        <v>1</v>
      </c>
      <c r="V137">
        <v>2022</v>
      </c>
      <c r="W137">
        <v>1</v>
      </c>
      <c r="X137" t="s">
        <v>9898</v>
      </c>
      <c r="Y137" t="s">
        <v>9900</v>
      </c>
      <c r="Z137" t="s">
        <v>9899</v>
      </c>
      <c r="AD137">
        <f t="shared" si="5"/>
        <v>4</v>
      </c>
    </row>
    <row r="138" spans="1:30" x14ac:dyDescent="0.25">
      <c r="A138" t="s">
        <v>162</v>
      </c>
      <c r="B138" s="2">
        <v>45413</v>
      </c>
      <c r="C138" s="2">
        <v>45416</v>
      </c>
      <c r="D138" t="s">
        <v>5144</v>
      </c>
      <c r="E138" t="s">
        <v>5644</v>
      </c>
      <c r="F138" t="s">
        <v>6027</v>
      </c>
      <c r="G138" t="s">
        <v>6031</v>
      </c>
      <c r="H138" t="s">
        <v>6034</v>
      </c>
      <c r="I138" t="s">
        <v>6050</v>
      </c>
      <c r="J138" t="s">
        <v>6053</v>
      </c>
      <c r="K138" t="s">
        <v>6058</v>
      </c>
      <c r="L138" t="s">
        <v>6201</v>
      </c>
      <c r="M138">
        <v>1277.73</v>
      </c>
      <c r="N138">
        <v>3</v>
      </c>
      <c r="O138">
        <v>0.04</v>
      </c>
      <c r="P138">
        <v>279.39999999999998</v>
      </c>
      <c r="Q138" t="s">
        <v>9896</v>
      </c>
      <c r="R138">
        <v>3</v>
      </c>
      <c r="S138" s="5">
        <f t="shared" si="4"/>
        <v>0.21866904588606353</v>
      </c>
      <c r="T138">
        <v>425.91</v>
      </c>
      <c r="U138">
        <v>5</v>
      </c>
      <c r="V138">
        <v>2024</v>
      </c>
      <c r="W138">
        <v>2</v>
      </c>
      <c r="X138" t="s">
        <v>9899</v>
      </c>
      <c r="Y138" t="s">
        <v>9901</v>
      </c>
      <c r="Z138" t="s">
        <v>9898</v>
      </c>
      <c r="AD138">
        <f t="shared" si="5"/>
        <v>3</v>
      </c>
    </row>
    <row r="139" spans="1:30" x14ac:dyDescent="0.25">
      <c r="A139" t="s">
        <v>163</v>
      </c>
      <c r="B139" s="2">
        <v>44639</v>
      </c>
      <c r="C139" s="2">
        <v>44643</v>
      </c>
      <c r="D139" t="s">
        <v>5145</v>
      </c>
      <c r="E139" t="s">
        <v>5645</v>
      </c>
      <c r="F139" t="s">
        <v>6026</v>
      </c>
      <c r="G139" t="s">
        <v>6030</v>
      </c>
      <c r="H139" t="s">
        <v>6035</v>
      </c>
      <c r="I139" t="s">
        <v>6047</v>
      </c>
      <c r="J139" t="s">
        <v>6055</v>
      </c>
      <c r="K139" t="s">
        <v>6064</v>
      </c>
      <c r="L139" t="s">
        <v>6202</v>
      </c>
      <c r="M139">
        <v>1480.89</v>
      </c>
      <c r="N139">
        <v>5</v>
      </c>
      <c r="O139">
        <v>0.09</v>
      </c>
      <c r="P139">
        <v>60.63</v>
      </c>
      <c r="Q139" t="s">
        <v>9894</v>
      </c>
      <c r="R139">
        <v>4</v>
      </c>
      <c r="S139" s="5">
        <f t="shared" si="4"/>
        <v>4.0941595932175917E-2</v>
      </c>
      <c r="T139">
        <v>296.178</v>
      </c>
      <c r="U139">
        <v>3</v>
      </c>
      <c r="V139">
        <v>2022</v>
      </c>
      <c r="W139">
        <v>1</v>
      </c>
      <c r="X139" t="s">
        <v>9899</v>
      </c>
      <c r="Y139" t="s">
        <v>9901</v>
      </c>
      <c r="Z139" t="s">
        <v>9898</v>
      </c>
      <c r="AD139">
        <f t="shared" si="5"/>
        <v>4</v>
      </c>
    </row>
    <row r="140" spans="1:30" x14ac:dyDescent="0.25">
      <c r="A140" t="s">
        <v>164</v>
      </c>
      <c r="B140" s="2">
        <v>44824</v>
      </c>
      <c r="C140" s="2">
        <v>44830</v>
      </c>
      <c r="D140" t="s">
        <v>5146</v>
      </c>
      <c r="E140" t="s">
        <v>5646</v>
      </c>
      <c r="F140" t="s">
        <v>6027</v>
      </c>
      <c r="G140" t="s">
        <v>6031</v>
      </c>
      <c r="H140" t="s">
        <v>6034</v>
      </c>
      <c r="I140" t="s">
        <v>6052</v>
      </c>
      <c r="J140" t="s">
        <v>6054</v>
      </c>
      <c r="K140" t="s">
        <v>6059</v>
      </c>
      <c r="L140" t="s">
        <v>6203</v>
      </c>
      <c r="M140">
        <v>1051.8399999999999</v>
      </c>
      <c r="N140">
        <v>3</v>
      </c>
      <c r="O140">
        <v>0.08</v>
      </c>
      <c r="P140">
        <v>155.01</v>
      </c>
      <c r="Q140" t="s">
        <v>9893</v>
      </c>
      <c r="R140">
        <v>6</v>
      </c>
      <c r="S140" s="5">
        <f t="shared" si="4"/>
        <v>0.14737032248250684</v>
      </c>
      <c r="T140">
        <v>350.61333333333329</v>
      </c>
      <c r="U140">
        <v>9</v>
      </c>
      <c r="V140">
        <v>2022</v>
      </c>
      <c r="W140">
        <v>3</v>
      </c>
      <c r="X140" t="s">
        <v>9899</v>
      </c>
      <c r="Y140" t="s">
        <v>9901</v>
      </c>
      <c r="Z140" t="s">
        <v>9898</v>
      </c>
      <c r="AD140">
        <f t="shared" si="5"/>
        <v>6</v>
      </c>
    </row>
    <row r="141" spans="1:30" x14ac:dyDescent="0.25">
      <c r="A141" t="s">
        <v>165</v>
      </c>
      <c r="B141" s="2">
        <v>44643</v>
      </c>
      <c r="C141" s="2">
        <v>44650</v>
      </c>
      <c r="D141" t="s">
        <v>5147</v>
      </c>
      <c r="E141" t="s">
        <v>5647</v>
      </c>
      <c r="F141" t="s">
        <v>6027</v>
      </c>
      <c r="G141" t="s">
        <v>6031</v>
      </c>
      <c r="H141" t="s">
        <v>6034</v>
      </c>
      <c r="I141" t="s">
        <v>6048</v>
      </c>
      <c r="J141" t="s">
        <v>6053</v>
      </c>
      <c r="K141" t="s">
        <v>6058</v>
      </c>
      <c r="L141" t="s">
        <v>6204</v>
      </c>
      <c r="M141">
        <v>620.72</v>
      </c>
      <c r="N141">
        <v>7</v>
      </c>
      <c r="O141">
        <v>0.04</v>
      </c>
      <c r="P141">
        <v>43.55</v>
      </c>
      <c r="Q141" t="s">
        <v>9895</v>
      </c>
      <c r="R141">
        <v>7</v>
      </c>
      <c r="S141" s="5">
        <f t="shared" si="4"/>
        <v>7.0160458822013133E-2</v>
      </c>
      <c r="T141">
        <v>88.674285714285716</v>
      </c>
      <c r="U141">
        <v>3</v>
      </c>
      <c r="V141">
        <v>2022</v>
      </c>
      <c r="W141">
        <v>1</v>
      </c>
      <c r="X141" t="s">
        <v>9899</v>
      </c>
      <c r="Y141" t="s">
        <v>9901</v>
      </c>
      <c r="Z141" t="s">
        <v>9899</v>
      </c>
      <c r="AD141">
        <f t="shared" si="5"/>
        <v>7</v>
      </c>
    </row>
    <row r="142" spans="1:30" x14ac:dyDescent="0.25">
      <c r="A142" t="s">
        <v>166</v>
      </c>
      <c r="B142" s="2">
        <v>44926</v>
      </c>
      <c r="C142" s="2">
        <v>44929</v>
      </c>
      <c r="D142" t="s">
        <v>5148</v>
      </c>
      <c r="E142" t="s">
        <v>5648</v>
      </c>
      <c r="F142" t="s">
        <v>6027</v>
      </c>
      <c r="G142" t="s">
        <v>6030</v>
      </c>
      <c r="H142" t="s">
        <v>6033</v>
      </c>
      <c r="I142" t="s">
        <v>6051</v>
      </c>
      <c r="J142" t="s">
        <v>6055</v>
      </c>
      <c r="K142" t="s">
        <v>6061</v>
      </c>
      <c r="L142" t="s">
        <v>6205</v>
      </c>
      <c r="M142">
        <v>287.31</v>
      </c>
      <c r="N142">
        <v>5</v>
      </c>
      <c r="O142">
        <v>0.1</v>
      </c>
      <c r="P142">
        <v>13.02</v>
      </c>
      <c r="Q142" t="s">
        <v>9896</v>
      </c>
      <c r="R142">
        <v>3</v>
      </c>
      <c r="S142" s="5">
        <f t="shared" si="4"/>
        <v>4.5316905085099717E-2</v>
      </c>
      <c r="T142">
        <v>57.462000000000003</v>
      </c>
      <c r="U142">
        <v>12</v>
      </c>
      <c r="V142">
        <v>2022</v>
      </c>
      <c r="W142">
        <v>4</v>
      </c>
      <c r="X142" t="s">
        <v>9899</v>
      </c>
      <c r="Y142" t="s">
        <v>9901</v>
      </c>
      <c r="Z142" t="s">
        <v>9899</v>
      </c>
      <c r="AD142">
        <f t="shared" si="5"/>
        <v>3</v>
      </c>
    </row>
    <row r="143" spans="1:30" x14ac:dyDescent="0.25">
      <c r="A143" t="s">
        <v>167</v>
      </c>
      <c r="B143" s="2">
        <v>44866</v>
      </c>
      <c r="C143" s="2">
        <v>44867</v>
      </c>
      <c r="D143" t="s">
        <v>5125</v>
      </c>
      <c r="E143" t="s">
        <v>5625</v>
      </c>
      <c r="F143" t="s">
        <v>6026</v>
      </c>
      <c r="G143" t="s">
        <v>6031</v>
      </c>
      <c r="H143" t="s">
        <v>6043</v>
      </c>
      <c r="I143" t="s">
        <v>6052</v>
      </c>
      <c r="J143" t="s">
        <v>6054</v>
      </c>
      <c r="K143" t="s">
        <v>6060</v>
      </c>
      <c r="L143" t="s">
        <v>6206</v>
      </c>
      <c r="M143">
        <v>1929.43</v>
      </c>
      <c r="N143">
        <v>7</v>
      </c>
      <c r="O143">
        <v>0.27</v>
      </c>
      <c r="P143">
        <v>-219.21</v>
      </c>
      <c r="Q143" t="s">
        <v>9894</v>
      </c>
      <c r="R143">
        <v>1</v>
      </c>
      <c r="S143" s="5">
        <f t="shared" si="4"/>
        <v>-0.11361386523481028</v>
      </c>
      <c r="T143">
        <v>275.63285714285718</v>
      </c>
      <c r="U143">
        <v>11</v>
      </c>
      <c r="V143">
        <v>2022</v>
      </c>
      <c r="W143">
        <v>4</v>
      </c>
      <c r="X143" t="s">
        <v>9898</v>
      </c>
      <c r="Y143" t="s">
        <v>9900</v>
      </c>
      <c r="Z143" t="s">
        <v>9898</v>
      </c>
      <c r="AD143">
        <f t="shared" si="5"/>
        <v>1</v>
      </c>
    </row>
    <row r="144" spans="1:30" x14ac:dyDescent="0.25">
      <c r="A144" t="s">
        <v>168</v>
      </c>
      <c r="B144" s="2">
        <v>45228</v>
      </c>
      <c r="C144" s="2">
        <v>45232</v>
      </c>
      <c r="D144" t="s">
        <v>5149</v>
      </c>
      <c r="E144" t="s">
        <v>5649</v>
      </c>
      <c r="F144" t="s">
        <v>6026</v>
      </c>
      <c r="G144" t="s">
        <v>6029</v>
      </c>
      <c r="H144" t="s">
        <v>6041</v>
      </c>
      <c r="I144" t="s">
        <v>6046</v>
      </c>
      <c r="J144" t="s">
        <v>6054</v>
      </c>
      <c r="K144" t="s">
        <v>6062</v>
      </c>
      <c r="L144" t="s">
        <v>6207</v>
      </c>
      <c r="M144">
        <v>1231.5999999999999</v>
      </c>
      <c r="N144">
        <v>2</v>
      </c>
      <c r="O144">
        <v>0.02</v>
      </c>
      <c r="P144">
        <v>314.86</v>
      </c>
      <c r="Q144" t="s">
        <v>9897</v>
      </c>
      <c r="R144">
        <v>4</v>
      </c>
      <c r="S144" s="5">
        <f t="shared" si="4"/>
        <v>0.25565118544982141</v>
      </c>
      <c r="T144">
        <v>615.79999999999995</v>
      </c>
      <c r="U144">
        <v>10</v>
      </c>
      <c r="V144">
        <v>2023</v>
      </c>
      <c r="W144">
        <v>4</v>
      </c>
      <c r="X144" t="s">
        <v>9899</v>
      </c>
      <c r="Y144" t="s">
        <v>9901</v>
      </c>
      <c r="Z144" t="s">
        <v>9898</v>
      </c>
      <c r="AD144">
        <f t="shared" si="5"/>
        <v>4</v>
      </c>
    </row>
    <row r="145" spans="1:30" x14ac:dyDescent="0.25">
      <c r="A145" t="s">
        <v>169</v>
      </c>
      <c r="B145" s="2">
        <v>44868</v>
      </c>
      <c r="C145" s="2">
        <v>44870</v>
      </c>
      <c r="D145" t="s">
        <v>5150</v>
      </c>
      <c r="E145" t="s">
        <v>5650</v>
      </c>
      <c r="F145" t="s">
        <v>6027</v>
      </c>
      <c r="G145" t="s">
        <v>6029</v>
      </c>
      <c r="H145" t="s">
        <v>6045</v>
      </c>
      <c r="I145" t="s">
        <v>6050</v>
      </c>
      <c r="J145" t="s">
        <v>6053</v>
      </c>
      <c r="K145" t="s">
        <v>6056</v>
      </c>
      <c r="L145" t="s">
        <v>6208</v>
      </c>
      <c r="M145">
        <v>420.27</v>
      </c>
      <c r="N145">
        <v>8</v>
      </c>
      <c r="O145">
        <v>0.28000000000000003</v>
      </c>
      <c r="P145">
        <v>-62.99</v>
      </c>
      <c r="Q145" t="s">
        <v>9895</v>
      </c>
      <c r="R145">
        <v>2</v>
      </c>
      <c r="S145" s="5">
        <f t="shared" si="4"/>
        <v>-0.14987983915102196</v>
      </c>
      <c r="T145">
        <v>52.533749999999998</v>
      </c>
      <c r="U145">
        <v>11</v>
      </c>
      <c r="V145">
        <v>2022</v>
      </c>
      <c r="W145">
        <v>4</v>
      </c>
      <c r="X145" t="s">
        <v>9898</v>
      </c>
      <c r="Y145" t="s">
        <v>9900</v>
      </c>
      <c r="Z145" t="s">
        <v>9899</v>
      </c>
      <c r="AD145">
        <f t="shared" si="5"/>
        <v>2</v>
      </c>
    </row>
    <row r="146" spans="1:30" x14ac:dyDescent="0.25">
      <c r="A146" t="s">
        <v>170</v>
      </c>
      <c r="B146" s="2">
        <v>44728</v>
      </c>
      <c r="C146" s="2">
        <v>44729</v>
      </c>
      <c r="D146" t="s">
        <v>5151</v>
      </c>
      <c r="E146" t="s">
        <v>5651</v>
      </c>
      <c r="F146" t="s">
        <v>6027</v>
      </c>
      <c r="G146" t="s">
        <v>6030</v>
      </c>
      <c r="H146" t="s">
        <v>6039</v>
      </c>
      <c r="I146" t="s">
        <v>6047</v>
      </c>
      <c r="J146" t="s">
        <v>6054</v>
      </c>
      <c r="K146" t="s">
        <v>6059</v>
      </c>
      <c r="L146" t="s">
        <v>6209</v>
      </c>
      <c r="M146">
        <v>1541.58</v>
      </c>
      <c r="N146">
        <v>8</v>
      </c>
      <c r="O146">
        <v>0.22</v>
      </c>
      <c r="P146">
        <v>68.34</v>
      </c>
      <c r="Q146" t="s">
        <v>9893</v>
      </c>
      <c r="R146">
        <v>1</v>
      </c>
      <c r="S146" s="5">
        <f t="shared" si="4"/>
        <v>4.4331140777643718E-2</v>
      </c>
      <c r="T146">
        <v>192.69749999999999</v>
      </c>
      <c r="U146">
        <v>6</v>
      </c>
      <c r="V146">
        <v>2022</v>
      </c>
      <c r="W146">
        <v>2</v>
      </c>
      <c r="X146" t="s">
        <v>9899</v>
      </c>
      <c r="Y146" t="s">
        <v>9900</v>
      </c>
      <c r="Z146" t="s">
        <v>9898</v>
      </c>
      <c r="AD146">
        <f t="shared" si="5"/>
        <v>1</v>
      </c>
    </row>
    <row r="147" spans="1:30" x14ac:dyDescent="0.25">
      <c r="A147" t="s">
        <v>171</v>
      </c>
      <c r="B147" s="2">
        <v>44830</v>
      </c>
      <c r="C147" s="2">
        <v>44833</v>
      </c>
      <c r="D147" t="s">
        <v>5152</v>
      </c>
      <c r="E147" t="s">
        <v>5652</v>
      </c>
      <c r="F147" t="s">
        <v>6027</v>
      </c>
      <c r="G147" t="s">
        <v>6031</v>
      </c>
      <c r="H147" t="s">
        <v>6043</v>
      </c>
      <c r="I147" t="s">
        <v>6050</v>
      </c>
      <c r="J147" t="s">
        <v>6055</v>
      </c>
      <c r="K147" t="s">
        <v>6063</v>
      </c>
      <c r="L147" t="s">
        <v>6210</v>
      </c>
      <c r="M147">
        <v>1351.22</v>
      </c>
      <c r="N147">
        <v>4</v>
      </c>
      <c r="O147">
        <v>0.19</v>
      </c>
      <c r="P147">
        <v>93.73</v>
      </c>
      <c r="Q147" t="s">
        <v>9894</v>
      </c>
      <c r="R147">
        <v>3</v>
      </c>
      <c r="S147" s="5">
        <f t="shared" si="4"/>
        <v>6.9366942466807774E-2</v>
      </c>
      <c r="T147">
        <v>337.80500000000001</v>
      </c>
      <c r="U147">
        <v>9</v>
      </c>
      <c r="V147">
        <v>2022</v>
      </c>
      <c r="W147">
        <v>3</v>
      </c>
      <c r="X147" t="s">
        <v>9899</v>
      </c>
      <c r="Y147" t="s">
        <v>9900</v>
      </c>
      <c r="Z147" t="s">
        <v>9898</v>
      </c>
      <c r="AD147">
        <f t="shared" si="5"/>
        <v>3</v>
      </c>
    </row>
    <row r="148" spans="1:30" x14ac:dyDescent="0.25">
      <c r="A148" t="s">
        <v>172</v>
      </c>
      <c r="B148" s="2">
        <v>45227</v>
      </c>
      <c r="C148" s="2">
        <v>45229</v>
      </c>
      <c r="D148" t="s">
        <v>5153</v>
      </c>
      <c r="E148" t="s">
        <v>5653</v>
      </c>
      <c r="F148" t="s">
        <v>6026</v>
      </c>
      <c r="G148" t="s">
        <v>6031</v>
      </c>
      <c r="H148" t="s">
        <v>6043</v>
      </c>
      <c r="I148" t="s">
        <v>6050</v>
      </c>
      <c r="J148" t="s">
        <v>6054</v>
      </c>
      <c r="K148" t="s">
        <v>6062</v>
      </c>
      <c r="L148" t="s">
        <v>6179</v>
      </c>
      <c r="M148">
        <v>1955.63</v>
      </c>
      <c r="N148">
        <v>1</v>
      </c>
      <c r="O148">
        <v>0.18</v>
      </c>
      <c r="P148">
        <v>219.41</v>
      </c>
      <c r="Q148" t="s">
        <v>9895</v>
      </c>
      <c r="R148">
        <v>2</v>
      </c>
      <c r="S148" s="5">
        <f t="shared" si="4"/>
        <v>0.11219402443202446</v>
      </c>
      <c r="T148">
        <v>1955.63</v>
      </c>
      <c r="U148">
        <v>10</v>
      </c>
      <c r="V148">
        <v>2023</v>
      </c>
      <c r="W148">
        <v>4</v>
      </c>
      <c r="X148" t="s">
        <v>9899</v>
      </c>
      <c r="Y148" t="s">
        <v>9900</v>
      </c>
      <c r="Z148" t="s">
        <v>9898</v>
      </c>
      <c r="AD148">
        <f t="shared" si="5"/>
        <v>2</v>
      </c>
    </row>
    <row r="149" spans="1:30" x14ac:dyDescent="0.25">
      <c r="A149" t="s">
        <v>173</v>
      </c>
      <c r="B149" s="2">
        <v>44935</v>
      </c>
      <c r="C149" s="2">
        <v>44938</v>
      </c>
      <c r="D149" t="s">
        <v>5154</v>
      </c>
      <c r="E149" t="s">
        <v>5654</v>
      </c>
      <c r="F149" t="s">
        <v>6028</v>
      </c>
      <c r="G149" t="s">
        <v>6030</v>
      </c>
      <c r="H149" t="s">
        <v>6038</v>
      </c>
      <c r="I149" t="s">
        <v>6051</v>
      </c>
      <c r="J149" t="s">
        <v>6054</v>
      </c>
      <c r="K149" t="s">
        <v>6059</v>
      </c>
      <c r="L149" t="s">
        <v>6211</v>
      </c>
      <c r="M149">
        <v>1530.4</v>
      </c>
      <c r="N149">
        <v>3</v>
      </c>
      <c r="O149">
        <v>0.08</v>
      </c>
      <c r="P149">
        <v>196.03</v>
      </c>
      <c r="Q149" t="s">
        <v>9893</v>
      </c>
      <c r="R149">
        <v>3</v>
      </c>
      <c r="S149" s="5">
        <f t="shared" si="4"/>
        <v>0.1280906952430737</v>
      </c>
      <c r="T149">
        <v>510.13333333333338</v>
      </c>
      <c r="U149">
        <v>1</v>
      </c>
      <c r="V149">
        <v>2023</v>
      </c>
      <c r="W149">
        <v>1</v>
      </c>
      <c r="X149" t="s">
        <v>9899</v>
      </c>
      <c r="Y149" t="s">
        <v>9901</v>
      </c>
      <c r="Z149" t="s">
        <v>9898</v>
      </c>
      <c r="AD149">
        <f t="shared" si="5"/>
        <v>3</v>
      </c>
    </row>
    <row r="150" spans="1:30" x14ac:dyDescent="0.25">
      <c r="A150" t="s">
        <v>174</v>
      </c>
      <c r="B150" s="2">
        <v>44727</v>
      </c>
      <c r="C150" s="2">
        <v>44732</v>
      </c>
      <c r="D150" t="s">
        <v>5155</v>
      </c>
      <c r="E150" t="s">
        <v>5655</v>
      </c>
      <c r="F150" t="s">
        <v>6026</v>
      </c>
      <c r="G150" t="s">
        <v>6031</v>
      </c>
      <c r="H150" t="s">
        <v>6042</v>
      </c>
      <c r="I150" t="s">
        <v>6048</v>
      </c>
      <c r="J150" t="s">
        <v>6053</v>
      </c>
      <c r="K150" t="s">
        <v>6056</v>
      </c>
      <c r="L150" t="s">
        <v>6212</v>
      </c>
      <c r="M150">
        <v>176.82</v>
      </c>
      <c r="N150">
        <v>1</v>
      </c>
      <c r="O150">
        <v>0.02</v>
      </c>
      <c r="P150">
        <v>23.9</v>
      </c>
      <c r="Q150" t="s">
        <v>9893</v>
      </c>
      <c r="R150">
        <v>5</v>
      </c>
      <c r="S150" s="5">
        <f t="shared" si="4"/>
        <v>0.13516570523696414</v>
      </c>
      <c r="T150">
        <v>176.82</v>
      </c>
      <c r="U150">
        <v>6</v>
      </c>
      <c r="V150">
        <v>2022</v>
      </c>
      <c r="W150">
        <v>2</v>
      </c>
      <c r="X150" t="s">
        <v>9899</v>
      </c>
      <c r="Y150" t="s">
        <v>9901</v>
      </c>
      <c r="Z150" t="s">
        <v>9899</v>
      </c>
      <c r="AD150">
        <f t="shared" si="5"/>
        <v>5</v>
      </c>
    </row>
    <row r="151" spans="1:30" x14ac:dyDescent="0.25">
      <c r="A151" t="s">
        <v>175</v>
      </c>
      <c r="B151" s="2">
        <v>45136</v>
      </c>
      <c r="C151" s="2">
        <v>45140</v>
      </c>
      <c r="D151" t="s">
        <v>5156</v>
      </c>
      <c r="E151" t="s">
        <v>5656</v>
      </c>
      <c r="F151" t="s">
        <v>6026</v>
      </c>
      <c r="G151" t="s">
        <v>6031</v>
      </c>
      <c r="H151" t="s">
        <v>6043</v>
      </c>
      <c r="I151" t="s">
        <v>6050</v>
      </c>
      <c r="J151" t="s">
        <v>6055</v>
      </c>
      <c r="K151" t="s">
        <v>6063</v>
      </c>
      <c r="L151" t="s">
        <v>6213</v>
      </c>
      <c r="M151">
        <v>1648.69</v>
      </c>
      <c r="N151">
        <v>7</v>
      </c>
      <c r="O151">
        <v>0.25</v>
      </c>
      <c r="P151">
        <v>-7.16</v>
      </c>
      <c r="Q151" t="s">
        <v>9897</v>
      </c>
      <c r="R151">
        <v>4</v>
      </c>
      <c r="S151" s="5">
        <f t="shared" si="4"/>
        <v>-4.3428418926541677E-3</v>
      </c>
      <c r="T151">
        <v>235.52714285714291</v>
      </c>
      <c r="U151">
        <v>7</v>
      </c>
      <c r="V151">
        <v>2023</v>
      </c>
      <c r="W151">
        <v>3</v>
      </c>
      <c r="X151" t="s">
        <v>9898</v>
      </c>
      <c r="Y151" t="s">
        <v>9900</v>
      </c>
      <c r="Z151" t="s">
        <v>9898</v>
      </c>
      <c r="AD151">
        <f t="shared" si="5"/>
        <v>4</v>
      </c>
    </row>
    <row r="152" spans="1:30" x14ac:dyDescent="0.25">
      <c r="A152" t="s">
        <v>176</v>
      </c>
      <c r="B152" s="2">
        <v>44936</v>
      </c>
      <c r="C152" s="2">
        <v>44943</v>
      </c>
      <c r="D152" t="s">
        <v>5157</v>
      </c>
      <c r="E152" t="s">
        <v>5657</v>
      </c>
      <c r="F152" t="s">
        <v>6027</v>
      </c>
      <c r="G152" t="s">
        <v>6029</v>
      </c>
      <c r="H152" t="s">
        <v>6032</v>
      </c>
      <c r="I152" t="s">
        <v>6050</v>
      </c>
      <c r="J152" t="s">
        <v>6055</v>
      </c>
      <c r="K152" t="s">
        <v>6061</v>
      </c>
      <c r="L152" t="s">
        <v>6214</v>
      </c>
      <c r="M152">
        <v>1909.4</v>
      </c>
      <c r="N152">
        <v>2</v>
      </c>
      <c r="O152">
        <v>0.22</v>
      </c>
      <c r="P152">
        <v>60.58</v>
      </c>
      <c r="Q152" t="s">
        <v>9896</v>
      </c>
      <c r="R152">
        <v>7</v>
      </c>
      <c r="S152" s="5">
        <f t="shared" si="4"/>
        <v>3.1727244160469258E-2</v>
      </c>
      <c r="T152">
        <v>954.7</v>
      </c>
      <c r="U152">
        <v>1</v>
      </c>
      <c r="V152">
        <v>2023</v>
      </c>
      <c r="W152">
        <v>1</v>
      </c>
      <c r="X152" t="s">
        <v>9899</v>
      </c>
      <c r="Y152" t="s">
        <v>9900</v>
      </c>
      <c r="Z152" t="s">
        <v>9898</v>
      </c>
      <c r="AD152">
        <f t="shared" si="5"/>
        <v>7</v>
      </c>
    </row>
    <row r="153" spans="1:30" x14ac:dyDescent="0.25">
      <c r="A153" t="s">
        <v>177</v>
      </c>
      <c r="B153" s="2">
        <v>44638</v>
      </c>
      <c r="C153" s="2">
        <v>44643</v>
      </c>
      <c r="D153" t="s">
        <v>5158</v>
      </c>
      <c r="E153" t="s">
        <v>5658</v>
      </c>
      <c r="F153" t="s">
        <v>6028</v>
      </c>
      <c r="G153" t="s">
        <v>6029</v>
      </c>
      <c r="H153" t="s">
        <v>6041</v>
      </c>
      <c r="I153" t="s">
        <v>6046</v>
      </c>
      <c r="J153" t="s">
        <v>6054</v>
      </c>
      <c r="K153" t="s">
        <v>6062</v>
      </c>
      <c r="L153" t="s">
        <v>6215</v>
      </c>
      <c r="M153">
        <v>1878.74</v>
      </c>
      <c r="N153">
        <v>5</v>
      </c>
      <c r="O153">
        <v>0.23</v>
      </c>
      <c r="P153">
        <v>14.68</v>
      </c>
      <c r="Q153" t="s">
        <v>9893</v>
      </c>
      <c r="R153">
        <v>5</v>
      </c>
      <c r="S153" s="5">
        <f t="shared" si="4"/>
        <v>7.8137475116301352E-3</v>
      </c>
      <c r="T153">
        <v>375.74799999999999</v>
      </c>
      <c r="U153">
        <v>3</v>
      </c>
      <c r="V153">
        <v>2022</v>
      </c>
      <c r="W153">
        <v>1</v>
      </c>
      <c r="X153" t="s">
        <v>9899</v>
      </c>
      <c r="Y153" t="s">
        <v>9900</v>
      </c>
      <c r="Z153" t="s">
        <v>9898</v>
      </c>
      <c r="AD153">
        <f t="shared" si="5"/>
        <v>5</v>
      </c>
    </row>
    <row r="154" spans="1:30" x14ac:dyDescent="0.25">
      <c r="A154" t="s">
        <v>178</v>
      </c>
      <c r="B154" s="2">
        <v>44724</v>
      </c>
      <c r="C154" s="2">
        <v>44725</v>
      </c>
      <c r="D154" t="s">
        <v>5159</v>
      </c>
      <c r="E154" t="s">
        <v>5659</v>
      </c>
      <c r="F154" t="s">
        <v>6027</v>
      </c>
      <c r="G154" t="s">
        <v>6031</v>
      </c>
      <c r="H154" t="s">
        <v>6043</v>
      </c>
      <c r="I154" t="s">
        <v>6050</v>
      </c>
      <c r="J154" t="s">
        <v>6054</v>
      </c>
      <c r="K154" t="s">
        <v>6059</v>
      </c>
      <c r="L154" t="s">
        <v>6216</v>
      </c>
      <c r="M154">
        <v>1866.85</v>
      </c>
      <c r="N154">
        <v>6</v>
      </c>
      <c r="O154">
        <v>0.25</v>
      </c>
      <c r="P154">
        <v>25.11</v>
      </c>
      <c r="Q154" t="s">
        <v>9897</v>
      </c>
      <c r="R154">
        <v>1</v>
      </c>
      <c r="S154" s="5">
        <f t="shared" si="4"/>
        <v>1.3450464686504005E-2</v>
      </c>
      <c r="T154">
        <v>311.14166666666671</v>
      </c>
      <c r="U154">
        <v>6</v>
      </c>
      <c r="V154">
        <v>2022</v>
      </c>
      <c r="W154">
        <v>2</v>
      </c>
      <c r="X154" t="s">
        <v>9899</v>
      </c>
      <c r="Y154" t="s">
        <v>9900</v>
      </c>
      <c r="Z154" t="s">
        <v>9898</v>
      </c>
      <c r="AD154">
        <f t="shared" si="5"/>
        <v>1</v>
      </c>
    </row>
    <row r="155" spans="1:30" x14ac:dyDescent="0.25">
      <c r="A155" t="s">
        <v>179</v>
      </c>
      <c r="B155" s="2">
        <v>45148</v>
      </c>
      <c r="C155" s="2">
        <v>45152</v>
      </c>
      <c r="D155" t="s">
        <v>5160</v>
      </c>
      <c r="E155" t="s">
        <v>5660</v>
      </c>
      <c r="F155" t="s">
        <v>6028</v>
      </c>
      <c r="G155" t="s">
        <v>6029</v>
      </c>
      <c r="H155" t="s">
        <v>6041</v>
      </c>
      <c r="I155" t="s">
        <v>6050</v>
      </c>
      <c r="J155" t="s">
        <v>6053</v>
      </c>
      <c r="K155" t="s">
        <v>6057</v>
      </c>
      <c r="L155" t="s">
        <v>6217</v>
      </c>
      <c r="M155">
        <v>706.51</v>
      </c>
      <c r="N155">
        <v>1</v>
      </c>
      <c r="O155">
        <v>0.06</v>
      </c>
      <c r="P155">
        <v>108.26</v>
      </c>
      <c r="Q155" t="s">
        <v>9893</v>
      </c>
      <c r="R155">
        <v>4</v>
      </c>
      <c r="S155" s="5">
        <f t="shared" si="4"/>
        <v>0.15323208447155739</v>
      </c>
      <c r="T155">
        <v>706.51</v>
      </c>
      <c r="U155">
        <v>8</v>
      </c>
      <c r="V155">
        <v>2023</v>
      </c>
      <c r="W155">
        <v>3</v>
      </c>
      <c r="X155" t="s">
        <v>9899</v>
      </c>
      <c r="Y155" t="s">
        <v>9901</v>
      </c>
      <c r="Z155" t="s">
        <v>9899</v>
      </c>
      <c r="AD155">
        <f t="shared" si="5"/>
        <v>4</v>
      </c>
    </row>
    <row r="156" spans="1:30" x14ac:dyDescent="0.25">
      <c r="A156" t="s">
        <v>180</v>
      </c>
      <c r="B156" s="2">
        <v>45017</v>
      </c>
      <c r="C156" s="2">
        <v>45023</v>
      </c>
      <c r="D156" t="s">
        <v>5161</v>
      </c>
      <c r="E156" t="s">
        <v>5661</v>
      </c>
      <c r="F156" t="s">
        <v>6027</v>
      </c>
      <c r="G156" t="s">
        <v>6031</v>
      </c>
      <c r="H156" t="s">
        <v>6034</v>
      </c>
      <c r="I156" t="s">
        <v>6052</v>
      </c>
      <c r="J156" t="s">
        <v>6053</v>
      </c>
      <c r="K156" t="s">
        <v>6056</v>
      </c>
      <c r="L156" t="s">
        <v>6218</v>
      </c>
      <c r="M156">
        <v>602.16999999999996</v>
      </c>
      <c r="N156">
        <v>8</v>
      </c>
      <c r="O156">
        <v>0.16</v>
      </c>
      <c r="P156">
        <v>80.2</v>
      </c>
      <c r="Q156" t="s">
        <v>9895</v>
      </c>
      <c r="R156">
        <v>6</v>
      </c>
      <c r="S156" s="5">
        <f t="shared" si="4"/>
        <v>0.13318498098543602</v>
      </c>
      <c r="T156">
        <v>75.271249999999995</v>
      </c>
      <c r="U156">
        <v>4</v>
      </c>
      <c r="V156">
        <v>2023</v>
      </c>
      <c r="W156">
        <v>2</v>
      </c>
      <c r="X156" t="s">
        <v>9899</v>
      </c>
      <c r="Y156" t="s">
        <v>9900</v>
      </c>
      <c r="Z156" t="s">
        <v>9899</v>
      </c>
      <c r="AD156">
        <f t="shared" si="5"/>
        <v>6</v>
      </c>
    </row>
    <row r="157" spans="1:30" x14ac:dyDescent="0.25">
      <c r="A157" t="s">
        <v>181</v>
      </c>
      <c r="B157" s="2">
        <v>44968</v>
      </c>
      <c r="C157" s="2">
        <v>44971</v>
      </c>
      <c r="D157" t="s">
        <v>5162</v>
      </c>
      <c r="E157" t="s">
        <v>5662</v>
      </c>
      <c r="F157" t="s">
        <v>6027</v>
      </c>
      <c r="G157" t="s">
        <v>6029</v>
      </c>
      <c r="H157" t="s">
        <v>6045</v>
      </c>
      <c r="I157" t="s">
        <v>6046</v>
      </c>
      <c r="J157" t="s">
        <v>6053</v>
      </c>
      <c r="K157" t="s">
        <v>6056</v>
      </c>
      <c r="L157" t="s">
        <v>6219</v>
      </c>
      <c r="M157">
        <v>1432.87</v>
      </c>
      <c r="N157">
        <v>3</v>
      </c>
      <c r="O157">
        <v>0.3</v>
      </c>
      <c r="P157">
        <v>-250.07</v>
      </c>
      <c r="Q157" t="s">
        <v>9894</v>
      </c>
      <c r="R157">
        <v>3</v>
      </c>
      <c r="S157" s="5">
        <f t="shared" si="4"/>
        <v>-0.17452385771214415</v>
      </c>
      <c r="T157">
        <v>477.62333333333328</v>
      </c>
      <c r="U157">
        <v>2</v>
      </c>
      <c r="V157">
        <v>2023</v>
      </c>
      <c r="W157">
        <v>1</v>
      </c>
      <c r="X157" t="s">
        <v>9898</v>
      </c>
      <c r="Y157" t="s">
        <v>9900</v>
      </c>
      <c r="Z157" t="s">
        <v>9898</v>
      </c>
      <c r="AD157">
        <f t="shared" si="5"/>
        <v>3</v>
      </c>
    </row>
    <row r="158" spans="1:30" x14ac:dyDescent="0.25">
      <c r="A158" t="s">
        <v>182</v>
      </c>
      <c r="B158" s="2">
        <v>44788</v>
      </c>
      <c r="C158" s="2">
        <v>44795</v>
      </c>
      <c r="D158" t="s">
        <v>5163</v>
      </c>
      <c r="E158" t="s">
        <v>5663</v>
      </c>
      <c r="F158" t="s">
        <v>6026</v>
      </c>
      <c r="G158" t="s">
        <v>6029</v>
      </c>
      <c r="H158" t="s">
        <v>6032</v>
      </c>
      <c r="I158" t="s">
        <v>6049</v>
      </c>
      <c r="J158" t="s">
        <v>6055</v>
      </c>
      <c r="K158" t="s">
        <v>6064</v>
      </c>
      <c r="L158" t="s">
        <v>6220</v>
      </c>
      <c r="M158">
        <v>574.58000000000004</v>
      </c>
      <c r="N158">
        <v>1</v>
      </c>
      <c r="O158">
        <v>0.23</v>
      </c>
      <c r="P158">
        <v>5.63</v>
      </c>
      <c r="Q158" t="s">
        <v>9893</v>
      </c>
      <c r="R158">
        <v>7</v>
      </c>
      <c r="S158" s="5">
        <f t="shared" si="4"/>
        <v>9.7984614849107171E-3</v>
      </c>
      <c r="T158">
        <v>574.58000000000004</v>
      </c>
      <c r="U158">
        <v>8</v>
      </c>
      <c r="V158">
        <v>2022</v>
      </c>
      <c r="W158">
        <v>3</v>
      </c>
      <c r="X158" t="s">
        <v>9899</v>
      </c>
      <c r="Y158" t="s">
        <v>9900</v>
      </c>
      <c r="Z158" t="s">
        <v>9899</v>
      </c>
      <c r="AD158">
        <f t="shared" si="5"/>
        <v>7</v>
      </c>
    </row>
    <row r="159" spans="1:30" x14ac:dyDescent="0.25">
      <c r="A159" t="s">
        <v>183</v>
      </c>
      <c r="B159" s="2">
        <v>45246</v>
      </c>
      <c r="C159" s="2">
        <v>45248</v>
      </c>
      <c r="D159" t="s">
        <v>5164</v>
      </c>
      <c r="E159" t="s">
        <v>5664</v>
      </c>
      <c r="F159" t="s">
        <v>6028</v>
      </c>
      <c r="G159" t="s">
        <v>6031</v>
      </c>
      <c r="H159" t="s">
        <v>6040</v>
      </c>
      <c r="I159" t="s">
        <v>6048</v>
      </c>
      <c r="J159" t="s">
        <v>6055</v>
      </c>
      <c r="K159" t="s">
        <v>6061</v>
      </c>
      <c r="L159" t="s">
        <v>6221</v>
      </c>
      <c r="M159">
        <v>1566.68</v>
      </c>
      <c r="N159">
        <v>4</v>
      </c>
      <c r="O159">
        <v>0.16</v>
      </c>
      <c r="P159">
        <v>180.97</v>
      </c>
      <c r="Q159" t="s">
        <v>9893</v>
      </c>
      <c r="R159">
        <v>2</v>
      </c>
      <c r="S159" s="5">
        <f t="shared" si="4"/>
        <v>0.11551178287844359</v>
      </c>
      <c r="T159">
        <v>391.67</v>
      </c>
      <c r="U159">
        <v>11</v>
      </c>
      <c r="V159">
        <v>2023</v>
      </c>
      <c r="W159">
        <v>4</v>
      </c>
      <c r="X159" t="s">
        <v>9899</v>
      </c>
      <c r="Y159" t="s">
        <v>9900</v>
      </c>
      <c r="Z159" t="s">
        <v>9898</v>
      </c>
      <c r="AD159">
        <f t="shared" si="5"/>
        <v>2</v>
      </c>
    </row>
    <row r="160" spans="1:30" x14ac:dyDescent="0.25">
      <c r="A160" t="s">
        <v>184</v>
      </c>
      <c r="B160" s="2">
        <v>44855</v>
      </c>
      <c r="C160" s="2">
        <v>44859</v>
      </c>
      <c r="D160" t="s">
        <v>5055</v>
      </c>
      <c r="E160" t="s">
        <v>5555</v>
      </c>
      <c r="F160" t="s">
        <v>6028</v>
      </c>
      <c r="G160" t="s">
        <v>6029</v>
      </c>
      <c r="H160" t="s">
        <v>6032</v>
      </c>
      <c r="I160" t="s">
        <v>6050</v>
      </c>
      <c r="J160" t="s">
        <v>6055</v>
      </c>
      <c r="K160" t="s">
        <v>6061</v>
      </c>
      <c r="L160" t="s">
        <v>6222</v>
      </c>
      <c r="M160">
        <v>1066.6300000000001</v>
      </c>
      <c r="N160">
        <v>4</v>
      </c>
      <c r="O160">
        <v>0.32</v>
      </c>
      <c r="P160">
        <v>-106.39</v>
      </c>
      <c r="Q160" t="s">
        <v>9895</v>
      </c>
      <c r="R160">
        <v>4</v>
      </c>
      <c r="S160" s="5">
        <f t="shared" si="4"/>
        <v>-9.9744053701845997E-2</v>
      </c>
      <c r="T160">
        <v>266.65750000000003</v>
      </c>
      <c r="U160">
        <v>10</v>
      </c>
      <c r="V160">
        <v>2022</v>
      </c>
      <c r="W160">
        <v>4</v>
      </c>
      <c r="X160" t="s">
        <v>9898</v>
      </c>
      <c r="Y160" t="s">
        <v>9902</v>
      </c>
      <c r="Z160" t="s">
        <v>9898</v>
      </c>
      <c r="AD160">
        <f t="shared" si="5"/>
        <v>4</v>
      </c>
    </row>
    <row r="161" spans="1:30" x14ac:dyDescent="0.25">
      <c r="A161" t="s">
        <v>185</v>
      </c>
      <c r="B161" s="2">
        <v>45293</v>
      </c>
      <c r="C161" s="2">
        <v>45294</v>
      </c>
      <c r="D161" t="s">
        <v>5124</v>
      </c>
      <c r="E161" t="s">
        <v>5624</v>
      </c>
      <c r="F161" t="s">
        <v>6027</v>
      </c>
      <c r="G161" t="s">
        <v>6030</v>
      </c>
      <c r="H161" t="s">
        <v>6035</v>
      </c>
      <c r="I161" t="s">
        <v>6051</v>
      </c>
      <c r="J161" t="s">
        <v>6053</v>
      </c>
      <c r="K161" t="s">
        <v>6058</v>
      </c>
      <c r="L161" t="s">
        <v>6075</v>
      </c>
      <c r="M161">
        <v>1866.47</v>
      </c>
      <c r="N161">
        <v>8</v>
      </c>
      <c r="O161">
        <v>0.2</v>
      </c>
      <c r="P161">
        <v>94.17</v>
      </c>
      <c r="Q161" t="s">
        <v>9897</v>
      </c>
      <c r="R161">
        <v>1</v>
      </c>
      <c r="S161" s="5">
        <f t="shared" si="4"/>
        <v>5.0453529925474291E-2</v>
      </c>
      <c r="T161">
        <v>233.30875</v>
      </c>
      <c r="U161">
        <v>1</v>
      </c>
      <c r="V161">
        <v>2024</v>
      </c>
      <c r="W161">
        <v>1</v>
      </c>
      <c r="X161" t="s">
        <v>9899</v>
      </c>
      <c r="Y161" t="s">
        <v>9900</v>
      </c>
      <c r="Z161" t="s">
        <v>9898</v>
      </c>
      <c r="AD161">
        <f t="shared" si="5"/>
        <v>1</v>
      </c>
    </row>
    <row r="162" spans="1:30" x14ac:dyDescent="0.25">
      <c r="A162" t="s">
        <v>186</v>
      </c>
      <c r="B162" s="2">
        <v>45022</v>
      </c>
      <c r="C162" s="2">
        <v>45026</v>
      </c>
      <c r="D162" t="s">
        <v>5165</v>
      </c>
      <c r="E162" t="s">
        <v>5665</v>
      </c>
      <c r="F162" t="s">
        <v>6027</v>
      </c>
      <c r="G162" t="s">
        <v>6029</v>
      </c>
      <c r="H162" t="s">
        <v>6045</v>
      </c>
      <c r="I162" t="s">
        <v>6050</v>
      </c>
      <c r="J162" t="s">
        <v>6054</v>
      </c>
      <c r="K162" t="s">
        <v>6059</v>
      </c>
      <c r="L162" t="s">
        <v>6223</v>
      </c>
      <c r="M162">
        <v>1436.84</v>
      </c>
      <c r="N162">
        <v>4</v>
      </c>
      <c r="O162">
        <v>0.21</v>
      </c>
      <c r="P162">
        <v>90.42</v>
      </c>
      <c r="Q162" t="s">
        <v>9896</v>
      </c>
      <c r="R162">
        <v>4</v>
      </c>
      <c r="S162" s="5">
        <f t="shared" si="4"/>
        <v>6.2929762534450609E-2</v>
      </c>
      <c r="T162">
        <v>359.21</v>
      </c>
      <c r="U162">
        <v>4</v>
      </c>
      <c r="V162">
        <v>2023</v>
      </c>
      <c r="W162">
        <v>2</v>
      </c>
      <c r="X162" t="s">
        <v>9899</v>
      </c>
      <c r="Y162" t="s">
        <v>9900</v>
      </c>
      <c r="Z162" t="s">
        <v>9898</v>
      </c>
      <c r="AD162">
        <f t="shared" si="5"/>
        <v>4</v>
      </c>
    </row>
    <row r="163" spans="1:30" x14ac:dyDescent="0.25">
      <c r="A163" t="s">
        <v>187</v>
      </c>
      <c r="B163" s="2">
        <v>44832</v>
      </c>
      <c r="C163" s="2">
        <v>44836</v>
      </c>
      <c r="D163" t="s">
        <v>5166</v>
      </c>
      <c r="E163" t="s">
        <v>5666</v>
      </c>
      <c r="F163" t="s">
        <v>6027</v>
      </c>
      <c r="G163" t="s">
        <v>6030</v>
      </c>
      <c r="H163" t="s">
        <v>6038</v>
      </c>
      <c r="I163" t="s">
        <v>6047</v>
      </c>
      <c r="J163" t="s">
        <v>6055</v>
      </c>
      <c r="K163" t="s">
        <v>6061</v>
      </c>
      <c r="L163" t="s">
        <v>6224</v>
      </c>
      <c r="M163">
        <v>1204.92</v>
      </c>
      <c r="N163">
        <v>3</v>
      </c>
      <c r="O163">
        <v>0.32</v>
      </c>
      <c r="P163">
        <v>-184.63</v>
      </c>
      <c r="Q163" t="s">
        <v>9897</v>
      </c>
      <c r="R163">
        <v>4</v>
      </c>
      <c r="S163" s="5">
        <f t="shared" si="4"/>
        <v>-0.15323008996447895</v>
      </c>
      <c r="T163">
        <v>401.64</v>
      </c>
      <c r="U163">
        <v>9</v>
      </c>
      <c r="V163">
        <v>2022</v>
      </c>
      <c r="W163">
        <v>3</v>
      </c>
      <c r="X163" t="s">
        <v>9898</v>
      </c>
      <c r="Y163" t="s">
        <v>9902</v>
      </c>
      <c r="Z163" t="s">
        <v>9898</v>
      </c>
      <c r="AD163">
        <f t="shared" si="5"/>
        <v>4</v>
      </c>
    </row>
    <row r="164" spans="1:30" x14ac:dyDescent="0.25">
      <c r="A164" t="s">
        <v>188</v>
      </c>
      <c r="B164" s="2">
        <v>45455</v>
      </c>
      <c r="C164" s="2">
        <v>45460</v>
      </c>
      <c r="D164" t="s">
        <v>5167</v>
      </c>
      <c r="E164" t="s">
        <v>5667</v>
      </c>
      <c r="F164" t="s">
        <v>6028</v>
      </c>
      <c r="G164" t="s">
        <v>6030</v>
      </c>
      <c r="H164" t="s">
        <v>6038</v>
      </c>
      <c r="I164" t="s">
        <v>6047</v>
      </c>
      <c r="J164" t="s">
        <v>6055</v>
      </c>
      <c r="K164" t="s">
        <v>6064</v>
      </c>
      <c r="L164" t="s">
        <v>6225</v>
      </c>
      <c r="M164">
        <v>1322.6</v>
      </c>
      <c r="N164">
        <v>7</v>
      </c>
      <c r="O164">
        <v>0.08</v>
      </c>
      <c r="P164">
        <v>44.72</v>
      </c>
      <c r="Q164" t="s">
        <v>9897</v>
      </c>
      <c r="R164">
        <v>5</v>
      </c>
      <c r="S164" s="5">
        <f t="shared" si="4"/>
        <v>3.3812188114320282E-2</v>
      </c>
      <c r="T164">
        <v>188.94285714285709</v>
      </c>
      <c r="U164">
        <v>6</v>
      </c>
      <c r="V164">
        <v>2024</v>
      </c>
      <c r="W164">
        <v>2</v>
      </c>
      <c r="X164" t="s">
        <v>9899</v>
      </c>
      <c r="Y164" t="s">
        <v>9901</v>
      </c>
      <c r="Z164" t="s">
        <v>9898</v>
      </c>
      <c r="AD164">
        <f t="shared" si="5"/>
        <v>5</v>
      </c>
    </row>
    <row r="165" spans="1:30" x14ac:dyDescent="0.25">
      <c r="A165" t="s">
        <v>189</v>
      </c>
      <c r="B165" s="2">
        <v>45450</v>
      </c>
      <c r="C165" s="2">
        <v>45451</v>
      </c>
      <c r="D165" t="s">
        <v>5168</v>
      </c>
      <c r="E165" t="s">
        <v>5668</v>
      </c>
      <c r="F165" t="s">
        <v>6026</v>
      </c>
      <c r="G165" t="s">
        <v>6030</v>
      </c>
      <c r="H165" t="s">
        <v>6038</v>
      </c>
      <c r="I165" t="s">
        <v>6051</v>
      </c>
      <c r="J165" t="s">
        <v>6053</v>
      </c>
      <c r="K165" t="s">
        <v>6057</v>
      </c>
      <c r="L165" t="s">
        <v>6226</v>
      </c>
      <c r="M165">
        <v>621.66</v>
      </c>
      <c r="N165">
        <v>3</v>
      </c>
      <c r="O165">
        <v>0.02</v>
      </c>
      <c r="P165">
        <v>163.31</v>
      </c>
      <c r="Q165" t="s">
        <v>9893</v>
      </c>
      <c r="R165">
        <v>1</v>
      </c>
      <c r="S165" s="5">
        <f t="shared" si="4"/>
        <v>0.26269986809510021</v>
      </c>
      <c r="T165">
        <v>207.22</v>
      </c>
      <c r="U165">
        <v>6</v>
      </c>
      <c r="V165">
        <v>2024</v>
      </c>
      <c r="W165">
        <v>2</v>
      </c>
      <c r="X165" t="s">
        <v>9899</v>
      </c>
      <c r="Y165" t="s">
        <v>9901</v>
      </c>
      <c r="Z165" t="s">
        <v>9899</v>
      </c>
      <c r="AD165">
        <f t="shared" si="5"/>
        <v>1</v>
      </c>
    </row>
    <row r="166" spans="1:30" x14ac:dyDescent="0.25">
      <c r="A166" t="s">
        <v>190</v>
      </c>
      <c r="B166" s="2">
        <v>45427</v>
      </c>
      <c r="C166" s="2">
        <v>45433</v>
      </c>
      <c r="D166" t="s">
        <v>5069</v>
      </c>
      <c r="E166" t="s">
        <v>5569</v>
      </c>
      <c r="F166" t="s">
        <v>6027</v>
      </c>
      <c r="G166" t="s">
        <v>6030</v>
      </c>
      <c r="H166" t="s">
        <v>6039</v>
      </c>
      <c r="I166" t="s">
        <v>6047</v>
      </c>
      <c r="J166" t="s">
        <v>6055</v>
      </c>
      <c r="K166" t="s">
        <v>6063</v>
      </c>
      <c r="L166" t="s">
        <v>6227</v>
      </c>
      <c r="M166">
        <v>890.32</v>
      </c>
      <c r="N166">
        <v>8</v>
      </c>
      <c r="O166">
        <v>0.16</v>
      </c>
      <c r="P166">
        <v>14.48</v>
      </c>
      <c r="Q166" t="s">
        <v>9894</v>
      </c>
      <c r="R166">
        <v>6</v>
      </c>
      <c r="S166" s="5">
        <f t="shared" si="4"/>
        <v>1.6263815257435529E-2</v>
      </c>
      <c r="T166">
        <v>111.29</v>
      </c>
      <c r="U166">
        <v>5</v>
      </c>
      <c r="V166">
        <v>2024</v>
      </c>
      <c r="W166">
        <v>2</v>
      </c>
      <c r="X166" t="s">
        <v>9899</v>
      </c>
      <c r="Y166" t="s">
        <v>9900</v>
      </c>
      <c r="Z166" t="s">
        <v>9899</v>
      </c>
      <c r="AD166">
        <f t="shared" si="5"/>
        <v>6</v>
      </c>
    </row>
    <row r="167" spans="1:30" x14ac:dyDescent="0.25">
      <c r="A167" t="s">
        <v>191</v>
      </c>
      <c r="B167" s="2">
        <v>45270</v>
      </c>
      <c r="C167" s="2">
        <v>45271</v>
      </c>
      <c r="D167" t="s">
        <v>5169</v>
      </c>
      <c r="E167" t="s">
        <v>5669</v>
      </c>
      <c r="F167" t="s">
        <v>6028</v>
      </c>
      <c r="G167" t="s">
        <v>6031</v>
      </c>
      <c r="H167" t="s">
        <v>6037</v>
      </c>
      <c r="I167" t="s">
        <v>6050</v>
      </c>
      <c r="J167" t="s">
        <v>6055</v>
      </c>
      <c r="K167" t="s">
        <v>6063</v>
      </c>
      <c r="L167" t="s">
        <v>6228</v>
      </c>
      <c r="M167">
        <v>364.67</v>
      </c>
      <c r="N167">
        <v>1</v>
      </c>
      <c r="O167">
        <v>0.06</v>
      </c>
      <c r="P167">
        <v>37.57</v>
      </c>
      <c r="Q167" t="s">
        <v>9894</v>
      </c>
      <c r="R167">
        <v>1</v>
      </c>
      <c r="S167" s="5">
        <f t="shared" si="4"/>
        <v>0.10302465242548056</v>
      </c>
      <c r="T167">
        <v>364.67</v>
      </c>
      <c r="U167">
        <v>12</v>
      </c>
      <c r="V167">
        <v>2023</v>
      </c>
      <c r="W167">
        <v>4</v>
      </c>
      <c r="X167" t="s">
        <v>9899</v>
      </c>
      <c r="Y167" t="s">
        <v>9901</v>
      </c>
      <c r="Z167" t="s">
        <v>9899</v>
      </c>
      <c r="AD167">
        <f t="shared" si="5"/>
        <v>1</v>
      </c>
    </row>
    <row r="168" spans="1:30" x14ac:dyDescent="0.25">
      <c r="A168" t="s">
        <v>192</v>
      </c>
      <c r="B168" s="2">
        <v>45055</v>
      </c>
      <c r="C168" s="2">
        <v>45057</v>
      </c>
      <c r="D168" t="s">
        <v>5156</v>
      </c>
      <c r="E168" t="s">
        <v>5656</v>
      </c>
      <c r="F168" t="s">
        <v>6028</v>
      </c>
      <c r="G168" t="s">
        <v>6031</v>
      </c>
      <c r="H168" t="s">
        <v>6043</v>
      </c>
      <c r="I168" t="s">
        <v>6048</v>
      </c>
      <c r="J168" t="s">
        <v>6053</v>
      </c>
      <c r="K168" t="s">
        <v>6058</v>
      </c>
      <c r="L168" t="s">
        <v>6229</v>
      </c>
      <c r="M168">
        <v>669.74</v>
      </c>
      <c r="N168">
        <v>8</v>
      </c>
      <c r="O168">
        <v>0.23</v>
      </c>
      <c r="P168">
        <v>-6.48</v>
      </c>
      <c r="Q168" t="s">
        <v>9897</v>
      </c>
      <c r="R168">
        <v>2</v>
      </c>
      <c r="S168" s="5">
        <f t="shared" si="4"/>
        <v>-9.6753964224923113E-3</v>
      </c>
      <c r="T168">
        <v>83.717500000000001</v>
      </c>
      <c r="U168">
        <v>5</v>
      </c>
      <c r="V168">
        <v>2023</v>
      </c>
      <c r="W168">
        <v>2</v>
      </c>
      <c r="X168" t="s">
        <v>9898</v>
      </c>
      <c r="Y168" t="s">
        <v>9900</v>
      </c>
      <c r="Z168" t="s">
        <v>9899</v>
      </c>
      <c r="AD168">
        <f t="shared" si="5"/>
        <v>2</v>
      </c>
    </row>
    <row r="169" spans="1:30" x14ac:dyDescent="0.25">
      <c r="A169" t="s">
        <v>193</v>
      </c>
      <c r="B169" s="2">
        <v>44603</v>
      </c>
      <c r="C169" s="2">
        <v>44605</v>
      </c>
      <c r="D169" t="s">
        <v>5170</v>
      </c>
      <c r="E169" t="s">
        <v>5670</v>
      </c>
      <c r="F169" t="s">
        <v>6026</v>
      </c>
      <c r="G169" t="s">
        <v>6029</v>
      </c>
      <c r="H169" t="s">
        <v>6032</v>
      </c>
      <c r="I169" t="s">
        <v>6046</v>
      </c>
      <c r="J169" t="s">
        <v>6054</v>
      </c>
      <c r="K169" t="s">
        <v>6062</v>
      </c>
      <c r="L169" t="s">
        <v>6230</v>
      </c>
      <c r="M169">
        <v>1045.3699999999999</v>
      </c>
      <c r="N169">
        <v>7</v>
      </c>
      <c r="O169">
        <v>0.11</v>
      </c>
      <c r="P169">
        <v>39</v>
      </c>
      <c r="Q169" t="s">
        <v>9897</v>
      </c>
      <c r="R169">
        <v>2</v>
      </c>
      <c r="S169" s="5">
        <f t="shared" si="4"/>
        <v>3.7307364856462306E-2</v>
      </c>
      <c r="T169">
        <v>149.33857142857141</v>
      </c>
      <c r="U169">
        <v>2</v>
      </c>
      <c r="V169">
        <v>2022</v>
      </c>
      <c r="W169">
        <v>1</v>
      </c>
      <c r="X169" t="s">
        <v>9899</v>
      </c>
      <c r="Y169" t="s">
        <v>9901</v>
      </c>
      <c r="Z169" t="s">
        <v>9898</v>
      </c>
      <c r="AD169">
        <f t="shared" si="5"/>
        <v>2</v>
      </c>
    </row>
    <row r="170" spans="1:30" x14ac:dyDescent="0.25">
      <c r="A170" t="s">
        <v>194</v>
      </c>
      <c r="B170" s="2">
        <v>45226</v>
      </c>
      <c r="C170" s="2">
        <v>45229</v>
      </c>
      <c r="D170" t="s">
        <v>5171</v>
      </c>
      <c r="E170" t="s">
        <v>5671</v>
      </c>
      <c r="F170" t="s">
        <v>6027</v>
      </c>
      <c r="G170" t="s">
        <v>6031</v>
      </c>
      <c r="H170" t="s">
        <v>6043</v>
      </c>
      <c r="I170" t="s">
        <v>6048</v>
      </c>
      <c r="J170" t="s">
        <v>6053</v>
      </c>
      <c r="K170" t="s">
        <v>6057</v>
      </c>
      <c r="L170" t="s">
        <v>6231</v>
      </c>
      <c r="M170">
        <v>1226.0999999999999</v>
      </c>
      <c r="N170">
        <v>1</v>
      </c>
      <c r="O170">
        <v>0.26</v>
      </c>
      <c r="P170">
        <v>14.97</v>
      </c>
      <c r="Q170" t="s">
        <v>9896</v>
      </c>
      <c r="R170">
        <v>3</v>
      </c>
      <c r="S170" s="5">
        <f t="shared" si="4"/>
        <v>1.2209444580376805E-2</v>
      </c>
      <c r="T170">
        <v>1226.0999999999999</v>
      </c>
      <c r="U170">
        <v>10</v>
      </c>
      <c r="V170">
        <v>2023</v>
      </c>
      <c r="W170">
        <v>4</v>
      </c>
      <c r="X170" t="s">
        <v>9899</v>
      </c>
      <c r="Y170" t="s">
        <v>9900</v>
      </c>
      <c r="Z170" t="s">
        <v>9898</v>
      </c>
      <c r="AD170">
        <f t="shared" si="5"/>
        <v>3</v>
      </c>
    </row>
    <row r="171" spans="1:30" x14ac:dyDescent="0.25">
      <c r="A171" t="s">
        <v>195</v>
      </c>
      <c r="B171" s="2">
        <v>45317</v>
      </c>
      <c r="C171" s="2">
        <v>45324</v>
      </c>
      <c r="D171" t="s">
        <v>5172</v>
      </c>
      <c r="E171" t="s">
        <v>5672</v>
      </c>
      <c r="F171" t="s">
        <v>6026</v>
      </c>
      <c r="G171" t="s">
        <v>6029</v>
      </c>
      <c r="H171" t="s">
        <v>6045</v>
      </c>
      <c r="I171" t="s">
        <v>6046</v>
      </c>
      <c r="J171" t="s">
        <v>6053</v>
      </c>
      <c r="K171" t="s">
        <v>6057</v>
      </c>
      <c r="L171" t="s">
        <v>6232</v>
      </c>
      <c r="M171">
        <v>1894.75</v>
      </c>
      <c r="N171">
        <v>4</v>
      </c>
      <c r="O171">
        <v>0.04</v>
      </c>
      <c r="P171">
        <v>125.16</v>
      </c>
      <c r="Q171" t="s">
        <v>9896</v>
      </c>
      <c r="R171">
        <v>7</v>
      </c>
      <c r="S171" s="5">
        <f t="shared" si="4"/>
        <v>6.6056207943000392E-2</v>
      </c>
      <c r="T171">
        <v>473.6875</v>
      </c>
      <c r="U171">
        <v>1</v>
      </c>
      <c r="V171">
        <v>2024</v>
      </c>
      <c r="W171">
        <v>1</v>
      </c>
      <c r="X171" t="s">
        <v>9899</v>
      </c>
      <c r="Y171" t="s">
        <v>9901</v>
      </c>
      <c r="Z171" t="s">
        <v>9898</v>
      </c>
      <c r="AD171">
        <f t="shared" si="5"/>
        <v>7</v>
      </c>
    </row>
    <row r="172" spans="1:30" x14ac:dyDescent="0.25">
      <c r="A172" t="s">
        <v>196</v>
      </c>
      <c r="B172" s="2">
        <v>44750</v>
      </c>
      <c r="C172" s="2">
        <v>44752</v>
      </c>
      <c r="D172" t="s">
        <v>5173</v>
      </c>
      <c r="E172" t="s">
        <v>5673</v>
      </c>
      <c r="F172" t="s">
        <v>6027</v>
      </c>
      <c r="G172" t="s">
        <v>6031</v>
      </c>
      <c r="H172" t="s">
        <v>6043</v>
      </c>
      <c r="I172" t="s">
        <v>6048</v>
      </c>
      <c r="J172" t="s">
        <v>6055</v>
      </c>
      <c r="K172" t="s">
        <v>6061</v>
      </c>
      <c r="L172" t="s">
        <v>6233</v>
      </c>
      <c r="M172">
        <v>1145.4000000000001</v>
      </c>
      <c r="N172">
        <v>4</v>
      </c>
      <c r="O172">
        <v>0.24</v>
      </c>
      <c r="P172">
        <v>-140.83000000000001</v>
      </c>
      <c r="Q172" t="s">
        <v>9895</v>
      </c>
      <c r="R172">
        <v>2</v>
      </c>
      <c r="S172" s="5">
        <f t="shared" si="4"/>
        <v>-0.12295268028636284</v>
      </c>
      <c r="T172">
        <v>286.35000000000002</v>
      </c>
      <c r="U172">
        <v>7</v>
      </c>
      <c r="V172">
        <v>2022</v>
      </c>
      <c r="W172">
        <v>3</v>
      </c>
      <c r="X172" t="s">
        <v>9898</v>
      </c>
      <c r="Y172" t="s">
        <v>9900</v>
      </c>
      <c r="Z172" t="s">
        <v>9898</v>
      </c>
      <c r="AD172">
        <f t="shared" si="5"/>
        <v>2</v>
      </c>
    </row>
    <row r="173" spans="1:30" x14ac:dyDescent="0.25">
      <c r="A173" t="s">
        <v>197</v>
      </c>
      <c r="B173" s="2">
        <v>44644</v>
      </c>
      <c r="C173" s="2">
        <v>44646</v>
      </c>
      <c r="D173" t="s">
        <v>5174</v>
      </c>
      <c r="E173" t="s">
        <v>5674</v>
      </c>
      <c r="F173" t="s">
        <v>6027</v>
      </c>
      <c r="G173" t="s">
        <v>6031</v>
      </c>
      <c r="H173" t="s">
        <v>6042</v>
      </c>
      <c r="I173" t="s">
        <v>6048</v>
      </c>
      <c r="J173" t="s">
        <v>6055</v>
      </c>
      <c r="K173" t="s">
        <v>6061</v>
      </c>
      <c r="L173" t="s">
        <v>6234</v>
      </c>
      <c r="M173">
        <v>1850.17</v>
      </c>
      <c r="N173">
        <v>8</v>
      </c>
      <c r="O173">
        <v>0.22</v>
      </c>
      <c r="P173">
        <v>-52.26</v>
      </c>
      <c r="Q173" t="s">
        <v>9893</v>
      </c>
      <c r="R173">
        <v>2</v>
      </c>
      <c r="S173" s="5">
        <f t="shared" si="4"/>
        <v>-2.8246053065393989E-2</v>
      </c>
      <c r="T173">
        <v>231.27125000000001</v>
      </c>
      <c r="U173">
        <v>3</v>
      </c>
      <c r="V173">
        <v>2022</v>
      </c>
      <c r="W173">
        <v>1</v>
      </c>
      <c r="X173" t="s">
        <v>9898</v>
      </c>
      <c r="Y173" t="s">
        <v>9900</v>
      </c>
      <c r="Z173" t="s">
        <v>9898</v>
      </c>
      <c r="AD173">
        <f t="shared" si="5"/>
        <v>2</v>
      </c>
    </row>
    <row r="174" spans="1:30" x14ac:dyDescent="0.25">
      <c r="A174" t="s">
        <v>198</v>
      </c>
      <c r="B174" s="2">
        <v>44871</v>
      </c>
      <c r="C174" s="2">
        <v>44873</v>
      </c>
      <c r="D174" t="s">
        <v>5043</v>
      </c>
      <c r="E174" t="s">
        <v>5543</v>
      </c>
      <c r="F174" t="s">
        <v>6027</v>
      </c>
      <c r="G174" t="s">
        <v>6031</v>
      </c>
      <c r="H174" t="s">
        <v>6042</v>
      </c>
      <c r="I174" t="s">
        <v>6048</v>
      </c>
      <c r="J174" t="s">
        <v>6053</v>
      </c>
      <c r="K174" t="s">
        <v>6058</v>
      </c>
      <c r="L174" t="s">
        <v>6235</v>
      </c>
      <c r="M174">
        <v>1521.13</v>
      </c>
      <c r="N174">
        <v>8</v>
      </c>
      <c r="O174">
        <v>0.09</v>
      </c>
      <c r="P174">
        <v>264.58</v>
      </c>
      <c r="Q174" t="s">
        <v>9893</v>
      </c>
      <c r="R174">
        <v>2</v>
      </c>
      <c r="S174" s="5">
        <f t="shared" si="4"/>
        <v>0.17393648143156729</v>
      </c>
      <c r="T174">
        <v>190.14125000000001</v>
      </c>
      <c r="U174">
        <v>11</v>
      </c>
      <c r="V174">
        <v>2022</v>
      </c>
      <c r="W174">
        <v>4</v>
      </c>
      <c r="X174" t="s">
        <v>9899</v>
      </c>
      <c r="Y174" t="s">
        <v>9901</v>
      </c>
      <c r="Z174" t="s">
        <v>9898</v>
      </c>
      <c r="AD174">
        <f t="shared" si="5"/>
        <v>2</v>
      </c>
    </row>
    <row r="175" spans="1:30" x14ac:dyDescent="0.25">
      <c r="A175" t="s">
        <v>199</v>
      </c>
      <c r="B175" s="2">
        <v>45185</v>
      </c>
      <c r="C175" s="2">
        <v>45189</v>
      </c>
      <c r="D175" t="s">
        <v>5152</v>
      </c>
      <c r="E175" t="s">
        <v>5652</v>
      </c>
      <c r="F175" t="s">
        <v>6027</v>
      </c>
      <c r="G175" t="s">
        <v>6030</v>
      </c>
      <c r="H175" t="s">
        <v>6038</v>
      </c>
      <c r="I175" t="s">
        <v>6047</v>
      </c>
      <c r="J175" t="s">
        <v>6055</v>
      </c>
      <c r="K175" t="s">
        <v>6063</v>
      </c>
      <c r="L175" t="s">
        <v>6236</v>
      </c>
      <c r="M175">
        <v>1549.24</v>
      </c>
      <c r="N175">
        <v>3</v>
      </c>
      <c r="O175">
        <v>0.28000000000000003</v>
      </c>
      <c r="P175">
        <v>-276.95</v>
      </c>
      <c r="Q175" t="s">
        <v>9894</v>
      </c>
      <c r="R175">
        <v>4</v>
      </c>
      <c r="S175" s="5">
        <f t="shared" si="4"/>
        <v>-0.17876507190622498</v>
      </c>
      <c r="T175">
        <v>516.4133333333333</v>
      </c>
      <c r="U175">
        <v>9</v>
      </c>
      <c r="V175">
        <v>2023</v>
      </c>
      <c r="W175">
        <v>3</v>
      </c>
      <c r="X175" t="s">
        <v>9898</v>
      </c>
      <c r="Y175" t="s">
        <v>9900</v>
      </c>
      <c r="Z175" t="s">
        <v>9898</v>
      </c>
      <c r="AD175">
        <f t="shared" si="5"/>
        <v>4</v>
      </c>
    </row>
    <row r="176" spans="1:30" x14ac:dyDescent="0.25">
      <c r="A176" t="s">
        <v>200</v>
      </c>
      <c r="B176" s="2">
        <v>45085</v>
      </c>
      <c r="C176" s="2">
        <v>45091</v>
      </c>
      <c r="D176" t="s">
        <v>5175</v>
      </c>
      <c r="E176" t="s">
        <v>5675</v>
      </c>
      <c r="F176" t="s">
        <v>6027</v>
      </c>
      <c r="G176" t="s">
        <v>6031</v>
      </c>
      <c r="H176" t="s">
        <v>6042</v>
      </c>
      <c r="I176" t="s">
        <v>6050</v>
      </c>
      <c r="J176" t="s">
        <v>6055</v>
      </c>
      <c r="K176" t="s">
        <v>6063</v>
      </c>
      <c r="L176" t="s">
        <v>6237</v>
      </c>
      <c r="M176">
        <v>809.4</v>
      </c>
      <c r="N176">
        <v>6</v>
      </c>
      <c r="O176">
        <v>0.16</v>
      </c>
      <c r="P176">
        <v>35.590000000000003</v>
      </c>
      <c r="Q176" t="s">
        <v>9894</v>
      </c>
      <c r="R176">
        <v>6</v>
      </c>
      <c r="S176" s="5">
        <f t="shared" si="4"/>
        <v>4.397084259945639E-2</v>
      </c>
      <c r="T176">
        <v>134.9</v>
      </c>
      <c r="U176">
        <v>6</v>
      </c>
      <c r="V176">
        <v>2023</v>
      </c>
      <c r="W176">
        <v>2</v>
      </c>
      <c r="X176" t="s">
        <v>9899</v>
      </c>
      <c r="Y176" t="s">
        <v>9900</v>
      </c>
      <c r="Z176" t="s">
        <v>9899</v>
      </c>
      <c r="AD176">
        <f t="shared" si="5"/>
        <v>6</v>
      </c>
    </row>
    <row r="177" spans="1:30" x14ac:dyDescent="0.25">
      <c r="A177" t="s">
        <v>201</v>
      </c>
      <c r="B177" s="2">
        <v>45009</v>
      </c>
      <c r="C177" s="2">
        <v>45015</v>
      </c>
      <c r="D177" t="s">
        <v>5148</v>
      </c>
      <c r="E177" t="s">
        <v>5648</v>
      </c>
      <c r="F177" t="s">
        <v>6027</v>
      </c>
      <c r="G177" t="s">
        <v>6029</v>
      </c>
      <c r="H177" t="s">
        <v>6036</v>
      </c>
      <c r="I177" t="s">
        <v>6046</v>
      </c>
      <c r="J177" t="s">
        <v>6053</v>
      </c>
      <c r="K177" t="s">
        <v>6058</v>
      </c>
      <c r="L177" t="s">
        <v>6238</v>
      </c>
      <c r="M177">
        <v>1738.26</v>
      </c>
      <c r="N177">
        <v>3</v>
      </c>
      <c r="O177">
        <v>0.28000000000000003</v>
      </c>
      <c r="P177">
        <v>-97.13</v>
      </c>
      <c r="Q177" t="s">
        <v>9894</v>
      </c>
      <c r="R177">
        <v>6</v>
      </c>
      <c r="S177" s="5">
        <f t="shared" si="4"/>
        <v>-5.5877716797257025E-2</v>
      </c>
      <c r="T177">
        <v>579.41999999999996</v>
      </c>
      <c r="U177">
        <v>3</v>
      </c>
      <c r="V177">
        <v>2023</v>
      </c>
      <c r="W177">
        <v>1</v>
      </c>
      <c r="X177" t="s">
        <v>9898</v>
      </c>
      <c r="Y177" t="s">
        <v>9900</v>
      </c>
      <c r="Z177" t="s">
        <v>9898</v>
      </c>
      <c r="AD177">
        <f t="shared" si="5"/>
        <v>6</v>
      </c>
    </row>
    <row r="178" spans="1:30" x14ac:dyDescent="0.25">
      <c r="A178" t="s">
        <v>202</v>
      </c>
      <c r="B178" s="2">
        <v>44637</v>
      </c>
      <c r="C178" s="2">
        <v>44642</v>
      </c>
      <c r="D178" t="s">
        <v>5176</v>
      </c>
      <c r="E178" t="s">
        <v>5676</v>
      </c>
      <c r="F178" t="s">
        <v>6026</v>
      </c>
      <c r="G178" t="s">
        <v>6031</v>
      </c>
      <c r="H178" t="s">
        <v>6040</v>
      </c>
      <c r="I178" t="s">
        <v>6048</v>
      </c>
      <c r="J178" t="s">
        <v>6054</v>
      </c>
      <c r="K178" t="s">
        <v>6062</v>
      </c>
      <c r="L178" t="s">
        <v>6239</v>
      </c>
      <c r="M178">
        <v>911.09</v>
      </c>
      <c r="N178">
        <v>5</v>
      </c>
      <c r="O178">
        <v>0.3</v>
      </c>
      <c r="P178">
        <v>-119.56</v>
      </c>
      <c r="Q178" t="s">
        <v>9897</v>
      </c>
      <c r="R178">
        <v>5</v>
      </c>
      <c r="S178" s="5">
        <f t="shared" si="4"/>
        <v>-0.13122743087949598</v>
      </c>
      <c r="T178">
        <v>182.21799999999999</v>
      </c>
      <c r="U178">
        <v>3</v>
      </c>
      <c r="V178">
        <v>2022</v>
      </c>
      <c r="W178">
        <v>1</v>
      </c>
      <c r="X178" t="s">
        <v>9898</v>
      </c>
      <c r="Y178" t="s">
        <v>9900</v>
      </c>
      <c r="Z178" t="s">
        <v>9899</v>
      </c>
      <c r="AD178">
        <f t="shared" si="5"/>
        <v>5</v>
      </c>
    </row>
    <row r="179" spans="1:30" x14ac:dyDescent="0.25">
      <c r="A179" t="s">
        <v>203</v>
      </c>
      <c r="B179" s="2">
        <v>44951</v>
      </c>
      <c r="C179" s="2">
        <v>44952</v>
      </c>
      <c r="D179" t="s">
        <v>5043</v>
      </c>
      <c r="E179" t="s">
        <v>5543</v>
      </c>
      <c r="F179" t="s">
        <v>6026</v>
      </c>
      <c r="G179" t="s">
        <v>6030</v>
      </c>
      <c r="H179" t="s">
        <v>6039</v>
      </c>
      <c r="I179" t="s">
        <v>6047</v>
      </c>
      <c r="J179" t="s">
        <v>6055</v>
      </c>
      <c r="K179" t="s">
        <v>6064</v>
      </c>
      <c r="L179" t="s">
        <v>6240</v>
      </c>
      <c r="M179">
        <v>708.35</v>
      </c>
      <c r="N179">
        <v>2</v>
      </c>
      <c r="O179">
        <v>0.28000000000000003</v>
      </c>
      <c r="P179">
        <v>-64.34</v>
      </c>
      <c r="Q179" t="s">
        <v>9896</v>
      </c>
      <c r="R179">
        <v>1</v>
      </c>
      <c r="S179" s="5">
        <f t="shared" si="4"/>
        <v>-9.08308039810828E-2</v>
      </c>
      <c r="T179">
        <v>354.17500000000001</v>
      </c>
      <c r="U179">
        <v>1</v>
      </c>
      <c r="V179">
        <v>2023</v>
      </c>
      <c r="W179">
        <v>1</v>
      </c>
      <c r="X179" t="s">
        <v>9898</v>
      </c>
      <c r="Y179" t="s">
        <v>9900</v>
      </c>
      <c r="Z179" t="s">
        <v>9899</v>
      </c>
      <c r="AD179">
        <f t="shared" si="5"/>
        <v>1</v>
      </c>
    </row>
    <row r="180" spans="1:30" x14ac:dyDescent="0.25">
      <c r="A180" t="s">
        <v>204</v>
      </c>
      <c r="B180" s="2">
        <v>44642</v>
      </c>
      <c r="C180" s="2">
        <v>44648</v>
      </c>
      <c r="D180" t="s">
        <v>5120</v>
      </c>
      <c r="E180" t="s">
        <v>5620</v>
      </c>
      <c r="F180" t="s">
        <v>6026</v>
      </c>
      <c r="G180" t="s">
        <v>6030</v>
      </c>
      <c r="H180" t="s">
        <v>6038</v>
      </c>
      <c r="I180" t="s">
        <v>6051</v>
      </c>
      <c r="J180" t="s">
        <v>6053</v>
      </c>
      <c r="K180" t="s">
        <v>6058</v>
      </c>
      <c r="L180" t="s">
        <v>6169</v>
      </c>
      <c r="M180">
        <v>1231.18</v>
      </c>
      <c r="N180">
        <v>2</v>
      </c>
      <c r="O180">
        <v>0.31</v>
      </c>
      <c r="P180">
        <v>-238.3</v>
      </c>
      <c r="Q180" t="s">
        <v>9897</v>
      </c>
      <c r="R180">
        <v>6</v>
      </c>
      <c r="S180" s="5">
        <f t="shared" si="4"/>
        <v>-0.19355415130200296</v>
      </c>
      <c r="T180">
        <v>615.59</v>
      </c>
      <c r="U180">
        <v>3</v>
      </c>
      <c r="V180">
        <v>2022</v>
      </c>
      <c r="W180">
        <v>1</v>
      </c>
      <c r="X180" t="s">
        <v>9898</v>
      </c>
      <c r="Y180" t="s">
        <v>9902</v>
      </c>
      <c r="Z180" t="s">
        <v>9898</v>
      </c>
      <c r="AD180">
        <f t="shared" si="5"/>
        <v>6</v>
      </c>
    </row>
    <row r="181" spans="1:30" x14ac:dyDescent="0.25">
      <c r="A181" t="s">
        <v>205</v>
      </c>
      <c r="B181" s="2">
        <v>45070</v>
      </c>
      <c r="C181" s="2">
        <v>45071</v>
      </c>
      <c r="D181" t="s">
        <v>5177</v>
      </c>
      <c r="E181" t="s">
        <v>5677</v>
      </c>
      <c r="F181" t="s">
        <v>6028</v>
      </c>
      <c r="G181" t="s">
        <v>6029</v>
      </c>
      <c r="H181" t="s">
        <v>6044</v>
      </c>
      <c r="I181" t="s">
        <v>6046</v>
      </c>
      <c r="J181" t="s">
        <v>6053</v>
      </c>
      <c r="K181" t="s">
        <v>6058</v>
      </c>
      <c r="L181" t="s">
        <v>6241</v>
      </c>
      <c r="M181">
        <v>1645.67</v>
      </c>
      <c r="N181">
        <v>5</v>
      </c>
      <c r="O181">
        <v>0.28000000000000003</v>
      </c>
      <c r="P181">
        <v>-256.7</v>
      </c>
      <c r="Q181" t="s">
        <v>9897</v>
      </c>
      <c r="R181">
        <v>1</v>
      </c>
      <c r="S181" s="5">
        <f t="shared" si="4"/>
        <v>-0.15598510029349746</v>
      </c>
      <c r="T181">
        <v>329.13400000000001</v>
      </c>
      <c r="U181">
        <v>5</v>
      </c>
      <c r="V181">
        <v>2023</v>
      </c>
      <c r="W181">
        <v>2</v>
      </c>
      <c r="X181" t="s">
        <v>9898</v>
      </c>
      <c r="Y181" t="s">
        <v>9900</v>
      </c>
      <c r="Z181" t="s">
        <v>9898</v>
      </c>
      <c r="AD181">
        <f t="shared" si="5"/>
        <v>1</v>
      </c>
    </row>
    <row r="182" spans="1:30" x14ac:dyDescent="0.25">
      <c r="A182" t="s">
        <v>206</v>
      </c>
      <c r="B182" s="2">
        <v>44903</v>
      </c>
      <c r="C182" s="2">
        <v>44905</v>
      </c>
      <c r="D182" t="s">
        <v>5178</v>
      </c>
      <c r="E182" t="s">
        <v>5678</v>
      </c>
      <c r="F182" t="s">
        <v>6028</v>
      </c>
      <c r="G182" t="s">
        <v>6030</v>
      </c>
      <c r="H182" t="s">
        <v>6038</v>
      </c>
      <c r="I182" t="s">
        <v>6047</v>
      </c>
      <c r="J182" t="s">
        <v>6054</v>
      </c>
      <c r="K182" t="s">
        <v>6059</v>
      </c>
      <c r="L182" t="s">
        <v>6242</v>
      </c>
      <c r="M182">
        <v>1825.41</v>
      </c>
      <c r="N182">
        <v>6</v>
      </c>
      <c r="O182">
        <v>0.15</v>
      </c>
      <c r="P182">
        <v>-54.25</v>
      </c>
      <c r="Q182" t="s">
        <v>9894</v>
      </c>
      <c r="R182">
        <v>2</v>
      </c>
      <c r="S182" s="5">
        <f t="shared" si="4"/>
        <v>-2.9719350721207839E-2</v>
      </c>
      <c r="T182">
        <v>304.23500000000001</v>
      </c>
      <c r="U182">
        <v>12</v>
      </c>
      <c r="V182">
        <v>2022</v>
      </c>
      <c r="W182">
        <v>4</v>
      </c>
      <c r="X182" t="s">
        <v>9898</v>
      </c>
      <c r="Y182" t="s">
        <v>9901</v>
      </c>
      <c r="Z182" t="s">
        <v>9898</v>
      </c>
      <c r="AD182">
        <f t="shared" si="5"/>
        <v>2</v>
      </c>
    </row>
    <row r="183" spans="1:30" x14ac:dyDescent="0.25">
      <c r="A183" t="s">
        <v>207</v>
      </c>
      <c r="B183" s="2">
        <v>44611</v>
      </c>
      <c r="C183" s="2">
        <v>44613</v>
      </c>
      <c r="D183" t="s">
        <v>5179</v>
      </c>
      <c r="E183" t="s">
        <v>5679</v>
      </c>
      <c r="F183" t="s">
        <v>6026</v>
      </c>
      <c r="G183" t="s">
        <v>6029</v>
      </c>
      <c r="H183" t="s">
        <v>6044</v>
      </c>
      <c r="I183" t="s">
        <v>6049</v>
      </c>
      <c r="J183" t="s">
        <v>6055</v>
      </c>
      <c r="K183" t="s">
        <v>6063</v>
      </c>
      <c r="L183" t="s">
        <v>6243</v>
      </c>
      <c r="M183">
        <v>1258.58</v>
      </c>
      <c r="N183">
        <v>4</v>
      </c>
      <c r="O183">
        <v>0.12</v>
      </c>
      <c r="P183">
        <v>226.22</v>
      </c>
      <c r="Q183" t="s">
        <v>9896</v>
      </c>
      <c r="R183">
        <v>2</v>
      </c>
      <c r="S183" s="5">
        <f t="shared" si="4"/>
        <v>0.17974224920148105</v>
      </c>
      <c r="T183">
        <v>314.64499999999998</v>
      </c>
      <c r="U183">
        <v>2</v>
      </c>
      <c r="V183">
        <v>2022</v>
      </c>
      <c r="W183">
        <v>1</v>
      </c>
      <c r="X183" t="s">
        <v>9899</v>
      </c>
      <c r="Y183" t="s">
        <v>9901</v>
      </c>
      <c r="Z183" t="s">
        <v>9898</v>
      </c>
      <c r="AD183">
        <f t="shared" si="5"/>
        <v>2</v>
      </c>
    </row>
    <row r="184" spans="1:30" x14ac:dyDescent="0.25">
      <c r="A184" t="s">
        <v>208</v>
      </c>
      <c r="B184" s="2">
        <v>44973</v>
      </c>
      <c r="C184" s="2">
        <v>44979</v>
      </c>
      <c r="D184" t="s">
        <v>5180</v>
      </c>
      <c r="E184" t="s">
        <v>5680</v>
      </c>
      <c r="F184" t="s">
        <v>6027</v>
      </c>
      <c r="G184" t="s">
        <v>6029</v>
      </c>
      <c r="H184" t="s">
        <v>6044</v>
      </c>
      <c r="I184" t="s">
        <v>6050</v>
      </c>
      <c r="J184" t="s">
        <v>6053</v>
      </c>
      <c r="K184" t="s">
        <v>6058</v>
      </c>
      <c r="L184" t="s">
        <v>6244</v>
      </c>
      <c r="M184">
        <v>1700.23</v>
      </c>
      <c r="N184">
        <v>1</v>
      </c>
      <c r="O184">
        <v>0.13</v>
      </c>
      <c r="P184">
        <v>31.55</v>
      </c>
      <c r="Q184" t="s">
        <v>9894</v>
      </c>
      <c r="R184">
        <v>6</v>
      </c>
      <c r="S184" s="5">
        <f t="shared" si="4"/>
        <v>1.8556312969421784E-2</v>
      </c>
      <c r="T184">
        <v>1700.23</v>
      </c>
      <c r="U184">
        <v>2</v>
      </c>
      <c r="V184">
        <v>2023</v>
      </c>
      <c r="W184">
        <v>1</v>
      </c>
      <c r="X184" t="s">
        <v>9899</v>
      </c>
      <c r="Y184" t="s">
        <v>9901</v>
      </c>
      <c r="Z184" t="s">
        <v>9898</v>
      </c>
      <c r="AD184">
        <f t="shared" si="5"/>
        <v>6</v>
      </c>
    </row>
    <row r="185" spans="1:30" x14ac:dyDescent="0.25">
      <c r="A185" t="s">
        <v>209</v>
      </c>
      <c r="B185" s="2">
        <v>44885</v>
      </c>
      <c r="C185" s="2">
        <v>44887</v>
      </c>
      <c r="D185" t="s">
        <v>5181</v>
      </c>
      <c r="E185" t="s">
        <v>5681</v>
      </c>
      <c r="F185" t="s">
        <v>6026</v>
      </c>
      <c r="G185" t="s">
        <v>6031</v>
      </c>
      <c r="H185" t="s">
        <v>6037</v>
      </c>
      <c r="I185" t="s">
        <v>6048</v>
      </c>
      <c r="J185" t="s">
        <v>6054</v>
      </c>
      <c r="K185" t="s">
        <v>6059</v>
      </c>
      <c r="L185" t="s">
        <v>6245</v>
      </c>
      <c r="M185">
        <v>1895.65</v>
      </c>
      <c r="N185">
        <v>8</v>
      </c>
      <c r="O185">
        <v>0.11</v>
      </c>
      <c r="P185">
        <v>-13.34</v>
      </c>
      <c r="Q185" t="s">
        <v>9894</v>
      </c>
      <c r="R185">
        <v>2</v>
      </c>
      <c r="S185" s="5">
        <f t="shared" si="4"/>
        <v>-7.0371640334449918E-3</v>
      </c>
      <c r="T185">
        <v>236.95625000000001</v>
      </c>
      <c r="U185">
        <v>11</v>
      </c>
      <c r="V185">
        <v>2022</v>
      </c>
      <c r="W185">
        <v>4</v>
      </c>
      <c r="X185" t="s">
        <v>9898</v>
      </c>
      <c r="Y185" t="s">
        <v>9901</v>
      </c>
      <c r="Z185" t="s">
        <v>9898</v>
      </c>
      <c r="AD185">
        <f t="shared" si="5"/>
        <v>2</v>
      </c>
    </row>
    <row r="186" spans="1:30" x14ac:dyDescent="0.25">
      <c r="A186" t="s">
        <v>210</v>
      </c>
      <c r="B186" s="2">
        <v>45206</v>
      </c>
      <c r="C186" s="2">
        <v>45211</v>
      </c>
      <c r="D186" t="s">
        <v>5182</v>
      </c>
      <c r="E186" t="s">
        <v>5682</v>
      </c>
      <c r="F186" t="s">
        <v>6026</v>
      </c>
      <c r="G186" t="s">
        <v>6031</v>
      </c>
      <c r="H186" t="s">
        <v>6034</v>
      </c>
      <c r="I186" t="s">
        <v>6048</v>
      </c>
      <c r="J186" t="s">
        <v>6055</v>
      </c>
      <c r="K186" t="s">
        <v>6061</v>
      </c>
      <c r="L186" t="s">
        <v>6246</v>
      </c>
      <c r="M186">
        <v>347.52</v>
      </c>
      <c r="N186">
        <v>7</v>
      </c>
      <c r="O186">
        <v>0.19</v>
      </c>
      <c r="P186">
        <v>10.7</v>
      </c>
      <c r="Q186" t="s">
        <v>9894</v>
      </c>
      <c r="R186">
        <v>5</v>
      </c>
      <c r="S186" s="5">
        <f t="shared" si="4"/>
        <v>3.0789594843462248E-2</v>
      </c>
      <c r="T186">
        <v>49.645714285714277</v>
      </c>
      <c r="U186">
        <v>10</v>
      </c>
      <c r="V186">
        <v>2023</v>
      </c>
      <c r="W186">
        <v>4</v>
      </c>
      <c r="X186" t="s">
        <v>9899</v>
      </c>
      <c r="Y186" t="s">
        <v>9900</v>
      </c>
      <c r="Z186" t="s">
        <v>9899</v>
      </c>
      <c r="AD186">
        <f t="shared" si="5"/>
        <v>5</v>
      </c>
    </row>
    <row r="187" spans="1:30" x14ac:dyDescent="0.25">
      <c r="A187" t="s">
        <v>211</v>
      </c>
      <c r="B187" s="2">
        <v>45400</v>
      </c>
      <c r="C187" s="2">
        <v>45405</v>
      </c>
      <c r="D187" t="s">
        <v>5183</v>
      </c>
      <c r="E187" t="s">
        <v>5683</v>
      </c>
      <c r="F187" t="s">
        <v>6028</v>
      </c>
      <c r="G187" t="s">
        <v>6029</v>
      </c>
      <c r="H187" t="s">
        <v>6036</v>
      </c>
      <c r="I187" t="s">
        <v>6046</v>
      </c>
      <c r="J187" t="s">
        <v>6053</v>
      </c>
      <c r="K187" t="s">
        <v>6058</v>
      </c>
      <c r="L187" t="s">
        <v>6247</v>
      </c>
      <c r="M187">
        <v>1817.63</v>
      </c>
      <c r="N187">
        <v>1</v>
      </c>
      <c r="O187">
        <v>0.09</v>
      </c>
      <c r="P187">
        <v>98.83</v>
      </c>
      <c r="Q187" t="s">
        <v>9895</v>
      </c>
      <c r="R187">
        <v>5</v>
      </c>
      <c r="S187" s="5">
        <f t="shared" si="4"/>
        <v>5.4373002206169571E-2</v>
      </c>
      <c r="T187">
        <v>1817.63</v>
      </c>
      <c r="U187">
        <v>4</v>
      </c>
      <c r="V187">
        <v>2024</v>
      </c>
      <c r="W187">
        <v>2</v>
      </c>
      <c r="X187" t="s">
        <v>9899</v>
      </c>
      <c r="Y187" t="s">
        <v>9901</v>
      </c>
      <c r="Z187" t="s">
        <v>9898</v>
      </c>
      <c r="AD187">
        <f t="shared" si="5"/>
        <v>5</v>
      </c>
    </row>
    <row r="188" spans="1:30" x14ac:dyDescent="0.25">
      <c r="A188" t="s">
        <v>212</v>
      </c>
      <c r="B188" s="2">
        <v>45144</v>
      </c>
      <c r="C188" s="2">
        <v>45146</v>
      </c>
      <c r="D188" t="s">
        <v>5184</v>
      </c>
      <c r="E188" t="s">
        <v>5684</v>
      </c>
      <c r="F188" t="s">
        <v>6027</v>
      </c>
      <c r="G188" t="s">
        <v>6029</v>
      </c>
      <c r="H188" t="s">
        <v>6041</v>
      </c>
      <c r="I188" t="s">
        <v>6046</v>
      </c>
      <c r="J188" t="s">
        <v>6055</v>
      </c>
      <c r="K188" t="s">
        <v>6063</v>
      </c>
      <c r="L188" t="s">
        <v>6248</v>
      </c>
      <c r="M188">
        <v>647.66999999999996</v>
      </c>
      <c r="N188">
        <v>6</v>
      </c>
      <c r="O188">
        <v>0.25</v>
      </c>
      <c r="P188">
        <v>-8.85</v>
      </c>
      <c r="Q188" t="s">
        <v>9897</v>
      </c>
      <c r="R188">
        <v>2</v>
      </c>
      <c r="S188" s="5">
        <f t="shared" si="4"/>
        <v>-1.3664366112372041E-2</v>
      </c>
      <c r="T188">
        <v>107.94499999999999</v>
      </c>
      <c r="U188">
        <v>8</v>
      </c>
      <c r="V188">
        <v>2023</v>
      </c>
      <c r="W188">
        <v>3</v>
      </c>
      <c r="X188" t="s">
        <v>9898</v>
      </c>
      <c r="Y188" t="s">
        <v>9900</v>
      </c>
      <c r="Z188" t="s">
        <v>9899</v>
      </c>
      <c r="AD188">
        <f t="shared" si="5"/>
        <v>2</v>
      </c>
    </row>
    <row r="189" spans="1:30" x14ac:dyDescent="0.25">
      <c r="A189" t="s">
        <v>213</v>
      </c>
      <c r="B189" s="2">
        <v>45288</v>
      </c>
      <c r="C189" s="2">
        <v>45290</v>
      </c>
      <c r="D189" t="s">
        <v>5185</v>
      </c>
      <c r="E189" t="s">
        <v>5685</v>
      </c>
      <c r="F189" t="s">
        <v>6027</v>
      </c>
      <c r="G189" t="s">
        <v>6030</v>
      </c>
      <c r="H189" t="s">
        <v>6033</v>
      </c>
      <c r="I189" t="s">
        <v>6047</v>
      </c>
      <c r="J189" t="s">
        <v>6054</v>
      </c>
      <c r="K189" t="s">
        <v>6060</v>
      </c>
      <c r="L189" t="s">
        <v>6249</v>
      </c>
      <c r="M189">
        <v>1868.42</v>
      </c>
      <c r="N189">
        <v>4</v>
      </c>
      <c r="O189">
        <v>0.16</v>
      </c>
      <c r="P189">
        <v>-4.54</v>
      </c>
      <c r="Q189" t="s">
        <v>9895</v>
      </c>
      <c r="R189">
        <v>2</v>
      </c>
      <c r="S189" s="5">
        <f t="shared" si="4"/>
        <v>-2.429860523865084E-3</v>
      </c>
      <c r="T189">
        <v>467.10500000000002</v>
      </c>
      <c r="U189">
        <v>12</v>
      </c>
      <c r="V189">
        <v>2023</v>
      </c>
      <c r="W189">
        <v>4</v>
      </c>
      <c r="X189" t="s">
        <v>9898</v>
      </c>
      <c r="Y189" t="s">
        <v>9900</v>
      </c>
      <c r="Z189" t="s">
        <v>9898</v>
      </c>
      <c r="AD189">
        <f t="shared" si="5"/>
        <v>2</v>
      </c>
    </row>
    <row r="190" spans="1:30" x14ac:dyDescent="0.25">
      <c r="A190" t="s">
        <v>214</v>
      </c>
      <c r="B190" s="2">
        <v>45404</v>
      </c>
      <c r="C190" s="2">
        <v>45411</v>
      </c>
      <c r="D190" t="s">
        <v>5186</v>
      </c>
      <c r="E190" t="s">
        <v>5686</v>
      </c>
      <c r="F190" t="s">
        <v>6027</v>
      </c>
      <c r="G190" t="s">
        <v>6029</v>
      </c>
      <c r="H190" t="s">
        <v>6041</v>
      </c>
      <c r="I190" t="s">
        <v>6050</v>
      </c>
      <c r="J190" t="s">
        <v>6055</v>
      </c>
      <c r="K190" t="s">
        <v>6064</v>
      </c>
      <c r="L190" t="s">
        <v>6250</v>
      </c>
      <c r="M190">
        <v>733.73</v>
      </c>
      <c r="N190">
        <v>7</v>
      </c>
      <c r="O190">
        <v>0.02</v>
      </c>
      <c r="P190">
        <v>162.69</v>
      </c>
      <c r="Q190" t="s">
        <v>9895</v>
      </c>
      <c r="R190">
        <v>7</v>
      </c>
      <c r="S190" s="5">
        <f t="shared" si="4"/>
        <v>0.2217300641925504</v>
      </c>
      <c r="T190">
        <v>104.8185714285714</v>
      </c>
      <c r="U190">
        <v>4</v>
      </c>
      <c r="V190">
        <v>2024</v>
      </c>
      <c r="W190">
        <v>2</v>
      </c>
      <c r="X190" t="s">
        <v>9899</v>
      </c>
      <c r="Y190" t="s">
        <v>9901</v>
      </c>
      <c r="Z190" t="s">
        <v>9899</v>
      </c>
      <c r="AD190">
        <f t="shared" si="5"/>
        <v>7</v>
      </c>
    </row>
    <row r="191" spans="1:30" x14ac:dyDescent="0.25">
      <c r="A191" t="s">
        <v>215</v>
      </c>
      <c r="B191" s="2">
        <v>44892</v>
      </c>
      <c r="C191" s="2">
        <v>44894</v>
      </c>
      <c r="D191" t="s">
        <v>5097</v>
      </c>
      <c r="E191" t="s">
        <v>5597</v>
      </c>
      <c r="F191" t="s">
        <v>6027</v>
      </c>
      <c r="G191" t="s">
        <v>6029</v>
      </c>
      <c r="H191" t="s">
        <v>6032</v>
      </c>
      <c r="I191" t="s">
        <v>6049</v>
      </c>
      <c r="J191" t="s">
        <v>6053</v>
      </c>
      <c r="K191" t="s">
        <v>6057</v>
      </c>
      <c r="L191" t="s">
        <v>6251</v>
      </c>
      <c r="M191">
        <v>1214.28</v>
      </c>
      <c r="N191">
        <v>6</v>
      </c>
      <c r="O191">
        <v>0.19</v>
      </c>
      <c r="P191">
        <v>77</v>
      </c>
      <c r="Q191" t="s">
        <v>9893</v>
      </c>
      <c r="R191">
        <v>2</v>
      </c>
      <c r="S191" s="5">
        <f t="shared" si="4"/>
        <v>6.3412063115591139E-2</v>
      </c>
      <c r="T191">
        <v>202.38</v>
      </c>
      <c r="U191">
        <v>11</v>
      </c>
      <c r="V191">
        <v>2022</v>
      </c>
      <c r="W191">
        <v>4</v>
      </c>
      <c r="X191" t="s">
        <v>9899</v>
      </c>
      <c r="Y191" t="s">
        <v>9900</v>
      </c>
      <c r="Z191" t="s">
        <v>9898</v>
      </c>
      <c r="AD191">
        <f t="shared" si="5"/>
        <v>2</v>
      </c>
    </row>
    <row r="192" spans="1:30" x14ac:dyDescent="0.25">
      <c r="A192" t="s">
        <v>216</v>
      </c>
      <c r="B192" s="2">
        <v>44596</v>
      </c>
      <c r="C192" s="2">
        <v>44601</v>
      </c>
      <c r="D192" t="s">
        <v>5187</v>
      </c>
      <c r="E192" t="s">
        <v>5687</v>
      </c>
      <c r="F192" t="s">
        <v>6026</v>
      </c>
      <c r="G192" t="s">
        <v>6031</v>
      </c>
      <c r="H192" t="s">
        <v>6042</v>
      </c>
      <c r="I192" t="s">
        <v>6052</v>
      </c>
      <c r="J192" t="s">
        <v>6055</v>
      </c>
      <c r="K192" t="s">
        <v>6064</v>
      </c>
      <c r="L192" t="s">
        <v>6252</v>
      </c>
      <c r="M192">
        <v>1615.73</v>
      </c>
      <c r="N192">
        <v>2</v>
      </c>
      <c r="O192">
        <v>0.14000000000000001</v>
      </c>
      <c r="P192">
        <v>50.92</v>
      </c>
      <c r="Q192" t="s">
        <v>9897</v>
      </c>
      <c r="R192">
        <v>5</v>
      </c>
      <c r="S192" s="5">
        <f t="shared" si="4"/>
        <v>3.1515166519158526E-2</v>
      </c>
      <c r="T192">
        <v>807.86500000000001</v>
      </c>
      <c r="U192">
        <v>2</v>
      </c>
      <c r="V192">
        <v>2022</v>
      </c>
      <c r="W192">
        <v>1</v>
      </c>
      <c r="X192" t="s">
        <v>9899</v>
      </c>
      <c r="Y192" t="s">
        <v>9901</v>
      </c>
      <c r="Z192" t="s">
        <v>9898</v>
      </c>
      <c r="AD192">
        <f t="shared" si="5"/>
        <v>5</v>
      </c>
    </row>
    <row r="193" spans="1:30" x14ac:dyDescent="0.25">
      <c r="A193" t="s">
        <v>217</v>
      </c>
      <c r="B193" s="2">
        <v>45430</v>
      </c>
      <c r="C193" s="2">
        <v>45437</v>
      </c>
      <c r="D193" t="s">
        <v>5188</v>
      </c>
      <c r="E193" t="s">
        <v>5688</v>
      </c>
      <c r="F193" t="s">
        <v>6026</v>
      </c>
      <c r="G193" t="s">
        <v>6030</v>
      </c>
      <c r="H193" t="s">
        <v>6039</v>
      </c>
      <c r="I193" t="s">
        <v>6051</v>
      </c>
      <c r="J193" t="s">
        <v>6054</v>
      </c>
      <c r="K193" t="s">
        <v>6062</v>
      </c>
      <c r="L193" t="s">
        <v>6253</v>
      </c>
      <c r="M193">
        <v>214.09</v>
      </c>
      <c r="N193">
        <v>3</v>
      </c>
      <c r="O193">
        <v>0.01</v>
      </c>
      <c r="P193">
        <v>46.56</v>
      </c>
      <c r="Q193" t="s">
        <v>9896</v>
      </c>
      <c r="R193">
        <v>7</v>
      </c>
      <c r="S193" s="5">
        <f t="shared" si="4"/>
        <v>0.21747863048250737</v>
      </c>
      <c r="T193">
        <v>71.36333333333333</v>
      </c>
      <c r="U193">
        <v>5</v>
      </c>
      <c r="V193">
        <v>2024</v>
      </c>
      <c r="W193">
        <v>2</v>
      </c>
      <c r="X193" t="s">
        <v>9899</v>
      </c>
      <c r="Y193" t="s">
        <v>9901</v>
      </c>
      <c r="Z193" t="s">
        <v>9899</v>
      </c>
      <c r="AD193">
        <f t="shared" si="5"/>
        <v>7</v>
      </c>
    </row>
    <row r="194" spans="1:30" x14ac:dyDescent="0.25">
      <c r="A194" t="s">
        <v>218</v>
      </c>
      <c r="B194" s="2">
        <v>44700</v>
      </c>
      <c r="C194" s="2">
        <v>44707</v>
      </c>
      <c r="D194" t="s">
        <v>5189</v>
      </c>
      <c r="E194" t="s">
        <v>5689</v>
      </c>
      <c r="F194" t="s">
        <v>6027</v>
      </c>
      <c r="G194" t="s">
        <v>6030</v>
      </c>
      <c r="H194" t="s">
        <v>6033</v>
      </c>
      <c r="I194" t="s">
        <v>6047</v>
      </c>
      <c r="J194" t="s">
        <v>6054</v>
      </c>
      <c r="K194" t="s">
        <v>6062</v>
      </c>
      <c r="L194" t="s">
        <v>6254</v>
      </c>
      <c r="M194">
        <v>495.79</v>
      </c>
      <c r="N194">
        <v>1</v>
      </c>
      <c r="O194">
        <v>0.34</v>
      </c>
      <c r="P194">
        <v>-81</v>
      </c>
      <c r="Q194" t="s">
        <v>9897</v>
      </c>
      <c r="R194">
        <v>7</v>
      </c>
      <c r="S194" s="5">
        <f t="shared" si="4"/>
        <v>-0.16337562274350026</v>
      </c>
      <c r="T194">
        <v>495.79</v>
      </c>
      <c r="U194">
        <v>5</v>
      </c>
      <c r="V194">
        <v>2022</v>
      </c>
      <c r="W194">
        <v>2</v>
      </c>
      <c r="X194" t="s">
        <v>9898</v>
      </c>
      <c r="Y194" t="s">
        <v>9902</v>
      </c>
      <c r="Z194" t="s">
        <v>9899</v>
      </c>
      <c r="AD194">
        <f t="shared" si="5"/>
        <v>7</v>
      </c>
    </row>
    <row r="195" spans="1:30" x14ac:dyDescent="0.25">
      <c r="A195" t="s">
        <v>219</v>
      </c>
      <c r="B195" s="2">
        <v>44809</v>
      </c>
      <c r="C195" s="2">
        <v>44812</v>
      </c>
      <c r="D195" t="s">
        <v>5094</v>
      </c>
      <c r="E195" t="s">
        <v>5594</v>
      </c>
      <c r="F195" t="s">
        <v>6027</v>
      </c>
      <c r="G195" t="s">
        <v>6030</v>
      </c>
      <c r="H195" t="s">
        <v>6033</v>
      </c>
      <c r="I195" t="s">
        <v>6051</v>
      </c>
      <c r="J195" t="s">
        <v>6054</v>
      </c>
      <c r="K195" t="s">
        <v>6060</v>
      </c>
      <c r="L195" t="s">
        <v>6255</v>
      </c>
      <c r="M195">
        <v>1702.61</v>
      </c>
      <c r="N195">
        <v>2</v>
      </c>
      <c r="O195">
        <v>0.11</v>
      </c>
      <c r="P195">
        <v>209.94</v>
      </c>
      <c r="Q195" t="s">
        <v>9893</v>
      </c>
      <c r="R195">
        <v>3</v>
      </c>
      <c r="S195" s="5">
        <f t="shared" ref="S195:S258" si="6">P195/M195</f>
        <v>0.12330480849989135</v>
      </c>
      <c r="T195">
        <v>851.30499999999995</v>
      </c>
      <c r="U195">
        <v>9</v>
      </c>
      <c r="V195">
        <v>2022</v>
      </c>
      <c r="W195">
        <v>3</v>
      </c>
      <c r="X195" t="s">
        <v>9899</v>
      </c>
      <c r="Y195" t="s">
        <v>9901</v>
      </c>
      <c r="Z195" t="s">
        <v>9898</v>
      </c>
      <c r="AD195">
        <f t="shared" ref="AD195:AD258" si="7">C195-B195</f>
        <v>3</v>
      </c>
    </row>
    <row r="196" spans="1:30" x14ac:dyDescent="0.25">
      <c r="A196" t="s">
        <v>220</v>
      </c>
      <c r="B196" s="2">
        <v>45265</v>
      </c>
      <c r="C196" s="2">
        <v>45268</v>
      </c>
      <c r="D196" t="s">
        <v>5190</v>
      </c>
      <c r="E196" t="s">
        <v>5690</v>
      </c>
      <c r="F196" t="s">
        <v>6028</v>
      </c>
      <c r="G196" t="s">
        <v>6030</v>
      </c>
      <c r="H196" t="s">
        <v>6033</v>
      </c>
      <c r="I196" t="s">
        <v>6051</v>
      </c>
      <c r="J196" t="s">
        <v>6053</v>
      </c>
      <c r="K196" t="s">
        <v>6057</v>
      </c>
      <c r="L196" t="s">
        <v>6256</v>
      </c>
      <c r="M196">
        <v>629.54</v>
      </c>
      <c r="N196">
        <v>7</v>
      </c>
      <c r="O196">
        <v>0.02</v>
      </c>
      <c r="P196">
        <v>116.83</v>
      </c>
      <c r="Q196" t="s">
        <v>9896</v>
      </c>
      <c r="R196">
        <v>3</v>
      </c>
      <c r="S196" s="5">
        <f t="shared" si="6"/>
        <v>0.185579947263081</v>
      </c>
      <c r="T196">
        <v>89.934285714285707</v>
      </c>
      <c r="U196">
        <v>12</v>
      </c>
      <c r="V196">
        <v>2023</v>
      </c>
      <c r="W196">
        <v>4</v>
      </c>
      <c r="X196" t="s">
        <v>9899</v>
      </c>
      <c r="Y196" t="s">
        <v>9901</v>
      </c>
      <c r="Z196" t="s">
        <v>9899</v>
      </c>
      <c r="AD196">
        <f t="shared" si="7"/>
        <v>3</v>
      </c>
    </row>
    <row r="197" spans="1:30" x14ac:dyDescent="0.25">
      <c r="A197" t="s">
        <v>221</v>
      </c>
      <c r="B197" s="2">
        <v>44611</v>
      </c>
      <c r="C197" s="2">
        <v>44617</v>
      </c>
      <c r="D197" t="s">
        <v>5106</v>
      </c>
      <c r="E197" t="s">
        <v>5606</v>
      </c>
      <c r="F197" t="s">
        <v>6028</v>
      </c>
      <c r="G197" t="s">
        <v>6029</v>
      </c>
      <c r="H197" t="s">
        <v>6044</v>
      </c>
      <c r="I197" t="s">
        <v>6046</v>
      </c>
      <c r="J197" t="s">
        <v>6053</v>
      </c>
      <c r="K197" t="s">
        <v>6058</v>
      </c>
      <c r="L197" t="s">
        <v>6257</v>
      </c>
      <c r="M197">
        <v>216.56</v>
      </c>
      <c r="N197">
        <v>3</v>
      </c>
      <c r="O197">
        <v>0.04</v>
      </c>
      <c r="P197">
        <v>39.28</v>
      </c>
      <c r="Q197" t="s">
        <v>9895</v>
      </c>
      <c r="R197">
        <v>6</v>
      </c>
      <c r="S197" s="5">
        <f t="shared" si="6"/>
        <v>0.18138160325083119</v>
      </c>
      <c r="T197">
        <v>72.186666666666667</v>
      </c>
      <c r="U197">
        <v>2</v>
      </c>
      <c r="V197">
        <v>2022</v>
      </c>
      <c r="W197">
        <v>1</v>
      </c>
      <c r="X197" t="s">
        <v>9899</v>
      </c>
      <c r="Y197" t="s">
        <v>9901</v>
      </c>
      <c r="Z197" t="s">
        <v>9899</v>
      </c>
      <c r="AD197">
        <f t="shared" si="7"/>
        <v>6</v>
      </c>
    </row>
    <row r="198" spans="1:30" x14ac:dyDescent="0.25">
      <c r="A198" t="s">
        <v>222</v>
      </c>
      <c r="B198" s="2">
        <v>45188</v>
      </c>
      <c r="C198" s="2">
        <v>45195</v>
      </c>
      <c r="D198" t="s">
        <v>5191</v>
      </c>
      <c r="E198" t="s">
        <v>5691</v>
      </c>
      <c r="F198" t="s">
        <v>6027</v>
      </c>
      <c r="G198" t="s">
        <v>6031</v>
      </c>
      <c r="H198" t="s">
        <v>6043</v>
      </c>
      <c r="I198" t="s">
        <v>6052</v>
      </c>
      <c r="J198" t="s">
        <v>6054</v>
      </c>
      <c r="K198" t="s">
        <v>6060</v>
      </c>
      <c r="L198" t="s">
        <v>6258</v>
      </c>
      <c r="M198">
        <v>1829.87</v>
      </c>
      <c r="N198">
        <v>5</v>
      </c>
      <c r="O198">
        <v>0.27</v>
      </c>
      <c r="P198">
        <v>47.55</v>
      </c>
      <c r="Q198" t="s">
        <v>9894</v>
      </c>
      <c r="R198">
        <v>7</v>
      </c>
      <c r="S198" s="5">
        <f t="shared" si="6"/>
        <v>2.5985452518484921E-2</v>
      </c>
      <c r="T198">
        <v>365.97399999999999</v>
      </c>
      <c r="U198">
        <v>9</v>
      </c>
      <c r="V198">
        <v>2023</v>
      </c>
      <c r="W198">
        <v>3</v>
      </c>
      <c r="X198" t="s">
        <v>9899</v>
      </c>
      <c r="Y198" t="s">
        <v>9900</v>
      </c>
      <c r="Z198" t="s">
        <v>9898</v>
      </c>
      <c r="AD198">
        <f t="shared" si="7"/>
        <v>7</v>
      </c>
    </row>
    <row r="199" spans="1:30" x14ac:dyDescent="0.25">
      <c r="A199" t="s">
        <v>223</v>
      </c>
      <c r="B199" s="2">
        <v>45326</v>
      </c>
      <c r="C199" s="2">
        <v>45330</v>
      </c>
      <c r="D199" t="s">
        <v>5094</v>
      </c>
      <c r="E199" t="s">
        <v>5594</v>
      </c>
      <c r="F199" t="s">
        <v>6027</v>
      </c>
      <c r="G199" t="s">
        <v>6031</v>
      </c>
      <c r="H199" t="s">
        <v>6043</v>
      </c>
      <c r="I199" t="s">
        <v>6052</v>
      </c>
      <c r="J199" t="s">
        <v>6053</v>
      </c>
      <c r="K199" t="s">
        <v>6057</v>
      </c>
      <c r="L199" t="s">
        <v>6259</v>
      </c>
      <c r="M199">
        <v>959.51</v>
      </c>
      <c r="N199">
        <v>8</v>
      </c>
      <c r="O199">
        <v>0.14000000000000001</v>
      </c>
      <c r="P199">
        <v>75.23</v>
      </c>
      <c r="Q199" t="s">
        <v>9896</v>
      </c>
      <c r="R199">
        <v>4</v>
      </c>
      <c r="S199" s="5">
        <f t="shared" si="6"/>
        <v>7.8404602349115698E-2</v>
      </c>
      <c r="T199">
        <v>119.93875</v>
      </c>
      <c r="U199">
        <v>2</v>
      </c>
      <c r="V199">
        <v>2024</v>
      </c>
      <c r="W199">
        <v>1</v>
      </c>
      <c r="X199" t="s">
        <v>9899</v>
      </c>
      <c r="Y199" t="s">
        <v>9901</v>
      </c>
      <c r="Z199" t="s">
        <v>9899</v>
      </c>
      <c r="AD199">
        <f t="shared" si="7"/>
        <v>4</v>
      </c>
    </row>
    <row r="200" spans="1:30" x14ac:dyDescent="0.25">
      <c r="A200" t="s">
        <v>224</v>
      </c>
      <c r="B200" s="2">
        <v>44971</v>
      </c>
      <c r="C200" s="2">
        <v>44972</v>
      </c>
      <c r="D200" t="s">
        <v>5192</v>
      </c>
      <c r="E200" t="s">
        <v>5692</v>
      </c>
      <c r="F200" t="s">
        <v>6026</v>
      </c>
      <c r="G200" t="s">
        <v>6029</v>
      </c>
      <c r="H200" t="s">
        <v>6032</v>
      </c>
      <c r="I200" t="s">
        <v>6049</v>
      </c>
      <c r="J200" t="s">
        <v>6053</v>
      </c>
      <c r="K200" t="s">
        <v>6058</v>
      </c>
      <c r="L200" t="s">
        <v>6260</v>
      </c>
      <c r="M200">
        <v>1092.07</v>
      </c>
      <c r="N200">
        <v>8</v>
      </c>
      <c r="O200">
        <v>0.18</v>
      </c>
      <c r="P200">
        <v>117.17</v>
      </c>
      <c r="Q200" t="s">
        <v>9893</v>
      </c>
      <c r="R200">
        <v>1</v>
      </c>
      <c r="S200" s="5">
        <f t="shared" si="6"/>
        <v>0.10729165712820607</v>
      </c>
      <c r="T200">
        <v>136.50874999999999</v>
      </c>
      <c r="U200">
        <v>2</v>
      </c>
      <c r="V200">
        <v>2023</v>
      </c>
      <c r="W200">
        <v>1</v>
      </c>
      <c r="X200" t="s">
        <v>9899</v>
      </c>
      <c r="Y200" t="s">
        <v>9900</v>
      </c>
      <c r="Z200" t="s">
        <v>9898</v>
      </c>
      <c r="AD200">
        <f t="shared" si="7"/>
        <v>1</v>
      </c>
    </row>
    <row r="201" spans="1:30" x14ac:dyDescent="0.25">
      <c r="A201" t="s">
        <v>225</v>
      </c>
      <c r="B201" s="2">
        <v>45129</v>
      </c>
      <c r="C201" s="2">
        <v>45134</v>
      </c>
      <c r="D201" t="s">
        <v>5193</v>
      </c>
      <c r="E201" t="s">
        <v>5693</v>
      </c>
      <c r="F201" t="s">
        <v>6027</v>
      </c>
      <c r="G201" t="s">
        <v>6031</v>
      </c>
      <c r="H201" t="s">
        <v>6043</v>
      </c>
      <c r="I201" t="s">
        <v>6050</v>
      </c>
      <c r="J201" t="s">
        <v>6054</v>
      </c>
      <c r="K201" t="s">
        <v>6059</v>
      </c>
      <c r="L201" t="s">
        <v>6261</v>
      </c>
      <c r="M201">
        <v>217.28</v>
      </c>
      <c r="N201">
        <v>8</v>
      </c>
      <c r="O201">
        <v>0.19</v>
      </c>
      <c r="P201">
        <v>9.4</v>
      </c>
      <c r="Q201" t="s">
        <v>9897</v>
      </c>
      <c r="R201">
        <v>5</v>
      </c>
      <c r="S201" s="5">
        <f t="shared" si="6"/>
        <v>4.3262150220913106E-2</v>
      </c>
      <c r="T201">
        <v>27.16</v>
      </c>
      <c r="U201">
        <v>7</v>
      </c>
      <c r="V201">
        <v>2023</v>
      </c>
      <c r="W201">
        <v>3</v>
      </c>
      <c r="X201" t="s">
        <v>9899</v>
      </c>
      <c r="Y201" t="s">
        <v>9900</v>
      </c>
      <c r="Z201" t="s">
        <v>9899</v>
      </c>
      <c r="AD201">
        <f t="shared" si="7"/>
        <v>5</v>
      </c>
    </row>
    <row r="202" spans="1:30" x14ac:dyDescent="0.25">
      <c r="A202" t="s">
        <v>226</v>
      </c>
      <c r="B202" s="2">
        <v>44689</v>
      </c>
      <c r="C202" s="2">
        <v>44690</v>
      </c>
      <c r="D202" t="s">
        <v>5194</v>
      </c>
      <c r="E202" t="s">
        <v>5694</v>
      </c>
      <c r="F202" t="s">
        <v>6026</v>
      </c>
      <c r="G202" t="s">
        <v>6031</v>
      </c>
      <c r="H202" t="s">
        <v>6037</v>
      </c>
      <c r="I202" t="s">
        <v>6052</v>
      </c>
      <c r="J202" t="s">
        <v>6054</v>
      </c>
      <c r="K202" t="s">
        <v>6062</v>
      </c>
      <c r="L202" t="s">
        <v>6262</v>
      </c>
      <c r="M202">
        <v>1510.21</v>
      </c>
      <c r="N202">
        <v>2</v>
      </c>
      <c r="O202">
        <v>0.22</v>
      </c>
      <c r="P202">
        <v>-77.48</v>
      </c>
      <c r="Q202" t="s">
        <v>9894</v>
      </c>
      <c r="R202">
        <v>1</v>
      </c>
      <c r="S202" s="5">
        <f t="shared" si="6"/>
        <v>-5.1304123267625033E-2</v>
      </c>
      <c r="T202">
        <v>755.10500000000002</v>
      </c>
      <c r="U202">
        <v>5</v>
      </c>
      <c r="V202">
        <v>2022</v>
      </c>
      <c r="W202">
        <v>2</v>
      </c>
      <c r="X202" t="s">
        <v>9898</v>
      </c>
      <c r="Y202" t="s">
        <v>9900</v>
      </c>
      <c r="Z202" t="s">
        <v>9898</v>
      </c>
      <c r="AD202">
        <f t="shared" si="7"/>
        <v>1</v>
      </c>
    </row>
    <row r="203" spans="1:30" x14ac:dyDescent="0.25">
      <c r="A203" t="s">
        <v>227</v>
      </c>
      <c r="B203" s="2">
        <v>45433</v>
      </c>
      <c r="C203" s="2">
        <v>45438</v>
      </c>
      <c r="D203" t="s">
        <v>5132</v>
      </c>
      <c r="E203" t="s">
        <v>5632</v>
      </c>
      <c r="F203" t="s">
        <v>6028</v>
      </c>
      <c r="G203" t="s">
        <v>6030</v>
      </c>
      <c r="H203" t="s">
        <v>6035</v>
      </c>
      <c r="I203" t="s">
        <v>6047</v>
      </c>
      <c r="J203" t="s">
        <v>6055</v>
      </c>
      <c r="K203" t="s">
        <v>6063</v>
      </c>
      <c r="L203" t="s">
        <v>6263</v>
      </c>
      <c r="M203">
        <v>162.52000000000001</v>
      </c>
      <c r="N203">
        <v>5</v>
      </c>
      <c r="O203">
        <v>0.25</v>
      </c>
      <c r="P203">
        <v>-9.6199999999999992</v>
      </c>
      <c r="Q203" t="s">
        <v>9895</v>
      </c>
      <c r="R203">
        <v>5</v>
      </c>
      <c r="S203" s="5">
        <f t="shared" si="6"/>
        <v>-5.9192714742800877E-2</v>
      </c>
      <c r="T203">
        <v>32.503999999999998</v>
      </c>
      <c r="U203">
        <v>5</v>
      </c>
      <c r="V203">
        <v>2024</v>
      </c>
      <c r="W203">
        <v>2</v>
      </c>
      <c r="X203" t="s">
        <v>9898</v>
      </c>
      <c r="Y203" t="s">
        <v>9900</v>
      </c>
      <c r="Z203" t="s">
        <v>9899</v>
      </c>
      <c r="AD203">
        <f t="shared" si="7"/>
        <v>5</v>
      </c>
    </row>
    <row r="204" spans="1:30" x14ac:dyDescent="0.25">
      <c r="A204" t="s">
        <v>228</v>
      </c>
      <c r="B204" s="2">
        <v>44686</v>
      </c>
      <c r="C204" s="2">
        <v>44688</v>
      </c>
      <c r="D204" t="s">
        <v>5195</v>
      </c>
      <c r="E204" t="s">
        <v>5695</v>
      </c>
      <c r="F204" t="s">
        <v>6027</v>
      </c>
      <c r="G204" t="s">
        <v>6029</v>
      </c>
      <c r="H204" t="s">
        <v>6032</v>
      </c>
      <c r="I204" t="s">
        <v>6046</v>
      </c>
      <c r="J204" t="s">
        <v>6054</v>
      </c>
      <c r="K204" t="s">
        <v>6062</v>
      </c>
      <c r="L204" t="s">
        <v>6264</v>
      </c>
      <c r="M204">
        <v>222.65</v>
      </c>
      <c r="N204">
        <v>4</v>
      </c>
      <c r="O204">
        <v>0.13</v>
      </c>
      <c r="P204">
        <v>20.84</v>
      </c>
      <c r="Q204" t="s">
        <v>9893</v>
      </c>
      <c r="R204">
        <v>2</v>
      </c>
      <c r="S204" s="5">
        <f t="shared" si="6"/>
        <v>9.3599820345834264E-2</v>
      </c>
      <c r="T204">
        <v>55.662500000000001</v>
      </c>
      <c r="U204">
        <v>5</v>
      </c>
      <c r="V204">
        <v>2022</v>
      </c>
      <c r="W204">
        <v>2</v>
      </c>
      <c r="X204" t="s">
        <v>9899</v>
      </c>
      <c r="Y204" t="s">
        <v>9901</v>
      </c>
      <c r="Z204" t="s">
        <v>9899</v>
      </c>
      <c r="AD204">
        <f t="shared" si="7"/>
        <v>2</v>
      </c>
    </row>
    <row r="205" spans="1:30" x14ac:dyDescent="0.25">
      <c r="A205" t="s">
        <v>229</v>
      </c>
      <c r="B205" s="2">
        <v>45359</v>
      </c>
      <c r="C205" s="2">
        <v>45363</v>
      </c>
      <c r="D205" t="s">
        <v>5196</v>
      </c>
      <c r="E205" t="s">
        <v>5696</v>
      </c>
      <c r="F205" t="s">
        <v>6028</v>
      </c>
      <c r="G205" t="s">
        <v>6030</v>
      </c>
      <c r="H205" t="s">
        <v>6035</v>
      </c>
      <c r="I205" t="s">
        <v>6051</v>
      </c>
      <c r="J205" t="s">
        <v>6053</v>
      </c>
      <c r="K205" t="s">
        <v>6057</v>
      </c>
      <c r="L205" t="s">
        <v>6265</v>
      </c>
      <c r="M205">
        <v>674.88</v>
      </c>
      <c r="N205">
        <v>3</v>
      </c>
      <c r="O205">
        <v>0.28000000000000003</v>
      </c>
      <c r="P205">
        <v>-28.05</v>
      </c>
      <c r="Q205" t="s">
        <v>9896</v>
      </c>
      <c r="R205">
        <v>4</v>
      </c>
      <c r="S205" s="5">
        <f t="shared" si="6"/>
        <v>-4.1562944523470841E-2</v>
      </c>
      <c r="T205">
        <v>224.96</v>
      </c>
      <c r="U205">
        <v>3</v>
      </c>
      <c r="V205">
        <v>2024</v>
      </c>
      <c r="W205">
        <v>1</v>
      </c>
      <c r="X205" t="s">
        <v>9898</v>
      </c>
      <c r="Y205" t="s">
        <v>9900</v>
      </c>
      <c r="Z205" t="s">
        <v>9899</v>
      </c>
      <c r="AD205">
        <f t="shared" si="7"/>
        <v>4</v>
      </c>
    </row>
    <row r="206" spans="1:30" x14ac:dyDescent="0.25">
      <c r="A206" t="s">
        <v>230</v>
      </c>
      <c r="B206" s="2">
        <v>44978</v>
      </c>
      <c r="C206" s="2">
        <v>44984</v>
      </c>
      <c r="D206" t="s">
        <v>5197</v>
      </c>
      <c r="E206" t="s">
        <v>5697</v>
      </c>
      <c r="F206" t="s">
        <v>6028</v>
      </c>
      <c r="G206" t="s">
        <v>6030</v>
      </c>
      <c r="H206" t="s">
        <v>6039</v>
      </c>
      <c r="I206" t="s">
        <v>6047</v>
      </c>
      <c r="J206" t="s">
        <v>6053</v>
      </c>
      <c r="K206" t="s">
        <v>6056</v>
      </c>
      <c r="L206" t="s">
        <v>6266</v>
      </c>
      <c r="M206">
        <v>443.25</v>
      </c>
      <c r="N206">
        <v>3</v>
      </c>
      <c r="O206">
        <v>0.05</v>
      </c>
      <c r="P206">
        <v>71.400000000000006</v>
      </c>
      <c r="Q206" t="s">
        <v>9894</v>
      </c>
      <c r="R206">
        <v>6</v>
      </c>
      <c r="S206" s="5">
        <f t="shared" si="6"/>
        <v>0.16108291032148903</v>
      </c>
      <c r="T206">
        <v>147.75</v>
      </c>
      <c r="U206">
        <v>2</v>
      </c>
      <c r="V206">
        <v>2023</v>
      </c>
      <c r="W206">
        <v>1</v>
      </c>
      <c r="X206" t="s">
        <v>9899</v>
      </c>
      <c r="Y206" t="s">
        <v>9901</v>
      </c>
      <c r="Z206" t="s">
        <v>9899</v>
      </c>
      <c r="AD206">
        <f t="shared" si="7"/>
        <v>6</v>
      </c>
    </row>
    <row r="207" spans="1:30" x14ac:dyDescent="0.25">
      <c r="A207" t="s">
        <v>231</v>
      </c>
      <c r="B207" s="2">
        <v>44609</v>
      </c>
      <c r="C207" s="2">
        <v>44610</v>
      </c>
      <c r="D207" t="s">
        <v>5176</v>
      </c>
      <c r="E207" t="s">
        <v>5676</v>
      </c>
      <c r="F207" t="s">
        <v>6028</v>
      </c>
      <c r="G207" t="s">
        <v>6029</v>
      </c>
      <c r="H207" t="s">
        <v>6041</v>
      </c>
      <c r="I207" t="s">
        <v>6050</v>
      </c>
      <c r="J207" t="s">
        <v>6053</v>
      </c>
      <c r="K207" t="s">
        <v>6056</v>
      </c>
      <c r="L207" t="s">
        <v>6267</v>
      </c>
      <c r="M207">
        <v>284.14999999999998</v>
      </c>
      <c r="N207">
        <v>3</v>
      </c>
      <c r="O207">
        <v>0.02</v>
      </c>
      <c r="P207">
        <v>49.1</v>
      </c>
      <c r="Q207" t="s">
        <v>9895</v>
      </c>
      <c r="R207">
        <v>1</v>
      </c>
      <c r="S207" s="5">
        <f t="shared" si="6"/>
        <v>0.17279605841984869</v>
      </c>
      <c r="T207">
        <v>94.716666666666654</v>
      </c>
      <c r="U207">
        <v>2</v>
      </c>
      <c r="V207">
        <v>2022</v>
      </c>
      <c r="W207">
        <v>1</v>
      </c>
      <c r="X207" t="s">
        <v>9899</v>
      </c>
      <c r="Y207" t="s">
        <v>9901</v>
      </c>
      <c r="Z207" t="s">
        <v>9899</v>
      </c>
      <c r="AD207">
        <f t="shared" si="7"/>
        <v>1</v>
      </c>
    </row>
    <row r="208" spans="1:30" x14ac:dyDescent="0.25">
      <c r="A208" t="s">
        <v>232</v>
      </c>
      <c r="B208" s="2">
        <v>45029</v>
      </c>
      <c r="C208" s="2">
        <v>45030</v>
      </c>
      <c r="D208" t="s">
        <v>5198</v>
      </c>
      <c r="E208" t="s">
        <v>5698</v>
      </c>
      <c r="F208" t="s">
        <v>6028</v>
      </c>
      <c r="G208" t="s">
        <v>6029</v>
      </c>
      <c r="H208" t="s">
        <v>6044</v>
      </c>
      <c r="I208" t="s">
        <v>6046</v>
      </c>
      <c r="J208" t="s">
        <v>6054</v>
      </c>
      <c r="K208" t="s">
        <v>6059</v>
      </c>
      <c r="L208" t="s">
        <v>6268</v>
      </c>
      <c r="M208">
        <v>118.6</v>
      </c>
      <c r="N208">
        <v>8</v>
      </c>
      <c r="O208">
        <v>0.09</v>
      </c>
      <c r="P208">
        <v>3.42</v>
      </c>
      <c r="Q208" t="s">
        <v>9897</v>
      </c>
      <c r="R208">
        <v>1</v>
      </c>
      <c r="S208" s="5">
        <f t="shared" si="6"/>
        <v>2.8836424957841486E-2</v>
      </c>
      <c r="T208">
        <v>14.824999999999999</v>
      </c>
      <c r="U208">
        <v>4</v>
      </c>
      <c r="V208">
        <v>2023</v>
      </c>
      <c r="W208">
        <v>2</v>
      </c>
      <c r="X208" t="s">
        <v>9899</v>
      </c>
      <c r="Y208" t="s">
        <v>9901</v>
      </c>
      <c r="Z208" t="s">
        <v>9899</v>
      </c>
      <c r="AD208">
        <f t="shared" si="7"/>
        <v>1</v>
      </c>
    </row>
    <row r="209" spans="1:30" x14ac:dyDescent="0.25">
      <c r="A209" t="s">
        <v>233</v>
      </c>
      <c r="B209" s="2">
        <v>45272</v>
      </c>
      <c r="C209" s="2">
        <v>45277</v>
      </c>
      <c r="D209" t="s">
        <v>5059</v>
      </c>
      <c r="E209" t="s">
        <v>5559</v>
      </c>
      <c r="F209" t="s">
        <v>6027</v>
      </c>
      <c r="G209" t="s">
        <v>6029</v>
      </c>
      <c r="H209" t="s">
        <v>6036</v>
      </c>
      <c r="I209" t="s">
        <v>6046</v>
      </c>
      <c r="J209" t="s">
        <v>6054</v>
      </c>
      <c r="K209" t="s">
        <v>6060</v>
      </c>
      <c r="L209" t="s">
        <v>6269</v>
      </c>
      <c r="M209">
        <v>993.72</v>
      </c>
      <c r="N209">
        <v>4</v>
      </c>
      <c r="O209">
        <v>0.22</v>
      </c>
      <c r="P209">
        <v>-119.14</v>
      </c>
      <c r="Q209" t="s">
        <v>9893</v>
      </c>
      <c r="R209">
        <v>5</v>
      </c>
      <c r="S209" s="5">
        <f t="shared" si="6"/>
        <v>-0.11989292758523527</v>
      </c>
      <c r="T209">
        <v>248.43</v>
      </c>
      <c r="U209">
        <v>12</v>
      </c>
      <c r="V209">
        <v>2023</v>
      </c>
      <c r="W209">
        <v>4</v>
      </c>
      <c r="X209" t="s">
        <v>9898</v>
      </c>
      <c r="Y209" t="s">
        <v>9900</v>
      </c>
      <c r="Z209" t="s">
        <v>9899</v>
      </c>
      <c r="AD209">
        <f t="shared" si="7"/>
        <v>5</v>
      </c>
    </row>
    <row r="210" spans="1:30" x14ac:dyDescent="0.25">
      <c r="A210" t="s">
        <v>234</v>
      </c>
      <c r="B210" s="2">
        <v>44787</v>
      </c>
      <c r="C210" s="2">
        <v>44791</v>
      </c>
      <c r="D210" t="s">
        <v>5139</v>
      </c>
      <c r="E210" t="s">
        <v>5639</v>
      </c>
      <c r="F210" t="s">
        <v>6026</v>
      </c>
      <c r="G210" t="s">
        <v>6029</v>
      </c>
      <c r="H210" t="s">
        <v>6044</v>
      </c>
      <c r="I210" t="s">
        <v>6050</v>
      </c>
      <c r="J210" t="s">
        <v>6054</v>
      </c>
      <c r="K210" t="s">
        <v>6062</v>
      </c>
      <c r="L210" t="s">
        <v>6270</v>
      </c>
      <c r="M210">
        <v>212.86</v>
      </c>
      <c r="N210">
        <v>6</v>
      </c>
      <c r="O210">
        <v>0.17</v>
      </c>
      <c r="P210">
        <v>-6.07</v>
      </c>
      <c r="Q210" t="s">
        <v>9897</v>
      </c>
      <c r="R210">
        <v>4</v>
      </c>
      <c r="S210" s="5">
        <f t="shared" si="6"/>
        <v>-2.8516395753077139E-2</v>
      </c>
      <c r="T210">
        <v>35.476666666666667</v>
      </c>
      <c r="U210">
        <v>8</v>
      </c>
      <c r="V210">
        <v>2022</v>
      </c>
      <c r="W210">
        <v>3</v>
      </c>
      <c r="X210" t="s">
        <v>9898</v>
      </c>
      <c r="Y210" t="s">
        <v>9900</v>
      </c>
      <c r="Z210" t="s">
        <v>9899</v>
      </c>
      <c r="AD210">
        <f t="shared" si="7"/>
        <v>4</v>
      </c>
    </row>
    <row r="211" spans="1:30" x14ac:dyDescent="0.25">
      <c r="A211" t="s">
        <v>235</v>
      </c>
      <c r="B211" s="2">
        <v>44816</v>
      </c>
      <c r="C211" s="2">
        <v>44822</v>
      </c>
      <c r="D211" t="s">
        <v>5199</v>
      </c>
      <c r="E211" t="s">
        <v>5699</v>
      </c>
      <c r="F211" t="s">
        <v>6026</v>
      </c>
      <c r="G211" t="s">
        <v>6031</v>
      </c>
      <c r="H211" t="s">
        <v>6040</v>
      </c>
      <c r="I211" t="s">
        <v>6052</v>
      </c>
      <c r="J211" t="s">
        <v>6053</v>
      </c>
      <c r="K211" t="s">
        <v>6058</v>
      </c>
      <c r="L211" t="s">
        <v>6244</v>
      </c>
      <c r="M211">
        <v>310.77</v>
      </c>
      <c r="N211">
        <v>2</v>
      </c>
      <c r="O211">
        <v>0.17</v>
      </c>
      <c r="P211">
        <v>32.01</v>
      </c>
      <c r="Q211" t="s">
        <v>9894</v>
      </c>
      <c r="R211">
        <v>6</v>
      </c>
      <c r="S211" s="5">
        <f t="shared" si="6"/>
        <v>0.10300222029153393</v>
      </c>
      <c r="T211">
        <v>155.38499999999999</v>
      </c>
      <c r="U211">
        <v>9</v>
      </c>
      <c r="V211">
        <v>2022</v>
      </c>
      <c r="W211">
        <v>3</v>
      </c>
      <c r="X211" t="s">
        <v>9899</v>
      </c>
      <c r="Y211" t="s">
        <v>9900</v>
      </c>
      <c r="Z211" t="s">
        <v>9899</v>
      </c>
      <c r="AD211">
        <f t="shared" si="7"/>
        <v>6</v>
      </c>
    </row>
    <row r="212" spans="1:30" x14ac:dyDescent="0.25">
      <c r="A212" t="s">
        <v>236</v>
      </c>
      <c r="B212" s="2">
        <v>45309</v>
      </c>
      <c r="C212" s="2">
        <v>45311</v>
      </c>
      <c r="D212" t="s">
        <v>5069</v>
      </c>
      <c r="E212" t="s">
        <v>5569</v>
      </c>
      <c r="F212" t="s">
        <v>6028</v>
      </c>
      <c r="G212" t="s">
        <v>6029</v>
      </c>
      <c r="H212" t="s">
        <v>6041</v>
      </c>
      <c r="I212" t="s">
        <v>6050</v>
      </c>
      <c r="J212" t="s">
        <v>6055</v>
      </c>
      <c r="K212" t="s">
        <v>6064</v>
      </c>
      <c r="L212" t="s">
        <v>6271</v>
      </c>
      <c r="M212">
        <v>1716.9</v>
      </c>
      <c r="N212">
        <v>2</v>
      </c>
      <c r="O212">
        <v>0.17</v>
      </c>
      <c r="P212">
        <v>-93.16</v>
      </c>
      <c r="Q212" t="s">
        <v>9895</v>
      </c>
      <c r="R212">
        <v>2</v>
      </c>
      <c r="S212" s="5">
        <f t="shared" si="6"/>
        <v>-5.4260585939775174E-2</v>
      </c>
      <c r="T212">
        <v>858.45</v>
      </c>
      <c r="U212">
        <v>1</v>
      </c>
      <c r="V212">
        <v>2024</v>
      </c>
      <c r="W212">
        <v>1</v>
      </c>
      <c r="X212" t="s">
        <v>9898</v>
      </c>
      <c r="Y212" t="s">
        <v>9900</v>
      </c>
      <c r="Z212" t="s">
        <v>9898</v>
      </c>
      <c r="AD212">
        <f t="shared" si="7"/>
        <v>2</v>
      </c>
    </row>
    <row r="213" spans="1:30" x14ac:dyDescent="0.25">
      <c r="A213" t="s">
        <v>237</v>
      </c>
      <c r="B213" s="2">
        <v>44751</v>
      </c>
      <c r="C213" s="2">
        <v>44752</v>
      </c>
      <c r="D213" t="s">
        <v>5200</v>
      </c>
      <c r="E213" t="s">
        <v>5700</v>
      </c>
      <c r="F213" t="s">
        <v>6027</v>
      </c>
      <c r="G213" t="s">
        <v>6030</v>
      </c>
      <c r="H213" t="s">
        <v>6038</v>
      </c>
      <c r="I213" t="s">
        <v>6047</v>
      </c>
      <c r="J213" t="s">
        <v>6053</v>
      </c>
      <c r="K213" t="s">
        <v>6057</v>
      </c>
      <c r="L213" t="s">
        <v>6272</v>
      </c>
      <c r="M213">
        <v>986.27</v>
      </c>
      <c r="N213">
        <v>6</v>
      </c>
      <c r="O213">
        <v>0.28000000000000003</v>
      </c>
      <c r="P213">
        <v>-172.9</v>
      </c>
      <c r="Q213" t="s">
        <v>9894</v>
      </c>
      <c r="R213">
        <v>1</v>
      </c>
      <c r="S213" s="5">
        <f t="shared" si="6"/>
        <v>-0.17530696462429154</v>
      </c>
      <c r="T213">
        <v>164.3783333333333</v>
      </c>
      <c r="U213">
        <v>7</v>
      </c>
      <c r="V213">
        <v>2022</v>
      </c>
      <c r="W213">
        <v>3</v>
      </c>
      <c r="X213" t="s">
        <v>9898</v>
      </c>
      <c r="Y213" t="s">
        <v>9900</v>
      </c>
      <c r="Z213" t="s">
        <v>9899</v>
      </c>
      <c r="AD213">
        <f t="shared" si="7"/>
        <v>1</v>
      </c>
    </row>
    <row r="214" spans="1:30" x14ac:dyDescent="0.25">
      <c r="A214" t="s">
        <v>238</v>
      </c>
      <c r="B214" s="2">
        <v>44804</v>
      </c>
      <c r="C214" s="2">
        <v>44806</v>
      </c>
      <c r="D214" t="s">
        <v>5201</v>
      </c>
      <c r="E214" t="s">
        <v>5701</v>
      </c>
      <c r="F214" t="s">
        <v>6028</v>
      </c>
      <c r="G214" t="s">
        <v>6029</v>
      </c>
      <c r="H214" t="s">
        <v>6044</v>
      </c>
      <c r="I214" t="s">
        <v>6049</v>
      </c>
      <c r="J214" t="s">
        <v>6053</v>
      </c>
      <c r="K214" t="s">
        <v>6057</v>
      </c>
      <c r="L214" t="s">
        <v>6273</v>
      </c>
      <c r="M214">
        <v>1987.12</v>
      </c>
      <c r="N214">
        <v>8</v>
      </c>
      <c r="O214">
        <v>0.05</v>
      </c>
      <c r="P214">
        <v>437.82</v>
      </c>
      <c r="Q214" t="s">
        <v>9894</v>
      </c>
      <c r="R214">
        <v>2</v>
      </c>
      <c r="S214" s="5">
        <f t="shared" si="6"/>
        <v>0.22032891823342327</v>
      </c>
      <c r="T214">
        <v>248.39</v>
      </c>
      <c r="U214">
        <v>8</v>
      </c>
      <c r="V214">
        <v>2022</v>
      </c>
      <c r="W214">
        <v>3</v>
      </c>
      <c r="X214" t="s">
        <v>9899</v>
      </c>
      <c r="Y214" t="s">
        <v>9901</v>
      </c>
      <c r="Z214" t="s">
        <v>9898</v>
      </c>
      <c r="AD214">
        <f t="shared" si="7"/>
        <v>2</v>
      </c>
    </row>
    <row r="215" spans="1:30" x14ac:dyDescent="0.25">
      <c r="A215" t="s">
        <v>239</v>
      </c>
      <c r="B215" s="2">
        <v>44715</v>
      </c>
      <c r="C215" s="2">
        <v>44721</v>
      </c>
      <c r="D215" t="s">
        <v>5169</v>
      </c>
      <c r="E215" t="s">
        <v>5669</v>
      </c>
      <c r="F215" t="s">
        <v>6028</v>
      </c>
      <c r="G215" t="s">
        <v>6029</v>
      </c>
      <c r="H215" t="s">
        <v>6044</v>
      </c>
      <c r="I215" t="s">
        <v>6046</v>
      </c>
      <c r="J215" t="s">
        <v>6055</v>
      </c>
      <c r="K215" t="s">
        <v>6061</v>
      </c>
      <c r="L215" t="s">
        <v>6274</v>
      </c>
      <c r="M215">
        <v>937.35</v>
      </c>
      <c r="N215">
        <v>6</v>
      </c>
      <c r="O215">
        <v>0.17</v>
      </c>
      <c r="P215">
        <v>71.42</v>
      </c>
      <c r="Q215" t="s">
        <v>9896</v>
      </c>
      <c r="R215">
        <v>6</v>
      </c>
      <c r="S215" s="5">
        <f t="shared" si="6"/>
        <v>7.6193524297220885E-2</v>
      </c>
      <c r="T215">
        <v>156.22499999999999</v>
      </c>
      <c r="U215">
        <v>6</v>
      </c>
      <c r="V215">
        <v>2022</v>
      </c>
      <c r="W215">
        <v>2</v>
      </c>
      <c r="X215" t="s">
        <v>9899</v>
      </c>
      <c r="Y215" t="s">
        <v>9900</v>
      </c>
      <c r="Z215" t="s">
        <v>9899</v>
      </c>
      <c r="AD215">
        <f t="shared" si="7"/>
        <v>6</v>
      </c>
    </row>
    <row r="216" spans="1:30" x14ac:dyDescent="0.25">
      <c r="A216" t="s">
        <v>240</v>
      </c>
      <c r="B216" s="2">
        <v>45403</v>
      </c>
      <c r="C216" s="2">
        <v>45410</v>
      </c>
      <c r="D216" t="s">
        <v>5202</v>
      </c>
      <c r="E216" t="s">
        <v>5702</v>
      </c>
      <c r="F216" t="s">
        <v>6028</v>
      </c>
      <c r="G216" t="s">
        <v>6029</v>
      </c>
      <c r="H216" t="s">
        <v>6036</v>
      </c>
      <c r="I216" t="s">
        <v>6046</v>
      </c>
      <c r="J216" t="s">
        <v>6054</v>
      </c>
      <c r="K216" t="s">
        <v>6059</v>
      </c>
      <c r="L216" t="s">
        <v>6275</v>
      </c>
      <c r="M216">
        <v>565.09</v>
      </c>
      <c r="N216">
        <v>7</v>
      </c>
      <c r="O216">
        <v>0</v>
      </c>
      <c r="P216">
        <v>76.180000000000007</v>
      </c>
      <c r="Q216" t="s">
        <v>9895</v>
      </c>
      <c r="R216">
        <v>7</v>
      </c>
      <c r="S216" s="5">
        <f t="shared" si="6"/>
        <v>0.13481038418658975</v>
      </c>
      <c r="T216">
        <v>80.727142857142866</v>
      </c>
      <c r="U216">
        <v>4</v>
      </c>
      <c r="V216">
        <v>2024</v>
      </c>
      <c r="W216">
        <v>2</v>
      </c>
      <c r="X216" t="s">
        <v>9899</v>
      </c>
      <c r="Y216" t="s">
        <v>9901</v>
      </c>
      <c r="Z216" t="s">
        <v>9899</v>
      </c>
      <c r="AD216">
        <f t="shared" si="7"/>
        <v>7</v>
      </c>
    </row>
    <row r="217" spans="1:30" x14ac:dyDescent="0.25">
      <c r="A217" t="s">
        <v>241</v>
      </c>
      <c r="B217" s="2">
        <v>44805</v>
      </c>
      <c r="C217" s="2">
        <v>44809</v>
      </c>
      <c r="D217" t="s">
        <v>5144</v>
      </c>
      <c r="E217" t="s">
        <v>5644</v>
      </c>
      <c r="F217" t="s">
        <v>6026</v>
      </c>
      <c r="G217" t="s">
        <v>6030</v>
      </c>
      <c r="H217" t="s">
        <v>6038</v>
      </c>
      <c r="I217" t="s">
        <v>6047</v>
      </c>
      <c r="J217" t="s">
        <v>6053</v>
      </c>
      <c r="K217" t="s">
        <v>6058</v>
      </c>
      <c r="L217" t="s">
        <v>6276</v>
      </c>
      <c r="M217">
        <v>1845.01</v>
      </c>
      <c r="N217">
        <v>2</v>
      </c>
      <c r="O217">
        <v>0.02</v>
      </c>
      <c r="P217">
        <v>494.05</v>
      </c>
      <c r="Q217" t="s">
        <v>9897</v>
      </c>
      <c r="R217">
        <v>4</v>
      </c>
      <c r="S217" s="5">
        <f t="shared" si="6"/>
        <v>0.26777632641557497</v>
      </c>
      <c r="T217">
        <v>922.505</v>
      </c>
      <c r="U217">
        <v>9</v>
      </c>
      <c r="V217">
        <v>2022</v>
      </c>
      <c r="W217">
        <v>3</v>
      </c>
      <c r="X217" t="s">
        <v>9899</v>
      </c>
      <c r="Y217" t="s">
        <v>9901</v>
      </c>
      <c r="Z217" t="s">
        <v>9898</v>
      </c>
      <c r="AD217">
        <f t="shared" si="7"/>
        <v>4</v>
      </c>
    </row>
    <row r="218" spans="1:30" x14ac:dyDescent="0.25">
      <c r="A218" t="s">
        <v>242</v>
      </c>
      <c r="B218" s="2">
        <v>45057</v>
      </c>
      <c r="C218" s="2">
        <v>45061</v>
      </c>
      <c r="D218" t="s">
        <v>5203</v>
      </c>
      <c r="E218" t="s">
        <v>5703</v>
      </c>
      <c r="F218" t="s">
        <v>6026</v>
      </c>
      <c r="G218" t="s">
        <v>6030</v>
      </c>
      <c r="H218" t="s">
        <v>6033</v>
      </c>
      <c r="I218" t="s">
        <v>6051</v>
      </c>
      <c r="J218" t="s">
        <v>6054</v>
      </c>
      <c r="K218" t="s">
        <v>6060</v>
      </c>
      <c r="L218" t="s">
        <v>6174</v>
      </c>
      <c r="M218">
        <v>286.91000000000003</v>
      </c>
      <c r="N218">
        <v>3</v>
      </c>
      <c r="O218">
        <v>0.03</v>
      </c>
      <c r="P218">
        <v>71.53</v>
      </c>
      <c r="Q218" t="s">
        <v>9893</v>
      </c>
      <c r="R218">
        <v>4</v>
      </c>
      <c r="S218" s="5">
        <f t="shared" si="6"/>
        <v>0.24931163082499735</v>
      </c>
      <c r="T218">
        <v>95.63666666666667</v>
      </c>
      <c r="U218">
        <v>5</v>
      </c>
      <c r="V218">
        <v>2023</v>
      </c>
      <c r="W218">
        <v>2</v>
      </c>
      <c r="X218" t="s">
        <v>9899</v>
      </c>
      <c r="Y218" t="s">
        <v>9901</v>
      </c>
      <c r="Z218" t="s">
        <v>9899</v>
      </c>
      <c r="AD218">
        <f t="shared" si="7"/>
        <v>4</v>
      </c>
    </row>
    <row r="219" spans="1:30" x14ac:dyDescent="0.25">
      <c r="A219" t="s">
        <v>243</v>
      </c>
      <c r="B219" s="2">
        <v>45388</v>
      </c>
      <c r="C219" s="2">
        <v>45389</v>
      </c>
      <c r="D219" t="s">
        <v>5204</v>
      </c>
      <c r="E219" t="s">
        <v>5704</v>
      </c>
      <c r="F219" t="s">
        <v>6026</v>
      </c>
      <c r="G219" t="s">
        <v>6031</v>
      </c>
      <c r="H219" t="s">
        <v>6043</v>
      </c>
      <c r="I219" t="s">
        <v>6050</v>
      </c>
      <c r="J219" t="s">
        <v>6053</v>
      </c>
      <c r="K219" t="s">
        <v>6058</v>
      </c>
      <c r="L219" t="s">
        <v>6277</v>
      </c>
      <c r="M219">
        <v>1949.24</v>
      </c>
      <c r="N219">
        <v>4</v>
      </c>
      <c r="O219">
        <v>0.34</v>
      </c>
      <c r="P219">
        <v>-191.97</v>
      </c>
      <c r="Q219" t="s">
        <v>9894</v>
      </c>
      <c r="R219">
        <v>1</v>
      </c>
      <c r="S219" s="5">
        <f t="shared" si="6"/>
        <v>-9.8484537563358024E-2</v>
      </c>
      <c r="T219">
        <v>487.31</v>
      </c>
      <c r="U219">
        <v>4</v>
      </c>
      <c r="V219">
        <v>2024</v>
      </c>
      <c r="W219">
        <v>2</v>
      </c>
      <c r="X219" t="s">
        <v>9898</v>
      </c>
      <c r="Y219" t="s">
        <v>9902</v>
      </c>
      <c r="Z219" t="s">
        <v>9898</v>
      </c>
      <c r="AD219">
        <f t="shared" si="7"/>
        <v>1</v>
      </c>
    </row>
    <row r="220" spans="1:30" x14ac:dyDescent="0.25">
      <c r="A220" t="s">
        <v>244</v>
      </c>
      <c r="B220" s="2">
        <v>45460</v>
      </c>
      <c r="C220" s="2">
        <v>45463</v>
      </c>
      <c r="D220" t="s">
        <v>5133</v>
      </c>
      <c r="E220" t="s">
        <v>5633</v>
      </c>
      <c r="F220" t="s">
        <v>6026</v>
      </c>
      <c r="G220" t="s">
        <v>6029</v>
      </c>
      <c r="H220" t="s">
        <v>6044</v>
      </c>
      <c r="I220" t="s">
        <v>6049</v>
      </c>
      <c r="J220" t="s">
        <v>6053</v>
      </c>
      <c r="K220" t="s">
        <v>6056</v>
      </c>
      <c r="L220" t="s">
        <v>6073</v>
      </c>
      <c r="M220">
        <v>546.1</v>
      </c>
      <c r="N220">
        <v>1</v>
      </c>
      <c r="O220">
        <v>0.31</v>
      </c>
      <c r="P220">
        <v>-33.369999999999997</v>
      </c>
      <c r="Q220" t="s">
        <v>9896</v>
      </c>
      <c r="R220">
        <v>3</v>
      </c>
      <c r="S220" s="5">
        <f t="shared" si="6"/>
        <v>-6.1106024537630463E-2</v>
      </c>
      <c r="T220">
        <v>546.1</v>
      </c>
      <c r="U220">
        <v>6</v>
      </c>
      <c r="V220">
        <v>2024</v>
      </c>
      <c r="W220">
        <v>2</v>
      </c>
      <c r="X220" t="s">
        <v>9898</v>
      </c>
      <c r="Y220" t="s">
        <v>9902</v>
      </c>
      <c r="Z220" t="s">
        <v>9899</v>
      </c>
      <c r="AD220">
        <f t="shared" si="7"/>
        <v>3</v>
      </c>
    </row>
    <row r="221" spans="1:30" x14ac:dyDescent="0.25">
      <c r="A221" t="s">
        <v>245</v>
      </c>
      <c r="B221" s="2">
        <v>44700</v>
      </c>
      <c r="C221" s="2">
        <v>44704</v>
      </c>
      <c r="D221" t="s">
        <v>5205</v>
      </c>
      <c r="E221" t="s">
        <v>5705</v>
      </c>
      <c r="F221" t="s">
        <v>6028</v>
      </c>
      <c r="G221" t="s">
        <v>6031</v>
      </c>
      <c r="H221" t="s">
        <v>6034</v>
      </c>
      <c r="I221" t="s">
        <v>6052</v>
      </c>
      <c r="J221" t="s">
        <v>6053</v>
      </c>
      <c r="K221" t="s">
        <v>6058</v>
      </c>
      <c r="L221" t="s">
        <v>6278</v>
      </c>
      <c r="M221">
        <v>524.51</v>
      </c>
      <c r="N221">
        <v>5</v>
      </c>
      <c r="O221">
        <v>0.14000000000000001</v>
      </c>
      <c r="P221">
        <v>34.130000000000003</v>
      </c>
      <c r="Q221" t="s">
        <v>9893</v>
      </c>
      <c r="R221">
        <v>4</v>
      </c>
      <c r="S221" s="5">
        <f t="shared" si="6"/>
        <v>6.5070256048502417E-2</v>
      </c>
      <c r="T221">
        <v>104.902</v>
      </c>
      <c r="U221">
        <v>5</v>
      </c>
      <c r="V221">
        <v>2022</v>
      </c>
      <c r="W221">
        <v>2</v>
      </c>
      <c r="X221" t="s">
        <v>9899</v>
      </c>
      <c r="Y221" t="s">
        <v>9901</v>
      </c>
      <c r="Z221" t="s">
        <v>9899</v>
      </c>
      <c r="AD221">
        <f t="shared" si="7"/>
        <v>4</v>
      </c>
    </row>
    <row r="222" spans="1:30" x14ac:dyDescent="0.25">
      <c r="A222" t="s">
        <v>246</v>
      </c>
      <c r="B222" s="2">
        <v>44666</v>
      </c>
      <c r="C222" s="2">
        <v>44673</v>
      </c>
      <c r="D222" t="s">
        <v>5190</v>
      </c>
      <c r="E222" t="s">
        <v>5690</v>
      </c>
      <c r="F222" t="s">
        <v>6026</v>
      </c>
      <c r="G222" t="s">
        <v>6031</v>
      </c>
      <c r="H222" t="s">
        <v>6042</v>
      </c>
      <c r="I222" t="s">
        <v>6048</v>
      </c>
      <c r="J222" t="s">
        <v>6055</v>
      </c>
      <c r="K222" t="s">
        <v>6064</v>
      </c>
      <c r="L222" t="s">
        <v>6279</v>
      </c>
      <c r="M222">
        <v>496.22</v>
      </c>
      <c r="N222">
        <v>1</v>
      </c>
      <c r="O222">
        <v>0.1</v>
      </c>
      <c r="P222">
        <v>79.25</v>
      </c>
      <c r="Q222" t="s">
        <v>9894</v>
      </c>
      <c r="R222">
        <v>7</v>
      </c>
      <c r="S222" s="5">
        <f t="shared" si="6"/>
        <v>0.15970738785216235</v>
      </c>
      <c r="T222">
        <v>496.22</v>
      </c>
      <c r="U222">
        <v>4</v>
      </c>
      <c r="V222">
        <v>2022</v>
      </c>
      <c r="W222">
        <v>2</v>
      </c>
      <c r="X222" t="s">
        <v>9899</v>
      </c>
      <c r="Y222" t="s">
        <v>9901</v>
      </c>
      <c r="Z222" t="s">
        <v>9899</v>
      </c>
      <c r="AD222">
        <f t="shared" si="7"/>
        <v>7</v>
      </c>
    </row>
    <row r="223" spans="1:30" x14ac:dyDescent="0.25">
      <c r="A223" t="s">
        <v>247</v>
      </c>
      <c r="B223" s="2">
        <v>45138</v>
      </c>
      <c r="C223" s="2">
        <v>45143</v>
      </c>
      <c r="D223" t="s">
        <v>5206</v>
      </c>
      <c r="E223" t="s">
        <v>5706</v>
      </c>
      <c r="F223" t="s">
        <v>6026</v>
      </c>
      <c r="G223" t="s">
        <v>6030</v>
      </c>
      <c r="H223" t="s">
        <v>6033</v>
      </c>
      <c r="I223" t="s">
        <v>6047</v>
      </c>
      <c r="J223" t="s">
        <v>6055</v>
      </c>
      <c r="K223" t="s">
        <v>6064</v>
      </c>
      <c r="L223" t="s">
        <v>6280</v>
      </c>
      <c r="M223">
        <v>585.78</v>
      </c>
      <c r="N223">
        <v>2</v>
      </c>
      <c r="O223">
        <v>0.16</v>
      </c>
      <c r="P223">
        <v>32.130000000000003</v>
      </c>
      <c r="Q223" t="s">
        <v>9897</v>
      </c>
      <c r="R223">
        <v>5</v>
      </c>
      <c r="S223" s="5">
        <f t="shared" si="6"/>
        <v>5.4849943664857119E-2</v>
      </c>
      <c r="T223">
        <v>292.89</v>
      </c>
      <c r="U223">
        <v>7</v>
      </c>
      <c r="V223">
        <v>2023</v>
      </c>
      <c r="W223">
        <v>3</v>
      </c>
      <c r="X223" t="s">
        <v>9899</v>
      </c>
      <c r="Y223" t="s">
        <v>9900</v>
      </c>
      <c r="Z223" t="s">
        <v>9899</v>
      </c>
      <c r="AD223">
        <f t="shared" si="7"/>
        <v>5</v>
      </c>
    </row>
    <row r="224" spans="1:30" x14ac:dyDescent="0.25">
      <c r="A224" t="s">
        <v>248</v>
      </c>
      <c r="B224" s="2">
        <v>44734</v>
      </c>
      <c r="C224" s="2">
        <v>44740</v>
      </c>
      <c r="D224" t="s">
        <v>5207</v>
      </c>
      <c r="E224" t="s">
        <v>5707</v>
      </c>
      <c r="F224" t="s">
        <v>6026</v>
      </c>
      <c r="G224" t="s">
        <v>6031</v>
      </c>
      <c r="H224" t="s">
        <v>6043</v>
      </c>
      <c r="I224" t="s">
        <v>6048</v>
      </c>
      <c r="J224" t="s">
        <v>6054</v>
      </c>
      <c r="K224" t="s">
        <v>6060</v>
      </c>
      <c r="L224" t="s">
        <v>6281</v>
      </c>
      <c r="M224">
        <v>1619.98</v>
      </c>
      <c r="N224">
        <v>6</v>
      </c>
      <c r="O224">
        <v>0.28000000000000003</v>
      </c>
      <c r="P224">
        <v>-242.04</v>
      </c>
      <c r="Q224" t="s">
        <v>9895</v>
      </c>
      <c r="R224">
        <v>6</v>
      </c>
      <c r="S224" s="5">
        <f t="shared" si="6"/>
        <v>-0.14940925196607366</v>
      </c>
      <c r="T224">
        <v>269.99666666666673</v>
      </c>
      <c r="U224">
        <v>6</v>
      </c>
      <c r="V224">
        <v>2022</v>
      </c>
      <c r="W224">
        <v>2</v>
      </c>
      <c r="X224" t="s">
        <v>9898</v>
      </c>
      <c r="Y224" t="s">
        <v>9900</v>
      </c>
      <c r="Z224" t="s">
        <v>9898</v>
      </c>
      <c r="AD224">
        <f t="shared" si="7"/>
        <v>6</v>
      </c>
    </row>
    <row r="225" spans="1:30" x14ac:dyDescent="0.25">
      <c r="A225" t="s">
        <v>249</v>
      </c>
      <c r="B225" s="2">
        <v>44823</v>
      </c>
      <c r="C225" s="2">
        <v>44830</v>
      </c>
      <c r="D225" t="s">
        <v>5208</v>
      </c>
      <c r="E225" t="s">
        <v>5708</v>
      </c>
      <c r="F225" t="s">
        <v>6028</v>
      </c>
      <c r="G225" t="s">
        <v>6029</v>
      </c>
      <c r="H225" t="s">
        <v>6032</v>
      </c>
      <c r="I225" t="s">
        <v>6046</v>
      </c>
      <c r="J225" t="s">
        <v>6055</v>
      </c>
      <c r="K225" t="s">
        <v>6063</v>
      </c>
      <c r="L225" t="s">
        <v>6134</v>
      </c>
      <c r="M225">
        <v>987.11</v>
      </c>
      <c r="N225">
        <v>7</v>
      </c>
      <c r="O225">
        <v>0.23</v>
      </c>
      <c r="P225">
        <v>-19.2</v>
      </c>
      <c r="Q225" t="s">
        <v>9895</v>
      </c>
      <c r="R225">
        <v>7</v>
      </c>
      <c r="S225" s="5">
        <f t="shared" si="6"/>
        <v>-1.9450719777937615E-2</v>
      </c>
      <c r="T225">
        <v>141.0157142857143</v>
      </c>
      <c r="U225">
        <v>9</v>
      </c>
      <c r="V225">
        <v>2022</v>
      </c>
      <c r="W225">
        <v>3</v>
      </c>
      <c r="X225" t="s">
        <v>9898</v>
      </c>
      <c r="Y225" t="s">
        <v>9900</v>
      </c>
      <c r="Z225" t="s">
        <v>9899</v>
      </c>
      <c r="AD225">
        <f t="shared" si="7"/>
        <v>7</v>
      </c>
    </row>
    <row r="226" spans="1:30" x14ac:dyDescent="0.25">
      <c r="A226" t="s">
        <v>250</v>
      </c>
      <c r="B226" s="2">
        <v>44612</v>
      </c>
      <c r="C226" s="2">
        <v>44618</v>
      </c>
      <c r="D226" t="s">
        <v>5144</v>
      </c>
      <c r="E226" t="s">
        <v>5644</v>
      </c>
      <c r="F226" t="s">
        <v>6026</v>
      </c>
      <c r="G226" t="s">
        <v>6029</v>
      </c>
      <c r="H226" t="s">
        <v>6041</v>
      </c>
      <c r="I226" t="s">
        <v>6050</v>
      </c>
      <c r="J226" t="s">
        <v>6055</v>
      </c>
      <c r="K226" t="s">
        <v>6063</v>
      </c>
      <c r="L226" t="s">
        <v>6282</v>
      </c>
      <c r="M226">
        <v>776.44</v>
      </c>
      <c r="N226">
        <v>6</v>
      </c>
      <c r="O226">
        <v>0.03</v>
      </c>
      <c r="P226">
        <v>63.12</v>
      </c>
      <c r="Q226" t="s">
        <v>9896</v>
      </c>
      <c r="R226">
        <v>6</v>
      </c>
      <c r="S226" s="5">
        <f t="shared" si="6"/>
        <v>8.1294111586213996E-2</v>
      </c>
      <c r="T226">
        <v>129.40666666666669</v>
      </c>
      <c r="U226">
        <v>2</v>
      </c>
      <c r="V226">
        <v>2022</v>
      </c>
      <c r="W226">
        <v>1</v>
      </c>
      <c r="X226" t="s">
        <v>9899</v>
      </c>
      <c r="Y226" t="s">
        <v>9901</v>
      </c>
      <c r="Z226" t="s">
        <v>9899</v>
      </c>
      <c r="AD226">
        <f t="shared" si="7"/>
        <v>6</v>
      </c>
    </row>
    <row r="227" spans="1:30" x14ac:dyDescent="0.25">
      <c r="A227" t="s">
        <v>251</v>
      </c>
      <c r="B227" s="2">
        <v>45182</v>
      </c>
      <c r="C227" s="2">
        <v>45188</v>
      </c>
      <c r="D227" t="s">
        <v>5209</v>
      </c>
      <c r="E227" t="s">
        <v>5709</v>
      </c>
      <c r="F227" t="s">
        <v>6028</v>
      </c>
      <c r="G227" t="s">
        <v>6031</v>
      </c>
      <c r="H227" t="s">
        <v>6040</v>
      </c>
      <c r="I227" t="s">
        <v>6048</v>
      </c>
      <c r="J227" t="s">
        <v>6055</v>
      </c>
      <c r="K227" t="s">
        <v>6061</v>
      </c>
      <c r="L227" t="s">
        <v>6283</v>
      </c>
      <c r="M227">
        <v>1016.88</v>
      </c>
      <c r="N227">
        <v>7</v>
      </c>
      <c r="O227">
        <v>0.13</v>
      </c>
      <c r="P227">
        <v>128.21</v>
      </c>
      <c r="Q227" t="s">
        <v>9895</v>
      </c>
      <c r="R227">
        <v>6</v>
      </c>
      <c r="S227" s="5">
        <f t="shared" si="6"/>
        <v>0.12608174022500199</v>
      </c>
      <c r="T227">
        <v>145.26857142857139</v>
      </c>
      <c r="U227">
        <v>9</v>
      </c>
      <c r="V227">
        <v>2023</v>
      </c>
      <c r="W227">
        <v>3</v>
      </c>
      <c r="X227" t="s">
        <v>9899</v>
      </c>
      <c r="Y227" t="s">
        <v>9901</v>
      </c>
      <c r="Z227" t="s">
        <v>9898</v>
      </c>
      <c r="AD227">
        <f t="shared" si="7"/>
        <v>6</v>
      </c>
    </row>
    <row r="228" spans="1:30" x14ac:dyDescent="0.25">
      <c r="A228" t="s">
        <v>252</v>
      </c>
      <c r="B228" s="2">
        <v>44685</v>
      </c>
      <c r="C228" s="2">
        <v>44687</v>
      </c>
      <c r="D228" t="s">
        <v>5210</v>
      </c>
      <c r="E228" t="s">
        <v>5710</v>
      </c>
      <c r="F228" t="s">
        <v>6028</v>
      </c>
      <c r="G228" t="s">
        <v>6029</v>
      </c>
      <c r="H228" t="s">
        <v>6036</v>
      </c>
      <c r="I228" t="s">
        <v>6049</v>
      </c>
      <c r="J228" t="s">
        <v>6053</v>
      </c>
      <c r="K228" t="s">
        <v>6056</v>
      </c>
      <c r="L228" t="s">
        <v>6284</v>
      </c>
      <c r="M228">
        <v>1107.72</v>
      </c>
      <c r="N228">
        <v>1</v>
      </c>
      <c r="O228">
        <v>0.1</v>
      </c>
      <c r="P228">
        <v>174.93</v>
      </c>
      <c r="Q228" t="s">
        <v>9897</v>
      </c>
      <c r="R228">
        <v>2</v>
      </c>
      <c r="S228" s="5">
        <f t="shared" si="6"/>
        <v>0.15791896869244937</v>
      </c>
      <c r="T228">
        <v>1107.72</v>
      </c>
      <c r="U228">
        <v>5</v>
      </c>
      <c r="V228">
        <v>2022</v>
      </c>
      <c r="W228">
        <v>2</v>
      </c>
      <c r="X228" t="s">
        <v>9899</v>
      </c>
      <c r="Y228" t="s">
        <v>9901</v>
      </c>
      <c r="Z228" t="s">
        <v>9898</v>
      </c>
      <c r="AD228">
        <f t="shared" si="7"/>
        <v>2</v>
      </c>
    </row>
    <row r="229" spans="1:30" x14ac:dyDescent="0.25">
      <c r="A229" t="s">
        <v>253</v>
      </c>
      <c r="B229" s="2">
        <v>44741</v>
      </c>
      <c r="C229" s="2">
        <v>44742</v>
      </c>
      <c r="D229" t="s">
        <v>5211</v>
      </c>
      <c r="E229" t="s">
        <v>5711</v>
      </c>
      <c r="F229" t="s">
        <v>6026</v>
      </c>
      <c r="G229" t="s">
        <v>6029</v>
      </c>
      <c r="H229" t="s">
        <v>6045</v>
      </c>
      <c r="I229" t="s">
        <v>6046</v>
      </c>
      <c r="J229" t="s">
        <v>6055</v>
      </c>
      <c r="K229" t="s">
        <v>6064</v>
      </c>
      <c r="L229" t="s">
        <v>6285</v>
      </c>
      <c r="M229">
        <v>660.87</v>
      </c>
      <c r="N229">
        <v>5</v>
      </c>
      <c r="O229">
        <v>0.21</v>
      </c>
      <c r="P229">
        <v>34.369999999999997</v>
      </c>
      <c r="Q229" t="s">
        <v>9896</v>
      </c>
      <c r="R229">
        <v>1</v>
      </c>
      <c r="S229" s="5">
        <f t="shared" si="6"/>
        <v>5.2007202626840374E-2</v>
      </c>
      <c r="T229">
        <v>132.17400000000001</v>
      </c>
      <c r="U229">
        <v>6</v>
      </c>
      <c r="V229">
        <v>2022</v>
      </c>
      <c r="W229">
        <v>2</v>
      </c>
      <c r="X229" t="s">
        <v>9899</v>
      </c>
      <c r="Y229" t="s">
        <v>9900</v>
      </c>
      <c r="Z229" t="s">
        <v>9899</v>
      </c>
      <c r="AD229">
        <f t="shared" si="7"/>
        <v>1</v>
      </c>
    </row>
    <row r="230" spans="1:30" x14ac:dyDescent="0.25">
      <c r="A230" t="s">
        <v>254</v>
      </c>
      <c r="B230" s="2">
        <v>44585</v>
      </c>
      <c r="C230" s="2">
        <v>44587</v>
      </c>
      <c r="D230" t="s">
        <v>5212</v>
      </c>
      <c r="E230" t="s">
        <v>5712</v>
      </c>
      <c r="F230" t="s">
        <v>6028</v>
      </c>
      <c r="G230" t="s">
        <v>6029</v>
      </c>
      <c r="H230" t="s">
        <v>6032</v>
      </c>
      <c r="I230" t="s">
        <v>6046</v>
      </c>
      <c r="J230" t="s">
        <v>6054</v>
      </c>
      <c r="K230" t="s">
        <v>6059</v>
      </c>
      <c r="L230" t="s">
        <v>6286</v>
      </c>
      <c r="M230">
        <v>1742.69</v>
      </c>
      <c r="N230">
        <v>6</v>
      </c>
      <c r="O230">
        <v>0.33</v>
      </c>
      <c r="P230">
        <v>-97.46</v>
      </c>
      <c r="Q230" t="s">
        <v>9897</v>
      </c>
      <c r="R230">
        <v>2</v>
      </c>
      <c r="S230" s="5">
        <f t="shared" si="6"/>
        <v>-5.5925035433726018E-2</v>
      </c>
      <c r="T230">
        <v>290.44833333333332</v>
      </c>
      <c r="U230">
        <v>1</v>
      </c>
      <c r="V230">
        <v>2022</v>
      </c>
      <c r="W230">
        <v>1</v>
      </c>
      <c r="X230" t="s">
        <v>9898</v>
      </c>
      <c r="Y230" t="s">
        <v>9902</v>
      </c>
      <c r="Z230" t="s">
        <v>9898</v>
      </c>
      <c r="AD230">
        <f t="shared" si="7"/>
        <v>2</v>
      </c>
    </row>
    <row r="231" spans="1:30" x14ac:dyDescent="0.25">
      <c r="A231" t="s">
        <v>255</v>
      </c>
      <c r="B231" s="2">
        <v>44666</v>
      </c>
      <c r="C231" s="2">
        <v>44667</v>
      </c>
      <c r="D231" t="s">
        <v>5213</v>
      </c>
      <c r="E231" t="s">
        <v>5713</v>
      </c>
      <c r="F231" t="s">
        <v>6026</v>
      </c>
      <c r="G231" t="s">
        <v>6030</v>
      </c>
      <c r="H231" t="s">
        <v>6038</v>
      </c>
      <c r="I231" t="s">
        <v>6047</v>
      </c>
      <c r="J231" t="s">
        <v>6055</v>
      </c>
      <c r="K231" t="s">
        <v>6063</v>
      </c>
      <c r="L231" t="s">
        <v>6287</v>
      </c>
      <c r="M231">
        <v>1210.56</v>
      </c>
      <c r="N231">
        <v>1</v>
      </c>
      <c r="O231">
        <v>0.23</v>
      </c>
      <c r="P231">
        <v>-66.36</v>
      </c>
      <c r="Q231" t="s">
        <v>9893</v>
      </c>
      <c r="R231">
        <v>1</v>
      </c>
      <c r="S231" s="5">
        <f t="shared" si="6"/>
        <v>-5.4817605075337034E-2</v>
      </c>
      <c r="T231">
        <v>1210.56</v>
      </c>
      <c r="U231">
        <v>4</v>
      </c>
      <c r="V231">
        <v>2022</v>
      </c>
      <c r="W231">
        <v>2</v>
      </c>
      <c r="X231" t="s">
        <v>9898</v>
      </c>
      <c r="Y231" t="s">
        <v>9900</v>
      </c>
      <c r="Z231" t="s">
        <v>9898</v>
      </c>
      <c r="AD231">
        <f t="shared" si="7"/>
        <v>1</v>
      </c>
    </row>
    <row r="232" spans="1:30" x14ac:dyDescent="0.25">
      <c r="A232" t="s">
        <v>256</v>
      </c>
      <c r="B232" s="2">
        <v>44645</v>
      </c>
      <c r="C232" s="2">
        <v>44651</v>
      </c>
      <c r="D232" t="s">
        <v>5214</v>
      </c>
      <c r="E232" t="s">
        <v>5714</v>
      </c>
      <c r="F232" t="s">
        <v>6027</v>
      </c>
      <c r="G232" t="s">
        <v>6030</v>
      </c>
      <c r="H232" t="s">
        <v>6035</v>
      </c>
      <c r="I232" t="s">
        <v>6051</v>
      </c>
      <c r="J232" t="s">
        <v>6055</v>
      </c>
      <c r="K232" t="s">
        <v>6064</v>
      </c>
      <c r="L232" t="s">
        <v>6288</v>
      </c>
      <c r="M232">
        <v>1218.73</v>
      </c>
      <c r="N232">
        <v>5</v>
      </c>
      <c r="O232">
        <v>0.28999999999999998</v>
      </c>
      <c r="P232">
        <v>-198.09</v>
      </c>
      <c r="Q232" t="s">
        <v>9896</v>
      </c>
      <c r="R232">
        <v>6</v>
      </c>
      <c r="S232" s="5">
        <f t="shared" si="6"/>
        <v>-0.16253805190649281</v>
      </c>
      <c r="T232">
        <v>243.74600000000001</v>
      </c>
      <c r="U232">
        <v>3</v>
      </c>
      <c r="V232">
        <v>2022</v>
      </c>
      <c r="W232">
        <v>1</v>
      </c>
      <c r="X232" t="s">
        <v>9898</v>
      </c>
      <c r="Y232" t="s">
        <v>9900</v>
      </c>
      <c r="Z232" t="s">
        <v>9898</v>
      </c>
      <c r="AD232">
        <f t="shared" si="7"/>
        <v>6</v>
      </c>
    </row>
    <row r="233" spans="1:30" x14ac:dyDescent="0.25">
      <c r="A233" t="s">
        <v>257</v>
      </c>
      <c r="B233" s="2">
        <v>44729</v>
      </c>
      <c r="C233" s="2">
        <v>44731</v>
      </c>
      <c r="D233" t="s">
        <v>5215</v>
      </c>
      <c r="E233" t="s">
        <v>5715</v>
      </c>
      <c r="F233" t="s">
        <v>6028</v>
      </c>
      <c r="G233" t="s">
        <v>6031</v>
      </c>
      <c r="H233" t="s">
        <v>6034</v>
      </c>
      <c r="I233" t="s">
        <v>6052</v>
      </c>
      <c r="J233" t="s">
        <v>6054</v>
      </c>
      <c r="K233" t="s">
        <v>6059</v>
      </c>
      <c r="L233" t="s">
        <v>6289</v>
      </c>
      <c r="M233">
        <v>1671.39</v>
      </c>
      <c r="N233">
        <v>8</v>
      </c>
      <c r="O233">
        <v>0.01</v>
      </c>
      <c r="P233">
        <v>428.82</v>
      </c>
      <c r="Q233" t="s">
        <v>9894</v>
      </c>
      <c r="R233">
        <v>2</v>
      </c>
      <c r="S233" s="5">
        <f t="shared" si="6"/>
        <v>0.2565648950873225</v>
      </c>
      <c r="T233">
        <v>208.92375000000001</v>
      </c>
      <c r="U233">
        <v>6</v>
      </c>
      <c r="V233">
        <v>2022</v>
      </c>
      <c r="W233">
        <v>2</v>
      </c>
      <c r="X233" t="s">
        <v>9899</v>
      </c>
      <c r="Y233" t="s">
        <v>9901</v>
      </c>
      <c r="Z233" t="s">
        <v>9898</v>
      </c>
      <c r="AD233">
        <f t="shared" si="7"/>
        <v>2</v>
      </c>
    </row>
    <row r="234" spans="1:30" x14ac:dyDescent="0.25">
      <c r="A234" t="s">
        <v>258</v>
      </c>
      <c r="B234" s="2">
        <v>44990</v>
      </c>
      <c r="C234" s="2">
        <v>44994</v>
      </c>
      <c r="D234" t="s">
        <v>5216</v>
      </c>
      <c r="E234" t="s">
        <v>5716</v>
      </c>
      <c r="F234" t="s">
        <v>6028</v>
      </c>
      <c r="G234" t="s">
        <v>6031</v>
      </c>
      <c r="H234" t="s">
        <v>6043</v>
      </c>
      <c r="I234" t="s">
        <v>6050</v>
      </c>
      <c r="J234" t="s">
        <v>6054</v>
      </c>
      <c r="K234" t="s">
        <v>6059</v>
      </c>
      <c r="L234" t="s">
        <v>6290</v>
      </c>
      <c r="M234">
        <v>714.91</v>
      </c>
      <c r="N234">
        <v>5</v>
      </c>
      <c r="O234">
        <v>0.17</v>
      </c>
      <c r="P234">
        <v>4.97</v>
      </c>
      <c r="Q234" t="s">
        <v>9895</v>
      </c>
      <c r="R234">
        <v>4</v>
      </c>
      <c r="S234" s="5">
        <f t="shared" si="6"/>
        <v>6.9519240184079114E-3</v>
      </c>
      <c r="T234">
        <v>142.982</v>
      </c>
      <c r="U234">
        <v>3</v>
      </c>
      <c r="V234">
        <v>2023</v>
      </c>
      <c r="W234">
        <v>1</v>
      </c>
      <c r="X234" t="s">
        <v>9899</v>
      </c>
      <c r="Y234" t="s">
        <v>9900</v>
      </c>
      <c r="Z234" t="s">
        <v>9899</v>
      </c>
      <c r="AD234">
        <f t="shared" si="7"/>
        <v>4</v>
      </c>
    </row>
    <row r="235" spans="1:30" x14ac:dyDescent="0.25">
      <c r="A235" t="s">
        <v>259</v>
      </c>
      <c r="B235" s="2">
        <v>44683</v>
      </c>
      <c r="C235" s="2">
        <v>44689</v>
      </c>
      <c r="D235" t="s">
        <v>5217</v>
      </c>
      <c r="E235" t="s">
        <v>5717</v>
      </c>
      <c r="F235" t="s">
        <v>6026</v>
      </c>
      <c r="G235" t="s">
        <v>6029</v>
      </c>
      <c r="H235" t="s">
        <v>6045</v>
      </c>
      <c r="I235" t="s">
        <v>6049</v>
      </c>
      <c r="J235" t="s">
        <v>6053</v>
      </c>
      <c r="K235" t="s">
        <v>6058</v>
      </c>
      <c r="L235" t="s">
        <v>6291</v>
      </c>
      <c r="M235">
        <v>304.75</v>
      </c>
      <c r="N235">
        <v>5</v>
      </c>
      <c r="O235">
        <v>0.04</v>
      </c>
      <c r="P235">
        <v>20.63</v>
      </c>
      <c r="Q235" t="s">
        <v>9896</v>
      </c>
      <c r="R235">
        <v>6</v>
      </c>
      <c r="S235" s="5">
        <f t="shared" si="6"/>
        <v>6.7694831829368335E-2</v>
      </c>
      <c r="T235">
        <v>60.95</v>
      </c>
      <c r="U235">
        <v>5</v>
      </c>
      <c r="V235">
        <v>2022</v>
      </c>
      <c r="W235">
        <v>2</v>
      </c>
      <c r="X235" t="s">
        <v>9899</v>
      </c>
      <c r="Y235" t="s">
        <v>9901</v>
      </c>
      <c r="Z235" t="s">
        <v>9899</v>
      </c>
      <c r="AD235">
        <f t="shared" si="7"/>
        <v>6</v>
      </c>
    </row>
    <row r="236" spans="1:30" x14ac:dyDescent="0.25">
      <c r="A236" t="s">
        <v>260</v>
      </c>
      <c r="B236" s="2">
        <v>45108</v>
      </c>
      <c r="C236" s="2">
        <v>45113</v>
      </c>
      <c r="D236" t="s">
        <v>5218</v>
      </c>
      <c r="E236" t="s">
        <v>5718</v>
      </c>
      <c r="F236" t="s">
        <v>6028</v>
      </c>
      <c r="G236" t="s">
        <v>6029</v>
      </c>
      <c r="H236" t="s">
        <v>6041</v>
      </c>
      <c r="I236" t="s">
        <v>6046</v>
      </c>
      <c r="J236" t="s">
        <v>6055</v>
      </c>
      <c r="K236" t="s">
        <v>6064</v>
      </c>
      <c r="L236" t="s">
        <v>6292</v>
      </c>
      <c r="M236">
        <v>1013.46</v>
      </c>
      <c r="N236">
        <v>8</v>
      </c>
      <c r="O236">
        <v>0.08</v>
      </c>
      <c r="P236">
        <v>156.65</v>
      </c>
      <c r="Q236" t="s">
        <v>9893</v>
      </c>
      <c r="R236">
        <v>5</v>
      </c>
      <c r="S236" s="5">
        <f t="shared" si="6"/>
        <v>0.15456949460264835</v>
      </c>
      <c r="T236">
        <v>126.6825</v>
      </c>
      <c r="U236">
        <v>7</v>
      </c>
      <c r="V236">
        <v>2023</v>
      </c>
      <c r="W236">
        <v>3</v>
      </c>
      <c r="X236" t="s">
        <v>9899</v>
      </c>
      <c r="Y236" t="s">
        <v>9901</v>
      </c>
      <c r="Z236" t="s">
        <v>9898</v>
      </c>
      <c r="AD236">
        <f t="shared" si="7"/>
        <v>5</v>
      </c>
    </row>
    <row r="237" spans="1:30" x14ac:dyDescent="0.25">
      <c r="A237" t="s">
        <v>261</v>
      </c>
      <c r="B237" s="2">
        <v>45388</v>
      </c>
      <c r="C237" s="2">
        <v>45390</v>
      </c>
      <c r="D237" t="s">
        <v>5152</v>
      </c>
      <c r="E237" t="s">
        <v>5652</v>
      </c>
      <c r="F237" t="s">
        <v>6027</v>
      </c>
      <c r="G237" t="s">
        <v>6030</v>
      </c>
      <c r="H237" t="s">
        <v>6039</v>
      </c>
      <c r="I237" t="s">
        <v>6051</v>
      </c>
      <c r="J237" t="s">
        <v>6055</v>
      </c>
      <c r="K237" t="s">
        <v>6061</v>
      </c>
      <c r="L237" t="s">
        <v>6293</v>
      </c>
      <c r="M237">
        <v>240</v>
      </c>
      <c r="N237">
        <v>7</v>
      </c>
      <c r="O237">
        <v>7.0000000000000007E-2</v>
      </c>
      <c r="P237">
        <v>43.1</v>
      </c>
      <c r="Q237" t="s">
        <v>9897</v>
      </c>
      <c r="R237">
        <v>2</v>
      </c>
      <c r="S237" s="5">
        <f t="shared" si="6"/>
        <v>0.17958333333333334</v>
      </c>
      <c r="T237">
        <v>34.285714285714278</v>
      </c>
      <c r="U237">
        <v>4</v>
      </c>
      <c r="V237">
        <v>2024</v>
      </c>
      <c r="W237">
        <v>2</v>
      </c>
      <c r="X237" t="s">
        <v>9899</v>
      </c>
      <c r="Y237" t="s">
        <v>9901</v>
      </c>
      <c r="Z237" t="s">
        <v>9899</v>
      </c>
      <c r="AD237">
        <f t="shared" si="7"/>
        <v>2</v>
      </c>
    </row>
    <row r="238" spans="1:30" x14ac:dyDescent="0.25">
      <c r="A238" t="s">
        <v>262</v>
      </c>
      <c r="B238" s="2">
        <v>45193</v>
      </c>
      <c r="C238" s="2">
        <v>45197</v>
      </c>
      <c r="D238" t="s">
        <v>5219</v>
      </c>
      <c r="E238" t="s">
        <v>5719</v>
      </c>
      <c r="F238" t="s">
        <v>6026</v>
      </c>
      <c r="G238" t="s">
        <v>6030</v>
      </c>
      <c r="H238" t="s">
        <v>6038</v>
      </c>
      <c r="I238" t="s">
        <v>6047</v>
      </c>
      <c r="J238" t="s">
        <v>6054</v>
      </c>
      <c r="K238" t="s">
        <v>6059</v>
      </c>
      <c r="L238" t="s">
        <v>6294</v>
      </c>
      <c r="M238">
        <v>205.17</v>
      </c>
      <c r="N238">
        <v>4</v>
      </c>
      <c r="O238">
        <v>0.25</v>
      </c>
      <c r="P238">
        <v>-6.52</v>
      </c>
      <c r="Q238" t="s">
        <v>9894</v>
      </c>
      <c r="R238">
        <v>4</v>
      </c>
      <c r="S238" s="5">
        <f t="shared" si="6"/>
        <v>-3.1778525125505677E-2</v>
      </c>
      <c r="T238">
        <v>51.292499999999997</v>
      </c>
      <c r="U238">
        <v>9</v>
      </c>
      <c r="V238">
        <v>2023</v>
      </c>
      <c r="W238">
        <v>3</v>
      </c>
      <c r="X238" t="s">
        <v>9898</v>
      </c>
      <c r="Y238" t="s">
        <v>9900</v>
      </c>
      <c r="Z238" t="s">
        <v>9899</v>
      </c>
      <c r="AD238">
        <f t="shared" si="7"/>
        <v>4</v>
      </c>
    </row>
    <row r="239" spans="1:30" x14ac:dyDescent="0.25">
      <c r="A239" t="s">
        <v>263</v>
      </c>
      <c r="B239" s="2">
        <v>44622</v>
      </c>
      <c r="C239" s="2">
        <v>44629</v>
      </c>
      <c r="D239" t="s">
        <v>5220</v>
      </c>
      <c r="E239" t="s">
        <v>5720</v>
      </c>
      <c r="F239" t="s">
        <v>6026</v>
      </c>
      <c r="G239" t="s">
        <v>6031</v>
      </c>
      <c r="H239" t="s">
        <v>6042</v>
      </c>
      <c r="I239" t="s">
        <v>6050</v>
      </c>
      <c r="J239" t="s">
        <v>6055</v>
      </c>
      <c r="K239" t="s">
        <v>6063</v>
      </c>
      <c r="L239" t="s">
        <v>6295</v>
      </c>
      <c r="M239">
        <v>581.03</v>
      </c>
      <c r="N239">
        <v>4</v>
      </c>
      <c r="O239">
        <v>0.15</v>
      </c>
      <c r="P239">
        <v>29.99</v>
      </c>
      <c r="Q239" t="s">
        <v>9893</v>
      </c>
      <c r="R239">
        <v>7</v>
      </c>
      <c r="S239" s="5">
        <f t="shared" si="6"/>
        <v>5.1615235013682599E-2</v>
      </c>
      <c r="T239">
        <v>145.25749999999999</v>
      </c>
      <c r="U239">
        <v>3</v>
      </c>
      <c r="V239">
        <v>2022</v>
      </c>
      <c r="W239">
        <v>1</v>
      </c>
      <c r="X239" t="s">
        <v>9899</v>
      </c>
      <c r="Y239" t="s">
        <v>9901</v>
      </c>
      <c r="Z239" t="s">
        <v>9899</v>
      </c>
      <c r="AD239">
        <f t="shared" si="7"/>
        <v>7</v>
      </c>
    </row>
    <row r="240" spans="1:30" x14ac:dyDescent="0.25">
      <c r="A240" t="s">
        <v>264</v>
      </c>
      <c r="B240" s="2">
        <v>45350</v>
      </c>
      <c r="C240" s="2">
        <v>45353</v>
      </c>
      <c r="D240" t="s">
        <v>5221</v>
      </c>
      <c r="E240" t="s">
        <v>5721</v>
      </c>
      <c r="F240" t="s">
        <v>6027</v>
      </c>
      <c r="G240" t="s">
        <v>6031</v>
      </c>
      <c r="H240" t="s">
        <v>6040</v>
      </c>
      <c r="I240" t="s">
        <v>6048</v>
      </c>
      <c r="J240" t="s">
        <v>6053</v>
      </c>
      <c r="K240" t="s">
        <v>6058</v>
      </c>
      <c r="L240" t="s">
        <v>6296</v>
      </c>
      <c r="M240">
        <v>463.53</v>
      </c>
      <c r="N240">
        <v>1</v>
      </c>
      <c r="O240">
        <v>0.08</v>
      </c>
      <c r="P240">
        <v>9.9499999999999993</v>
      </c>
      <c r="Q240" t="s">
        <v>9894</v>
      </c>
      <c r="R240">
        <v>3</v>
      </c>
      <c r="S240" s="5">
        <f t="shared" si="6"/>
        <v>2.146570879986193E-2</v>
      </c>
      <c r="T240">
        <v>463.53</v>
      </c>
      <c r="U240">
        <v>2</v>
      </c>
      <c r="V240">
        <v>2024</v>
      </c>
      <c r="W240">
        <v>1</v>
      </c>
      <c r="X240" t="s">
        <v>9899</v>
      </c>
      <c r="Y240" t="s">
        <v>9901</v>
      </c>
      <c r="Z240" t="s">
        <v>9899</v>
      </c>
      <c r="AD240">
        <f t="shared" si="7"/>
        <v>3</v>
      </c>
    </row>
    <row r="241" spans="1:30" x14ac:dyDescent="0.25">
      <c r="A241" t="s">
        <v>265</v>
      </c>
      <c r="B241" s="2">
        <v>44756</v>
      </c>
      <c r="C241" s="2">
        <v>44757</v>
      </c>
      <c r="D241" t="s">
        <v>5222</v>
      </c>
      <c r="E241" t="s">
        <v>5722</v>
      </c>
      <c r="F241" t="s">
        <v>6027</v>
      </c>
      <c r="G241" t="s">
        <v>6031</v>
      </c>
      <c r="H241" t="s">
        <v>6037</v>
      </c>
      <c r="I241" t="s">
        <v>6050</v>
      </c>
      <c r="J241" t="s">
        <v>6055</v>
      </c>
      <c r="K241" t="s">
        <v>6061</v>
      </c>
      <c r="L241" t="s">
        <v>6297</v>
      </c>
      <c r="M241">
        <v>1091.99</v>
      </c>
      <c r="N241">
        <v>1</v>
      </c>
      <c r="O241">
        <v>0.18</v>
      </c>
      <c r="P241">
        <v>28.65</v>
      </c>
      <c r="Q241" t="s">
        <v>9897</v>
      </c>
      <c r="R241">
        <v>1</v>
      </c>
      <c r="S241" s="5">
        <f t="shared" si="6"/>
        <v>2.623650399728935E-2</v>
      </c>
      <c r="T241">
        <v>1091.99</v>
      </c>
      <c r="U241">
        <v>7</v>
      </c>
      <c r="V241">
        <v>2022</v>
      </c>
      <c r="W241">
        <v>3</v>
      </c>
      <c r="X241" t="s">
        <v>9899</v>
      </c>
      <c r="Y241" t="s">
        <v>9900</v>
      </c>
      <c r="Z241" t="s">
        <v>9898</v>
      </c>
      <c r="AD241">
        <f t="shared" si="7"/>
        <v>1</v>
      </c>
    </row>
    <row r="242" spans="1:30" x14ac:dyDescent="0.25">
      <c r="A242" t="s">
        <v>266</v>
      </c>
      <c r="B242" s="2">
        <v>45051</v>
      </c>
      <c r="C242" s="2">
        <v>45055</v>
      </c>
      <c r="D242" t="s">
        <v>5223</v>
      </c>
      <c r="E242" t="s">
        <v>5723</v>
      </c>
      <c r="F242" t="s">
        <v>6028</v>
      </c>
      <c r="G242" t="s">
        <v>6029</v>
      </c>
      <c r="H242" t="s">
        <v>6036</v>
      </c>
      <c r="I242" t="s">
        <v>6046</v>
      </c>
      <c r="J242" t="s">
        <v>6054</v>
      </c>
      <c r="K242" t="s">
        <v>6062</v>
      </c>
      <c r="L242" t="s">
        <v>6298</v>
      </c>
      <c r="M242">
        <v>639.76</v>
      </c>
      <c r="N242">
        <v>3</v>
      </c>
      <c r="O242">
        <v>0.18</v>
      </c>
      <c r="P242">
        <v>23.33</v>
      </c>
      <c r="Q242" t="s">
        <v>9893</v>
      </c>
      <c r="R242">
        <v>4</v>
      </c>
      <c r="S242" s="5">
        <f t="shared" si="6"/>
        <v>3.6466800050018754E-2</v>
      </c>
      <c r="T242">
        <v>213.2533333333333</v>
      </c>
      <c r="U242">
        <v>5</v>
      </c>
      <c r="V242">
        <v>2023</v>
      </c>
      <c r="W242">
        <v>2</v>
      </c>
      <c r="X242" t="s">
        <v>9899</v>
      </c>
      <c r="Y242" t="s">
        <v>9900</v>
      </c>
      <c r="Z242" t="s">
        <v>9899</v>
      </c>
      <c r="AD242">
        <f t="shared" si="7"/>
        <v>4</v>
      </c>
    </row>
    <row r="243" spans="1:30" x14ac:dyDescent="0.25">
      <c r="A243" t="s">
        <v>267</v>
      </c>
      <c r="B243" s="2">
        <v>45052</v>
      </c>
      <c r="C243" s="2">
        <v>45054</v>
      </c>
      <c r="D243" t="s">
        <v>5224</v>
      </c>
      <c r="E243" t="s">
        <v>5724</v>
      </c>
      <c r="F243" t="s">
        <v>6028</v>
      </c>
      <c r="G243" t="s">
        <v>6030</v>
      </c>
      <c r="H243" t="s">
        <v>6039</v>
      </c>
      <c r="I243" t="s">
        <v>6047</v>
      </c>
      <c r="J243" t="s">
        <v>6055</v>
      </c>
      <c r="K243" t="s">
        <v>6063</v>
      </c>
      <c r="L243" t="s">
        <v>6299</v>
      </c>
      <c r="M243">
        <v>1982.87</v>
      </c>
      <c r="N243">
        <v>3</v>
      </c>
      <c r="O243">
        <v>0.24</v>
      </c>
      <c r="P243">
        <v>-153.15</v>
      </c>
      <c r="Q243" t="s">
        <v>9895</v>
      </c>
      <c r="R243">
        <v>2</v>
      </c>
      <c r="S243" s="5">
        <f t="shared" si="6"/>
        <v>-7.7236530887047572E-2</v>
      </c>
      <c r="T243">
        <v>660.95666666666659</v>
      </c>
      <c r="U243">
        <v>5</v>
      </c>
      <c r="V243">
        <v>2023</v>
      </c>
      <c r="W243">
        <v>2</v>
      </c>
      <c r="X243" t="s">
        <v>9898</v>
      </c>
      <c r="Y243" t="s">
        <v>9900</v>
      </c>
      <c r="Z243" t="s">
        <v>9898</v>
      </c>
      <c r="AD243">
        <f t="shared" si="7"/>
        <v>2</v>
      </c>
    </row>
    <row r="244" spans="1:30" x14ac:dyDescent="0.25">
      <c r="A244" t="s">
        <v>268</v>
      </c>
      <c r="B244" s="2">
        <v>44800</v>
      </c>
      <c r="C244" s="2">
        <v>44803</v>
      </c>
      <c r="D244" t="s">
        <v>5183</v>
      </c>
      <c r="E244" t="s">
        <v>5683</v>
      </c>
      <c r="F244" t="s">
        <v>6027</v>
      </c>
      <c r="G244" t="s">
        <v>6030</v>
      </c>
      <c r="H244" t="s">
        <v>6038</v>
      </c>
      <c r="I244" t="s">
        <v>6051</v>
      </c>
      <c r="J244" t="s">
        <v>6053</v>
      </c>
      <c r="K244" t="s">
        <v>6058</v>
      </c>
      <c r="L244" t="s">
        <v>6300</v>
      </c>
      <c r="M244">
        <v>497.9</v>
      </c>
      <c r="N244">
        <v>4</v>
      </c>
      <c r="O244">
        <v>0.23</v>
      </c>
      <c r="P244">
        <v>-23.6</v>
      </c>
      <c r="Q244" t="s">
        <v>9894</v>
      </c>
      <c r="R244">
        <v>3</v>
      </c>
      <c r="S244" s="5">
        <f t="shared" si="6"/>
        <v>-4.739907611970276E-2</v>
      </c>
      <c r="T244">
        <v>124.47499999999999</v>
      </c>
      <c r="U244">
        <v>8</v>
      </c>
      <c r="V244">
        <v>2022</v>
      </c>
      <c r="W244">
        <v>3</v>
      </c>
      <c r="X244" t="s">
        <v>9898</v>
      </c>
      <c r="Y244" t="s">
        <v>9900</v>
      </c>
      <c r="Z244" t="s">
        <v>9899</v>
      </c>
      <c r="AD244">
        <f t="shared" si="7"/>
        <v>3</v>
      </c>
    </row>
    <row r="245" spans="1:30" x14ac:dyDescent="0.25">
      <c r="A245" t="s">
        <v>269</v>
      </c>
      <c r="B245" s="2">
        <v>45132</v>
      </c>
      <c r="C245" s="2">
        <v>45139</v>
      </c>
      <c r="D245" t="s">
        <v>5225</v>
      </c>
      <c r="E245" t="s">
        <v>5725</v>
      </c>
      <c r="F245" t="s">
        <v>6028</v>
      </c>
      <c r="G245" t="s">
        <v>6029</v>
      </c>
      <c r="H245" t="s">
        <v>6045</v>
      </c>
      <c r="I245" t="s">
        <v>6049</v>
      </c>
      <c r="J245" t="s">
        <v>6055</v>
      </c>
      <c r="K245" t="s">
        <v>6064</v>
      </c>
      <c r="L245" t="s">
        <v>6301</v>
      </c>
      <c r="M245">
        <v>593.75</v>
      </c>
      <c r="N245">
        <v>8</v>
      </c>
      <c r="O245">
        <v>0.09</v>
      </c>
      <c r="P245">
        <v>93.93</v>
      </c>
      <c r="Q245" t="s">
        <v>9893</v>
      </c>
      <c r="R245">
        <v>7</v>
      </c>
      <c r="S245" s="5">
        <f t="shared" si="6"/>
        <v>0.15819789473684212</v>
      </c>
      <c r="T245">
        <v>74.21875</v>
      </c>
      <c r="U245">
        <v>7</v>
      </c>
      <c r="V245">
        <v>2023</v>
      </c>
      <c r="W245">
        <v>3</v>
      </c>
      <c r="X245" t="s">
        <v>9899</v>
      </c>
      <c r="Y245" t="s">
        <v>9901</v>
      </c>
      <c r="Z245" t="s">
        <v>9899</v>
      </c>
      <c r="AD245">
        <f t="shared" si="7"/>
        <v>7</v>
      </c>
    </row>
    <row r="246" spans="1:30" x14ac:dyDescent="0.25">
      <c r="A246" t="s">
        <v>270</v>
      </c>
      <c r="B246" s="2">
        <v>45160</v>
      </c>
      <c r="C246" s="2">
        <v>45166</v>
      </c>
      <c r="D246" t="s">
        <v>5226</v>
      </c>
      <c r="E246" t="s">
        <v>5726</v>
      </c>
      <c r="F246" t="s">
        <v>6028</v>
      </c>
      <c r="G246" t="s">
        <v>6029</v>
      </c>
      <c r="H246" t="s">
        <v>6036</v>
      </c>
      <c r="I246" t="s">
        <v>6049</v>
      </c>
      <c r="J246" t="s">
        <v>6053</v>
      </c>
      <c r="K246" t="s">
        <v>6056</v>
      </c>
      <c r="L246" t="s">
        <v>6266</v>
      </c>
      <c r="M246">
        <v>1511.26</v>
      </c>
      <c r="N246">
        <v>4</v>
      </c>
      <c r="O246">
        <v>0.22</v>
      </c>
      <c r="P246">
        <v>5.45</v>
      </c>
      <c r="Q246" t="s">
        <v>9895</v>
      </c>
      <c r="R246">
        <v>6</v>
      </c>
      <c r="S246" s="5">
        <f t="shared" si="6"/>
        <v>3.6062623241533555E-3</v>
      </c>
      <c r="T246">
        <v>377.815</v>
      </c>
      <c r="U246">
        <v>8</v>
      </c>
      <c r="V246">
        <v>2023</v>
      </c>
      <c r="W246">
        <v>3</v>
      </c>
      <c r="X246" t="s">
        <v>9899</v>
      </c>
      <c r="Y246" t="s">
        <v>9900</v>
      </c>
      <c r="Z246" t="s">
        <v>9898</v>
      </c>
      <c r="AD246">
        <f t="shared" si="7"/>
        <v>6</v>
      </c>
    </row>
    <row r="247" spans="1:30" x14ac:dyDescent="0.25">
      <c r="A247" t="s">
        <v>271</v>
      </c>
      <c r="B247" s="2">
        <v>44563</v>
      </c>
      <c r="C247" s="2">
        <v>44568</v>
      </c>
      <c r="D247" t="s">
        <v>5227</v>
      </c>
      <c r="E247" t="s">
        <v>5727</v>
      </c>
      <c r="F247" t="s">
        <v>6028</v>
      </c>
      <c r="G247" t="s">
        <v>6029</v>
      </c>
      <c r="H247" t="s">
        <v>6044</v>
      </c>
      <c r="I247" t="s">
        <v>6049</v>
      </c>
      <c r="J247" t="s">
        <v>6055</v>
      </c>
      <c r="K247" t="s">
        <v>6063</v>
      </c>
      <c r="L247" t="s">
        <v>6302</v>
      </c>
      <c r="M247">
        <v>739.74</v>
      </c>
      <c r="N247">
        <v>5</v>
      </c>
      <c r="O247">
        <v>0.34</v>
      </c>
      <c r="P247">
        <v>-175.73</v>
      </c>
      <c r="Q247" t="s">
        <v>9896</v>
      </c>
      <c r="R247">
        <v>5</v>
      </c>
      <c r="S247" s="5">
        <f t="shared" si="6"/>
        <v>-0.23755643874874954</v>
      </c>
      <c r="T247">
        <v>147.94800000000001</v>
      </c>
      <c r="U247">
        <v>1</v>
      </c>
      <c r="V247">
        <v>2022</v>
      </c>
      <c r="W247">
        <v>1</v>
      </c>
      <c r="X247" t="s">
        <v>9898</v>
      </c>
      <c r="Y247" t="s">
        <v>9902</v>
      </c>
      <c r="Z247" t="s">
        <v>9899</v>
      </c>
      <c r="AD247">
        <f t="shared" si="7"/>
        <v>5</v>
      </c>
    </row>
    <row r="248" spans="1:30" x14ac:dyDescent="0.25">
      <c r="A248" t="s">
        <v>272</v>
      </c>
      <c r="B248" s="2">
        <v>44675</v>
      </c>
      <c r="C248" s="2">
        <v>44676</v>
      </c>
      <c r="D248" t="s">
        <v>5072</v>
      </c>
      <c r="E248" t="s">
        <v>5572</v>
      </c>
      <c r="F248" t="s">
        <v>6027</v>
      </c>
      <c r="G248" t="s">
        <v>6030</v>
      </c>
      <c r="H248" t="s">
        <v>6033</v>
      </c>
      <c r="I248" t="s">
        <v>6047</v>
      </c>
      <c r="J248" t="s">
        <v>6055</v>
      </c>
      <c r="K248" t="s">
        <v>6061</v>
      </c>
      <c r="L248" t="s">
        <v>6303</v>
      </c>
      <c r="M248">
        <v>1578.07</v>
      </c>
      <c r="N248">
        <v>5</v>
      </c>
      <c r="O248">
        <v>0.18</v>
      </c>
      <c r="P248">
        <v>-56.26</v>
      </c>
      <c r="Q248" t="s">
        <v>9894</v>
      </c>
      <c r="R248">
        <v>1</v>
      </c>
      <c r="S248" s="5">
        <f t="shared" si="6"/>
        <v>-3.5651143485396719E-2</v>
      </c>
      <c r="T248">
        <v>315.61399999999998</v>
      </c>
      <c r="U248">
        <v>4</v>
      </c>
      <c r="V248">
        <v>2022</v>
      </c>
      <c r="W248">
        <v>2</v>
      </c>
      <c r="X248" t="s">
        <v>9898</v>
      </c>
      <c r="Y248" t="s">
        <v>9900</v>
      </c>
      <c r="Z248" t="s">
        <v>9898</v>
      </c>
      <c r="AD248">
        <f t="shared" si="7"/>
        <v>1</v>
      </c>
    </row>
    <row r="249" spans="1:30" x14ac:dyDescent="0.25">
      <c r="A249" t="s">
        <v>273</v>
      </c>
      <c r="B249" s="2">
        <v>45397</v>
      </c>
      <c r="C249" s="2">
        <v>45399</v>
      </c>
      <c r="D249" t="s">
        <v>5104</v>
      </c>
      <c r="E249" t="s">
        <v>5604</v>
      </c>
      <c r="F249" t="s">
        <v>6026</v>
      </c>
      <c r="G249" t="s">
        <v>6031</v>
      </c>
      <c r="H249" t="s">
        <v>6043</v>
      </c>
      <c r="I249" t="s">
        <v>6052</v>
      </c>
      <c r="J249" t="s">
        <v>6055</v>
      </c>
      <c r="K249" t="s">
        <v>6064</v>
      </c>
      <c r="L249" t="s">
        <v>6304</v>
      </c>
      <c r="M249">
        <v>1875.54</v>
      </c>
      <c r="N249">
        <v>3</v>
      </c>
      <c r="O249">
        <v>0.05</v>
      </c>
      <c r="P249">
        <v>358.67</v>
      </c>
      <c r="Q249" t="s">
        <v>9895</v>
      </c>
      <c r="R249">
        <v>2</v>
      </c>
      <c r="S249" s="5">
        <f t="shared" si="6"/>
        <v>0.19123559081651154</v>
      </c>
      <c r="T249">
        <v>625.17999999999995</v>
      </c>
      <c r="U249">
        <v>4</v>
      </c>
      <c r="V249">
        <v>2024</v>
      </c>
      <c r="W249">
        <v>2</v>
      </c>
      <c r="X249" t="s">
        <v>9899</v>
      </c>
      <c r="Y249" t="s">
        <v>9901</v>
      </c>
      <c r="Z249" t="s">
        <v>9898</v>
      </c>
      <c r="AD249">
        <f t="shared" si="7"/>
        <v>2</v>
      </c>
    </row>
    <row r="250" spans="1:30" x14ac:dyDescent="0.25">
      <c r="A250" t="s">
        <v>274</v>
      </c>
      <c r="B250" s="2">
        <v>44760</v>
      </c>
      <c r="C250" s="2">
        <v>44762</v>
      </c>
      <c r="D250" t="s">
        <v>5228</v>
      </c>
      <c r="E250" t="s">
        <v>5728</v>
      </c>
      <c r="F250" t="s">
        <v>6028</v>
      </c>
      <c r="G250" t="s">
        <v>6031</v>
      </c>
      <c r="H250" t="s">
        <v>6037</v>
      </c>
      <c r="I250" t="s">
        <v>6048</v>
      </c>
      <c r="J250" t="s">
        <v>6054</v>
      </c>
      <c r="K250" t="s">
        <v>6059</v>
      </c>
      <c r="L250" t="s">
        <v>6305</v>
      </c>
      <c r="M250">
        <v>1565.75</v>
      </c>
      <c r="N250">
        <v>4</v>
      </c>
      <c r="O250">
        <v>0.06</v>
      </c>
      <c r="P250">
        <v>186.51</v>
      </c>
      <c r="Q250" t="s">
        <v>9897</v>
      </c>
      <c r="R250">
        <v>2</v>
      </c>
      <c r="S250" s="5">
        <f t="shared" si="6"/>
        <v>0.11911863324285486</v>
      </c>
      <c r="T250">
        <v>391.4375</v>
      </c>
      <c r="U250">
        <v>7</v>
      </c>
      <c r="V250">
        <v>2022</v>
      </c>
      <c r="W250">
        <v>3</v>
      </c>
      <c r="X250" t="s">
        <v>9899</v>
      </c>
      <c r="Y250" t="s">
        <v>9901</v>
      </c>
      <c r="Z250" t="s">
        <v>9898</v>
      </c>
      <c r="AD250">
        <f t="shared" si="7"/>
        <v>2</v>
      </c>
    </row>
    <row r="251" spans="1:30" x14ac:dyDescent="0.25">
      <c r="A251" t="s">
        <v>275</v>
      </c>
      <c r="B251" s="2">
        <v>45050</v>
      </c>
      <c r="C251" s="2">
        <v>45055</v>
      </c>
      <c r="D251" t="s">
        <v>5229</v>
      </c>
      <c r="E251" t="s">
        <v>5729</v>
      </c>
      <c r="F251" t="s">
        <v>6028</v>
      </c>
      <c r="G251" t="s">
        <v>6031</v>
      </c>
      <c r="H251" t="s">
        <v>6043</v>
      </c>
      <c r="I251" t="s">
        <v>6052</v>
      </c>
      <c r="J251" t="s">
        <v>6055</v>
      </c>
      <c r="K251" t="s">
        <v>6064</v>
      </c>
      <c r="L251" t="s">
        <v>6306</v>
      </c>
      <c r="M251">
        <v>406.74</v>
      </c>
      <c r="N251">
        <v>3</v>
      </c>
      <c r="O251">
        <v>0.34</v>
      </c>
      <c r="P251">
        <v>-90.51</v>
      </c>
      <c r="Q251" t="s">
        <v>9897</v>
      </c>
      <c r="R251">
        <v>5</v>
      </c>
      <c r="S251" s="5">
        <f t="shared" si="6"/>
        <v>-0.22252544623100753</v>
      </c>
      <c r="T251">
        <v>135.58000000000001</v>
      </c>
      <c r="U251">
        <v>5</v>
      </c>
      <c r="V251">
        <v>2023</v>
      </c>
      <c r="W251">
        <v>2</v>
      </c>
      <c r="X251" t="s">
        <v>9898</v>
      </c>
      <c r="Y251" t="s">
        <v>9902</v>
      </c>
      <c r="Z251" t="s">
        <v>9899</v>
      </c>
      <c r="AD251">
        <f t="shared" si="7"/>
        <v>5</v>
      </c>
    </row>
    <row r="252" spans="1:30" x14ac:dyDescent="0.25">
      <c r="A252" t="s">
        <v>276</v>
      </c>
      <c r="B252" s="2">
        <v>45087</v>
      </c>
      <c r="C252" s="2">
        <v>45093</v>
      </c>
      <c r="D252" t="s">
        <v>5230</v>
      </c>
      <c r="E252" t="s">
        <v>5730</v>
      </c>
      <c r="F252" t="s">
        <v>6028</v>
      </c>
      <c r="G252" t="s">
        <v>6030</v>
      </c>
      <c r="H252" t="s">
        <v>6038</v>
      </c>
      <c r="I252" t="s">
        <v>6047</v>
      </c>
      <c r="J252" t="s">
        <v>6054</v>
      </c>
      <c r="K252" t="s">
        <v>6060</v>
      </c>
      <c r="L252" t="s">
        <v>6307</v>
      </c>
      <c r="M252">
        <v>1208.95</v>
      </c>
      <c r="N252">
        <v>3</v>
      </c>
      <c r="O252">
        <v>0.01</v>
      </c>
      <c r="P252">
        <v>173.5</v>
      </c>
      <c r="Q252" t="s">
        <v>9897</v>
      </c>
      <c r="R252">
        <v>6</v>
      </c>
      <c r="S252" s="5">
        <f t="shared" si="6"/>
        <v>0.14351296579676578</v>
      </c>
      <c r="T252">
        <v>402.98333333333329</v>
      </c>
      <c r="U252">
        <v>6</v>
      </c>
      <c r="V252">
        <v>2023</v>
      </c>
      <c r="W252">
        <v>2</v>
      </c>
      <c r="X252" t="s">
        <v>9899</v>
      </c>
      <c r="Y252" t="s">
        <v>9901</v>
      </c>
      <c r="Z252" t="s">
        <v>9898</v>
      </c>
      <c r="AD252">
        <f t="shared" si="7"/>
        <v>6</v>
      </c>
    </row>
    <row r="253" spans="1:30" x14ac:dyDescent="0.25">
      <c r="A253" t="s">
        <v>277</v>
      </c>
      <c r="B253" s="2">
        <v>45271</v>
      </c>
      <c r="C253" s="2">
        <v>45275</v>
      </c>
      <c r="D253" t="s">
        <v>5055</v>
      </c>
      <c r="E253" t="s">
        <v>5555</v>
      </c>
      <c r="F253" t="s">
        <v>6027</v>
      </c>
      <c r="G253" t="s">
        <v>6031</v>
      </c>
      <c r="H253" t="s">
        <v>6034</v>
      </c>
      <c r="I253" t="s">
        <v>6052</v>
      </c>
      <c r="J253" t="s">
        <v>6055</v>
      </c>
      <c r="K253" t="s">
        <v>6061</v>
      </c>
      <c r="L253" t="s">
        <v>6308</v>
      </c>
      <c r="M253">
        <v>953.85</v>
      </c>
      <c r="N253">
        <v>6</v>
      </c>
      <c r="O253">
        <v>0</v>
      </c>
      <c r="P253">
        <v>283.06</v>
      </c>
      <c r="Q253" t="s">
        <v>9895</v>
      </c>
      <c r="R253">
        <v>4</v>
      </c>
      <c r="S253" s="5">
        <f t="shared" si="6"/>
        <v>0.29675525501913297</v>
      </c>
      <c r="T253">
        <v>158.97499999999999</v>
      </c>
      <c r="U253">
        <v>12</v>
      </c>
      <c r="V253">
        <v>2023</v>
      </c>
      <c r="W253">
        <v>4</v>
      </c>
      <c r="X253" t="s">
        <v>9899</v>
      </c>
      <c r="Y253" t="s">
        <v>9901</v>
      </c>
      <c r="Z253" t="s">
        <v>9899</v>
      </c>
      <c r="AD253">
        <f t="shared" si="7"/>
        <v>4</v>
      </c>
    </row>
    <row r="254" spans="1:30" x14ac:dyDescent="0.25">
      <c r="A254" t="s">
        <v>278</v>
      </c>
      <c r="B254" s="2">
        <v>44713</v>
      </c>
      <c r="C254" s="2">
        <v>44716</v>
      </c>
      <c r="D254" t="s">
        <v>5231</v>
      </c>
      <c r="E254" t="s">
        <v>5731</v>
      </c>
      <c r="F254" t="s">
        <v>6026</v>
      </c>
      <c r="G254" t="s">
        <v>6031</v>
      </c>
      <c r="H254" t="s">
        <v>6040</v>
      </c>
      <c r="I254" t="s">
        <v>6050</v>
      </c>
      <c r="J254" t="s">
        <v>6054</v>
      </c>
      <c r="K254" t="s">
        <v>6059</v>
      </c>
      <c r="L254" t="s">
        <v>6309</v>
      </c>
      <c r="M254">
        <v>467.3</v>
      </c>
      <c r="N254">
        <v>6</v>
      </c>
      <c r="O254">
        <v>0.06</v>
      </c>
      <c r="P254">
        <v>95.43</v>
      </c>
      <c r="Q254" t="s">
        <v>9897</v>
      </c>
      <c r="R254">
        <v>3</v>
      </c>
      <c r="S254" s="5">
        <f t="shared" si="6"/>
        <v>0.20421570725444041</v>
      </c>
      <c r="T254">
        <v>77.88333333333334</v>
      </c>
      <c r="U254">
        <v>6</v>
      </c>
      <c r="V254">
        <v>2022</v>
      </c>
      <c r="W254">
        <v>2</v>
      </c>
      <c r="X254" t="s">
        <v>9899</v>
      </c>
      <c r="Y254" t="s">
        <v>9901</v>
      </c>
      <c r="Z254" t="s">
        <v>9899</v>
      </c>
      <c r="AD254">
        <f t="shared" si="7"/>
        <v>3</v>
      </c>
    </row>
    <row r="255" spans="1:30" x14ac:dyDescent="0.25">
      <c r="A255" t="s">
        <v>279</v>
      </c>
      <c r="B255" s="2">
        <v>45294</v>
      </c>
      <c r="C255" s="2">
        <v>45300</v>
      </c>
      <c r="D255" t="s">
        <v>5232</v>
      </c>
      <c r="E255" t="s">
        <v>5732</v>
      </c>
      <c r="F255" t="s">
        <v>6028</v>
      </c>
      <c r="G255" t="s">
        <v>6029</v>
      </c>
      <c r="H255" t="s">
        <v>6045</v>
      </c>
      <c r="I255" t="s">
        <v>6049</v>
      </c>
      <c r="J255" t="s">
        <v>6054</v>
      </c>
      <c r="K255" t="s">
        <v>6059</v>
      </c>
      <c r="L255" t="s">
        <v>6310</v>
      </c>
      <c r="M255">
        <v>267.19</v>
      </c>
      <c r="N255">
        <v>1</v>
      </c>
      <c r="O255">
        <v>0.15</v>
      </c>
      <c r="P255">
        <v>10.66</v>
      </c>
      <c r="Q255" t="s">
        <v>9895</v>
      </c>
      <c r="R255">
        <v>6</v>
      </c>
      <c r="S255" s="5">
        <f t="shared" si="6"/>
        <v>3.9896702720910213E-2</v>
      </c>
      <c r="T255">
        <v>267.19</v>
      </c>
      <c r="U255">
        <v>1</v>
      </c>
      <c r="V255">
        <v>2024</v>
      </c>
      <c r="W255">
        <v>1</v>
      </c>
      <c r="X255" t="s">
        <v>9899</v>
      </c>
      <c r="Y255" t="s">
        <v>9901</v>
      </c>
      <c r="Z255" t="s">
        <v>9899</v>
      </c>
      <c r="AD255">
        <f t="shared" si="7"/>
        <v>6</v>
      </c>
    </row>
    <row r="256" spans="1:30" x14ac:dyDescent="0.25">
      <c r="A256" t="s">
        <v>280</v>
      </c>
      <c r="B256" s="2">
        <v>45181</v>
      </c>
      <c r="C256" s="2">
        <v>45182</v>
      </c>
      <c r="D256" t="s">
        <v>5064</v>
      </c>
      <c r="E256" t="s">
        <v>5564</v>
      </c>
      <c r="F256" t="s">
        <v>6027</v>
      </c>
      <c r="G256" t="s">
        <v>6030</v>
      </c>
      <c r="H256" t="s">
        <v>6035</v>
      </c>
      <c r="I256" t="s">
        <v>6047</v>
      </c>
      <c r="J256" t="s">
        <v>6054</v>
      </c>
      <c r="K256" t="s">
        <v>6062</v>
      </c>
      <c r="L256" t="s">
        <v>6311</v>
      </c>
      <c r="M256">
        <v>613.84</v>
      </c>
      <c r="N256">
        <v>6</v>
      </c>
      <c r="O256">
        <v>0.35</v>
      </c>
      <c r="P256">
        <v>-55.02</v>
      </c>
      <c r="Q256" t="s">
        <v>9897</v>
      </c>
      <c r="R256">
        <v>1</v>
      </c>
      <c r="S256" s="5">
        <f t="shared" si="6"/>
        <v>-8.9632477518571618E-2</v>
      </c>
      <c r="T256">
        <v>102.3066666666667</v>
      </c>
      <c r="U256">
        <v>9</v>
      </c>
      <c r="V256">
        <v>2023</v>
      </c>
      <c r="W256">
        <v>3</v>
      </c>
      <c r="X256" t="s">
        <v>9898</v>
      </c>
      <c r="Y256" t="s">
        <v>9902</v>
      </c>
      <c r="Z256" t="s">
        <v>9899</v>
      </c>
      <c r="AD256">
        <f t="shared" si="7"/>
        <v>1</v>
      </c>
    </row>
    <row r="257" spans="1:30" x14ac:dyDescent="0.25">
      <c r="A257" t="s">
        <v>281</v>
      </c>
      <c r="B257" s="2">
        <v>45324</v>
      </c>
      <c r="C257" s="2">
        <v>45326</v>
      </c>
      <c r="D257" t="s">
        <v>5084</v>
      </c>
      <c r="E257" t="s">
        <v>5584</v>
      </c>
      <c r="F257" t="s">
        <v>6026</v>
      </c>
      <c r="G257" t="s">
        <v>6029</v>
      </c>
      <c r="H257" t="s">
        <v>6044</v>
      </c>
      <c r="I257" t="s">
        <v>6050</v>
      </c>
      <c r="J257" t="s">
        <v>6055</v>
      </c>
      <c r="K257" t="s">
        <v>6061</v>
      </c>
      <c r="L257" t="s">
        <v>6312</v>
      </c>
      <c r="M257">
        <v>1287.03</v>
      </c>
      <c r="N257">
        <v>8</v>
      </c>
      <c r="O257">
        <v>0.15</v>
      </c>
      <c r="P257">
        <v>59.11</v>
      </c>
      <c r="Q257" t="s">
        <v>9893</v>
      </c>
      <c r="R257">
        <v>2</v>
      </c>
      <c r="S257" s="5">
        <f t="shared" si="6"/>
        <v>4.5927445358694051E-2</v>
      </c>
      <c r="T257">
        <v>160.87875</v>
      </c>
      <c r="U257">
        <v>2</v>
      </c>
      <c r="V257">
        <v>2024</v>
      </c>
      <c r="W257">
        <v>1</v>
      </c>
      <c r="X257" t="s">
        <v>9899</v>
      </c>
      <c r="Y257" t="s">
        <v>9901</v>
      </c>
      <c r="Z257" t="s">
        <v>9898</v>
      </c>
      <c r="AD257">
        <f t="shared" si="7"/>
        <v>2</v>
      </c>
    </row>
    <row r="258" spans="1:30" x14ac:dyDescent="0.25">
      <c r="A258" t="s">
        <v>282</v>
      </c>
      <c r="B258" s="2">
        <v>44679</v>
      </c>
      <c r="C258" s="2">
        <v>44686</v>
      </c>
      <c r="D258" t="s">
        <v>5201</v>
      </c>
      <c r="E258" t="s">
        <v>5701</v>
      </c>
      <c r="F258" t="s">
        <v>6028</v>
      </c>
      <c r="G258" t="s">
        <v>6029</v>
      </c>
      <c r="H258" t="s">
        <v>6041</v>
      </c>
      <c r="I258" t="s">
        <v>6046</v>
      </c>
      <c r="J258" t="s">
        <v>6055</v>
      </c>
      <c r="K258" t="s">
        <v>6064</v>
      </c>
      <c r="L258" t="s">
        <v>6313</v>
      </c>
      <c r="M258">
        <v>1703.34</v>
      </c>
      <c r="N258">
        <v>4</v>
      </c>
      <c r="O258">
        <v>0.12</v>
      </c>
      <c r="P258">
        <v>8.1199999999999992</v>
      </c>
      <c r="Q258" t="s">
        <v>9895</v>
      </c>
      <c r="R258">
        <v>7</v>
      </c>
      <c r="S258" s="5">
        <f t="shared" si="6"/>
        <v>4.7671046297274762E-3</v>
      </c>
      <c r="T258">
        <v>425.83499999999998</v>
      </c>
      <c r="U258">
        <v>4</v>
      </c>
      <c r="V258">
        <v>2022</v>
      </c>
      <c r="W258">
        <v>2</v>
      </c>
      <c r="X258" t="s">
        <v>9899</v>
      </c>
      <c r="Y258" t="s">
        <v>9901</v>
      </c>
      <c r="Z258" t="s">
        <v>9898</v>
      </c>
      <c r="AD258">
        <f t="shared" si="7"/>
        <v>7</v>
      </c>
    </row>
    <row r="259" spans="1:30" x14ac:dyDescent="0.25">
      <c r="A259" t="s">
        <v>283</v>
      </c>
      <c r="B259" s="2">
        <v>44750</v>
      </c>
      <c r="C259" s="2">
        <v>44751</v>
      </c>
      <c r="D259" t="s">
        <v>5155</v>
      </c>
      <c r="E259" t="s">
        <v>5655</v>
      </c>
      <c r="F259" t="s">
        <v>6028</v>
      </c>
      <c r="G259" t="s">
        <v>6030</v>
      </c>
      <c r="H259" t="s">
        <v>6038</v>
      </c>
      <c r="I259" t="s">
        <v>6047</v>
      </c>
      <c r="J259" t="s">
        <v>6055</v>
      </c>
      <c r="K259" t="s">
        <v>6063</v>
      </c>
      <c r="L259" t="s">
        <v>6314</v>
      </c>
      <c r="M259">
        <v>1381.59</v>
      </c>
      <c r="N259">
        <v>7</v>
      </c>
      <c r="O259">
        <v>0.35</v>
      </c>
      <c r="P259">
        <v>-308.31</v>
      </c>
      <c r="Q259" t="s">
        <v>9897</v>
      </c>
      <c r="R259">
        <v>1</v>
      </c>
      <c r="S259" s="5">
        <f t="shared" ref="S259:S322" si="8">P259/M259</f>
        <v>-0.22315592903828199</v>
      </c>
      <c r="T259">
        <v>197.37</v>
      </c>
      <c r="U259">
        <v>7</v>
      </c>
      <c r="V259">
        <v>2022</v>
      </c>
      <c r="W259">
        <v>3</v>
      </c>
      <c r="X259" t="s">
        <v>9898</v>
      </c>
      <c r="Y259" t="s">
        <v>9902</v>
      </c>
      <c r="Z259" t="s">
        <v>9898</v>
      </c>
      <c r="AD259">
        <f t="shared" ref="AD259:AD322" si="9">C259-B259</f>
        <v>1</v>
      </c>
    </row>
    <row r="260" spans="1:30" x14ac:dyDescent="0.25">
      <c r="A260" t="s">
        <v>284</v>
      </c>
      <c r="B260" s="2">
        <v>44708</v>
      </c>
      <c r="C260" s="2">
        <v>44714</v>
      </c>
      <c r="D260" t="s">
        <v>5121</v>
      </c>
      <c r="E260" t="s">
        <v>5621</v>
      </c>
      <c r="F260" t="s">
        <v>6027</v>
      </c>
      <c r="G260" t="s">
        <v>6029</v>
      </c>
      <c r="H260" t="s">
        <v>6041</v>
      </c>
      <c r="I260" t="s">
        <v>6046</v>
      </c>
      <c r="J260" t="s">
        <v>6055</v>
      </c>
      <c r="K260" t="s">
        <v>6064</v>
      </c>
      <c r="L260" t="s">
        <v>6315</v>
      </c>
      <c r="M260">
        <v>1156.48</v>
      </c>
      <c r="N260">
        <v>3</v>
      </c>
      <c r="O260">
        <v>0.31</v>
      </c>
      <c r="P260">
        <v>-134.26</v>
      </c>
      <c r="Q260" t="s">
        <v>9896</v>
      </c>
      <c r="R260">
        <v>6</v>
      </c>
      <c r="S260" s="5">
        <f t="shared" si="8"/>
        <v>-0.11609366353071388</v>
      </c>
      <c r="T260">
        <v>385.49333333333328</v>
      </c>
      <c r="U260">
        <v>5</v>
      </c>
      <c r="V260">
        <v>2022</v>
      </c>
      <c r="W260">
        <v>2</v>
      </c>
      <c r="X260" t="s">
        <v>9898</v>
      </c>
      <c r="Y260" t="s">
        <v>9902</v>
      </c>
      <c r="Z260" t="s">
        <v>9898</v>
      </c>
      <c r="AD260">
        <f t="shared" si="9"/>
        <v>6</v>
      </c>
    </row>
    <row r="261" spans="1:30" x14ac:dyDescent="0.25">
      <c r="A261" t="s">
        <v>285</v>
      </c>
      <c r="B261" s="2">
        <v>44632</v>
      </c>
      <c r="C261" s="2">
        <v>44638</v>
      </c>
      <c r="D261" t="s">
        <v>5233</v>
      </c>
      <c r="E261" t="s">
        <v>5733</v>
      </c>
      <c r="F261" t="s">
        <v>6028</v>
      </c>
      <c r="G261" t="s">
        <v>6030</v>
      </c>
      <c r="H261" t="s">
        <v>6038</v>
      </c>
      <c r="I261" t="s">
        <v>6051</v>
      </c>
      <c r="J261" t="s">
        <v>6055</v>
      </c>
      <c r="K261" t="s">
        <v>6061</v>
      </c>
      <c r="L261" t="s">
        <v>6316</v>
      </c>
      <c r="M261">
        <v>358.5</v>
      </c>
      <c r="N261">
        <v>8</v>
      </c>
      <c r="O261">
        <v>0.03</v>
      </c>
      <c r="P261">
        <v>50.89</v>
      </c>
      <c r="Q261" t="s">
        <v>9893</v>
      </c>
      <c r="R261">
        <v>6</v>
      </c>
      <c r="S261" s="5">
        <f t="shared" si="8"/>
        <v>0.14195258019525803</v>
      </c>
      <c r="T261">
        <v>44.8125</v>
      </c>
      <c r="U261">
        <v>3</v>
      </c>
      <c r="V261">
        <v>2022</v>
      </c>
      <c r="W261">
        <v>1</v>
      </c>
      <c r="X261" t="s">
        <v>9899</v>
      </c>
      <c r="Y261" t="s">
        <v>9901</v>
      </c>
      <c r="Z261" t="s">
        <v>9899</v>
      </c>
      <c r="AD261">
        <f t="shared" si="9"/>
        <v>6</v>
      </c>
    </row>
    <row r="262" spans="1:30" x14ac:dyDescent="0.25">
      <c r="A262" t="s">
        <v>286</v>
      </c>
      <c r="B262" s="2">
        <v>44655</v>
      </c>
      <c r="C262" s="2">
        <v>44659</v>
      </c>
      <c r="D262" t="s">
        <v>5234</v>
      </c>
      <c r="E262" t="s">
        <v>5734</v>
      </c>
      <c r="F262" t="s">
        <v>6027</v>
      </c>
      <c r="G262" t="s">
        <v>6030</v>
      </c>
      <c r="H262" t="s">
        <v>6033</v>
      </c>
      <c r="I262" t="s">
        <v>6051</v>
      </c>
      <c r="J262" t="s">
        <v>6053</v>
      </c>
      <c r="K262" t="s">
        <v>6056</v>
      </c>
      <c r="L262" t="s">
        <v>6317</v>
      </c>
      <c r="M262">
        <v>1992.71</v>
      </c>
      <c r="N262">
        <v>4</v>
      </c>
      <c r="O262">
        <v>0.32</v>
      </c>
      <c r="P262">
        <v>-177.94</v>
      </c>
      <c r="Q262" t="s">
        <v>9896</v>
      </c>
      <c r="R262">
        <v>4</v>
      </c>
      <c r="S262" s="5">
        <f t="shared" si="8"/>
        <v>-8.9295482032006657E-2</v>
      </c>
      <c r="T262">
        <v>498.17750000000001</v>
      </c>
      <c r="U262">
        <v>4</v>
      </c>
      <c r="V262">
        <v>2022</v>
      </c>
      <c r="W262">
        <v>2</v>
      </c>
      <c r="X262" t="s">
        <v>9898</v>
      </c>
      <c r="Y262" t="s">
        <v>9902</v>
      </c>
      <c r="Z262" t="s">
        <v>9898</v>
      </c>
      <c r="AD262">
        <f t="shared" si="9"/>
        <v>4</v>
      </c>
    </row>
    <row r="263" spans="1:30" x14ac:dyDescent="0.25">
      <c r="A263" t="s">
        <v>287</v>
      </c>
      <c r="B263" s="2">
        <v>45423</v>
      </c>
      <c r="C263" s="2">
        <v>45430</v>
      </c>
      <c r="D263" t="s">
        <v>5235</v>
      </c>
      <c r="E263" t="s">
        <v>5735</v>
      </c>
      <c r="F263" t="s">
        <v>6027</v>
      </c>
      <c r="G263" t="s">
        <v>6029</v>
      </c>
      <c r="H263" t="s">
        <v>6041</v>
      </c>
      <c r="I263" t="s">
        <v>6046</v>
      </c>
      <c r="J263" t="s">
        <v>6055</v>
      </c>
      <c r="K263" t="s">
        <v>6064</v>
      </c>
      <c r="L263" t="s">
        <v>6318</v>
      </c>
      <c r="M263">
        <v>1648.21</v>
      </c>
      <c r="N263">
        <v>8</v>
      </c>
      <c r="O263">
        <v>0.22</v>
      </c>
      <c r="P263">
        <v>37.24</v>
      </c>
      <c r="Q263" t="s">
        <v>9893</v>
      </c>
      <c r="R263">
        <v>7</v>
      </c>
      <c r="S263" s="5">
        <f t="shared" si="8"/>
        <v>2.2594208262296675E-2</v>
      </c>
      <c r="T263">
        <v>206.02625</v>
      </c>
      <c r="U263">
        <v>5</v>
      </c>
      <c r="V263">
        <v>2024</v>
      </c>
      <c r="W263">
        <v>2</v>
      </c>
      <c r="X263" t="s">
        <v>9899</v>
      </c>
      <c r="Y263" t="s">
        <v>9900</v>
      </c>
      <c r="Z263" t="s">
        <v>9898</v>
      </c>
      <c r="AD263">
        <f t="shared" si="9"/>
        <v>7</v>
      </c>
    </row>
    <row r="264" spans="1:30" x14ac:dyDescent="0.25">
      <c r="A264" t="s">
        <v>288</v>
      </c>
      <c r="B264" s="2">
        <v>45142</v>
      </c>
      <c r="C264" s="2">
        <v>45147</v>
      </c>
      <c r="D264" t="s">
        <v>5236</v>
      </c>
      <c r="E264" t="s">
        <v>5736</v>
      </c>
      <c r="F264" t="s">
        <v>6026</v>
      </c>
      <c r="G264" t="s">
        <v>6029</v>
      </c>
      <c r="H264" t="s">
        <v>6032</v>
      </c>
      <c r="I264" t="s">
        <v>6049</v>
      </c>
      <c r="J264" t="s">
        <v>6054</v>
      </c>
      <c r="K264" t="s">
        <v>6062</v>
      </c>
      <c r="L264" t="s">
        <v>6319</v>
      </c>
      <c r="M264">
        <v>1343.47</v>
      </c>
      <c r="N264">
        <v>2</v>
      </c>
      <c r="O264">
        <v>7.0000000000000007E-2</v>
      </c>
      <c r="P264">
        <v>249.46</v>
      </c>
      <c r="Q264" t="s">
        <v>9896</v>
      </c>
      <c r="R264">
        <v>5</v>
      </c>
      <c r="S264" s="5">
        <f t="shared" si="8"/>
        <v>0.18568334238948395</v>
      </c>
      <c r="T264">
        <v>671.73500000000001</v>
      </c>
      <c r="U264">
        <v>8</v>
      </c>
      <c r="V264">
        <v>2023</v>
      </c>
      <c r="W264">
        <v>3</v>
      </c>
      <c r="X264" t="s">
        <v>9899</v>
      </c>
      <c r="Y264" t="s">
        <v>9901</v>
      </c>
      <c r="Z264" t="s">
        <v>9898</v>
      </c>
      <c r="AD264">
        <f t="shared" si="9"/>
        <v>5</v>
      </c>
    </row>
    <row r="265" spans="1:30" x14ac:dyDescent="0.25">
      <c r="A265" t="s">
        <v>289</v>
      </c>
      <c r="B265" s="2">
        <v>45145</v>
      </c>
      <c r="C265" s="2">
        <v>45147</v>
      </c>
      <c r="D265" t="s">
        <v>5217</v>
      </c>
      <c r="E265" t="s">
        <v>5717</v>
      </c>
      <c r="F265" t="s">
        <v>6028</v>
      </c>
      <c r="G265" t="s">
        <v>6030</v>
      </c>
      <c r="H265" t="s">
        <v>6038</v>
      </c>
      <c r="I265" t="s">
        <v>6051</v>
      </c>
      <c r="J265" t="s">
        <v>6055</v>
      </c>
      <c r="K265" t="s">
        <v>6063</v>
      </c>
      <c r="L265" t="s">
        <v>6320</v>
      </c>
      <c r="M265">
        <v>831.53</v>
      </c>
      <c r="N265">
        <v>1</v>
      </c>
      <c r="O265">
        <v>0.16</v>
      </c>
      <c r="P265">
        <v>-27.22</v>
      </c>
      <c r="Q265" t="s">
        <v>9895</v>
      </c>
      <c r="R265">
        <v>2</v>
      </c>
      <c r="S265" s="5">
        <f t="shared" si="8"/>
        <v>-3.2734838189842817E-2</v>
      </c>
      <c r="T265">
        <v>831.53</v>
      </c>
      <c r="U265">
        <v>8</v>
      </c>
      <c r="V265">
        <v>2023</v>
      </c>
      <c r="W265">
        <v>3</v>
      </c>
      <c r="X265" t="s">
        <v>9898</v>
      </c>
      <c r="Y265" t="s">
        <v>9900</v>
      </c>
      <c r="Z265" t="s">
        <v>9899</v>
      </c>
      <c r="AD265">
        <f t="shared" si="9"/>
        <v>2</v>
      </c>
    </row>
    <row r="266" spans="1:30" x14ac:dyDescent="0.25">
      <c r="A266" t="s">
        <v>290</v>
      </c>
      <c r="B266" s="2">
        <v>44846</v>
      </c>
      <c r="C266" s="2">
        <v>44852</v>
      </c>
      <c r="D266" t="s">
        <v>5085</v>
      </c>
      <c r="E266" t="s">
        <v>5585</v>
      </c>
      <c r="F266" t="s">
        <v>6026</v>
      </c>
      <c r="G266" t="s">
        <v>6030</v>
      </c>
      <c r="H266" t="s">
        <v>6035</v>
      </c>
      <c r="I266" t="s">
        <v>6047</v>
      </c>
      <c r="J266" t="s">
        <v>6054</v>
      </c>
      <c r="K266" t="s">
        <v>6060</v>
      </c>
      <c r="L266" t="s">
        <v>6321</v>
      </c>
      <c r="M266">
        <v>133.66999999999999</v>
      </c>
      <c r="N266">
        <v>4</v>
      </c>
      <c r="O266">
        <v>0.25</v>
      </c>
      <c r="P266">
        <v>-9.26</v>
      </c>
      <c r="Q266" t="s">
        <v>9896</v>
      </c>
      <c r="R266">
        <v>6</v>
      </c>
      <c r="S266" s="5">
        <f t="shared" si="8"/>
        <v>-6.9275080421934615E-2</v>
      </c>
      <c r="T266">
        <v>33.417499999999997</v>
      </c>
      <c r="U266">
        <v>10</v>
      </c>
      <c r="V266">
        <v>2022</v>
      </c>
      <c r="W266">
        <v>4</v>
      </c>
      <c r="X266" t="s">
        <v>9898</v>
      </c>
      <c r="Y266" t="s">
        <v>9900</v>
      </c>
      <c r="Z266" t="s">
        <v>9899</v>
      </c>
      <c r="AD266">
        <f t="shared" si="9"/>
        <v>6</v>
      </c>
    </row>
    <row r="267" spans="1:30" x14ac:dyDescent="0.25">
      <c r="A267" t="s">
        <v>291</v>
      </c>
      <c r="B267" s="2">
        <v>45325</v>
      </c>
      <c r="C267" s="2">
        <v>45327</v>
      </c>
      <c r="D267" t="s">
        <v>5237</v>
      </c>
      <c r="E267" t="s">
        <v>5737</v>
      </c>
      <c r="F267" t="s">
        <v>6027</v>
      </c>
      <c r="G267" t="s">
        <v>6031</v>
      </c>
      <c r="H267" t="s">
        <v>6042</v>
      </c>
      <c r="I267" t="s">
        <v>6048</v>
      </c>
      <c r="J267" t="s">
        <v>6053</v>
      </c>
      <c r="K267" t="s">
        <v>6056</v>
      </c>
      <c r="L267" t="s">
        <v>6322</v>
      </c>
      <c r="M267">
        <v>592.33000000000004</v>
      </c>
      <c r="N267">
        <v>5</v>
      </c>
      <c r="O267">
        <v>0.25</v>
      </c>
      <c r="P267">
        <v>-66.61</v>
      </c>
      <c r="Q267" t="s">
        <v>9896</v>
      </c>
      <c r="R267">
        <v>2</v>
      </c>
      <c r="S267" s="5">
        <f t="shared" si="8"/>
        <v>-0.11245420627015346</v>
      </c>
      <c r="T267">
        <v>118.46599999999999</v>
      </c>
      <c r="U267">
        <v>2</v>
      </c>
      <c r="V267">
        <v>2024</v>
      </c>
      <c r="W267">
        <v>1</v>
      </c>
      <c r="X267" t="s">
        <v>9898</v>
      </c>
      <c r="Y267" t="s">
        <v>9900</v>
      </c>
      <c r="Z267" t="s">
        <v>9899</v>
      </c>
      <c r="AD267">
        <f t="shared" si="9"/>
        <v>2</v>
      </c>
    </row>
    <row r="268" spans="1:30" x14ac:dyDescent="0.25">
      <c r="A268" t="s">
        <v>292</v>
      </c>
      <c r="B268" s="2">
        <v>44768</v>
      </c>
      <c r="C268" s="2">
        <v>44775</v>
      </c>
      <c r="D268" t="s">
        <v>5102</v>
      </c>
      <c r="E268" t="s">
        <v>5602</v>
      </c>
      <c r="F268" t="s">
        <v>6026</v>
      </c>
      <c r="G268" t="s">
        <v>6030</v>
      </c>
      <c r="H268" t="s">
        <v>6038</v>
      </c>
      <c r="I268" t="s">
        <v>6051</v>
      </c>
      <c r="J268" t="s">
        <v>6053</v>
      </c>
      <c r="K268" t="s">
        <v>6057</v>
      </c>
      <c r="L268" t="s">
        <v>6323</v>
      </c>
      <c r="M268">
        <v>785.93</v>
      </c>
      <c r="N268">
        <v>6</v>
      </c>
      <c r="O268">
        <v>0.2</v>
      </c>
      <c r="P268">
        <v>15.89</v>
      </c>
      <c r="Q268" t="s">
        <v>9897</v>
      </c>
      <c r="R268">
        <v>7</v>
      </c>
      <c r="S268" s="5">
        <f t="shared" si="8"/>
        <v>2.0218085580140727E-2</v>
      </c>
      <c r="T268">
        <v>130.98833333333329</v>
      </c>
      <c r="U268">
        <v>7</v>
      </c>
      <c r="V268">
        <v>2022</v>
      </c>
      <c r="W268">
        <v>3</v>
      </c>
      <c r="X268" t="s">
        <v>9899</v>
      </c>
      <c r="Y268" t="s">
        <v>9900</v>
      </c>
      <c r="Z268" t="s">
        <v>9899</v>
      </c>
      <c r="AD268">
        <f t="shared" si="9"/>
        <v>7</v>
      </c>
    </row>
    <row r="269" spans="1:30" x14ac:dyDescent="0.25">
      <c r="A269" t="s">
        <v>293</v>
      </c>
      <c r="B269" s="2">
        <v>45328</v>
      </c>
      <c r="C269" s="2">
        <v>45333</v>
      </c>
      <c r="D269" t="s">
        <v>5238</v>
      </c>
      <c r="E269" t="s">
        <v>5738</v>
      </c>
      <c r="F269" t="s">
        <v>6027</v>
      </c>
      <c r="G269" t="s">
        <v>6030</v>
      </c>
      <c r="H269" t="s">
        <v>6038</v>
      </c>
      <c r="I269" t="s">
        <v>6047</v>
      </c>
      <c r="J269" t="s">
        <v>6054</v>
      </c>
      <c r="K269" t="s">
        <v>6059</v>
      </c>
      <c r="L269" t="s">
        <v>6324</v>
      </c>
      <c r="M269">
        <v>840.97</v>
      </c>
      <c r="N269">
        <v>3</v>
      </c>
      <c r="O269">
        <v>0.22</v>
      </c>
      <c r="P269">
        <v>-12.78</v>
      </c>
      <c r="Q269" t="s">
        <v>9896</v>
      </c>
      <c r="R269">
        <v>5</v>
      </c>
      <c r="S269" s="5">
        <f t="shared" si="8"/>
        <v>-1.519673710120456E-2</v>
      </c>
      <c r="T269">
        <v>280.32333333333332</v>
      </c>
      <c r="U269">
        <v>2</v>
      </c>
      <c r="V269">
        <v>2024</v>
      </c>
      <c r="W269">
        <v>1</v>
      </c>
      <c r="X269" t="s">
        <v>9898</v>
      </c>
      <c r="Y269" t="s">
        <v>9900</v>
      </c>
      <c r="Z269" t="s">
        <v>9899</v>
      </c>
      <c r="AD269">
        <f t="shared" si="9"/>
        <v>5</v>
      </c>
    </row>
    <row r="270" spans="1:30" x14ac:dyDescent="0.25">
      <c r="A270" t="s">
        <v>294</v>
      </c>
      <c r="B270" s="2">
        <v>45411</v>
      </c>
      <c r="C270" s="2">
        <v>45413</v>
      </c>
      <c r="D270" t="s">
        <v>5239</v>
      </c>
      <c r="E270" t="s">
        <v>5739</v>
      </c>
      <c r="F270" t="s">
        <v>6026</v>
      </c>
      <c r="G270" t="s">
        <v>6030</v>
      </c>
      <c r="H270" t="s">
        <v>6039</v>
      </c>
      <c r="I270" t="s">
        <v>6047</v>
      </c>
      <c r="J270" t="s">
        <v>6054</v>
      </c>
      <c r="K270" t="s">
        <v>6059</v>
      </c>
      <c r="L270" t="s">
        <v>6325</v>
      </c>
      <c r="M270">
        <v>945.94</v>
      </c>
      <c r="N270">
        <v>6</v>
      </c>
      <c r="O270">
        <v>0.25</v>
      </c>
      <c r="P270">
        <v>-10.71</v>
      </c>
      <c r="Q270" t="s">
        <v>9893</v>
      </c>
      <c r="R270">
        <v>2</v>
      </c>
      <c r="S270" s="5">
        <f t="shared" si="8"/>
        <v>-1.1322071167304481E-2</v>
      </c>
      <c r="T270">
        <v>157.65666666666669</v>
      </c>
      <c r="U270">
        <v>4</v>
      </c>
      <c r="V270">
        <v>2024</v>
      </c>
      <c r="W270">
        <v>2</v>
      </c>
      <c r="X270" t="s">
        <v>9898</v>
      </c>
      <c r="Y270" t="s">
        <v>9900</v>
      </c>
      <c r="Z270" t="s">
        <v>9899</v>
      </c>
      <c r="AD270">
        <f t="shared" si="9"/>
        <v>2</v>
      </c>
    </row>
    <row r="271" spans="1:30" x14ac:dyDescent="0.25">
      <c r="A271" t="s">
        <v>295</v>
      </c>
      <c r="B271" s="2">
        <v>44599</v>
      </c>
      <c r="C271" s="2">
        <v>44605</v>
      </c>
      <c r="D271" t="s">
        <v>5240</v>
      </c>
      <c r="E271" t="s">
        <v>5740</v>
      </c>
      <c r="F271" t="s">
        <v>6028</v>
      </c>
      <c r="G271" t="s">
        <v>6031</v>
      </c>
      <c r="H271" t="s">
        <v>6043</v>
      </c>
      <c r="I271" t="s">
        <v>6052</v>
      </c>
      <c r="J271" t="s">
        <v>6053</v>
      </c>
      <c r="K271" t="s">
        <v>6056</v>
      </c>
      <c r="L271" t="s">
        <v>6326</v>
      </c>
      <c r="M271">
        <v>685.3</v>
      </c>
      <c r="N271">
        <v>4</v>
      </c>
      <c r="O271">
        <v>0.05</v>
      </c>
      <c r="P271">
        <v>115.52</v>
      </c>
      <c r="Q271" t="s">
        <v>9897</v>
      </c>
      <c r="R271">
        <v>6</v>
      </c>
      <c r="S271" s="5">
        <f t="shared" si="8"/>
        <v>0.16856851014154386</v>
      </c>
      <c r="T271">
        <v>171.32499999999999</v>
      </c>
      <c r="U271">
        <v>2</v>
      </c>
      <c r="V271">
        <v>2022</v>
      </c>
      <c r="W271">
        <v>1</v>
      </c>
      <c r="X271" t="s">
        <v>9899</v>
      </c>
      <c r="Y271" t="s">
        <v>9901</v>
      </c>
      <c r="Z271" t="s">
        <v>9899</v>
      </c>
      <c r="AD271">
        <f t="shared" si="9"/>
        <v>6</v>
      </c>
    </row>
    <row r="272" spans="1:30" x14ac:dyDescent="0.25">
      <c r="A272" t="s">
        <v>296</v>
      </c>
      <c r="B272" s="2">
        <v>44698</v>
      </c>
      <c r="C272" s="2">
        <v>44704</v>
      </c>
      <c r="D272" t="s">
        <v>5172</v>
      </c>
      <c r="E272" t="s">
        <v>5672</v>
      </c>
      <c r="F272" t="s">
        <v>6028</v>
      </c>
      <c r="G272" t="s">
        <v>6030</v>
      </c>
      <c r="H272" t="s">
        <v>6033</v>
      </c>
      <c r="I272" t="s">
        <v>6051</v>
      </c>
      <c r="J272" t="s">
        <v>6055</v>
      </c>
      <c r="K272" t="s">
        <v>6064</v>
      </c>
      <c r="L272" t="s">
        <v>6327</v>
      </c>
      <c r="M272">
        <v>770.15</v>
      </c>
      <c r="N272">
        <v>1</v>
      </c>
      <c r="O272">
        <v>0.11</v>
      </c>
      <c r="P272">
        <v>15.78</v>
      </c>
      <c r="Q272" t="s">
        <v>9895</v>
      </c>
      <c r="R272">
        <v>6</v>
      </c>
      <c r="S272" s="5">
        <f t="shared" si="8"/>
        <v>2.04895150295397E-2</v>
      </c>
      <c r="T272">
        <v>770.15</v>
      </c>
      <c r="U272">
        <v>5</v>
      </c>
      <c r="V272">
        <v>2022</v>
      </c>
      <c r="W272">
        <v>2</v>
      </c>
      <c r="X272" t="s">
        <v>9899</v>
      </c>
      <c r="Y272" t="s">
        <v>9901</v>
      </c>
      <c r="Z272" t="s">
        <v>9899</v>
      </c>
      <c r="AD272">
        <f t="shared" si="9"/>
        <v>6</v>
      </c>
    </row>
    <row r="273" spans="1:30" x14ac:dyDescent="0.25">
      <c r="A273" t="s">
        <v>297</v>
      </c>
      <c r="B273" s="2">
        <v>45297</v>
      </c>
      <c r="C273" s="2">
        <v>45298</v>
      </c>
      <c r="D273" t="s">
        <v>5241</v>
      </c>
      <c r="E273" t="s">
        <v>5741</v>
      </c>
      <c r="F273" t="s">
        <v>6028</v>
      </c>
      <c r="G273" t="s">
        <v>6031</v>
      </c>
      <c r="H273" t="s">
        <v>6037</v>
      </c>
      <c r="I273" t="s">
        <v>6052</v>
      </c>
      <c r="J273" t="s">
        <v>6053</v>
      </c>
      <c r="K273" t="s">
        <v>6057</v>
      </c>
      <c r="L273" t="s">
        <v>6328</v>
      </c>
      <c r="M273">
        <v>1399.36</v>
      </c>
      <c r="N273">
        <v>1</v>
      </c>
      <c r="O273">
        <v>0.15</v>
      </c>
      <c r="P273">
        <v>118.8</v>
      </c>
      <c r="Q273" t="s">
        <v>9894</v>
      </c>
      <c r="R273">
        <v>1</v>
      </c>
      <c r="S273" s="5">
        <f t="shared" si="8"/>
        <v>8.4895952435399047E-2</v>
      </c>
      <c r="T273">
        <v>1399.36</v>
      </c>
      <c r="U273">
        <v>1</v>
      </c>
      <c r="V273">
        <v>2024</v>
      </c>
      <c r="W273">
        <v>1</v>
      </c>
      <c r="X273" t="s">
        <v>9899</v>
      </c>
      <c r="Y273" t="s">
        <v>9901</v>
      </c>
      <c r="Z273" t="s">
        <v>9898</v>
      </c>
      <c r="AD273">
        <f t="shared" si="9"/>
        <v>1</v>
      </c>
    </row>
    <row r="274" spans="1:30" x14ac:dyDescent="0.25">
      <c r="A274" t="s">
        <v>298</v>
      </c>
      <c r="B274" s="2">
        <v>45423</v>
      </c>
      <c r="C274" s="2">
        <v>45425</v>
      </c>
      <c r="D274" t="s">
        <v>5242</v>
      </c>
      <c r="E274" t="s">
        <v>5742</v>
      </c>
      <c r="F274" t="s">
        <v>6027</v>
      </c>
      <c r="G274" t="s">
        <v>6029</v>
      </c>
      <c r="H274" t="s">
        <v>6044</v>
      </c>
      <c r="I274" t="s">
        <v>6050</v>
      </c>
      <c r="J274" t="s">
        <v>6053</v>
      </c>
      <c r="K274" t="s">
        <v>6056</v>
      </c>
      <c r="L274" t="s">
        <v>6329</v>
      </c>
      <c r="M274">
        <v>1493.51</v>
      </c>
      <c r="N274">
        <v>3</v>
      </c>
      <c r="O274">
        <v>0.17</v>
      </c>
      <c r="P274">
        <v>83.93</v>
      </c>
      <c r="Q274" t="s">
        <v>9895</v>
      </c>
      <c r="R274">
        <v>2</v>
      </c>
      <c r="S274" s="5">
        <f t="shared" si="8"/>
        <v>5.6196476756098054E-2</v>
      </c>
      <c r="T274">
        <v>497.83666666666659</v>
      </c>
      <c r="U274">
        <v>5</v>
      </c>
      <c r="V274">
        <v>2024</v>
      </c>
      <c r="W274">
        <v>2</v>
      </c>
      <c r="X274" t="s">
        <v>9899</v>
      </c>
      <c r="Y274" t="s">
        <v>9900</v>
      </c>
      <c r="Z274" t="s">
        <v>9898</v>
      </c>
      <c r="AD274">
        <f t="shared" si="9"/>
        <v>2</v>
      </c>
    </row>
    <row r="275" spans="1:30" x14ac:dyDescent="0.25">
      <c r="A275" t="s">
        <v>299</v>
      </c>
      <c r="B275" s="2">
        <v>44780</v>
      </c>
      <c r="C275" s="2">
        <v>44787</v>
      </c>
      <c r="D275" t="s">
        <v>5179</v>
      </c>
      <c r="E275" t="s">
        <v>5679</v>
      </c>
      <c r="F275" t="s">
        <v>6028</v>
      </c>
      <c r="G275" t="s">
        <v>6031</v>
      </c>
      <c r="H275" t="s">
        <v>6040</v>
      </c>
      <c r="I275" t="s">
        <v>6048</v>
      </c>
      <c r="J275" t="s">
        <v>6054</v>
      </c>
      <c r="K275" t="s">
        <v>6060</v>
      </c>
      <c r="L275" t="s">
        <v>6330</v>
      </c>
      <c r="M275">
        <v>1774.43</v>
      </c>
      <c r="N275">
        <v>6</v>
      </c>
      <c r="O275">
        <v>0.06</v>
      </c>
      <c r="P275">
        <v>315.04000000000002</v>
      </c>
      <c r="Q275" t="s">
        <v>9896</v>
      </c>
      <c r="R275">
        <v>7</v>
      </c>
      <c r="S275" s="5">
        <f t="shared" si="8"/>
        <v>0.17754433818183868</v>
      </c>
      <c r="T275">
        <v>295.73833333333329</v>
      </c>
      <c r="U275">
        <v>8</v>
      </c>
      <c r="V275">
        <v>2022</v>
      </c>
      <c r="W275">
        <v>3</v>
      </c>
      <c r="X275" t="s">
        <v>9899</v>
      </c>
      <c r="Y275" t="s">
        <v>9901</v>
      </c>
      <c r="Z275" t="s">
        <v>9898</v>
      </c>
      <c r="AD275">
        <f t="shared" si="9"/>
        <v>7</v>
      </c>
    </row>
    <row r="276" spans="1:30" x14ac:dyDescent="0.25">
      <c r="A276" t="s">
        <v>300</v>
      </c>
      <c r="B276" s="2">
        <v>44855</v>
      </c>
      <c r="C276" s="2">
        <v>44862</v>
      </c>
      <c r="D276" t="s">
        <v>5243</v>
      </c>
      <c r="E276" t="s">
        <v>5743</v>
      </c>
      <c r="F276" t="s">
        <v>6027</v>
      </c>
      <c r="G276" t="s">
        <v>6030</v>
      </c>
      <c r="H276" t="s">
        <v>6035</v>
      </c>
      <c r="I276" t="s">
        <v>6047</v>
      </c>
      <c r="J276" t="s">
        <v>6053</v>
      </c>
      <c r="K276" t="s">
        <v>6057</v>
      </c>
      <c r="L276" t="s">
        <v>6331</v>
      </c>
      <c r="M276">
        <v>458.58</v>
      </c>
      <c r="N276">
        <v>1</v>
      </c>
      <c r="O276">
        <v>0.13</v>
      </c>
      <c r="P276">
        <v>74.28</v>
      </c>
      <c r="Q276" t="s">
        <v>9895</v>
      </c>
      <c r="R276">
        <v>7</v>
      </c>
      <c r="S276" s="5">
        <f t="shared" si="8"/>
        <v>0.16197828077979851</v>
      </c>
      <c r="T276">
        <v>458.58</v>
      </c>
      <c r="U276">
        <v>10</v>
      </c>
      <c r="V276">
        <v>2022</v>
      </c>
      <c r="W276">
        <v>4</v>
      </c>
      <c r="X276" t="s">
        <v>9899</v>
      </c>
      <c r="Y276" t="s">
        <v>9901</v>
      </c>
      <c r="Z276" t="s">
        <v>9899</v>
      </c>
      <c r="AD276">
        <f t="shared" si="9"/>
        <v>7</v>
      </c>
    </row>
    <row r="277" spans="1:30" x14ac:dyDescent="0.25">
      <c r="A277" t="s">
        <v>301</v>
      </c>
      <c r="B277" s="2">
        <v>45146</v>
      </c>
      <c r="C277" s="2">
        <v>45153</v>
      </c>
      <c r="D277" t="s">
        <v>5244</v>
      </c>
      <c r="E277" t="s">
        <v>5744</v>
      </c>
      <c r="F277" t="s">
        <v>6028</v>
      </c>
      <c r="G277" t="s">
        <v>6030</v>
      </c>
      <c r="H277" t="s">
        <v>6033</v>
      </c>
      <c r="I277" t="s">
        <v>6051</v>
      </c>
      <c r="J277" t="s">
        <v>6055</v>
      </c>
      <c r="K277" t="s">
        <v>6064</v>
      </c>
      <c r="L277" t="s">
        <v>6332</v>
      </c>
      <c r="M277">
        <v>590.79</v>
      </c>
      <c r="N277">
        <v>5</v>
      </c>
      <c r="O277">
        <v>0.04</v>
      </c>
      <c r="P277">
        <v>72.81</v>
      </c>
      <c r="Q277" t="s">
        <v>9896</v>
      </c>
      <c r="R277">
        <v>7</v>
      </c>
      <c r="S277" s="5">
        <f t="shared" si="8"/>
        <v>0.12324176103183873</v>
      </c>
      <c r="T277">
        <v>118.158</v>
      </c>
      <c r="U277">
        <v>8</v>
      </c>
      <c r="V277">
        <v>2023</v>
      </c>
      <c r="W277">
        <v>3</v>
      </c>
      <c r="X277" t="s">
        <v>9899</v>
      </c>
      <c r="Y277" t="s">
        <v>9901</v>
      </c>
      <c r="Z277" t="s">
        <v>9899</v>
      </c>
      <c r="AD277">
        <f t="shared" si="9"/>
        <v>7</v>
      </c>
    </row>
    <row r="278" spans="1:30" x14ac:dyDescent="0.25">
      <c r="A278" t="s">
        <v>302</v>
      </c>
      <c r="B278" s="2">
        <v>45036</v>
      </c>
      <c r="C278" s="2">
        <v>45038</v>
      </c>
      <c r="D278" t="s">
        <v>5245</v>
      </c>
      <c r="E278" t="s">
        <v>5745</v>
      </c>
      <c r="F278" t="s">
        <v>6027</v>
      </c>
      <c r="G278" t="s">
        <v>6030</v>
      </c>
      <c r="H278" t="s">
        <v>6033</v>
      </c>
      <c r="I278" t="s">
        <v>6051</v>
      </c>
      <c r="J278" t="s">
        <v>6054</v>
      </c>
      <c r="K278" t="s">
        <v>6060</v>
      </c>
      <c r="L278" t="s">
        <v>6333</v>
      </c>
      <c r="M278">
        <v>806.24</v>
      </c>
      <c r="N278">
        <v>5</v>
      </c>
      <c r="O278">
        <v>0.28999999999999998</v>
      </c>
      <c r="P278">
        <v>-69.02</v>
      </c>
      <c r="Q278" t="s">
        <v>9895</v>
      </c>
      <c r="R278">
        <v>2</v>
      </c>
      <c r="S278" s="5">
        <f t="shared" si="8"/>
        <v>-8.5607263345901963E-2</v>
      </c>
      <c r="T278">
        <v>161.24799999999999</v>
      </c>
      <c r="U278">
        <v>4</v>
      </c>
      <c r="V278">
        <v>2023</v>
      </c>
      <c r="W278">
        <v>2</v>
      </c>
      <c r="X278" t="s">
        <v>9898</v>
      </c>
      <c r="Y278" t="s">
        <v>9900</v>
      </c>
      <c r="Z278" t="s">
        <v>9899</v>
      </c>
      <c r="AD278">
        <f t="shared" si="9"/>
        <v>2</v>
      </c>
    </row>
    <row r="279" spans="1:30" x14ac:dyDescent="0.25">
      <c r="A279" t="s">
        <v>303</v>
      </c>
      <c r="B279" s="2">
        <v>45443</v>
      </c>
      <c r="C279" s="2">
        <v>45445</v>
      </c>
      <c r="D279" t="s">
        <v>5246</v>
      </c>
      <c r="E279" t="s">
        <v>5746</v>
      </c>
      <c r="F279" t="s">
        <v>6026</v>
      </c>
      <c r="G279" t="s">
        <v>6029</v>
      </c>
      <c r="H279" t="s">
        <v>6045</v>
      </c>
      <c r="I279" t="s">
        <v>6049</v>
      </c>
      <c r="J279" t="s">
        <v>6055</v>
      </c>
      <c r="K279" t="s">
        <v>6064</v>
      </c>
      <c r="L279" t="s">
        <v>6334</v>
      </c>
      <c r="M279">
        <v>802.37</v>
      </c>
      <c r="N279">
        <v>3</v>
      </c>
      <c r="O279">
        <v>0.09</v>
      </c>
      <c r="P279">
        <v>18.12</v>
      </c>
      <c r="Q279" t="s">
        <v>9897</v>
      </c>
      <c r="R279">
        <v>2</v>
      </c>
      <c r="S279" s="5">
        <f t="shared" si="8"/>
        <v>2.2583097573438689E-2</v>
      </c>
      <c r="T279">
        <v>267.45666666666659</v>
      </c>
      <c r="U279">
        <v>5</v>
      </c>
      <c r="V279">
        <v>2024</v>
      </c>
      <c r="W279">
        <v>2</v>
      </c>
      <c r="X279" t="s">
        <v>9899</v>
      </c>
      <c r="Y279" t="s">
        <v>9901</v>
      </c>
      <c r="Z279" t="s">
        <v>9899</v>
      </c>
      <c r="AD279">
        <f t="shared" si="9"/>
        <v>2</v>
      </c>
    </row>
    <row r="280" spans="1:30" x14ac:dyDescent="0.25">
      <c r="A280" t="s">
        <v>304</v>
      </c>
      <c r="B280" s="2">
        <v>44783</v>
      </c>
      <c r="C280" s="2">
        <v>44787</v>
      </c>
      <c r="D280" t="s">
        <v>5247</v>
      </c>
      <c r="E280" t="s">
        <v>5747</v>
      </c>
      <c r="F280" t="s">
        <v>6026</v>
      </c>
      <c r="G280" t="s">
        <v>6029</v>
      </c>
      <c r="H280" t="s">
        <v>6032</v>
      </c>
      <c r="I280" t="s">
        <v>6050</v>
      </c>
      <c r="J280" t="s">
        <v>6053</v>
      </c>
      <c r="K280" t="s">
        <v>6056</v>
      </c>
      <c r="L280" t="s">
        <v>6335</v>
      </c>
      <c r="M280">
        <v>761.28</v>
      </c>
      <c r="N280">
        <v>3</v>
      </c>
      <c r="O280">
        <v>0.13</v>
      </c>
      <c r="P280">
        <v>106.74</v>
      </c>
      <c r="Q280" t="s">
        <v>9896</v>
      </c>
      <c r="R280">
        <v>4</v>
      </c>
      <c r="S280" s="5">
        <f t="shared" si="8"/>
        <v>0.14021122320302648</v>
      </c>
      <c r="T280">
        <v>253.76</v>
      </c>
      <c r="U280">
        <v>8</v>
      </c>
      <c r="V280">
        <v>2022</v>
      </c>
      <c r="W280">
        <v>3</v>
      </c>
      <c r="X280" t="s">
        <v>9899</v>
      </c>
      <c r="Y280" t="s">
        <v>9901</v>
      </c>
      <c r="Z280" t="s">
        <v>9899</v>
      </c>
      <c r="AD280">
        <f t="shared" si="9"/>
        <v>4</v>
      </c>
    </row>
    <row r="281" spans="1:30" x14ac:dyDescent="0.25">
      <c r="A281" t="s">
        <v>305</v>
      </c>
      <c r="B281" s="2">
        <v>45356</v>
      </c>
      <c r="C281" s="2">
        <v>45361</v>
      </c>
      <c r="D281" t="s">
        <v>5248</v>
      </c>
      <c r="E281" t="s">
        <v>5748</v>
      </c>
      <c r="F281" t="s">
        <v>6026</v>
      </c>
      <c r="G281" t="s">
        <v>6030</v>
      </c>
      <c r="H281" t="s">
        <v>6035</v>
      </c>
      <c r="I281" t="s">
        <v>6051</v>
      </c>
      <c r="J281" t="s">
        <v>6055</v>
      </c>
      <c r="K281" t="s">
        <v>6061</v>
      </c>
      <c r="L281" t="s">
        <v>6283</v>
      </c>
      <c r="M281">
        <v>1615.87</v>
      </c>
      <c r="N281">
        <v>3</v>
      </c>
      <c r="O281">
        <v>0.25</v>
      </c>
      <c r="P281">
        <v>-3.21</v>
      </c>
      <c r="Q281" t="s">
        <v>9894</v>
      </c>
      <c r="R281">
        <v>5</v>
      </c>
      <c r="S281" s="5">
        <f t="shared" si="8"/>
        <v>-1.9865459473843812E-3</v>
      </c>
      <c r="T281">
        <v>538.62333333333333</v>
      </c>
      <c r="U281">
        <v>3</v>
      </c>
      <c r="V281">
        <v>2024</v>
      </c>
      <c r="W281">
        <v>1</v>
      </c>
      <c r="X281" t="s">
        <v>9898</v>
      </c>
      <c r="Y281" t="s">
        <v>9900</v>
      </c>
      <c r="Z281" t="s">
        <v>9898</v>
      </c>
      <c r="AD281">
        <f t="shared" si="9"/>
        <v>5</v>
      </c>
    </row>
    <row r="282" spans="1:30" x14ac:dyDescent="0.25">
      <c r="A282" t="s">
        <v>306</v>
      </c>
      <c r="B282" s="2">
        <v>44690</v>
      </c>
      <c r="C282" s="2">
        <v>44697</v>
      </c>
      <c r="D282" t="s">
        <v>5249</v>
      </c>
      <c r="E282" t="s">
        <v>5749</v>
      </c>
      <c r="F282" t="s">
        <v>6026</v>
      </c>
      <c r="G282" t="s">
        <v>6031</v>
      </c>
      <c r="H282" t="s">
        <v>6037</v>
      </c>
      <c r="I282" t="s">
        <v>6052</v>
      </c>
      <c r="J282" t="s">
        <v>6053</v>
      </c>
      <c r="K282" t="s">
        <v>6056</v>
      </c>
      <c r="L282" t="s">
        <v>6336</v>
      </c>
      <c r="M282">
        <v>916.9</v>
      </c>
      <c r="N282">
        <v>6</v>
      </c>
      <c r="O282">
        <v>0.19</v>
      </c>
      <c r="P282">
        <v>60.39</v>
      </c>
      <c r="Q282" t="s">
        <v>9893</v>
      </c>
      <c r="R282">
        <v>7</v>
      </c>
      <c r="S282" s="5">
        <f t="shared" si="8"/>
        <v>6.5863234812956709E-2</v>
      </c>
      <c r="T282">
        <v>152.81666666666669</v>
      </c>
      <c r="U282">
        <v>5</v>
      </c>
      <c r="V282">
        <v>2022</v>
      </c>
      <c r="W282">
        <v>2</v>
      </c>
      <c r="X282" t="s">
        <v>9899</v>
      </c>
      <c r="Y282" t="s">
        <v>9900</v>
      </c>
      <c r="Z282" t="s">
        <v>9899</v>
      </c>
      <c r="AD282">
        <f t="shared" si="9"/>
        <v>7</v>
      </c>
    </row>
    <row r="283" spans="1:30" x14ac:dyDescent="0.25">
      <c r="A283" t="s">
        <v>307</v>
      </c>
      <c r="B283" s="2">
        <v>44710</v>
      </c>
      <c r="C283" s="2">
        <v>44713</v>
      </c>
      <c r="D283" t="s">
        <v>5250</v>
      </c>
      <c r="E283" t="s">
        <v>5750</v>
      </c>
      <c r="F283" t="s">
        <v>6027</v>
      </c>
      <c r="G283" t="s">
        <v>6029</v>
      </c>
      <c r="H283" t="s">
        <v>6041</v>
      </c>
      <c r="I283" t="s">
        <v>6046</v>
      </c>
      <c r="J283" t="s">
        <v>6053</v>
      </c>
      <c r="K283" t="s">
        <v>6056</v>
      </c>
      <c r="L283" t="s">
        <v>6337</v>
      </c>
      <c r="M283">
        <v>1000.82</v>
      </c>
      <c r="N283">
        <v>3</v>
      </c>
      <c r="O283">
        <v>0.08</v>
      </c>
      <c r="P283">
        <v>158.44999999999999</v>
      </c>
      <c r="Q283" t="s">
        <v>9893</v>
      </c>
      <c r="R283">
        <v>3</v>
      </c>
      <c r="S283" s="5">
        <f t="shared" si="8"/>
        <v>0.15832017745448729</v>
      </c>
      <c r="T283">
        <v>333.60666666666668</v>
      </c>
      <c r="U283">
        <v>5</v>
      </c>
      <c r="V283">
        <v>2022</v>
      </c>
      <c r="W283">
        <v>2</v>
      </c>
      <c r="X283" t="s">
        <v>9899</v>
      </c>
      <c r="Y283" t="s">
        <v>9901</v>
      </c>
      <c r="Z283" t="s">
        <v>9898</v>
      </c>
      <c r="AD283">
        <f t="shared" si="9"/>
        <v>3</v>
      </c>
    </row>
    <row r="284" spans="1:30" x14ac:dyDescent="0.25">
      <c r="A284" t="s">
        <v>308</v>
      </c>
      <c r="B284" s="2">
        <v>45399</v>
      </c>
      <c r="C284" s="2">
        <v>45402</v>
      </c>
      <c r="D284" t="s">
        <v>5251</v>
      </c>
      <c r="E284" t="s">
        <v>5751</v>
      </c>
      <c r="F284" t="s">
        <v>6027</v>
      </c>
      <c r="G284" t="s">
        <v>6030</v>
      </c>
      <c r="H284" t="s">
        <v>6039</v>
      </c>
      <c r="I284" t="s">
        <v>6047</v>
      </c>
      <c r="J284" t="s">
        <v>6055</v>
      </c>
      <c r="K284" t="s">
        <v>6064</v>
      </c>
      <c r="L284" t="s">
        <v>6338</v>
      </c>
      <c r="M284">
        <v>1122.1099999999999</v>
      </c>
      <c r="N284">
        <v>3</v>
      </c>
      <c r="O284">
        <v>0.04</v>
      </c>
      <c r="P284">
        <v>169.61</v>
      </c>
      <c r="Q284" t="s">
        <v>9893</v>
      </c>
      <c r="R284">
        <v>3</v>
      </c>
      <c r="S284" s="5">
        <f t="shared" si="8"/>
        <v>0.1511527390362799</v>
      </c>
      <c r="T284">
        <v>374.03666666666658</v>
      </c>
      <c r="U284">
        <v>4</v>
      </c>
      <c r="V284">
        <v>2024</v>
      </c>
      <c r="W284">
        <v>2</v>
      </c>
      <c r="X284" t="s">
        <v>9899</v>
      </c>
      <c r="Y284" t="s">
        <v>9901</v>
      </c>
      <c r="Z284" t="s">
        <v>9898</v>
      </c>
      <c r="AD284">
        <f t="shared" si="9"/>
        <v>3</v>
      </c>
    </row>
    <row r="285" spans="1:30" x14ac:dyDescent="0.25">
      <c r="A285" t="s">
        <v>309</v>
      </c>
      <c r="B285" s="2">
        <v>45148</v>
      </c>
      <c r="C285" s="2">
        <v>45150</v>
      </c>
      <c r="D285" t="s">
        <v>5141</v>
      </c>
      <c r="E285" t="s">
        <v>5641</v>
      </c>
      <c r="F285" t="s">
        <v>6027</v>
      </c>
      <c r="G285" t="s">
        <v>6031</v>
      </c>
      <c r="H285" t="s">
        <v>6040</v>
      </c>
      <c r="I285" t="s">
        <v>6052</v>
      </c>
      <c r="J285" t="s">
        <v>6053</v>
      </c>
      <c r="K285" t="s">
        <v>6057</v>
      </c>
      <c r="L285" t="s">
        <v>6339</v>
      </c>
      <c r="M285">
        <v>1890.61</v>
      </c>
      <c r="N285">
        <v>2</v>
      </c>
      <c r="O285">
        <v>0.22</v>
      </c>
      <c r="P285">
        <v>-75.709999999999994</v>
      </c>
      <c r="Q285" t="s">
        <v>9893</v>
      </c>
      <c r="R285">
        <v>2</v>
      </c>
      <c r="S285" s="5">
        <f t="shared" si="8"/>
        <v>-4.0045276392275508E-2</v>
      </c>
      <c r="T285">
        <v>945.30499999999995</v>
      </c>
      <c r="U285">
        <v>8</v>
      </c>
      <c r="V285">
        <v>2023</v>
      </c>
      <c r="W285">
        <v>3</v>
      </c>
      <c r="X285" t="s">
        <v>9898</v>
      </c>
      <c r="Y285" t="s">
        <v>9900</v>
      </c>
      <c r="Z285" t="s">
        <v>9898</v>
      </c>
      <c r="AD285">
        <f t="shared" si="9"/>
        <v>2</v>
      </c>
    </row>
    <row r="286" spans="1:30" x14ac:dyDescent="0.25">
      <c r="A286" t="s">
        <v>310</v>
      </c>
      <c r="B286" s="2">
        <v>44922</v>
      </c>
      <c r="C286" s="2">
        <v>44924</v>
      </c>
      <c r="D286" t="s">
        <v>5130</v>
      </c>
      <c r="E286" t="s">
        <v>5630</v>
      </c>
      <c r="F286" t="s">
        <v>6027</v>
      </c>
      <c r="G286" t="s">
        <v>6030</v>
      </c>
      <c r="H286" t="s">
        <v>6038</v>
      </c>
      <c r="I286" t="s">
        <v>6051</v>
      </c>
      <c r="J286" t="s">
        <v>6054</v>
      </c>
      <c r="K286" t="s">
        <v>6059</v>
      </c>
      <c r="L286" t="s">
        <v>6340</v>
      </c>
      <c r="M286">
        <v>968.93</v>
      </c>
      <c r="N286">
        <v>3</v>
      </c>
      <c r="O286">
        <v>0.28000000000000003</v>
      </c>
      <c r="P286">
        <v>-30.63</v>
      </c>
      <c r="Q286" t="s">
        <v>9895</v>
      </c>
      <c r="R286">
        <v>2</v>
      </c>
      <c r="S286" s="5">
        <f t="shared" si="8"/>
        <v>-3.1612190767134882E-2</v>
      </c>
      <c r="T286">
        <v>322.97666666666657</v>
      </c>
      <c r="U286">
        <v>12</v>
      </c>
      <c r="V286">
        <v>2022</v>
      </c>
      <c r="W286">
        <v>4</v>
      </c>
      <c r="X286" t="s">
        <v>9898</v>
      </c>
      <c r="Y286" t="s">
        <v>9900</v>
      </c>
      <c r="Z286" t="s">
        <v>9899</v>
      </c>
      <c r="AD286">
        <f t="shared" si="9"/>
        <v>2</v>
      </c>
    </row>
    <row r="287" spans="1:30" x14ac:dyDescent="0.25">
      <c r="A287" t="s">
        <v>311</v>
      </c>
      <c r="B287" s="2">
        <v>44568</v>
      </c>
      <c r="C287" s="2">
        <v>44571</v>
      </c>
      <c r="D287" t="s">
        <v>5252</v>
      </c>
      <c r="E287" t="s">
        <v>5752</v>
      </c>
      <c r="F287" t="s">
        <v>6027</v>
      </c>
      <c r="G287" t="s">
        <v>6031</v>
      </c>
      <c r="H287" t="s">
        <v>6043</v>
      </c>
      <c r="I287" t="s">
        <v>6050</v>
      </c>
      <c r="J287" t="s">
        <v>6053</v>
      </c>
      <c r="K287" t="s">
        <v>6056</v>
      </c>
      <c r="L287" t="s">
        <v>6341</v>
      </c>
      <c r="M287">
        <v>1174.98</v>
      </c>
      <c r="N287">
        <v>2</v>
      </c>
      <c r="O287">
        <v>0.35</v>
      </c>
      <c r="P287">
        <v>-110.1</v>
      </c>
      <c r="Q287" t="s">
        <v>9893</v>
      </c>
      <c r="R287">
        <v>3</v>
      </c>
      <c r="S287" s="5">
        <f t="shared" si="8"/>
        <v>-9.3703722616555171E-2</v>
      </c>
      <c r="T287">
        <v>587.49</v>
      </c>
      <c r="U287">
        <v>1</v>
      </c>
      <c r="V287">
        <v>2022</v>
      </c>
      <c r="W287">
        <v>1</v>
      </c>
      <c r="X287" t="s">
        <v>9898</v>
      </c>
      <c r="Y287" t="s">
        <v>9902</v>
      </c>
      <c r="Z287" t="s">
        <v>9898</v>
      </c>
      <c r="AD287">
        <f t="shared" si="9"/>
        <v>3</v>
      </c>
    </row>
    <row r="288" spans="1:30" x14ac:dyDescent="0.25">
      <c r="A288" t="s">
        <v>312</v>
      </c>
      <c r="B288" s="2">
        <v>45098</v>
      </c>
      <c r="C288" s="2">
        <v>45101</v>
      </c>
      <c r="D288" t="s">
        <v>5247</v>
      </c>
      <c r="E288" t="s">
        <v>5747</v>
      </c>
      <c r="F288" t="s">
        <v>6028</v>
      </c>
      <c r="G288" t="s">
        <v>6030</v>
      </c>
      <c r="H288" t="s">
        <v>6035</v>
      </c>
      <c r="I288" t="s">
        <v>6047</v>
      </c>
      <c r="J288" t="s">
        <v>6053</v>
      </c>
      <c r="K288" t="s">
        <v>6057</v>
      </c>
      <c r="L288" t="s">
        <v>6342</v>
      </c>
      <c r="M288">
        <v>1779.43</v>
      </c>
      <c r="N288">
        <v>1</v>
      </c>
      <c r="O288">
        <v>0.24</v>
      </c>
      <c r="P288">
        <v>-49.44</v>
      </c>
      <c r="Q288" t="s">
        <v>9895</v>
      </c>
      <c r="R288">
        <v>3</v>
      </c>
      <c r="S288" s="5">
        <f t="shared" si="8"/>
        <v>-2.7784178079497363E-2</v>
      </c>
      <c r="T288">
        <v>1779.43</v>
      </c>
      <c r="U288">
        <v>6</v>
      </c>
      <c r="V288">
        <v>2023</v>
      </c>
      <c r="W288">
        <v>2</v>
      </c>
      <c r="X288" t="s">
        <v>9898</v>
      </c>
      <c r="Y288" t="s">
        <v>9900</v>
      </c>
      <c r="Z288" t="s">
        <v>9898</v>
      </c>
      <c r="AD288">
        <f t="shared" si="9"/>
        <v>3</v>
      </c>
    </row>
    <row r="289" spans="1:30" x14ac:dyDescent="0.25">
      <c r="A289" t="s">
        <v>313</v>
      </c>
      <c r="B289" s="2">
        <v>45130</v>
      </c>
      <c r="C289" s="2">
        <v>45134</v>
      </c>
      <c r="D289" t="s">
        <v>5253</v>
      </c>
      <c r="E289" t="s">
        <v>5753</v>
      </c>
      <c r="F289" t="s">
        <v>6026</v>
      </c>
      <c r="G289" t="s">
        <v>6029</v>
      </c>
      <c r="H289" t="s">
        <v>6032</v>
      </c>
      <c r="I289" t="s">
        <v>6050</v>
      </c>
      <c r="J289" t="s">
        <v>6054</v>
      </c>
      <c r="K289" t="s">
        <v>6059</v>
      </c>
      <c r="L289" t="s">
        <v>6343</v>
      </c>
      <c r="M289">
        <v>436.02</v>
      </c>
      <c r="N289">
        <v>7</v>
      </c>
      <c r="O289">
        <v>0.19</v>
      </c>
      <c r="P289">
        <v>-16.98</v>
      </c>
      <c r="Q289" t="s">
        <v>9893</v>
      </c>
      <c r="R289">
        <v>4</v>
      </c>
      <c r="S289" s="5">
        <f t="shared" si="8"/>
        <v>-3.8943167744598876E-2</v>
      </c>
      <c r="T289">
        <v>62.288571428571423</v>
      </c>
      <c r="U289">
        <v>7</v>
      </c>
      <c r="V289">
        <v>2023</v>
      </c>
      <c r="W289">
        <v>3</v>
      </c>
      <c r="X289" t="s">
        <v>9898</v>
      </c>
      <c r="Y289" t="s">
        <v>9900</v>
      </c>
      <c r="Z289" t="s">
        <v>9899</v>
      </c>
      <c r="AD289">
        <f t="shared" si="9"/>
        <v>4</v>
      </c>
    </row>
    <row r="290" spans="1:30" x14ac:dyDescent="0.25">
      <c r="A290" t="s">
        <v>314</v>
      </c>
      <c r="B290" s="2">
        <v>45376</v>
      </c>
      <c r="C290" s="2">
        <v>45378</v>
      </c>
      <c r="D290" t="s">
        <v>5089</v>
      </c>
      <c r="E290" t="s">
        <v>5589</v>
      </c>
      <c r="F290" t="s">
        <v>6028</v>
      </c>
      <c r="G290" t="s">
        <v>6030</v>
      </c>
      <c r="H290" t="s">
        <v>6033</v>
      </c>
      <c r="I290" t="s">
        <v>6047</v>
      </c>
      <c r="J290" t="s">
        <v>6054</v>
      </c>
      <c r="K290" t="s">
        <v>6060</v>
      </c>
      <c r="L290" t="s">
        <v>6344</v>
      </c>
      <c r="M290">
        <v>1316.23</v>
      </c>
      <c r="N290">
        <v>4</v>
      </c>
      <c r="O290">
        <v>0.11</v>
      </c>
      <c r="P290">
        <v>198.53</v>
      </c>
      <c r="Q290" t="s">
        <v>9897</v>
      </c>
      <c r="R290">
        <v>2</v>
      </c>
      <c r="S290" s="5">
        <f t="shared" si="8"/>
        <v>0.15083230134550951</v>
      </c>
      <c r="T290">
        <v>329.0575</v>
      </c>
      <c r="U290">
        <v>3</v>
      </c>
      <c r="V290">
        <v>2024</v>
      </c>
      <c r="W290">
        <v>1</v>
      </c>
      <c r="X290" t="s">
        <v>9899</v>
      </c>
      <c r="Y290" t="s">
        <v>9901</v>
      </c>
      <c r="Z290" t="s">
        <v>9898</v>
      </c>
      <c r="AD290">
        <f t="shared" si="9"/>
        <v>2</v>
      </c>
    </row>
    <row r="291" spans="1:30" x14ac:dyDescent="0.25">
      <c r="A291" t="s">
        <v>315</v>
      </c>
      <c r="B291" s="2">
        <v>45185</v>
      </c>
      <c r="C291" s="2">
        <v>45187</v>
      </c>
      <c r="D291" t="s">
        <v>5254</v>
      </c>
      <c r="E291" t="s">
        <v>5754</v>
      </c>
      <c r="F291" t="s">
        <v>6026</v>
      </c>
      <c r="G291" t="s">
        <v>6031</v>
      </c>
      <c r="H291" t="s">
        <v>6037</v>
      </c>
      <c r="I291" t="s">
        <v>6050</v>
      </c>
      <c r="J291" t="s">
        <v>6053</v>
      </c>
      <c r="K291" t="s">
        <v>6056</v>
      </c>
      <c r="L291" t="s">
        <v>6345</v>
      </c>
      <c r="M291">
        <v>1616.35</v>
      </c>
      <c r="N291">
        <v>4</v>
      </c>
      <c r="O291">
        <v>0.01</v>
      </c>
      <c r="P291">
        <v>157.97999999999999</v>
      </c>
      <c r="Q291" t="s">
        <v>9893</v>
      </c>
      <c r="R291">
        <v>2</v>
      </c>
      <c r="S291" s="5">
        <f t="shared" si="8"/>
        <v>9.7738732329012895E-2</v>
      </c>
      <c r="T291">
        <v>404.08749999999998</v>
      </c>
      <c r="U291">
        <v>9</v>
      </c>
      <c r="V291">
        <v>2023</v>
      </c>
      <c r="W291">
        <v>3</v>
      </c>
      <c r="X291" t="s">
        <v>9899</v>
      </c>
      <c r="Y291" t="s">
        <v>9901</v>
      </c>
      <c r="Z291" t="s">
        <v>9898</v>
      </c>
      <c r="AD291">
        <f t="shared" si="9"/>
        <v>2</v>
      </c>
    </row>
    <row r="292" spans="1:30" x14ac:dyDescent="0.25">
      <c r="A292" t="s">
        <v>316</v>
      </c>
      <c r="B292" s="2">
        <v>44885</v>
      </c>
      <c r="C292" s="2">
        <v>44890</v>
      </c>
      <c r="D292" t="s">
        <v>5082</v>
      </c>
      <c r="E292" t="s">
        <v>5582</v>
      </c>
      <c r="F292" t="s">
        <v>6028</v>
      </c>
      <c r="G292" t="s">
        <v>6030</v>
      </c>
      <c r="H292" t="s">
        <v>6035</v>
      </c>
      <c r="I292" t="s">
        <v>6047</v>
      </c>
      <c r="J292" t="s">
        <v>6055</v>
      </c>
      <c r="K292" t="s">
        <v>6061</v>
      </c>
      <c r="L292" t="s">
        <v>6346</v>
      </c>
      <c r="M292">
        <v>1393.45</v>
      </c>
      <c r="N292">
        <v>6</v>
      </c>
      <c r="O292">
        <v>0.01</v>
      </c>
      <c r="P292">
        <v>381.46</v>
      </c>
      <c r="Q292" t="s">
        <v>9894</v>
      </c>
      <c r="R292">
        <v>5</v>
      </c>
      <c r="S292" s="5">
        <f t="shared" si="8"/>
        <v>0.27375219778248233</v>
      </c>
      <c r="T292">
        <v>232.2416666666667</v>
      </c>
      <c r="U292">
        <v>11</v>
      </c>
      <c r="V292">
        <v>2022</v>
      </c>
      <c r="W292">
        <v>4</v>
      </c>
      <c r="X292" t="s">
        <v>9899</v>
      </c>
      <c r="Y292" t="s">
        <v>9901</v>
      </c>
      <c r="Z292" t="s">
        <v>9898</v>
      </c>
      <c r="AD292">
        <f t="shared" si="9"/>
        <v>5</v>
      </c>
    </row>
    <row r="293" spans="1:30" x14ac:dyDescent="0.25">
      <c r="A293" t="s">
        <v>317</v>
      </c>
      <c r="B293" s="2">
        <v>45264</v>
      </c>
      <c r="C293" s="2">
        <v>45271</v>
      </c>
      <c r="D293" t="s">
        <v>5202</v>
      </c>
      <c r="E293" t="s">
        <v>5702</v>
      </c>
      <c r="F293" t="s">
        <v>6026</v>
      </c>
      <c r="G293" t="s">
        <v>6029</v>
      </c>
      <c r="H293" t="s">
        <v>6044</v>
      </c>
      <c r="I293" t="s">
        <v>6050</v>
      </c>
      <c r="J293" t="s">
        <v>6054</v>
      </c>
      <c r="K293" t="s">
        <v>6059</v>
      </c>
      <c r="L293" t="s">
        <v>6347</v>
      </c>
      <c r="M293">
        <v>1745.42</v>
      </c>
      <c r="N293">
        <v>3</v>
      </c>
      <c r="O293">
        <v>0.17</v>
      </c>
      <c r="P293">
        <v>-32.81</v>
      </c>
      <c r="Q293" t="s">
        <v>9896</v>
      </c>
      <c r="R293">
        <v>7</v>
      </c>
      <c r="S293" s="5">
        <f t="shared" si="8"/>
        <v>-1.8797767872489143E-2</v>
      </c>
      <c r="T293">
        <v>581.80666666666673</v>
      </c>
      <c r="U293">
        <v>12</v>
      </c>
      <c r="V293">
        <v>2023</v>
      </c>
      <c r="W293">
        <v>4</v>
      </c>
      <c r="X293" t="s">
        <v>9898</v>
      </c>
      <c r="Y293" t="s">
        <v>9900</v>
      </c>
      <c r="Z293" t="s">
        <v>9898</v>
      </c>
      <c r="AD293">
        <f t="shared" si="9"/>
        <v>7</v>
      </c>
    </row>
    <row r="294" spans="1:30" x14ac:dyDescent="0.25">
      <c r="A294" t="s">
        <v>318</v>
      </c>
      <c r="B294" s="2">
        <v>45309</v>
      </c>
      <c r="C294" s="2">
        <v>45310</v>
      </c>
      <c r="D294" t="s">
        <v>5219</v>
      </c>
      <c r="E294" t="s">
        <v>5719</v>
      </c>
      <c r="F294" t="s">
        <v>6028</v>
      </c>
      <c r="G294" t="s">
        <v>6031</v>
      </c>
      <c r="H294" t="s">
        <v>6040</v>
      </c>
      <c r="I294" t="s">
        <v>6048</v>
      </c>
      <c r="J294" t="s">
        <v>6055</v>
      </c>
      <c r="K294" t="s">
        <v>6064</v>
      </c>
      <c r="L294" t="s">
        <v>6348</v>
      </c>
      <c r="M294">
        <v>1770.44</v>
      </c>
      <c r="N294">
        <v>8</v>
      </c>
      <c r="O294">
        <v>0.23</v>
      </c>
      <c r="P294">
        <v>-163.25</v>
      </c>
      <c r="Q294" t="s">
        <v>9894</v>
      </c>
      <c r="R294">
        <v>1</v>
      </c>
      <c r="S294" s="5">
        <f t="shared" si="8"/>
        <v>-9.2208716477259881E-2</v>
      </c>
      <c r="T294">
        <v>221.30500000000001</v>
      </c>
      <c r="U294">
        <v>1</v>
      </c>
      <c r="V294">
        <v>2024</v>
      </c>
      <c r="W294">
        <v>1</v>
      </c>
      <c r="X294" t="s">
        <v>9898</v>
      </c>
      <c r="Y294" t="s">
        <v>9900</v>
      </c>
      <c r="Z294" t="s">
        <v>9898</v>
      </c>
      <c r="AD294">
        <f t="shared" si="9"/>
        <v>1</v>
      </c>
    </row>
    <row r="295" spans="1:30" x14ac:dyDescent="0.25">
      <c r="A295" t="s">
        <v>319</v>
      </c>
      <c r="B295" s="2">
        <v>44943</v>
      </c>
      <c r="C295" s="2">
        <v>44946</v>
      </c>
      <c r="D295" t="s">
        <v>5255</v>
      </c>
      <c r="E295" t="s">
        <v>5755</v>
      </c>
      <c r="F295" t="s">
        <v>6026</v>
      </c>
      <c r="G295" t="s">
        <v>6031</v>
      </c>
      <c r="H295" t="s">
        <v>6040</v>
      </c>
      <c r="I295" t="s">
        <v>6052</v>
      </c>
      <c r="J295" t="s">
        <v>6055</v>
      </c>
      <c r="K295" t="s">
        <v>6063</v>
      </c>
      <c r="L295" t="s">
        <v>6349</v>
      </c>
      <c r="M295">
        <v>875.66</v>
      </c>
      <c r="N295">
        <v>2</v>
      </c>
      <c r="O295">
        <v>0.21</v>
      </c>
      <c r="P295">
        <v>62.33</v>
      </c>
      <c r="Q295" t="s">
        <v>9896</v>
      </c>
      <c r="R295">
        <v>3</v>
      </c>
      <c r="S295" s="5">
        <f t="shared" si="8"/>
        <v>7.1180595208185829E-2</v>
      </c>
      <c r="T295">
        <v>437.83</v>
      </c>
      <c r="U295">
        <v>1</v>
      </c>
      <c r="V295">
        <v>2023</v>
      </c>
      <c r="W295">
        <v>1</v>
      </c>
      <c r="X295" t="s">
        <v>9899</v>
      </c>
      <c r="Y295" t="s">
        <v>9900</v>
      </c>
      <c r="Z295" t="s">
        <v>9899</v>
      </c>
      <c r="AD295">
        <f t="shared" si="9"/>
        <v>3</v>
      </c>
    </row>
    <row r="296" spans="1:30" x14ac:dyDescent="0.25">
      <c r="A296" t="s">
        <v>320</v>
      </c>
      <c r="B296" s="2">
        <v>44969</v>
      </c>
      <c r="C296" s="2">
        <v>44971</v>
      </c>
      <c r="D296" t="s">
        <v>5256</v>
      </c>
      <c r="E296" t="s">
        <v>5756</v>
      </c>
      <c r="F296" t="s">
        <v>6027</v>
      </c>
      <c r="G296" t="s">
        <v>6031</v>
      </c>
      <c r="H296" t="s">
        <v>6040</v>
      </c>
      <c r="I296" t="s">
        <v>6048</v>
      </c>
      <c r="J296" t="s">
        <v>6053</v>
      </c>
      <c r="K296" t="s">
        <v>6057</v>
      </c>
      <c r="L296" t="s">
        <v>6350</v>
      </c>
      <c r="M296">
        <v>1456.63</v>
      </c>
      <c r="N296">
        <v>2</v>
      </c>
      <c r="O296">
        <v>0.2</v>
      </c>
      <c r="P296">
        <v>145.34</v>
      </c>
      <c r="Q296" t="s">
        <v>9893</v>
      </c>
      <c r="R296">
        <v>2</v>
      </c>
      <c r="S296" s="5">
        <f t="shared" si="8"/>
        <v>9.9778255287890541E-2</v>
      </c>
      <c r="T296">
        <v>728.31500000000005</v>
      </c>
      <c r="U296">
        <v>2</v>
      </c>
      <c r="V296">
        <v>2023</v>
      </c>
      <c r="W296">
        <v>1</v>
      </c>
      <c r="X296" t="s">
        <v>9899</v>
      </c>
      <c r="Y296" t="s">
        <v>9900</v>
      </c>
      <c r="Z296" t="s">
        <v>9898</v>
      </c>
      <c r="AD296">
        <f t="shared" si="9"/>
        <v>2</v>
      </c>
    </row>
    <row r="297" spans="1:30" x14ac:dyDescent="0.25">
      <c r="A297" t="s">
        <v>321</v>
      </c>
      <c r="B297" s="2">
        <v>45450</v>
      </c>
      <c r="C297" s="2">
        <v>45452</v>
      </c>
      <c r="D297" t="s">
        <v>5212</v>
      </c>
      <c r="E297" t="s">
        <v>5712</v>
      </c>
      <c r="F297" t="s">
        <v>6027</v>
      </c>
      <c r="G297" t="s">
        <v>6029</v>
      </c>
      <c r="H297" t="s">
        <v>6044</v>
      </c>
      <c r="I297" t="s">
        <v>6049</v>
      </c>
      <c r="J297" t="s">
        <v>6054</v>
      </c>
      <c r="K297" t="s">
        <v>6062</v>
      </c>
      <c r="L297" t="s">
        <v>6351</v>
      </c>
      <c r="M297">
        <v>123.07</v>
      </c>
      <c r="N297">
        <v>5</v>
      </c>
      <c r="O297">
        <v>0.05</v>
      </c>
      <c r="P297">
        <v>19.25</v>
      </c>
      <c r="Q297" t="s">
        <v>9897</v>
      </c>
      <c r="R297">
        <v>2</v>
      </c>
      <c r="S297" s="5">
        <f t="shared" si="8"/>
        <v>0.15641504834646949</v>
      </c>
      <c r="T297">
        <v>24.614000000000001</v>
      </c>
      <c r="U297">
        <v>6</v>
      </c>
      <c r="V297">
        <v>2024</v>
      </c>
      <c r="W297">
        <v>2</v>
      </c>
      <c r="X297" t="s">
        <v>9899</v>
      </c>
      <c r="Y297" t="s">
        <v>9901</v>
      </c>
      <c r="Z297" t="s">
        <v>9899</v>
      </c>
      <c r="AD297">
        <f t="shared" si="9"/>
        <v>2</v>
      </c>
    </row>
    <row r="298" spans="1:30" x14ac:dyDescent="0.25">
      <c r="A298" t="s">
        <v>322</v>
      </c>
      <c r="B298" s="2">
        <v>44749</v>
      </c>
      <c r="C298" s="2">
        <v>44754</v>
      </c>
      <c r="D298" t="s">
        <v>5142</v>
      </c>
      <c r="E298" t="s">
        <v>5642</v>
      </c>
      <c r="F298" t="s">
        <v>6026</v>
      </c>
      <c r="G298" t="s">
        <v>6030</v>
      </c>
      <c r="H298" t="s">
        <v>6035</v>
      </c>
      <c r="I298" t="s">
        <v>6051</v>
      </c>
      <c r="J298" t="s">
        <v>6054</v>
      </c>
      <c r="K298" t="s">
        <v>6059</v>
      </c>
      <c r="L298" t="s">
        <v>6352</v>
      </c>
      <c r="M298">
        <v>835.74</v>
      </c>
      <c r="N298">
        <v>7</v>
      </c>
      <c r="O298">
        <v>0.08</v>
      </c>
      <c r="P298">
        <v>168.05</v>
      </c>
      <c r="Q298" t="s">
        <v>9894</v>
      </c>
      <c r="R298">
        <v>5</v>
      </c>
      <c r="S298" s="5">
        <f t="shared" si="8"/>
        <v>0.20107928303060763</v>
      </c>
      <c r="T298">
        <v>119.39142857142861</v>
      </c>
      <c r="U298">
        <v>7</v>
      </c>
      <c r="V298">
        <v>2022</v>
      </c>
      <c r="W298">
        <v>3</v>
      </c>
      <c r="X298" t="s">
        <v>9899</v>
      </c>
      <c r="Y298" t="s">
        <v>9901</v>
      </c>
      <c r="Z298" t="s">
        <v>9899</v>
      </c>
      <c r="AD298">
        <f t="shared" si="9"/>
        <v>5</v>
      </c>
    </row>
    <row r="299" spans="1:30" x14ac:dyDescent="0.25">
      <c r="A299" t="s">
        <v>323</v>
      </c>
      <c r="B299" s="2">
        <v>44640</v>
      </c>
      <c r="C299" s="2">
        <v>44644</v>
      </c>
      <c r="D299" t="s">
        <v>5257</v>
      </c>
      <c r="E299" t="s">
        <v>5757</v>
      </c>
      <c r="F299" t="s">
        <v>6028</v>
      </c>
      <c r="G299" t="s">
        <v>6031</v>
      </c>
      <c r="H299" t="s">
        <v>6043</v>
      </c>
      <c r="I299" t="s">
        <v>6048</v>
      </c>
      <c r="J299" t="s">
        <v>6053</v>
      </c>
      <c r="K299" t="s">
        <v>6056</v>
      </c>
      <c r="L299" t="s">
        <v>6353</v>
      </c>
      <c r="M299">
        <v>1072.04</v>
      </c>
      <c r="N299">
        <v>5</v>
      </c>
      <c r="O299">
        <v>0.17</v>
      </c>
      <c r="P299">
        <v>129.46</v>
      </c>
      <c r="Q299" t="s">
        <v>9895</v>
      </c>
      <c r="R299">
        <v>4</v>
      </c>
      <c r="S299" s="5">
        <f t="shared" si="8"/>
        <v>0.12076041938733631</v>
      </c>
      <c r="T299">
        <v>214.40799999999999</v>
      </c>
      <c r="U299">
        <v>3</v>
      </c>
      <c r="V299">
        <v>2022</v>
      </c>
      <c r="W299">
        <v>1</v>
      </c>
      <c r="X299" t="s">
        <v>9899</v>
      </c>
      <c r="Y299" t="s">
        <v>9900</v>
      </c>
      <c r="Z299" t="s">
        <v>9898</v>
      </c>
      <c r="AD299">
        <f t="shared" si="9"/>
        <v>4</v>
      </c>
    </row>
    <row r="300" spans="1:30" x14ac:dyDescent="0.25">
      <c r="A300" t="s">
        <v>324</v>
      </c>
      <c r="B300" s="2">
        <v>44902</v>
      </c>
      <c r="C300" s="2">
        <v>44909</v>
      </c>
      <c r="D300" t="s">
        <v>5222</v>
      </c>
      <c r="E300" t="s">
        <v>5722</v>
      </c>
      <c r="F300" t="s">
        <v>6027</v>
      </c>
      <c r="G300" t="s">
        <v>6030</v>
      </c>
      <c r="H300" t="s">
        <v>6033</v>
      </c>
      <c r="I300" t="s">
        <v>6047</v>
      </c>
      <c r="J300" t="s">
        <v>6054</v>
      </c>
      <c r="K300" t="s">
        <v>6060</v>
      </c>
      <c r="L300" t="s">
        <v>6354</v>
      </c>
      <c r="M300">
        <v>1632.58</v>
      </c>
      <c r="N300">
        <v>4</v>
      </c>
      <c r="O300">
        <v>0.35</v>
      </c>
      <c r="P300">
        <v>-379.91</v>
      </c>
      <c r="Q300" t="s">
        <v>9896</v>
      </c>
      <c r="R300">
        <v>7</v>
      </c>
      <c r="S300" s="5">
        <f t="shared" si="8"/>
        <v>-0.23270528856166317</v>
      </c>
      <c r="T300">
        <v>408.14499999999998</v>
      </c>
      <c r="U300">
        <v>12</v>
      </c>
      <c r="V300">
        <v>2022</v>
      </c>
      <c r="W300">
        <v>4</v>
      </c>
      <c r="X300" t="s">
        <v>9898</v>
      </c>
      <c r="Y300" t="s">
        <v>9902</v>
      </c>
      <c r="Z300" t="s">
        <v>9898</v>
      </c>
      <c r="AD300">
        <f t="shared" si="9"/>
        <v>7</v>
      </c>
    </row>
    <row r="301" spans="1:30" x14ac:dyDescent="0.25">
      <c r="A301" t="s">
        <v>325</v>
      </c>
      <c r="B301" s="2">
        <v>45414</v>
      </c>
      <c r="C301" s="2">
        <v>45421</v>
      </c>
      <c r="D301" t="s">
        <v>5258</v>
      </c>
      <c r="E301" t="s">
        <v>5758</v>
      </c>
      <c r="F301" t="s">
        <v>6026</v>
      </c>
      <c r="G301" t="s">
        <v>6029</v>
      </c>
      <c r="H301" t="s">
        <v>6045</v>
      </c>
      <c r="I301" t="s">
        <v>6049</v>
      </c>
      <c r="J301" t="s">
        <v>6053</v>
      </c>
      <c r="K301" t="s">
        <v>6057</v>
      </c>
      <c r="L301" t="s">
        <v>6355</v>
      </c>
      <c r="M301">
        <v>563.98</v>
      </c>
      <c r="N301">
        <v>1</v>
      </c>
      <c r="O301">
        <v>0.34</v>
      </c>
      <c r="P301">
        <v>-125.43</v>
      </c>
      <c r="Q301" t="s">
        <v>9893</v>
      </c>
      <c r="R301">
        <v>7</v>
      </c>
      <c r="S301" s="5">
        <f t="shared" si="8"/>
        <v>-0.22240150359941843</v>
      </c>
      <c r="T301">
        <v>563.98</v>
      </c>
      <c r="U301">
        <v>5</v>
      </c>
      <c r="V301">
        <v>2024</v>
      </c>
      <c r="W301">
        <v>2</v>
      </c>
      <c r="X301" t="s">
        <v>9898</v>
      </c>
      <c r="Y301" t="s">
        <v>9902</v>
      </c>
      <c r="Z301" t="s">
        <v>9899</v>
      </c>
      <c r="AD301">
        <f t="shared" si="9"/>
        <v>7</v>
      </c>
    </row>
    <row r="302" spans="1:30" x14ac:dyDescent="0.25">
      <c r="A302" t="s">
        <v>326</v>
      </c>
      <c r="B302" s="2">
        <v>44929</v>
      </c>
      <c r="C302" s="2">
        <v>44935</v>
      </c>
      <c r="D302" t="s">
        <v>5259</v>
      </c>
      <c r="E302" t="s">
        <v>5759</v>
      </c>
      <c r="F302" t="s">
        <v>6028</v>
      </c>
      <c r="G302" t="s">
        <v>6031</v>
      </c>
      <c r="H302" t="s">
        <v>6042</v>
      </c>
      <c r="I302" t="s">
        <v>6052</v>
      </c>
      <c r="J302" t="s">
        <v>6054</v>
      </c>
      <c r="K302" t="s">
        <v>6062</v>
      </c>
      <c r="L302" t="s">
        <v>6356</v>
      </c>
      <c r="M302">
        <v>1827.35</v>
      </c>
      <c r="N302">
        <v>1</v>
      </c>
      <c r="O302">
        <v>0.18</v>
      </c>
      <c r="P302">
        <v>-17.690000000000001</v>
      </c>
      <c r="Q302" t="s">
        <v>9895</v>
      </c>
      <c r="R302">
        <v>6</v>
      </c>
      <c r="S302" s="5">
        <f t="shared" si="8"/>
        <v>-9.6806851451555539E-3</v>
      </c>
      <c r="T302">
        <v>1827.35</v>
      </c>
      <c r="U302">
        <v>1</v>
      </c>
      <c r="V302">
        <v>2023</v>
      </c>
      <c r="W302">
        <v>1</v>
      </c>
      <c r="X302" t="s">
        <v>9898</v>
      </c>
      <c r="Y302" t="s">
        <v>9900</v>
      </c>
      <c r="Z302" t="s">
        <v>9898</v>
      </c>
      <c r="AD302">
        <f t="shared" si="9"/>
        <v>6</v>
      </c>
    </row>
    <row r="303" spans="1:30" x14ac:dyDescent="0.25">
      <c r="A303" t="s">
        <v>327</v>
      </c>
      <c r="B303" s="2">
        <v>45252</v>
      </c>
      <c r="C303" s="2">
        <v>45258</v>
      </c>
      <c r="D303" t="s">
        <v>5158</v>
      </c>
      <c r="E303" t="s">
        <v>5658</v>
      </c>
      <c r="F303" t="s">
        <v>6028</v>
      </c>
      <c r="G303" t="s">
        <v>6030</v>
      </c>
      <c r="H303" t="s">
        <v>6033</v>
      </c>
      <c r="I303" t="s">
        <v>6051</v>
      </c>
      <c r="J303" t="s">
        <v>6054</v>
      </c>
      <c r="K303" t="s">
        <v>6060</v>
      </c>
      <c r="L303" t="s">
        <v>6357</v>
      </c>
      <c r="M303">
        <v>1991.4</v>
      </c>
      <c r="N303">
        <v>8</v>
      </c>
      <c r="O303">
        <v>0.26</v>
      </c>
      <c r="P303">
        <v>14.11</v>
      </c>
      <c r="Q303" t="s">
        <v>9894</v>
      </c>
      <c r="R303">
        <v>6</v>
      </c>
      <c r="S303" s="5">
        <f t="shared" si="8"/>
        <v>7.085467510294265E-3</v>
      </c>
      <c r="T303">
        <v>248.92500000000001</v>
      </c>
      <c r="U303">
        <v>11</v>
      </c>
      <c r="V303">
        <v>2023</v>
      </c>
      <c r="W303">
        <v>4</v>
      </c>
      <c r="X303" t="s">
        <v>9899</v>
      </c>
      <c r="Y303" t="s">
        <v>9900</v>
      </c>
      <c r="Z303" t="s">
        <v>9898</v>
      </c>
      <c r="AD303">
        <f t="shared" si="9"/>
        <v>6</v>
      </c>
    </row>
    <row r="304" spans="1:30" x14ac:dyDescent="0.25">
      <c r="A304" t="s">
        <v>328</v>
      </c>
      <c r="B304" s="2">
        <v>44828</v>
      </c>
      <c r="C304" s="2">
        <v>44834</v>
      </c>
      <c r="D304" t="s">
        <v>5260</v>
      </c>
      <c r="E304" t="s">
        <v>5760</v>
      </c>
      <c r="F304" t="s">
        <v>6026</v>
      </c>
      <c r="G304" t="s">
        <v>6029</v>
      </c>
      <c r="H304" t="s">
        <v>6044</v>
      </c>
      <c r="I304" t="s">
        <v>6049</v>
      </c>
      <c r="J304" t="s">
        <v>6054</v>
      </c>
      <c r="K304" t="s">
        <v>6062</v>
      </c>
      <c r="L304" t="s">
        <v>6358</v>
      </c>
      <c r="M304">
        <v>1740.01</v>
      </c>
      <c r="N304">
        <v>7</v>
      </c>
      <c r="O304">
        <v>0.28000000000000003</v>
      </c>
      <c r="P304">
        <v>-127.04</v>
      </c>
      <c r="Q304" t="s">
        <v>9894</v>
      </c>
      <c r="R304">
        <v>6</v>
      </c>
      <c r="S304" s="5">
        <f t="shared" si="8"/>
        <v>-7.3011074648996269E-2</v>
      </c>
      <c r="T304">
        <v>248.57285714285709</v>
      </c>
      <c r="U304">
        <v>9</v>
      </c>
      <c r="V304">
        <v>2022</v>
      </c>
      <c r="W304">
        <v>3</v>
      </c>
      <c r="X304" t="s">
        <v>9898</v>
      </c>
      <c r="Y304" t="s">
        <v>9900</v>
      </c>
      <c r="Z304" t="s">
        <v>9898</v>
      </c>
      <c r="AD304">
        <f t="shared" si="9"/>
        <v>6</v>
      </c>
    </row>
    <row r="305" spans="1:30" x14ac:dyDescent="0.25">
      <c r="A305" t="s">
        <v>329</v>
      </c>
      <c r="B305" s="2">
        <v>45084</v>
      </c>
      <c r="C305" s="2">
        <v>45087</v>
      </c>
      <c r="D305" t="s">
        <v>5200</v>
      </c>
      <c r="E305" t="s">
        <v>5700</v>
      </c>
      <c r="F305" t="s">
        <v>6026</v>
      </c>
      <c r="G305" t="s">
        <v>6029</v>
      </c>
      <c r="H305" t="s">
        <v>6032</v>
      </c>
      <c r="I305" t="s">
        <v>6046</v>
      </c>
      <c r="J305" t="s">
        <v>6053</v>
      </c>
      <c r="K305" t="s">
        <v>6056</v>
      </c>
      <c r="L305" t="s">
        <v>6359</v>
      </c>
      <c r="M305">
        <v>460.69</v>
      </c>
      <c r="N305">
        <v>7</v>
      </c>
      <c r="O305">
        <v>0.26</v>
      </c>
      <c r="P305">
        <v>0.33</v>
      </c>
      <c r="Q305" t="s">
        <v>9896</v>
      </c>
      <c r="R305">
        <v>3</v>
      </c>
      <c r="S305" s="5">
        <f t="shared" si="8"/>
        <v>7.1631682910416991E-4</v>
      </c>
      <c r="T305">
        <v>65.812857142857141</v>
      </c>
      <c r="U305">
        <v>6</v>
      </c>
      <c r="V305">
        <v>2023</v>
      </c>
      <c r="W305">
        <v>2</v>
      </c>
      <c r="X305" t="s">
        <v>9899</v>
      </c>
      <c r="Y305" t="s">
        <v>9900</v>
      </c>
      <c r="Z305" t="s">
        <v>9899</v>
      </c>
      <c r="AD305">
        <f t="shared" si="9"/>
        <v>3</v>
      </c>
    </row>
    <row r="306" spans="1:30" x14ac:dyDescent="0.25">
      <c r="A306" t="s">
        <v>330</v>
      </c>
      <c r="B306" s="2">
        <v>45147</v>
      </c>
      <c r="C306" s="2">
        <v>45151</v>
      </c>
      <c r="D306" t="s">
        <v>5261</v>
      </c>
      <c r="E306" t="s">
        <v>5761</v>
      </c>
      <c r="F306" t="s">
        <v>6026</v>
      </c>
      <c r="G306" t="s">
        <v>6030</v>
      </c>
      <c r="H306" t="s">
        <v>6038</v>
      </c>
      <c r="I306" t="s">
        <v>6047</v>
      </c>
      <c r="J306" t="s">
        <v>6053</v>
      </c>
      <c r="K306" t="s">
        <v>6057</v>
      </c>
      <c r="L306" t="s">
        <v>6360</v>
      </c>
      <c r="M306">
        <v>811.54</v>
      </c>
      <c r="N306">
        <v>1</v>
      </c>
      <c r="O306">
        <v>0.27</v>
      </c>
      <c r="P306">
        <v>-108.43</v>
      </c>
      <c r="Q306" t="s">
        <v>9896</v>
      </c>
      <c r="R306">
        <v>4</v>
      </c>
      <c r="S306" s="5">
        <f t="shared" si="8"/>
        <v>-0.13361017325085642</v>
      </c>
      <c r="T306">
        <v>811.54</v>
      </c>
      <c r="U306">
        <v>8</v>
      </c>
      <c r="V306">
        <v>2023</v>
      </c>
      <c r="W306">
        <v>3</v>
      </c>
      <c r="X306" t="s">
        <v>9898</v>
      </c>
      <c r="Y306" t="s">
        <v>9900</v>
      </c>
      <c r="Z306" t="s">
        <v>9899</v>
      </c>
      <c r="AD306">
        <f t="shared" si="9"/>
        <v>4</v>
      </c>
    </row>
    <row r="307" spans="1:30" x14ac:dyDescent="0.25">
      <c r="A307" t="s">
        <v>331</v>
      </c>
      <c r="B307" s="2">
        <v>45401</v>
      </c>
      <c r="C307" s="2">
        <v>45402</v>
      </c>
      <c r="D307" t="s">
        <v>5195</v>
      </c>
      <c r="E307" t="s">
        <v>5695</v>
      </c>
      <c r="F307" t="s">
        <v>6027</v>
      </c>
      <c r="G307" t="s">
        <v>6031</v>
      </c>
      <c r="H307" t="s">
        <v>6040</v>
      </c>
      <c r="I307" t="s">
        <v>6052</v>
      </c>
      <c r="J307" t="s">
        <v>6053</v>
      </c>
      <c r="K307" t="s">
        <v>6057</v>
      </c>
      <c r="L307" t="s">
        <v>6361</v>
      </c>
      <c r="M307">
        <v>1264.98</v>
      </c>
      <c r="N307">
        <v>7</v>
      </c>
      <c r="O307">
        <v>0.04</v>
      </c>
      <c r="P307">
        <v>190.61</v>
      </c>
      <c r="Q307" t="s">
        <v>9894</v>
      </c>
      <c r="R307">
        <v>1</v>
      </c>
      <c r="S307" s="5">
        <f t="shared" si="8"/>
        <v>0.15068222422488894</v>
      </c>
      <c r="T307">
        <v>180.7114285714286</v>
      </c>
      <c r="U307">
        <v>4</v>
      </c>
      <c r="V307">
        <v>2024</v>
      </c>
      <c r="W307">
        <v>2</v>
      </c>
      <c r="X307" t="s">
        <v>9899</v>
      </c>
      <c r="Y307" t="s">
        <v>9901</v>
      </c>
      <c r="Z307" t="s">
        <v>9898</v>
      </c>
      <c r="AD307">
        <f t="shared" si="9"/>
        <v>1</v>
      </c>
    </row>
    <row r="308" spans="1:30" x14ac:dyDescent="0.25">
      <c r="A308" t="s">
        <v>332</v>
      </c>
      <c r="B308" s="2">
        <v>45334</v>
      </c>
      <c r="C308" s="2">
        <v>45335</v>
      </c>
      <c r="D308" t="s">
        <v>5180</v>
      </c>
      <c r="E308" t="s">
        <v>5680</v>
      </c>
      <c r="F308" t="s">
        <v>6027</v>
      </c>
      <c r="G308" t="s">
        <v>6031</v>
      </c>
      <c r="H308" t="s">
        <v>6042</v>
      </c>
      <c r="I308" t="s">
        <v>6052</v>
      </c>
      <c r="J308" t="s">
        <v>6053</v>
      </c>
      <c r="K308" t="s">
        <v>6056</v>
      </c>
      <c r="L308" t="s">
        <v>6362</v>
      </c>
      <c r="M308">
        <v>1660.47</v>
      </c>
      <c r="N308">
        <v>1</v>
      </c>
      <c r="O308">
        <v>0.27</v>
      </c>
      <c r="P308">
        <v>-102.94</v>
      </c>
      <c r="Q308" t="s">
        <v>9896</v>
      </c>
      <c r="R308">
        <v>1</v>
      </c>
      <c r="S308" s="5">
        <f t="shared" si="8"/>
        <v>-6.1994495534396885E-2</v>
      </c>
      <c r="T308">
        <v>1660.47</v>
      </c>
      <c r="U308">
        <v>2</v>
      </c>
      <c r="V308">
        <v>2024</v>
      </c>
      <c r="W308">
        <v>1</v>
      </c>
      <c r="X308" t="s">
        <v>9898</v>
      </c>
      <c r="Y308" t="s">
        <v>9900</v>
      </c>
      <c r="Z308" t="s">
        <v>9898</v>
      </c>
      <c r="AD308">
        <f t="shared" si="9"/>
        <v>1</v>
      </c>
    </row>
    <row r="309" spans="1:30" x14ac:dyDescent="0.25">
      <c r="A309" t="s">
        <v>333</v>
      </c>
      <c r="B309" s="2">
        <v>44735</v>
      </c>
      <c r="C309" s="2">
        <v>44741</v>
      </c>
      <c r="D309" t="s">
        <v>5262</v>
      </c>
      <c r="E309" t="s">
        <v>5762</v>
      </c>
      <c r="F309" t="s">
        <v>6027</v>
      </c>
      <c r="G309" t="s">
        <v>6030</v>
      </c>
      <c r="H309" t="s">
        <v>6035</v>
      </c>
      <c r="I309" t="s">
        <v>6047</v>
      </c>
      <c r="J309" t="s">
        <v>6054</v>
      </c>
      <c r="K309" t="s">
        <v>6060</v>
      </c>
      <c r="L309" t="s">
        <v>6363</v>
      </c>
      <c r="M309">
        <v>1078.48</v>
      </c>
      <c r="N309">
        <v>1</v>
      </c>
      <c r="O309">
        <v>0.01</v>
      </c>
      <c r="P309">
        <v>285.5</v>
      </c>
      <c r="Q309" t="s">
        <v>9896</v>
      </c>
      <c r="R309">
        <v>6</v>
      </c>
      <c r="S309" s="5">
        <f t="shared" si="8"/>
        <v>0.26472442697129295</v>
      </c>
      <c r="T309">
        <v>1078.48</v>
      </c>
      <c r="U309">
        <v>6</v>
      </c>
      <c r="V309">
        <v>2022</v>
      </c>
      <c r="W309">
        <v>2</v>
      </c>
      <c r="X309" t="s">
        <v>9899</v>
      </c>
      <c r="Y309" t="s">
        <v>9901</v>
      </c>
      <c r="Z309" t="s">
        <v>9898</v>
      </c>
      <c r="AD309">
        <f t="shared" si="9"/>
        <v>6</v>
      </c>
    </row>
    <row r="310" spans="1:30" x14ac:dyDescent="0.25">
      <c r="A310" t="s">
        <v>334</v>
      </c>
      <c r="B310" s="2">
        <v>45147</v>
      </c>
      <c r="C310" s="2">
        <v>45148</v>
      </c>
      <c r="D310" t="s">
        <v>5263</v>
      </c>
      <c r="E310" t="s">
        <v>5763</v>
      </c>
      <c r="F310" t="s">
        <v>6026</v>
      </c>
      <c r="G310" t="s">
        <v>6029</v>
      </c>
      <c r="H310" t="s">
        <v>6032</v>
      </c>
      <c r="I310" t="s">
        <v>6046</v>
      </c>
      <c r="J310" t="s">
        <v>6053</v>
      </c>
      <c r="K310" t="s">
        <v>6058</v>
      </c>
      <c r="L310" t="s">
        <v>6364</v>
      </c>
      <c r="M310">
        <v>1849.53</v>
      </c>
      <c r="N310">
        <v>3</v>
      </c>
      <c r="O310">
        <v>0.21</v>
      </c>
      <c r="P310">
        <v>-144.91999999999999</v>
      </c>
      <c r="Q310" t="s">
        <v>9896</v>
      </c>
      <c r="R310">
        <v>1</v>
      </c>
      <c r="S310" s="5">
        <f t="shared" si="8"/>
        <v>-7.8355041551096766E-2</v>
      </c>
      <c r="T310">
        <v>616.51</v>
      </c>
      <c r="U310">
        <v>8</v>
      </c>
      <c r="V310">
        <v>2023</v>
      </c>
      <c r="W310">
        <v>3</v>
      </c>
      <c r="X310" t="s">
        <v>9898</v>
      </c>
      <c r="Y310" t="s">
        <v>9900</v>
      </c>
      <c r="Z310" t="s">
        <v>9898</v>
      </c>
      <c r="AD310">
        <f t="shared" si="9"/>
        <v>1</v>
      </c>
    </row>
    <row r="311" spans="1:30" x14ac:dyDescent="0.25">
      <c r="A311" t="s">
        <v>335</v>
      </c>
      <c r="B311" s="2">
        <v>45087</v>
      </c>
      <c r="C311" s="2">
        <v>45093</v>
      </c>
      <c r="D311" t="s">
        <v>5264</v>
      </c>
      <c r="E311" t="s">
        <v>5764</v>
      </c>
      <c r="F311" t="s">
        <v>6027</v>
      </c>
      <c r="G311" t="s">
        <v>6029</v>
      </c>
      <c r="H311" t="s">
        <v>6036</v>
      </c>
      <c r="I311" t="s">
        <v>6050</v>
      </c>
      <c r="J311" t="s">
        <v>6055</v>
      </c>
      <c r="K311" t="s">
        <v>6061</v>
      </c>
      <c r="L311" t="s">
        <v>6365</v>
      </c>
      <c r="M311">
        <v>1442.84</v>
      </c>
      <c r="N311">
        <v>8</v>
      </c>
      <c r="O311">
        <v>0.04</v>
      </c>
      <c r="P311">
        <v>358.32</v>
      </c>
      <c r="Q311" t="s">
        <v>9893</v>
      </c>
      <c r="R311">
        <v>6</v>
      </c>
      <c r="S311" s="5">
        <f t="shared" si="8"/>
        <v>0.24834354467577832</v>
      </c>
      <c r="T311">
        <v>180.35499999999999</v>
      </c>
      <c r="U311">
        <v>6</v>
      </c>
      <c r="V311">
        <v>2023</v>
      </c>
      <c r="W311">
        <v>2</v>
      </c>
      <c r="X311" t="s">
        <v>9899</v>
      </c>
      <c r="Y311" t="s">
        <v>9901</v>
      </c>
      <c r="Z311" t="s">
        <v>9898</v>
      </c>
      <c r="AD311">
        <f t="shared" si="9"/>
        <v>6</v>
      </c>
    </row>
    <row r="312" spans="1:30" x14ac:dyDescent="0.25">
      <c r="A312" t="s">
        <v>336</v>
      </c>
      <c r="B312" s="2">
        <v>45262</v>
      </c>
      <c r="C312" s="2">
        <v>45263</v>
      </c>
      <c r="D312" t="s">
        <v>5265</v>
      </c>
      <c r="E312" t="s">
        <v>5765</v>
      </c>
      <c r="F312" t="s">
        <v>6026</v>
      </c>
      <c r="G312" t="s">
        <v>6029</v>
      </c>
      <c r="H312" t="s">
        <v>6032</v>
      </c>
      <c r="I312" t="s">
        <v>6049</v>
      </c>
      <c r="J312" t="s">
        <v>6053</v>
      </c>
      <c r="K312" t="s">
        <v>6056</v>
      </c>
      <c r="L312" t="s">
        <v>6366</v>
      </c>
      <c r="M312">
        <v>620.1</v>
      </c>
      <c r="N312">
        <v>2</v>
      </c>
      <c r="O312">
        <v>0.31</v>
      </c>
      <c r="P312">
        <v>-62</v>
      </c>
      <c r="Q312" t="s">
        <v>9897</v>
      </c>
      <c r="R312">
        <v>1</v>
      </c>
      <c r="S312" s="5">
        <f t="shared" si="8"/>
        <v>-9.9983873568779219E-2</v>
      </c>
      <c r="T312">
        <v>310.05</v>
      </c>
      <c r="U312">
        <v>12</v>
      </c>
      <c r="V312">
        <v>2023</v>
      </c>
      <c r="W312">
        <v>4</v>
      </c>
      <c r="X312" t="s">
        <v>9898</v>
      </c>
      <c r="Y312" t="s">
        <v>9902</v>
      </c>
      <c r="Z312" t="s">
        <v>9899</v>
      </c>
      <c r="AD312">
        <f t="shared" si="9"/>
        <v>1</v>
      </c>
    </row>
    <row r="313" spans="1:30" x14ac:dyDescent="0.25">
      <c r="A313" t="s">
        <v>337</v>
      </c>
      <c r="B313" s="2">
        <v>44939</v>
      </c>
      <c r="C313" s="2">
        <v>44941</v>
      </c>
      <c r="D313" t="s">
        <v>5059</v>
      </c>
      <c r="E313" t="s">
        <v>5559</v>
      </c>
      <c r="F313" t="s">
        <v>6028</v>
      </c>
      <c r="G313" t="s">
        <v>6029</v>
      </c>
      <c r="H313" t="s">
        <v>6044</v>
      </c>
      <c r="I313" t="s">
        <v>6046</v>
      </c>
      <c r="J313" t="s">
        <v>6053</v>
      </c>
      <c r="K313" t="s">
        <v>6056</v>
      </c>
      <c r="L313" t="s">
        <v>6367</v>
      </c>
      <c r="M313">
        <v>1383.99</v>
      </c>
      <c r="N313">
        <v>8</v>
      </c>
      <c r="O313">
        <v>0.09</v>
      </c>
      <c r="P313">
        <v>117.87</v>
      </c>
      <c r="Q313" t="s">
        <v>9895</v>
      </c>
      <c r="R313">
        <v>2</v>
      </c>
      <c r="S313" s="5">
        <f t="shared" si="8"/>
        <v>8.5166800338152729E-2</v>
      </c>
      <c r="T313">
        <v>172.99875</v>
      </c>
      <c r="U313">
        <v>1</v>
      </c>
      <c r="V313">
        <v>2023</v>
      </c>
      <c r="W313">
        <v>1</v>
      </c>
      <c r="X313" t="s">
        <v>9899</v>
      </c>
      <c r="Y313" t="s">
        <v>9901</v>
      </c>
      <c r="Z313" t="s">
        <v>9898</v>
      </c>
      <c r="AD313">
        <f t="shared" si="9"/>
        <v>2</v>
      </c>
    </row>
    <row r="314" spans="1:30" x14ac:dyDescent="0.25">
      <c r="A314" t="s">
        <v>338</v>
      </c>
      <c r="B314" s="2">
        <v>44893</v>
      </c>
      <c r="C314" s="2">
        <v>44898</v>
      </c>
      <c r="D314" t="s">
        <v>5241</v>
      </c>
      <c r="E314" t="s">
        <v>5741</v>
      </c>
      <c r="F314" t="s">
        <v>6027</v>
      </c>
      <c r="G314" t="s">
        <v>6030</v>
      </c>
      <c r="H314" t="s">
        <v>6033</v>
      </c>
      <c r="I314" t="s">
        <v>6051</v>
      </c>
      <c r="J314" t="s">
        <v>6055</v>
      </c>
      <c r="K314" t="s">
        <v>6061</v>
      </c>
      <c r="L314" t="s">
        <v>6368</v>
      </c>
      <c r="M314">
        <v>1955.7</v>
      </c>
      <c r="N314">
        <v>2</v>
      </c>
      <c r="O314">
        <v>0.17</v>
      </c>
      <c r="P314">
        <v>-129.35</v>
      </c>
      <c r="Q314" t="s">
        <v>9897</v>
      </c>
      <c r="R314">
        <v>5</v>
      </c>
      <c r="S314" s="5">
        <f t="shared" si="8"/>
        <v>-6.6140001022651732E-2</v>
      </c>
      <c r="T314">
        <v>977.85</v>
      </c>
      <c r="U314">
        <v>11</v>
      </c>
      <c r="V314">
        <v>2022</v>
      </c>
      <c r="W314">
        <v>4</v>
      </c>
      <c r="X314" t="s">
        <v>9898</v>
      </c>
      <c r="Y314" t="s">
        <v>9900</v>
      </c>
      <c r="Z314" t="s">
        <v>9898</v>
      </c>
      <c r="AD314">
        <f t="shared" si="9"/>
        <v>5</v>
      </c>
    </row>
    <row r="315" spans="1:30" x14ac:dyDescent="0.25">
      <c r="A315" t="s">
        <v>339</v>
      </c>
      <c r="B315" s="2">
        <v>45052</v>
      </c>
      <c r="C315" s="2">
        <v>45053</v>
      </c>
      <c r="D315" t="s">
        <v>5102</v>
      </c>
      <c r="E315" t="s">
        <v>5602</v>
      </c>
      <c r="F315" t="s">
        <v>6028</v>
      </c>
      <c r="G315" t="s">
        <v>6029</v>
      </c>
      <c r="H315" t="s">
        <v>6036</v>
      </c>
      <c r="I315" t="s">
        <v>6046</v>
      </c>
      <c r="J315" t="s">
        <v>6055</v>
      </c>
      <c r="K315" t="s">
        <v>6063</v>
      </c>
      <c r="L315" t="s">
        <v>6369</v>
      </c>
      <c r="M315">
        <v>784.22</v>
      </c>
      <c r="N315">
        <v>8</v>
      </c>
      <c r="O315">
        <v>0.17</v>
      </c>
      <c r="P315">
        <v>-47.4</v>
      </c>
      <c r="Q315" t="s">
        <v>9894</v>
      </c>
      <c r="R315">
        <v>1</v>
      </c>
      <c r="S315" s="5">
        <f t="shared" si="8"/>
        <v>-6.0442222845630049E-2</v>
      </c>
      <c r="T315">
        <v>98.027500000000003</v>
      </c>
      <c r="U315">
        <v>5</v>
      </c>
      <c r="V315">
        <v>2023</v>
      </c>
      <c r="W315">
        <v>2</v>
      </c>
      <c r="X315" t="s">
        <v>9898</v>
      </c>
      <c r="Y315" t="s">
        <v>9900</v>
      </c>
      <c r="Z315" t="s">
        <v>9899</v>
      </c>
      <c r="AD315">
        <f t="shared" si="9"/>
        <v>1</v>
      </c>
    </row>
    <row r="316" spans="1:30" x14ac:dyDescent="0.25">
      <c r="A316" t="s">
        <v>340</v>
      </c>
      <c r="B316" s="2">
        <v>45268</v>
      </c>
      <c r="C316" s="2">
        <v>45275</v>
      </c>
      <c r="D316" t="s">
        <v>5266</v>
      </c>
      <c r="E316" t="s">
        <v>5766</v>
      </c>
      <c r="F316" t="s">
        <v>6026</v>
      </c>
      <c r="G316" t="s">
        <v>6029</v>
      </c>
      <c r="H316" t="s">
        <v>6036</v>
      </c>
      <c r="I316" t="s">
        <v>6049</v>
      </c>
      <c r="J316" t="s">
        <v>6055</v>
      </c>
      <c r="K316" t="s">
        <v>6061</v>
      </c>
      <c r="L316" t="s">
        <v>6370</v>
      </c>
      <c r="M316">
        <v>1463.75</v>
      </c>
      <c r="N316">
        <v>8</v>
      </c>
      <c r="O316">
        <v>0.33</v>
      </c>
      <c r="P316">
        <v>-164.15</v>
      </c>
      <c r="Q316" t="s">
        <v>9893</v>
      </c>
      <c r="R316">
        <v>7</v>
      </c>
      <c r="S316" s="5">
        <f t="shared" si="8"/>
        <v>-0.11214346712211785</v>
      </c>
      <c r="T316">
        <v>182.96875</v>
      </c>
      <c r="U316">
        <v>12</v>
      </c>
      <c r="V316">
        <v>2023</v>
      </c>
      <c r="W316">
        <v>4</v>
      </c>
      <c r="X316" t="s">
        <v>9898</v>
      </c>
      <c r="Y316" t="s">
        <v>9902</v>
      </c>
      <c r="Z316" t="s">
        <v>9898</v>
      </c>
      <c r="AD316">
        <f t="shared" si="9"/>
        <v>7</v>
      </c>
    </row>
    <row r="317" spans="1:30" x14ac:dyDescent="0.25">
      <c r="A317" t="s">
        <v>341</v>
      </c>
      <c r="B317" s="2">
        <v>44748</v>
      </c>
      <c r="C317" s="2">
        <v>44752</v>
      </c>
      <c r="D317" t="s">
        <v>5267</v>
      </c>
      <c r="E317" t="s">
        <v>5767</v>
      </c>
      <c r="F317" t="s">
        <v>6028</v>
      </c>
      <c r="G317" t="s">
        <v>6031</v>
      </c>
      <c r="H317" t="s">
        <v>6037</v>
      </c>
      <c r="I317" t="s">
        <v>6048</v>
      </c>
      <c r="J317" t="s">
        <v>6054</v>
      </c>
      <c r="K317" t="s">
        <v>6060</v>
      </c>
      <c r="L317" t="s">
        <v>6371</v>
      </c>
      <c r="M317">
        <v>164.78</v>
      </c>
      <c r="N317">
        <v>2</v>
      </c>
      <c r="O317">
        <v>0.31</v>
      </c>
      <c r="P317">
        <v>-4.47</v>
      </c>
      <c r="Q317" t="s">
        <v>9897</v>
      </c>
      <c r="R317">
        <v>4</v>
      </c>
      <c r="S317" s="5">
        <f t="shared" si="8"/>
        <v>-2.7127078528947687E-2</v>
      </c>
      <c r="T317">
        <v>82.39</v>
      </c>
      <c r="U317">
        <v>7</v>
      </c>
      <c r="V317">
        <v>2022</v>
      </c>
      <c r="W317">
        <v>3</v>
      </c>
      <c r="X317" t="s">
        <v>9898</v>
      </c>
      <c r="Y317" t="s">
        <v>9902</v>
      </c>
      <c r="Z317" t="s">
        <v>9899</v>
      </c>
      <c r="AD317">
        <f t="shared" si="9"/>
        <v>4</v>
      </c>
    </row>
    <row r="318" spans="1:30" x14ac:dyDescent="0.25">
      <c r="A318" t="s">
        <v>342</v>
      </c>
      <c r="B318" s="2">
        <v>45251</v>
      </c>
      <c r="C318" s="2">
        <v>45258</v>
      </c>
      <c r="D318" t="s">
        <v>5268</v>
      </c>
      <c r="E318" t="s">
        <v>5768</v>
      </c>
      <c r="F318" t="s">
        <v>6027</v>
      </c>
      <c r="G318" t="s">
        <v>6029</v>
      </c>
      <c r="H318" t="s">
        <v>6044</v>
      </c>
      <c r="I318" t="s">
        <v>6046</v>
      </c>
      <c r="J318" t="s">
        <v>6054</v>
      </c>
      <c r="K318" t="s">
        <v>6059</v>
      </c>
      <c r="L318" t="s">
        <v>6372</v>
      </c>
      <c r="M318">
        <v>1407.07</v>
      </c>
      <c r="N318">
        <v>2</v>
      </c>
      <c r="O318">
        <v>0.28000000000000003</v>
      </c>
      <c r="P318">
        <v>-44.14</v>
      </c>
      <c r="Q318" t="s">
        <v>9895</v>
      </c>
      <c r="R318">
        <v>7</v>
      </c>
      <c r="S318" s="5">
        <f t="shared" si="8"/>
        <v>-3.1370152160162611E-2</v>
      </c>
      <c r="T318">
        <v>703.53499999999997</v>
      </c>
      <c r="U318">
        <v>11</v>
      </c>
      <c r="V318">
        <v>2023</v>
      </c>
      <c r="W318">
        <v>4</v>
      </c>
      <c r="X318" t="s">
        <v>9898</v>
      </c>
      <c r="Y318" t="s">
        <v>9900</v>
      </c>
      <c r="Z318" t="s">
        <v>9898</v>
      </c>
      <c r="AD318">
        <f t="shared" si="9"/>
        <v>7</v>
      </c>
    </row>
    <row r="319" spans="1:30" x14ac:dyDescent="0.25">
      <c r="A319" t="s">
        <v>343</v>
      </c>
      <c r="B319" s="2">
        <v>45189</v>
      </c>
      <c r="C319" s="2">
        <v>45195</v>
      </c>
      <c r="D319" t="s">
        <v>5052</v>
      </c>
      <c r="E319" t="s">
        <v>5552</v>
      </c>
      <c r="F319" t="s">
        <v>6028</v>
      </c>
      <c r="G319" t="s">
        <v>6031</v>
      </c>
      <c r="H319" t="s">
        <v>6043</v>
      </c>
      <c r="I319" t="s">
        <v>6052</v>
      </c>
      <c r="J319" t="s">
        <v>6054</v>
      </c>
      <c r="K319" t="s">
        <v>6062</v>
      </c>
      <c r="L319" t="s">
        <v>6373</v>
      </c>
      <c r="M319">
        <v>1070.1099999999999</v>
      </c>
      <c r="N319">
        <v>5</v>
      </c>
      <c r="O319">
        <v>0.25</v>
      </c>
      <c r="P319">
        <v>-89.63</v>
      </c>
      <c r="Q319" t="s">
        <v>9895</v>
      </c>
      <c r="R319">
        <v>6</v>
      </c>
      <c r="S319" s="5">
        <f t="shared" si="8"/>
        <v>-8.3757744530936082E-2</v>
      </c>
      <c r="T319">
        <v>214.02199999999999</v>
      </c>
      <c r="U319">
        <v>9</v>
      </c>
      <c r="V319">
        <v>2023</v>
      </c>
      <c r="W319">
        <v>3</v>
      </c>
      <c r="X319" t="s">
        <v>9898</v>
      </c>
      <c r="Y319" t="s">
        <v>9900</v>
      </c>
      <c r="Z319" t="s">
        <v>9898</v>
      </c>
      <c r="AD319">
        <f t="shared" si="9"/>
        <v>6</v>
      </c>
    </row>
    <row r="320" spans="1:30" x14ac:dyDescent="0.25">
      <c r="A320" t="s">
        <v>344</v>
      </c>
      <c r="B320" s="2">
        <v>44896</v>
      </c>
      <c r="C320" s="2">
        <v>44899</v>
      </c>
      <c r="D320" t="s">
        <v>5269</v>
      </c>
      <c r="E320" t="s">
        <v>5769</v>
      </c>
      <c r="F320" t="s">
        <v>6027</v>
      </c>
      <c r="G320" t="s">
        <v>6030</v>
      </c>
      <c r="H320" t="s">
        <v>6038</v>
      </c>
      <c r="I320" t="s">
        <v>6047</v>
      </c>
      <c r="J320" t="s">
        <v>6053</v>
      </c>
      <c r="K320" t="s">
        <v>6056</v>
      </c>
      <c r="L320" t="s">
        <v>6374</v>
      </c>
      <c r="M320">
        <v>283.42</v>
      </c>
      <c r="N320">
        <v>6</v>
      </c>
      <c r="O320">
        <v>0.26</v>
      </c>
      <c r="P320">
        <v>-35.64</v>
      </c>
      <c r="Q320" t="s">
        <v>9896</v>
      </c>
      <c r="R320">
        <v>3</v>
      </c>
      <c r="S320" s="5">
        <f t="shared" si="8"/>
        <v>-0.12574977065838683</v>
      </c>
      <c r="T320">
        <v>47.236666666666672</v>
      </c>
      <c r="U320">
        <v>12</v>
      </c>
      <c r="V320">
        <v>2022</v>
      </c>
      <c r="W320">
        <v>4</v>
      </c>
      <c r="X320" t="s">
        <v>9898</v>
      </c>
      <c r="Y320" t="s">
        <v>9900</v>
      </c>
      <c r="Z320" t="s">
        <v>9899</v>
      </c>
      <c r="AD320">
        <f t="shared" si="9"/>
        <v>3</v>
      </c>
    </row>
    <row r="321" spans="1:30" x14ac:dyDescent="0.25">
      <c r="A321" t="s">
        <v>345</v>
      </c>
      <c r="B321" s="2">
        <v>45186</v>
      </c>
      <c r="C321" s="2">
        <v>45193</v>
      </c>
      <c r="D321" t="s">
        <v>5255</v>
      </c>
      <c r="E321" t="s">
        <v>5755</v>
      </c>
      <c r="F321" t="s">
        <v>6027</v>
      </c>
      <c r="G321" t="s">
        <v>6029</v>
      </c>
      <c r="H321" t="s">
        <v>6032</v>
      </c>
      <c r="I321" t="s">
        <v>6049</v>
      </c>
      <c r="J321" t="s">
        <v>6055</v>
      </c>
      <c r="K321" t="s">
        <v>6061</v>
      </c>
      <c r="L321" t="s">
        <v>6375</v>
      </c>
      <c r="M321">
        <v>651.5</v>
      </c>
      <c r="N321">
        <v>8</v>
      </c>
      <c r="O321">
        <v>0.08</v>
      </c>
      <c r="P321">
        <v>18.02</v>
      </c>
      <c r="Q321" t="s">
        <v>9896</v>
      </c>
      <c r="R321">
        <v>7</v>
      </c>
      <c r="S321" s="5">
        <f t="shared" si="8"/>
        <v>2.7659247889485802E-2</v>
      </c>
      <c r="T321">
        <v>81.4375</v>
      </c>
      <c r="U321">
        <v>9</v>
      </c>
      <c r="V321">
        <v>2023</v>
      </c>
      <c r="W321">
        <v>3</v>
      </c>
      <c r="X321" t="s">
        <v>9899</v>
      </c>
      <c r="Y321" t="s">
        <v>9901</v>
      </c>
      <c r="Z321" t="s">
        <v>9899</v>
      </c>
      <c r="AD321">
        <f t="shared" si="9"/>
        <v>7</v>
      </c>
    </row>
    <row r="322" spans="1:30" x14ac:dyDescent="0.25">
      <c r="A322" t="s">
        <v>346</v>
      </c>
      <c r="B322" s="2">
        <v>45169</v>
      </c>
      <c r="C322" s="2">
        <v>45171</v>
      </c>
      <c r="D322" t="s">
        <v>5270</v>
      </c>
      <c r="E322" t="s">
        <v>5770</v>
      </c>
      <c r="F322" t="s">
        <v>6027</v>
      </c>
      <c r="G322" t="s">
        <v>6031</v>
      </c>
      <c r="H322" t="s">
        <v>6043</v>
      </c>
      <c r="I322" t="s">
        <v>6048</v>
      </c>
      <c r="J322" t="s">
        <v>6055</v>
      </c>
      <c r="K322" t="s">
        <v>6064</v>
      </c>
      <c r="L322" t="s">
        <v>6376</v>
      </c>
      <c r="M322">
        <v>567.84</v>
      </c>
      <c r="N322">
        <v>6</v>
      </c>
      <c r="O322">
        <v>0.06</v>
      </c>
      <c r="P322">
        <v>66.38</v>
      </c>
      <c r="Q322" t="s">
        <v>9893</v>
      </c>
      <c r="R322">
        <v>2</v>
      </c>
      <c r="S322" s="5">
        <f t="shared" si="8"/>
        <v>0.11689912651451112</v>
      </c>
      <c r="T322">
        <v>94.64</v>
      </c>
      <c r="U322">
        <v>8</v>
      </c>
      <c r="V322">
        <v>2023</v>
      </c>
      <c r="W322">
        <v>3</v>
      </c>
      <c r="X322" t="s">
        <v>9899</v>
      </c>
      <c r="Y322" t="s">
        <v>9901</v>
      </c>
      <c r="Z322" t="s">
        <v>9899</v>
      </c>
      <c r="AD322">
        <f t="shared" si="9"/>
        <v>2</v>
      </c>
    </row>
    <row r="323" spans="1:30" x14ac:dyDescent="0.25">
      <c r="A323" t="s">
        <v>347</v>
      </c>
      <c r="B323" s="2">
        <v>44717</v>
      </c>
      <c r="C323" s="2">
        <v>44718</v>
      </c>
      <c r="D323" t="s">
        <v>5271</v>
      </c>
      <c r="E323" t="s">
        <v>5771</v>
      </c>
      <c r="F323" t="s">
        <v>6027</v>
      </c>
      <c r="G323" t="s">
        <v>6029</v>
      </c>
      <c r="H323" t="s">
        <v>6041</v>
      </c>
      <c r="I323" t="s">
        <v>6050</v>
      </c>
      <c r="J323" t="s">
        <v>6053</v>
      </c>
      <c r="K323" t="s">
        <v>6056</v>
      </c>
      <c r="L323" t="s">
        <v>6377</v>
      </c>
      <c r="M323">
        <v>752.53</v>
      </c>
      <c r="N323">
        <v>2</v>
      </c>
      <c r="O323">
        <v>0.34</v>
      </c>
      <c r="P323">
        <v>-140.58000000000001</v>
      </c>
      <c r="Q323" t="s">
        <v>9897</v>
      </c>
      <c r="R323">
        <v>1</v>
      </c>
      <c r="S323" s="5">
        <f t="shared" ref="S323:S386" si="10">P323/M323</f>
        <v>-0.18680982817960748</v>
      </c>
      <c r="T323">
        <v>376.26499999999999</v>
      </c>
      <c r="U323">
        <v>6</v>
      </c>
      <c r="V323">
        <v>2022</v>
      </c>
      <c r="W323">
        <v>2</v>
      </c>
      <c r="X323" t="s">
        <v>9898</v>
      </c>
      <c r="Y323" t="s">
        <v>9902</v>
      </c>
      <c r="Z323" t="s">
        <v>9899</v>
      </c>
      <c r="AD323">
        <f t="shared" ref="AD323:AD386" si="11">C323-B323</f>
        <v>1</v>
      </c>
    </row>
    <row r="324" spans="1:30" x14ac:dyDescent="0.25">
      <c r="A324" t="s">
        <v>348</v>
      </c>
      <c r="B324" s="2">
        <v>45281</v>
      </c>
      <c r="C324" s="2">
        <v>45285</v>
      </c>
      <c r="D324" t="s">
        <v>5090</v>
      </c>
      <c r="E324" t="s">
        <v>5590</v>
      </c>
      <c r="F324" t="s">
        <v>6028</v>
      </c>
      <c r="G324" t="s">
        <v>6029</v>
      </c>
      <c r="H324" t="s">
        <v>6032</v>
      </c>
      <c r="I324" t="s">
        <v>6046</v>
      </c>
      <c r="J324" t="s">
        <v>6055</v>
      </c>
      <c r="K324" t="s">
        <v>6064</v>
      </c>
      <c r="L324" t="s">
        <v>6378</v>
      </c>
      <c r="M324">
        <v>1726.26</v>
      </c>
      <c r="N324">
        <v>6</v>
      </c>
      <c r="O324">
        <v>7.0000000000000007E-2</v>
      </c>
      <c r="P324">
        <v>364.27</v>
      </c>
      <c r="Q324" t="s">
        <v>9897</v>
      </c>
      <c r="R324">
        <v>4</v>
      </c>
      <c r="S324" s="5">
        <f t="shared" si="10"/>
        <v>0.21101688042357467</v>
      </c>
      <c r="T324">
        <v>287.70999999999998</v>
      </c>
      <c r="U324">
        <v>12</v>
      </c>
      <c r="V324">
        <v>2023</v>
      </c>
      <c r="W324">
        <v>4</v>
      </c>
      <c r="X324" t="s">
        <v>9899</v>
      </c>
      <c r="Y324" t="s">
        <v>9901</v>
      </c>
      <c r="Z324" t="s">
        <v>9898</v>
      </c>
      <c r="AD324">
        <f t="shared" si="11"/>
        <v>4</v>
      </c>
    </row>
    <row r="325" spans="1:30" x14ac:dyDescent="0.25">
      <c r="A325" t="s">
        <v>349</v>
      </c>
      <c r="B325" s="2">
        <v>44613</v>
      </c>
      <c r="C325" s="2">
        <v>44615</v>
      </c>
      <c r="D325" t="s">
        <v>5195</v>
      </c>
      <c r="E325" t="s">
        <v>5695</v>
      </c>
      <c r="F325" t="s">
        <v>6027</v>
      </c>
      <c r="G325" t="s">
        <v>6029</v>
      </c>
      <c r="H325" t="s">
        <v>6032</v>
      </c>
      <c r="I325" t="s">
        <v>6046</v>
      </c>
      <c r="J325" t="s">
        <v>6053</v>
      </c>
      <c r="K325" t="s">
        <v>6056</v>
      </c>
      <c r="L325" t="s">
        <v>6379</v>
      </c>
      <c r="M325">
        <v>1624.06</v>
      </c>
      <c r="N325">
        <v>2</v>
      </c>
      <c r="O325">
        <v>0.28000000000000003</v>
      </c>
      <c r="P325">
        <v>26.89</v>
      </c>
      <c r="Q325" t="s">
        <v>9894</v>
      </c>
      <c r="R325">
        <v>2</v>
      </c>
      <c r="S325" s="5">
        <f t="shared" si="10"/>
        <v>1.6557270051599078E-2</v>
      </c>
      <c r="T325">
        <v>812.03</v>
      </c>
      <c r="U325">
        <v>2</v>
      </c>
      <c r="V325">
        <v>2022</v>
      </c>
      <c r="W325">
        <v>1</v>
      </c>
      <c r="X325" t="s">
        <v>9899</v>
      </c>
      <c r="Y325" t="s">
        <v>9900</v>
      </c>
      <c r="Z325" t="s">
        <v>9898</v>
      </c>
      <c r="AD325">
        <f t="shared" si="11"/>
        <v>2</v>
      </c>
    </row>
    <row r="326" spans="1:30" x14ac:dyDescent="0.25">
      <c r="A326" t="s">
        <v>350</v>
      </c>
      <c r="B326" s="2">
        <v>45015</v>
      </c>
      <c r="C326" s="2">
        <v>45018</v>
      </c>
      <c r="D326" t="s">
        <v>5272</v>
      </c>
      <c r="E326" t="s">
        <v>5772</v>
      </c>
      <c r="F326" t="s">
        <v>6026</v>
      </c>
      <c r="G326" t="s">
        <v>6031</v>
      </c>
      <c r="H326" t="s">
        <v>6043</v>
      </c>
      <c r="I326" t="s">
        <v>6052</v>
      </c>
      <c r="J326" t="s">
        <v>6055</v>
      </c>
      <c r="K326" t="s">
        <v>6063</v>
      </c>
      <c r="L326" t="s">
        <v>6380</v>
      </c>
      <c r="M326">
        <v>251.42</v>
      </c>
      <c r="N326">
        <v>2</v>
      </c>
      <c r="O326">
        <v>0.19</v>
      </c>
      <c r="P326">
        <v>20.85</v>
      </c>
      <c r="Q326" t="s">
        <v>9897</v>
      </c>
      <c r="R326">
        <v>3</v>
      </c>
      <c r="S326" s="5">
        <f t="shared" si="10"/>
        <v>8.2928963487391621E-2</v>
      </c>
      <c r="T326">
        <v>125.71</v>
      </c>
      <c r="U326">
        <v>3</v>
      </c>
      <c r="V326">
        <v>2023</v>
      </c>
      <c r="W326">
        <v>1</v>
      </c>
      <c r="X326" t="s">
        <v>9899</v>
      </c>
      <c r="Y326" t="s">
        <v>9900</v>
      </c>
      <c r="Z326" t="s">
        <v>9899</v>
      </c>
      <c r="AD326">
        <f t="shared" si="11"/>
        <v>3</v>
      </c>
    </row>
    <row r="327" spans="1:30" x14ac:dyDescent="0.25">
      <c r="A327" t="s">
        <v>351</v>
      </c>
      <c r="B327" s="2">
        <v>45356</v>
      </c>
      <c r="C327" s="2">
        <v>45363</v>
      </c>
      <c r="D327" t="s">
        <v>5094</v>
      </c>
      <c r="E327" t="s">
        <v>5594</v>
      </c>
      <c r="F327" t="s">
        <v>6027</v>
      </c>
      <c r="G327" t="s">
        <v>6030</v>
      </c>
      <c r="H327" t="s">
        <v>6035</v>
      </c>
      <c r="I327" t="s">
        <v>6051</v>
      </c>
      <c r="J327" t="s">
        <v>6054</v>
      </c>
      <c r="K327" t="s">
        <v>6060</v>
      </c>
      <c r="L327" t="s">
        <v>6381</v>
      </c>
      <c r="M327">
        <v>1281.56</v>
      </c>
      <c r="N327">
        <v>8</v>
      </c>
      <c r="O327">
        <v>0.14000000000000001</v>
      </c>
      <c r="P327">
        <v>25</v>
      </c>
      <c r="Q327" t="s">
        <v>9895</v>
      </c>
      <c r="R327">
        <v>7</v>
      </c>
      <c r="S327" s="5">
        <f t="shared" si="10"/>
        <v>1.9507475264521366E-2</v>
      </c>
      <c r="T327">
        <v>160.19499999999999</v>
      </c>
      <c r="U327">
        <v>3</v>
      </c>
      <c r="V327">
        <v>2024</v>
      </c>
      <c r="W327">
        <v>1</v>
      </c>
      <c r="X327" t="s">
        <v>9899</v>
      </c>
      <c r="Y327" t="s">
        <v>9901</v>
      </c>
      <c r="Z327" t="s">
        <v>9898</v>
      </c>
      <c r="AD327">
        <f t="shared" si="11"/>
        <v>7</v>
      </c>
    </row>
    <row r="328" spans="1:30" x14ac:dyDescent="0.25">
      <c r="A328" t="s">
        <v>352</v>
      </c>
      <c r="B328" s="2">
        <v>45385</v>
      </c>
      <c r="C328" s="2">
        <v>45391</v>
      </c>
      <c r="D328" t="s">
        <v>5186</v>
      </c>
      <c r="E328" t="s">
        <v>5686</v>
      </c>
      <c r="F328" t="s">
        <v>6028</v>
      </c>
      <c r="G328" t="s">
        <v>6029</v>
      </c>
      <c r="H328" t="s">
        <v>6044</v>
      </c>
      <c r="I328" t="s">
        <v>6046</v>
      </c>
      <c r="J328" t="s">
        <v>6055</v>
      </c>
      <c r="K328" t="s">
        <v>6064</v>
      </c>
      <c r="L328" t="s">
        <v>6382</v>
      </c>
      <c r="M328">
        <v>1000.34</v>
      </c>
      <c r="N328">
        <v>8</v>
      </c>
      <c r="O328">
        <v>0.13</v>
      </c>
      <c r="P328">
        <v>28.92</v>
      </c>
      <c r="Q328" t="s">
        <v>9893</v>
      </c>
      <c r="R328">
        <v>6</v>
      </c>
      <c r="S328" s="5">
        <f t="shared" si="10"/>
        <v>2.8910170542015716E-2</v>
      </c>
      <c r="T328">
        <v>125.0425</v>
      </c>
      <c r="U328">
        <v>4</v>
      </c>
      <c r="V328">
        <v>2024</v>
      </c>
      <c r="W328">
        <v>2</v>
      </c>
      <c r="X328" t="s">
        <v>9899</v>
      </c>
      <c r="Y328" t="s">
        <v>9901</v>
      </c>
      <c r="Z328" t="s">
        <v>9898</v>
      </c>
      <c r="AD328">
        <f t="shared" si="11"/>
        <v>6</v>
      </c>
    </row>
    <row r="329" spans="1:30" x14ac:dyDescent="0.25">
      <c r="A329" t="s">
        <v>353</v>
      </c>
      <c r="B329" s="2">
        <v>45116</v>
      </c>
      <c r="C329" s="2">
        <v>45123</v>
      </c>
      <c r="D329" t="s">
        <v>5273</v>
      </c>
      <c r="E329" t="s">
        <v>5773</v>
      </c>
      <c r="F329" t="s">
        <v>6028</v>
      </c>
      <c r="G329" t="s">
        <v>6029</v>
      </c>
      <c r="H329" t="s">
        <v>6045</v>
      </c>
      <c r="I329" t="s">
        <v>6049</v>
      </c>
      <c r="J329" t="s">
        <v>6053</v>
      </c>
      <c r="K329" t="s">
        <v>6057</v>
      </c>
      <c r="L329" t="s">
        <v>6383</v>
      </c>
      <c r="M329">
        <v>1957.2</v>
      </c>
      <c r="N329">
        <v>7</v>
      </c>
      <c r="O329">
        <v>0.1</v>
      </c>
      <c r="P329">
        <v>63.68</v>
      </c>
      <c r="Q329" t="s">
        <v>9896</v>
      </c>
      <c r="R329">
        <v>7</v>
      </c>
      <c r="S329" s="5">
        <f t="shared" si="10"/>
        <v>3.2536276313100347E-2</v>
      </c>
      <c r="T329">
        <v>279.60000000000002</v>
      </c>
      <c r="U329">
        <v>7</v>
      </c>
      <c r="V329">
        <v>2023</v>
      </c>
      <c r="W329">
        <v>3</v>
      </c>
      <c r="X329" t="s">
        <v>9899</v>
      </c>
      <c r="Y329" t="s">
        <v>9901</v>
      </c>
      <c r="Z329" t="s">
        <v>9898</v>
      </c>
      <c r="AD329">
        <f t="shared" si="11"/>
        <v>7</v>
      </c>
    </row>
    <row r="330" spans="1:30" x14ac:dyDescent="0.25">
      <c r="A330" t="s">
        <v>354</v>
      </c>
      <c r="B330" s="2">
        <v>45194</v>
      </c>
      <c r="C330" s="2">
        <v>45201</v>
      </c>
      <c r="D330" t="s">
        <v>5274</v>
      </c>
      <c r="E330" t="s">
        <v>5774</v>
      </c>
      <c r="F330" t="s">
        <v>6028</v>
      </c>
      <c r="G330" t="s">
        <v>6031</v>
      </c>
      <c r="H330" t="s">
        <v>6037</v>
      </c>
      <c r="I330" t="s">
        <v>6050</v>
      </c>
      <c r="J330" t="s">
        <v>6053</v>
      </c>
      <c r="K330" t="s">
        <v>6056</v>
      </c>
      <c r="L330" t="s">
        <v>6384</v>
      </c>
      <c r="M330">
        <v>1848.01</v>
      </c>
      <c r="N330">
        <v>8</v>
      </c>
      <c r="O330">
        <v>0.11</v>
      </c>
      <c r="P330">
        <v>32.65</v>
      </c>
      <c r="Q330" t="s">
        <v>9897</v>
      </c>
      <c r="R330">
        <v>7</v>
      </c>
      <c r="S330" s="5">
        <f t="shared" si="10"/>
        <v>1.7667653313564319E-2</v>
      </c>
      <c r="T330">
        <v>231.00125</v>
      </c>
      <c r="U330">
        <v>9</v>
      </c>
      <c r="V330">
        <v>2023</v>
      </c>
      <c r="W330">
        <v>3</v>
      </c>
      <c r="X330" t="s">
        <v>9899</v>
      </c>
      <c r="Y330" t="s">
        <v>9901</v>
      </c>
      <c r="Z330" t="s">
        <v>9898</v>
      </c>
      <c r="AD330">
        <f t="shared" si="11"/>
        <v>7</v>
      </c>
    </row>
    <row r="331" spans="1:30" x14ac:dyDescent="0.25">
      <c r="A331" t="s">
        <v>355</v>
      </c>
      <c r="B331" s="2">
        <v>44916</v>
      </c>
      <c r="C331" s="2">
        <v>44919</v>
      </c>
      <c r="D331" t="s">
        <v>5164</v>
      </c>
      <c r="E331" t="s">
        <v>5664</v>
      </c>
      <c r="F331" t="s">
        <v>6028</v>
      </c>
      <c r="G331" t="s">
        <v>6029</v>
      </c>
      <c r="H331" t="s">
        <v>6045</v>
      </c>
      <c r="I331" t="s">
        <v>6050</v>
      </c>
      <c r="J331" t="s">
        <v>6055</v>
      </c>
      <c r="K331" t="s">
        <v>6064</v>
      </c>
      <c r="L331" t="s">
        <v>6385</v>
      </c>
      <c r="M331">
        <v>961.03</v>
      </c>
      <c r="N331">
        <v>2</v>
      </c>
      <c r="O331">
        <v>0.02</v>
      </c>
      <c r="P331">
        <v>245.25</v>
      </c>
      <c r="Q331" t="s">
        <v>9896</v>
      </c>
      <c r="R331">
        <v>3</v>
      </c>
      <c r="S331" s="5">
        <f t="shared" si="10"/>
        <v>0.25519494708802015</v>
      </c>
      <c r="T331">
        <v>480.51499999999999</v>
      </c>
      <c r="U331">
        <v>12</v>
      </c>
      <c r="V331">
        <v>2022</v>
      </c>
      <c r="W331">
        <v>4</v>
      </c>
      <c r="X331" t="s">
        <v>9899</v>
      </c>
      <c r="Y331" t="s">
        <v>9901</v>
      </c>
      <c r="Z331" t="s">
        <v>9899</v>
      </c>
      <c r="AD331">
        <f t="shared" si="11"/>
        <v>3</v>
      </c>
    </row>
    <row r="332" spans="1:30" x14ac:dyDescent="0.25">
      <c r="A332" t="s">
        <v>356</v>
      </c>
      <c r="B332" s="2">
        <v>45160</v>
      </c>
      <c r="C332" s="2">
        <v>45164</v>
      </c>
      <c r="D332" t="s">
        <v>5275</v>
      </c>
      <c r="E332" t="s">
        <v>5775</v>
      </c>
      <c r="F332" t="s">
        <v>6027</v>
      </c>
      <c r="G332" t="s">
        <v>6030</v>
      </c>
      <c r="H332" t="s">
        <v>6038</v>
      </c>
      <c r="I332" t="s">
        <v>6047</v>
      </c>
      <c r="J332" t="s">
        <v>6053</v>
      </c>
      <c r="K332" t="s">
        <v>6057</v>
      </c>
      <c r="L332" t="s">
        <v>6386</v>
      </c>
      <c r="M332">
        <v>392.19</v>
      </c>
      <c r="N332">
        <v>4</v>
      </c>
      <c r="O332">
        <v>0.12</v>
      </c>
      <c r="P332">
        <v>51.87</v>
      </c>
      <c r="Q332" t="s">
        <v>9896</v>
      </c>
      <c r="R332">
        <v>4</v>
      </c>
      <c r="S332" s="5">
        <f t="shared" si="10"/>
        <v>0.13225732425610034</v>
      </c>
      <c r="T332">
        <v>98.047499999999999</v>
      </c>
      <c r="U332">
        <v>8</v>
      </c>
      <c r="V332">
        <v>2023</v>
      </c>
      <c r="W332">
        <v>3</v>
      </c>
      <c r="X332" t="s">
        <v>9899</v>
      </c>
      <c r="Y332" t="s">
        <v>9901</v>
      </c>
      <c r="Z332" t="s">
        <v>9899</v>
      </c>
      <c r="AD332">
        <f t="shared" si="11"/>
        <v>4</v>
      </c>
    </row>
    <row r="333" spans="1:30" x14ac:dyDescent="0.25">
      <c r="A333" t="s">
        <v>357</v>
      </c>
      <c r="B333" s="2">
        <v>44971</v>
      </c>
      <c r="C333" s="2">
        <v>44972</v>
      </c>
      <c r="D333" t="s">
        <v>5044</v>
      </c>
      <c r="E333" t="s">
        <v>5544</v>
      </c>
      <c r="F333" t="s">
        <v>6028</v>
      </c>
      <c r="G333" t="s">
        <v>6029</v>
      </c>
      <c r="H333" t="s">
        <v>6036</v>
      </c>
      <c r="I333" t="s">
        <v>6046</v>
      </c>
      <c r="J333" t="s">
        <v>6053</v>
      </c>
      <c r="K333" t="s">
        <v>6056</v>
      </c>
      <c r="L333" t="s">
        <v>6387</v>
      </c>
      <c r="M333">
        <v>299.20999999999998</v>
      </c>
      <c r="N333">
        <v>3</v>
      </c>
      <c r="O333">
        <v>0.12</v>
      </c>
      <c r="P333">
        <v>39.65</v>
      </c>
      <c r="Q333" t="s">
        <v>9895</v>
      </c>
      <c r="R333">
        <v>1</v>
      </c>
      <c r="S333" s="5">
        <f t="shared" si="10"/>
        <v>0.13251562447779153</v>
      </c>
      <c r="T333">
        <v>99.736666666666665</v>
      </c>
      <c r="U333">
        <v>2</v>
      </c>
      <c r="V333">
        <v>2023</v>
      </c>
      <c r="W333">
        <v>1</v>
      </c>
      <c r="X333" t="s">
        <v>9899</v>
      </c>
      <c r="Y333" t="s">
        <v>9901</v>
      </c>
      <c r="Z333" t="s">
        <v>9899</v>
      </c>
      <c r="AD333">
        <f t="shared" si="11"/>
        <v>1</v>
      </c>
    </row>
    <row r="334" spans="1:30" x14ac:dyDescent="0.25">
      <c r="A334" t="s">
        <v>358</v>
      </c>
      <c r="B334" s="2">
        <v>44955</v>
      </c>
      <c r="C334" s="2">
        <v>44960</v>
      </c>
      <c r="D334" t="s">
        <v>5276</v>
      </c>
      <c r="E334" t="s">
        <v>5776</v>
      </c>
      <c r="F334" t="s">
        <v>6027</v>
      </c>
      <c r="G334" t="s">
        <v>6031</v>
      </c>
      <c r="H334" t="s">
        <v>6042</v>
      </c>
      <c r="I334" t="s">
        <v>6050</v>
      </c>
      <c r="J334" t="s">
        <v>6055</v>
      </c>
      <c r="K334" t="s">
        <v>6063</v>
      </c>
      <c r="L334" t="s">
        <v>6388</v>
      </c>
      <c r="M334">
        <v>728.03</v>
      </c>
      <c r="N334">
        <v>3</v>
      </c>
      <c r="O334">
        <v>0.11</v>
      </c>
      <c r="P334">
        <v>106.03</v>
      </c>
      <c r="Q334" t="s">
        <v>9896</v>
      </c>
      <c r="R334">
        <v>5</v>
      </c>
      <c r="S334" s="5">
        <f t="shared" si="10"/>
        <v>0.14563960276362239</v>
      </c>
      <c r="T334">
        <v>242.67666666666659</v>
      </c>
      <c r="U334">
        <v>1</v>
      </c>
      <c r="V334">
        <v>2023</v>
      </c>
      <c r="W334">
        <v>1</v>
      </c>
      <c r="X334" t="s">
        <v>9899</v>
      </c>
      <c r="Y334" t="s">
        <v>9901</v>
      </c>
      <c r="Z334" t="s">
        <v>9899</v>
      </c>
      <c r="AD334">
        <f t="shared" si="11"/>
        <v>5</v>
      </c>
    </row>
    <row r="335" spans="1:30" x14ac:dyDescent="0.25">
      <c r="A335" t="s">
        <v>359</v>
      </c>
      <c r="B335" s="2">
        <v>44996</v>
      </c>
      <c r="C335" s="2">
        <v>45000</v>
      </c>
      <c r="D335" t="s">
        <v>5234</v>
      </c>
      <c r="E335" t="s">
        <v>5734</v>
      </c>
      <c r="F335" t="s">
        <v>6027</v>
      </c>
      <c r="G335" t="s">
        <v>6031</v>
      </c>
      <c r="H335" t="s">
        <v>6043</v>
      </c>
      <c r="I335" t="s">
        <v>6052</v>
      </c>
      <c r="J335" t="s">
        <v>6054</v>
      </c>
      <c r="K335" t="s">
        <v>6062</v>
      </c>
      <c r="L335" t="s">
        <v>6389</v>
      </c>
      <c r="M335">
        <v>1494.94</v>
      </c>
      <c r="N335">
        <v>7</v>
      </c>
      <c r="O335">
        <v>0.33</v>
      </c>
      <c r="P335">
        <v>-179.84</v>
      </c>
      <c r="Q335" t="s">
        <v>9893</v>
      </c>
      <c r="R335">
        <v>4</v>
      </c>
      <c r="S335" s="5">
        <f t="shared" si="10"/>
        <v>-0.12029914244049929</v>
      </c>
      <c r="T335">
        <v>213.56285714285721</v>
      </c>
      <c r="U335">
        <v>3</v>
      </c>
      <c r="V335">
        <v>2023</v>
      </c>
      <c r="W335">
        <v>1</v>
      </c>
      <c r="X335" t="s">
        <v>9898</v>
      </c>
      <c r="Y335" t="s">
        <v>9902</v>
      </c>
      <c r="Z335" t="s">
        <v>9898</v>
      </c>
      <c r="AD335">
        <f t="shared" si="11"/>
        <v>4</v>
      </c>
    </row>
    <row r="336" spans="1:30" x14ac:dyDescent="0.25">
      <c r="A336" t="s">
        <v>360</v>
      </c>
      <c r="B336" s="2">
        <v>45442</v>
      </c>
      <c r="C336" s="2">
        <v>45446</v>
      </c>
      <c r="D336" t="s">
        <v>5277</v>
      </c>
      <c r="E336" t="s">
        <v>5777</v>
      </c>
      <c r="F336" t="s">
        <v>6026</v>
      </c>
      <c r="G336" t="s">
        <v>6030</v>
      </c>
      <c r="H336" t="s">
        <v>6035</v>
      </c>
      <c r="I336" t="s">
        <v>6051</v>
      </c>
      <c r="J336" t="s">
        <v>6053</v>
      </c>
      <c r="K336" t="s">
        <v>6058</v>
      </c>
      <c r="L336" t="s">
        <v>6300</v>
      </c>
      <c r="M336">
        <v>1564.21</v>
      </c>
      <c r="N336">
        <v>3</v>
      </c>
      <c r="O336">
        <v>0.12</v>
      </c>
      <c r="P336">
        <v>216.43</v>
      </c>
      <c r="Q336" t="s">
        <v>9897</v>
      </c>
      <c r="R336">
        <v>4</v>
      </c>
      <c r="S336" s="5">
        <f t="shared" si="10"/>
        <v>0.13836377468498476</v>
      </c>
      <c r="T336">
        <v>521.40333333333331</v>
      </c>
      <c r="U336">
        <v>5</v>
      </c>
      <c r="V336">
        <v>2024</v>
      </c>
      <c r="W336">
        <v>2</v>
      </c>
      <c r="X336" t="s">
        <v>9899</v>
      </c>
      <c r="Y336" t="s">
        <v>9901</v>
      </c>
      <c r="Z336" t="s">
        <v>9898</v>
      </c>
      <c r="AD336">
        <f t="shared" si="11"/>
        <v>4</v>
      </c>
    </row>
    <row r="337" spans="1:30" x14ac:dyDescent="0.25">
      <c r="A337" t="s">
        <v>361</v>
      </c>
      <c r="B337" s="2">
        <v>45130</v>
      </c>
      <c r="C337" s="2">
        <v>45131</v>
      </c>
      <c r="D337" t="s">
        <v>5077</v>
      </c>
      <c r="E337" t="s">
        <v>5577</v>
      </c>
      <c r="F337" t="s">
        <v>6026</v>
      </c>
      <c r="G337" t="s">
        <v>6030</v>
      </c>
      <c r="H337" t="s">
        <v>6035</v>
      </c>
      <c r="I337" t="s">
        <v>6051</v>
      </c>
      <c r="J337" t="s">
        <v>6055</v>
      </c>
      <c r="K337" t="s">
        <v>6063</v>
      </c>
      <c r="L337" t="s">
        <v>6390</v>
      </c>
      <c r="M337">
        <v>1092.72</v>
      </c>
      <c r="N337">
        <v>5</v>
      </c>
      <c r="O337">
        <v>0.1</v>
      </c>
      <c r="P337">
        <v>71.349999999999994</v>
      </c>
      <c r="Q337" t="s">
        <v>9894</v>
      </c>
      <c r="R337">
        <v>1</v>
      </c>
      <c r="S337" s="5">
        <f t="shared" si="10"/>
        <v>6.529577567903945E-2</v>
      </c>
      <c r="T337">
        <v>218.54400000000001</v>
      </c>
      <c r="U337">
        <v>7</v>
      </c>
      <c r="V337">
        <v>2023</v>
      </c>
      <c r="W337">
        <v>3</v>
      </c>
      <c r="X337" t="s">
        <v>9899</v>
      </c>
      <c r="Y337" t="s">
        <v>9901</v>
      </c>
      <c r="Z337" t="s">
        <v>9898</v>
      </c>
      <c r="AD337">
        <f t="shared" si="11"/>
        <v>1</v>
      </c>
    </row>
    <row r="338" spans="1:30" x14ac:dyDescent="0.25">
      <c r="A338" t="s">
        <v>362</v>
      </c>
      <c r="B338" s="2">
        <v>45014</v>
      </c>
      <c r="C338" s="2">
        <v>45018</v>
      </c>
      <c r="D338" t="s">
        <v>5278</v>
      </c>
      <c r="E338" t="s">
        <v>5778</v>
      </c>
      <c r="F338" t="s">
        <v>6026</v>
      </c>
      <c r="G338" t="s">
        <v>6031</v>
      </c>
      <c r="H338" t="s">
        <v>6034</v>
      </c>
      <c r="I338" t="s">
        <v>6048</v>
      </c>
      <c r="J338" t="s">
        <v>6053</v>
      </c>
      <c r="K338" t="s">
        <v>6057</v>
      </c>
      <c r="L338" t="s">
        <v>6391</v>
      </c>
      <c r="M338">
        <v>1575.94</v>
      </c>
      <c r="N338">
        <v>5</v>
      </c>
      <c r="O338">
        <v>0.17</v>
      </c>
      <c r="P338">
        <v>-39.47</v>
      </c>
      <c r="Q338" t="s">
        <v>9895</v>
      </c>
      <c r="R338">
        <v>4</v>
      </c>
      <c r="S338" s="5">
        <f t="shared" si="10"/>
        <v>-2.5045369747579222E-2</v>
      </c>
      <c r="T338">
        <v>315.18799999999999</v>
      </c>
      <c r="U338">
        <v>3</v>
      </c>
      <c r="V338">
        <v>2023</v>
      </c>
      <c r="W338">
        <v>1</v>
      </c>
      <c r="X338" t="s">
        <v>9898</v>
      </c>
      <c r="Y338" t="s">
        <v>9900</v>
      </c>
      <c r="Z338" t="s">
        <v>9898</v>
      </c>
      <c r="AD338">
        <f t="shared" si="11"/>
        <v>4</v>
      </c>
    </row>
    <row r="339" spans="1:30" x14ac:dyDescent="0.25">
      <c r="A339" t="s">
        <v>363</v>
      </c>
      <c r="B339" s="2">
        <v>45336</v>
      </c>
      <c r="C339" s="2">
        <v>45337</v>
      </c>
      <c r="D339" t="s">
        <v>5049</v>
      </c>
      <c r="E339" t="s">
        <v>5549</v>
      </c>
      <c r="F339" t="s">
        <v>6026</v>
      </c>
      <c r="G339" t="s">
        <v>6031</v>
      </c>
      <c r="H339" t="s">
        <v>6037</v>
      </c>
      <c r="I339" t="s">
        <v>6050</v>
      </c>
      <c r="J339" t="s">
        <v>6055</v>
      </c>
      <c r="K339" t="s">
        <v>6061</v>
      </c>
      <c r="L339" t="s">
        <v>6392</v>
      </c>
      <c r="M339">
        <v>1448.63</v>
      </c>
      <c r="N339">
        <v>1</v>
      </c>
      <c r="O339">
        <v>0.03</v>
      </c>
      <c r="P339">
        <v>234.1</v>
      </c>
      <c r="Q339" t="s">
        <v>9897</v>
      </c>
      <c r="R339">
        <v>1</v>
      </c>
      <c r="S339" s="5">
        <f t="shared" si="10"/>
        <v>0.16160096090789228</v>
      </c>
      <c r="T339">
        <v>1448.63</v>
      </c>
      <c r="U339">
        <v>2</v>
      </c>
      <c r="V339">
        <v>2024</v>
      </c>
      <c r="W339">
        <v>1</v>
      </c>
      <c r="X339" t="s">
        <v>9899</v>
      </c>
      <c r="Y339" t="s">
        <v>9901</v>
      </c>
      <c r="Z339" t="s">
        <v>9898</v>
      </c>
      <c r="AD339">
        <f t="shared" si="11"/>
        <v>1</v>
      </c>
    </row>
    <row r="340" spans="1:30" x14ac:dyDescent="0.25">
      <c r="A340" t="s">
        <v>364</v>
      </c>
      <c r="B340" s="2">
        <v>45360</v>
      </c>
      <c r="C340" s="2">
        <v>45367</v>
      </c>
      <c r="D340" t="s">
        <v>5279</v>
      </c>
      <c r="E340" t="s">
        <v>5779</v>
      </c>
      <c r="F340" t="s">
        <v>6028</v>
      </c>
      <c r="G340" t="s">
        <v>6031</v>
      </c>
      <c r="H340" t="s">
        <v>6043</v>
      </c>
      <c r="I340" t="s">
        <v>6048</v>
      </c>
      <c r="J340" t="s">
        <v>6053</v>
      </c>
      <c r="K340" t="s">
        <v>6058</v>
      </c>
      <c r="L340" t="s">
        <v>6393</v>
      </c>
      <c r="M340">
        <v>256.14999999999998</v>
      </c>
      <c r="N340">
        <v>6</v>
      </c>
      <c r="O340">
        <v>0.08</v>
      </c>
      <c r="P340">
        <v>50.89</v>
      </c>
      <c r="Q340" t="s">
        <v>9893</v>
      </c>
      <c r="R340">
        <v>7</v>
      </c>
      <c r="S340" s="5">
        <f t="shared" si="10"/>
        <v>0.19867265274253368</v>
      </c>
      <c r="T340">
        <v>42.691666666666663</v>
      </c>
      <c r="U340">
        <v>3</v>
      </c>
      <c r="V340">
        <v>2024</v>
      </c>
      <c r="W340">
        <v>1</v>
      </c>
      <c r="X340" t="s">
        <v>9899</v>
      </c>
      <c r="Y340" t="s">
        <v>9901</v>
      </c>
      <c r="Z340" t="s">
        <v>9899</v>
      </c>
      <c r="AD340">
        <f t="shared" si="11"/>
        <v>7</v>
      </c>
    </row>
    <row r="341" spans="1:30" x14ac:dyDescent="0.25">
      <c r="A341" t="s">
        <v>365</v>
      </c>
      <c r="B341" s="2">
        <v>45130</v>
      </c>
      <c r="C341" s="2">
        <v>45132</v>
      </c>
      <c r="D341" t="s">
        <v>5237</v>
      </c>
      <c r="E341" t="s">
        <v>5737</v>
      </c>
      <c r="F341" t="s">
        <v>6026</v>
      </c>
      <c r="G341" t="s">
        <v>6030</v>
      </c>
      <c r="H341" t="s">
        <v>6038</v>
      </c>
      <c r="I341" t="s">
        <v>6051</v>
      </c>
      <c r="J341" t="s">
        <v>6054</v>
      </c>
      <c r="K341" t="s">
        <v>6062</v>
      </c>
      <c r="L341" t="s">
        <v>6394</v>
      </c>
      <c r="M341">
        <v>736.48</v>
      </c>
      <c r="N341">
        <v>4</v>
      </c>
      <c r="O341">
        <v>0.06</v>
      </c>
      <c r="P341">
        <v>61.87</v>
      </c>
      <c r="Q341" t="s">
        <v>9893</v>
      </c>
      <c r="R341">
        <v>2</v>
      </c>
      <c r="S341" s="5">
        <f t="shared" si="10"/>
        <v>8.4007712361503367E-2</v>
      </c>
      <c r="T341">
        <v>184.12</v>
      </c>
      <c r="U341">
        <v>7</v>
      </c>
      <c r="V341">
        <v>2023</v>
      </c>
      <c r="W341">
        <v>3</v>
      </c>
      <c r="X341" t="s">
        <v>9899</v>
      </c>
      <c r="Y341" t="s">
        <v>9901</v>
      </c>
      <c r="Z341" t="s">
        <v>9899</v>
      </c>
      <c r="AD341">
        <f t="shared" si="11"/>
        <v>2</v>
      </c>
    </row>
    <row r="342" spans="1:30" x14ac:dyDescent="0.25">
      <c r="A342" t="s">
        <v>366</v>
      </c>
      <c r="B342" s="2">
        <v>45014</v>
      </c>
      <c r="C342" s="2">
        <v>45019</v>
      </c>
      <c r="D342" t="s">
        <v>5100</v>
      </c>
      <c r="E342" t="s">
        <v>5600</v>
      </c>
      <c r="F342" t="s">
        <v>6027</v>
      </c>
      <c r="G342" t="s">
        <v>6031</v>
      </c>
      <c r="H342" t="s">
        <v>6037</v>
      </c>
      <c r="I342" t="s">
        <v>6052</v>
      </c>
      <c r="J342" t="s">
        <v>6053</v>
      </c>
      <c r="K342" t="s">
        <v>6057</v>
      </c>
      <c r="L342" t="s">
        <v>6395</v>
      </c>
      <c r="M342">
        <v>218.56</v>
      </c>
      <c r="N342">
        <v>5</v>
      </c>
      <c r="O342">
        <v>0.25</v>
      </c>
      <c r="P342">
        <v>-12.59</v>
      </c>
      <c r="Q342" t="s">
        <v>9897</v>
      </c>
      <c r="R342">
        <v>5</v>
      </c>
      <c r="S342" s="5">
        <f t="shared" si="10"/>
        <v>-5.7604319180087848E-2</v>
      </c>
      <c r="T342">
        <v>43.712000000000003</v>
      </c>
      <c r="U342">
        <v>3</v>
      </c>
      <c r="V342">
        <v>2023</v>
      </c>
      <c r="W342">
        <v>1</v>
      </c>
      <c r="X342" t="s">
        <v>9898</v>
      </c>
      <c r="Y342" t="s">
        <v>9900</v>
      </c>
      <c r="Z342" t="s">
        <v>9899</v>
      </c>
      <c r="AD342">
        <f t="shared" si="11"/>
        <v>5</v>
      </c>
    </row>
    <row r="343" spans="1:30" x14ac:dyDescent="0.25">
      <c r="A343" t="s">
        <v>367</v>
      </c>
      <c r="B343" s="2">
        <v>45371</v>
      </c>
      <c r="C343" s="2">
        <v>45372</v>
      </c>
      <c r="D343" t="s">
        <v>5123</v>
      </c>
      <c r="E343" t="s">
        <v>5623</v>
      </c>
      <c r="F343" t="s">
        <v>6027</v>
      </c>
      <c r="G343" t="s">
        <v>6029</v>
      </c>
      <c r="H343" t="s">
        <v>6041</v>
      </c>
      <c r="I343" t="s">
        <v>6046</v>
      </c>
      <c r="J343" t="s">
        <v>6053</v>
      </c>
      <c r="K343" t="s">
        <v>6056</v>
      </c>
      <c r="L343" t="s">
        <v>6396</v>
      </c>
      <c r="M343">
        <v>1130.0999999999999</v>
      </c>
      <c r="N343">
        <v>6</v>
      </c>
      <c r="O343">
        <v>0.33</v>
      </c>
      <c r="P343">
        <v>-182.75</v>
      </c>
      <c r="Q343" t="s">
        <v>9894</v>
      </c>
      <c r="R343">
        <v>1</v>
      </c>
      <c r="S343" s="5">
        <f t="shared" si="10"/>
        <v>-0.1617113529776126</v>
      </c>
      <c r="T343">
        <v>188.35</v>
      </c>
      <c r="U343">
        <v>3</v>
      </c>
      <c r="V343">
        <v>2024</v>
      </c>
      <c r="W343">
        <v>1</v>
      </c>
      <c r="X343" t="s">
        <v>9898</v>
      </c>
      <c r="Y343" t="s">
        <v>9902</v>
      </c>
      <c r="Z343" t="s">
        <v>9898</v>
      </c>
      <c r="AD343">
        <f t="shared" si="11"/>
        <v>1</v>
      </c>
    </row>
    <row r="344" spans="1:30" x14ac:dyDescent="0.25">
      <c r="A344" t="s">
        <v>368</v>
      </c>
      <c r="B344" s="2">
        <v>44883</v>
      </c>
      <c r="C344" s="2">
        <v>44890</v>
      </c>
      <c r="D344" t="s">
        <v>5280</v>
      </c>
      <c r="E344" t="s">
        <v>5780</v>
      </c>
      <c r="F344" t="s">
        <v>6028</v>
      </c>
      <c r="G344" t="s">
        <v>6030</v>
      </c>
      <c r="H344" t="s">
        <v>6039</v>
      </c>
      <c r="I344" t="s">
        <v>6047</v>
      </c>
      <c r="J344" t="s">
        <v>6054</v>
      </c>
      <c r="K344" t="s">
        <v>6062</v>
      </c>
      <c r="L344" t="s">
        <v>6397</v>
      </c>
      <c r="M344">
        <v>311.55</v>
      </c>
      <c r="N344">
        <v>6</v>
      </c>
      <c r="O344">
        <v>0.28999999999999998</v>
      </c>
      <c r="P344">
        <v>-13.58</v>
      </c>
      <c r="Q344" t="s">
        <v>9896</v>
      </c>
      <c r="R344">
        <v>7</v>
      </c>
      <c r="S344" s="5">
        <f t="shared" si="10"/>
        <v>-4.3588509067565395E-2</v>
      </c>
      <c r="T344">
        <v>51.924999999999997</v>
      </c>
      <c r="U344">
        <v>11</v>
      </c>
      <c r="V344">
        <v>2022</v>
      </c>
      <c r="W344">
        <v>4</v>
      </c>
      <c r="X344" t="s">
        <v>9898</v>
      </c>
      <c r="Y344" t="s">
        <v>9900</v>
      </c>
      <c r="Z344" t="s">
        <v>9899</v>
      </c>
      <c r="AD344">
        <f t="shared" si="11"/>
        <v>7</v>
      </c>
    </row>
    <row r="345" spans="1:30" x14ac:dyDescent="0.25">
      <c r="A345" t="s">
        <v>369</v>
      </c>
      <c r="B345" s="2">
        <v>45099</v>
      </c>
      <c r="C345" s="2">
        <v>45100</v>
      </c>
      <c r="D345" t="s">
        <v>5156</v>
      </c>
      <c r="E345" t="s">
        <v>5656</v>
      </c>
      <c r="F345" t="s">
        <v>6028</v>
      </c>
      <c r="G345" t="s">
        <v>6030</v>
      </c>
      <c r="H345" t="s">
        <v>6039</v>
      </c>
      <c r="I345" t="s">
        <v>6051</v>
      </c>
      <c r="J345" t="s">
        <v>6054</v>
      </c>
      <c r="K345" t="s">
        <v>6060</v>
      </c>
      <c r="L345" t="s">
        <v>6398</v>
      </c>
      <c r="M345">
        <v>829.78</v>
      </c>
      <c r="N345">
        <v>4</v>
      </c>
      <c r="O345">
        <v>0.31</v>
      </c>
      <c r="P345">
        <v>-67.41</v>
      </c>
      <c r="Q345" t="s">
        <v>9894</v>
      </c>
      <c r="R345">
        <v>1</v>
      </c>
      <c r="S345" s="5">
        <f t="shared" si="10"/>
        <v>-8.1238400539902139E-2</v>
      </c>
      <c r="T345">
        <v>207.44499999999999</v>
      </c>
      <c r="U345">
        <v>6</v>
      </c>
      <c r="V345">
        <v>2023</v>
      </c>
      <c r="W345">
        <v>2</v>
      </c>
      <c r="X345" t="s">
        <v>9898</v>
      </c>
      <c r="Y345" t="s">
        <v>9902</v>
      </c>
      <c r="Z345" t="s">
        <v>9899</v>
      </c>
      <c r="AD345">
        <f t="shared" si="11"/>
        <v>1</v>
      </c>
    </row>
    <row r="346" spans="1:30" x14ac:dyDescent="0.25">
      <c r="A346" t="s">
        <v>370</v>
      </c>
      <c r="B346" s="2">
        <v>44937</v>
      </c>
      <c r="C346" s="2">
        <v>44938</v>
      </c>
      <c r="D346" t="s">
        <v>5281</v>
      </c>
      <c r="E346" t="s">
        <v>5781</v>
      </c>
      <c r="F346" t="s">
        <v>6026</v>
      </c>
      <c r="G346" t="s">
        <v>6031</v>
      </c>
      <c r="H346" t="s">
        <v>6037</v>
      </c>
      <c r="I346" t="s">
        <v>6048</v>
      </c>
      <c r="J346" t="s">
        <v>6053</v>
      </c>
      <c r="K346" t="s">
        <v>6056</v>
      </c>
      <c r="L346" t="s">
        <v>6399</v>
      </c>
      <c r="M346">
        <v>1872.57</v>
      </c>
      <c r="N346">
        <v>2</v>
      </c>
      <c r="O346">
        <v>0.14000000000000001</v>
      </c>
      <c r="P346">
        <v>117.65</v>
      </c>
      <c r="Q346" t="s">
        <v>9894</v>
      </c>
      <c r="R346">
        <v>1</v>
      </c>
      <c r="S346" s="5">
        <f t="shared" si="10"/>
        <v>6.2828091873735031E-2</v>
      </c>
      <c r="T346">
        <v>936.28499999999997</v>
      </c>
      <c r="U346">
        <v>1</v>
      </c>
      <c r="V346">
        <v>2023</v>
      </c>
      <c r="W346">
        <v>1</v>
      </c>
      <c r="X346" t="s">
        <v>9899</v>
      </c>
      <c r="Y346" t="s">
        <v>9901</v>
      </c>
      <c r="Z346" t="s">
        <v>9898</v>
      </c>
      <c r="AD346">
        <f t="shared" si="11"/>
        <v>1</v>
      </c>
    </row>
    <row r="347" spans="1:30" x14ac:dyDescent="0.25">
      <c r="A347" t="s">
        <v>371</v>
      </c>
      <c r="B347" s="2">
        <v>45416</v>
      </c>
      <c r="C347" s="2">
        <v>45418</v>
      </c>
      <c r="D347" t="s">
        <v>5282</v>
      </c>
      <c r="E347" t="s">
        <v>5782</v>
      </c>
      <c r="F347" t="s">
        <v>6028</v>
      </c>
      <c r="G347" t="s">
        <v>6030</v>
      </c>
      <c r="H347" t="s">
        <v>6033</v>
      </c>
      <c r="I347" t="s">
        <v>6051</v>
      </c>
      <c r="J347" t="s">
        <v>6053</v>
      </c>
      <c r="K347" t="s">
        <v>6058</v>
      </c>
      <c r="L347" t="s">
        <v>6400</v>
      </c>
      <c r="M347">
        <v>1020.56</v>
      </c>
      <c r="N347">
        <v>5</v>
      </c>
      <c r="O347">
        <v>0.04</v>
      </c>
      <c r="P347">
        <v>195.72</v>
      </c>
      <c r="Q347" t="s">
        <v>9895</v>
      </c>
      <c r="R347">
        <v>2</v>
      </c>
      <c r="S347" s="5">
        <f t="shared" si="10"/>
        <v>0.19177706357294036</v>
      </c>
      <c r="T347">
        <v>204.11199999999999</v>
      </c>
      <c r="U347">
        <v>5</v>
      </c>
      <c r="V347">
        <v>2024</v>
      </c>
      <c r="W347">
        <v>2</v>
      </c>
      <c r="X347" t="s">
        <v>9899</v>
      </c>
      <c r="Y347" t="s">
        <v>9901</v>
      </c>
      <c r="Z347" t="s">
        <v>9898</v>
      </c>
      <c r="AD347">
        <f t="shared" si="11"/>
        <v>2</v>
      </c>
    </row>
    <row r="348" spans="1:30" x14ac:dyDescent="0.25">
      <c r="A348" t="s">
        <v>372</v>
      </c>
      <c r="B348" s="2">
        <v>45009</v>
      </c>
      <c r="C348" s="2">
        <v>45013</v>
      </c>
      <c r="D348" t="s">
        <v>5283</v>
      </c>
      <c r="E348" t="s">
        <v>5783</v>
      </c>
      <c r="F348" t="s">
        <v>6028</v>
      </c>
      <c r="G348" t="s">
        <v>6030</v>
      </c>
      <c r="H348" t="s">
        <v>6035</v>
      </c>
      <c r="I348" t="s">
        <v>6051</v>
      </c>
      <c r="J348" t="s">
        <v>6055</v>
      </c>
      <c r="K348" t="s">
        <v>6064</v>
      </c>
      <c r="L348" t="s">
        <v>6401</v>
      </c>
      <c r="M348">
        <v>1304</v>
      </c>
      <c r="N348">
        <v>8</v>
      </c>
      <c r="O348">
        <v>0.35</v>
      </c>
      <c r="P348">
        <v>-134.4</v>
      </c>
      <c r="Q348" t="s">
        <v>9896</v>
      </c>
      <c r="R348">
        <v>4</v>
      </c>
      <c r="S348" s="5">
        <f t="shared" si="10"/>
        <v>-0.10306748466257669</v>
      </c>
      <c r="T348">
        <v>163</v>
      </c>
      <c r="U348">
        <v>3</v>
      </c>
      <c r="V348">
        <v>2023</v>
      </c>
      <c r="W348">
        <v>1</v>
      </c>
      <c r="X348" t="s">
        <v>9898</v>
      </c>
      <c r="Y348" t="s">
        <v>9902</v>
      </c>
      <c r="Z348" t="s">
        <v>9898</v>
      </c>
      <c r="AD348">
        <f t="shared" si="11"/>
        <v>4</v>
      </c>
    </row>
    <row r="349" spans="1:30" x14ac:dyDescent="0.25">
      <c r="A349" t="s">
        <v>373</v>
      </c>
      <c r="B349" s="2">
        <v>45252</v>
      </c>
      <c r="C349" s="2">
        <v>45255</v>
      </c>
      <c r="D349" t="s">
        <v>5266</v>
      </c>
      <c r="E349" t="s">
        <v>5766</v>
      </c>
      <c r="F349" t="s">
        <v>6026</v>
      </c>
      <c r="G349" t="s">
        <v>6030</v>
      </c>
      <c r="H349" t="s">
        <v>6039</v>
      </c>
      <c r="I349" t="s">
        <v>6051</v>
      </c>
      <c r="J349" t="s">
        <v>6055</v>
      </c>
      <c r="K349" t="s">
        <v>6063</v>
      </c>
      <c r="L349" t="s">
        <v>6402</v>
      </c>
      <c r="M349">
        <v>357.83</v>
      </c>
      <c r="N349">
        <v>5</v>
      </c>
      <c r="O349">
        <v>0.2</v>
      </c>
      <c r="P349">
        <v>1.69</v>
      </c>
      <c r="Q349" t="s">
        <v>9895</v>
      </c>
      <c r="R349">
        <v>3</v>
      </c>
      <c r="S349" s="5">
        <f t="shared" si="10"/>
        <v>4.7229131151664203E-3</v>
      </c>
      <c r="T349">
        <v>71.566000000000003</v>
      </c>
      <c r="U349">
        <v>11</v>
      </c>
      <c r="V349">
        <v>2023</v>
      </c>
      <c r="W349">
        <v>4</v>
      </c>
      <c r="X349" t="s">
        <v>9899</v>
      </c>
      <c r="Y349" t="s">
        <v>9900</v>
      </c>
      <c r="Z349" t="s">
        <v>9899</v>
      </c>
      <c r="AD349">
        <f t="shared" si="11"/>
        <v>3</v>
      </c>
    </row>
    <row r="350" spans="1:30" x14ac:dyDescent="0.25">
      <c r="A350" t="s">
        <v>374</v>
      </c>
      <c r="B350" s="2">
        <v>45352</v>
      </c>
      <c r="C350" s="2">
        <v>45355</v>
      </c>
      <c r="D350" t="s">
        <v>5284</v>
      </c>
      <c r="E350" t="s">
        <v>5784</v>
      </c>
      <c r="F350" t="s">
        <v>6027</v>
      </c>
      <c r="G350" t="s">
        <v>6031</v>
      </c>
      <c r="H350" t="s">
        <v>6043</v>
      </c>
      <c r="I350" t="s">
        <v>6050</v>
      </c>
      <c r="J350" t="s">
        <v>6054</v>
      </c>
      <c r="K350" t="s">
        <v>6060</v>
      </c>
      <c r="L350" t="s">
        <v>6403</v>
      </c>
      <c r="M350">
        <v>482</v>
      </c>
      <c r="N350">
        <v>1</v>
      </c>
      <c r="O350">
        <v>0.27</v>
      </c>
      <c r="P350">
        <v>-70.98</v>
      </c>
      <c r="Q350" t="s">
        <v>9895</v>
      </c>
      <c r="R350">
        <v>3</v>
      </c>
      <c r="S350" s="5">
        <f t="shared" si="10"/>
        <v>-0.14726141078838176</v>
      </c>
      <c r="T350">
        <v>482</v>
      </c>
      <c r="U350">
        <v>3</v>
      </c>
      <c r="V350">
        <v>2024</v>
      </c>
      <c r="W350">
        <v>1</v>
      </c>
      <c r="X350" t="s">
        <v>9898</v>
      </c>
      <c r="Y350" t="s">
        <v>9900</v>
      </c>
      <c r="Z350" t="s">
        <v>9899</v>
      </c>
      <c r="AD350">
        <f t="shared" si="11"/>
        <v>3</v>
      </c>
    </row>
    <row r="351" spans="1:30" x14ac:dyDescent="0.25">
      <c r="A351" t="s">
        <v>375</v>
      </c>
      <c r="B351" s="2">
        <v>44761</v>
      </c>
      <c r="C351" s="2">
        <v>44768</v>
      </c>
      <c r="D351" t="s">
        <v>5285</v>
      </c>
      <c r="E351" t="s">
        <v>5785</v>
      </c>
      <c r="F351" t="s">
        <v>6026</v>
      </c>
      <c r="G351" t="s">
        <v>6030</v>
      </c>
      <c r="H351" t="s">
        <v>6039</v>
      </c>
      <c r="I351" t="s">
        <v>6051</v>
      </c>
      <c r="J351" t="s">
        <v>6053</v>
      </c>
      <c r="K351" t="s">
        <v>6058</v>
      </c>
      <c r="L351" t="s">
        <v>6404</v>
      </c>
      <c r="M351">
        <v>513.97</v>
      </c>
      <c r="N351">
        <v>5</v>
      </c>
      <c r="O351">
        <v>0.19</v>
      </c>
      <c r="P351">
        <v>-27.06</v>
      </c>
      <c r="Q351" t="s">
        <v>9897</v>
      </c>
      <c r="R351">
        <v>7</v>
      </c>
      <c r="S351" s="5">
        <f t="shared" si="10"/>
        <v>-5.26489872949783E-2</v>
      </c>
      <c r="T351">
        <v>102.794</v>
      </c>
      <c r="U351">
        <v>7</v>
      </c>
      <c r="V351">
        <v>2022</v>
      </c>
      <c r="W351">
        <v>3</v>
      </c>
      <c r="X351" t="s">
        <v>9898</v>
      </c>
      <c r="Y351" t="s">
        <v>9900</v>
      </c>
      <c r="Z351" t="s">
        <v>9899</v>
      </c>
      <c r="AD351">
        <f t="shared" si="11"/>
        <v>7</v>
      </c>
    </row>
    <row r="352" spans="1:30" x14ac:dyDescent="0.25">
      <c r="A352" t="s">
        <v>376</v>
      </c>
      <c r="B352" s="2">
        <v>44917</v>
      </c>
      <c r="C352" s="2">
        <v>44923</v>
      </c>
      <c r="D352" t="s">
        <v>5286</v>
      </c>
      <c r="E352" t="s">
        <v>5786</v>
      </c>
      <c r="F352" t="s">
        <v>6026</v>
      </c>
      <c r="G352" t="s">
        <v>6030</v>
      </c>
      <c r="H352" t="s">
        <v>6038</v>
      </c>
      <c r="I352" t="s">
        <v>6051</v>
      </c>
      <c r="J352" t="s">
        <v>6055</v>
      </c>
      <c r="K352" t="s">
        <v>6063</v>
      </c>
      <c r="L352" t="s">
        <v>6405</v>
      </c>
      <c r="M352">
        <v>747.44</v>
      </c>
      <c r="N352">
        <v>6</v>
      </c>
      <c r="O352">
        <v>0.25</v>
      </c>
      <c r="P352">
        <v>-3.42</v>
      </c>
      <c r="Q352" t="s">
        <v>9893</v>
      </c>
      <c r="R352">
        <v>6</v>
      </c>
      <c r="S352" s="5">
        <f t="shared" si="10"/>
        <v>-4.5756181098148344E-3</v>
      </c>
      <c r="T352">
        <v>124.5733333333333</v>
      </c>
      <c r="U352">
        <v>12</v>
      </c>
      <c r="V352">
        <v>2022</v>
      </c>
      <c r="W352">
        <v>4</v>
      </c>
      <c r="X352" t="s">
        <v>9898</v>
      </c>
      <c r="Y352" t="s">
        <v>9900</v>
      </c>
      <c r="Z352" t="s">
        <v>9899</v>
      </c>
      <c r="AD352">
        <f t="shared" si="11"/>
        <v>6</v>
      </c>
    </row>
    <row r="353" spans="1:30" x14ac:dyDescent="0.25">
      <c r="A353" t="s">
        <v>377</v>
      </c>
      <c r="B353" s="2">
        <v>45134</v>
      </c>
      <c r="C353" s="2">
        <v>45137</v>
      </c>
      <c r="D353" t="s">
        <v>5037</v>
      </c>
      <c r="E353" t="s">
        <v>5537</v>
      </c>
      <c r="F353" t="s">
        <v>6027</v>
      </c>
      <c r="G353" t="s">
        <v>6029</v>
      </c>
      <c r="H353" t="s">
        <v>6036</v>
      </c>
      <c r="I353" t="s">
        <v>6049</v>
      </c>
      <c r="J353" t="s">
        <v>6053</v>
      </c>
      <c r="K353" t="s">
        <v>6057</v>
      </c>
      <c r="L353" t="s">
        <v>6406</v>
      </c>
      <c r="M353">
        <v>691.72</v>
      </c>
      <c r="N353">
        <v>8</v>
      </c>
      <c r="O353">
        <v>0.06</v>
      </c>
      <c r="P353">
        <v>147.91</v>
      </c>
      <c r="Q353" t="s">
        <v>9895</v>
      </c>
      <c r="R353">
        <v>3</v>
      </c>
      <c r="S353" s="5">
        <f t="shared" si="10"/>
        <v>0.21382929509049903</v>
      </c>
      <c r="T353">
        <v>86.465000000000003</v>
      </c>
      <c r="U353">
        <v>7</v>
      </c>
      <c r="V353">
        <v>2023</v>
      </c>
      <c r="W353">
        <v>3</v>
      </c>
      <c r="X353" t="s">
        <v>9899</v>
      </c>
      <c r="Y353" t="s">
        <v>9901</v>
      </c>
      <c r="Z353" t="s">
        <v>9899</v>
      </c>
      <c r="AD353">
        <f t="shared" si="11"/>
        <v>3</v>
      </c>
    </row>
    <row r="354" spans="1:30" x14ac:dyDescent="0.25">
      <c r="A354" t="s">
        <v>378</v>
      </c>
      <c r="B354" s="2">
        <v>45021</v>
      </c>
      <c r="C354" s="2">
        <v>45025</v>
      </c>
      <c r="D354" t="s">
        <v>5287</v>
      </c>
      <c r="E354" t="s">
        <v>5787</v>
      </c>
      <c r="F354" t="s">
        <v>6027</v>
      </c>
      <c r="G354" t="s">
        <v>6030</v>
      </c>
      <c r="H354" t="s">
        <v>6039</v>
      </c>
      <c r="I354" t="s">
        <v>6051</v>
      </c>
      <c r="J354" t="s">
        <v>6053</v>
      </c>
      <c r="K354" t="s">
        <v>6058</v>
      </c>
      <c r="L354" t="s">
        <v>6407</v>
      </c>
      <c r="M354">
        <v>695.93</v>
      </c>
      <c r="N354">
        <v>7</v>
      </c>
      <c r="O354">
        <v>0.21</v>
      </c>
      <c r="P354">
        <v>11.86</v>
      </c>
      <c r="Q354" t="s">
        <v>9894</v>
      </c>
      <c r="R354">
        <v>4</v>
      </c>
      <c r="S354" s="5">
        <f t="shared" si="10"/>
        <v>1.7041943873665456E-2</v>
      </c>
      <c r="T354">
        <v>99.418571428571425</v>
      </c>
      <c r="U354">
        <v>4</v>
      </c>
      <c r="V354">
        <v>2023</v>
      </c>
      <c r="W354">
        <v>2</v>
      </c>
      <c r="X354" t="s">
        <v>9899</v>
      </c>
      <c r="Y354" t="s">
        <v>9900</v>
      </c>
      <c r="Z354" t="s">
        <v>9899</v>
      </c>
      <c r="AD354">
        <f t="shared" si="11"/>
        <v>4</v>
      </c>
    </row>
    <row r="355" spans="1:30" x14ac:dyDescent="0.25">
      <c r="A355" t="s">
        <v>379</v>
      </c>
      <c r="B355" s="2">
        <v>44771</v>
      </c>
      <c r="C355" s="2">
        <v>44773</v>
      </c>
      <c r="D355" t="s">
        <v>5212</v>
      </c>
      <c r="E355" t="s">
        <v>5712</v>
      </c>
      <c r="F355" t="s">
        <v>6027</v>
      </c>
      <c r="G355" t="s">
        <v>6030</v>
      </c>
      <c r="H355" t="s">
        <v>6035</v>
      </c>
      <c r="I355" t="s">
        <v>6047</v>
      </c>
      <c r="J355" t="s">
        <v>6053</v>
      </c>
      <c r="K355" t="s">
        <v>6057</v>
      </c>
      <c r="L355" t="s">
        <v>6408</v>
      </c>
      <c r="M355">
        <v>894.13</v>
      </c>
      <c r="N355">
        <v>6</v>
      </c>
      <c r="O355">
        <v>0.01</v>
      </c>
      <c r="P355">
        <v>186.12</v>
      </c>
      <c r="Q355" t="s">
        <v>9895</v>
      </c>
      <c r="R355">
        <v>2</v>
      </c>
      <c r="S355" s="5">
        <f t="shared" si="10"/>
        <v>0.20815765045351348</v>
      </c>
      <c r="T355">
        <v>149.0216666666667</v>
      </c>
      <c r="U355">
        <v>7</v>
      </c>
      <c r="V355">
        <v>2022</v>
      </c>
      <c r="W355">
        <v>3</v>
      </c>
      <c r="X355" t="s">
        <v>9899</v>
      </c>
      <c r="Y355" t="s">
        <v>9901</v>
      </c>
      <c r="Z355" t="s">
        <v>9899</v>
      </c>
      <c r="AD355">
        <f t="shared" si="11"/>
        <v>2</v>
      </c>
    </row>
    <row r="356" spans="1:30" x14ac:dyDescent="0.25">
      <c r="A356" t="s">
        <v>380</v>
      </c>
      <c r="B356" s="2">
        <v>44703</v>
      </c>
      <c r="C356" s="2">
        <v>44706</v>
      </c>
      <c r="D356" t="s">
        <v>5094</v>
      </c>
      <c r="E356" t="s">
        <v>5594</v>
      </c>
      <c r="F356" t="s">
        <v>6026</v>
      </c>
      <c r="G356" t="s">
        <v>6030</v>
      </c>
      <c r="H356" t="s">
        <v>6039</v>
      </c>
      <c r="I356" t="s">
        <v>6051</v>
      </c>
      <c r="J356" t="s">
        <v>6055</v>
      </c>
      <c r="K356" t="s">
        <v>6061</v>
      </c>
      <c r="L356" t="s">
        <v>6409</v>
      </c>
      <c r="M356">
        <v>245.57</v>
      </c>
      <c r="N356">
        <v>8</v>
      </c>
      <c r="O356">
        <v>0.33</v>
      </c>
      <c r="P356">
        <v>-9.16</v>
      </c>
      <c r="Q356" t="s">
        <v>9894</v>
      </c>
      <c r="R356">
        <v>3</v>
      </c>
      <c r="S356" s="5">
        <f t="shared" si="10"/>
        <v>-3.7300973245917662E-2</v>
      </c>
      <c r="T356">
        <v>30.696249999999999</v>
      </c>
      <c r="U356">
        <v>5</v>
      </c>
      <c r="V356">
        <v>2022</v>
      </c>
      <c r="W356">
        <v>2</v>
      </c>
      <c r="X356" t="s">
        <v>9898</v>
      </c>
      <c r="Y356" t="s">
        <v>9902</v>
      </c>
      <c r="Z356" t="s">
        <v>9899</v>
      </c>
      <c r="AD356">
        <f t="shared" si="11"/>
        <v>3</v>
      </c>
    </row>
    <row r="357" spans="1:30" x14ac:dyDescent="0.25">
      <c r="A357" t="s">
        <v>381</v>
      </c>
      <c r="B357" s="2">
        <v>44745</v>
      </c>
      <c r="C357" s="2">
        <v>44752</v>
      </c>
      <c r="D357" t="s">
        <v>5288</v>
      </c>
      <c r="E357" t="s">
        <v>5788</v>
      </c>
      <c r="F357" t="s">
        <v>6026</v>
      </c>
      <c r="G357" t="s">
        <v>6031</v>
      </c>
      <c r="H357" t="s">
        <v>6034</v>
      </c>
      <c r="I357" t="s">
        <v>6048</v>
      </c>
      <c r="J357" t="s">
        <v>6053</v>
      </c>
      <c r="K357" t="s">
        <v>6056</v>
      </c>
      <c r="L357" t="s">
        <v>6410</v>
      </c>
      <c r="M357">
        <v>760.72</v>
      </c>
      <c r="N357">
        <v>2</v>
      </c>
      <c r="O357">
        <v>0.1</v>
      </c>
      <c r="P357">
        <v>8.14</v>
      </c>
      <c r="Q357" t="s">
        <v>9895</v>
      </c>
      <c r="R357">
        <v>7</v>
      </c>
      <c r="S357" s="5">
        <f t="shared" si="10"/>
        <v>1.0700389105058366E-2</v>
      </c>
      <c r="T357">
        <v>380.36</v>
      </c>
      <c r="U357">
        <v>7</v>
      </c>
      <c r="V357">
        <v>2022</v>
      </c>
      <c r="W357">
        <v>3</v>
      </c>
      <c r="X357" t="s">
        <v>9899</v>
      </c>
      <c r="Y357" t="s">
        <v>9901</v>
      </c>
      <c r="Z357" t="s">
        <v>9899</v>
      </c>
      <c r="AD357">
        <f t="shared" si="11"/>
        <v>7</v>
      </c>
    </row>
    <row r="358" spans="1:30" x14ac:dyDescent="0.25">
      <c r="A358" t="s">
        <v>382</v>
      </c>
      <c r="B358" s="2">
        <v>44954</v>
      </c>
      <c r="C358" s="2">
        <v>44956</v>
      </c>
      <c r="D358" t="s">
        <v>5095</v>
      </c>
      <c r="E358" t="s">
        <v>5595</v>
      </c>
      <c r="F358" t="s">
        <v>6027</v>
      </c>
      <c r="G358" t="s">
        <v>6030</v>
      </c>
      <c r="H358" t="s">
        <v>6039</v>
      </c>
      <c r="I358" t="s">
        <v>6051</v>
      </c>
      <c r="J358" t="s">
        <v>6053</v>
      </c>
      <c r="K358" t="s">
        <v>6057</v>
      </c>
      <c r="L358" t="s">
        <v>6411</v>
      </c>
      <c r="M358">
        <v>1530.44</v>
      </c>
      <c r="N358">
        <v>1</v>
      </c>
      <c r="O358">
        <v>0.25</v>
      </c>
      <c r="P358">
        <v>73.099999999999994</v>
      </c>
      <c r="Q358" t="s">
        <v>9893</v>
      </c>
      <c r="R358">
        <v>2</v>
      </c>
      <c r="S358" s="5">
        <f t="shared" si="10"/>
        <v>4.7764041713494153E-2</v>
      </c>
      <c r="T358">
        <v>1530.44</v>
      </c>
      <c r="U358">
        <v>1</v>
      </c>
      <c r="V358">
        <v>2023</v>
      </c>
      <c r="W358">
        <v>1</v>
      </c>
      <c r="X358" t="s">
        <v>9899</v>
      </c>
      <c r="Y358" t="s">
        <v>9900</v>
      </c>
      <c r="Z358" t="s">
        <v>9898</v>
      </c>
      <c r="AD358">
        <f t="shared" si="11"/>
        <v>2</v>
      </c>
    </row>
    <row r="359" spans="1:30" x14ac:dyDescent="0.25">
      <c r="A359" t="s">
        <v>383</v>
      </c>
      <c r="B359" s="2">
        <v>45094</v>
      </c>
      <c r="C359" s="2">
        <v>45100</v>
      </c>
      <c r="D359" t="s">
        <v>5289</v>
      </c>
      <c r="E359" t="s">
        <v>5789</v>
      </c>
      <c r="F359" t="s">
        <v>6027</v>
      </c>
      <c r="G359" t="s">
        <v>6030</v>
      </c>
      <c r="H359" t="s">
        <v>6033</v>
      </c>
      <c r="I359" t="s">
        <v>6047</v>
      </c>
      <c r="J359" t="s">
        <v>6053</v>
      </c>
      <c r="K359" t="s">
        <v>6057</v>
      </c>
      <c r="L359" t="s">
        <v>6412</v>
      </c>
      <c r="M359">
        <v>1379.29</v>
      </c>
      <c r="N359">
        <v>8</v>
      </c>
      <c r="O359">
        <v>0.14000000000000001</v>
      </c>
      <c r="P359">
        <v>16.41</v>
      </c>
      <c r="Q359" t="s">
        <v>9894</v>
      </c>
      <c r="R359">
        <v>6</v>
      </c>
      <c r="S359" s="5">
        <f t="shared" si="10"/>
        <v>1.1897425487025935E-2</v>
      </c>
      <c r="T359">
        <v>172.41125</v>
      </c>
      <c r="U359">
        <v>6</v>
      </c>
      <c r="V359">
        <v>2023</v>
      </c>
      <c r="W359">
        <v>2</v>
      </c>
      <c r="X359" t="s">
        <v>9899</v>
      </c>
      <c r="Y359" t="s">
        <v>9901</v>
      </c>
      <c r="Z359" t="s">
        <v>9898</v>
      </c>
      <c r="AD359">
        <f t="shared" si="11"/>
        <v>6</v>
      </c>
    </row>
    <row r="360" spans="1:30" x14ac:dyDescent="0.25">
      <c r="A360" t="s">
        <v>384</v>
      </c>
      <c r="B360" s="2">
        <v>44870</v>
      </c>
      <c r="C360" s="2">
        <v>44871</v>
      </c>
      <c r="D360" t="s">
        <v>5271</v>
      </c>
      <c r="E360" t="s">
        <v>5771</v>
      </c>
      <c r="F360" t="s">
        <v>6028</v>
      </c>
      <c r="G360" t="s">
        <v>6031</v>
      </c>
      <c r="H360" t="s">
        <v>6037</v>
      </c>
      <c r="I360" t="s">
        <v>6048</v>
      </c>
      <c r="J360" t="s">
        <v>6054</v>
      </c>
      <c r="K360" t="s">
        <v>6059</v>
      </c>
      <c r="L360" t="s">
        <v>6413</v>
      </c>
      <c r="M360">
        <v>1167.8599999999999</v>
      </c>
      <c r="N360">
        <v>2</v>
      </c>
      <c r="O360">
        <v>0.1</v>
      </c>
      <c r="P360">
        <v>121.42</v>
      </c>
      <c r="Q360" t="s">
        <v>9897</v>
      </c>
      <c r="R360">
        <v>1</v>
      </c>
      <c r="S360" s="5">
        <f t="shared" si="10"/>
        <v>0.10396794136283459</v>
      </c>
      <c r="T360">
        <v>583.92999999999995</v>
      </c>
      <c r="U360">
        <v>11</v>
      </c>
      <c r="V360">
        <v>2022</v>
      </c>
      <c r="W360">
        <v>4</v>
      </c>
      <c r="X360" t="s">
        <v>9899</v>
      </c>
      <c r="Y360" t="s">
        <v>9901</v>
      </c>
      <c r="Z360" t="s">
        <v>9898</v>
      </c>
      <c r="AD360">
        <f t="shared" si="11"/>
        <v>1</v>
      </c>
    </row>
    <row r="361" spans="1:30" x14ac:dyDescent="0.25">
      <c r="A361" t="s">
        <v>385</v>
      </c>
      <c r="B361" s="2">
        <v>44973</v>
      </c>
      <c r="C361" s="2">
        <v>44977</v>
      </c>
      <c r="D361" t="s">
        <v>5217</v>
      </c>
      <c r="E361" t="s">
        <v>5717</v>
      </c>
      <c r="F361" t="s">
        <v>6026</v>
      </c>
      <c r="G361" t="s">
        <v>6030</v>
      </c>
      <c r="H361" t="s">
        <v>6038</v>
      </c>
      <c r="I361" t="s">
        <v>6051</v>
      </c>
      <c r="J361" t="s">
        <v>6055</v>
      </c>
      <c r="K361" t="s">
        <v>6061</v>
      </c>
      <c r="L361" t="s">
        <v>6414</v>
      </c>
      <c r="M361">
        <v>243.51</v>
      </c>
      <c r="N361">
        <v>1</v>
      </c>
      <c r="O361">
        <v>0.34</v>
      </c>
      <c r="P361">
        <v>-33.44</v>
      </c>
      <c r="Q361" t="s">
        <v>9895</v>
      </c>
      <c r="R361">
        <v>4</v>
      </c>
      <c r="S361" s="5">
        <f t="shared" si="10"/>
        <v>-0.13732495585396903</v>
      </c>
      <c r="T361">
        <v>243.51</v>
      </c>
      <c r="U361">
        <v>2</v>
      </c>
      <c r="V361">
        <v>2023</v>
      </c>
      <c r="W361">
        <v>1</v>
      </c>
      <c r="X361" t="s">
        <v>9898</v>
      </c>
      <c r="Y361" t="s">
        <v>9902</v>
      </c>
      <c r="Z361" t="s">
        <v>9899</v>
      </c>
      <c r="AD361">
        <f t="shared" si="11"/>
        <v>4</v>
      </c>
    </row>
    <row r="362" spans="1:30" x14ac:dyDescent="0.25">
      <c r="A362" t="s">
        <v>386</v>
      </c>
      <c r="B362" s="2">
        <v>44735</v>
      </c>
      <c r="C362" s="2">
        <v>44742</v>
      </c>
      <c r="D362" t="s">
        <v>5134</v>
      </c>
      <c r="E362" t="s">
        <v>5634</v>
      </c>
      <c r="F362" t="s">
        <v>6026</v>
      </c>
      <c r="G362" t="s">
        <v>6031</v>
      </c>
      <c r="H362" t="s">
        <v>6037</v>
      </c>
      <c r="I362" t="s">
        <v>6048</v>
      </c>
      <c r="J362" t="s">
        <v>6055</v>
      </c>
      <c r="K362" t="s">
        <v>6063</v>
      </c>
      <c r="L362" t="s">
        <v>6415</v>
      </c>
      <c r="M362">
        <v>1157.67</v>
      </c>
      <c r="N362">
        <v>5</v>
      </c>
      <c r="O362">
        <v>0.33</v>
      </c>
      <c r="P362">
        <v>-251.21</v>
      </c>
      <c r="Q362" t="s">
        <v>9893</v>
      </c>
      <c r="R362">
        <v>7</v>
      </c>
      <c r="S362" s="5">
        <f t="shared" si="10"/>
        <v>-0.21699620790035157</v>
      </c>
      <c r="T362">
        <v>231.53399999999999</v>
      </c>
      <c r="U362">
        <v>6</v>
      </c>
      <c r="V362">
        <v>2022</v>
      </c>
      <c r="W362">
        <v>2</v>
      </c>
      <c r="X362" t="s">
        <v>9898</v>
      </c>
      <c r="Y362" t="s">
        <v>9902</v>
      </c>
      <c r="Z362" t="s">
        <v>9898</v>
      </c>
      <c r="AD362">
        <f t="shared" si="11"/>
        <v>7</v>
      </c>
    </row>
    <row r="363" spans="1:30" x14ac:dyDescent="0.25">
      <c r="A363" t="s">
        <v>387</v>
      </c>
      <c r="B363" s="2">
        <v>44636</v>
      </c>
      <c r="C363" s="2">
        <v>44638</v>
      </c>
      <c r="D363" t="s">
        <v>5290</v>
      </c>
      <c r="E363" t="s">
        <v>5790</v>
      </c>
      <c r="F363" t="s">
        <v>6027</v>
      </c>
      <c r="G363" t="s">
        <v>6031</v>
      </c>
      <c r="H363" t="s">
        <v>6042</v>
      </c>
      <c r="I363" t="s">
        <v>6048</v>
      </c>
      <c r="J363" t="s">
        <v>6054</v>
      </c>
      <c r="K363" t="s">
        <v>6060</v>
      </c>
      <c r="L363" t="s">
        <v>6416</v>
      </c>
      <c r="M363">
        <v>1608.98</v>
      </c>
      <c r="N363">
        <v>3</v>
      </c>
      <c r="O363">
        <v>0.19</v>
      </c>
      <c r="P363">
        <v>-131.12</v>
      </c>
      <c r="Q363" t="s">
        <v>9897</v>
      </c>
      <c r="R363">
        <v>2</v>
      </c>
      <c r="S363" s="5">
        <f t="shared" si="10"/>
        <v>-8.1492622655346861E-2</v>
      </c>
      <c r="T363">
        <v>536.32666666666671</v>
      </c>
      <c r="U363">
        <v>3</v>
      </c>
      <c r="V363">
        <v>2022</v>
      </c>
      <c r="W363">
        <v>1</v>
      </c>
      <c r="X363" t="s">
        <v>9898</v>
      </c>
      <c r="Y363" t="s">
        <v>9900</v>
      </c>
      <c r="Z363" t="s">
        <v>9898</v>
      </c>
      <c r="AD363">
        <f t="shared" si="11"/>
        <v>2</v>
      </c>
    </row>
    <row r="364" spans="1:30" x14ac:dyDescent="0.25">
      <c r="A364" t="s">
        <v>388</v>
      </c>
      <c r="B364" s="2">
        <v>44905</v>
      </c>
      <c r="C364" s="2">
        <v>44910</v>
      </c>
      <c r="D364" t="s">
        <v>5146</v>
      </c>
      <c r="E364" t="s">
        <v>5646</v>
      </c>
      <c r="F364" t="s">
        <v>6026</v>
      </c>
      <c r="G364" t="s">
        <v>6029</v>
      </c>
      <c r="H364" t="s">
        <v>6041</v>
      </c>
      <c r="I364" t="s">
        <v>6050</v>
      </c>
      <c r="J364" t="s">
        <v>6054</v>
      </c>
      <c r="K364" t="s">
        <v>6060</v>
      </c>
      <c r="L364" t="s">
        <v>6417</v>
      </c>
      <c r="M364">
        <v>1285.3</v>
      </c>
      <c r="N364">
        <v>3</v>
      </c>
      <c r="O364">
        <v>0.17</v>
      </c>
      <c r="P364">
        <v>116.79</v>
      </c>
      <c r="Q364" t="s">
        <v>9893</v>
      </c>
      <c r="R364">
        <v>5</v>
      </c>
      <c r="S364" s="5">
        <f t="shared" si="10"/>
        <v>9.0865945693612393E-2</v>
      </c>
      <c r="T364">
        <v>428.43333333333328</v>
      </c>
      <c r="U364">
        <v>12</v>
      </c>
      <c r="V364">
        <v>2022</v>
      </c>
      <c r="W364">
        <v>4</v>
      </c>
      <c r="X364" t="s">
        <v>9899</v>
      </c>
      <c r="Y364" t="s">
        <v>9900</v>
      </c>
      <c r="Z364" t="s">
        <v>9898</v>
      </c>
      <c r="AD364">
        <f t="shared" si="11"/>
        <v>5</v>
      </c>
    </row>
    <row r="365" spans="1:30" x14ac:dyDescent="0.25">
      <c r="A365" t="s">
        <v>389</v>
      </c>
      <c r="B365" s="2">
        <v>45012</v>
      </c>
      <c r="C365" s="2">
        <v>45017</v>
      </c>
      <c r="D365" t="s">
        <v>5125</v>
      </c>
      <c r="E365" t="s">
        <v>5625</v>
      </c>
      <c r="F365" t="s">
        <v>6027</v>
      </c>
      <c r="G365" t="s">
        <v>6029</v>
      </c>
      <c r="H365" t="s">
        <v>6032</v>
      </c>
      <c r="I365" t="s">
        <v>6050</v>
      </c>
      <c r="J365" t="s">
        <v>6053</v>
      </c>
      <c r="K365" t="s">
        <v>6057</v>
      </c>
      <c r="L365" t="s">
        <v>6418</v>
      </c>
      <c r="M365">
        <v>851.62</v>
      </c>
      <c r="N365">
        <v>8</v>
      </c>
      <c r="O365">
        <v>0.25</v>
      </c>
      <c r="P365">
        <v>-8.56</v>
      </c>
      <c r="Q365" t="s">
        <v>9897</v>
      </c>
      <c r="R365">
        <v>5</v>
      </c>
      <c r="S365" s="5">
        <f t="shared" si="10"/>
        <v>-1.0051431389586906E-2</v>
      </c>
      <c r="T365">
        <v>106.4525</v>
      </c>
      <c r="U365">
        <v>3</v>
      </c>
      <c r="V365">
        <v>2023</v>
      </c>
      <c r="W365">
        <v>1</v>
      </c>
      <c r="X365" t="s">
        <v>9898</v>
      </c>
      <c r="Y365" t="s">
        <v>9900</v>
      </c>
      <c r="Z365" t="s">
        <v>9899</v>
      </c>
      <c r="AD365">
        <f t="shared" si="11"/>
        <v>5</v>
      </c>
    </row>
    <row r="366" spans="1:30" x14ac:dyDescent="0.25">
      <c r="A366" t="s">
        <v>390</v>
      </c>
      <c r="B366" s="2">
        <v>44652</v>
      </c>
      <c r="C366" s="2">
        <v>44657</v>
      </c>
      <c r="D366" t="s">
        <v>5060</v>
      </c>
      <c r="E366" t="s">
        <v>5560</v>
      </c>
      <c r="F366" t="s">
        <v>6028</v>
      </c>
      <c r="G366" t="s">
        <v>6031</v>
      </c>
      <c r="H366" t="s">
        <v>6034</v>
      </c>
      <c r="I366" t="s">
        <v>6048</v>
      </c>
      <c r="J366" t="s">
        <v>6053</v>
      </c>
      <c r="K366" t="s">
        <v>6056</v>
      </c>
      <c r="L366" t="s">
        <v>6419</v>
      </c>
      <c r="M366">
        <v>1154.45</v>
      </c>
      <c r="N366">
        <v>3</v>
      </c>
      <c r="O366">
        <v>0.02</v>
      </c>
      <c r="P366">
        <v>281.41000000000003</v>
      </c>
      <c r="Q366" t="s">
        <v>9897</v>
      </c>
      <c r="R366">
        <v>5</v>
      </c>
      <c r="S366" s="5">
        <f t="shared" si="10"/>
        <v>0.24376109835852572</v>
      </c>
      <c r="T366">
        <v>384.81666666666672</v>
      </c>
      <c r="U366">
        <v>4</v>
      </c>
      <c r="V366">
        <v>2022</v>
      </c>
      <c r="W366">
        <v>2</v>
      </c>
      <c r="X366" t="s">
        <v>9899</v>
      </c>
      <c r="Y366" t="s">
        <v>9901</v>
      </c>
      <c r="Z366" t="s">
        <v>9898</v>
      </c>
      <c r="AD366">
        <f t="shared" si="11"/>
        <v>5</v>
      </c>
    </row>
    <row r="367" spans="1:30" x14ac:dyDescent="0.25">
      <c r="A367" t="s">
        <v>391</v>
      </c>
      <c r="B367" s="2">
        <v>44727</v>
      </c>
      <c r="C367" s="2">
        <v>44728</v>
      </c>
      <c r="D367" t="s">
        <v>5291</v>
      </c>
      <c r="E367" t="s">
        <v>5791</v>
      </c>
      <c r="F367" t="s">
        <v>6026</v>
      </c>
      <c r="G367" t="s">
        <v>6029</v>
      </c>
      <c r="H367" t="s">
        <v>6044</v>
      </c>
      <c r="I367" t="s">
        <v>6050</v>
      </c>
      <c r="J367" t="s">
        <v>6053</v>
      </c>
      <c r="K367" t="s">
        <v>6057</v>
      </c>
      <c r="L367" t="s">
        <v>6420</v>
      </c>
      <c r="M367">
        <v>1152.77</v>
      </c>
      <c r="N367">
        <v>8</v>
      </c>
      <c r="O367">
        <v>0.05</v>
      </c>
      <c r="P367">
        <v>82.69</v>
      </c>
      <c r="Q367" t="s">
        <v>9896</v>
      </c>
      <c r="R367">
        <v>1</v>
      </c>
      <c r="S367" s="5">
        <f t="shared" si="10"/>
        <v>7.1731568309376548E-2</v>
      </c>
      <c r="T367">
        <v>144.09625</v>
      </c>
      <c r="U367">
        <v>6</v>
      </c>
      <c r="V367">
        <v>2022</v>
      </c>
      <c r="W367">
        <v>2</v>
      </c>
      <c r="X367" t="s">
        <v>9899</v>
      </c>
      <c r="Y367" t="s">
        <v>9901</v>
      </c>
      <c r="Z367" t="s">
        <v>9898</v>
      </c>
      <c r="AD367">
        <f t="shared" si="11"/>
        <v>1</v>
      </c>
    </row>
    <row r="368" spans="1:30" x14ac:dyDescent="0.25">
      <c r="A368" t="s">
        <v>392</v>
      </c>
      <c r="B368" s="2">
        <v>45054</v>
      </c>
      <c r="C368" s="2">
        <v>45055</v>
      </c>
      <c r="D368" t="s">
        <v>5201</v>
      </c>
      <c r="E368" t="s">
        <v>5701</v>
      </c>
      <c r="F368" t="s">
        <v>6028</v>
      </c>
      <c r="G368" t="s">
        <v>6030</v>
      </c>
      <c r="H368" t="s">
        <v>6033</v>
      </c>
      <c r="I368" t="s">
        <v>6047</v>
      </c>
      <c r="J368" t="s">
        <v>6055</v>
      </c>
      <c r="K368" t="s">
        <v>6064</v>
      </c>
      <c r="L368" t="s">
        <v>6421</v>
      </c>
      <c r="M368">
        <v>1375.25</v>
      </c>
      <c r="N368">
        <v>4</v>
      </c>
      <c r="O368">
        <v>0.31</v>
      </c>
      <c r="P368">
        <v>-131.63999999999999</v>
      </c>
      <c r="Q368" t="s">
        <v>9894</v>
      </c>
      <c r="R368">
        <v>1</v>
      </c>
      <c r="S368" s="5">
        <f t="shared" si="10"/>
        <v>-9.5720778040356294E-2</v>
      </c>
      <c r="T368">
        <v>343.8125</v>
      </c>
      <c r="U368">
        <v>5</v>
      </c>
      <c r="V368">
        <v>2023</v>
      </c>
      <c r="W368">
        <v>2</v>
      </c>
      <c r="X368" t="s">
        <v>9898</v>
      </c>
      <c r="Y368" t="s">
        <v>9902</v>
      </c>
      <c r="Z368" t="s">
        <v>9898</v>
      </c>
      <c r="AD368">
        <f t="shared" si="11"/>
        <v>1</v>
      </c>
    </row>
    <row r="369" spans="1:30" x14ac:dyDescent="0.25">
      <c r="A369" t="s">
        <v>393</v>
      </c>
      <c r="B369" s="2">
        <v>44813</v>
      </c>
      <c r="C369" s="2">
        <v>44814</v>
      </c>
      <c r="D369" t="s">
        <v>5069</v>
      </c>
      <c r="E369" t="s">
        <v>5569</v>
      </c>
      <c r="F369" t="s">
        <v>6028</v>
      </c>
      <c r="G369" t="s">
        <v>6029</v>
      </c>
      <c r="H369" t="s">
        <v>6045</v>
      </c>
      <c r="I369" t="s">
        <v>6049</v>
      </c>
      <c r="J369" t="s">
        <v>6054</v>
      </c>
      <c r="K369" t="s">
        <v>6059</v>
      </c>
      <c r="L369" t="s">
        <v>6422</v>
      </c>
      <c r="M369">
        <v>1999.47</v>
      </c>
      <c r="N369">
        <v>8</v>
      </c>
      <c r="O369">
        <v>0.31</v>
      </c>
      <c r="P369">
        <v>-33.159999999999997</v>
      </c>
      <c r="Q369" t="s">
        <v>9894</v>
      </c>
      <c r="R369">
        <v>1</v>
      </c>
      <c r="S369" s="5">
        <f t="shared" si="10"/>
        <v>-1.6584394864639126E-2</v>
      </c>
      <c r="T369">
        <v>249.93375</v>
      </c>
      <c r="U369">
        <v>9</v>
      </c>
      <c r="V369">
        <v>2022</v>
      </c>
      <c r="W369">
        <v>3</v>
      </c>
      <c r="X369" t="s">
        <v>9898</v>
      </c>
      <c r="Y369" t="s">
        <v>9902</v>
      </c>
      <c r="Z369" t="s">
        <v>9898</v>
      </c>
      <c r="AD369">
        <f t="shared" si="11"/>
        <v>1</v>
      </c>
    </row>
    <row r="370" spans="1:30" x14ac:dyDescent="0.25">
      <c r="A370" t="s">
        <v>394</v>
      </c>
      <c r="B370" s="2">
        <v>45433</v>
      </c>
      <c r="C370" s="2">
        <v>45435</v>
      </c>
      <c r="D370" t="s">
        <v>5292</v>
      </c>
      <c r="E370" t="s">
        <v>5792</v>
      </c>
      <c r="F370" t="s">
        <v>6027</v>
      </c>
      <c r="G370" t="s">
        <v>6031</v>
      </c>
      <c r="H370" t="s">
        <v>6034</v>
      </c>
      <c r="I370" t="s">
        <v>6052</v>
      </c>
      <c r="J370" t="s">
        <v>6054</v>
      </c>
      <c r="K370" t="s">
        <v>6062</v>
      </c>
      <c r="L370" t="s">
        <v>6423</v>
      </c>
      <c r="M370">
        <v>229.57</v>
      </c>
      <c r="N370">
        <v>7</v>
      </c>
      <c r="O370">
        <v>0.13</v>
      </c>
      <c r="P370">
        <v>-1.75</v>
      </c>
      <c r="Q370" t="s">
        <v>9894</v>
      </c>
      <c r="R370">
        <v>2</v>
      </c>
      <c r="S370" s="5">
        <f t="shared" si="10"/>
        <v>-7.6229472492050357E-3</v>
      </c>
      <c r="T370">
        <v>32.795714285714283</v>
      </c>
      <c r="U370">
        <v>5</v>
      </c>
      <c r="V370">
        <v>2024</v>
      </c>
      <c r="W370">
        <v>2</v>
      </c>
      <c r="X370" t="s">
        <v>9898</v>
      </c>
      <c r="Y370" t="s">
        <v>9901</v>
      </c>
      <c r="Z370" t="s">
        <v>9899</v>
      </c>
      <c r="AD370">
        <f t="shared" si="11"/>
        <v>2</v>
      </c>
    </row>
    <row r="371" spans="1:30" x14ac:dyDescent="0.25">
      <c r="A371" t="s">
        <v>395</v>
      </c>
      <c r="B371" s="2">
        <v>45143</v>
      </c>
      <c r="C371" s="2">
        <v>45145</v>
      </c>
      <c r="D371" t="s">
        <v>5027</v>
      </c>
      <c r="E371" t="s">
        <v>5527</v>
      </c>
      <c r="F371" t="s">
        <v>6026</v>
      </c>
      <c r="G371" t="s">
        <v>6029</v>
      </c>
      <c r="H371" t="s">
        <v>6036</v>
      </c>
      <c r="I371" t="s">
        <v>6046</v>
      </c>
      <c r="J371" t="s">
        <v>6053</v>
      </c>
      <c r="K371" t="s">
        <v>6058</v>
      </c>
      <c r="L371" t="s">
        <v>6424</v>
      </c>
      <c r="M371">
        <v>395.47</v>
      </c>
      <c r="N371">
        <v>3</v>
      </c>
      <c r="O371">
        <v>0.23</v>
      </c>
      <c r="P371">
        <v>-28.5</v>
      </c>
      <c r="Q371" t="s">
        <v>9893</v>
      </c>
      <c r="R371">
        <v>2</v>
      </c>
      <c r="S371" s="5">
        <f t="shared" si="10"/>
        <v>-7.2066149138999155E-2</v>
      </c>
      <c r="T371">
        <v>131.82333333333341</v>
      </c>
      <c r="U371">
        <v>8</v>
      </c>
      <c r="V371">
        <v>2023</v>
      </c>
      <c r="W371">
        <v>3</v>
      </c>
      <c r="X371" t="s">
        <v>9898</v>
      </c>
      <c r="Y371" t="s">
        <v>9900</v>
      </c>
      <c r="Z371" t="s">
        <v>9899</v>
      </c>
      <c r="AD371">
        <f t="shared" si="11"/>
        <v>2</v>
      </c>
    </row>
    <row r="372" spans="1:30" x14ac:dyDescent="0.25">
      <c r="A372" t="s">
        <v>396</v>
      </c>
      <c r="B372" s="2">
        <v>44964</v>
      </c>
      <c r="C372" s="2">
        <v>44969</v>
      </c>
      <c r="D372" t="s">
        <v>5269</v>
      </c>
      <c r="E372" t="s">
        <v>5769</v>
      </c>
      <c r="F372" t="s">
        <v>6027</v>
      </c>
      <c r="G372" t="s">
        <v>6030</v>
      </c>
      <c r="H372" t="s">
        <v>6035</v>
      </c>
      <c r="I372" t="s">
        <v>6051</v>
      </c>
      <c r="J372" t="s">
        <v>6054</v>
      </c>
      <c r="K372" t="s">
        <v>6060</v>
      </c>
      <c r="L372" t="s">
        <v>6425</v>
      </c>
      <c r="M372">
        <v>985.37</v>
      </c>
      <c r="N372">
        <v>7</v>
      </c>
      <c r="O372">
        <v>0.22</v>
      </c>
      <c r="P372">
        <v>-115.87</v>
      </c>
      <c r="Q372" t="s">
        <v>9894</v>
      </c>
      <c r="R372">
        <v>5</v>
      </c>
      <c r="S372" s="5">
        <f t="shared" si="10"/>
        <v>-0.11759034677329329</v>
      </c>
      <c r="T372">
        <v>140.76714285714289</v>
      </c>
      <c r="U372">
        <v>2</v>
      </c>
      <c r="V372">
        <v>2023</v>
      </c>
      <c r="W372">
        <v>1</v>
      </c>
      <c r="X372" t="s">
        <v>9898</v>
      </c>
      <c r="Y372" t="s">
        <v>9900</v>
      </c>
      <c r="Z372" t="s">
        <v>9899</v>
      </c>
      <c r="AD372">
        <f t="shared" si="11"/>
        <v>5</v>
      </c>
    </row>
    <row r="373" spans="1:30" x14ac:dyDescent="0.25">
      <c r="A373" t="s">
        <v>397</v>
      </c>
      <c r="B373" s="2">
        <v>45129</v>
      </c>
      <c r="C373" s="2">
        <v>45131</v>
      </c>
      <c r="D373" t="s">
        <v>5098</v>
      </c>
      <c r="E373" t="s">
        <v>5598</v>
      </c>
      <c r="F373" t="s">
        <v>6028</v>
      </c>
      <c r="G373" t="s">
        <v>6031</v>
      </c>
      <c r="H373" t="s">
        <v>6040</v>
      </c>
      <c r="I373" t="s">
        <v>6050</v>
      </c>
      <c r="J373" t="s">
        <v>6054</v>
      </c>
      <c r="K373" t="s">
        <v>6060</v>
      </c>
      <c r="L373" t="s">
        <v>6426</v>
      </c>
      <c r="M373">
        <v>1434.68</v>
      </c>
      <c r="N373">
        <v>2</v>
      </c>
      <c r="O373">
        <v>0.13</v>
      </c>
      <c r="P373">
        <v>135.02000000000001</v>
      </c>
      <c r="Q373" t="s">
        <v>9894</v>
      </c>
      <c r="R373">
        <v>2</v>
      </c>
      <c r="S373" s="5">
        <f t="shared" si="10"/>
        <v>9.411157888867204E-2</v>
      </c>
      <c r="T373">
        <v>717.34</v>
      </c>
      <c r="U373">
        <v>7</v>
      </c>
      <c r="V373">
        <v>2023</v>
      </c>
      <c r="W373">
        <v>3</v>
      </c>
      <c r="X373" t="s">
        <v>9899</v>
      </c>
      <c r="Y373" t="s">
        <v>9901</v>
      </c>
      <c r="Z373" t="s">
        <v>9898</v>
      </c>
      <c r="AD373">
        <f t="shared" si="11"/>
        <v>2</v>
      </c>
    </row>
    <row r="374" spans="1:30" x14ac:dyDescent="0.25">
      <c r="A374" t="s">
        <v>398</v>
      </c>
      <c r="B374" s="2">
        <v>45202</v>
      </c>
      <c r="C374" s="2">
        <v>45206</v>
      </c>
      <c r="D374" t="s">
        <v>5183</v>
      </c>
      <c r="E374" t="s">
        <v>5683</v>
      </c>
      <c r="F374" t="s">
        <v>6027</v>
      </c>
      <c r="G374" t="s">
        <v>6029</v>
      </c>
      <c r="H374" t="s">
        <v>6032</v>
      </c>
      <c r="I374" t="s">
        <v>6050</v>
      </c>
      <c r="J374" t="s">
        <v>6053</v>
      </c>
      <c r="K374" t="s">
        <v>6057</v>
      </c>
      <c r="L374" t="s">
        <v>6427</v>
      </c>
      <c r="M374">
        <v>1587.93</v>
      </c>
      <c r="N374">
        <v>6</v>
      </c>
      <c r="O374">
        <v>0.25</v>
      </c>
      <c r="P374">
        <v>56.11</v>
      </c>
      <c r="Q374" t="s">
        <v>9897</v>
      </c>
      <c r="R374">
        <v>4</v>
      </c>
      <c r="S374" s="5">
        <f t="shared" si="10"/>
        <v>3.5335310750473886E-2</v>
      </c>
      <c r="T374">
        <v>264.65499999999997</v>
      </c>
      <c r="U374">
        <v>10</v>
      </c>
      <c r="V374">
        <v>2023</v>
      </c>
      <c r="W374">
        <v>4</v>
      </c>
      <c r="X374" t="s">
        <v>9899</v>
      </c>
      <c r="Y374" t="s">
        <v>9900</v>
      </c>
      <c r="Z374" t="s">
        <v>9898</v>
      </c>
      <c r="AD374">
        <f t="shared" si="11"/>
        <v>4</v>
      </c>
    </row>
    <row r="375" spans="1:30" x14ac:dyDescent="0.25">
      <c r="A375" t="s">
        <v>399</v>
      </c>
      <c r="B375" s="2">
        <v>45106</v>
      </c>
      <c r="C375" s="2">
        <v>45113</v>
      </c>
      <c r="D375" t="s">
        <v>5198</v>
      </c>
      <c r="E375" t="s">
        <v>5698</v>
      </c>
      <c r="F375" t="s">
        <v>6026</v>
      </c>
      <c r="G375" t="s">
        <v>6029</v>
      </c>
      <c r="H375" t="s">
        <v>6041</v>
      </c>
      <c r="I375" t="s">
        <v>6049</v>
      </c>
      <c r="J375" t="s">
        <v>6053</v>
      </c>
      <c r="K375" t="s">
        <v>6057</v>
      </c>
      <c r="L375" t="s">
        <v>6428</v>
      </c>
      <c r="M375">
        <v>1979.32</v>
      </c>
      <c r="N375">
        <v>2</v>
      </c>
      <c r="O375">
        <v>0.16</v>
      </c>
      <c r="P375">
        <v>74.37</v>
      </c>
      <c r="Q375" t="s">
        <v>9894</v>
      </c>
      <c r="R375">
        <v>7</v>
      </c>
      <c r="S375" s="5">
        <f t="shared" si="10"/>
        <v>3.7573510094375852E-2</v>
      </c>
      <c r="T375">
        <v>989.66</v>
      </c>
      <c r="U375">
        <v>6</v>
      </c>
      <c r="V375">
        <v>2023</v>
      </c>
      <c r="W375">
        <v>2</v>
      </c>
      <c r="X375" t="s">
        <v>9899</v>
      </c>
      <c r="Y375" t="s">
        <v>9900</v>
      </c>
      <c r="Z375" t="s">
        <v>9898</v>
      </c>
      <c r="AD375">
        <f t="shared" si="11"/>
        <v>7</v>
      </c>
    </row>
    <row r="376" spans="1:30" x14ac:dyDescent="0.25">
      <c r="A376" t="s">
        <v>400</v>
      </c>
      <c r="B376" s="2">
        <v>45112</v>
      </c>
      <c r="C376" s="2">
        <v>45115</v>
      </c>
      <c r="D376" t="s">
        <v>5293</v>
      </c>
      <c r="E376" t="s">
        <v>5793</v>
      </c>
      <c r="F376" t="s">
        <v>6026</v>
      </c>
      <c r="G376" t="s">
        <v>6030</v>
      </c>
      <c r="H376" t="s">
        <v>6033</v>
      </c>
      <c r="I376" t="s">
        <v>6047</v>
      </c>
      <c r="J376" t="s">
        <v>6055</v>
      </c>
      <c r="K376" t="s">
        <v>6061</v>
      </c>
      <c r="L376" t="s">
        <v>6429</v>
      </c>
      <c r="M376">
        <v>781.58</v>
      </c>
      <c r="N376">
        <v>7</v>
      </c>
      <c r="O376">
        <v>0.31</v>
      </c>
      <c r="P376">
        <v>-152.13</v>
      </c>
      <c r="Q376" t="s">
        <v>9895</v>
      </c>
      <c r="R376">
        <v>3</v>
      </c>
      <c r="S376" s="5">
        <f t="shared" si="10"/>
        <v>-0.19464418229739755</v>
      </c>
      <c r="T376">
        <v>111.65428571428571</v>
      </c>
      <c r="U376">
        <v>7</v>
      </c>
      <c r="V376">
        <v>2023</v>
      </c>
      <c r="W376">
        <v>3</v>
      </c>
      <c r="X376" t="s">
        <v>9898</v>
      </c>
      <c r="Y376" t="s">
        <v>9902</v>
      </c>
      <c r="Z376" t="s">
        <v>9899</v>
      </c>
      <c r="AD376">
        <f t="shared" si="11"/>
        <v>3</v>
      </c>
    </row>
    <row r="377" spans="1:30" x14ac:dyDescent="0.25">
      <c r="A377" t="s">
        <v>401</v>
      </c>
      <c r="B377" s="2">
        <v>44705</v>
      </c>
      <c r="C377" s="2">
        <v>44708</v>
      </c>
      <c r="D377" t="s">
        <v>5294</v>
      </c>
      <c r="E377" t="s">
        <v>5794</v>
      </c>
      <c r="F377" t="s">
        <v>6028</v>
      </c>
      <c r="G377" t="s">
        <v>6029</v>
      </c>
      <c r="H377" t="s">
        <v>6044</v>
      </c>
      <c r="I377" t="s">
        <v>6046</v>
      </c>
      <c r="J377" t="s">
        <v>6053</v>
      </c>
      <c r="K377" t="s">
        <v>6056</v>
      </c>
      <c r="L377" t="s">
        <v>6097</v>
      </c>
      <c r="M377">
        <v>762.51</v>
      </c>
      <c r="N377">
        <v>5</v>
      </c>
      <c r="O377">
        <v>0.35</v>
      </c>
      <c r="P377">
        <v>-123.21</v>
      </c>
      <c r="Q377" t="s">
        <v>9893</v>
      </c>
      <c r="R377">
        <v>3</v>
      </c>
      <c r="S377" s="5">
        <f t="shared" si="10"/>
        <v>-0.16158476610142816</v>
      </c>
      <c r="T377">
        <v>152.50200000000001</v>
      </c>
      <c r="U377">
        <v>5</v>
      </c>
      <c r="V377">
        <v>2022</v>
      </c>
      <c r="W377">
        <v>2</v>
      </c>
      <c r="X377" t="s">
        <v>9898</v>
      </c>
      <c r="Y377" t="s">
        <v>9902</v>
      </c>
      <c r="Z377" t="s">
        <v>9899</v>
      </c>
      <c r="AD377">
        <f t="shared" si="11"/>
        <v>3</v>
      </c>
    </row>
    <row r="378" spans="1:30" x14ac:dyDescent="0.25">
      <c r="A378" t="s">
        <v>402</v>
      </c>
      <c r="B378" s="2">
        <v>45138</v>
      </c>
      <c r="C378" s="2">
        <v>45142</v>
      </c>
      <c r="D378" t="s">
        <v>5295</v>
      </c>
      <c r="E378" t="s">
        <v>5795</v>
      </c>
      <c r="F378" t="s">
        <v>6027</v>
      </c>
      <c r="G378" t="s">
        <v>6030</v>
      </c>
      <c r="H378" t="s">
        <v>6033</v>
      </c>
      <c r="I378" t="s">
        <v>6047</v>
      </c>
      <c r="J378" t="s">
        <v>6054</v>
      </c>
      <c r="K378" t="s">
        <v>6060</v>
      </c>
      <c r="L378" t="s">
        <v>6430</v>
      </c>
      <c r="M378">
        <v>610.46</v>
      </c>
      <c r="N378">
        <v>5</v>
      </c>
      <c r="O378">
        <v>0.23</v>
      </c>
      <c r="P378">
        <v>-22.27</v>
      </c>
      <c r="Q378" t="s">
        <v>9896</v>
      </c>
      <c r="R378">
        <v>4</v>
      </c>
      <c r="S378" s="5">
        <f t="shared" si="10"/>
        <v>-3.6480686695278965E-2</v>
      </c>
      <c r="T378">
        <v>122.092</v>
      </c>
      <c r="U378">
        <v>7</v>
      </c>
      <c r="V378">
        <v>2023</v>
      </c>
      <c r="W378">
        <v>3</v>
      </c>
      <c r="X378" t="s">
        <v>9898</v>
      </c>
      <c r="Y378" t="s">
        <v>9900</v>
      </c>
      <c r="Z378" t="s">
        <v>9899</v>
      </c>
      <c r="AD378">
        <f t="shared" si="11"/>
        <v>4</v>
      </c>
    </row>
    <row r="379" spans="1:30" x14ac:dyDescent="0.25">
      <c r="A379" t="s">
        <v>403</v>
      </c>
      <c r="B379" s="2">
        <v>45257</v>
      </c>
      <c r="C379" s="2">
        <v>45260</v>
      </c>
      <c r="D379" t="s">
        <v>5296</v>
      </c>
      <c r="E379" t="s">
        <v>5796</v>
      </c>
      <c r="F379" t="s">
        <v>6026</v>
      </c>
      <c r="G379" t="s">
        <v>6031</v>
      </c>
      <c r="H379" t="s">
        <v>6034</v>
      </c>
      <c r="I379" t="s">
        <v>6052</v>
      </c>
      <c r="J379" t="s">
        <v>6054</v>
      </c>
      <c r="K379" t="s">
        <v>6060</v>
      </c>
      <c r="L379" t="s">
        <v>6431</v>
      </c>
      <c r="M379">
        <v>1259.67</v>
      </c>
      <c r="N379">
        <v>1</v>
      </c>
      <c r="O379">
        <v>0.08</v>
      </c>
      <c r="P379">
        <v>44.62</v>
      </c>
      <c r="Q379" t="s">
        <v>9896</v>
      </c>
      <c r="R379">
        <v>3</v>
      </c>
      <c r="S379" s="5">
        <f t="shared" si="10"/>
        <v>3.5421975596783284E-2</v>
      </c>
      <c r="T379">
        <v>1259.67</v>
      </c>
      <c r="U379">
        <v>11</v>
      </c>
      <c r="V379">
        <v>2023</v>
      </c>
      <c r="W379">
        <v>4</v>
      </c>
      <c r="X379" t="s">
        <v>9899</v>
      </c>
      <c r="Y379" t="s">
        <v>9901</v>
      </c>
      <c r="Z379" t="s">
        <v>9898</v>
      </c>
      <c r="AD379">
        <f t="shared" si="11"/>
        <v>3</v>
      </c>
    </row>
    <row r="380" spans="1:30" x14ac:dyDescent="0.25">
      <c r="A380" t="s">
        <v>404</v>
      </c>
      <c r="B380" s="2">
        <v>45304</v>
      </c>
      <c r="C380" s="2">
        <v>45310</v>
      </c>
      <c r="D380" t="s">
        <v>5191</v>
      </c>
      <c r="E380" t="s">
        <v>5691</v>
      </c>
      <c r="F380" t="s">
        <v>6026</v>
      </c>
      <c r="G380" t="s">
        <v>6030</v>
      </c>
      <c r="H380" t="s">
        <v>6033</v>
      </c>
      <c r="I380" t="s">
        <v>6051</v>
      </c>
      <c r="J380" t="s">
        <v>6055</v>
      </c>
      <c r="K380" t="s">
        <v>6063</v>
      </c>
      <c r="L380" t="s">
        <v>6432</v>
      </c>
      <c r="M380">
        <v>1374.31</v>
      </c>
      <c r="N380">
        <v>7</v>
      </c>
      <c r="O380">
        <v>0.17</v>
      </c>
      <c r="P380">
        <v>110.59</v>
      </c>
      <c r="Q380" t="s">
        <v>9893</v>
      </c>
      <c r="R380">
        <v>6</v>
      </c>
      <c r="S380" s="5">
        <f t="shared" si="10"/>
        <v>8.046947195319834E-2</v>
      </c>
      <c r="T380">
        <v>196.33</v>
      </c>
      <c r="U380">
        <v>1</v>
      </c>
      <c r="V380">
        <v>2024</v>
      </c>
      <c r="W380">
        <v>1</v>
      </c>
      <c r="X380" t="s">
        <v>9899</v>
      </c>
      <c r="Y380" t="s">
        <v>9900</v>
      </c>
      <c r="Z380" t="s">
        <v>9898</v>
      </c>
      <c r="AD380">
        <f t="shared" si="11"/>
        <v>6</v>
      </c>
    </row>
    <row r="381" spans="1:30" x14ac:dyDescent="0.25">
      <c r="A381" t="s">
        <v>405</v>
      </c>
      <c r="B381" s="2">
        <v>45347</v>
      </c>
      <c r="C381" s="2">
        <v>45354</v>
      </c>
      <c r="D381" t="s">
        <v>5297</v>
      </c>
      <c r="E381" t="s">
        <v>5797</v>
      </c>
      <c r="F381" t="s">
        <v>6026</v>
      </c>
      <c r="G381" t="s">
        <v>6029</v>
      </c>
      <c r="H381" t="s">
        <v>6041</v>
      </c>
      <c r="I381" t="s">
        <v>6050</v>
      </c>
      <c r="J381" t="s">
        <v>6055</v>
      </c>
      <c r="K381" t="s">
        <v>6061</v>
      </c>
      <c r="L381" t="s">
        <v>6433</v>
      </c>
      <c r="M381">
        <v>1478.22</v>
      </c>
      <c r="N381">
        <v>3</v>
      </c>
      <c r="O381">
        <v>0.26</v>
      </c>
      <c r="P381">
        <v>-55.72</v>
      </c>
      <c r="Q381" t="s">
        <v>9895</v>
      </c>
      <c r="R381">
        <v>7</v>
      </c>
      <c r="S381" s="5">
        <f t="shared" si="10"/>
        <v>-3.769398330424429E-2</v>
      </c>
      <c r="T381">
        <v>492.74</v>
      </c>
      <c r="U381">
        <v>2</v>
      </c>
      <c r="V381">
        <v>2024</v>
      </c>
      <c r="W381">
        <v>1</v>
      </c>
      <c r="X381" t="s">
        <v>9898</v>
      </c>
      <c r="Y381" t="s">
        <v>9900</v>
      </c>
      <c r="Z381" t="s">
        <v>9898</v>
      </c>
      <c r="AD381">
        <f t="shared" si="11"/>
        <v>7</v>
      </c>
    </row>
    <row r="382" spans="1:30" x14ac:dyDescent="0.25">
      <c r="A382" t="s">
        <v>406</v>
      </c>
      <c r="B382" s="2">
        <v>45001</v>
      </c>
      <c r="C382" s="2">
        <v>45006</v>
      </c>
      <c r="D382" t="s">
        <v>5083</v>
      </c>
      <c r="E382" t="s">
        <v>5583</v>
      </c>
      <c r="F382" t="s">
        <v>6026</v>
      </c>
      <c r="G382" t="s">
        <v>6031</v>
      </c>
      <c r="H382" t="s">
        <v>6040</v>
      </c>
      <c r="I382" t="s">
        <v>6052</v>
      </c>
      <c r="J382" t="s">
        <v>6055</v>
      </c>
      <c r="K382" t="s">
        <v>6064</v>
      </c>
      <c r="L382" t="s">
        <v>6434</v>
      </c>
      <c r="M382">
        <v>1976.52</v>
      </c>
      <c r="N382">
        <v>4</v>
      </c>
      <c r="O382">
        <v>0.11</v>
      </c>
      <c r="P382">
        <v>234.45</v>
      </c>
      <c r="Q382" t="s">
        <v>9896</v>
      </c>
      <c r="R382">
        <v>5</v>
      </c>
      <c r="S382" s="5">
        <f t="shared" si="10"/>
        <v>0.11861757027502884</v>
      </c>
      <c r="T382">
        <v>494.13</v>
      </c>
      <c r="U382">
        <v>3</v>
      </c>
      <c r="V382">
        <v>2023</v>
      </c>
      <c r="W382">
        <v>1</v>
      </c>
      <c r="X382" t="s">
        <v>9899</v>
      </c>
      <c r="Y382" t="s">
        <v>9901</v>
      </c>
      <c r="Z382" t="s">
        <v>9898</v>
      </c>
      <c r="AD382">
        <f t="shared" si="11"/>
        <v>5</v>
      </c>
    </row>
    <row r="383" spans="1:30" x14ac:dyDescent="0.25">
      <c r="A383" t="s">
        <v>407</v>
      </c>
      <c r="B383" s="2">
        <v>44655</v>
      </c>
      <c r="C383" s="2">
        <v>44660</v>
      </c>
      <c r="D383" t="s">
        <v>5298</v>
      </c>
      <c r="E383" t="s">
        <v>5798</v>
      </c>
      <c r="F383" t="s">
        <v>6028</v>
      </c>
      <c r="G383" t="s">
        <v>6031</v>
      </c>
      <c r="H383" t="s">
        <v>6040</v>
      </c>
      <c r="I383" t="s">
        <v>6048</v>
      </c>
      <c r="J383" t="s">
        <v>6053</v>
      </c>
      <c r="K383" t="s">
        <v>6058</v>
      </c>
      <c r="L383" t="s">
        <v>6435</v>
      </c>
      <c r="M383">
        <v>1521.19</v>
      </c>
      <c r="N383">
        <v>3</v>
      </c>
      <c r="O383">
        <v>0.34</v>
      </c>
      <c r="P383">
        <v>-88.26</v>
      </c>
      <c r="Q383" t="s">
        <v>9897</v>
      </c>
      <c r="R383">
        <v>5</v>
      </c>
      <c r="S383" s="5">
        <f t="shared" si="10"/>
        <v>-5.8020365634799072E-2</v>
      </c>
      <c r="T383">
        <v>507.06333333333328</v>
      </c>
      <c r="U383">
        <v>4</v>
      </c>
      <c r="V383">
        <v>2022</v>
      </c>
      <c r="W383">
        <v>2</v>
      </c>
      <c r="X383" t="s">
        <v>9898</v>
      </c>
      <c r="Y383" t="s">
        <v>9902</v>
      </c>
      <c r="Z383" t="s">
        <v>9898</v>
      </c>
      <c r="AD383">
        <f t="shared" si="11"/>
        <v>5</v>
      </c>
    </row>
    <row r="384" spans="1:30" x14ac:dyDescent="0.25">
      <c r="A384" t="s">
        <v>408</v>
      </c>
      <c r="B384" s="2">
        <v>44711</v>
      </c>
      <c r="C384" s="2">
        <v>44712</v>
      </c>
      <c r="D384" t="s">
        <v>5299</v>
      </c>
      <c r="E384" t="s">
        <v>5799</v>
      </c>
      <c r="F384" t="s">
        <v>6027</v>
      </c>
      <c r="G384" t="s">
        <v>6031</v>
      </c>
      <c r="H384" t="s">
        <v>6043</v>
      </c>
      <c r="I384" t="s">
        <v>6048</v>
      </c>
      <c r="J384" t="s">
        <v>6055</v>
      </c>
      <c r="K384" t="s">
        <v>6061</v>
      </c>
      <c r="L384" t="s">
        <v>6436</v>
      </c>
      <c r="M384">
        <v>1772.32</v>
      </c>
      <c r="N384">
        <v>2</v>
      </c>
      <c r="O384">
        <v>0.27</v>
      </c>
      <c r="P384">
        <v>-232.35</v>
      </c>
      <c r="Q384" t="s">
        <v>9893</v>
      </c>
      <c r="R384">
        <v>1</v>
      </c>
      <c r="S384" s="5">
        <f t="shared" si="10"/>
        <v>-0.13109935000451386</v>
      </c>
      <c r="T384">
        <v>886.16</v>
      </c>
      <c r="U384">
        <v>5</v>
      </c>
      <c r="V384">
        <v>2022</v>
      </c>
      <c r="W384">
        <v>2</v>
      </c>
      <c r="X384" t="s">
        <v>9898</v>
      </c>
      <c r="Y384" t="s">
        <v>9900</v>
      </c>
      <c r="Z384" t="s">
        <v>9898</v>
      </c>
      <c r="AD384">
        <f t="shared" si="11"/>
        <v>1</v>
      </c>
    </row>
    <row r="385" spans="1:30" x14ac:dyDescent="0.25">
      <c r="A385" t="s">
        <v>409</v>
      </c>
      <c r="B385" s="2">
        <v>45268</v>
      </c>
      <c r="C385" s="2">
        <v>45275</v>
      </c>
      <c r="D385" t="s">
        <v>5067</v>
      </c>
      <c r="E385" t="s">
        <v>5567</v>
      </c>
      <c r="F385" t="s">
        <v>6026</v>
      </c>
      <c r="G385" t="s">
        <v>6031</v>
      </c>
      <c r="H385" t="s">
        <v>6042</v>
      </c>
      <c r="I385" t="s">
        <v>6048</v>
      </c>
      <c r="J385" t="s">
        <v>6055</v>
      </c>
      <c r="K385" t="s">
        <v>6061</v>
      </c>
      <c r="L385" t="s">
        <v>6437</v>
      </c>
      <c r="M385">
        <v>1140.3900000000001</v>
      </c>
      <c r="N385">
        <v>8</v>
      </c>
      <c r="O385">
        <v>0.16</v>
      </c>
      <c r="P385">
        <v>117.07</v>
      </c>
      <c r="Q385" t="s">
        <v>9893</v>
      </c>
      <c r="R385">
        <v>7</v>
      </c>
      <c r="S385" s="5">
        <f t="shared" si="10"/>
        <v>0.10265786266101946</v>
      </c>
      <c r="T385">
        <v>142.54875000000001</v>
      </c>
      <c r="U385">
        <v>12</v>
      </c>
      <c r="V385">
        <v>2023</v>
      </c>
      <c r="W385">
        <v>4</v>
      </c>
      <c r="X385" t="s">
        <v>9899</v>
      </c>
      <c r="Y385" t="s">
        <v>9900</v>
      </c>
      <c r="Z385" t="s">
        <v>9898</v>
      </c>
      <c r="AD385">
        <f t="shared" si="11"/>
        <v>7</v>
      </c>
    </row>
    <row r="386" spans="1:30" x14ac:dyDescent="0.25">
      <c r="A386" t="s">
        <v>410</v>
      </c>
      <c r="B386" s="2">
        <v>45200</v>
      </c>
      <c r="C386" s="2">
        <v>45207</v>
      </c>
      <c r="D386" t="s">
        <v>5300</v>
      </c>
      <c r="E386" t="s">
        <v>5800</v>
      </c>
      <c r="F386" t="s">
        <v>6026</v>
      </c>
      <c r="G386" t="s">
        <v>6031</v>
      </c>
      <c r="H386" t="s">
        <v>6037</v>
      </c>
      <c r="I386" t="s">
        <v>6052</v>
      </c>
      <c r="J386" t="s">
        <v>6054</v>
      </c>
      <c r="K386" t="s">
        <v>6059</v>
      </c>
      <c r="L386" t="s">
        <v>6438</v>
      </c>
      <c r="M386">
        <v>1279.5899999999999</v>
      </c>
      <c r="N386">
        <v>6</v>
      </c>
      <c r="O386">
        <v>0.28000000000000003</v>
      </c>
      <c r="P386">
        <v>-207.91</v>
      </c>
      <c r="Q386" t="s">
        <v>9894</v>
      </c>
      <c r="R386">
        <v>7</v>
      </c>
      <c r="S386" s="5">
        <f t="shared" si="10"/>
        <v>-0.16248173242991898</v>
      </c>
      <c r="T386">
        <v>213.26499999999999</v>
      </c>
      <c r="U386">
        <v>10</v>
      </c>
      <c r="V386">
        <v>2023</v>
      </c>
      <c r="W386">
        <v>4</v>
      </c>
      <c r="X386" t="s">
        <v>9898</v>
      </c>
      <c r="Y386" t="s">
        <v>9900</v>
      </c>
      <c r="Z386" t="s">
        <v>9898</v>
      </c>
      <c r="AD386">
        <f t="shared" si="11"/>
        <v>7</v>
      </c>
    </row>
    <row r="387" spans="1:30" x14ac:dyDescent="0.25">
      <c r="A387" t="s">
        <v>411</v>
      </c>
      <c r="B387" s="2">
        <v>45314</v>
      </c>
      <c r="C387" s="2">
        <v>45317</v>
      </c>
      <c r="D387" t="s">
        <v>5301</v>
      </c>
      <c r="E387" t="s">
        <v>5801</v>
      </c>
      <c r="F387" t="s">
        <v>6027</v>
      </c>
      <c r="G387" t="s">
        <v>6030</v>
      </c>
      <c r="H387" t="s">
        <v>6039</v>
      </c>
      <c r="I387" t="s">
        <v>6047</v>
      </c>
      <c r="J387" t="s">
        <v>6054</v>
      </c>
      <c r="K387" t="s">
        <v>6059</v>
      </c>
      <c r="L387" t="s">
        <v>6439</v>
      </c>
      <c r="M387">
        <v>715.42</v>
      </c>
      <c r="N387">
        <v>4</v>
      </c>
      <c r="O387">
        <v>0.14000000000000001</v>
      </c>
      <c r="P387">
        <v>29.31</v>
      </c>
      <c r="Q387" t="s">
        <v>9897</v>
      </c>
      <c r="R387">
        <v>3</v>
      </c>
      <c r="S387" s="5">
        <f t="shared" ref="S387:S450" si="12">P387/M387</f>
        <v>4.0968941321181965E-2</v>
      </c>
      <c r="T387">
        <v>178.85499999999999</v>
      </c>
      <c r="U387">
        <v>1</v>
      </c>
      <c r="V387">
        <v>2024</v>
      </c>
      <c r="W387">
        <v>1</v>
      </c>
      <c r="X387" t="s">
        <v>9899</v>
      </c>
      <c r="Y387" t="s">
        <v>9901</v>
      </c>
      <c r="Z387" t="s">
        <v>9899</v>
      </c>
      <c r="AD387">
        <f t="shared" ref="AD387:AD450" si="13">C387-B387</f>
        <v>3</v>
      </c>
    </row>
    <row r="388" spans="1:30" x14ac:dyDescent="0.25">
      <c r="A388" t="s">
        <v>412</v>
      </c>
      <c r="B388" s="2">
        <v>44977</v>
      </c>
      <c r="C388" s="2">
        <v>44984</v>
      </c>
      <c r="D388" t="s">
        <v>5302</v>
      </c>
      <c r="E388" t="s">
        <v>5802</v>
      </c>
      <c r="F388" t="s">
        <v>6026</v>
      </c>
      <c r="G388" t="s">
        <v>6031</v>
      </c>
      <c r="H388" t="s">
        <v>6042</v>
      </c>
      <c r="I388" t="s">
        <v>6048</v>
      </c>
      <c r="J388" t="s">
        <v>6055</v>
      </c>
      <c r="K388" t="s">
        <v>6063</v>
      </c>
      <c r="L388" t="s">
        <v>6440</v>
      </c>
      <c r="M388">
        <v>1404.03</v>
      </c>
      <c r="N388">
        <v>1</v>
      </c>
      <c r="O388">
        <v>0</v>
      </c>
      <c r="P388">
        <v>400.68</v>
      </c>
      <c r="Q388" t="s">
        <v>9897</v>
      </c>
      <c r="R388">
        <v>7</v>
      </c>
      <c r="S388" s="5">
        <f t="shared" si="12"/>
        <v>0.28537851755304378</v>
      </c>
      <c r="T388">
        <v>1404.03</v>
      </c>
      <c r="U388">
        <v>2</v>
      </c>
      <c r="V388">
        <v>2023</v>
      </c>
      <c r="W388">
        <v>1</v>
      </c>
      <c r="X388" t="s">
        <v>9899</v>
      </c>
      <c r="Y388" t="s">
        <v>9901</v>
      </c>
      <c r="Z388" t="s">
        <v>9898</v>
      </c>
      <c r="AD388">
        <f t="shared" si="13"/>
        <v>7</v>
      </c>
    </row>
    <row r="389" spans="1:30" x14ac:dyDescent="0.25">
      <c r="A389" t="s">
        <v>413</v>
      </c>
      <c r="B389" s="2">
        <v>45109</v>
      </c>
      <c r="C389" s="2">
        <v>45112</v>
      </c>
      <c r="D389" t="s">
        <v>5303</v>
      </c>
      <c r="E389" t="s">
        <v>5803</v>
      </c>
      <c r="F389" t="s">
        <v>6028</v>
      </c>
      <c r="G389" t="s">
        <v>6030</v>
      </c>
      <c r="H389" t="s">
        <v>6038</v>
      </c>
      <c r="I389" t="s">
        <v>6051</v>
      </c>
      <c r="J389" t="s">
        <v>6055</v>
      </c>
      <c r="K389" t="s">
        <v>6064</v>
      </c>
      <c r="L389" t="s">
        <v>6441</v>
      </c>
      <c r="M389">
        <v>846.94</v>
      </c>
      <c r="N389">
        <v>6</v>
      </c>
      <c r="O389">
        <v>0.21</v>
      </c>
      <c r="P389">
        <v>-70.599999999999994</v>
      </c>
      <c r="Q389" t="s">
        <v>9897</v>
      </c>
      <c r="R389">
        <v>3</v>
      </c>
      <c r="S389" s="5">
        <f t="shared" si="12"/>
        <v>-8.3358915625664137E-2</v>
      </c>
      <c r="T389">
        <v>141.15666666666669</v>
      </c>
      <c r="U389">
        <v>7</v>
      </c>
      <c r="V389">
        <v>2023</v>
      </c>
      <c r="W389">
        <v>3</v>
      </c>
      <c r="X389" t="s">
        <v>9898</v>
      </c>
      <c r="Y389" t="s">
        <v>9900</v>
      </c>
      <c r="Z389" t="s">
        <v>9899</v>
      </c>
      <c r="AD389">
        <f t="shared" si="13"/>
        <v>3</v>
      </c>
    </row>
    <row r="390" spans="1:30" x14ac:dyDescent="0.25">
      <c r="A390" t="s">
        <v>414</v>
      </c>
      <c r="B390" s="2">
        <v>45253</v>
      </c>
      <c r="C390" s="2">
        <v>45259</v>
      </c>
      <c r="D390" t="s">
        <v>5208</v>
      </c>
      <c r="E390" t="s">
        <v>5708</v>
      </c>
      <c r="F390" t="s">
        <v>6027</v>
      </c>
      <c r="G390" t="s">
        <v>6029</v>
      </c>
      <c r="H390" t="s">
        <v>6032</v>
      </c>
      <c r="I390" t="s">
        <v>6049</v>
      </c>
      <c r="J390" t="s">
        <v>6053</v>
      </c>
      <c r="K390" t="s">
        <v>6057</v>
      </c>
      <c r="L390" t="s">
        <v>6442</v>
      </c>
      <c r="M390">
        <v>169.41</v>
      </c>
      <c r="N390">
        <v>4</v>
      </c>
      <c r="O390">
        <v>0.08</v>
      </c>
      <c r="P390">
        <v>14.93</v>
      </c>
      <c r="Q390" t="s">
        <v>9894</v>
      </c>
      <c r="R390">
        <v>6</v>
      </c>
      <c r="S390" s="5">
        <f t="shared" si="12"/>
        <v>8.8129390236703853E-2</v>
      </c>
      <c r="T390">
        <v>42.352499999999999</v>
      </c>
      <c r="U390">
        <v>11</v>
      </c>
      <c r="V390">
        <v>2023</v>
      </c>
      <c r="W390">
        <v>4</v>
      </c>
      <c r="X390" t="s">
        <v>9899</v>
      </c>
      <c r="Y390" t="s">
        <v>9901</v>
      </c>
      <c r="Z390" t="s">
        <v>9899</v>
      </c>
      <c r="AD390">
        <f t="shared" si="13"/>
        <v>6</v>
      </c>
    </row>
    <row r="391" spans="1:30" x14ac:dyDescent="0.25">
      <c r="A391" t="s">
        <v>415</v>
      </c>
      <c r="B391" s="2">
        <v>45120</v>
      </c>
      <c r="C391" s="2">
        <v>45122</v>
      </c>
      <c r="D391" t="s">
        <v>5304</v>
      </c>
      <c r="E391" t="s">
        <v>5804</v>
      </c>
      <c r="F391" t="s">
        <v>6027</v>
      </c>
      <c r="G391" t="s">
        <v>6029</v>
      </c>
      <c r="H391" t="s">
        <v>6036</v>
      </c>
      <c r="I391" t="s">
        <v>6046</v>
      </c>
      <c r="J391" t="s">
        <v>6055</v>
      </c>
      <c r="K391" t="s">
        <v>6063</v>
      </c>
      <c r="L391" t="s">
        <v>6443</v>
      </c>
      <c r="M391">
        <v>218.04</v>
      </c>
      <c r="N391">
        <v>1</v>
      </c>
      <c r="O391">
        <v>0.09</v>
      </c>
      <c r="P391">
        <v>16.43</v>
      </c>
      <c r="Q391" t="s">
        <v>9893</v>
      </c>
      <c r="R391">
        <v>2</v>
      </c>
      <c r="S391" s="5">
        <f t="shared" si="12"/>
        <v>7.5353146211704275E-2</v>
      </c>
      <c r="T391">
        <v>218.04</v>
      </c>
      <c r="U391">
        <v>7</v>
      </c>
      <c r="V391">
        <v>2023</v>
      </c>
      <c r="W391">
        <v>3</v>
      </c>
      <c r="X391" t="s">
        <v>9899</v>
      </c>
      <c r="Y391" t="s">
        <v>9901</v>
      </c>
      <c r="Z391" t="s">
        <v>9899</v>
      </c>
      <c r="AD391">
        <f t="shared" si="13"/>
        <v>2</v>
      </c>
    </row>
    <row r="392" spans="1:30" x14ac:dyDescent="0.25">
      <c r="A392" t="s">
        <v>416</v>
      </c>
      <c r="B392" s="2">
        <v>45099</v>
      </c>
      <c r="C392" s="2">
        <v>45103</v>
      </c>
      <c r="D392" t="s">
        <v>5305</v>
      </c>
      <c r="E392" t="s">
        <v>5805</v>
      </c>
      <c r="F392" t="s">
        <v>6028</v>
      </c>
      <c r="G392" t="s">
        <v>6029</v>
      </c>
      <c r="H392" t="s">
        <v>6044</v>
      </c>
      <c r="I392" t="s">
        <v>6049</v>
      </c>
      <c r="J392" t="s">
        <v>6055</v>
      </c>
      <c r="K392" t="s">
        <v>6063</v>
      </c>
      <c r="L392" t="s">
        <v>6444</v>
      </c>
      <c r="M392">
        <v>504.9</v>
      </c>
      <c r="N392">
        <v>8</v>
      </c>
      <c r="O392">
        <v>0.12</v>
      </c>
      <c r="P392">
        <v>-8.8699999999999992</v>
      </c>
      <c r="Q392" t="s">
        <v>9893</v>
      </c>
      <c r="R392">
        <v>4</v>
      </c>
      <c r="S392" s="5">
        <f t="shared" si="12"/>
        <v>-1.7567835214894037E-2</v>
      </c>
      <c r="T392">
        <v>63.112499999999997</v>
      </c>
      <c r="U392">
        <v>6</v>
      </c>
      <c r="V392">
        <v>2023</v>
      </c>
      <c r="W392">
        <v>2</v>
      </c>
      <c r="X392" t="s">
        <v>9898</v>
      </c>
      <c r="Y392" t="s">
        <v>9901</v>
      </c>
      <c r="Z392" t="s">
        <v>9899</v>
      </c>
      <c r="AD392">
        <f t="shared" si="13"/>
        <v>4</v>
      </c>
    </row>
    <row r="393" spans="1:30" x14ac:dyDescent="0.25">
      <c r="A393" t="s">
        <v>417</v>
      </c>
      <c r="B393" s="2">
        <v>44682</v>
      </c>
      <c r="C393" s="2">
        <v>44684</v>
      </c>
      <c r="D393" t="s">
        <v>5090</v>
      </c>
      <c r="E393" t="s">
        <v>5590</v>
      </c>
      <c r="F393" t="s">
        <v>6028</v>
      </c>
      <c r="G393" t="s">
        <v>6031</v>
      </c>
      <c r="H393" t="s">
        <v>6040</v>
      </c>
      <c r="I393" t="s">
        <v>6048</v>
      </c>
      <c r="J393" t="s">
        <v>6053</v>
      </c>
      <c r="K393" t="s">
        <v>6056</v>
      </c>
      <c r="L393" t="s">
        <v>6445</v>
      </c>
      <c r="M393">
        <v>1286.03</v>
      </c>
      <c r="N393">
        <v>1</v>
      </c>
      <c r="O393">
        <v>0.06</v>
      </c>
      <c r="P393">
        <v>174.3</v>
      </c>
      <c r="Q393" t="s">
        <v>9896</v>
      </c>
      <c r="R393">
        <v>2</v>
      </c>
      <c r="S393" s="5">
        <f t="shared" si="12"/>
        <v>0.13553338569084702</v>
      </c>
      <c r="T393">
        <v>1286.03</v>
      </c>
      <c r="U393">
        <v>5</v>
      </c>
      <c r="V393">
        <v>2022</v>
      </c>
      <c r="W393">
        <v>2</v>
      </c>
      <c r="X393" t="s">
        <v>9899</v>
      </c>
      <c r="Y393" t="s">
        <v>9901</v>
      </c>
      <c r="Z393" t="s">
        <v>9898</v>
      </c>
      <c r="AD393">
        <f t="shared" si="13"/>
        <v>2</v>
      </c>
    </row>
    <row r="394" spans="1:30" x14ac:dyDescent="0.25">
      <c r="A394" t="s">
        <v>418</v>
      </c>
      <c r="B394" s="2">
        <v>45082</v>
      </c>
      <c r="C394" s="2">
        <v>45086</v>
      </c>
      <c r="D394" t="s">
        <v>5276</v>
      </c>
      <c r="E394" t="s">
        <v>5776</v>
      </c>
      <c r="F394" t="s">
        <v>6027</v>
      </c>
      <c r="G394" t="s">
        <v>6031</v>
      </c>
      <c r="H394" t="s">
        <v>6043</v>
      </c>
      <c r="I394" t="s">
        <v>6050</v>
      </c>
      <c r="J394" t="s">
        <v>6055</v>
      </c>
      <c r="K394" t="s">
        <v>6063</v>
      </c>
      <c r="L394" t="s">
        <v>6446</v>
      </c>
      <c r="M394">
        <v>822.6</v>
      </c>
      <c r="N394">
        <v>7</v>
      </c>
      <c r="O394">
        <v>0.06</v>
      </c>
      <c r="P394">
        <v>186.72</v>
      </c>
      <c r="Q394" t="s">
        <v>9895</v>
      </c>
      <c r="R394">
        <v>4</v>
      </c>
      <c r="S394" s="5">
        <f t="shared" si="12"/>
        <v>0.22698760029175782</v>
      </c>
      <c r="T394">
        <v>117.51428571428571</v>
      </c>
      <c r="U394">
        <v>6</v>
      </c>
      <c r="V394">
        <v>2023</v>
      </c>
      <c r="W394">
        <v>2</v>
      </c>
      <c r="X394" t="s">
        <v>9899</v>
      </c>
      <c r="Y394" t="s">
        <v>9901</v>
      </c>
      <c r="Z394" t="s">
        <v>9899</v>
      </c>
      <c r="AD394">
        <f t="shared" si="13"/>
        <v>4</v>
      </c>
    </row>
    <row r="395" spans="1:30" x14ac:dyDescent="0.25">
      <c r="A395" t="s">
        <v>419</v>
      </c>
      <c r="B395" s="2">
        <v>44664</v>
      </c>
      <c r="C395" s="2">
        <v>44665</v>
      </c>
      <c r="D395" t="s">
        <v>5306</v>
      </c>
      <c r="E395" t="s">
        <v>5806</v>
      </c>
      <c r="F395" t="s">
        <v>6027</v>
      </c>
      <c r="G395" t="s">
        <v>6029</v>
      </c>
      <c r="H395" t="s">
        <v>6032</v>
      </c>
      <c r="I395" t="s">
        <v>6049</v>
      </c>
      <c r="J395" t="s">
        <v>6053</v>
      </c>
      <c r="K395" t="s">
        <v>6058</v>
      </c>
      <c r="L395" t="s">
        <v>6447</v>
      </c>
      <c r="M395">
        <v>1943.67</v>
      </c>
      <c r="N395">
        <v>6</v>
      </c>
      <c r="O395">
        <v>0.22</v>
      </c>
      <c r="P395">
        <v>-147.47999999999999</v>
      </c>
      <c r="Q395" t="s">
        <v>9897</v>
      </c>
      <c r="R395">
        <v>1</v>
      </c>
      <c r="S395" s="5">
        <f t="shared" si="12"/>
        <v>-7.5877077899026063E-2</v>
      </c>
      <c r="T395">
        <v>323.94499999999999</v>
      </c>
      <c r="U395">
        <v>4</v>
      </c>
      <c r="V395">
        <v>2022</v>
      </c>
      <c r="W395">
        <v>2</v>
      </c>
      <c r="X395" t="s">
        <v>9898</v>
      </c>
      <c r="Y395" t="s">
        <v>9900</v>
      </c>
      <c r="Z395" t="s">
        <v>9898</v>
      </c>
      <c r="AD395">
        <f t="shared" si="13"/>
        <v>1</v>
      </c>
    </row>
    <row r="396" spans="1:30" x14ac:dyDescent="0.25">
      <c r="A396" t="s">
        <v>420</v>
      </c>
      <c r="B396" s="2">
        <v>44912</v>
      </c>
      <c r="C396" s="2">
        <v>44918</v>
      </c>
      <c r="D396" t="s">
        <v>5307</v>
      </c>
      <c r="E396" t="s">
        <v>5807</v>
      </c>
      <c r="F396" t="s">
        <v>6027</v>
      </c>
      <c r="G396" t="s">
        <v>6030</v>
      </c>
      <c r="H396" t="s">
        <v>6035</v>
      </c>
      <c r="I396" t="s">
        <v>6051</v>
      </c>
      <c r="J396" t="s">
        <v>6053</v>
      </c>
      <c r="K396" t="s">
        <v>6056</v>
      </c>
      <c r="L396" t="s">
        <v>6448</v>
      </c>
      <c r="M396">
        <v>337.79</v>
      </c>
      <c r="N396">
        <v>2</v>
      </c>
      <c r="O396">
        <v>0.3</v>
      </c>
      <c r="P396">
        <v>-46.27</v>
      </c>
      <c r="Q396" t="s">
        <v>9897</v>
      </c>
      <c r="R396">
        <v>6</v>
      </c>
      <c r="S396" s="5">
        <f t="shared" si="12"/>
        <v>-0.13697859616921756</v>
      </c>
      <c r="T396">
        <v>168.89500000000001</v>
      </c>
      <c r="U396">
        <v>12</v>
      </c>
      <c r="V396">
        <v>2022</v>
      </c>
      <c r="W396">
        <v>4</v>
      </c>
      <c r="X396" t="s">
        <v>9898</v>
      </c>
      <c r="Y396" t="s">
        <v>9900</v>
      </c>
      <c r="Z396" t="s">
        <v>9899</v>
      </c>
      <c r="AD396">
        <f t="shared" si="13"/>
        <v>6</v>
      </c>
    </row>
    <row r="397" spans="1:30" x14ac:dyDescent="0.25">
      <c r="A397" t="s">
        <v>421</v>
      </c>
      <c r="B397" s="2">
        <v>44691</v>
      </c>
      <c r="C397" s="2">
        <v>44695</v>
      </c>
      <c r="D397" t="s">
        <v>5094</v>
      </c>
      <c r="E397" t="s">
        <v>5594</v>
      </c>
      <c r="F397" t="s">
        <v>6027</v>
      </c>
      <c r="G397" t="s">
        <v>6030</v>
      </c>
      <c r="H397" t="s">
        <v>6038</v>
      </c>
      <c r="I397" t="s">
        <v>6047</v>
      </c>
      <c r="J397" t="s">
        <v>6054</v>
      </c>
      <c r="K397" t="s">
        <v>6060</v>
      </c>
      <c r="L397" t="s">
        <v>6449</v>
      </c>
      <c r="M397">
        <v>580.29999999999995</v>
      </c>
      <c r="N397">
        <v>4</v>
      </c>
      <c r="O397">
        <v>0.01</v>
      </c>
      <c r="P397">
        <v>56.72</v>
      </c>
      <c r="Q397" t="s">
        <v>9893</v>
      </c>
      <c r="R397">
        <v>4</v>
      </c>
      <c r="S397" s="5">
        <f t="shared" si="12"/>
        <v>9.7742546958469761E-2</v>
      </c>
      <c r="T397">
        <v>145.07499999999999</v>
      </c>
      <c r="U397">
        <v>5</v>
      </c>
      <c r="V397">
        <v>2022</v>
      </c>
      <c r="W397">
        <v>2</v>
      </c>
      <c r="X397" t="s">
        <v>9899</v>
      </c>
      <c r="Y397" t="s">
        <v>9901</v>
      </c>
      <c r="Z397" t="s">
        <v>9899</v>
      </c>
      <c r="AD397">
        <f t="shared" si="13"/>
        <v>4</v>
      </c>
    </row>
    <row r="398" spans="1:30" x14ac:dyDescent="0.25">
      <c r="A398" t="s">
        <v>422</v>
      </c>
      <c r="B398" s="2">
        <v>45274</v>
      </c>
      <c r="C398" s="2">
        <v>45279</v>
      </c>
      <c r="D398" t="s">
        <v>5308</v>
      </c>
      <c r="E398" t="s">
        <v>5808</v>
      </c>
      <c r="F398" t="s">
        <v>6028</v>
      </c>
      <c r="G398" t="s">
        <v>6029</v>
      </c>
      <c r="H398" t="s">
        <v>6041</v>
      </c>
      <c r="I398" t="s">
        <v>6046</v>
      </c>
      <c r="J398" t="s">
        <v>6055</v>
      </c>
      <c r="K398" t="s">
        <v>6063</v>
      </c>
      <c r="L398" t="s">
        <v>6450</v>
      </c>
      <c r="M398">
        <v>1858.17</v>
      </c>
      <c r="N398">
        <v>5</v>
      </c>
      <c r="O398">
        <v>0.28000000000000003</v>
      </c>
      <c r="P398">
        <v>-207.04</v>
      </c>
      <c r="Q398" t="s">
        <v>9894</v>
      </c>
      <c r="R398">
        <v>5</v>
      </c>
      <c r="S398" s="5">
        <f t="shared" si="12"/>
        <v>-0.11142145228908011</v>
      </c>
      <c r="T398">
        <v>371.63400000000001</v>
      </c>
      <c r="U398">
        <v>12</v>
      </c>
      <c r="V398">
        <v>2023</v>
      </c>
      <c r="W398">
        <v>4</v>
      </c>
      <c r="X398" t="s">
        <v>9898</v>
      </c>
      <c r="Y398" t="s">
        <v>9900</v>
      </c>
      <c r="Z398" t="s">
        <v>9898</v>
      </c>
      <c r="AD398">
        <f t="shared" si="13"/>
        <v>5</v>
      </c>
    </row>
    <row r="399" spans="1:30" x14ac:dyDescent="0.25">
      <c r="A399" t="s">
        <v>423</v>
      </c>
      <c r="B399" s="2">
        <v>45065</v>
      </c>
      <c r="C399" s="2">
        <v>45068</v>
      </c>
      <c r="D399" t="s">
        <v>5309</v>
      </c>
      <c r="E399" t="s">
        <v>5809</v>
      </c>
      <c r="F399" t="s">
        <v>6027</v>
      </c>
      <c r="G399" t="s">
        <v>6029</v>
      </c>
      <c r="H399" t="s">
        <v>6036</v>
      </c>
      <c r="I399" t="s">
        <v>6046</v>
      </c>
      <c r="J399" t="s">
        <v>6054</v>
      </c>
      <c r="K399" t="s">
        <v>6059</v>
      </c>
      <c r="L399" t="s">
        <v>6451</v>
      </c>
      <c r="M399">
        <v>403.35</v>
      </c>
      <c r="N399">
        <v>4</v>
      </c>
      <c r="O399">
        <v>0.28000000000000003</v>
      </c>
      <c r="P399">
        <v>-4.5999999999999996</v>
      </c>
      <c r="Q399" t="s">
        <v>9897</v>
      </c>
      <c r="R399">
        <v>3</v>
      </c>
      <c r="S399" s="5">
        <f t="shared" si="12"/>
        <v>-1.1404487417875293E-2</v>
      </c>
      <c r="T399">
        <v>100.83750000000001</v>
      </c>
      <c r="U399">
        <v>5</v>
      </c>
      <c r="V399">
        <v>2023</v>
      </c>
      <c r="W399">
        <v>2</v>
      </c>
      <c r="X399" t="s">
        <v>9898</v>
      </c>
      <c r="Y399" t="s">
        <v>9900</v>
      </c>
      <c r="Z399" t="s">
        <v>9899</v>
      </c>
      <c r="AD399">
        <f t="shared" si="13"/>
        <v>3</v>
      </c>
    </row>
    <row r="400" spans="1:30" x14ac:dyDescent="0.25">
      <c r="A400" t="s">
        <v>424</v>
      </c>
      <c r="B400" s="2">
        <v>44818</v>
      </c>
      <c r="C400" s="2">
        <v>44820</v>
      </c>
      <c r="D400" t="s">
        <v>5301</v>
      </c>
      <c r="E400" t="s">
        <v>5801</v>
      </c>
      <c r="F400" t="s">
        <v>6026</v>
      </c>
      <c r="G400" t="s">
        <v>6030</v>
      </c>
      <c r="H400" t="s">
        <v>6033</v>
      </c>
      <c r="I400" t="s">
        <v>6051</v>
      </c>
      <c r="J400" t="s">
        <v>6053</v>
      </c>
      <c r="K400" t="s">
        <v>6057</v>
      </c>
      <c r="L400" t="s">
        <v>6452</v>
      </c>
      <c r="M400">
        <v>1631.98</v>
      </c>
      <c r="N400">
        <v>7</v>
      </c>
      <c r="O400">
        <v>0.2</v>
      </c>
      <c r="P400">
        <v>-12.85</v>
      </c>
      <c r="Q400" t="s">
        <v>9896</v>
      </c>
      <c r="R400">
        <v>2</v>
      </c>
      <c r="S400" s="5">
        <f t="shared" si="12"/>
        <v>-7.8738710033211187E-3</v>
      </c>
      <c r="T400">
        <v>233.14</v>
      </c>
      <c r="U400">
        <v>9</v>
      </c>
      <c r="V400">
        <v>2022</v>
      </c>
      <c r="W400">
        <v>3</v>
      </c>
      <c r="X400" t="s">
        <v>9898</v>
      </c>
      <c r="Y400" t="s">
        <v>9900</v>
      </c>
      <c r="Z400" t="s">
        <v>9898</v>
      </c>
      <c r="AD400">
        <f t="shared" si="13"/>
        <v>2</v>
      </c>
    </row>
    <row r="401" spans="1:30" x14ac:dyDescent="0.25">
      <c r="A401" t="s">
        <v>425</v>
      </c>
      <c r="B401" s="2">
        <v>45349</v>
      </c>
      <c r="C401" s="2">
        <v>45350</v>
      </c>
      <c r="D401" t="s">
        <v>5182</v>
      </c>
      <c r="E401" t="s">
        <v>5682</v>
      </c>
      <c r="F401" t="s">
        <v>6028</v>
      </c>
      <c r="G401" t="s">
        <v>6029</v>
      </c>
      <c r="H401" t="s">
        <v>6044</v>
      </c>
      <c r="I401" t="s">
        <v>6050</v>
      </c>
      <c r="J401" t="s">
        <v>6055</v>
      </c>
      <c r="K401" t="s">
        <v>6061</v>
      </c>
      <c r="L401" t="s">
        <v>6453</v>
      </c>
      <c r="M401">
        <v>573.08000000000004</v>
      </c>
      <c r="N401">
        <v>7</v>
      </c>
      <c r="O401">
        <v>0.27</v>
      </c>
      <c r="P401">
        <v>-45.39</v>
      </c>
      <c r="Q401" t="s">
        <v>9897</v>
      </c>
      <c r="R401">
        <v>1</v>
      </c>
      <c r="S401" s="5">
        <f t="shared" si="12"/>
        <v>-7.9203601591400843E-2</v>
      </c>
      <c r="T401">
        <v>81.868571428571428</v>
      </c>
      <c r="U401">
        <v>2</v>
      </c>
      <c r="V401">
        <v>2024</v>
      </c>
      <c r="W401">
        <v>1</v>
      </c>
      <c r="X401" t="s">
        <v>9898</v>
      </c>
      <c r="Y401" t="s">
        <v>9900</v>
      </c>
      <c r="Z401" t="s">
        <v>9899</v>
      </c>
      <c r="AD401">
        <f t="shared" si="13"/>
        <v>1</v>
      </c>
    </row>
    <row r="402" spans="1:30" x14ac:dyDescent="0.25">
      <c r="A402" t="s">
        <v>426</v>
      </c>
      <c r="B402" s="2">
        <v>44701</v>
      </c>
      <c r="C402" s="2">
        <v>44708</v>
      </c>
      <c r="D402" t="s">
        <v>5310</v>
      </c>
      <c r="E402" t="s">
        <v>5810</v>
      </c>
      <c r="F402" t="s">
        <v>6027</v>
      </c>
      <c r="G402" t="s">
        <v>6029</v>
      </c>
      <c r="H402" t="s">
        <v>6032</v>
      </c>
      <c r="I402" t="s">
        <v>6050</v>
      </c>
      <c r="J402" t="s">
        <v>6055</v>
      </c>
      <c r="K402" t="s">
        <v>6063</v>
      </c>
      <c r="L402" t="s">
        <v>6454</v>
      </c>
      <c r="M402">
        <v>1550.8</v>
      </c>
      <c r="N402">
        <v>3</v>
      </c>
      <c r="O402">
        <v>0.21</v>
      </c>
      <c r="P402">
        <v>-16.84</v>
      </c>
      <c r="Q402" t="s">
        <v>9894</v>
      </c>
      <c r="R402">
        <v>7</v>
      </c>
      <c r="S402" s="5">
        <f t="shared" si="12"/>
        <v>-1.0858911529533144E-2</v>
      </c>
      <c r="T402">
        <v>516.93333333333328</v>
      </c>
      <c r="U402">
        <v>5</v>
      </c>
      <c r="V402">
        <v>2022</v>
      </c>
      <c r="W402">
        <v>2</v>
      </c>
      <c r="X402" t="s">
        <v>9898</v>
      </c>
      <c r="Y402" t="s">
        <v>9900</v>
      </c>
      <c r="Z402" t="s">
        <v>9898</v>
      </c>
      <c r="AD402">
        <f t="shared" si="13"/>
        <v>7</v>
      </c>
    </row>
    <row r="403" spans="1:30" x14ac:dyDescent="0.25">
      <c r="A403" t="s">
        <v>427</v>
      </c>
      <c r="B403" s="2">
        <v>44701</v>
      </c>
      <c r="C403" s="2">
        <v>44707</v>
      </c>
      <c r="D403" t="s">
        <v>5075</v>
      </c>
      <c r="E403" t="s">
        <v>5575</v>
      </c>
      <c r="F403" t="s">
        <v>6026</v>
      </c>
      <c r="G403" t="s">
        <v>6031</v>
      </c>
      <c r="H403" t="s">
        <v>6042</v>
      </c>
      <c r="I403" t="s">
        <v>6052</v>
      </c>
      <c r="J403" t="s">
        <v>6053</v>
      </c>
      <c r="K403" t="s">
        <v>6058</v>
      </c>
      <c r="L403" t="s">
        <v>6455</v>
      </c>
      <c r="M403">
        <v>699.87</v>
      </c>
      <c r="N403">
        <v>2</v>
      </c>
      <c r="O403">
        <v>0.1</v>
      </c>
      <c r="P403">
        <v>110.42</v>
      </c>
      <c r="Q403" t="s">
        <v>9896</v>
      </c>
      <c r="R403">
        <v>6</v>
      </c>
      <c r="S403" s="5">
        <f t="shared" si="12"/>
        <v>0.15777215768642749</v>
      </c>
      <c r="T403">
        <v>349.935</v>
      </c>
      <c r="U403">
        <v>5</v>
      </c>
      <c r="V403">
        <v>2022</v>
      </c>
      <c r="W403">
        <v>2</v>
      </c>
      <c r="X403" t="s">
        <v>9899</v>
      </c>
      <c r="Y403" t="s">
        <v>9901</v>
      </c>
      <c r="Z403" t="s">
        <v>9899</v>
      </c>
      <c r="AD403">
        <f t="shared" si="13"/>
        <v>6</v>
      </c>
    </row>
    <row r="404" spans="1:30" x14ac:dyDescent="0.25">
      <c r="A404" t="s">
        <v>428</v>
      </c>
      <c r="B404" s="2">
        <v>45373</v>
      </c>
      <c r="C404" s="2">
        <v>45378</v>
      </c>
      <c r="D404" t="s">
        <v>5311</v>
      </c>
      <c r="E404" t="s">
        <v>5811</v>
      </c>
      <c r="F404" t="s">
        <v>6027</v>
      </c>
      <c r="G404" t="s">
        <v>6029</v>
      </c>
      <c r="H404" t="s">
        <v>6044</v>
      </c>
      <c r="I404" t="s">
        <v>6046</v>
      </c>
      <c r="J404" t="s">
        <v>6055</v>
      </c>
      <c r="K404" t="s">
        <v>6064</v>
      </c>
      <c r="L404" t="s">
        <v>6456</v>
      </c>
      <c r="M404">
        <v>246.63</v>
      </c>
      <c r="N404">
        <v>3</v>
      </c>
      <c r="O404">
        <v>0.13</v>
      </c>
      <c r="P404">
        <v>-0.8</v>
      </c>
      <c r="Q404" t="s">
        <v>9893</v>
      </c>
      <c r="R404">
        <v>5</v>
      </c>
      <c r="S404" s="5">
        <f t="shared" si="12"/>
        <v>-3.2437254186433121E-3</v>
      </c>
      <c r="T404">
        <v>82.21</v>
      </c>
      <c r="U404">
        <v>3</v>
      </c>
      <c r="V404">
        <v>2024</v>
      </c>
      <c r="W404">
        <v>1</v>
      </c>
      <c r="X404" t="s">
        <v>9898</v>
      </c>
      <c r="Y404" t="s">
        <v>9901</v>
      </c>
      <c r="Z404" t="s">
        <v>9899</v>
      </c>
      <c r="AD404">
        <f t="shared" si="13"/>
        <v>5</v>
      </c>
    </row>
    <row r="405" spans="1:30" x14ac:dyDescent="0.25">
      <c r="A405" t="s">
        <v>429</v>
      </c>
      <c r="B405" s="2">
        <v>45128</v>
      </c>
      <c r="C405" s="2">
        <v>45130</v>
      </c>
      <c r="D405" t="s">
        <v>5302</v>
      </c>
      <c r="E405" t="s">
        <v>5802</v>
      </c>
      <c r="F405" t="s">
        <v>6028</v>
      </c>
      <c r="G405" t="s">
        <v>6029</v>
      </c>
      <c r="H405" t="s">
        <v>6036</v>
      </c>
      <c r="I405" t="s">
        <v>6049</v>
      </c>
      <c r="J405" t="s">
        <v>6055</v>
      </c>
      <c r="K405" t="s">
        <v>6063</v>
      </c>
      <c r="L405" t="s">
        <v>6457</v>
      </c>
      <c r="M405">
        <v>1113.75</v>
      </c>
      <c r="N405">
        <v>7</v>
      </c>
      <c r="O405">
        <v>7.0000000000000007E-2</v>
      </c>
      <c r="P405">
        <v>151.76</v>
      </c>
      <c r="Q405" t="s">
        <v>9893</v>
      </c>
      <c r="R405">
        <v>2</v>
      </c>
      <c r="S405" s="5">
        <f t="shared" si="12"/>
        <v>0.13626038159371492</v>
      </c>
      <c r="T405">
        <v>159.10714285714289</v>
      </c>
      <c r="U405">
        <v>7</v>
      </c>
      <c r="V405">
        <v>2023</v>
      </c>
      <c r="W405">
        <v>3</v>
      </c>
      <c r="X405" t="s">
        <v>9899</v>
      </c>
      <c r="Y405" t="s">
        <v>9901</v>
      </c>
      <c r="Z405" t="s">
        <v>9898</v>
      </c>
      <c r="AD405">
        <f t="shared" si="13"/>
        <v>2</v>
      </c>
    </row>
    <row r="406" spans="1:30" x14ac:dyDescent="0.25">
      <c r="A406" t="s">
        <v>430</v>
      </c>
      <c r="B406" s="2">
        <v>44579</v>
      </c>
      <c r="C406" s="2">
        <v>44582</v>
      </c>
      <c r="D406" t="s">
        <v>5312</v>
      </c>
      <c r="E406" t="s">
        <v>5812</v>
      </c>
      <c r="F406" t="s">
        <v>6028</v>
      </c>
      <c r="G406" t="s">
        <v>6031</v>
      </c>
      <c r="H406" t="s">
        <v>6043</v>
      </c>
      <c r="I406" t="s">
        <v>6050</v>
      </c>
      <c r="J406" t="s">
        <v>6054</v>
      </c>
      <c r="K406" t="s">
        <v>6062</v>
      </c>
      <c r="L406" t="s">
        <v>6458</v>
      </c>
      <c r="M406">
        <v>760.75</v>
      </c>
      <c r="N406">
        <v>3</v>
      </c>
      <c r="O406">
        <v>0.32</v>
      </c>
      <c r="P406">
        <v>-18.37</v>
      </c>
      <c r="Q406" t="s">
        <v>9893</v>
      </c>
      <c r="R406">
        <v>3</v>
      </c>
      <c r="S406" s="5">
        <f t="shared" si="12"/>
        <v>-2.4147223135064084E-2</v>
      </c>
      <c r="T406">
        <v>253.58333333333329</v>
      </c>
      <c r="U406">
        <v>1</v>
      </c>
      <c r="V406">
        <v>2022</v>
      </c>
      <c r="W406">
        <v>1</v>
      </c>
      <c r="X406" t="s">
        <v>9898</v>
      </c>
      <c r="Y406" t="s">
        <v>9902</v>
      </c>
      <c r="Z406" t="s">
        <v>9899</v>
      </c>
      <c r="AD406">
        <f t="shared" si="13"/>
        <v>3</v>
      </c>
    </row>
    <row r="407" spans="1:30" x14ac:dyDescent="0.25">
      <c r="A407" t="s">
        <v>431</v>
      </c>
      <c r="B407" s="2">
        <v>44757</v>
      </c>
      <c r="C407" s="2">
        <v>44759</v>
      </c>
      <c r="D407" t="s">
        <v>5204</v>
      </c>
      <c r="E407" t="s">
        <v>5704</v>
      </c>
      <c r="F407" t="s">
        <v>6027</v>
      </c>
      <c r="G407" t="s">
        <v>6031</v>
      </c>
      <c r="H407" t="s">
        <v>6034</v>
      </c>
      <c r="I407" t="s">
        <v>6048</v>
      </c>
      <c r="J407" t="s">
        <v>6054</v>
      </c>
      <c r="K407" t="s">
        <v>6060</v>
      </c>
      <c r="L407" t="s">
        <v>6459</v>
      </c>
      <c r="M407">
        <v>618.79999999999995</v>
      </c>
      <c r="N407">
        <v>6</v>
      </c>
      <c r="O407">
        <v>0.24</v>
      </c>
      <c r="P407">
        <v>-27.77</v>
      </c>
      <c r="Q407" t="s">
        <v>9897</v>
      </c>
      <c r="R407">
        <v>2</v>
      </c>
      <c r="S407" s="5">
        <f t="shared" si="12"/>
        <v>-4.4877181641887524E-2</v>
      </c>
      <c r="T407">
        <v>103.1333333333333</v>
      </c>
      <c r="U407">
        <v>7</v>
      </c>
      <c r="V407">
        <v>2022</v>
      </c>
      <c r="W407">
        <v>3</v>
      </c>
      <c r="X407" t="s">
        <v>9898</v>
      </c>
      <c r="Y407" t="s">
        <v>9900</v>
      </c>
      <c r="Z407" t="s">
        <v>9899</v>
      </c>
      <c r="AD407">
        <f t="shared" si="13"/>
        <v>2</v>
      </c>
    </row>
    <row r="408" spans="1:30" x14ac:dyDescent="0.25">
      <c r="A408" t="s">
        <v>432</v>
      </c>
      <c r="B408" s="2">
        <v>44719</v>
      </c>
      <c r="C408" s="2">
        <v>44723</v>
      </c>
      <c r="D408" t="s">
        <v>5083</v>
      </c>
      <c r="E408" t="s">
        <v>5583</v>
      </c>
      <c r="F408" t="s">
        <v>6026</v>
      </c>
      <c r="G408" t="s">
        <v>6030</v>
      </c>
      <c r="H408" t="s">
        <v>6039</v>
      </c>
      <c r="I408" t="s">
        <v>6051</v>
      </c>
      <c r="J408" t="s">
        <v>6054</v>
      </c>
      <c r="K408" t="s">
        <v>6062</v>
      </c>
      <c r="L408" t="s">
        <v>6460</v>
      </c>
      <c r="M408">
        <v>506.2</v>
      </c>
      <c r="N408">
        <v>2</v>
      </c>
      <c r="O408">
        <v>0.28999999999999998</v>
      </c>
      <c r="P408">
        <v>-16.21</v>
      </c>
      <c r="Q408" t="s">
        <v>9895</v>
      </c>
      <c r="R408">
        <v>4</v>
      </c>
      <c r="S408" s="5">
        <f t="shared" si="12"/>
        <v>-3.2022915843540105E-2</v>
      </c>
      <c r="T408">
        <v>253.1</v>
      </c>
      <c r="U408">
        <v>6</v>
      </c>
      <c r="V408">
        <v>2022</v>
      </c>
      <c r="W408">
        <v>2</v>
      </c>
      <c r="X408" t="s">
        <v>9898</v>
      </c>
      <c r="Y408" t="s">
        <v>9900</v>
      </c>
      <c r="Z408" t="s">
        <v>9899</v>
      </c>
      <c r="AD408">
        <f t="shared" si="13"/>
        <v>4</v>
      </c>
    </row>
    <row r="409" spans="1:30" x14ac:dyDescent="0.25">
      <c r="A409" t="s">
        <v>433</v>
      </c>
      <c r="B409" s="2">
        <v>44987</v>
      </c>
      <c r="C409" s="2">
        <v>44990</v>
      </c>
      <c r="D409" t="s">
        <v>5157</v>
      </c>
      <c r="E409" t="s">
        <v>5657</v>
      </c>
      <c r="F409" t="s">
        <v>6028</v>
      </c>
      <c r="G409" t="s">
        <v>6030</v>
      </c>
      <c r="H409" t="s">
        <v>6038</v>
      </c>
      <c r="I409" t="s">
        <v>6051</v>
      </c>
      <c r="J409" t="s">
        <v>6055</v>
      </c>
      <c r="K409" t="s">
        <v>6063</v>
      </c>
      <c r="L409" t="s">
        <v>6461</v>
      </c>
      <c r="M409">
        <v>947.66</v>
      </c>
      <c r="N409">
        <v>3</v>
      </c>
      <c r="O409">
        <v>0.22</v>
      </c>
      <c r="P409">
        <v>70.489999999999995</v>
      </c>
      <c r="Q409" t="s">
        <v>9896</v>
      </c>
      <c r="R409">
        <v>3</v>
      </c>
      <c r="S409" s="5">
        <f t="shared" si="12"/>
        <v>7.4383217609691243E-2</v>
      </c>
      <c r="T409">
        <v>315.88666666666671</v>
      </c>
      <c r="U409">
        <v>3</v>
      </c>
      <c r="V409">
        <v>2023</v>
      </c>
      <c r="W409">
        <v>1</v>
      </c>
      <c r="X409" t="s">
        <v>9899</v>
      </c>
      <c r="Y409" t="s">
        <v>9900</v>
      </c>
      <c r="Z409" t="s">
        <v>9899</v>
      </c>
      <c r="AD409">
        <f t="shared" si="13"/>
        <v>3</v>
      </c>
    </row>
    <row r="410" spans="1:30" x14ac:dyDescent="0.25">
      <c r="A410" t="s">
        <v>434</v>
      </c>
      <c r="B410" s="2">
        <v>44643</v>
      </c>
      <c r="C410" s="2">
        <v>44646</v>
      </c>
      <c r="D410" t="s">
        <v>5142</v>
      </c>
      <c r="E410" t="s">
        <v>5642</v>
      </c>
      <c r="F410" t="s">
        <v>6028</v>
      </c>
      <c r="G410" t="s">
        <v>6029</v>
      </c>
      <c r="H410" t="s">
        <v>6036</v>
      </c>
      <c r="I410" t="s">
        <v>6050</v>
      </c>
      <c r="J410" t="s">
        <v>6054</v>
      </c>
      <c r="K410" t="s">
        <v>6060</v>
      </c>
      <c r="L410" t="s">
        <v>6462</v>
      </c>
      <c r="M410">
        <v>385.69</v>
      </c>
      <c r="N410">
        <v>3</v>
      </c>
      <c r="O410">
        <v>0.04</v>
      </c>
      <c r="P410">
        <v>57.22</v>
      </c>
      <c r="Q410" t="s">
        <v>9894</v>
      </c>
      <c r="R410">
        <v>3</v>
      </c>
      <c r="S410" s="5">
        <f t="shared" si="12"/>
        <v>0.14835748917524436</v>
      </c>
      <c r="T410">
        <v>128.5633333333333</v>
      </c>
      <c r="U410">
        <v>3</v>
      </c>
      <c r="V410">
        <v>2022</v>
      </c>
      <c r="W410">
        <v>1</v>
      </c>
      <c r="X410" t="s">
        <v>9899</v>
      </c>
      <c r="Y410" t="s">
        <v>9901</v>
      </c>
      <c r="Z410" t="s">
        <v>9899</v>
      </c>
      <c r="AD410">
        <f t="shared" si="13"/>
        <v>3</v>
      </c>
    </row>
    <row r="411" spans="1:30" x14ac:dyDescent="0.25">
      <c r="A411" t="s">
        <v>435</v>
      </c>
      <c r="B411" s="2">
        <v>45345</v>
      </c>
      <c r="C411" s="2">
        <v>45347</v>
      </c>
      <c r="D411" t="s">
        <v>5313</v>
      </c>
      <c r="E411" t="s">
        <v>5813</v>
      </c>
      <c r="F411" t="s">
        <v>6027</v>
      </c>
      <c r="G411" t="s">
        <v>6031</v>
      </c>
      <c r="H411" t="s">
        <v>6043</v>
      </c>
      <c r="I411" t="s">
        <v>6048</v>
      </c>
      <c r="J411" t="s">
        <v>6054</v>
      </c>
      <c r="K411" t="s">
        <v>6060</v>
      </c>
      <c r="L411" t="s">
        <v>6463</v>
      </c>
      <c r="M411">
        <v>1368.86</v>
      </c>
      <c r="N411">
        <v>3</v>
      </c>
      <c r="O411">
        <v>0.1</v>
      </c>
      <c r="P411">
        <v>81.22</v>
      </c>
      <c r="Q411" t="s">
        <v>9895</v>
      </c>
      <c r="R411">
        <v>2</v>
      </c>
      <c r="S411" s="5">
        <f t="shared" si="12"/>
        <v>5.9334044387300382E-2</v>
      </c>
      <c r="T411">
        <v>456.28666666666658</v>
      </c>
      <c r="U411">
        <v>2</v>
      </c>
      <c r="V411">
        <v>2024</v>
      </c>
      <c r="W411">
        <v>1</v>
      </c>
      <c r="X411" t="s">
        <v>9899</v>
      </c>
      <c r="Y411" t="s">
        <v>9901</v>
      </c>
      <c r="Z411" t="s">
        <v>9898</v>
      </c>
      <c r="AD411">
        <f t="shared" si="13"/>
        <v>2</v>
      </c>
    </row>
    <row r="412" spans="1:30" x14ac:dyDescent="0.25">
      <c r="A412" t="s">
        <v>436</v>
      </c>
      <c r="B412" s="2">
        <v>45260</v>
      </c>
      <c r="C412" s="2">
        <v>45264</v>
      </c>
      <c r="D412" t="s">
        <v>5314</v>
      </c>
      <c r="E412" t="s">
        <v>5814</v>
      </c>
      <c r="F412" t="s">
        <v>6028</v>
      </c>
      <c r="G412" t="s">
        <v>6031</v>
      </c>
      <c r="H412" t="s">
        <v>6034</v>
      </c>
      <c r="I412" t="s">
        <v>6052</v>
      </c>
      <c r="J412" t="s">
        <v>6053</v>
      </c>
      <c r="K412" t="s">
        <v>6056</v>
      </c>
      <c r="L412" t="s">
        <v>6464</v>
      </c>
      <c r="M412">
        <v>1342.1</v>
      </c>
      <c r="N412">
        <v>2</v>
      </c>
      <c r="O412">
        <v>0.02</v>
      </c>
      <c r="P412">
        <v>351.5</v>
      </c>
      <c r="Q412" t="s">
        <v>9896</v>
      </c>
      <c r="R412">
        <v>4</v>
      </c>
      <c r="S412" s="5">
        <f t="shared" si="12"/>
        <v>0.26190298785485433</v>
      </c>
      <c r="T412">
        <v>671.05</v>
      </c>
      <c r="U412">
        <v>11</v>
      </c>
      <c r="V412">
        <v>2023</v>
      </c>
      <c r="W412">
        <v>4</v>
      </c>
      <c r="X412" t="s">
        <v>9899</v>
      </c>
      <c r="Y412" t="s">
        <v>9901</v>
      </c>
      <c r="Z412" t="s">
        <v>9898</v>
      </c>
      <c r="AD412">
        <f t="shared" si="13"/>
        <v>4</v>
      </c>
    </row>
    <row r="413" spans="1:30" x14ac:dyDescent="0.25">
      <c r="A413" t="s">
        <v>437</v>
      </c>
      <c r="B413" s="2">
        <v>44616</v>
      </c>
      <c r="C413" s="2">
        <v>44617</v>
      </c>
      <c r="D413" t="s">
        <v>5201</v>
      </c>
      <c r="E413" t="s">
        <v>5701</v>
      </c>
      <c r="F413" t="s">
        <v>6027</v>
      </c>
      <c r="G413" t="s">
        <v>6031</v>
      </c>
      <c r="H413" t="s">
        <v>6043</v>
      </c>
      <c r="I413" t="s">
        <v>6052</v>
      </c>
      <c r="J413" t="s">
        <v>6053</v>
      </c>
      <c r="K413" t="s">
        <v>6056</v>
      </c>
      <c r="L413" t="s">
        <v>6465</v>
      </c>
      <c r="M413">
        <v>790.58</v>
      </c>
      <c r="N413">
        <v>3</v>
      </c>
      <c r="O413">
        <v>0.01</v>
      </c>
      <c r="P413">
        <v>149.02000000000001</v>
      </c>
      <c r="Q413" t="s">
        <v>9893</v>
      </c>
      <c r="R413">
        <v>1</v>
      </c>
      <c r="S413" s="5">
        <f t="shared" si="12"/>
        <v>0.1884945230084242</v>
      </c>
      <c r="T413">
        <v>263.5266666666667</v>
      </c>
      <c r="U413">
        <v>2</v>
      </c>
      <c r="V413">
        <v>2022</v>
      </c>
      <c r="W413">
        <v>1</v>
      </c>
      <c r="X413" t="s">
        <v>9899</v>
      </c>
      <c r="Y413" t="s">
        <v>9901</v>
      </c>
      <c r="Z413" t="s">
        <v>9899</v>
      </c>
      <c r="AD413">
        <f t="shared" si="13"/>
        <v>1</v>
      </c>
    </row>
    <row r="414" spans="1:30" x14ac:dyDescent="0.25">
      <c r="A414" t="s">
        <v>438</v>
      </c>
      <c r="B414" s="2">
        <v>45278</v>
      </c>
      <c r="C414" s="2">
        <v>45282</v>
      </c>
      <c r="D414" t="s">
        <v>5315</v>
      </c>
      <c r="E414" t="s">
        <v>5815</v>
      </c>
      <c r="F414" t="s">
        <v>6027</v>
      </c>
      <c r="G414" t="s">
        <v>6030</v>
      </c>
      <c r="H414" t="s">
        <v>6033</v>
      </c>
      <c r="I414" t="s">
        <v>6047</v>
      </c>
      <c r="J414" t="s">
        <v>6054</v>
      </c>
      <c r="K414" t="s">
        <v>6062</v>
      </c>
      <c r="L414" t="s">
        <v>6466</v>
      </c>
      <c r="M414">
        <v>902.12</v>
      </c>
      <c r="N414">
        <v>3</v>
      </c>
      <c r="O414">
        <v>0.09</v>
      </c>
      <c r="P414">
        <v>69.45</v>
      </c>
      <c r="Q414" t="s">
        <v>9894</v>
      </c>
      <c r="R414">
        <v>4</v>
      </c>
      <c r="S414" s="5">
        <f t="shared" si="12"/>
        <v>7.6985323460293534E-2</v>
      </c>
      <c r="T414">
        <v>300.70666666666659</v>
      </c>
      <c r="U414">
        <v>12</v>
      </c>
      <c r="V414">
        <v>2023</v>
      </c>
      <c r="W414">
        <v>4</v>
      </c>
      <c r="X414" t="s">
        <v>9899</v>
      </c>
      <c r="Y414" t="s">
        <v>9901</v>
      </c>
      <c r="Z414" t="s">
        <v>9899</v>
      </c>
      <c r="AD414">
        <f t="shared" si="13"/>
        <v>4</v>
      </c>
    </row>
    <row r="415" spans="1:30" x14ac:dyDescent="0.25">
      <c r="A415" t="s">
        <v>439</v>
      </c>
      <c r="B415" s="2">
        <v>45302</v>
      </c>
      <c r="C415" s="2">
        <v>45305</v>
      </c>
      <c r="D415" t="s">
        <v>5155</v>
      </c>
      <c r="E415" t="s">
        <v>5655</v>
      </c>
      <c r="F415" t="s">
        <v>6026</v>
      </c>
      <c r="G415" t="s">
        <v>6031</v>
      </c>
      <c r="H415" t="s">
        <v>6034</v>
      </c>
      <c r="I415" t="s">
        <v>6052</v>
      </c>
      <c r="J415" t="s">
        <v>6055</v>
      </c>
      <c r="K415" t="s">
        <v>6064</v>
      </c>
      <c r="L415" t="s">
        <v>6467</v>
      </c>
      <c r="M415">
        <v>169.98</v>
      </c>
      <c r="N415">
        <v>4</v>
      </c>
      <c r="O415">
        <v>0.03</v>
      </c>
      <c r="P415">
        <v>42.3</v>
      </c>
      <c r="Q415" t="s">
        <v>9894</v>
      </c>
      <c r="R415">
        <v>3</v>
      </c>
      <c r="S415" s="5">
        <f t="shared" si="12"/>
        <v>0.24885280621249559</v>
      </c>
      <c r="T415">
        <v>42.494999999999997</v>
      </c>
      <c r="U415">
        <v>1</v>
      </c>
      <c r="V415">
        <v>2024</v>
      </c>
      <c r="W415">
        <v>1</v>
      </c>
      <c r="X415" t="s">
        <v>9899</v>
      </c>
      <c r="Y415" t="s">
        <v>9901</v>
      </c>
      <c r="Z415" t="s">
        <v>9899</v>
      </c>
      <c r="AD415">
        <f t="shared" si="13"/>
        <v>3</v>
      </c>
    </row>
    <row r="416" spans="1:30" x14ac:dyDescent="0.25">
      <c r="A416" t="s">
        <v>440</v>
      </c>
      <c r="B416" s="2">
        <v>44606</v>
      </c>
      <c r="C416" s="2">
        <v>44611</v>
      </c>
      <c r="D416" t="s">
        <v>5316</v>
      </c>
      <c r="E416" t="s">
        <v>5816</v>
      </c>
      <c r="F416" t="s">
        <v>6028</v>
      </c>
      <c r="G416" t="s">
        <v>6029</v>
      </c>
      <c r="H416" t="s">
        <v>6032</v>
      </c>
      <c r="I416" t="s">
        <v>6046</v>
      </c>
      <c r="J416" t="s">
        <v>6053</v>
      </c>
      <c r="K416" t="s">
        <v>6057</v>
      </c>
      <c r="L416" t="s">
        <v>6468</v>
      </c>
      <c r="M416">
        <v>1778.42</v>
      </c>
      <c r="N416">
        <v>6</v>
      </c>
      <c r="O416">
        <v>0.33</v>
      </c>
      <c r="P416">
        <v>-344.08</v>
      </c>
      <c r="Q416" t="s">
        <v>9893</v>
      </c>
      <c r="R416">
        <v>5</v>
      </c>
      <c r="S416" s="5">
        <f t="shared" si="12"/>
        <v>-0.19347510711755378</v>
      </c>
      <c r="T416">
        <v>296.40333333333342</v>
      </c>
      <c r="U416">
        <v>2</v>
      </c>
      <c r="V416">
        <v>2022</v>
      </c>
      <c r="W416">
        <v>1</v>
      </c>
      <c r="X416" t="s">
        <v>9898</v>
      </c>
      <c r="Y416" t="s">
        <v>9902</v>
      </c>
      <c r="Z416" t="s">
        <v>9898</v>
      </c>
      <c r="AD416">
        <f t="shared" si="13"/>
        <v>5</v>
      </c>
    </row>
    <row r="417" spans="1:30" x14ac:dyDescent="0.25">
      <c r="A417" t="s">
        <v>441</v>
      </c>
      <c r="B417" s="2">
        <v>44595</v>
      </c>
      <c r="C417" s="2">
        <v>44596</v>
      </c>
      <c r="D417" t="s">
        <v>5317</v>
      </c>
      <c r="E417" t="s">
        <v>5817</v>
      </c>
      <c r="F417" t="s">
        <v>6028</v>
      </c>
      <c r="G417" t="s">
        <v>6031</v>
      </c>
      <c r="H417" t="s">
        <v>6037</v>
      </c>
      <c r="I417" t="s">
        <v>6048</v>
      </c>
      <c r="J417" t="s">
        <v>6055</v>
      </c>
      <c r="K417" t="s">
        <v>6064</v>
      </c>
      <c r="L417" t="s">
        <v>6469</v>
      </c>
      <c r="M417">
        <v>1034.82</v>
      </c>
      <c r="N417">
        <v>5</v>
      </c>
      <c r="O417">
        <v>0.06</v>
      </c>
      <c r="P417">
        <v>181.06</v>
      </c>
      <c r="Q417" t="s">
        <v>9894</v>
      </c>
      <c r="R417">
        <v>1</v>
      </c>
      <c r="S417" s="5">
        <f t="shared" si="12"/>
        <v>0.17496762722019291</v>
      </c>
      <c r="T417">
        <v>206.964</v>
      </c>
      <c r="U417">
        <v>2</v>
      </c>
      <c r="V417">
        <v>2022</v>
      </c>
      <c r="W417">
        <v>1</v>
      </c>
      <c r="X417" t="s">
        <v>9899</v>
      </c>
      <c r="Y417" t="s">
        <v>9901</v>
      </c>
      <c r="Z417" t="s">
        <v>9898</v>
      </c>
      <c r="AD417">
        <f t="shared" si="13"/>
        <v>1</v>
      </c>
    </row>
    <row r="418" spans="1:30" x14ac:dyDescent="0.25">
      <c r="A418" t="s">
        <v>442</v>
      </c>
      <c r="B418" s="2">
        <v>45284</v>
      </c>
      <c r="C418" s="2">
        <v>45291</v>
      </c>
      <c r="D418" t="s">
        <v>5159</v>
      </c>
      <c r="E418" t="s">
        <v>5659</v>
      </c>
      <c r="F418" t="s">
        <v>6026</v>
      </c>
      <c r="G418" t="s">
        <v>6030</v>
      </c>
      <c r="H418" t="s">
        <v>6038</v>
      </c>
      <c r="I418" t="s">
        <v>6051</v>
      </c>
      <c r="J418" t="s">
        <v>6053</v>
      </c>
      <c r="K418" t="s">
        <v>6057</v>
      </c>
      <c r="L418" t="s">
        <v>6470</v>
      </c>
      <c r="M418">
        <v>1974.38</v>
      </c>
      <c r="N418">
        <v>7</v>
      </c>
      <c r="O418">
        <v>0.22</v>
      </c>
      <c r="P418">
        <v>97.81</v>
      </c>
      <c r="Q418" t="s">
        <v>9894</v>
      </c>
      <c r="R418">
        <v>7</v>
      </c>
      <c r="S418" s="5">
        <f t="shared" si="12"/>
        <v>4.9539602305533885E-2</v>
      </c>
      <c r="T418">
        <v>282.05428571428581</v>
      </c>
      <c r="U418">
        <v>12</v>
      </c>
      <c r="V418">
        <v>2023</v>
      </c>
      <c r="W418">
        <v>4</v>
      </c>
      <c r="X418" t="s">
        <v>9899</v>
      </c>
      <c r="Y418" t="s">
        <v>9900</v>
      </c>
      <c r="Z418" t="s">
        <v>9898</v>
      </c>
      <c r="AD418">
        <f t="shared" si="13"/>
        <v>7</v>
      </c>
    </row>
    <row r="419" spans="1:30" x14ac:dyDescent="0.25">
      <c r="A419" t="s">
        <v>443</v>
      </c>
      <c r="B419" s="2">
        <v>44841</v>
      </c>
      <c r="C419" s="2">
        <v>44843</v>
      </c>
      <c r="D419" t="s">
        <v>5217</v>
      </c>
      <c r="E419" t="s">
        <v>5717</v>
      </c>
      <c r="F419" t="s">
        <v>6027</v>
      </c>
      <c r="G419" t="s">
        <v>6030</v>
      </c>
      <c r="H419" t="s">
        <v>6035</v>
      </c>
      <c r="I419" t="s">
        <v>6047</v>
      </c>
      <c r="J419" t="s">
        <v>6053</v>
      </c>
      <c r="K419" t="s">
        <v>6057</v>
      </c>
      <c r="L419" t="s">
        <v>6471</v>
      </c>
      <c r="M419">
        <v>348.56</v>
      </c>
      <c r="N419">
        <v>3</v>
      </c>
      <c r="O419">
        <v>0.12</v>
      </c>
      <c r="P419">
        <v>48.87</v>
      </c>
      <c r="Q419" t="s">
        <v>9896</v>
      </c>
      <c r="R419">
        <v>2</v>
      </c>
      <c r="S419" s="5">
        <f t="shared" si="12"/>
        <v>0.14020541657103511</v>
      </c>
      <c r="T419">
        <v>116.1866666666667</v>
      </c>
      <c r="U419">
        <v>10</v>
      </c>
      <c r="V419">
        <v>2022</v>
      </c>
      <c r="W419">
        <v>4</v>
      </c>
      <c r="X419" t="s">
        <v>9899</v>
      </c>
      <c r="Y419" t="s">
        <v>9901</v>
      </c>
      <c r="Z419" t="s">
        <v>9899</v>
      </c>
      <c r="AD419">
        <f t="shared" si="13"/>
        <v>2</v>
      </c>
    </row>
    <row r="420" spans="1:30" x14ac:dyDescent="0.25">
      <c r="A420" t="s">
        <v>444</v>
      </c>
      <c r="B420" s="2">
        <v>45314</v>
      </c>
      <c r="C420" s="2">
        <v>45317</v>
      </c>
      <c r="D420" t="s">
        <v>5302</v>
      </c>
      <c r="E420" t="s">
        <v>5802</v>
      </c>
      <c r="F420" t="s">
        <v>6027</v>
      </c>
      <c r="G420" t="s">
        <v>6030</v>
      </c>
      <c r="H420" t="s">
        <v>6035</v>
      </c>
      <c r="I420" t="s">
        <v>6047</v>
      </c>
      <c r="J420" t="s">
        <v>6054</v>
      </c>
      <c r="K420" t="s">
        <v>6060</v>
      </c>
      <c r="L420" t="s">
        <v>6472</v>
      </c>
      <c r="M420">
        <v>1101.1300000000001</v>
      </c>
      <c r="N420">
        <v>5</v>
      </c>
      <c r="O420">
        <v>0.11</v>
      </c>
      <c r="P420">
        <v>86.27</v>
      </c>
      <c r="Q420" t="s">
        <v>9896</v>
      </c>
      <c r="R420">
        <v>3</v>
      </c>
      <c r="S420" s="5">
        <f t="shared" si="12"/>
        <v>7.8346789207450515E-2</v>
      </c>
      <c r="T420">
        <v>220.226</v>
      </c>
      <c r="U420">
        <v>1</v>
      </c>
      <c r="V420">
        <v>2024</v>
      </c>
      <c r="W420">
        <v>1</v>
      </c>
      <c r="X420" t="s">
        <v>9899</v>
      </c>
      <c r="Y420" t="s">
        <v>9901</v>
      </c>
      <c r="Z420" t="s">
        <v>9898</v>
      </c>
      <c r="AD420">
        <f t="shared" si="13"/>
        <v>3</v>
      </c>
    </row>
    <row r="421" spans="1:30" x14ac:dyDescent="0.25">
      <c r="A421" t="s">
        <v>445</v>
      </c>
      <c r="B421" s="2">
        <v>45235</v>
      </c>
      <c r="C421" s="2">
        <v>45237</v>
      </c>
      <c r="D421" t="s">
        <v>5318</v>
      </c>
      <c r="E421" t="s">
        <v>5818</v>
      </c>
      <c r="F421" t="s">
        <v>6026</v>
      </c>
      <c r="G421" t="s">
        <v>6031</v>
      </c>
      <c r="H421" t="s">
        <v>6042</v>
      </c>
      <c r="I421" t="s">
        <v>6048</v>
      </c>
      <c r="J421" t="s">
        <v>6055</v>
      </c>
      <c r="K421" t="s">
        <v>6064</v>
      </c>
      <c r="L421" t="s">
        <v>6473</v>
      </c>
      <c r="M421">
        <v>236.28</v>
      </c>
      <c r="N421">
        <v>1</v>
      </c>
      <c r="O421">
        <v>0.32</v>
      </c>
      <c r="P421">
        <v>-31.33</v>
      </c>
      <c r="Q421" t="s">
        <v>9895</v>
      </c>
      <c r="R421">
        <v>2</v>
      </c>
      <c r="S421" s="5">
        <f t="shared" si="12"/>
        <v>-0.13259691890976807</v>
      </c>
      <c r="T421">
        <v>236.28</v>
      </c>
      <c r="U421">
        <v>11</v>
      </c>
      <c r="V421">
        <v>2023</v>
      </c>
      <c r="W421">
        <v>4</v>
      </c>
      <c r="X421" t="s">
        <v>9898</v>
      </c>
      <c r="Y421" t="s">
        <v>9902</v>
      </c>
      <c r="Z421" t="s">
        <v>9899</v>
      </c>
      <c r="AD421">
        <f t="shared" si="13"/>
        <v>2</v>
      </c>
    </row>
    <row r="422" spans="1:30" x14ac:dyDescent="0.25">
      <c r="A422" t="s">
        <v>446</v>
      </c>
      <c r="B422" s="2">
        <v>45368</v>
      </c>
      <c r="C422" s="2">
        <v>45373</v>
      </c>
      <c r="D422" t="s">
        <v>5089</v>
      </c>
      <c r="E422" t="s">
        <v>5589</v>
      </c>
      <c r="F422" t="s">
        <v>6028</v>
      </c>
      <c r="G422" t="s">
        <v>6031</v>
      </c>
      <c r="H422" t="s">
        <v>6042</v>
      </c>
      <c r="I422" t="s">
        <v>6052</v>
      </c>
      <c r="J422" t="s">
        <v>6054</v>
      </c>
      <c r="K422" t="s">
        <v>6062</v>
      </c>
      <c r="L422" t="s">
        <v>6474</v>
      </c>
      <c r="M422">
        <v>1067.0999999999999</v>
      </c>
      <c r="N422">
        <v>2</v>
      </c>
      <c r="O422">
        <v>0.33</v>
      </c>
      <c r="P422">
        <v>-188.25</v>
      </c>
      <c r="Q422" t="s">
        <v>9894</v>
      </c>
      <c r="R422">
        <v>5</v>
      </c>
      <c r="S422" s="5">
        <f t="shared" si="12"/>
        <v>-0.17641270733764411</v>
      </c>
      <c r="T422">
        <v>533.54999999999995</v>
      </c>
      <c r="U422">
        <v>3</v>
      </c>
      <c r="V422">
        <v>2024</v>
      </c>
      <c r="W422">
        <v>1</v>
      </c>
      <c r="X422" t="s">
        <v>9898</v>
      </c>
      <c r="Y422" t="s">
        <v>9902</v>
      </c>
      <c r="Z422" t="s">
        <v>9898</v>
      </c>
      <c r="AD422">
        <f t="shared" si="13"/>
        <v>5</v>
      </c>
    </row>
    <row r="423" spans="1:30" x14ac:dyDescent="0.25">
      <c r="A423" t="s">
        <v>447</v>
      </c>
      <c r="B423" s="2">
        <v>45267</v>
      </c>
      <c r="C423" s="2">
        <v>45272</v>
      </c>
      <c r="D423" t="s">
        <v>5175</v>
      </c>
      <c r="E423" t="s">
        <v>5675</v>
      </c>
      <c r="F423" t="s">
        <v>6027</v>
      </c>
      <c r="G423" t="s">
        <v>6030</v>
      </c>
      <c r="H423" t="s">
        <v>6039</v>
      </c>
      <c r="I423" t="s">
        <v>6047</v>
      </c>
      <c r="J423" t="s">
        <v>6055</v>
      </c>
      <c r="K423" t="s">
        <v>6064</v>
      </c>
      <c r="L423" t="s">
        <v>6475</v>
      </c>
      <c r="M423">
        <v>1570.41</v>
      </c>
      <c r="N423">
        <v>6</v>
      </c>
      <c r="O423">
        <v>0.1</v>
      </c>
      <c r="P423">
        <v>62.01</v>
      </c>
      <c r="Q423" t="s">
        <v>9894</v>
      </c>
      <c r="R423">
        <v>5</v>
      </c>
      <c r="S423" s="5">
        <f t="shared" si="12"/>
        <v>3.9486503524557279E-2</v>
      </c>
      <c r="T423">
        <v>261.73500000000001</v>
      </c>
      <c r="U423">
        <v>12</v>
      </c>
      <c r="V423">
        <v>2023</v>
      </c>
      <c r="W423">
        <v>4</v>
      </c>
      <c r="X423" t="s">
        <v>9899</v>
      </c>
      <c r="Y423" t="s">
        <v>9901</v>
      </c>
      <c r="Z423" t="s">
        <v>9898</v>
      </c>
      <c r="AD423">
        <f t="shared" si="13"/>
        <v>5</v>
      </c>
    </row>
    <row r="424" spans="1:30" x14ac:dyDescent="0.25">
      <c r="A424" t="s">
        <v>448</v>
      </c>
      <c r="B424" s="2">
        <v>45361</v>
      </c>
      <c r="C424" s="2">
        <v>45365</v>
      </c>
      <c r="D424" t="s">
        <v>5038</v>
      </c>
      <c r="E424" t="s">
        <v>5538</v>
      </c>
      <c r="F424" t="s">
        <v>6027</v>
      </c>
      <c r="G424" t="s">
        <v>6029</v>
      </c>
      <c r="H424" t="s">
        <v>6036</v>
      </c>
      <c r="I424" t="s">
        <v>6046</v>
      </c>
      <c r="J424" t="s">
        <v>6055</v>
      </c>
      <c r="K424" t="s">
        <v>6061</v>
      </c>
      <c r="L424" t="s">
        <v>6476</v>
      </c>
      <c r="M424">
        <v>1150.6099999999999</v>
      </c>
      <c r="N424">
        <v>3</v>
      </c>
      <c r="O424">
        <v>0.02</v>
      </c>
      <c r="P424">
        <v>189.51</v>
      </c>
      <c r="Q424" t="s">
        <v>9897</v>
      </c>
      <c r="R424">
        <v>4</v>
      </c>
      <c r="S424" s="5">
        <f t="shared" si="12"/>
        <v>0.16470393964940336</v>
      </c>
      <c r="T424">
        <v>383.53666666666658</v>
      </c>
      <c r="U424">
        <v>3</v>
      </c>
      <c r="V424">
        <v>2024</v>
      </c>
      <c r="W424">
        <v>1</v>
      </c>
      <c r="X424" t="s">
        <v>9899</v>
      </c>
      <c r="Y424" t="s">
        <v>9901</v>
      </c>
      <c r="Z424" t="s">
        <v>9898</v>
      </c>
      <c r="AD424">
        <f t="shared" si="13"/>
        <v>4</v>
      </c>
    </row>
    <row r="425" spans="1:30" x14ac:dyDescent="0.25">
      <c r="A425" t="s">
        <v>449</v>
      </c>
      <c r="B425" s="2">
        <v>45029</v>
      </c>
      <c r="C425" s="2">
        <v>45034</v>
      </c>
      <c r="D425" t="s">
        <v>5060</v>
      </c>
      <c r="E425" t="s">
        <v>5560</v>
      </c>
      <c r="F425" t="s">
        <v>6028</v>
      </c>
      <c r="G425" t="s">
        <v>6031</v>
      </c>
      <c r="H425" t="s">
        <v>6034</v>
      </c>
      <c r="I425" t="s">
        <v>6052</v>
      </c>
      <c r="J425" t="s">
        <v>6053</v>
      </c>
      <c r="K425" t="s">
        <v>6056</v>
      </c>
      <c r="L425" t="s">
        <v>6477</v>
      </c>
      <c r="M425">
        <v>1380.81</v>
      </c>
      <c r="N425">
        <v>4</v>
      </c>
      <c r="O425">
        <v>0.24</v>
      </c>
      <c r="P425">
        <v>11.99</v>
      </c>
      <c r="Q425" t="s">
        <v>9895</v>
      </c>
      <c r="R425">
        <v>5</v>
      </c>
      <c r="S425" s="5">
        <f t="shared" si="12"/>
        <v>8.6833090722112389E-3</v>
      </c>
      <c r="T425">
        <v>345.20249999999999</v>
      </c>
      <c r="U425">
        <v>4</v>
      </c>
      <c r="V425">
        <v>2023</v>
      </c>
      <c r="W425">
        <v>2</v>
      </c>
      <c r="X425" t="s">
        <v>9899</v>
      </c>
      <c r="Y425" t="s">
        <v>9900</v>
      </c>
      <c r="Z425" t="s">
        <v>9898</v>
      </c>
      <c r="AD425">
        <f t="shared" si="13"/>
        <v>5</v>
      </c>
    </row>
    <row r="426" spans="1:30" x14ac:dyDescent="0.25">
      <c r="A426" t="s">
        <v>450</v>
      </c>
      <c r="B426" s="2">
        <v>44685</v>
      </c>
      <c r="C426" s="2">
        <v>44686</v>
      </c>
      <c r="D426" t="s">
        <v>5319</v>
      </c>
      <c r="E426" t="s">
        <v>5819</v>
      </c>
      <c r="F426" t="s">
        <v>6028</v>
      </c>
      <c r="G426" t="s">
        <v>6031</v>
      </c>
      <c r="H426" t="s">
        <v>6037</v>
      </c>
      <c r="I426" t="s">
        <v>6052</v>
      </c>
      <c r="J426" t="s">
        <v>6055</v>
      </c>
      <c r="K426" t="s">
        <v>6061</v>
      </c>
      <c r="L426" t="s">
        <v>6478</v>
      </c>
      <c r="M426">
        <v>1351.97</v>
      </c>
      <c r="N426">
        <v>4</v>
      </c>
      <c r="O426">
        <v>0.24</v>
      </c>
      <c r="P426">
        <v>-133.34</v>
      </c>
      <c r="Q426" t="s">
        <v>9894</v>
      </c>
      <c r="R426">
        <v>1</v>
      </c>
      <c r="S426" s="5">
        <f t="shared" si="12"/>
        <v>-9.8626448811733991E-2</v>
      </c>
      <c r="T426">
        <v>337.99250000000001</v>
      </c>
      <c r="U426">
        <v>5</v>
      </c>
      <c r="V426">
        <v>2022</v>
      </c>
      <c r="W426">
        <v>2</v>
      </c>
      <c r="X426" t="s">
        <v>9898</v>
      </c>
      <c r="Y426" t="s">
        <v>9900</v>
      </c>
      <c r="Z426" t="s">
        <v>9898</v>
      </c>
      <c r="AD426">
        <f t="shared" si="13"/>
        <v>1</v>
      </c>
    </row>
    <row r="427" spans="1:30" x14ac:dyDescent="0.25">
      <c r="A427" t="s">
        <v>451</v>
      </c>
      <c r="B427" s="2">
        <v>45311</v>
      </c>
      <c r="C427" s="2">
        <v>45314</v>
      </c>
      <c r="D427" t="s">
        <v>5144</v>
      </c>
      <c r="E427" t="s">
        <v>5644</v>
      </c>
      <c r="F427" t="s">
        <v>6028</v>
      </c>
      <c r="G427" t="s">
        <v>6029</v>
      </c>
      <c r="H427" t="s">
        <v>6044</v>
      </c>
      <c r="I427" t="s">
        <v>6046</v>
      </c>
      <c r="J427" t="s">
        <v>6053</v>
      </c>
      <c r="K427" t="s">
        <v>6056</v>
      </c>
      <c r="L427" t="s">
        <v>6479</v>
      </c>
      <c r="M427">
        <v>534.24</v>
      </c>
      <c r="N427">
        <v>6</v>
      </c>
      <c r="O427">
        <v>0.27</v>
      </c>
      <c r="P427">
        <v>-48.32</v>
      </c>
      <c r="Q427" t="s">
        <v>9893</v>
      </c>
      <c r="R427">
        <v>3</v>
      </c>
      <c r="S427" s="5">
        <f t="shared" si="12"/>
        <v>-9.0446241389637611E-2</v>
      </c>
      <c r="T427">
        <v>89.04</v>
      </c>
      <c r="U427">
        <v>1</v>
      </c>
      <c r="V427">
        <v>2024</v>
      </c>
      <c r="W427">
        <v>1</v>
      </c>
      <c r="X427" t="s">
        <v>9898</v>
      </c>
      <c r="Y427" t="s">
        <v>9900</v>
      </c>
      <c r="Z427" t="s">
        <v>9899</v>
      </c>
      <c r="AD427">
        <f t="shared" si="13"/>
        <v>3</v>
      </c>
    </row>
    <row r="428" spans="1:30" x14ac:dyDescent="0.25">
      <c r="A428" t="s">
        <v>452</v>
      </c>
      <c r="B428" s="2">
        <v>45197</v>
      </c>
      <c r="C428" s="2">
        <v>45202</v>
      </c>
      <c r="D428" t="s">
        <v>5320</v>
      </c>
      <c r="E428" t="s">
        <v>5820</v>
      </c>
      <c r="F428" t="s">
        <v>6028</v>
      </c>
      <c r="G428" t="s">
        <v>6029</v>
      </c>
      <c r="H428" t="s">
        <v>6036</v>
      </c>
      <c r="I428" t="s">
        <v>6046</v>
      </c>
      <c r="J428" t="s">
        <v>6054</v>
      </c>
      <c r="K428" t="s">
        <v>6062</v>
      </c>
      <c r="L428" t="s">
        <v>6480</v>
      </c>
      <c r="M428">
        <v>892.43</v>
      </c>
      <c r="N428">
        <v>3</v>
      </c>
      <c r="O428">
        <v>0.28000000000000003</v>
      </c>
      <c r="P428">
        <v>-57.4</v>
      </c>
      <c r="Q428" t="s">
        <v>9894</v>
      </c>
      <c r="R428">
        <v>5</v>
      </c>
      <c r="S428" s="5">
        <f t="shared" si="12"/>
        <v>-6.431877009961566E-2</v>
      </c>
      <c r="T428">
        <v>297.47666666666657</v>
      </c>
      <c r="U428">
        <v>9</v>
      </c>
      <c r="V428">
        <v>2023</v>
      </c>
      <c r="W428">
        <v>3</v>
      </c>
      <c r="X428" t="s">
        <v>9898</v>
      </c>
      <c r="Y428" t="s">
        <v>9900</v>
      </c>
      <c r="Z428" t="s">
        <v>9899</v>
      </c>
      <c r="AD428">
        <f t="shared" si="13"/>
        <v>5</v>
      </c>
    </row>
    <row r="429" spans="1:30" x14ac:dyDescent="0.25">
      <c r="A429" t="s">
        <v>453</v>
      </c>
      <c r="B429" s="2">
        <v>44568</v>
      </c>
      <c r="C429" s="2">
        <v>44572</v>
      </c>
      <c r="D429" t="s">
        <v>5321</v>
      </c>
      <c r="E429" t="s">
        <v>5821</v>
      </c>
      <c r="F429" t="s">
        <v>6027</v>
      </c>
      <c r="G429" t="s">
        <v>6031</v>
      </c>
      <c r="H429" t="s">
        <v>6042</v>
      </c>
      <c r="I429" t="s">
        <v>6052</v>
      </c>
      <c r="J429" t="s">
        <v>6054</v>
      </c>
      <c r="K429" t="s">
        <v>6060</v>
      </c>
      <c r="L429" t="s">
        <v>6481</v>
      </c>
      <c r="M429">
        <v>1861.66</v>
      </c>
      <c r="N429">
        <v>1</v>
      </c>
      <c r="O429">
        <v>0.3</v>
      </c>
      <c r="P429">
        <v>-33.67</v>
      </c>
      <c r="Q429" t="s">
        <v>9896</v>
      </c>
      <c r="R429">
        <v>4</v>
      </c>
      <c r="S429" s="5">
        <f t="shared" si="12"/>
        <v>-1.808600926055241E-2</v>
      </c>
      <c r="T429">
        <v>1861.66</v>
      </c>
      <c r="U429">
        <v>1</v>
      </c>
      <c r="V429">
        <v>2022</v>
      </c>
      <c r="W429">
        <v>1</v>
      </c>
      <c r="X429" t="s">
        <v>9898</v>
      </c>
      <c r="Y429" t="s">
        <v>9900</v>
      </c>
      <c r="Z429" t="s">
        <v>9898</v>
      </c>
      <c r="AD429">
        <f t="shared" si="13"/>
        <v>4</v>
      </c>
    </row>
    <row r="430" spans="1:30" x14ac:dyDescent="0.25">
      <c r="A430" t="s">
        <v>454</v>
      </c>
      <c r="B430" s="2">
        <v>45148</v>
      </c>
      <c r="C430" s="2">
        <v>45152</v>
      </c>
      <c r="D430" t="s">
        <v>5322</v>
      </c>
      <c r="E430" t="s">
        <v>5822</v>
      </c>
      <c r="F430" t="s">
        <v>6027</v>
      </c>
      <c r="G430" t="s">
        <v>6029</v>
      </c>
      <c r="H430" t="s">
        <v>6045</v>
      </c>
      <c r="I430" t="s">
        <v>6050</v>
      </c>
      <c r="J430" t="s">
        <v>6053</v>
      </c>
      <c r="K430" t="s">
        <v>6058</v>
      </c>
      <c r="L430" t="s">
        <v>6482</v>
      </c>
      <c r="M430">
        <v>1332.74</v>
      </c>
      <c r="N430">
        <v>4</v>
      </c>
      <c r="O430">
        <v>0.08</v>
      </c>
      <c r="P430">
        <v>190.65</v>
      </c>
      <c r="Q430" t="s">
        <v>9896</v>
      </c>
      <c r="R430">
        <v>4</v>
      </c>
      <c r="S430" s="5">
        <f t="shared" si="12"/>
        <v>0.14305115776520552</v>
      </c>
      <c r="T430">
        <v>333.185</v>
      </c>
      <c r="U430">
        <v>8</v>
      </c>
      <c r="V430">
        <v>2023</v>
      </c>
      <c r="W430">
        <v>3</v>
      </c>
      <c r="X430" t="s">
        <v>9899</v>
      </c>
      <c r="Y430" t="s">
        <v>9901</v>
      </c>
      <c r="Z430" t="s">
        <v>9898</v>
      </c>
      <c r="AD430">
        <f t="shared" si="13"/>
        <v>4</v>
      </c>
    </row>
    <row r="431" spans="1:30" x14ac:dyDescent="0.25">
      <c r="A431" t="s">
        <v>455</v>
      </c>
      <c r="B431" s="2">
        <v>44648</v>
      </c>
      <c r="C431" s="2">
        <v>44651</v>
      </c>
      <c r="D431" t="s">
        <v>5248</v>
      </c>
      <c r="E431" t="s">
        <v>5748</v>
      </c>
      <c r="F431" t="s">
        <v>6026</v>
      </c>
      <c r="G431" t="s">
        <v>6029</v>
      </c>
      <c r="H431" t="s">
        <v>6044</v>
      </c>
      <c r="I431" t="s">
        <v>6046</v>
      </c>
      <c r="J431" t="s">
        <v>6053</v>
      </c>
      <c r="K431" t="s">
        <v>6056</v>
      </c>
      <c r="L431" t="s">
        <v>6483</v>
      </c>
      <c r="M431">
        <v>1449.49</v>
      </c>
      <c r="N431">
        <v>3</v>
      </c>
      <c r="O431">
        <v>0.1</v>
      </c>
      <c r="P431">
        <v>218.02</v>
      </c>
      <c r="Q431" t="s">
        <v>9895</v>
      </c>
      <c r="R431">
        <v>3</v>
      </c>
      <c r="S431" s="5">
        <f t="shared" si="12"/>
        <v>0.15041152405328773</v>
      </c>
      <c r="T431">
        <v>483.16333333333341</v>
      </c>
      <c r="U431">
        <v>3</v>
      </c>
      <c r="V431">
        <v>2022</v>
      </c>
      <c r="W431">
        <v>1</v>
      </c>
      <c r="X431" t="s">
        <v>9899</v>
      </c>
      <c r="Y431" t="s">
        <v>9901</v>
      </c>
      <c r="Z431" t="s">
        <v>9898</v>
      </c>
      <c r="AD431">
        <f t="shared" si="13"/>
        <v>3</v>
      </c>
    </row>
    <row r="432" spans="1:30" x14ac:dyDescent="0.25">
      <c r="A432" t="s">
        <v>456</v>
      </c>
      <c r="B432" s="2">
        <v>45012</v>
      </c>
      <c r="C432" s="2">
        <v>45018</v>
      </c>
      <c r="D432" t="s">
        <v>5267</v>
      </c>
      <c r="E432" t="s">
        <v>5767</v>
      </c>
      <c r="F432" t="s">
        <v>6026</v>
      </c>
      <c r="G432" t="s">
        <v>6029</v>
      </c>
      <c r="H432" t="s">
        <v>6045</v>
      </c>
      <c r="I432" t="s">
        <v>6046</v>
      </c>
      <c r="J432" t="s">
        <v>6054</v>
      </c>
      <c r="K432" t="s">
        <v>6060</v>
      </c>
      <c r="L432" t="s">
        <v>6484</v>
      </c>
      <c r="M432">
        <v>1400.67</v>
      </c>
      <c r="N432">
        <v>4</v>
      </c>
      <c r="O432">
        <v>0.19</v>
      </c>
      <c r="P432">
        <v>-89.09</v>
      </c>
      <c r="Q432" t="s">
        <v>9893</v>
      </c>
      <c r="R432">
        <v>6</v>
      </c>
      <c r="S432" s="5">
        <f t="shared" si="12"/>
        <v>-6.3605274618575389E-2</v>
      </c>
      <c r="T432">
        <v>350.16750000000002</v>
      </c>
      <c r="U432">
        <v>3</v>
      </c>
      <c r="V432">
        <v>2023</v>
      </c>
      <c r="W432">
        <v>1</v>
      </c>
      <c r="X432" t="s">
        <v>9898</v>
      </c>
      <c r="Y432" t="s">
        <v>9900</v>
      </c>
      <c r="Z432" t="s">
        <v>9898</v>
      </c>
      <c r="AD432">
        <f t="shared" si="13"/>
        <v>6</v>
      </c>
    </row>
    <row r="433" spans="1:30" x14ac:dyDescent="0.25">
      <c r="A433" t="s">
        <v>457</v>
      </c>
      <c r="B433" s="2">
        <v>45330</v>
      </c>
      <c r="C433" s="2">
        <v>45335</v>
      </c>
      <c r="D433" t="s">
        <v>5236</v>
      </c>
      <c r="E433" t="s">
        <v>5736</v>
      </c>
      <c r="F433" t="s">
        <v>6026</v>
      </c>
      <c r="G433" t="s">
        <v>6031</v>
      </c>
      <c r="H433" t="s">
        <v>6037</v>
      </c>
      <c r="I433" t="s">
        <v>6048</v>
      </c>
      <c r="J433" t="s">
        <v>6054</v>
      </c>
      <c r="K433" t="s">
        <v>6060</v>
      </c>
      <c r="L433" t="s">
        <v>6485</v>
      </c>
      <c r="M433">
        <v>207.5</v>
      </c>
      <c r="N433">
        <v>6</v>
      </c>
      <c r="O433">
        <v>0.2</v>
      </c>
      <c r="P433">
        <v>-15.6</v>
      </c>
      <c r="Q433" t="s">
        <v>9893</v>
      </c>
      <c r="R433">
        <v>5</v>
      </c>
      <c r="S433" s="5">
        <f t="shared" si="12"/>
        <v>-7.5180722891566257E-2</v>
      </c>
      <c r="T433">
        <v>34.583333333333343</v>
      </c>
      <c r="U433">
        <v>2</v>
      </c>
      <c r="V433">
        <v>2024</v>
      </c>
      <c r="W433">
        <v>1</v>
      </c>
      <c r="X433" t="s">
        <v>9898</v>
      </c>
      <c r="Y433" t="s">
        <v>9900</v>
      </c>
      <c r="Z433" t="s">
        <v>9899</v>
      </c>
      <c r="AD433">
        <f t="shared" si="13"/>
        <v>5</v>
      </c>
    </row>
    <row r="434" spans="1:30" x14ac:dyDescent="0.25">
      <c r="A434" t="s">
        <v>458</v>
      </c>
      <c r="B434" s="2">
        <v>45299</v>
      </c>
      <c r="C434" s="2">
        <v>45300</v>
      </c>
      <c r="D434" t="s">
        <v>5221</v>
      </c>
      <c r="E434" t="s">
        <v>5721</v>
      </c>
      <c r="F434" t="s">
        <v>6028</v>
      </c>
      <c r="G434" t="s">
        <v>6030</v>
      </c>
      <c r="H434" t="s">
        <v>6033</v>
      </c>
      <c r="I434" t="s">
        <v>6051</v>
      </c>
      <c r="J434" t="s">
        <v>6054</v>
      </c>
      <c r="K434" t="s">
        <v>6060</v>
      </c>
      <c r="L434" t="s">
        <v>6486</v>
      </c>
      <c r="M434">
        <v>348.89</v>
      </c>
      <c r="N434">
        <v>1</v>
      </c>
      <c r="O434">
        <v>0.06</v>
      </c>
      <c r="P434">
        <v>33.619999999999997</v>
      </c>
      <c r="Q434" t="s">
        <v>9893</v>
      </c>
      <c r="R434">
        <v>1</v>
      </c>
      <c r="S434" s="5">
        <f t="shared" si="12"/>
        <v>9.6362750437100519E-2</v>
      </c>
      <c r="T434">
        <v>348.89</v>
      </c>
      <c r="U434">
        <v>1</v>
      </c>
      <c r="V434">
        <v>2024</v>
      </c>
      <c r="W434">
        <v>1</v>
      </c>
      <c r="X434" t="s">
        <v>9899</v>
      </c>
      <c r="Y434" t="s">
        <v>9901</v>
      </c>
      <c r="Z434" t="s">
        <v>9899</v>
      </c>
      <c r="AD434">
        <f t="shared" si="13"/>
        <v>1</v>
      </c>
    </row>
    <row r="435" spans="1:30" x14ac:dyDescent="0.25">
      <c r="A435" t="s">
        <v>459</v>
      </c>
      <c r="B435" s="2">
        <v>45250</v>
      </c>
      <c r="C435" s="2">
        <v>45252</v>
      </c>
      <c r="D435" t="s">
        <v>5323</v>
      </c>
      <c r="E435" t="s">
        <v>5823</v>
      </c>
      <c r="F435" t="s">
        <v>6027</v>
      </c>
      <c r="G435" t="s">
        <v>6031</v>
      </c>
      <c r="H435" t="s">
        <v>6042</v>
      </c>
      <c r="I435" t="s">
        <v>6048</v>
      </c>
      <c r="J435" t="s">
        <v>6055</v>
      </c>
      <c r="K435" t="s">
        <v>6064</v>
      </c>
      <c r="L435" t="s">
        <v>6487</v>
      </c>
      <c r="M435">
        <v>1265.8699999999999</v>
      </c>
      <c r="N435">
        <v>5</v>
      </c>
      <c r="O435">
        <v>0.21</v>
      </c>
      <c r="P435">
        <v>37.74</v>
      </c>
      <c r="Q435" t="s">
        <v>9894</v>
      </c>
      <c r="R435">
        <v>2</v>
      </c>
      <c r="S435" s="5">
        <f t="shared" si="12"/>
        <v>2.9813487956899212E-2</v>
      </c>
      <c r="T435">
        <v>253.17400000000001</v>
      </c>
      <c r="U435">
        <v>11</v>
      </c>
      <c r="V435">
        <v>2023</v>
      </c>
      <c r="W435">
        <v>4</v>
      </c>
      <c r="X435" t="s">
        <v>9899</v>
      </c>
      <c r="Y435" t="s">
        <v>9900</v>
      </c>
      <c r="Z435" t="s">
        <v>9898</v>
      </c>
      <c r="AD435">
        <f t="shared" si="13"/>
        <v>2</v>
      </c>
    </row>
    <row r="436" spans="1:30" x14ac:dyDescent="0.25">
      <c r="A436" t="s">
        <v>460</v>
      </c>
      <c r="B436" s="2">
        <v>44659</v>
      </c>
      <c r="C436" s="2">
        <v>44664</v>
      </c>
      <c r="D436" t="s">
        <v>5219</v>
      </c>
      <c r="E436" t="s">
        <v>5719</v>
      </c>
      <c r="F436" t="s">
        <v>6027</v>
      </c>
      <c r="G436" t="s">
        <v>6031</v>
      </c>
      <c r="H436" t="s">
        <v>6040</v>
      </c>
      <c r="I436" t="s">
        <v>6050</v>
      </c>
      <c r="J436" t="s">
        <v>6055</v>
      </c>
      <c r="K436" t="s">
        <v>6064</v>
      </c>
      <c r="L436" t="s">
        <v>6488</v>
      </c>
      <c r="M436">
        <v>155.01</v>
      </c>
      <c r="N436">
        <v>1</v>
      </c>
      <c r="O436">
        <v>0.24</v>
      </c>
      <c r="P436">
        <v>-5.14</v>
      </c>
      <c r="Q436" t="s">
        <v>9897</v>
      </c>
      <c r="R436">
        <v>5</v>
      </c>
      <c r="S436" s="5">
        <f t="shared" si="12"/>
        <v>-3.3159151022514675E-2</v>
      </c>
      <c r="T436">
        <v>155.01</v>
      </c>
      <c r="U436">
        <v>4</v>
      </c>
      <c r="V436">
        <v>2022</v>
      </c>
      <c r="W436">
        <v>2</v>
      </c>
      <c r="X436" t="s">
        <v>9898</v>
      </c>
      <c r="Y436" t="s">
        <v>9900</v>
      </c>
      <c r="Z436" t="s">
        <v>9899</v>
      </c>
      <c r="AD436">
        <f t="shared" si="13"/>
        <v>5</v>
      </c>
    </row>
    <row r="437" spans="1:30" x14ac:dyDescent="0.25">
      <c r="A437" t="s">
        <v>461</v>
      </c>
      <c r="B437" s="2">
        <v>45215</v>
      </c>
      <c r="C437" s="2">
        <v>45217</v>
      </c>
      <c r="D437" t="s">
        <v>5324</v>
      </c>
      <c r="E437" t="s">
        <v>5824</v>
      </c>
      <c r="F437" t="s">
        <v>6027</v>
      </c>
      <c r="G437" t="s">
        <v>6030</v>
      </c>
      <c r="H437" t="s">
        <v>6038</v>
      </c>
      <c r="I437" t="s">
        <v>6047</v>
      </c>
      <c r="J437" t="s">
        <v>6054</v>
      </c>
      <c r="K437" t="s">
        <v>6060</v>
      </c>
      <c r="L437" t="s">
        <v>6484</v>
      </c>
      <c r="M437">
        <v>371.87</v>
      </c>
      <c r="N437">
        <v>4</v>
      </c>
      <c r="O437">
        <v>0.11</v>
      </c>
      <c r="P437">
        <v>56.84</v>
      </c>
      <c r="Q437" t="s">
        <v>9894</v>
      </c>
      <c r="R437">
        <v>2</v>
      </c>
      <c r="S437" s="5">
        <f t="shared" si="12"/>
        <v>0.1528491139376664</v>
      </c>
      <c r="T437">
        <v>92.967500000000001</v>
      </c>
      <c r="U437">
        <v>10</v>
      </c>
      <c r="V437">
        <v>2023</v>
      </c>
      <c r="W437">
        <v>4</v>
      </c>
      <c r="X437" t="s">
        <v>9899</v>
      </c>
      <c r="Y437" t="s">
        <v>9901</v>
      </c>
      <c r="Z437" t="s">
        <v>9899</v>
      </c>
      <c r="AD437">
        <f t="shared" si="13"/>
        <v>2</v>
      </c>
    </row>
    <row r="438" spans="1:30" x14ac:dyDescent="0.25">
      <c r="A438" t="s">
        <v>462</v>
      </c>
      <c r="B438" s="2">
        <v>44734</v>
      </c>
      <c r="C438" s="2">
        <v>44735</v>
      </c>
      <c r="D438" t="s">
        <v>5325</v>
      </c>
      <c r="E438" t="s">
        <v>5825</v>
      </c>
      <c r="F438" t="s">
        <v>6027</v>
      </c>
      <c r="G438" t="s">
        <v>6029</v>
      </c>
      <c r="H438" t="s">
        <v>6041</v>
      </c>
      <c r="I438" t="s">
        <v>6049</v>
      </c>
      <c r="J438" t="s">
        <v>6053</v>
      </c>
      <c r="K438" t="s">
        <v>6058</v>
      </c>
      <c r="L438" t="s">
        <v>6489</v>
      </c>
      <c r="M438">
        <v>620.35</v>
      </c>
      <c r="N438">
        <v>2</v>
      </c>
      <c r="O438">
        <v>0.04</v>
      </c>
      <c r="P438">
        <v>38.28</v>
      </c>
      <c r="Q438" t="s">
        <v>9894</v>
      </c>
      <c r="R438">
        <v>1</v>
      </c>
      <c r="S438" s="5">
        <f t="shared" si="12"/>
        <v>6.1707100830176512E-2</v>
      </c>
      <c r="T438">
        <v>310.17500000000001</v>
      </c>
      <c r="U438">
        <v>6</v>
      </c>
      <c r="V438">
        <v>2022</v>
      </c>
      <c r="W438">
        <v>2</v>
      </c>
      <c r="X438" t="s">
        <v>9899</v>
      </c>
      <c r="Y438" t="s">
        <v>9901</v>
      </c>
      <c r="Z438" t="s">
        <v>9899</v>
      </c>
      <c r="AD438">
        <f t="shared" si="13"/>
        <v>1</v>
      </c>
    </row>
    <row r="439" spans="1:30" x14ac:dyDescent="0.25">
      <c r="A439" t="s">
        <v>463</v>
      </c>
      <c r="B439" s="2">
        <v>45082</v>
      </c>
      <c r="C439" s="2">
        <v>45085</v>
      </c>
      <c r="D439" t="s">
        <v>5144</v>
      </c>
      <c r="E439" t="s">
        <v>5644</v>
      </c>
      <c r="F439" t="s">
        <v>6028</v>
      </c>
      <c r="G439" t="s">
        <v>6030</v>
      </c>
      <c r="H439" t="s">
        <v>6038</v>
      </c>
      <c r="I439" t="s">
        <v>6047</v>
      </c>
      <c r="J439" t="s">
        <v>6055</v>
      </c>
      <c r="K439" t="s">
        <v>6063</v>
      </c>
      <c r="L439" t="s">
        <v>6490</v>
      </c>
      <c r="M439">
        <v>1447.45</v>
      </c>
      <c r="N439">
        <v>3</v>
      </c>
      <c r="O439">
        <v>0.02</v>
      </c>
      <c r="P439">
        <v>269.48</v>
      </c>
      <c r="Q439" t="s">
        <v>9894</v>
      </c>
      <c r="R439">
        <v>3</v>
      </c>
      <c r="S439" s="5">
        <f t="shared" si="12"/>
        <v>0.18617568827938791</v>
      </c>
      <c r="T439">
        <v>482.48333333333329</v>
      </c>
      <c r="U439">
        <v>6</v>
      </c>
      <c r="V439">
        <v>2023</v>
      </c>
      <c r="W439">
        <v>2</v>
      </c>
      <c r="X439" t="s">
        <v>9899</v>
      </c>
      <c r="Y439" t="s">
        <v>9901</v>
      </c>
      <c r="Z439" t="s">
        <v>9898</v>
      </c>
      <c r="AD439">
        <f t="shared" si="13"/>
        <v>3</v>
      </c>
    </row>
    <row r="440" spans="1:30" x14ac:dyDescent="0.25">
      <c r="A440" t="s">
        <v>464</v>
      </c>
      <c r="B440" s="2">
        <v>44888</v>
      </c>
      <c r="C440" s="2">
        <v>44891</v>
      </c>
      <c r="D440" t="s">
        <v>5257</v>
      </c>
      <c r="E440" t="s">
        <v>5757</v>
      </c>
      <c r="F440" t="s">
        <v>6028</v>
      </c>
      <c r="G440" t="s">
        <v>6029</v>
      </c>
      <c r="H440" t="s">
        <v>6036</v>
      </c>
      <c r="I440" t="s">
        <v>6050</v>
      </c>
      <c r="J440" t="s">
        <v>6053</v>
      </c>
      <c r="K440" t="s">
        <v>6057</v>
      </c>
      <c r="L440" t="s">
        <v>6491</v>
      </c>
      <c r="M440">
        <v>381.26</v>
      </c>
      <c r="N440">
        <v>2</v>
      </c>
      <c r="O440">
        <v>0.03</v>
      </c>
      <c r="P440">
        <v>81.33</v>
      </c>
      <c r="Q440" t="s">
        <v>9894</v>
      </c>
      <c r="R440">
        <v>3</v>
      </c>
      <c r="S440" s="5">
        <f t="shared" si="12"/>
        <v>0.21331899491160888</v>
      </c>
      <c r="T440">
        <v>190.63</v>
      </c>
      <c r="U440">
        <v>11</v>
      </c>
      <c r="V440">
        <v>2022</v>
      </c>
      <c r="W440">
        <v>4</v>
      </c>
      <c r="X440" t="s">
        <v>9899</v>
      </c>
      <c r="Y440" t="s">
        <v>9901</v>
      </c>
      <c r="Z440" t="s">
        <v>9899</v>
      </c>
      <c r="AD440">
        <f t="shared" si="13"/>
        <v>3</v>
      </c>
    </row>
    <row r="441" spans="1:30" x14ac:dyDescent="0.25">
      <c r="A441" t="s">
        <v>465</v>
      </c>
      <c r="B441" s="2">
        <v>44946</v>
      </c>
      <c r="C441" s="2">
        <v>44953</v>
      </c>
      <c r="D441" t="s">
        <v>5326</v>
      </c>
      <c r="E441" t="s">
        <v>5826</v>
      </c>
      <c r="F441" t="s">
        <v>6026</v>
      </c>
      <c r="G441" t="s">
        <v>6029</v>
      </c>
      <c r="H441" t="s">
        <v>6045</v>
      </c>
      <c r="I441" t="s">
        <v>6046</v>
      </c>
      <c r="J441" t="s">
        <v>6053</v>
      </c>
      <c r="K441" t="s">
        <v>6058</v>
      </c>
      <c r="L441" t="s">
        <v>6492</v>
      </c>
      <c r="M441">
        <v>740.89</v>
      </c>
      <c r="N441">
        <v>1</v>
      </c>
      <c r="O441">
        <v>7.0000000000000007E-2</v>
      </c>
      <c r="P441">
        <v>56.75</v>
      </c>
      <c r="Q441" t="s">
        <v>9897</v>
      </c>
      <c r="R441">
        <v>7</v>
      </c>
      <c r="S441" s="5">
        <f t="shared" si="12"/>
        <v>7.6597065691263205E-2</v>
      </c>
      <c r="T441">
        <v>740.89</v>
      </c>
      <c r="U441">
        <v>1</v>
      </c>
      <c r="V441">
        <v>2023</v>
      </c>
      <c r="W441">
        <v>1</v>
      </c>
      <c r="X441" t="s">
        <v>9899</v>
      </c>
      <c r="Y441" t="s">
        <v>9901</v>
      </c>
      <c r="Z441" t="s">
        <v>9899</v>
      </c>
      <c r="AD441">
        <f t="shared" si="13"/>
        <v>7</v>
      </c>
    </row>
    <row r="442" spans="1:30" x14ac:dyDescent="0.25">
      <c r="A442" t="s">
        <v>466</v>
      </c>
      <c r="B442" s="2">
        <v>45395</v>
      </c>
      <c r="C442" s="2">
        <v>45398</v>
      </c>
      <c r="D442" t="s">
        <v>5122</v>
      </c>
      <c r="E442" t="s">
        <v>5622</v>
      </c>
      <c r="F442" t="s">
        <v>6026</v>
      </c>
      <c r="G442" t="s">
        <v>6030</v>
      </c>
      <c r="H442" t="s">
        <v>6035</v>
      </c>
      <c r="I442" t="s">
        <v>6051</v>
      </c>
      <c r="J442" t="s">
        <v>6053</v>
      </c>
      <c r="K442" t="s">
        <v>6058</v>
      </c>
      <c r="L442" t="s">
        <v>6493</v>
      </c>
      <c r="M442">
        <v>1293.83</v>
      </c>
      <c r="N442">
        <v>7</v>
      </c>
      <c r="O442">
        <v>0.17</v>
      </c>
      <c r="P442">
        <v>-70.12</v>
      </c>
      <c r="Q442" t="s">
        <v>9896</v>
      </c>
      <c r="R442">
        <v>3</v>
      </c>
      <c r="S442" s="5">
        <f t="shared" si="12"/>
        <v>-5.4195682585811124E-2</v>
      </c>
      <c r="T442">
        <v>184.83285714285711</v>
      </c>
      <c r="U442">
        <v>4</v>
      </c>
      <c r="V442">
        <v>2024</v>
      </c>
      <c r="W442">
        <v>2</v>
      </c>
      <c r="X442" t="s">
        <v>9898</v>
      </c>
      <c r="Y442" t="s">
        <v>9900</v>
      </c>
      <c r="Z442" t="s">
        <v>9898</v>
      </c>
      <c r="AD442">
        <f t="shared" si="13"/>
        <v>3</v>
      </c>
    </row>
    <row r="443" spans="1:30" x14ac:dyDescent="0.25">
      <c r="A443" t="s">
        <v>467</v>
      </c>
      <c r="B443" s="2">
        <v>45110</v>
      </c>
      <c r="C443" s="2">
        <v>45117</v>
      </c>
      <c r="D443" t="s">
        <v>5130</v>
      </c>
      <c r="E443" t="s">
        <v>5630</v>
      </c>
      <c r="F443" t="s">
        <v>6026</v>
      </c>
      <c r="G443" t="s">
        <v>6030</v>
      </c>
      <c r="H443" t="s">
        <v>6039</v>
      </c>
      <c r="I443" t="s">
        <v>6051</v>
      </c>
      <c r="J443" t="s">
        <v>6055</v>
      </c>
      <c r="K443" t="s">
        <v>6064</v>
      </c>
      <c r="L443" t="s">
        <v>6494</v>
      </c>
      <c r="M443">
        <v>265.31</v>
      </c>
      <c r="N443">
        <v>8</v>
      </c>
      <c r="O443">
        <v>0.12</v>
      </c>
      <c r="P443">
        <v>46.28</v>
      </c>
      <c r="Q443" t="s">
        <v>9895</v>
      </c>
      <c r="R443">
        <v>7</v>
      </c>
      <c r="S443" s="5">
        <f t="shared" si="12"/>
        <v>0.17443745052956919</v>
      </c>
      <c r="T443">
        <v>33.16375</v>
      </c>
      <c r="U443">
        <v>7</v>
      </c>
      <c r="V443">
        <v>2023</v>
      </c>
      <c r="W443">
        <v>3</v>
      </c>
      <c r="X443" t="s">
        <v>9899</v>
      </c>
      <c r="Y443" t="s">
        <v>9901</v>
      </c>
      <c r="Z443" t="s">
        <v>9899</v>
      </c>
      <c r="AD443">
        <f t="shared" si="13"/>
        <v>7</v>
      </c>
    </row>
    <row r="444" spans="1:30" x14ac:dyDescent="0.25">
      <c r="A444" t="s">
        <v>468</v>
      </c>
      <c r="B444" s="2">
        <v>45219</v>
      </c>
      <c r="C444" s="2">
        <v>45226</v>
      </c>
      <c r="D444" t="s">
        <v>5327</v>
      </c>
      <c r="E444" t="s">
        <v>5827</v>
      </c>
      <c r="F444" t="s">
        <v>6026</v>
      </c>
      <c r="G444" t="s">
        <v>6029</v>
      </c>
      <c r="H444" t="s">
        <v>6045</v>
      </c>
      <c r="I444" t="s">
        <v>6049</v>
      </c>
      <c r="J444" t="s">
        <v>6053</v>
      </c>
      <c r="K444" t="s">
        <v>6057</v>
      </c>
      <c r="L444" t="s">
        <v>6495</v>
      </c>
      <c r="M444">
        <v>720.3</v>
      </c>
      <c r="N444">
        <v>3</v>
      </c>
      <c r="O444">
        <v>0.32</v>
      </c>
      <c r="P444">
        <v>-49.62</v>
      </c>
      <c r="Q444" t="s">
        <v>9895</v>
      </c>
      <c r="R444">
        <v>7</v>
      </c>
      <c r="S444" s="5">
        <f t="shared" si="12"/>
        <v>-6.8887963348604753E-2</v>
      </c>
      <c r="T444">
        <v>240.1</v>
      </c>
      <c r="U444">
        <v>10</v>
      </c>
      <c r="V444">
        <v>2023</v>
      </c>
      <c r="W444">
        <v>4</v>
      </c>
      <c r="X444" t="s">
        <v>9898</v>
      </c>
      <c r="Y444" t="s">
        <v>9902</v>
      </c>
      <c r="Z444" t="s">
        <v>9899</v>
      </c>
      <c r="AD444">
        <f t="shared" si="13"/>
        <v>7</v>
      </c>
    </row>
    <row r="445" spans="1:30" x14ac:dyDescent="0.25">
      <c r="A445" t="s">
        <v>469</v>
      </c>
      <c r="B445" s="2">
        <v>44950</v>
      </c>
      <c r="C445" s="2">
        <v>44956</v>
      </c>
      <c r="D445" t="s">
        <v>5137</v>
      </c>
      <c r="E445" t="s">
        <v>5637</v>
      </c>
      <c r="F445" t="s">
        <v>6027</v>
      </c>
      <c r="G445" t="s">
        <v>6029</v>
      </c>
      <c r="H445" t="s">
        <v>6044</v>
      </c>
      <c r="I445" t="s">
        <v>6049</v>
      </c>
      <c r="J445" t="s">
        <v>6055</v>
      </c>
      <c r="K445" t="s">
        <v>6063</v>
      </c>
      <c r="L445" t="s">
        <v>6496</v>
      </c>
      <c r="M445">
        <v>1737.94</v>
      </c>
      <c r="N445">
        <v>2</v>
      </c>
      <c r="O445">
        <v>0.01</v>
      </c>
      <c r="P445">
        <v>244.59</v>
      </c>
      <c r="Q445" t="s">
        <v>9893</v>
      </c>
      <c r="R445">
        <v>6</v>
      </c>
      <c r="S445" s="5">
        <f t="shared" si="12"/>
        <v>0.14073558350691048</v>
      </c>
      <c r="T445">
        <v>868.97</v>
      </c>
      <c r="U445">
        <v>1</v>
      </c>
      <c r="V445">
        <v>2023</v>
      </c>
      <c r="W445">
        <v>1</v>
      </c>
      <c r="X445" t="s">
        <v>9899</v>
      </c>
      <c r="Y445" t="s">
        <v>9901</v>
      </c>
      <c r="Z445" t="s">
        <v>9898</v>
      </c>
      <c r="AD445">
        <f t="shared" si="13"/>
        <v>6</v>
      </c>
    </row>
    <row r="446" spans="1:30" x14ac:dyDescent="0.25">
      <c r="A446" t="s">
        <v>470</v>
      </c>
      <c r="B446" s="2">
        <v>45149</v>
      </c>
      <c r="C446" s="2">
        <v>45151</v>
      </c>
      <c r="D446" t="s">
        <v>5213</v>
      </c>
      <c r="E446" t="s">
        <v>5713</v>
      </c>
      <c r="F446" t="s">
        <v>6026</v>
      </c>
      <c r="G446" t="s">
        <v>6030</v>
      </c>
      <c r="H446" t="s">
        <v>6033</v>
      </c>
      <c r="I446" t="s">
        <v>6047</v>
      </c>
      <c r="J446" t="s">
        <v>6054</v>
      </c>
      <c r="K446" t="s">
        <v>6059</v>
      </c>
      <c r="L446" t="s">
        <v>6497</v>
      </c>
      <c r="M446">
        <v>1617.67</v>
      </c>
      <c r="N446">
        <v>3</v>
      </c>
      <c r="O446">
        <v>0.23</v>
      </c>
      <c r="P446">
        <v>82.47</v>
      </c>
      <c r="Q446" t="s">
        <v>9897</v>
      </c>
      <c r="R446">
        <v>2</v>
      </c>
      <c r="S446" s="5">
        <f t="shared" si="12"/>
        <v>5.0980731545988985E-2</v>
      </c>
      <c r="T446">
        <v>539.22333333333336</v>
      </c>
      <c r="U446">
        <v>8</v>
      </c>
      <c r="V446">
        <v>2023</v>
      </c>
      <c r="W446">
        <v>3</v>
      </c>
      <c r="X446" t="s">
        <v>9899</v>
      </c>
      <c r="Y446" t="s">
        <v>9900</v>
      </c>
      <c r="Z446" t="s">
        <v>9898</v>
      </c>
      <c r="AD446">
        <f t="shared" si="13"/>
        <v>2</v>
      </c>
    </row>
    <row r="447" spans="1:30" x14ac:dyDescent="0.25">
      <c r="A447" t="s">
        <v>471</v>
      </c>
      <c r="B447" s="2">
        <v>44658</v>
      </c>
      <c r="C447" s="2">
        <v>44662</v>
      </c>
      <c r="D447" t="s">
        <v>5328</v>
      </c>
      <c r="E447" t="s">
        <v>5828</v>
      </c>
      <c r="F447" t="s">
        <v>6026</v>
      </c>
      <c r="G447" t="s">
        <v>6029</v>
      </c>
      <c r="H447" t="s">
        <v>6032</v>
      </c>
      <c r="I447" t="s">
        <v>6046</v>
      </c>
      <c r="J447" t="s">
        <v>6053</v>
      </c>
      <c r="K447" t="s">
        <v>6058</v>
      </c>
      <c r="L447" t="s">
        <v>6498</v>
      </c>
      <c r="M447">
        <v>1449.09</v>
      </c>
      <c r="N447">
        <v>1</v>
      </c>
      <c r="O447">
        <v>0.26</v>
      </c>
      <c r="P447">
        <v>55.37</v>
      </c>
      <c r="Q447" t="s">
        <v>9894</v>
      </c>
      <c r="R447">
        <v>4</v>
      </c>
      <c r="S447" s="5">
        <f t="shared" si="12"/>
        <v>3.8210187082927907E-2</v>
      </c>
      <c r="T447">
        <v>1449.09</v>
      </c>
      <c r="U447">
        <v>4</v>
      </c>
      <c r="V447">
        <v>2022</v>
      </c>
      <c r="W447">
        <v>2</v>
      </c>
      <c r="X447" t="s">
        <v>9899</v>
      </c>
      <c r="Y447" t="s">
        <v>9900</v>
      </c>
      <c r="Z447" t="s">
        <v>9898</v>
      </c>
      <c r="AD447">
        <f t="shared" si="13"/>
        <v>4</v>
      </c>
    </row>
    <row r="448" spans="1:30" x14ac:dyDescent="0.25">
      <c r="A448" t="s">
        <v>472</v>
      </c>
      <c r="B448" s="2">
        <v>45265</v>
      </c>
      <c r="C448" s="2">
        <v>45271</v>
      </c>
      <c r="D448" t="s">
        <v>5105</v>
      </c>
      <c r="E448" t="s">
        <v>5605</v>
      </c>
      <c r="F448" t="s">
        <v>6028</v>
      </c>
      <c r="G448" t="s">
        <v>6031</v>
      </c>
      <c r="H448" t="s">
        <v>6034</v>
      </c>
      <c r="I448" t="s">
        <v>6050</v>
      </c>
      <c r="J448" t="s">
        <v>6055</v>
      </c>
      <c r="K448" t="s">
        <v>6061</v>
      </c>
      <c r="L448" t="s">
        <v>6499</v>
      </c>
      <c r="M448">
        <v>1226.1600000000001</v>
      </c>
      <c r="N448">
        <v>3</v>
      </c>
      <c r="O448">
        <v>0.06</v>
      </c>
      <c r="P448">
        <v>82.33</v>
      </c>
      <c r="Q448" t="s">
        <v>9894</v>
      </c>
      <c r="R448">
        <v>6</v>
      </c>
      <c r="S448" s="5">
        <f t="shared" si="12"/>
        <v>6.7144581457558555E-2</v>
      </c>
      <c r="T448">
        <v>408.72</v>
      </c>
      <c r="U448">
        <v>12</v>
      </c>
      <c r="V448">
        <v>2023</v>
      </c>
      <c r="W448">
        <v>4</v>
      </c>
      <c r="X448" t="s">
        <v>9899</v>
      </c>
      <c r="Y448" t="s">
        <v>9901</v>
      </c>
      <c r="Z448" t="s">
        <v>9898</v>
      </c>
      <c r="AD448">
        <f t="shared" si="13"/>
        <v>6</v>
      </c>
    </row>
    <row r="449" spans="1:30" x14ac:dyDescent="0.25">
      <c r="A449" t="s">
        <v>473</v>
      </c>
      <c r="B449" s="2">
        <v>45402</v>
      </c>
      <c r="C449" s="2">
        <v>45403</v>
      </c>
      <c r="D449" t="s">
        <v>5329</v>
      </c>
      <c r="E449" t="s">
        <v>5829</v>
      </c>
      <c r="F449" t="s">
        <v>6028</v>
      </c>
      <c r="G449" t="s">
        <v>6030</v>
      </c>
      <c r="H449" t="s">
        <v>6038</v>
      </c>
      <c r="I449" t="s">
        <v>6047</v>
      </c>
      <c r="J449" t="s">
        <v>6053</v>
      </c>
      <c r="K449" t="s">
        <v>6056</v>
      </c>
      <c r="L449" t="s">
        <v>6500</v>
      </c>
      <c r="M449">
        <v>509.19</v>
      </c>
      <c r="N449">
        <v>7</v>
      </c>
      <c r="O449">
        <v>0.1</v>
      </c>
      <c r="P449">
        <v>93</v>
      </c>
      <c r="Q449" t="s">
        <v>9894</v>
      </c>
      <c r="R449">
        <v>1</v>
      </c>
      <c r="S449" s="5">
        <f t="shared" si="12"/>
        <v>0.18264302126907442</v>
      </c>
      <c r="T449">
        <v>72.741428571428571</v>
      </c>
      <c r="U449">
        <v>4</v>
      </c>
      <c r="V449">
        <v>2024</v>
      </c>
      <c r="W449">
        <v>2</v>
      </c>
      <c r="X449" t="s">
        <v>9899</v>
      </c>
      <c r="Y449" t="s">
        <v>9901</v>
      </c>
      <c r="Z449" t="s">
        <v>9899</v>
      </c>
      <c r="AD449">
        <f t="shared" si="13"/>
        <v>1</v>
      </c>
    </row>
    <row r="450" spans="1:30" x14ac:dyDescent="0.25">
      <c r="A450" t="s">
        <v>474</v>
      </c>
      <c r="B450" s="2">
        <v>45398</v>
      </c>
      <c r="C450" s="2">
        <v>45405</v>
      </c>
      <c r="D450" t="s">
        <v>5287</v>
      </c>
      <c r="E450" t="s">
        <v>5787</v>
      </c>
      <c r="F450" t="s">
        <v>6026</v>
      </c>
      <c r="G450" t="s">
        <v>6030</v>
      </c>
      <c r="H450" t="s">
        <v>6035</v>
      </c>
      <c r="I450" t="s">
        <v>6051</v>
      </c>
      <c r="J450" t="s">
        <v>6054</v>
      </c>
      <c r="K450" t="s">
        <v>6062</v>
      </c>
      <c r="L450" t="s">
        <v>6501</v>
      </c>
      <c r="M450">
        <v>1842.95</v>
      </c>
      <c r="N450">
        <v>8</v>
      </c>
      <c r="O450">
        <v>0.2</v>
      </c>
      <c r="P450">
        <v>-156.36000000000001</v>
      </c>
      <c r="Q450" t="s">
        <v>9894</v>
      </c>
      <c r="R450">
        <v>7</v>
      </c>
      <c r="S450" s="5">
        <f t="shared" si="12"/>
        <v>-8.4842236631487572E-2</v>
      </c>
      <c r="T450">
        <v>230.36875000000001</v>
      </c>
      <c r="U450">
        <v>4</v>
      </c>
      <c r="V450">
        <v>2024</v>
      </c>
      <c r="W450">
        <v>2</v>
      </c>
      <c r="X450" t="s">
        <v>9898</v>
      </c>
      <c r="Y450" t="s">
        <v>9900</v>
      </c>
      <c r="Z450" t="s">
        <v>9898</v>
      </c>
      <c r="AD450">
        <f t="shared" si="13"/>
        <v>7</v>
      </c>
    </row>
    <row r="451" spans="1:30" x14ac:dyDescent="0.25">
      <c r="A451" t="s">
        <v>475</v>
      </c>
      <c r="B451" s="2">
        <v>44696</v>
      </c>
      <c r="C451" s="2">
        <v>44698</v>
      </c>
      <c r="D451" t="s">
        <v>5330</v>
      </c>
      <c r="E451" t="s">
        <v>5830</v>
      </c>
      <c r="F451" t="s">
        <v>6026</v>
      </c>
      <c r="G451" t="s">
        <v>6031</v>
      </c>
      <c r="H451" t="s">
        <v>6042</v>
      </c>
      <c r="I451" t="s">
        <v>6048</v>
      </c>
      <c r="J451" t="s">
        <v>6053</v>
      </c>
      <c r="K451" t="s">
        <v>6058</v>
      </c>
      <c r="L451" t="s">
        <v>6502</v>
      </c>
      <c r="M451">
        <v>1885.4</v>
      </c>
      <c r="N451">
        <v>6</v>
      </c>
      <c r="O451">
        <v>0.16</v>
      </c>
      <c r="P451">
        <v>120.01</v>
      </c>
      <c r="Q451" t="s">
        <v>9893</v>
      </c>
      <c r="R451">
        <v>2</v>
      </c>
      <c r="S451" s="5">
        <f t="shared" ref="S451:S514" si="14">P451/M451</f>
        <v>6.3652275379229878E-2</v>
      </c>
      <c r="T451">
        <v>314.23333333333329</v>
      </c>
      <c r="U451">
        <v>5</v>
      </c>
      <c r="V451">
        <v>2022</v>
      </c>
      <c r="W451">
        <v>2</v>
      </c>
      <c r="X451" t="s">
        <v>9899</v>
      </c>
      <c r="Y451" t="s">
        <v>9900</v>
      </c>
      <c r="Z451" t="s">
        <v>9898</v>
      </c>
      <c r="AD451">
        <f t="shared" ref="AD451:AD514" si="15">C451-B451</f>
        <v>2</v>
      </c>
    </row>
    <row r="452" spans="1:30" x14ac:dyDescent="0.25">
      <c r="A452" t="s">
        <v>476</v>
      </c>
      <c r="B452" s="2">
        <v>45113</v>
      </c>
      <c r="C452" s="2">
        <v>45115</v>
      </c>
      <c r="D452" t="s">
        <v>5229</v>
      </c>
      <c r="E452" t="s">
        <v>5729</v>
      </c>
      <c r="F452" t="s">
        <v>6026</v>
      </c>
      <c r="G452" t="s">
        <v>6030</v>
      </c>
      <c r="H452" t="s">
        <v>6038</v>
      </c>
      <c r="I452" t="s">
        <v>6047</v>
      </c>
      <c r="J452" t="s">
        <v>6054</v>
      </c>
      <c r="K452" t="s">
        <v>6060</v>
      </c>
      <c r="L452" t="s">
        <v>6403</v>
      </c>
      <c r="M452">
        <v>236.66</v>
      </c>
      <c r="N452">
        <v>2</v>
      </c>
      <c r="O452">
        <v>0.16</v>
      </c>
      <c r="P452">
        <v>4.22</v>
      </c>
      <c r="Q452" t="s">
        <v>9895</v>
      </c>
      <c r="R452">
        <v>2</v>
      </c>
      <c r="S452" s="5">
        <f t="shared" si="14"/>
        <v>1.7831488210935519E-2</v>
      </c>
      <c r="T452">
        <v>118.33</v>
      </c>
      <c r="U452">
        <v>7</v>
      </c>
      <c r="V452">
        <v>2023</v>
      </c>
      <c r="W452">
        <v>3</v>
      </c>
      <c r="X452" t="s">
        <v>9899</v>
      </c>
      <c r="Y452" t="s">
        <v>9900</v>
      </c>
      <c r="Z452" t="s">
        <v>9899</v>
      </c>
      <c r="AD452">
        <f t="shared" si="15"/>
        <v>2</v>
      </c>
    </row>
    <row r="453" spans="1:30" x14ac:dyDescent="0.25">
      <c r="A453" t="s">
        <v>477</v>
      </c>
      <c r="B453" s="2">
        <v>44693</v>
      </c>
      <c r="C453" s="2">
        <v>44696</v>
      </c>
      <c r="D453" t="s">
        <v>5331</v>
      </c>
      <c r="E453" t="s">
        <v>5831</v>
      </c>
      <c r="F453" t="s">
        <v>6027</v>
      </c>
      <c r="G453" t="s">
        <v>6029</v>
      </c>
      <c r="H453" t="s">
        <v>6032</v>
      </c>
      <c r="I453" t="s">
        <v>6050</v>
      </c>
      <c r="J453" t="s">
        <v>6055</v>
      </c>
      <c r="K453" t="s">
        <v>6061</v>
      </c>
      <c r="L453" t="s">
        <v>6503</v>
      </c>
      <c r="M453">
        <v>853.85</v>
      </c>
      <c r="N453">
        <v>3</v>
      </c>
      <c r="O453">
        <v>0.19</v>
      </c>
      <c r="P453">
        <v>-34.07</v>
      </c>
      <c r="Q453" t="s">
        <v>9897</v>
      </c>
      <c r="R453">
        <v>3</v>
      </c>
      <c r="S453" s="5">
        <f t="shared" si="14"/>
        <v>-3.9901622064765475E-2</v>
      </c>
      <c r="T453">
        <v>284.61666666666667</v>
      </c>
      <c r="U453">
        <v>5</v>
      </c>
      <c r="V453">
        <v>2022</v>
      </c>
      <c r="W453">
        <v>2</v>
      </c>
      <c r="X453" t="s">
        <v>9898</v>
      </c>
      <c r="Y453" t="s">
        <v>9900</v>
      </c>
      <c r="Z453" t="s">
        <v>9899</v>
      </c>
      <c r="AD453">
        <f t="shared" si="15"/>
        <v>3</v>
      </c>
    </row>
    <row r="454" spans="1:30" x14ac:dyDescent="0.25">
      <c r="A454" t="s">
        <v>478</v>
      </c>
      <c r="B454" s="2">
        <v>45376</v>
      </c>
      <c r="C454" s="2">
        <v>45380</v>
      </c>
      <c r="D454" t="s">
        <v>5332</v>
      </c>
      <c r="E454" t="s">
        <v>5832</v>
      </c>
      <c r="F454" t="s">
        <v>6027</v>
      </c>
      <c r="G454" t="s">
        <v>6031</v>
      </c>
      <c r="H454" t="s">
        <v>6040</v>
      </c>
      <c r="I454" t="s">
        <v>6050</v>
      </c>
      <c r="J454" t="s">
        <v>6053</v>
      </c>
      <c r="K454" t="s">
        <v>6057</v>
      </c>
      <c r="L454" t="s">
        <v>6504</v>
      </c>
      <c r="M454">
        <v>373.87</v>
      </c>
      <c r="N454">
        <v>4</v>
      </c>
      <c r="O454">
        <v>0.1</v>
      </c>
      <c r="P454">
        <v>16.89</v>
      </c>
      <c r="Q454" t="s">
        <v>9897</v>
      </c>
      <c r="R454">
        <v>4</v>
      </c>
      <c r="S454" s="5">
        <f t="shared" si="14"/>
        <v>4.5176130740631773E-2</v>
      </c>
      <c r="T454">
        <v>93.467500000000001</v>
      </c>
      <c r="U454">
        <v>3</v>
      </c>
      <c r="V454">
        <v>2024</v>
      </c>
      <c r="W454">
        <v>1</v>
      </c>
      <c r="X454" t="s">
        <v>9899</v>
      </c>
      <c r="Y454" t="s">
        <v>9901</v>
      </c>
      <c r="Z454" t="s">
        <v>9899</v>
      </c>
      <c r="AD454">
        <f t="shared" si="15"/>
        <v>4</v>
      </c>
    </row>
    <row r="455" spans="1:30" x14ac:dyDescent="0.25">
      <c r="A455" t="s">
        <v>479</v>
      </c>
      <c r="B455" s="2">
        <v>45373</v>
      </c>
      <c r="C455" s="2">
        <v>45375</v>
      </c>
      <c r="D455" t="s">
        <v>5162</v>
      </c>
      <c r="E455" t="s">
        <v>5662</v>
      </c>
      <c r="F455" t="s">
        <v>6026</v>
      </c>
      <c r="G455" t="s">
        <v>6029</v>
      </c>
      <c r="H455" t="s">
        <v>6041</v>
      </c>
      <c r="I455" t="s">
        <v>6046</v>
      </c>
      <c r="J455" t="s">
        <v>6053</v>
      </c>
      <c r="K455" t="s">
        <v>6058</v>
      </c>
      <c r="L455" t="s">
        <v>6505</v>
      </c>
      <c r="M455">
        <v>763.95</v>
      </c>
      <c r="N455">
        <v>1</v>
      </c>
      <c r="O455">
        <v>0.04</v>
      </c>
      <c r="P455">
        <v>62.4</v>
      </c>
      <c r="Q455" t="s">
        <v>9894</v>
      </c>
      <c r="R455">
        <v>2</v>
      </c>
      <c r="S455" s="5">
        <f t="shared" si="14"/>
        <v>8.1680738268211261E-2</v>
      </c>
      <c r="T455">
        <v>763.95</v>
      </c>
      <c r="U455">
        <v>3</v>
      </c>
      <c r="V455">
        <v>2024</v>
      </c>
      <c r="W455">
        <v>1</v>
      </c>
      <c r="X455" t="s">
        <v>9899</v>
      </c>
      <c r="Y455" t="s">
        <v>9901</v>
      </c>
      <c r="Z455" t="s">
        <v>9899</v>
      </c>
      <c r="AD455">
        <f t="shared" si="15"/>
        <v>2</v>
      </c>
    </row>
    <row r="456" spans="1:30" x14ac:dyDescent="0.25">
      <c r="A456" t="s">
        <v>480</v>
      </c>
      <c r="B456" s="2">
        <v>45346</v>
      </c>
      <c r="C456" s="2">
        <v>45349</v>
      </c>
      <c r="D456" t="s">
        <v>5333</v>
      </c>
      <c r="E456" t="s">
        <v>5833</v>
      </c>
      <c r="F456" t="s">
        <v>6026</v>
      </c>
      <c r="G456" t="s">
        <v>6030</v>
      </c>
      <c r="H456" t="s">
        <v>6033</v>
      </c>
      <c r="I456" t="s">
        <v>6051</v>
      </c>
      <c r="J456" t="s">
        <v>6053</v>
      </c>
      <c r="K456" t="s">
        <v>6057</v>
      </c>
      <c r="L456" t="s">
        <v>6506</v>
      </c>
      <c r="M456">
        <v>1240.33</v>
      </c>
      <c r="N456">
        <v>5</v>
      </c>
      <c r="O456">
        <v>0.24</v>
      </c>
      <c r="P456">
        <v>-116.86</v>
      </c>
      <c r="Q456" t="s">
        <v>9894</v>
      </c>
      <c r="R456">
        <v>3</v>
      </c>
      <c r="S456" s="5">
        <f t="shared" si="14"/>
        <v>-9.4216861641659891E-2</v>
      </c>
      <c r="T456">
        <v>248.066</v>
      </c>
      <c r="U456">
        <v>2</v>
      </c>
      <c r="V456">
        <v>2024</v>
      </c>
      <c r="W456">
        <v>1</v>
      </c>
      <c r="X456" t="s">
        <v>9898</v>
      </c>
      <c r="Y456" t="s">
        <v>9900</v>
      </c>
      <c r="Z456" t="s">
        <v>9898</v>
      </c>
      <c r="AD456">
        <f t="shared" si="15"/>
        <v>3</v>
      </c>
    </row>
    <row r="457" spans="1:30" x14ac:dyDescent="0.25">
      <c r="A457" t="s">
        <v>481</v>
      </c>
      <c r="B457" s="2">
        <v>45071</v>
      </c>
      <c r="C457" s="2">
        <v>45072</v>
      </c>
      <c r="D457" t="s">
        <v>5161</v>
      </c>
      <c r="E457" t="s">
        <v>5661</v>
      </c>
      <c r="F457" t="s">
        <v>6026</v>
      </c>
      <c r="G457" t="s">
        <v>6029</v>
      </c>
      <c r="H457" t="s">
        <v>6032</v>
      </c>
      <c r="I457" t="s">
        <v>6049</v>
      </c>
      <c r="J457" t="s">
        <v>6053</v>
      </c>
      <c r="K457" t="s">
        <v>6056</v>
      </c>
      <c r="L457" t="s">
        <v>6507</v>
      </c>
      <c r="M457">
        <v>1127.9100000000001</v>
      </c>
      <c r="N457">
        <v>5</v>
      </c>
      <c r="O457">
        <v>0.04</v>
      </c>
      <c r="P457">
        <v>234.01</v>
      </c>
      <c r="Q457" t="s">
        <v>9896</v>
      </c>
      <c r="R457">
        <v>1</v>
      </c>
      <c r="S457" s="5">
        <f t="shared" si="14"/>
        <v>0.20747222739402965</v>
      </c>
      <c r="T457">
        <v>225.58199999999999</v>
      </c>
      <c r="U457">
        <v>5</v>
      </c>
      <c r="V457">
        <v>2023</v>
      </c>
      <c r="W457">
        <v>2</v>
      </c>
      <c r="X457" t="s">
        <v>9899</v>
      </c>
      <c r="Y457" t="s">
        <v>9901</v>
      </c>
      <c r="Z457" t="s">
        <v>9898</v>
      </c>
      <c r="AD457">
        <f t="shared" si="15"/>
        <v>1</v>
      </c>
    </row>
    <row r="458" spans="1:30" x14ac:dyDescent="0.25">
      <c r="A458" t="s">
        <v>482</v>
      </c>
      <c r="B458" s="2">
        <v>45111</v>
      </c>
      <c r="C458" s="2">
        <v>45118</v>
      </c>
      <c r="D458" t="s">
        <v>5087</v>
      </c>
      <c r="E458" t="s">
        <v>5587</v>
      </c>
      <c r="F458" t="s">
        <v>6028</v>
      </c>
      <c r="G458" t="s">
        <v>6029</v>
      </c>
      <c r="H458" t="s">
        <v>6045</v>
      </c>
      <c r="I458" t="s">
        <v>6046</v>
      </c>
      <c r="J458" t="s">
        <v>6055</v>
      </c>
      <c r="K458" t="s">
        <v>6063</v>
      </c>
      <c r="L458" t="s">
        <v>6508</v>
      </c>
      <c r="M458">
        <v>1351.17</v>
      </c>
      <c r="N458">
        <v>1</v>
      </c>
      <c r="O458">
        <v>0.16</v>
      </c>
      <c r="P458">
        <v>8.8699999999999992</v>
      </c>
      <c r="Q458" t="s">
        <v>9896</v>
      </c>
      <c r="R458">
        <v>7</v>
      </c>
      <c r="S458" s="5">
        <f t="shared" si="14"/>
        <v>6.5646809801875403E-3</v>
      </c>
      <c r="T458">
        <v>1351.17</v>
      </c>
      <c r="U458">
        <v>7</v>
      </c>
      <c r="V458">
        <v>2023</v>
      </c>
      <c r="W458">
        <v>3</v>
      </c>
      <c r="X458" t="s">
        <v>9899</v>
      </c>
      <c r="Y458" t="s">
        <v>9900</v>
      </c>
      <c r="Z458" t="s">
        <v>9898</v>
      </c>
      <c r="AD458">
        <f t="shared" si="15"/>
        <v>7</v>
      </c>
    </row>
    <row r="459" spans="1:30" x14ac:dyDescent="0.25">
      <c r="A459" t="s">
        <v>483</v>
      </c>
      <c r="B459" s="2">
        <v>45455</v>
      </c>
      <c r="C459" s="2">
        <v>45460</v>
      </c>
      <c r="D459" t="s">
        <v>5247</v>
      </c>
      <c r="E459" t="s">
        <v>5747</v>
      </c>
      <c r="F459" t="s">
        <v>6026</v>
      </c>
      <c r="G459" t="s">
        <v>6029</v>
      </c>
      <c r="H459" t="s">
        <v>6041</v>
      </c>
      <c r="I459" t="s">
        <v>6049</v>
      </c>
      <c r="J459" t="s">
        <v>6053</v>
      </c>
      <c r="K459" t="s">
        <v>6058</v>
      </c>
      <c r="L459" t="s">
        <v>6509</v>
      </c>
      <c r="M459">
        <v>1672.06</v>
      </c>
      <c r="N459">
        <v>1</v>
      </c>
      <c r="O459">
        <v>0.2</v>
      </c>
      <c r="P459">
        <v>-49.39</v>
      </c>
      <c r="Q459" t="s">
        <v>9897</v>
      </c>
      <c r="R459">
        <v>5</v>
      </c>
      <c r="S459" s="5">
        <f t="shared" si="14"/>
        <v>-2.953841369328852E-2</v>
      </c>
      <c r="T459">
        <v>1672.06</v>
      </c>
      <c r="U459">
        <v>6</v>
      </c>
      <c r="V459">
        <v>2024</v>
      </c>
      <c r="W459">
        <v>2</v>
      </c>
      <c r="X459" t="s">
        <v>9898</v>
      </c>
      <c r="Y459" t="s">
        <v>9900</v>
      </c>
      <c r="Z459" t="s">
        <v>9898</v>
      </c>
      <c r="AD459">
        <f t="shared" si="15"/>
        <v>5</v>
      </c>
    </row>
    <row r="460" spans="1:30" x14ac:dyDescent="0.25">
      <c r="A460" t="s">
        <v>484</v>
      </c>
      <c r="B460" s="2">
        <v>45088</v>
      </c>
      <c r="C460" s="2">
        <v>45095</v>
      </c>
      <c r="D460" t="s">
        <v>5140</v>
      </c>
      <c r="E460" t="s">
        <v>5640</v>
      </c>
      <c r="F460" t="s">
        <v>6026</v>
      </c>
      <c r="G460" t="s">
        <v>6031</v>
      </c>
      <c r="H460" t="s">
        <v>6034</v>
      </c>
      <c r="I460" t="s">
        <v>6052</v>
      </c>
      <c r="J460" t="s">
        <v>6054</v>
      </c>
      <c r="K460" t="s">
        <v>6062</v>
      </c>
      <c r="L460" t="s">
        <v>6510</v>
      </c>
      <c r="M460">
        <v>108.55</v>
      </c>
      <c r="N460">
        <v>5</v>
      </c>
      <c r="O460">
        <v>0.13</v>
      </c>
      <c r="P460">
        <v>-2.73</v>
      </c>
      <c r="Q460" t="s">
        <v>9897</v>
      </c>
      <c r="R460">
        <v>7</v>
      </c>
      <c r="S460" s="5">
        <f t="shared" si="14"/>
        <v>-2.5149700598802397E-2</v>
      </c>
      <c r="T460">
        <v>21.71</v>
      </c>
      <c r="U460">
        <v>6</v>
      </c>
      <c r="V460">
        <v>2023</v>
      </c>
      <c r="W460">
        <v>2</v>
      </c>
      <c r="X460" t="s">
        <v>9898</v>
      </c>
      <c r="Y460" t="s">
        <v>9901</v>
      </c>
      <c r="Z460" t="s">
        <v>9899</v>
      </c>
      <c r="AD460">
        <f t="shared" si="15"/>
        <v>7</v>
      </c>
    </row>
    <row r="461" spans="1:30" x14ac:dyDescent="0.25">
      <c r="A461" t="s">
        <v>485</v>
      </c>
      <c r="B461" s="2">
        <v>44926</v>
      </c>
      <c r="C461" s="2">
        <v>44929</v>
      </c>
      <c r="D461" t="s">
        <v>5287</v>
      </c>
      <c r="E461" t="s">
        <v>5787</v>
      </c>
      <c r="F461" t="s">
        <v>6026</v>
      </c>
      <c r="G461" t="s">
        <v>6029</v>
      </c>
      <c r="H461" t="s">
        <v>6032</v>
      </c>
      <c r="I461" t="s">
        <v>6050</v>
      </c>
      <c r="J461" t="s">
        <v>6053</v>
      </c>
      <c r="K461" t="s">
        <v>6056</v>
      </c>
      <c r="L461" t="s">
        <v>6511</v>
      </c>
      <c r="M461">
        <v>189.73</v>
      </c>
      <c r="N461">
        <v>4</v>
      </c>
      <c r="O461">
        <v>0.2</v>
      </c>
      <c r="P461">
        <v>15.78</v>
      </c>
      <c r="Q461" t="s">
        <v>9896</v>
      </c>
      <c r="R461">
        <v>3</v>
      </c>
      <c r="S461" s="5">
        <f t="shared" si="14"/>
        <v>8.3170821693986194E-2</v>
      </c>
      <c r="T461">
        <v>47.432499999999997</v>
      </c>
      <c r="U461">
        <v>12</v>
      </c>
      <c r="V461">
        <v>2022</v>
      </c>
      <c r="W461">
        <v>4</v>
      </c>
      <c r="X461" t="s">
        <v>9899</v>
      </c>
      <c r="Y461" t="s">
        <v>9900</v>
      </c>
      <c r="Z461" t="s">
        <v>9899</v>
      </c>
      <c r="AD461">
        <f t="shared" si="15"/>
        <v>3</v>
      </c>
    </row>
    <row r="462" spans="1:30" x14ac:dyDescent="0.25">
      <c r="A462" t="s">
        <v>486</v>
      </c>
      <c r="B462" s="2">
        <v>44649</v>
      </c>
      <c r="C462" s="2">
        <v>44652</v>
      </c>
      <c r="D462" t="s">
        <v>5234</v>
      </c>
      <c r="E462" t="s">
        <v>5734</v>
      </c>
      <c r="F462" t="s">
        <v>6027</v>
      </c>
      <c r="G462" t="s">
        <v>6029</v>
      </c>
      <c r="H462" t="s">
        <v>6036</v>
      </c>
      <c r="I462" t="s">
        <v>6046</v>
      </c>
      <c r="J462" t="s">
        <v>6054</v>
      </c>
      <c r="K462" t="s">
        <v>6060</v>
      </c>
      <c r="L462" t="s">
        <v>6512</v>
      </c>
      <c r="M462">
        <v>1340.46</v>
      </c>
      <c r="N462">
        <v>8</v>
      </c>
      <c r="O462">
        <v>0.03</v>
      </c>
      <c r="P462">
        <v>217.67</v>
      </c>
      <c r="Q462" t="s">
        <v>9895</v>
      </c>
      <c r="R462">
        <v>3</v>
      </c>
      <c r="S462" s="5">
        <f t="shared" si="14"/>
        <v>0.1623845545558987</v>
      </c>
      <c r="T462">
        <v>167.5575</v>
      </c>
      <c r="U462">
        <v>3</v>
      </c>
      <c r="V462">
        <v>2022</v>
      </c>
      <c r="W462">
        <v>1</v>
      </c>
      <c r="X462" t="s">
        <v>9899</v>
      </c>
      <c r="Y462" t="s">
        <v>9901</v>
      </c>
      <c r="Z462" t="s">
        <v>9898</v>
      </c>
      <c r="AD462">
        <f t="shared" si="15"/>
        <v>3</v>
      </c>
    </row>
    <row r="463" spans="1:30" x14ac:dyDescent="0.25">
      <c r="A463" t="s">
        <v>487</v>
      </c>
      <c r="B463" s="2">
        <v>45426</v>
      </c>
      <c r="C463" s="2">
        <v>45432</v>
      </c>
      <c r="D463" t="s">
        <v>5334</v>
      </c>
      <c r="E463" t="s">
        <v>5834</v>
      </c>
      <c r="F463" t="s">
        <v>6026</v>
      </c>
      <c r="G463" t="s">
        <v>6030</v>
      </c>
      <c r="H463" t="s">
        <v>6039</v>
      </c>
      <c r="I463" t="s">
        <v>6051</v>
      </c>
      <c r="J463" t="s">
        <v>6054</v>
      </c>
      <c r="K463" t="s">
        <v>6060</v>
      </c>
      <c r="L463" t="s">
        <v>6513</v>
      </c>
      <c r="M463">
        <v>1724.78</v>
      </c>
      <c r="N463">
        <v>6</v>
      </c>
      <c r="O463">
        <v>0.21</v>
      </c>
      <c r="P463">
        <v>-117.65</v>
      </c>
      <c r="Q463" t="s">
        <v>9895</v>
      </c>
      <c r="R463">
        <v>6</v>
      </c>
      <c r="S463" s="5">
        <f t="shared" si="14"/>
        <v>-6.8211598000904469E-2</v>
      </c>
      <c r="T463">
        <v>287.46333333333331</v>
      </c>
      <c r="U463">
        <v>5</v>
      </c>
      <c r="V463">
        <v>2024</v>
      </c>
      <c r="W463">
        <v>2</v>
      </c>
      <c r="X463" t="s">
        <v>9898</v>
      </c>
      <c r="Y463" t="s">
        <v>9900</v>
      </c>
      <c r="Z463" t="s">
        <v>9898</v>
      </c>
      <c r="AD463">
        <f t="shared" si="15"/>
        <v>6</v>
      </c>
    </row>
    <row r="464" spans="1:30" x14ac:dyDescent="0.25">
      <c r="A464" t="s">
        <v>488</v>
      </c>
      <c r="B464" s="2">
        <v>44847</v>
      </c>
      <c r="C464" s="2">
        <v>44848</v>
      </c>
      <c r="D464" t="s">
        <v>5119</v>
      </c>
      <c r="E464" t="s">
        <v>5619</v>
      </c>
      <c r="F464" t="s">
        <v>6026</v>
      </c>
      <c r="G464" t="s">
        <v>6031</v>
      </c>
      <c r="H464" t="s">
        <v>6037</v>
      </c>
      <c r="I464" t="s">
        <v>6048</v>
      </c>
      <c r="J464" t="s">
        <v>6055</v>
      </c>
      <c r="K464" t="s">
        <v>6063</v>
      </c>
      <c r="L464" t="s">
        <v>6514</v>
      </c>
      <c r="M464">
        <v>1766.89</v>
      </c>
      <c r="N464">
        <v>2</v>
      </c>
      <c r="O464">
        <v>0.18</v>
      </c>
      <c r="P464">
        <v>149.52000000000001</v>
      </c>
      <c r="Q464" t="s">
        <v>9896</v>
      </c>
      <c r="R464">
        <v>1</v>
      </c>
      <c r="S464" s="5">
        <f t="shared" si="14"/>
        <v>8.4623264606172421E-2</v>
      </c>
      <c r="T464">
        <v>883.44500000000005</v>
      </c>
      <c r="U464">
        <v>10</v>
      </c>
      <c r="V464">
        <v>2022</v>
      </c>
      <c r="W464">
        <v>4</v>
      </c>
      <c r="X464" t="s">
        <v>9899</v>
      </c>
      <c r="Y464" t="s">
        <v>9900</v>
      </c>
      <c r="Z464" t="s">
        <v>9898</v>
      </c>
      <c r="AD464">
        <f t="shared" si="15"/>
        <v>1</v>
      </c>
    </row>
    <row r="465" spans="1:30" x14ac:dyDescent="0.25">
      <c r="A465" t="s">
        <v>489</v>
      </c>
      <c r="B465" s="2">
        <v>45452</v>
      </c>
      <c r="C465" s="2">
        <v>45453</v>
      </c>
      <c r="D465" t="s">
        <v>5211</v>
      </c>
      <c r="E465" t="s">
        <v>5711</v>
      </c>
      <c r="F465" t="s">
        <v>6028</v>
      </c>
      <c r="G465" t="s">
        <v>6030</v>
      </c>
      <c r="H465" t="s">
        <v>6039</v>
      </c>
      <c r="I465" t="s">
        <v>6051</v>
      </c>
      <c r="J465" t="s">
        <v>6053</v>
      </c>
      <c r="K465" t="s">
        <v>6056</v>
      </c>
      <c r="L465" t="s">
        <v>6515</v>
      </c>
      <c r="M465">
        <v>1323.7</v>
      </c>
      <c r="N465">
        <v>6</v>
      </c>
      <c r="O465">
        <v>0.16</v>
      </c>
      <c r="P465">
        <v>74.27</v>
      </c>
      <c r="Q465" t="s">
        <v>9893</v>
      </c>
      <c r="R465">
        <v>1</v>
      </c>
      <c r="S465" s="5">
        <f t="shared" si="14"/>
        <v>5.610787942887361E-2</v>
      </c>
      <c r="T465">
        <v>220.6166666666667</v>
      </c>
      <c r="U465">
        <v>6</v>
      </c>
      <c r="V465">
        <v>2024</v>
      </c>
      <c r="W465">
        <v>2</v>
      </c>
      <c r="X465" t="s">
        <v>9899</v>
      </c>
      <c r="Y465" t="s">
        <v>9900</v>
      </c>
      <c r="Z465" t="s">
        <v>9898</v>
      </c>
      <c r="AD465">
        <f t="shared" si="15"/>
        <v>1</v>
      </c>
    </row>
    <row r="466" spans="1:30" x14ac:dyDescent="0.25">
      <c r="A466" t="s">
        <v>490</v>
      </c>
      <c r="B466" s="2">
        <v>45193</v>
      </c>
      <c r="C466" s="2">
        <v>45198</v>
      </c>
      <c r="D466" t="s">
        <v>5291</v>
      </c>
      <c r="E466" t="s">
        <v>5791</v>
      </c>
      <c r="F466" t="s">
        <v>6028</v>
      </c>
      <c r="G466" t="s">
        <v>6031</v>
      </c>
      <c r="H466" t="s">
        <v>6043</v>
      </c>
      <c r="I466" t="s">
        <v>6048</v>
      </c>
      <c r="J466" t="s">
        <v>6053</v>
      </c>
      <c r="K466" t="s">
        <v>6058</v>
      </c>
      <c r="L466" t="s">
        <v>6516</v>
      </c>
      <c r="M466">
        <v>1114.93</v>
      </c>
      <c r="N466">
        <v>8</v>
      </c>
      <c r="O466">
        <v>0.27</v>
      </c>
      <c r="P466">
        <v>-35.57</v>
      </c>
      <c r="Q466" t="s">
        <v>9895</v>
      </c>
      <c r="R466">
        <v>5</v>
      </c>
      <c r="S466" s="5">
        <f t="shared" si="14"/>
        <v>-3.190334819226319E-2</v>
      </c>
      <c r="T466">
        <v>139.36625000000001</v>
      </c>
      <c r="U466">
        <v>9</v>
      </c>
      <c r="V466">
        <v>2023</v>
      </c>
      <c r="W466">
        <v>3</v>
      </c>
      <c r="X466" t="s">
        <v>9898</v>
      </c>
      <c r="Y466" t="s">
        <v>9900</v>
      </c>
      <c r="Z466" t="s">
        <v>9898</v>
      </c>
      <c r="AD466">
        <f t="shared" si="15"/>
        <v>5</v>
      </c>
    </row>
    <row r="467" spans="1:30" x14ac:dyDescent="0.25">
      <c r="A467" t="s">
        <v>491</v>
      </c>
      <c r="B467" s="2">
        <v>44793</v>
      </c>
      <c r="C467" s="2">
        <v>44799</v>
      </c>
      <c r="D467" t="s">
        <v>5335</v>
      </c>
      <c r="E467" t="s">
        <v>5835</v>
      </c>
      <c r="F467" t="s">
        <v>6026</v>
      </c>
      <c r="G467" t="s">
        <v>6030</v>
      </c>
      <c r="H467" t="s">
        <v>6038</v>
      </c>
      <c r="I467" t="s">
        <v>6047</v>
      </c>
      <c r="J467" t="s">
        <v>6053</v>
      </c>
      <c r="K467" t="s">
        <v>6058</v>
      </c>
      <c r="L467" t="s">
        <v>6517</v>
      </c>
      <c r="M467">
        <v>1738.21</v>
      </c>
      <c r="N467">
        <v>3</v>
      </c>
      <c r="O467">
        <v>0.09</v>
      </c>
      <c r="P467">
        <v>198.4</v>
      </c>
      <c r="Q467" t="s">
        <v>9894</v>
      </c>
      <c r="R467">
        <v>6</v>
      </c>
      <c r="S467" s="5">
        <f t="shared" si="14"/>
        <v>0.11414040881136342</v>
      </c>
      <c r="T467">
        <v>579.40333333333331</v>
      </c>
      <c r="U467">
        <v>8</v>
      </c>
      <c r="V467">
        <v>2022</v>
      </c>
      <c r="W467">
        <v>3</v>
      </c>
      <c r="X467" t="s">
        <v>9899</v>
      </c>
      <c r="Y467" t="s">
        <v>9901</v>
      </c>
      <c r="Z467" t="s">
        <v>9898</v>
      </c>
      <c r="AD467">
        <f t="shared" si="15"/>
        <v>6</v>
      </c>
    </row>
    <row r="468" spans="1:30" x14ac:dyDescent="0.25">
      <c r="A468" t="s">
        <v>492</v>
      </c>
      <c r="B468" s="2">
        <v>45029</v>
      </c>
      <c r="C468" s="2">
        <v>45033</v>
      </c>
      <c r="D468" t="s">
        <v>5162</v>
      </c>
      <c r="E468" t="s">
        <v>5662</v>
      </c>
      <c r="F468" t="s">
        <v>6028</v>
      </c>
      <c r="G468" t="s">
        <v>6031</v>
      </c>
      <c r="H468" t="s">
        <v>6037</v>
      </c>
      <c r="I468" t="s">
        <v>6050</v>
      </c>
      <c r="J468" t="s">
        <v>6053</v>
      </c>
      <c r="K468" t="s">
        <v>6057</v>
      </c>
      <c r="L468" t="s">
        <v>6518</v>
      </c>
      <c r="M468">
        <v>723.35</v>
      </c>
      <c r="N468">
        <v>8</v>
      </c>
      <c r="O468">
        <v>7.0000000000000007E-2</v>
      </c>
      <c r="P468">
        <v>69.260000000000005</v>
      </c>
      <c r="Q468" t="s">
        <v>9893</v>
      </c>
      <c r="R468">
        <v>4</v>
      </c>
      <c r="S468" s="5">
        <f t="shared" si="14"/>
        <v>9.5748945876823116E-2</v>
      </c>
      <c r="T468">
        <v>90.418750000000003</v>
      </c>
      <c r="U468">
        <v>4</v>
      </c>
      <c r="V468">
        <v>2023</v>
      </c>
      <c r="W468">
        <v>2</v>
      </c>
      <c r="X468" t="s">
        <v>9899</v>
      </c>
      <c r="Y468" t="s">
        <v>9901</v>
      </c>
      <c r="Z468" t="s">
        <v>9899</v>
      </c>
      <c r="AD468">
        <f t="shared" si="15"/>
        <v>4</v>
      </c>
    </row>
    <row r="469" spans="1:30" x14ac:dyDescent="0.25">
      <c r="A469" t="s">
        <v>493</v>
      </c>
      <c r="B469" s="2">
        <v>45206</v>
      </c>
      <c r="C469" s="2">
        <v>45209</v>
      </c>
      <c r="D469" t="s">
        <v>5149</v>
      </c>
      <c r="E469" t="s">
        <v>5649</v>
      </c>
      <c r="F469" t="s">
        <v>6028</v>
      </c>
      <c r="G469" t="s">
        <v>6031</v>
      </c>
      <c r="H469" t="s">
        <v>6043</v>
      </c>
      <c r="I469" t="s">
        <v>6048</v>
      </c>
      <c r="J469" t="s">
        <v>6055</v>
      </c>
      <c r="K469" t="s">
        <v>6063</v>
      </c>
      <c r="L469" t="s">
        <v>6519</v>
      </c>
      <c r="M469">
        <v>1829.52</v>
      </c>
      <c r="N469">
        <v>4</v>
      </c>
      <c r="O469">
        <v>0.24</v>
      </c>
      <c r="P469">
        <v>-183.1</v>
      </c>
      <c r="Q469" t="s">
        <v>9893</v>
      </c>
      <c r="R469">
        <v>3</v>
      </c>
      <c r="S469" s="5">
        <f t="shared" si="14"/>
        <v>-0.10008089553544099</v>
      </c>
      <c r="T469">
        <v>457.38</v>
      </c>
      <c r="U469">
        <v>10</v>
      </c>
      <c r="V469">
        <v>2023</v>
      </c>
      <c r="W469">
        <v>4</v>
      </c>
      <c r="X469" t="s">
        <v>9898</v>
      </c>
      <c r="Y469" t="s">
        <v>9900</v>
      </c>
      <c r="Z469" t="s">
        <v>9898</v>
      </c>
      <c r="AD469">
        <f t="shared" si="15"/>
        <v>3</v>
      </c>
    </row>
    <row r="470" spans="1:30" x14ac:dyDescent="0.25">
      <c r="A470" t="s">
        <v>494</v>
      </c>
      <c r="B470" s="2">
        <v>45236</v>
      </c>
      <c r="C470" s="2">
        <v>45240</v>
      </c>
      <c r="D470" t="s">
        <v>5322</v>
      </c>
      <c r="E470" t="s">
        <v>5822</v>
      </c>
      <c r="F470" t="s">
        <v>6027</v>
      </c>
      <c r="G470" t="s">
        <v>6031</v>
      </c>
      <c r="H470" t="s">
        <v>6037</v>
      </c>
      <c r="I470" t="s">
        <v>6052</v>
      </c>
      <c r="J470" t="s">
        <v>6054</v>
      </c>
      <c r="K470" t="s">
        <v>6062</v>
      </c>
      <c r="L470" t="s">
        <v>6520</v>
      </c>
      <c r="M470">
        <v>1610.3</v>
      </c>
      <c r="N470">
        <v>3</v>
      </c>
      <c r="O470">
        <v>0.06</v>
      </c>
      <c r="P470">
        <v>294.54000000000002</v>
      </c>
      <c r="Q470" t="s">
        <v>9894</v>
      </c>
      <c r="R470">
        <v>4</v>
      </c>
      <c r="S470" s="5">
        <f t="shared" si="14"/>
        <v>0.18291001676706206</v>
      </c>
      <c r="T470">
        <v>536.76666666666665</v>
      </c>
      <c r="U470">
        <v>11</v>
      </c>
      <c r="V470">
        <v>2023</v>
      </c>
      <c r="W470">
        <v>4</v>
      </c>
      <c r="X470" t="s">
        <v>9899</v>
      </c>
      <c r="Y470" t="s">
        <v>9901</v>
      </c>
      <c r="Z470" t="s">
        <v>9898</v>
      </c>
      <c r="AD470">
        <f t="shared" si="15"/>
        <v>4</v>
      </c>
    </row>
    <row r="471" spans="1:30" x14ac:dyDescent="0.25">
      <c r="A471" t="s">
        <v>495</v>
      </c>
      <c r="B471" s="2">
        <v>44929</v>
      </c>
      <c r="C471" s="2">
        <v>44932</v>
      </c>
      <c r="D471" t="s">
        <v>5336</v>
      </c>
      <c r="E471" t="s">
        <v>5836</v>
      </c>
      <c r="F471" t="s">
        <v>6028</v>
      </c>
      <c r="G471" t="s">
        <v>6029</v>
      </c>
      <c r="H471" t="s">
        <v>6036</v>
      </c>
      <c r="I471" t="s">
        <v>6050</v>
      </c>
      <c r="J471" t="s">
        <v>6053</v>
      </c>
      <c r="K471" t="s">
        <v>6058</v>
      </c>
      <c r="L471" t="s">
        <v>6521</v>
      </c>
      <c r="M471">
        <v>566.03</v>
      </c>
      <c r="N471">
        <v>3</v>
      </c>
      <c r="O471">
        <v>0.1</v>
      </c>
      <c r="P471">
        <v>90.48</v>
      </c>
      <c r="Q471" t="s">
        <v>9895</v>
      </c>
      <c r="R471">
        <v>3</v>
      </c>
      <c r="S471" s="5">
        <f t="shared" si="14"/>
        <v>0.15985018461918982</v>
      </c>
      <c r="T471">
        <v>188.67666666666659</v>
      </c>
      <c r="U471">
        <v>1</v>
      </c>
      <c r="V471">
        <v>2023</v>
      </c>
      <c r="W471">
        <v>1</v>
      </c>
      <c r="X471" t="s">
        <v>9899</v>
      </c>
      <c r="Y471" t="s">
        <v>9901</v>
      </c>
      <c r="Z471" t="s">
        <v>9899</v>
      </c>
      <c r="AD471">
        <f t="shared" si="15"/>
        <v>3</v>
      </c>
    </row>
    <row r="472" spans="1:30" x14ac:dyDescent="0.25">
      <c r="A472" t="s">
        <v>496</v>
      </c>
      <c r="B472" s="2">
        <v>44969</v>
      </c>
      <c r="C472" s="2">
        <v>44973</v>
      </c>
      <c r="D472" t="s">
        <v>5104</v>
      </c>
      <c r="E472" t="s">
        <v>5604</v>
      </c>
      <c r="F472" t="s">
        <v>6027</v>
      </c>
      <c r="G472" t="s">
        <v>6029</v>
      </c>
      <c r="H472" t="s">
        <v>6044</v>
      </c>
      <c r="I472" t="s">
        <v>6050</v>
      </c>
      <c r="J472" t="s">
        <v>6054</v>
      </c>
      <c r="K472" t="s">
        <v>6060</v>
      </c>
      <c r="L472" t="s">
        <v>6522</v>
      </c>
      <c r="M472">
        <v>1685.11</v>
      </c>
      <c r="N472">
        <v>2</v>
      </c>
      <c r="O472">
        <v>0.31</v>
      </c>
      <c r="P472">
        <v>-61.89</v>
      </c>
      <c r="Q472" t="s">
        <v>9897</v>
      </c>
      <c r="R472">
        <v>4</v>
      </c>
      <c r="S472" s="5">
        <f t="shared" si="14"/>
        <v>-3.6727572680715206E-2</v>
      </c>
      <c r="T472">
        <v>842.55499999999995</v>
      </c>
      <c r="U472">
        <v>2</v>
      </c>
      <c r="V472">
        <v>2023</v>
      </c>
      <c r="W472">
        <v>1</v>
      </c>
      <c r="X472" t="s">
        <v>9898</v>
      </c>
      <c r="Y472" t="s">
        <v>9902</v>
      </c>
      <c r="Z472" t="s">
        <v>9898</v>
      </c>
      <c r="AD472">
        <f t="shared" si="15"/>
        <v>4</v>
      </c>
    </row>
    <row r="473" spans="1:30" x14ac:dyDescent="0.25">
      <c r="A473" t="s">
        <v>497</v>
      </c>
      <c r="B473" s="2">
        <v>45066</v>
      </c>
      <c r="C473" s="2">
        <v>45068</v>
      </c>
      <c r="D473" t="s">
        <v>5337</v>
      </c>
      <c r="E473" t="s">
        <v>5837</v>
      </c>
      <c r="F473" t="s">
        <v>6026</v>
      </c>
      <c r="G473" t="s">
        <v>6029</v>
      </c>
      <c r="H473" t="s">
        <v>6044</v>
      </c>
      <c r="I473" t="s">
        <v>6049</v>
      </c>
      <c r="J473" t="s">
        <v>6055</v>
      </c>
      <c r="K473" t="s">
        <v>6063</v>
      </c>
      <c r="L473" t="s">
        <v>6523</v>
      </c>
      <c r="M473">
        <v>1938.65</v>
      </c>
      <c r="N473">
        <v>3</v>
      </c>
      <c r="O473">
        <v>0.26</v>
      </c>
      <c r="P473">
        <v>-287.31</v>
      </c>
      <c r="Q473" t="s">
        <v>9894</v>
      </c>
      <c r="R473">
        <v>2</v>
      </c>
      <c r="S473" s="5">
        <f t="shared" si="14"/>
        <v>-0.1482010677533335</v>
      </c>
      <c r="T473">
        <v>646.2166666666667</v>
      </c>
      <c r="U473">
        <v>5</v>
      </c>
      <c r="V473">
        <v>2023</v>
      </c>
      <c r="W473">
        <v>2</v>
      </c>
      <c r="X473" t="s">
        <v>9898</v>
      </c>
      <c r="Y473" t="s">
        <v>9900</v>
      </c>
      <c r="Z473" t="s">
        <v>9898</v>
      </c>
      <c r="AD473">
        <f t="shared" si="15"/>
        <v>2</v>
      </c>
    </row>
    <row r="474" spans="1:30" x14ac:dyDescent="0.25">
      <c r="A474" t="s">
        <v>498</v>
      </c>
      <c r="B474" s="2">
        <v>45024</v>
      </c>
      <c r="C474" s="2">
        <v>45029</v>
      </c>
      <c r="D474" t="s">
        <v>5237</v>
      </c>
      <c r="E474" t="s">
        <v>5737</v>
      </c>
      <c r="F474" t="s">
        <v>6028</v>
      </c>
      <c r="G474" t="s">
        <v>6029</v>
      </c>
      <c r="H474" t="s">
        <v>6032</v>
      </c>
      <c r="I474" t="s">
        <v>6049</v>
      </c>
      <c r="J474" t="s">
        <v>6053</v>
      </c>
      <c r="K474" t="s">
        <v>6056</v>
      </c>
      <c r="L474" t="s">
        <v>6524</v>
      </c>
      <c r="M474">
        <v>1730.55</v>
      </c>
      <c r="N474">
        <v>3</v>
      </c>
      <c r="O474">
        <v>0.04</v>
      </c>
      <c r="P474">
        <v>228.12</v>
      </c>
      <c r="Q474" t="s">
        <v>9893</v>
      </c>
      <c r="R474">
        <v>5</v>
      </c>
      <c r="S474" s="5">
        <f t="shared" si="14"/>
        <v>0.13181936378607959</v>
      </c>
      <c r="T474">
        <v>576.85</v>
      </c>
      <c r="U474">
        <v>4</v>
      </c>
      <c r="V474">
        <v>2023</v>
      </c>
      <c r="W474">
        <v>2</v>
      </c>
      <c r="X474" t="s">
        <v>9899</v>
      </c>
      <c r="Y474" t="s">
        <v>9901</v>
      </c>
      <c r="Z474" t="s">
        <v>9898</v>
      </c>
      <c r="AD474">
        <f t="shared" si="15"/>
        <v>5</v>
      </c>
    </row>
    <row r="475" spans="1:30" x14ac:dyDescent="0.25">
      <c r="A475" t="s">
        <v>499</v>
      </c>
      <c r="B475" s="2">
        <v>44669</v>
      </c>
      <c r="C475" s="2">
        <v>44673</v>
      </c>
      <c r="D475" t="s">
        <v>5338</v>
      </c>
      <c r="E475" t="s">
        <v>5838</v>
      </c>
      <c r="F475" t="s">
        <v>6027</v>
      </c>
      <c r="G475" t="s">
        <v>6030</v>
      </c>
      <c r="H475" t="s">
        <v>6033</v>
      </c>
      <c r="I475" t="s">
        <v>6047</v>
      </c>
      <c r="J475" t="s">
        <v>6055</v>
      </c>
      <c r="K475" t="s">
        <v>6064</v>
      </c>
      <c r="L475" t="s">
        <v>6525</v>
      </c>
      <c r="M475">
        <v>476.48</v>
      </c>
      <c r="N475">
        <v>5</v>
      </c>
      <c r="O475">
        <v>0.33</v>
      </c>
      <c r="P475">
        <v>-54.49</v>
      </c>
      <c r="Q475" t="s">
        <v>9896</v>
      </c>
      <c r="R475">
        <v>4</v>
      </c>
      <c r="S475" s="5">
        <f t="shared" si="14"/>
        <v>-0.11435946944257891</v>
      </c>
      <c r="T475">
        <v>95.296000000000006</v>
      </c>
      <c r="U475">
        <v>4</v>
      </c>
      <c r="V475">
        <v>2022</v>
      </c>
      <c r="W475">
        <v>2</v>
      </c>
      <c r="X475" t="s">
        <v>9898</v>
      </c>
      <c r="Y475" t="s">
        <v>9902</v>
      </c>
      <c r="Z475" t="s">
        <v>9899</v>
      </c>
      <c r="AD475">
        <f t="shared" si="15"/>
        <v>4</v>
      </c>
    </row>
    <row r="476" spans="1:30" x14ac:dyDescent="0.25">
      <c r="A476" t="s">
        <v>500</v>
      </c>
      <c r="B476" s="2">
        <v>44822</v>
      </c>
      <c r="C476" s="2">
        <v>44823</v>
      </c>
      <c r="D476" t="s">
        <v>5291</v>
      </c>
      <c r="E476" t="s">
        <v>5791</v>
      </c>
      <c r="F476" t="s">
        <v>6027</v>
      </c>
      <c r="G476" t="s">
        <v>6029</v>
      </c>
      <c r="H476" t="s">
        <v>6036</v>
      </c>
      <c r="I476" t="s">
        <v>6049</v>
      </c>
      <c r="J476" t="s">
        <v>6055</v>
      </c>
      <c r="K476" t="s">
        <v>6061</v>
      </c>
      <c r="L476" t="s">
        <v>6526</v>
      </c>
      <c r="M476">
        <v>1063.55</v>
      </c>
      <c r="N476">
        <v>2</v>
      </c>
      <c r="O476">
        <v>0.28000000000000003</v>
      </c>
      <c r="P476">
        <v>-160.15</v>
      </c>
      <c r="Q476" t="s">
        <v>9895</v>
      </c>
      <c r="R476">
        <v>1</v>
      </c>
      <c r="S476" s="5">
        <f t="shared" si="14"/>
        <v>-0.15058060269850973</v>
      </c>
      <c r="T476">
        <v>531.77499999999998</v>
      </c>
      <c r="U476">
        <v>9</v>
      </c>
      <c r="V476">
        <v>2022</v>
      </c>
      <c r="W476">
        <v>3</v>
      </c>
      <c r="X476" t="s">
        <v>9898</v>
      </c>
      <c r="Y476" t="s">
        <v>9900</v>
      </c>
      <c r="Z476" t="s">
        <v>9898</v>
      </c>
      <c r="AD476">
        <f t="shared" si="15"/>
        <v>1</v>
      </c>
    </row>
    <row r="477" spans="1:30" x14ac:dyDescent="0.25">
      <c r="A477" t="s">
        <v>501</v>
      </c>
      <c r="B477" s="2">
        <v>44877</v>
      </c>
      <c r="C477" s="2">
        <v>44879</v>
      </c>
      <c r="D477" t="s">
        <v>5063</v>
      </c>
      <c r="E477" t="s">
        <v>5563</v>
      </c>
      <c r="F477" t="s">
        <v>6028</v>
      </c>
      <c r="G477" t="s">
        <v>6030</v>
      </c>
      <c r="H477" t="s">
        <v>6033</v>
      </c>
      <c r="I477" t="s">
        <v>6051</v>
      </c>
      <c r="J477" t="s">
        <v>6055</v>
      </c>
      <c r="K477" t="s">
        <v>6061</v>
      </c>
      <c r="L477" t="s">
        <v>6527</v>
      </c>
      <c r="M477">
        <v>277.19</v>
      </c>
      <c r="N477">
        <v>4</v>
      </c>
      <c r="O477">
        <v>0.16</v>
      </c>
      <c r="P477">
        <v>-7.44</v>
      </c>
      <c r="Q477" t="s">
        <v>9895</v>
      </c>
      <c r="R477">
        <v>2</v>
      </c>
      <c r="S477" s="5">
        <f t="shared" si="14"/>
        <v>-2.6840795122479166E-2</v>
      </c>
      <c r="T477">
        <v>69.297499999999999</v>
      </c>
      <c r="U477">
        <v>11</v>
      </c>
      <c r="V477">
        <v>2022</v>
      </c>
      <c r="W477">
        <v>4</v>
      </c>
      <c r="X477" t="s">
        <v>9898</v>
      </c>
      <c r="Y477" t="s">
        <v>9900</v>
      </c>
      <c r="Z477" t="s">
        <v>9899</v>
      </c>
      <c r="AD477">
        <f t="shared" si="15"/>
        <v>2</v>
      </c>
    </row>
    <row r="478" spans="1:30" x14ac:dyDescent="0.25">
      <c r="A478" t="s">
        <v>502</v>
      </c>
      <c r="B478" s="2">
        <v>44993</v>
      </c>
      <c r="C478" s="2">
        <v>44997</v>
      </c>
      <c r="D478" t="s">
        <v>5339</v>
      </c>
      <c r="E478" t="s">
        <v>5839</v>
      </c>
      <c r="F478" t="s">
        <v>6028</v>
      </c>
      <c r="G478" t="s">
        <v>6030</v>
      </c>
      <c r="H478" t="s">
        <v>6038</v>
      </c>
      <c r="I478" t="s">
        <v>6047</v>
      </c>
      <c r="J478" t="s">
        <v>6055</v>
      </c>
      <c r="K478" t="s">
        <v>6064</v>
      </c>
      <c r="L478" t="s">
        <v>6528</v>
      </c>
      <c r="M478">
        <v>1966.15</v>
      </c>
      <c r="N478">
        <v>5</v>
      </c>
      <c r="O478">
        <v>0.11</v>
      </c>
      <c r="P478">
        <v>-14.12</v>
      </c>
      <c r="Q478" t="s">
        <v>9897</v>
      </c>
      <c r="R478">
        <v>4</v>
      </c>
      <c r="S478" s="5">
        <f t="shared" si="14"/>
        <v>-7.181547694733361E-3</v>
      </c>
      <c r="T478">
        <v>393.23</v>
      </c>
      <c r="U478">
        <v>3</v>
      </c>
      <c r="V478">
        <v>2023</v>
      </c>
      <c r="W478">
        <v>1</v>
      </c>
      <c r="X478" t="s">
        <v>9898</v>
      </c>
      <c r="Y478" t="s">
        <v>9901</v>
      </c>
      <c r="Z478" t="s">
        <v>9898</v>
      </c>
      <c r="AD478">
        <f t="shared" si="15"/>
        <v>4</v>
      </c>
    </row>
    <row r="479" spans="1:30" x14ac:dyDescent="0.25">
      <c r="A479" t="s">
        <v>503</v>
      </c>
      <c r="B479" s="2">
        <v>44582</v>
      </c>
      <c r="C479" s="2">
        <v>44584</v>
      </c>
      <c r="D479" t="s">
        <v>5334</v>
      </c>
      <c r="E479" t="s">
        <v>5834</v>
      </c>
      <c r="F479" t="s">
        <v>6028</v>
      </c>
      <c r="G479" t="s">
        <v>6029</v>
      </c>
      <c r="H479" t="s">
        <v>6036</v>
      </c>
      <c r="I479" t="s">
        <v>6046</v>
      </c>
      <c r="J479" t="s">
        <v>6053</v>
      </c>
      <c r="K479" t="s">
        <v>6058</v>
      </c>
      <c r="L479" t="s">
        <v>6529</v>
      </c>
      <c r="M479">
        <v>121.3</v>
      </c>
      <c r="N479">
        <v>3</v>
      </c>
      <c r="O479">
        <v>0.13</v>
      </c>
      <c r="P479">
        <v>0.15</v>
      </c>
      <c r="Q479" t="s">
        <v>9896</v>
      </c>
      <c r="R479">
        <v>2</v>
      </c>
      <c r="S479" s="5">
        <f t="shared" si="14"/>
        <v>1.2366034624896949E-3</v>
      </c>
      <c r="T479">
        <v>40.43333333333333</v>
      </c>
      <c r="U479">
        <v>1</v>
      </c>
      <c r="V479">
        <v>2022</v>
      </c>
      <c r="W479">
        <v>1</v>
      </c>
      <c r="X479" t="s">
        <v>9899</v>
      </c>
      <c r="Y479" t="s">
        <v>9901</v>
      </c>
      <c r="Z479" t="s">
        <v>9899</v>
      </c>
      <c r="AD479">
        <f t="shared" si="15"/>
        <v>2</v>
      </c>
    </row>
    <row r="480" spans="1:30" x14ac:dyDescent="0.25">
      <c r="A480" t="s">
        <v>504</v>
      </c>
      <c r="B480" s="2">
        <v>44574</v>
      </c>
      <c r="C480" s="2">
        <v>44575</v>
      </c>
      <c r="D480" t="s">
        <v>5123</v>
      </c>
      <c r="E480" t="s">
        <v>5623</v>
      </c>
      <c r="F480" t="s">
        <v>6027</v>
      </c>
      <c r="G480" t="s">
        <v>6029</v>
      </c>
      <c r="H480" t="s">
        <v>6036</v>
      </c>
      <c r="I480" t="s">
        <v>6049</v>
      </c>
      <c r="J480" t="s">
        <v>6053</v>
      </c>
      <c r="K480" t="s">
        <v>6057</v>
      </c>
      <c r="L480" t="s">
        <v>6530</v>
      </c>
      <c r="M480">
        <v>1402.36</v>
      </c>
      <c r="N480">
        <v>8</v>
      </c>
      <c r="O480">
        <v>0.04</v>
      </c>
      <c r="P480">
        <v>241.56</v>
      </c>
      <c r="Q480" t="s">
        <v>9897</v>
      </c>
      <c r="R480">
        <v>1</v>
      </c>
      <c r="S480" s="5">
        <f t="shared" si="14"/>
        <v>0.17225248866196985</v>
      </c>
      <c r="T480">
        <v>175.29499999999999</v>
      </c>
      <c r="U480">
        <v>1</v>
      </c>
      <c r="V480">
        <v>2022</v>
      </c>
      <c r="W480">
        <v>1</v>
      </c>
      <c r="X480" t="s">
        <v>9899</v>
      </c>
      <c r="Y480" t="s">
        <v>9901</v>
      </c>
      <c r="Z480" t="s">
        <v>9898</v>
      </c>
      <c r="AD480">
        <f t="shared" si="15"/>
        <v>1</v>
      </c>
    </row>
    <row r="481" spans="1:30" x14ac:dyDescent="0.25">
      <c r="A481" t="s">
        <v>505</v>
      </c>
      <c r="B481" s="2">
        <v>44787</v>
      </c>
      <c r="C481" s="2">
        <v>44788</v>
      </c>
      <c r="D481" t="s">
        <v>5331</v>
      </c>
      <c r="E481" t="s">
        <v>5831</v>
      </c>
      <c r="F481" t="s">
        <v>6027</v>
      </c>
      <c r="G481" t="s">
        <v>6029</v>
      </c>
      <c r="H481" t="s">
        <v>6041</v>
      </c>
      <c r="I481" t="s">
        <v>6046</v>
      </c>
      <c r="J481" t="s">
        <v>6055</v>
      </c>
      <c r="K481" t="s">
        <v>6064</v>
      </c>
      <c r="L481" t="s">
        <v>6531</v>
      </c>
      <c r="M481">
        <v>687.95</v>
      </c>
      <c r="N481">
        <v>6</v>
      </c>
      <c r="O481">
        <v>0.06</v>
      </c>
      <c r="P481">
        <v>42.38</v>
      </c>
      <c r="Q481" t="s">
        <v>9897</v>
      </c>
      <c r="R481">
        <v>1</v>
      </c>
      <c r="S481" s="5">
        <f t="shared" si="14"/>
        <v>6.1603314194345518E-2</v>
      </c>
      <c r="T481">
        <v>114.6583333333333</v>
      </c>
      <c r="U481">
        <v>8</v>
      </c>
      <c r="V481">
        <v>2022</v>
      </c>
      <c r="W481">
        <v>3</v>
      </c>
      <c r="X481" t="s">
        <v>9899</v>
      </c>
      <c r="Y481" t="s">
        <v>9901</v>
      </c>
      <c r="Z481" t="s">
        <v>9899</v>
      </c>
      <c r="AD481">
        <f t="shared" si="15"/>
        <v>1</v>
      </c>
    </row>
    <row r="482" spans="1:30" x14ac:dyDescent="0.25">
      <c r="A482" t="s">
        <v>506</v>
      </c>
      <c r="B482" s="2">
        <v>45061</v>
      </c>
      <c r="C482" s="2">
        <v>45068</v>
      </c>
      <c r="D482" t="s">
        <v>5340</v>
      </c>
      <c r="E482" t="s">
        <v>5840</v>
      </c>
      <c r="F482" t="s">
        <v>6026</v>
      </c>
      <c r="G482" t="s">
        <v>6031</v>
      </c>
      <c r="H482" t="s">
        <v>6040</v>
      </c>
      <c r="I482" t="s">
        <v>6050</v>
      </c>
      <c r="J482" t="s">
        <v>6053</v>
      </c>
      <c r="K482" t="s">
        <v>6057</v>
      </c>
      <c r="L482" t="s">
        <v>6532</v>
      </c>
      <c r="M482">
        <v>1822.43</v>
      </c>
      <c r="N482">
        <v>2</v>
      </c>
      <c r="O482">
        <v>0.27</v>
      </c>
      <c r="P482">
        <v>-27.6</v>
      </c>
      <c r="Q482" t="s">
        <v>9894</v>
      </c>
      <c r="R482">
        <v>7</v>
      </c>
      <c r="S482" s="5">
        <f t="shared" si="14"/>
        <v>-1.5144614607968482E-2</v>
      </c>
      <c r="T482">
        <v>911.21500000000003</v>
      </c>
      <c r="U482">
        <v>5</v>
      </c>
      <c r="V482">
        <v>2023</v>
      </c>
      <c r="W482">
        <v>2</v>
      </c>
      <c r="X482" t="s">
        <v>9898</v>
      </c>
      <c r="Y482" t="s">
        <v>9900</v>
      </c>
      <c r="Z482" t="s">
        <v>9898</v>
      </c>
      <c r="AD482">
        <f t="shared" si="15"/>
        <v>7</v>
      </c>
    </row>
    <row r="483" spans="1:30" x14ac:dyDescent="0.25">
      <c r="A483" t="s">
        <v>507</v>
      </c>
      <c r="B483" s="2">
        <v>45216</v>
      </c>
      <c r="C483" s="2">
        <v>45219</v>
      </c>
      <c r="D483" t="s">
        <v>5217</v>
      </c>
      <c r="E483" t="s">
        <v>5717</v>
      </c>
      <c r="F483" t="s">
        <v>6026</v>
      </c>
      <c r="G483" t="s">
        <v>6030</v>
      </c>
      <c r="H483" t="s">
        <v>6035</v>
      </c>
      <c r="I483" t="s">
        <v>6051</v>
      </c>
      <c r="J483" t="s">
        <v>6053</v>
      </c>
      <c r="K483" t="s">
        <v>6057</v>
      </c>
      <c r="L483" t="s">
        <v>6533</v>
      </c>
      <c r="M483">
        <v>824.37</v>
      </c>
      <c r="N483">
        <v>6</v>
      </c>
      <c r="O483">
        <v>0.04</v>
      </c>
      <c r="P483">
        <v>177.74</v>
      </c>
      <c r="Q483" t="s">
        <v>9897</v>
      </c>
      <c r="R483">
        <v>3</v>
      </c>
      <c r="S483" s="5">
        <f t="shared" si="14"/>
        <v>0.21560706964105925</v>
      </c>
      <c r="T483">
        <v>137.39500000000001</v>
      </c>
      <c r="U483">
        <v>10</v>
      </c>
      <c r="V483">
        <v>2023</v>
      </c>
      <c r="W483">
        <v>4</v>
      </c>
      <c r="X483" t="s">
        <v>9899</v>
      </c>
      <c r="Y483" t="s">
        <v>9901</v>
      </c>
      <c r="Z483" t="s">
        <v>9899</v>
      </c>
      <c r="AD483">
        <f t="shared" si="15"/>
        <v>3</v>
      </c>
    </row>
    <row r="484" spans="1:30" x14ac:dyDescent="0.25">
      <c r="A484" t="s">
        <v>508</v>
      </c>
      <c r="B484" s="2">
        <v>44954</v>
      </c>
      <c r="C484" s="2">
        <v>44960</v>
      </c>
      <c r="D484" t="s">
        <v>5327</v>
      </c>
      <c r="E484" t="s">
        <v>5827</v>
      </c>
      <c r="F484" t="s">
        <v>6026</v>
      </c>
      <c r="G484" t="s">
        <v>6031</v>
      </c>
      <c r="H484" t="s">
        <v>6037</v>
      </c>
      <c r="I484" t="s">
        <v>6048</v>
      </c>
      <c r="J484" t="s">
        <v>6054</v>
      </c>
      <c r="K484" t="s">
        <v>6059</v>
      </c>
      <c r="L484" t="s">
        <v>6534</v>
      </c>
      <c r="M484">
        <v>751.46</v>
      </c>
      <c r="N484">
        <v>1</v>
      </c>
      <c r="O484">
        <v>0.08</v>
      </c>
      <c r="P484">
        <v>148.12</v>
      </c>
      <c r="Q484" t="s">
        <v>9896</v>
      </c>
      <c r="R484">
        <v>6</v>
      </c>
      <c r="S484" s="5">
        <f t="shared" si="14"/>
        <v>0.19710962659356451</v>
      </c>
      <c r="T484">
        <v>751.46</v>
      </c>
      <c r="U484">
        <v>1</v>
      </c>
      <c r="V484">
        <v>2023</v>
      </c>
      <c r="W484">
        <v>1</v>
      </c>
      <c r="X484" t="s">
        <v>9899</v>
      </c>
      <c r="Y484" t="s">
        <v>9901</v>
      </c>
      <c r="Z484" t="s">
        <v>9899</v>
      </c>
      <c r="AD484">
        <f t="shared" si="15"/>
        <v>6</v>
      </c>
    </row>
    <row r="485" spans="1:30" x14ac:dyDescent="0.25">
      <c r="A485" t="s">
        <v>509</v>
      </c>
      <c r="B485" s="2">
        <v>44616</v>
      </c>
      <c r="C485" s="2">
        <v>44617</v>
      </c>
      <c r="D485" t="s">
        <v>5165</v>
      </c>
      <c r="E485" t="s">
        <v>5665</v>
      </c>
      <c r="F485" t="s">
        <v>6027</v>
      </c>
      <c r="G485" t="s">
        <v>6029</v>
      </c>
      <c r="H485" t="s">
        <v>6041</v>
      </c>
      <c r="I485" t="s">
        <v>6050</v>
      </c>
      <c r="J485" t="s">
        <v>6055</v>
      </c>
      <c r="K485" t="s">
        <v>6063</v>
      </c>
      <c r="L485" t="s">
        <v>6535</v>
      </c>
      <c r="M485">
        <v>1943.13</v>
      </c>
      <c r="N485">
        <v>3</v>
      </c>
      <c r="O485">
        <v>0.21</v>
      </c>
      <c r="P485">
        <v>-160.38</v>
      </c>
      <c r="Q485" t="s">
        <v>9893</v>
      </c>
      <c r="R485">
        <v>1</v>
      </c>
      <c r="S485" s="5">
        <f t="shared" si="14"/>
        <v>-8.2536937827113979E-2</v>
      </c>
      <c r="T485">
        <v>647.71</v>
      </c>
      <c r="U485">
        <v>2</v>
      </c>
      <c r="V485">
        <v>2022</v>
      </c>
      <c r="W485">
        <v>1</v>
      </c>
      <c r="X485" t="s">
        <v>9898</v>
      </c>
      <c r="Y485" t="s">
        <v>9900</v>
      </c>
      <c r="Z485" t="s">
        <v>9898</v>
      </c>
      <c r="AD485">
        <f t="shared" si="15"/>
        <v>1</v>
      </c>
    </row>
    <row r="486" spans="1:30" x14ac:dyDescent="0.25">
      <c r="A486" t="s">
        <v>510</v>
      </c>
      <c r="B486" s="2">
        <v>45064</v>
      </c>
      <c r="C486" s="2">
        <v>45066</v>
      </c>
      <c r="D486" t="s">
        <v>5193</v>
      </c>
      <c r="E486" t="s">
        <v>5693</v>
      </c>
      <c r="F486" t="s">
        <v>6027</v>
      </c>
      <c r="G486" t="s">
        <v>6031</v>
      </c>
      <c r="H486" t="s">
        <v>6043</v>
      </c>
      <c r="I486" t="s">
        <v>6052</v>
      </c>
      <c r="J486" t="s">
        <v>6055</v>
      </c>
      <c r="K486" t="s">
        <v>6063</v>
      </c>
      <c r="L486" t="s">
        <v>6536</v>
      </c>
      <c r="M486">
        <v>912.75</v>
      </c>
      <c r="N486">
        <v>4</v>
      </c>
      <c r="O486">
        <v>0.31</v>
      </c>
      <c r="P486">
        <v>-13.39</v>
      </c>
      <c r="Q486" t="s">
        <v>9897</v>
      </c>
      <c r="R486">
        <v>2</v>
      </c>
      <c r="S486" s="5">
        <f t="shared" si="14"/>
        <v>-1.4669953437414408E-2</v>
      </c>
      <c r="T486">
        <v>228.1875</v>
      </c>
      <c r="U486">
        <v>5</v>
      </c>
      <c r="V486">
        <v>2023</v>
      </c>
      <c r="W486">
        <v>2</v>
      </c>
      <c r="X486" t="s">
        <v>9898</v>
      </c>
      <c r="Y486" t="s">
        <v>9902</v>
      </c>
      <c r="Z486" t="s">
        <v>9899</v>
      </c>
      <c r="AD486">
        <f t="shared" si="15"/>
        <v>2</v>
      </c>
    </row>
    <row r="487" spans="1:30" x14ac:dyDescent="0.25">
      <c r="A487" t="s">
        <v>511</v>
      </c>
      <c r="B487" s="2">
        <v>44704</v>
      </c>
      <c r="C487" s="2">
        <v>44707</v>
      </c>
      <c r="D487" t="s">
        <v>5341</v>
      </c>
      <c r="E487" t="s">
        <v>5841</v>
      </c>
      <c r="F487" t="s">
        <v>6026</v>
      </c>
      <c r="G487" t="s">
        <v>6029</v>
      </c>
      <c r="H487" t="s">
        <v>6032</v>
      </c>
      <c r="I487" t="s">
        <v>6046</v>
      </c>
      <c r="J487" t="s">
        <v>6053</v>
      </c>
      <c r="K487" t="s">
        <v>6057</v>
      </c>
      <c r="L487" t="s">
        <v>6217</v>
      </c>
      <c r="M487">
        <v>1023.12</v>
      </c>
      <c r="N487">
        <v>1</v>
      </c>
      <c r="O487">
        <v>0.12</v>
      </c>
      <c r="P487">
        <v>142.47</v>
      </c>
      <c r="Q487" t="s">
        <v>9896</v>
      </c>
      <c r="R487">
        <v>3</v>
      </c>
      <c r="S487" s="5">
        <f t="shared" si="14"/>
        <v>0.13925052779732583</v>
      </c>
      <c r="T487">
        <v>1023.12</v>
      </c>
      <c r="U487">
        <v>5</v>
      </c>
      <c r="V487">
        <v>2022</v>
      </c>
      <c r="W487">
        <v>2</v>
      </c>
      <c r="X487" t="s">
        <v>9899</v>
      </c>
      <c r="Y487" t="s">
        <v>9901</v>
      </c>
      <c r="Z487" t="s">
        <v>9898</v>
      </c>
      <c r="AD487">
        <f t="shared" si="15"/>
        <v>3</v>
      </c>
    </row>
    <row r="488" spans="1:30" x14ac:dyDescent="0.25">
      <c r="A488" t="s">
        <v>512</v>
      </c>
      <c r="B488" s="2">
        <v>44754</v>
      </c>
      <c r="C488" s="2">
        <v>44760</v>
      </c>
      <c r="D488" t="s">
        <v>5342</v>
      </c>
      <c r="E488" t="s">
        <v>5842</v>
      </c>
      <c r="F488" t="s">
        <v>6026</v>
      </c>
      <c r="G488" t="s">
        <v>6031</v>
      </c>
      <c r="H488" t="s">
        <v>6034</v>
      </c>
      <c r="I488" t="s">
        <v>6050</v>
      </c>
      <c r="J488" t="s">
        <v>6055</v>
      </c>
      <c r="K488" t="s">
        <v>6061</v>
      </c>
      <c r="L488" t="s">
        <v>6537</v>
      </c>
      <c r="M488">
        <v>1840.16</v>
      </c>
      <c r="N488">
        <v>6</v>
      </c>
      <c r="O488">
        <v>0.19</v>
      </c>
      <c r="P488">
        <v>-23.13</v>
      </c>
      <c r="Q488" t="s">
        <v>9896</v>
      </c>
      <c r="R488">
        <v>6</v>
      </c>
      <c r="S488" s="5">
        <f t="shared" si="14"/>
        <v>-1.2569559168767933E-2</v>
      </c>
      <c r="T488">
        <v>306.69333333333333</v>
      </c>
      <c r="U488">
        <v>7</v>
      </c>
      <c r="V488">
        <v>2022</v>
      </c>
      <c r="W488">
        <v>3</v>
      </c>
      <c r="X488" t="s">
        <v>9898</v>
      </c>
      <c r="Y488" t="s">
        <v>9900</v>
      </c>
      <c r="Z488" t="s">
        <v>9898</v>
      </c>
      <c r="AD488">
        <f t="shared" si="15"/>
        <v>6</v>
      </c>
    </row>
    <row r="489" spans="1:30" x14ac:dyDescent="0.25">
      <c r="A489" t="s">
        <v>513</v>
      </c>
      <c r="B489" s="2">
        <v>45074</v>
      </c>
      <c r="C489" s="2">
        <v>45077</v>
      </c>
      <c r="D489" t="s">
        <v>5159</v>
      </c>
      <c r="E489" t="s">
        <v>5659</v>
      </c>
      <c r="F489" t="s">
        <v>6028</v>
      </c>
      <c r="G489" t="s">
        <v>6029</v>
      </c>
      <c r="H489" t="s">
        <v>6044</v>
      </c>
      <c r="I489" t="s">
        <v>6049</v>
      </c>
      <c r="J489" t="s">
        <v>6055</v>
      </c>
      <c r="K489" t="s">
        <v>6063</v>
      </c>
      <c r="L489" t="s">
        <v>6538</v>
      </c>
      <c r="M489">
        <v>451.4</v>
      </c>
      <c r="N489">
        <v>2</v>
      </c>
      <c r="O489">
        <v>0.09</v>
      </c>
      <c r="P489">
        <v>12.38</v>
      </c>
      <c r="Q489" t="s">
        <v>9894</v>
      </c>
      <c r="R489">
        <v>3</v>
      </c>
      <c r="S489" s="5">
        <f t="shared" si="14"/>
        <v>2.7425786442179887E-2</v>
      </c>
      <c r="T489">
        <v>225.7</v>
      </c>
      <c r="U489">
        <v>5</v>
      </c>
      <c r="V489">
        <v>2023</v>
      </c>
      <c r="W489">
        <v>2</v>
      </c>
      <c r="X489" t="s">
        <v>9899</v>
      </c>
      <c r="Y489" t="s">
        <v>9901</v>
      </c>
      <c r="Z489" t="s">
        <v>9899</v>
      </c>
      <c r="AD489">
        <f t="shared" si="15"/>
        <v>3</v>
      </c>
    </row>
    <row r="490" spans="1:30" x14ac:dyDescent="0.25">
      <c r="A490" t="s">
        <v>514</v>
      </c>
      <c r="B490" s="2">
        <v>45019</v>
      </c>
      <c r="C490" s="2">
        <v>45024</v>
      </c>
      <c r="D490" t="s">
        <v>5162</v>
      </c>
      <c r="E490" t="s">
        <v>5662</v>
      </c>
      <c r="F490" t="s">
        <v>6026</v>
      </c>
      <c r="G490" t="s">
        <v>6030</v>
      </c>
      <c r="H490" t="s">
        <v>6033</v>
      </c>
      <c r="I490" t="s">
        <v>6051</v>
      </c>
      <c r="J490" t="s">
        <v>6054</v>
      </c>
      <c r="K490" t="s">
        <v>6059</v>
      </c>
      <c r="L490" t="s">
        <v>6539</v>
      </c>
      <c r="M490">
        <v>1819.35</v>
      </c>
      <c r="N490">
        <v>7</v>
      </c>
      <c r="O490">
        <v>0.2</v>
      </c>
      <c r="P490">
        <v>62.2</v>
      </c>
      <c r="Q490" t="s">
        <v>9893</v>
      </c>
      <c r="R490">
        <v>5</v>
      </c>
      <c r="S490" s="5">
        <f t="shared" si="14"/>
        <v>3.4188034188034191E-2</v>
      </c>
      <c r="T490">
        <v>259.90714285714279</v>
      </c>
      <c r="U490">
        <v>4</v>
      </c>
      <c r="V490">
        <v>2023</v>
      </c>
      <c r="W490">
        <v>2</v>
      </c>
      <c r="X490" t="s">
        <v>9899</v>
      </c>
      <c r="Y490" t="s">
        <v>9900</v>
      </c>
      <c r="Z490" t="s">
        <v>9898</v>
      </c>
      <c r="AD490">
        <f t="shared" si="15"/>
        <v>5</v>
      </c>
    </row>
    <row r="491" spans="1:30" x14ac:dyDescent="0.25">
      <c r="A491" t="s">
        <v>515</v>
      </c>
      <c r="B491" s="2">
        <v>45153</v>
      </c>
      <c r="C491" s="2">
        <v>45158</v>
      </c>
      <c r="D491" t="s">
        <v>5057</v>
      </c>
      <c r="E491" t="s">
        <v>5557</v>
      </c>
      <c r="F491" t="s">
        <v>6027</v>
      </c>
      <c r="G491" t="s">
        <v>6029</v>
      </c>
      <c r="H491" t="s">
        <v>6045</v>
      </c>
      <c r="I491" t="s">
        <v>6046</v>
      </c>
      <c r="J491" t="s">
        <v>6053</v>
      </c>
      <c r="K491" t="s">
        <v>6058</v>
      </c>
      <c r="L491" t="s">
        <v>6540</v>
      </c>
      <c r="M491">
        <v>314.52999999999997</v>
      </c>
      <c r="N491">
        <v>8</v>
      </c>
      <c r="O491">
        <v>0.28999999999999998</v>
      </c>
      <c r="P491">
        <v>-20.92</v>
      </c>
      <c r="Q491" t="s">
        <v>9896</v>
      </c>
      <c r="R491">
        <v>5</v>
      </c>
      <c r="S491" s="5">
        <f t="shared" si="14"/>
        <v>-6.6511938447842825E-2</v>
      </c>
      <c r="T491">
        <v>39.316249999999997</v>
      </c>
      <c r="U491">
        <v>8</v>
      </c>
      <c r="V491">
        <v>2023</v>
      </c>
      <c r="W491">
        <v>3</v>
      </c>
      <c r="X491" t="s">
        <v>9898</v>
      </c>
      <c r="Y491" t="s">
        <v>9900</v>
      </c>
      <c r="Z491" t="s">
        <v>9899</v>
      </c>
      <c r="AD491">
        <f t="shared" si="15"/>
        <v>5</v>
      </c>
    </row>
    <row r="492" spans="1:30" x14ac:dyDescent="0.25">
      <c r="A492" t="s">
        <v>516</v>
      </c>
      <c r="B492" s="2">
        <v>44743</v>
      </c>
      <c r="C492" s="2">
        <v>44748</v>
      </c>
      <c r="D492" t="s">
        <v>5343</v>
      </c>
      <c r="E492" t="s">
        <v>5843</v>
      </c>
      <c r="F492" t="s">
        <v>6026</v>
      </c>
      <c r="G492" t="s">
        <v>6029</v>
      </c>
      <c r="H492" t="s">
        <v>6044</v>
      </c>
      <c r="I492" t="s">
        <v>6049</v>
      </c>
      <c r="J492" t="s">
        <v>6054</v>
      </c>
      <c r="K492" t="s">
        <v>6060</v>
      </c>
      <c r="L492" t="s">
        <v>6541</v>
      </c>
      <c r="M492">
        <v>1610.98</v>
      </c>
      <c r="N492">
        <v>2</v>
      </c>
      <c r="O492">
        <v>0.26</v>
      </c>
      <c r="P492">
        <v>-213.66</v>
      </c>
      <c r="Q492" t="s">
        <v>9897</v>
      </c>
      <c r="R492">
        <v>5</v>
      </c>
      <c r="S492" s="5">
        <f t="shared" si="14"/>
        <v>-0.13262734484599437</v>
      </c>
      <c r="T492">
        <v>805.49</v>
      </c>
      <c r="U492">
        <v>7</v>
      </c>
      <c r="V492">
        <v>2022</v>
      </c>
      <c r="W492">
        <v>3</v>
      </c>
      <c r="X492" t="s">
        <v>9898</v>
      </c>
      <c r="Y492" t="s">
        <v>9900</v>
      </c>
      <c r="Z492" t="s">
        <v>9898</v>
      </c>
      <c r="AD492">
        <f t="shared" si="15"/>
        <v>5</v>
      </c>
    </row>
    <row r="493" spans="1:30" x14ac:dyDescent="0.25">
      <c r="A493" t="s">
        <v>517</v>
      </c>
      <c r="B493" s="2">
        <v>44813</v>
      </c>
      <c r="C493" s="2">
        <v>44816</v>
      </c>
      <c r="D493" t="s">
        <v>5342</v>
      </c>
      <c r="E493" t="s">
        <v>5842</v>
      </c>
      <c r="F493" t="s">
        <v>6028</v>
      </c>
      <c r="G493" t="s">
        <v>6031</v>
      </c>
      <c r="H493" t="s">
        <v>6040</v>
      </c>
      <c r="I493" t="s">
        <v>6048</v>
      </c>
      <c r="J493" t="s">
        <v>6053</v>
      </c>
      <c r="K493" t="s">
        <v>6057</v>
      </c>
      <c r="L493" t="s">
        <v>6542</v>
      </c>
      <c r="M493">
        <v>860.21</v>
      </c>
      <c r="N493">
        <v>2</v>
      </c>
      <c r="O493">
        <v>0.04</v>
      </c>
      <c r="P493">
        <v>160.68</v>
      </c>
      <c r="Q493" t="s">
        <v>9895</v>
      </c>
      <c r="R493">
        <v>3</v>
      </c>
      <c r="S493" s="5">
        <f t="shared" si="14"/>
        <v>0.18679159740063472</v>
      </c>
      <c r="T493">
        <v>430.10500000000002</v>
      </c>
      <c r="U493">
        <v>9</v>
      </c>
      <c r="V493">
        <v>2022</v>
      </c>
      <c r="W493">
        <v>3</v>
      </c>
      <c r="X493" t="s">
        <v>9899</v>
      </c>
      <c r="Y493" t="s">
        <v>9901</v>
      </c>
      <c r="Z493" t="s">
        <v>9899</v>
      </c>
      <c r="AD493">
        <f t="shared" si="15"/>
        <v>3</v>
      </c>
    </row>
    <row r="494" spans="1:30" x14ac:dyDescent="0.25">
      <c r="A494" t="s">
        <v>518</v>
      </c>
      <c r="B494" s="2">
        <v>45461</v>
      </c>
      <c r="C494" s="2">
        <v>45462</v>
      </c>
      <c r="D494" t="s">
        <v>5239</v>
      </c>
      <c r="E494" t="s">
        <v>5739</v>
      </c>
      <c r="F494" t="s">
        <v>6027</v>
      </c>
      <c r="G494" t="s">
        <v>6029</v>
      </c>
      <c r="H494" t="s">
        <v>6041</v>
      </c>
      <c r="I494" t="s">
        <v>6046</v>
      </c>
      <c r="J494" t="s">
        <v>6053</v>
      </c>
      <c r="K494" t="s">
        <v>6056</v>
      </c>
      <c r="L494" t="s">
        <v>6543</v>
      </c>
      <c r="M494">
        <v>1740.86</v>
      </c>
      <c r="N494">
        <v>4</v>
      </c>
      <c r="O494">
        <v>0.01</v>
      </c>
      <c r="P494">
        <v>217.82</v>
      </c>
      <c r="Q494" t="s">
        <v>9894</v>
      </c>
      <c r="R494">
        <v>1</v>
      </c>
      <c r="S494" s="5">
        <f t="shared" si="14"/>
        <v>0.12512206610525833</v>
      </c>
      <c r="T494">
        <v>435.21499999999997</v>
      </c>
      <c r="U494">
        <v>6</v>
      </c>
      <c r="V494">
        <v>2024</v>
      </c>
      <c r="W494">
        <v>2</v>
      </c>
      <c r="X494" t="s">
        <v>9899</v>
      </c>
      <c r="Y494" t="s">
        <v>9901</v>
      </c>
      <c r="Z494" t="s">
        <v>9898</v>
      </c>
      <c r="AD494">
        <f t="shared" si="15"/>
        <v>1</v>
      </c>
    </row>
    <row r="495" spans="1:30" x14ac:dyDescent="0.25">
      <c r="A495" t="s">
        <v>519</v>
      </c>
      <c r="B495" s="2">
        <v>44692</v>
      </c>
      <c r="C495" s="2">
        <v>44694</v>
      </c>
      <c r="D495" t="s">
        <v>5037</v>
      </c>
      <c r="E495" t="s">
        <v>5537</v>
      </c>
      <c r="F495" t="s">
        <v>6026</v>
      </c>
      <c r="G495" t="s">
        <v>6030</v>
      </c>
      <c r="H495" t="s">
        <v>6035</v>
      </c>
      <c r="I495" t="s">
        <v>6047</v>
      </c>
      <c r="J495" t="s">
        <v>6053</v>
      </c>
      <c r="K495" t="s">
        <v>6058</v>
      </c>
      <c r="L495" t="s">
        <v>6544</v>
      </c>
      <c r="M495">
        <v>1007.48</v>
      </c>
      <c r="N495">
        <v>7</v>
      </c>
      <c r="O495">
        <v>0.01</v>
      </c>
      <c r="P495">
        <v>117.73</v>
      </c>
      <c r="Q495" t="s">
        <v>9895</v>
      </c>
      <c r="R495">
        <v>2</v>
      </c>
      <c r="S495" s="5">
        <f t="shared" si="14"/>
        <v>0.11685591773533967</v>
      </c>
      <c r="T495">
        <v>143.92571428571429</v>
      </c>
      <c r="U495">
        <v>5</v>
      </c>
      <c r="V495">
        <v>2022</v>
      </c>
      <c r="W495">
        <v>2</v>
      </c>
      <c r="X495" t="s">
        <v>9899</v>
      </c>
      <c r="Y495" t="s">
        <v>9901</v>
      </c>
      <c r="Z495" t="s">
        <v>9898</v>
      </c>
      <c r="AD495">
        <f t="shared" si="15"/>
        <v>2</v>
      </c>
    </row>
    <row r="496" spans="1:30" x14ac:dyDescent="0.25">
      <c r="A496" t="s">
        <v>520</v>
      </c>
      <c r="B496" s="2">
        <v>44666</v>
      </c>
      <c r="C496" s="2">
        <v>44671</v>
      </c>
      <c r="D496" t="s">
        <v>5344</v>
      </c>
      <c r="E496" t="s">
        <v>5844</v>
      </c>
      <c r="F496" t="s">
        <v>6026</v>
      </c>
      <c r="G496" t="s">
        <v>6029</v>
      </c>
      <c r="H496" t="s">
        <v>6036</v>
      </c>
      <c r="I496" t="s">
        <v>6049</v>
      </c>
      <c r="J496" t="s">
        <v>6055</v>
      </c>
      <c r="K496" t="s">
        <v>6061</v>
      </c>
      <c r="L496" t="s">
        <v>6545</v>
      </c>
      <c r="M496">
        <v>557.32000000000005</v>
      </c>
      <c r="N496">
        <v>1</v>
      </c>
      <c r="O496">
        <v>0.18</v>
      </c>
      <c r="P496">
        <v>40.93</v>
      </c>
      <c r="Q496" t="s">
        <v>9893</v>
      </c>
      <c r="R496">
        <v>5</v>
      </c>
      <c r="S496" s="5">
        <f t="shared" si="14"/>
        <v>7.3440752171104559E-2</v>
      </c>
      <c r="T496">
        <v>557.32000000000005</v>
      </c>
      <c r="U496">
        <v>4</v>
      </c>
      <c r="V496">
        <v>2022</v>
      </c>
      <c r="W496">
        <v>2</v>
      </c>
      <c r="X496" t="s">
        <v>9899</v>
      </c>
      <c r="Y496" t="s">
        <v>9900</v>
      </c>
      <c r="Z496" t="s">
        <v>9899</v>
      </c>
      <c r="AD496">
        <f t="shared" si="15"/>
        <v>5</v>
      </c>
    </row>
    <row r="497" spans="1:30" x14ac:dyDescent="0.25">
      <c r="A497" t="s">
        <v>521</v>
      </c>
      <c r="B497" s="2">
        <v>44619</v>
      </c>
      <c r="C497" s="2">
        <v>44625</v>
      </c>
      <c r="D497" t="s">
        <v>5033</v>
      </c>
      <c r="E497" t="s">
        <v>5533</v>
      </c>
      <c r="F497" t="s">
        <v>6026</v>
      </c>
      <c r="G497" t="s">
        <v>6029</v>
      </c>
      <c r="H497" t="s">
        <v>6032</v>
      </c>
      <c r="I497" t="s">
        <v>6049</v>
      </c>
      <c r="J497" t="s">
        <v>6054</v>
      </c>
      <c r="K497" t="s">
        <v>6060</v>
      </c>
      <c r="L497" t="s">
        <v>6546</v>
      </c>
      <c r="M497">
        <v>930.91</v>
      </c>
      <c r="N497">
        <v>8</v>
      </c>
      <c r="O497">
        <v>0.03</v>
      </c>
      <c r="P497">
        <v>78.44</v>
      </c>
      <c r="Q497" t="s">
        <v>9893</v>
      </c>
      <c r="R497">
        <v>6</v>
      </c>
      <c r="S497" s="5">
        <f t="shared" si="14"/>
        <v>8.4261636463245637E-2</v>
      </c>
      <c r="T497">
        <v>116.36375</v>
      </c>
      <c r="U497">
        <v>2</v>
      </c>
      <c r="V497">
        <v>2022</v>
      </c>
      <c r="W497">
        <v>1</v>
      </c>
      <c r="X497" t="s">
        <v>9899</v>
      </c>
      <c r="Y497" t="s">
        <v>9901</v>
      </c>
      <c r="Z497" t="s">
        <v>9899</v>
      </c>
      <c r="AD497">
        <f t="shared" si="15"/>
        <v>6</v>
      </c>
    </row>
    <row r="498" spans="1:30" x14ac:dyDescent="0.25">
      <c r="A498" t="s">
        <v>522</v>
      </c>
      <c r="B498" s="2">
        <v>45253</v>
      </c>
      <c r="C498" s="2">
        <v>45255</v>
      </c>
      <c r="D498" t="s">
        <v>5326</v>
      </c>
      <c r="E498" t="s">
        <v>5826</v>
      </c>
      <c r="F498" t="s">
        <v>6026</v>
      </c>
      <c r="G498" t="s">
        <v>6031</v>
      </c>
      <c r="H498" t="s">
        <v>6040</v>
      </c>
      <c r="I498" t="s">
        <v>6050</v>
      </c>
      <c r="J498" t="s">
        <v>6054</v>
      </c>
      <c r="K498" t="s">
        <v>6060</v>
      </c>
      <c r="L498" t="s">
        <v>6547</v>
      </c>
      <c r="M498">
        <v>523.09</v>
      </c>
      <c r="N498">
        <v>5</v>
      </c>
      <c r="O498">
        <v>7.0000000000000007E-2</v>
      </c>
      <c r="P498">
        <v>24.26</v>
      </c>
      <c r="Q498" t="s">
        <v>9895</v>
      </c>
      <c r="R498">
        <v>2</v>
      </c>
      <c r="S498" s="5">
        <f t="shared" si="14"/>
        <v>4.637825230839817E-2</v>
      </c>
      <c r="T498">
        <v>104.61799999999999</v>
      </c>
      <c r="U498">
        <v>11</v>
      </c>
      <c r="V498">
        <v>2023</v>
      </c>
      <c r="W498">
        <v>4</v>
      </c>
      <c r="X498" t="s">
        <v>9899</v>
      </c>
      <c r="Y498" t="s">
        <v>9901</v>
      </c>
      <c r="Z498" t="s">
        <v>9899</v>
      </c>
      <c r="AD498">
        <f t="shared" si="15"/>
        <v>2</v>
      </c>
    </row>
    <row r="499" spans="1:30" x14ac:dyDescent="0.25">
      <c r="A499" t="s">
        <v>523</v>
      </c>
      <c r="B499" s="2">
        <v>44792</v>
      </c>
      <c r="C499" s="2">
        <v>44798</v>
      </c>
      <c r="D499" t="s">
        <v>5345</v>
      </c>
      <c r="E499" t="s">
        <v>5845</v>
      </c>
      <c r="F499" t="s">
        <v>6026</v>
      </c>
      <c r="G499" t="s">
        <v>6031</v>
      </c>
      <c r="H499" t="s">
        <v>6043</v>
      </c>
      <c r="I499" t="s">
        <v>6048</v>
      </c>
      <c r="J499" t="s">
        <v>6053</v>
      </c>
      <c r="K499" t="s">
        <v>6056</v>
      </c>
      <c r="L499" t="s">
        <v>6548</v>
      </c>
      <c r="M499">
        <v>422.83</v>
      </c>
      <c r="N499">
        <v>6</v>
      </c>
      <c r="O499">
        <v>0.08</v>
      </c>
      <c r="P499">
        <v>12.79</v>
      </c>
      <c r="Q499" t="s">
        <v>9897</v>
      </c>
      <c r="R499">
        <v>6</v>
      </c>
      <c r="S499" s="5">
        <f t="shared" si="14"/>
        <v>3.0248563252370929E-2</v>
      </c>
      <c r="T499">
        <v>70.471666666666664</v>
      </c>
      <c r="U499">
        <v>8</v>
      </c>
      <c r="V499">
        <v>2022</v>
      </c>
      <c r="W499">
        <v>3</v>
      </c>
      <c r="X499" t="s">
        <v>9899</v>
      </c>
      <c r="Y499" t="s">
        <v>9901</v>
      </c>
      <c r="Z499" t="s">
        <v>9899</v>
      </c>
      <c r="AD499">
        <f t="shared" si="15"/>
        <v>6</v>
      </c>
    </row>
    <row r="500" spans="1:30" x14ac:dyDescent="0.25">
      <c r="A500" t="s">
        <v>524</v>
      </c>
      <c r="B500" s="2">
        <v>45395</v>
      </c>
      <c r="C500" s="2">
        <v>45399</v>
      </c>
      <c r="D500" t="s">
        <v>5261</v>
      </c>
      <c r="E500" t="s">
        <v>5761</v>
      </c>
      <c r="F500" t="s">
        <v>6028</v>
      </c>
      <c r="G500" t="s">
        <v>6030</v>
      </c>
      <c r="H500" t="s">
        <v>6038</v>
      </c>
      <c r="I500" t="s">
        <v>6047</v>
      </c>
      <c r="J500" t="s">
        <v>6053</v>
      </c>
      <c r="K500" t="s">
        <v>6057</v>
      </c>
      <c r="L500" t="s">
        <v>6549</v>
      </c>
      <c r="M500">
        <v>250.21</v>
      </c>
      <c r="N500">
        <v>7</v>
      </c>
      <c r="O500">
        <v>0.08</v>
      </c>
      <c r="P500">
        <v>5.28</v>
      </c>
      <c r="Q500" t="s">
        <v>9896</v>
      </c>
      <c r="R500">
        <v>4</v>
      </c>
      <c r="S500" s="5">
        <f t="shared" si="14"/>
        <v>2.1102274089764599E-2</v>
      </c>
      <c r="T500">
        <v>35.744285714285724</v>
      </c>
      <c r="U500">
        <v>4</v>
      </c>
      <c r="V500">
        <v>2024</v>
      </c>
      <c r="W500">
        <v>2</v>
      </c>
      <c r="X500" t="s">
        <v>9899</v>
      </c>
      <c r="Y500" t="s">
        <v>9901</v>
      </c>
      <c r="Z500" t="s">
        <v>9899</v>
      </c>
      <c r="AD500">
        <f t="shared" si="15"/>
        <v>4</v>
      </c>
    </row>
    <row r="501" spans="1:30" x14ac:dyDescent="0.25">
      <c r="A501" t="s">
        <v>525</v>
      </c>
      <c r="B501" s="2">
        <v>45084</v>
      </c>
      <c r="C501" s="2">
        <v>45086</v>
      </c>
      <c r="D501" t="s">
        <v>5346</v>
      </c>
      <c r="E501" t="s">
        <v>5846</v>
      </c>
      <c r="F501" t="s">
        <v>6028</v>
      </c>
      <c r="G501" t="s">
        <v>6031</v>
      </c>
      <c r="H501" t="s">
        <v>6043</v>
      </c>
      <c r="I501" t="s">
        <v>6050</v>
      </c>
      <c r="J501" t="s">
        <v>6055</v>
      </c>
      <c r="K501" t="s">
        <v>6063</v>
      </c>
      <c r="L501" t="s">
        <v>6550</v>
      </c>
      <c r="M501">
        <v>726.04</v>
      </c>
      <c r="N501">
        <v>1</v>
      </c>
      <c r="O501">
        <v>0.28000000000000003</v>
      </c>
      <c r="P501">
        <v>-97.22</v>
      </c>
      <c r="Q501" t="s">
        <v>9895</v>
      </c>
      <c r="R501">
        <v>2</v>
      </c>
      <c r="S501" s="5">
        <f t="shared" si="14"/>
        <v>-0.13390446807338438</v>
      </c>
      <c r="T501">
        <v>726.04</v>
      </c>
      <c r="U501">
        <v>6</v>
      </c>
      <c r="V501">
        <v>2023</v>
      </c>
      <c r="W501">
        <v>2</v>
      </c>
      <c r="X501" t="s">
        <v>9898</v>
      </c>
      <c r="Y501" t="s">
        <v>9900</v>
      </c>
      <c r="Z501" t="s">
        <v>9899</v>
      </c>
      <c r="AD501">
        <f t="shared" si="15"/>
        <v>2</v>
      </c>
    </row>
    <row r="502" spans="1:30" x14ac:dyDescent="0.25">
      <c r="A502" t="s">
        <v>526</v>
      </c>
      <c r="B502" s="2">
        <v>45071</v>
      </c>
      <c r="C502" s="2">
        <v>45078</v>
      </c>
      <c r="D502" t="s">
        <v>5304</v>
      </c>
      <c r="E502" t="s">
        <v>5804</v>
      </c>
      <c r="F502" t="s">
        <v>6027</v>
      </c>
      <c r="G502" t="s">
        <v>6030</v>
      </c>
      <c r="H502" t="s">
        <v>6035</v>
      </c>
      <c r="I502" t="s">
        <v>6047</v>
      </c>
      <c r="J502" t="s">
        <v>6055</v>
      </c>
      <c r="K502" t="s">
        <v>6061</v>
      </c>
      <c r="L502" t="s">
        <v>6551</v>
      </c>
      <c r="M502">
        <v>799.12</v>
      </c>
      <c r="N502">
        <v>6</v>
      </c>
      <c r="O502">
        <v>0.13</v>
      </c>
      <c r="P502">
        <v>95.25</v>
      </c>
      <c r="Q502" t="s">
        <v>9893</v>
      </c>
      <c r="R502">
        <v>7</v>
      </c>
      <c r="S502" s="5">
        <f t="shared" si="14"/>
        <v>0.1191936129742717</v>
      </c>
      <c r="T502">
        <v>133.1866666666667</v>
      </c>
      <c r="U502">
        <v>5</v>
      </c>
      <c r="V502">
        <v>2023</v>
      </c>
      <c r="W502">
        <v>2</v>
      </c>
      <c r="X502" t="s">
        <v>9899</v>
      </c>
      <c r="Y502" t="s">
        <v>9901</v>
      </c>
      <c r="Z502" t="s">
        <v>9899</v>
      </c>
      <c r="AD502">
        <f t="shared" si="15"/>
        <v>7</v>
      </c>
    </row>
    <row r="503" spans="1:30" x14ac:dyDescent="0.25">
      <c r="A503" t="s">
        <v>527</v>
      </c>
      <c r="B503" s="2">
        <v>45174</v>
      </c>
      <c r="C503" s="2">
        <v>45180</v>
      </c>
      <c r="D503" t="s">
        <v>5204</v>
      </c>
      <c r="E503" t="s">
        <v>5704</v>
      </c>
      <c r="F503" t="s">
        <v>6028</v>
      </c>
      <c r="G503" t="s">
        <v>6031</v>
      </c>
      <c r="H503" t="s">
        <v>6042</v>
      </c>
      <c r="I503" t="s">
        <v>6048</v>
      </c>
      <c r="J503" t="s">
        <v>6053</v>
      </c>
      <c r="K503" t="s">
        <v>6056</v>
      </c>
      <c r="L503" t="s">
        <v>6552</v>
      </c>
      <c r="M503">
        <v>1601.57</v>
      </c>
      <c r="N503">
        <v>4</v>
      </c>
      <c r="O503">
        <v>0.32</v>
      </c>
      <c r="P503">
        <v>-176.68</v>
      </c>
      <c r="Q503" t="s">
        <v>9893</v>
      </c>
      <c r="R503">
        <v>6</v>
      </c>
      <c r="S503" s="5">
        <f t="shared" si="14"/>
        <v>-0.11031675168740675</v>
      </c>
      <c r="T503">
        <v>400.39249999999998</v>
      </c>
      <c r="U503">
        <v>9</v>
      </c>
      <c r="V503">
        <v>2023</v>
      </c>
      <c r="W503">
        <v>3</v>
      </c>
      <c r="X503" t="s">
        <v>9898</v>
      </c>
      <c r="Y503" t="s">
        <v>9902</v>
      </c>
      <c r="Z503" t="s">
        <v>9898</v>
      </c>
      <c r="AD503">
        <f t="shared" si="15"/>
        <v>6</v>
      </c>
    </row>
    <row r="504" spans="1:30" x14ac:dyDescent="0.25">
      <c r="A504" t="s">
        <v>528</v>
      </c>
      <c r="B504" s="2">
        <v>45311</v>
      </c>
      <c r="C504" s="2">
        <v>45316</v>
      </c>
      <c r="D504" t="s">
        <v>5224</v>
      </c>
      <c r="E504" t="s">
        <v>5724</v>
      </c>
      <c r="F504" t="s">
        <v>6027</v>
      </c>
      <c r="G504" t="s">
        <v>6030</v>
      </c>
      <c r="H504" t="s">
        <v>6039</v>
      </c>
      <c r="I504" t="s">
        <v>6051</v>
      </c>
      <c r="J504" t="s">
        <v>6053</v>
      </c>
      <c r="K504" t="s">
        <v>6058</v>
      </c>
      <c r="L504" t="s">
        <v>6553</v>
      </c>
      <c r="M504">
        <v>1692.12</v>
      </c>
      <c r="N504">
        <v>4</v>
      </c>
      <c r="O504">
        <v>0.14000000000000001</v>
      </c>
      <c r="P504">
        <v>44.11</v>
      </c>
      <c r="Q504" t="s">
        <v>9897</v>
      </c>
      <c r="R504">
        <v>5</v>
      </c>
      <c r="S504" s="5">
        <f t="shared" si="14"/>
        <v>2.6067891166111152E-2</v>
      </c>
      <c r="T504">
        <v>423.03</v>
      </c>
      <c r="U504">
        <v>1</v>
      </c>
      <c r="V504">
        <v>2024</v>
      </c>
      <c r="W504">
        <v>1</v>
      </c>
      <c r="X504" t="s">
        <v>9899</v>
      </c>
      <c r="Y504" t="s">
        <v>9901</v>
      </c>
      <c r="Z504" t="s">
        <v>9898</v>
      </c>
      <c r="AD504">
        <f t="shared" si="15"/>
        <v>5</v>
      </c>
    </row>
    <row r="505" spans="1:30" x14ac:dyDescent="0.25">
      <c r="A505" t="s">
        <v>529</v>
      </c>
      <c r="B505" s="2">
        <v>45223</v>
      </c>
      <c r="C505" s="2">
        <v>45226</v>
      </c>
      <c r="D505" t="s">
        <v>5251</v>
      </c>
      <c r="E505" t="s">
        <v>5751</v>
      </c>
      <c r="F505" t="s">
        <v>6027</v>
      </c>
      <c r="G505" t="s">
        <v>6031</v>
      </c>
      <c r="H505" t="s">
        <v>6037</v>
      </c>
      <c r="I505" t="s">
        <v>6048</v>
      </c>
      <c r="J505" t="s">
        <v>6055</v>
      </c>
      <c r="K505" t="s">
        <v>6064</v>
      </c>
      <c r="L505" t="s">
        <v>6554</v>
      </c>
      <c r="M505">
        <v>709.92</v>
      </c>
      <c r="N505">
        <v>7</v>
      </c>
      <c r="O505">
        <v>7.0000000000000007E-2</v>
      </c>
      <c r="P505">
        <v>82.33</v>
      </c>
      <c r="Q505" t="s">
        <v>9895</v>
      </c>
      <c r="R505">
        <v>3</v>
      </c>
      <c r="S505" s="5">
        <f t="shared" si="14"/>
        <v>0.11597081361280144</v>
      </c>
      <c r="T505">
        <v>101.41714285714281</v>
      </c>
      <c r="U505">
        <v>10</v>
      </c>
      <c r="V505">
        <v>2023</v>
      </c>
      <c r="W505">
        <v>4</v>
      </c>
      <c r="X505" t="s">
        <v>9899</v>
      </c>
      <c r="Y505" t="s">
        <v>9901</v>
      </c>
      <c r="Z505" t="s">
        <v>9899</v>
      </c>
      <c r="AD505">
        <f t="shared" si="15"/>
        <v>3</v>
      </c>
    </row>
    <row r="506" spans="1:30" x14ac:dyDescent="0.25">
      <c r="A506" t="s">
        <v>530</v>
      </c>
      <c r="B506" s="2">
        <v>45155</v>
      </c>
      <c r="C506" s="2">
        <v>45157</v>
      </c>
      <c r="D506" t="s">
        <v>5347</v>
      </c>
      <c r="E506" t="s">
        <v>5847</v>
      </c>
      <c r="F506" t="s">
        <v>6028</v>
      </c>
      <c r="G506" t="s">
        <v>6029</v>
      </c>
      <c r="H506" t="s">
        <v>6036</v>
      </c>
      <c r="I506" t="s">
        <v>6049</v>
      </c>
      <c r="J506" t="s">
        <v>6053</v>
      </c>
      <c r="K506" t="s">
        <v>6058</v>
      </c>
      <c r="L506" t="s">
        <v>6555</v>
      </c>
      <c r="M506">
        <v>1758.79</v>
      </c>
      <c r="N506">
        <v>4</v>
      </c>
      <c r="O506">
        <v>0.02</v>
      </c>
      <c r="P506">
        <v>393.55</v>
      </c>
      <c r="Q506" t="s">
        <v>9895</v>
      </c>
      <c r="R506">
        <v>2</v>
      </c>
      <c r="S506" s="5">
        <f t="shared" si="14"/>
        <v>0.22376179077661348</v>
      </c>
      <c r="T506">
        <v>439.69749999999999</v>
      </c>
      <c r="U506">
        <v>8</v>
      </c>
      <c r="V506">
        <v>2023</v>
      </c>
      <c r="W506">
        <v>3</v>
      </c>
      <c r="X506" t="s">
        <v>9899</v>
      </c>
      <c r="Y506" t="s">
        <v>9901</v>
      </c>
      <c r="Z506" t="s">
        <v>9898</v>
      </c>
      <c r="AD506">
        <f t="shared" si="15"/>
        <v>2</v>
      </c>
    </row>
    <row r="507" spans="1:30" x14ac:dyDescent="0.25">
      <c r="A507" t="s">
        <v>531</v>
      </c>
      <c r="B507" s="2">
        <v>45355</v>
      </c>
      <c r="C507" s="2">
        <v>45360</v>
      </c>
      <c r="D507" t="s">
        <v>5324</v>
      </c>
      <c r="E507" t="s">
        <v>5824</v>
      </c>
      <c r="F507" t="s">
        <v>6027</v>
      </c>
      <c r="G507" t="s">
        <v>6030</v>
      </c>
      <c r="H507" t="s">
        <v>6035</v>
      </c>
      <c r="I507" t="s">
        <v>6051</v>
      </c>
      <c r="J507" t="s">
        <v>6054</v>
      </c>
      <c r="K507" t="s">
        <v>6059</v>
      </c>
      <c r="L507" t="s">
        <v>6556</v>
      </c>
      <c r="M507">
        <v>1588.9</v>
      </c>
      <c r="N507">
        <v>1</v>
      </c>
      <c r="O507">
        <v>0.28000000000000003</v>
      </c>
      <c r="P507">
        <v>-145.91999999999999</v>
      </c>
      <c r="Q507" t="s">
        <v>9897</v>
      </c>
      <c r="R507">
        <v>5</v>
      </c>
      <c r="S507" s="5">
        <f t="shared" si="14"/>
        <v>-9.1837120020139704E-2</v>
      </c>
      <c r="T507">
        <v>1588.9</v>
      </c>
      <c r="U507">
        <v>3</v>
      </c>
      <c r="V507">
        <v>2024</v>
      </c>
      <c r="W507">
        <v>1</v>
      </c>
      <c r="X507" t="s">
        <v>9898</v>
      </c>
      <c r="Y507" t="s">
        <v>9900</v>
      </c>
      <c r="Z507" t="s">
        <v>9898</v>
      </c>
      <c r="AD507">
        <f t="shared" si="15"/>
        <v>5</v>
      </c>
    </row>
    <row r="508" spans="1:30" x14ac:dyDescent="0.25">
      <c r="A508" t="s">
        <v>532</v>
      </c>
      <c r="B508" s="2">
        <v>45428</v>
      </c>
      <c r="C508" s="2">
        <v>45431</v>
      </c>
      <c r="D508" t="s">
        <v>5197</v>
      </c>
      <c r="E508" t="s">
        <v>5697</v>
      </c>
      <c r="F508" t="s">
        <v>6028</v>
      </c>
      <c r="G508" t="s">
        <v>6030</v>
      </c>
      <c r="H508" t="s">
        <v>6038</v>
      </c>
      <c r="I508" t="s">
        <v>6047</v>
      </c>
      <c r="J508" t="s">
        <v>6054</v>
      </c>
      <c r="K508" t="s">
        <v>6059</v>
      </c>
      <c r="L508" t="s">
        <v>6557</v>
      </c>
      <c r="M508">
        <v>268.89999999999998</v>
      </c>
      <c r="N508">
        <v>6</v>
      </c>
      <c r="O508">
        <v>0.15</v>
      </c>
      <c r="P508">
        <v>-11.28</v>
      </c>
      <c r="Q508" t="s">
        <v>9895</v>
      </c>
      <c r="R508">
        <v>3</v>
      </c>
      <c r="S508" s="5">
        <f t="shared" si="14"/>
        <v>-4.1948679806619565E-2</v>
      </c>
      <c r="T508">
        <v>44.816666666666663</v>
      </c>
      <c r="U508">
        <v>5</v>
      </c>
      <c r="V508">
        <v>2024</v>
      </c>
      <c r="W508">
        <v>2</v>
      </c>
      <c r="X508" t="s">
        <v>9898</v>
      </c>
      <c r="Y508" t="s">
        <v>9901</v>
      </c>
      <c r="Z508" t="s">
        <v>9899</v>
      </c>
      <c r="AD508">
        <f t="shared" si="15"/>
        <v>3</v>
      </c>
    </row>
    <row r="509" spans="1:30" x14ac:dyDescent="0.25">
      <c r="A509" t="s">
        <v>533</v>
      </c>
      <c r="B509" s="2">
        <v>44660</v>
      </c>
      <c r="C509" s="2">
        <v>44661</v>
      </c>
      <c r="D509" t="s">
        <v>5348</v>
      </c>
      <c r="E509" t="s">
        <v>5848</v>
      </c>
      <c r="F509" t="s">
        <v>6027</v>
      </c>
      <c r="G509" t="s">
        <v>6029</v>
      </c>
      <c r="H509" t="s">
        <v>6036</v>
      </c>
      <c r="I509" t="s">
        <v>6046</v>
      </c>
      <c r="J509" t="s">
        <v>6053</v>
      </c>
      <c r="K509" t="s">
        <v>6057</v>
      </c>
      <c r="L509" t="s">
        <v>6558</v>
      </c>
      <c r="M509">
        <v>1613.48</v>
      </c>
      <c r="N509">
        <v>8</v>
      </c>
      <c r="O509">
        <v>0.05</v>
      </c>
      <c r="P509">
        <v>289.94</v>
      </c>
      <c r="Q509" t="s">
        <v>9896</v>
      </c>
      <c r="R509">
        <v>1</v>
      </c>
      <c r="S509" s="5">
        <f t="shared" si="14"/>
        <v>0.17969853980216674</v>
      </c>
      <c r="T509">
        <v>201.685</v>
      </c>
      <c r="U509">
        <v>4</v>
      </c>
      <c r="V509">
        <v>2022</v>
      </c>
      <c r="W509">
        <v>2</v>
      </c>
      <c r="X509" t="s">
        <v>9899</v>
      </c>
      <c r="Y509" t="s">
        <v>9901</v>
      </c>
      <c r="Z509" t="s">
        <v>9898</v>
      </c>
      <c r="AD509">
        <f t="shared" si="15"/>
        <v>1</v>
      </c>
    </row>
    <row r="510" spans="1:30" x14ac:dyDescent="0.25">
      <c r="A510" t="s">
        <v>534</v>
      </c>
      <c r="B510" s="2">
        <v>45106</v>
      </c>
      <c r="C510" s="2">
        <v>45109</v>
      </c>
      <c r="D510" t="s">
        <v>5349</v>
      </c>
      <c r="E510" t="s">
        <v>5849</v>
      </c>
      <c r="F510" t="s">
        <v>6026</v>
      </c>
      <c r="G510" t="s">
        <v>6031</v>
      </c>
      <c r="H510" t="s">
        <v>6034</v>
      </c>
      <c r="I510" t="s">
        <v>6048</v>
      </c>
      <c r="J510" t="s">
        <v>6054</v>
      </c>
      <c r="K510" t="s">
        <v>6062</v>
      </c>
      <c r="L510" t="s">
        <v>6559</v>
      </c>
      <c r="M510">
        <v>1094.3499999999999</v>
      </c>
      <c r="N510">
        <v>7</v>
      </c>
      <c r="O510">
        <v>0.16</v>
      </c>
      <c r="P510">
        <v>41.22</v>
      </c>
      <c r="Q510" t="s">
        <v>9893</v>
      </c>
      <c r="R510">
        <v>3</v>
      </c>
      <c r="S510" s="5">
        <f t="shared" si="14"/>
        <v>3.7666194544706905E-2</v>
      </c>
      <c r="T510">
        <v>156.33571428571429</v>
      </c>
      <c r="U510">
        <v>6</v>
      </c>
      <c r="V510">
        <v>2023</v>
      </c>
      <c r="W510">
        <v>2</v>
      </c>
      <c r="X510" t="s">
        <v>9899</v>
      </c>
      <c r="Y510" t="s">
        <v>9900</v>
      </c>
      <c r="Z510" t="s">
        <v>9898</v>
      </c>
      <c r="AD510">
        <f t="shared" si="15"/>
        <v>3</v>
      </c>
    </row>
    <row r="511" spans="1:30" x14ac:dyDescent="0.25">
      <c r="A511" t="s">
        <v>535</v>
      </c>
      <c r="B511" s="2">
        <v>44919</v>
      </c>
      <c r="C511" s="2">
        <v>44923</v>
      </c>
      <c r="D511" t="s">
        <v>5245</v>
      </c>
      <c r="E511" t="s">
        <v>5745</v>
      </c>
      <c r="F511" t="s">
        <v>6026</v>
      </c>
      <c r="G511" t="s">
        <v>6030</v>
      </c>
      <c r="H511" t="s">
        <v>6039</v>
      </c>
      <c r="I511" t="s">
        <v>6047</v>
      </c>
      <c r="J511" t="s">
        <v>6054</v>
      </c>
      <c r="K511" t="s">
        <v>6060</v>
      </c>
      <c r="L511" t="s">
        <v>6560</v>
      </c>
      <c r="M511">
        <v>421.67</v>
      </c>
      <c r="N511">
        <v>3</v>
      </c>
      <c r="O511">
        <v>0.13</v>
      </c>
      <c r="P511">
        <v>60.28</v>
      </c>
      <c r="Q511" t="s">
        <v>9893</v>
      </c>
      <c r="R511">
        <v>4</v>
      </c>
      <c r="S511" s="5">
        <f t="shared" si="14"/>
        <v>0.14295539165698296</v>
      </c>
      <c r="T511">
        <v>140.5566666666667</v>
      </c>
      <c r="U511">
        <v>12</v>
      </c>
      <c r="V511">
        <v>2022</v>
      </c>
      <c r="W511">
        <v>4</v>
      </c>
      <c r="X511" t="s">
        <v>9899</v>
      </c>
      <c r="Y511" t="s">
        <v>9901</v>
      </c>
      <c r="Z511" t="s">
        <v>9899</v>
      </c>
      <c r="AD511">
        <f t="shared" si="15"/>
        <v>4</v>
      </c>
    </row>
    <row r="512" spans="1:30" x14ac:dyDescent="0.25">
      <c r="A512" t="s">
        <v>536</v>
      </c>
      <c r="B512" s="2">
        <v>45435</v>
      </c>
      <c r="C512" s="2">
        <v>45436</v>
      </c>
      <c r="D512" t="s">
        <v>5083</v>
      </c>
      <c r="E512" t="s">
        <v>5583</v>
      </c>
      <c r="F512" t="s">
        <v>6028</v>
      </c>
      <c r="G512" t="s">
        <v>6029</v>
      </c>
      <c r="H512" t="s">
        <v>6036</v>
      </c>
      <c r="I512" t="s">
        <v>6049</v>
      </c>
      <c r="J512" t="s">
        <v>6054</v>
      </c>
      <c r="K512" t="s">
        <v>6062</v>
      </c>
      <c r="L512" t="s">
        <v>6561</v>
      </c>
      <c r="M512">
        <v>229.64</v>
      </c>
      <c r="N512">
        <v>5</v>
      </c>
      <c r="O512">
        <v>0.11</v>
      </c>
      <c r="P512">
        <v>5.75</v>
      </c>
      <c r="Q512" t="s">
        <v>9897</v>
      </c>
      <c r="R512">
        <v>1</v>
      </c>
      <c r="S512" s="5">
        <f t="shared" si="14"/>
        <v>2.5039191778435815E-2</v>
      </c>
      <c r="T512">
        <v>45.927999999999997</v>
      </c>
      <c r="U512">
        <v>5</v>
      </c>
      <c r="V512">
        <v>2024</v>
      </c>
      <c r="W512">
        <v>2</v>
      </c>
      <c r="X512" t="s">
        <v>9899</v>
      </c>
      <c r="Y512" t="s">
        <v>9901</v>
      </c>
      <c r="Z512" t="s">
        <v>9899</v>
      </c>
      <c r="AD512">
        <f t="shared" si="15"/>
        <v>1</v>
      </c>
    </row>
    <row r="513" spans="1:30" x14ac:dyDescent="0.25">
      <c r="A513" t="s">
        <v>537</v>
      </c>
      <c r="B513" s="2">
        <v>44996</v>
      </c>
      <c r="C513" s="2">
        <v>45002</v>
      </c>
      <c r="D513" t="s">
        <v>5261</v>
      </c>
      <c r="E513" t="s">
        <v>5761</v>
      </c>
      <c r="F513" t="s">
        <v>6026</v>
      </c>
      <c r="G513" t="s">
        <v>6030</v>
      </c>
      <c r="H513" t="s">
        <v>6038</v>
      </c>
      <c r="I513" t="s">
        <v>6051</v>
      </c>
      <c r="J513" t="s">
        <v>6053</v>
      </c>
      <c r="K513" t="s">
        <v>6058</v>
      </c>
      <c r="L513" t="s">
        <v>6562</v>
      </c>
      <c r="M513">
        <v>437.87</v>
      </c>
      <c r="N513">
        <v>7</v>
      </c>
      <c r="O513">
        <v>0.27</v>
      </c>
      <c r="P513">
        <v>-22.2</v>
      </c>
      <c r="Q513" t="s">
        <v>9897</v>
      </c>
      <c r="R513">
        <v>6</v>
      </c>
      <c r="S513" s="5">
        <f t="shared" si="14"/>
        <v>-5.069997944595428E-2</v>
      </c>
      <c r="T513">
        <v>62.552857142857142</v>
      </c>
      <c r="U513">
        <v>3</v>
      </c>
      <c r="V513">
        <v>2023</v>
      </c>
      <c r="W513">
        <v>1</v>
      </c>
      <c r="X513" t="s">
        <v>9898</v>
      </c>
      <c r="Y513" t="s">
        <v>9900</v>
      </c>
      <c r="Z513" t="s">
        <v>9899</v>
      </c>
      <c r="AD513">
        <f t="shared" si="15"/>
        <v>6</v>
      </c>
    </row>
    <row r="514" spans="1:30" x14ac:dyDescent="0.25">
      <c r="A514" t="s">
        <v>538</v>
      </c>
      <c r="B514" s="2">
        <v>45433</v>
      </c>
      <c r="C514" s="2">
        <v>45436</v>
      </c>
      <c r="D514" t="s">
        <v>5321</v>
      </c>
      <c r="E514" t="s">
        <v>5821</v>
      </c>
      <c r="F514" t="s">
        <v>6026</v>
      </c>
      <c r="G514" t="s">
        <v>6029</v>
      </c>
      <c r="H514" t="s">
        <v>6044</v>
      </c>
      <c r="I514" t="s">
        <v>6049</v>
      </c>
      <c r="J514" t="s">
        <v>6054</v>
      </c>
      <c r="K514" t="s">
        <v>6059</v>
      </c>
      <c r="L514" t="s">
        <v>6563</v>
      </c>
      <c r="M514">
        <v>100.45</v>
      </c>
      <c r="N514">
        <v>3</v>
      </c>
      <c r="O514">
        <v>0.11</v>
      </c>
      <c r="P514">
        <v>10.16</v>
      </c>
      <c r="Q514" t="s">
        <v>9894</v>
      </c>
      <c r="R514">
        <v>3</v>
      </c>
      <c r="S514" s="5">
        <f t="shared" si="14"/>
        <v>0.10114484818317571</v>
      </c>
      <c r="T514">
        <v>33.483333333333327</v>
      </c>
      <c r="U514">
        <v>5</v>
      </c>
      <c r="V514">
        <v>2024</v>
      </c>
      <c r="W514">
        <v>2</v>
      </c>
      <c r="X514" t="s">
        <v>9899</v>
      </c>
      <c r="Y514" t="s">
        <v>9901</v>
      </c>
      <c r="Z514" t="s">
        <v>9899</v>
      </c>
      <c r="AD514">
        <f t="shared" si="15"/>
        <v>3</v>
      </c>
    </row>
    <row r="515" spans="1:30" x14ac:dyDescent="0.25">
      <c r="A515" t="s">
        <v>539</v>
      </c>
      <c r="B515" s="2">
        <v>45039</v>
      </c>
      <c r="C515" s="2">
        <v>45046</v>
      </c>
      <c r="D515" t="s">
        <v>5350</v>
      </c>
      <c r="E515" t="s">
        <v>5850</v>
      </c>
      <c r="F515" t="s">
        <v>6028</v>
      </c>
      <c r="G515" t="s">
        <v>6030</v>
      </c>
      <c r="H515" t="s">
        <v>6035</v>
      </c>
      <c r="I515" t="s">
        <v>6047</v>
      </c>
      <c r="J515" t="s">
        <v>6053</v>
      </c>
      <c r="K515" t="s">
        <v>6057</v>
      </c>
      <c r="L515" t="s">
        <v>6564</v>
      </c>
      <c r="M515">
        <v>780.1</v>
      </c>
      <c r="N515">
        <v>6</v>
      </c>
      <c r="O515">
        <v>0.03</v>
      </c>
      <c r="P515">
        <v>199.64</v>
      </c>
      <c r="Q515" t="s">
        <v>9896</v>
      </c>
      <c r="R515">
        <v>7</v>
      </c>
      <c r="S515" s="5">
        <f t="shared" ref="S515:S578" si="16">P515/M515</f>
        <v>0.25591590821689525</v>
      </c>
      <c r="T515">
        <v>130.01666666666671</v>
      </c>
      <c r="U515">
        <v>4</v>
      </c>
      <c r="V515">
        <v>2023</v>
      </c>
      <c r="W515">
        <v>2</v>
      </c>
      <c r="X515" t="s">
        <v>9899</v>
      </c>
      <c r="Y515" t="s">
        <v>9901</v>
      </c>
      <c r="Z515" t="s">
        <v>9899</v>
      </c>
      <c r="AD515">
        <f t="shared" ref="AD515:AD578" si="17">C515-B515</f>
        <v>7</v>
      </c>
    </row>
    <row r="516" spans="1:30" x14ac:dyDescent="0.25">
      <c r="A516" t="s">
        <v>540</v>
      </c>
      <c r="B516" s="2">
        <v>44648</v>
      </c>
      <c r="C516" s="2">
        <v>44651</v>
      </c>
      <c r="D516" t="s">
        <v>5351</v>
      </c>
      <c r="E516" t="s">
        <v>5851</v>
      </c>
      <c r="F516" t="s">
        <v>6028</v>
      </c>
      <c r="G516" t="s">
        <v>6030</v>
      </c>
      <c r="H516" t="s">
        <v>6033</v>
      </c>
      <c r="I516" t="s">
        <v>6047</v>
      </c>
      <c r="J516" t="s">
        <v>6054</v>
      </c>
      <c r="K516" t="s">
        <v>6062</v>
      </c>
      <c r="L516" t="s">
        <v>6565</v>
      </c>
      <c r="M516">
        <v>149.47</v>
      </c>
      <c r="N516">
        <v>3</v>
      </c>
      <c r="O516">
        <v>0.09</v>
      </c>
      <c r="P516">
        <v>9.9600000000000009</v>
      </c>
      <c r="Q516" t="s">
        <v>9895</v>
      </c>
      <c r="R516">
        <v>3</v>
      </c>
      <c r="S516" s="5">
        <f t="shared" si="16"/>
        <v>6.6635445239847463E-2</v>
      </c>
      <c r="T516">
        <v>49.823333333333331</v>
      </c>
      <c r="U516">
        <v>3</v>
      </c>
      <c r="V516">
        <v>2022</v>
      </c>
      <c r="W516">
        <v>1</v>
      </c>
      <c r="X516" t="s">
        <v>9899</v>
      </c>
      <c r="Y516" t="s">
        <v>9901</v>
      </c>
      <c r="Z516" t="s">
        <v>9899</v>
      </c>
      <c r="AD516">
        <f t="shared" si="17"/>
        <v>3</v>
      </c>
    </row>
    <row r="517" spans="1:30" x14ac:dyDescent="0.25">
      <c r="A517" t="s">
        <v>541</v>
      </c>
      <c r="B517" s="2">
        <v>44871</v>
      </c>
      <c r="C517" s="2">
        <v>44873</v>
      </c>
      <c r="D517" t="s">
        <v>5278</v>
      </c>
      <c r="E517" t="s">
        <v>5778</v>
      </c>
      <c r="F517" t="s">
        <v>6028</v>
      </c>
      <c r="G517" t="s">
        <v>6031</v>
      </c>
      <c r="H517" t="s">
        <v>6034</v>
      </c>
      <c r="I517" t="s">
        <v>6048</v>
      </c>
      <c r="J517" t="s">
        <v>6053</v>
      </c>
      <c r="K517" t="s">
        <v>6058</v>
      </c>
      <c r="L517" t="s">
        <v>6566</v>
      </c>
      <c r="M517">
        <v>558.59</v>
      </c>
      <c r="N517">
        <v>5</v>
      </c>
      <c r="O517">
        <v>0.28000000000000003</v>
      </c>
      <c r="P517">
        <v>6.36</v>
      </c>
      <c r="Q517" t="s">
        <v>9895</v>
      </c>
      <c r="R517">
        <v>2</v>
      </c>
      <c r="S517" s="5">
        <f t="shared" si="16"/>
        <v>1.1385810701945972E-2</v>
      </c>
      <c r="T517">
        <v>111.718</v>
      </c>
      <c r="U517">
        <v>11</v>
      </c>
      <c r="V517">
        <v>2022</v>
      </c>
      <c r="W517">
        <v>4</v>
      </c>
      <c r="X517" t="s">
        <v>9899</v>
      </c>
      <c r="Y517" t="s">
        <v>9900</v>
      </c>
      <c r="Z517" t="s">
        <v>9899</v>
      </c>
      <c r="AD517">
        <f t="shared" si="17"/>
        <v>2</v>
      </c>
    </row>
    <row r="518" spans="1:30" x14ac:dyDescent="0.25">
      <c r="A518" t="s">
        <v>542</v>
      </c>
      <c r="B518" s="2">
        <v>45244</v>
      </c>
      <c r="C518" s="2">
        <v>45250</v>
      </c>
      <c r="D518" t="s">
        <v>5036</v>
      </c>
      <c r="E518" t="s">
        <v>5536</v>
      </c>
      <c r="F518" t="s">
        <v>6027</v>
      </c>
      <c r="G518" t="s">
        <v>6029</v>
      </c>
      <c r="H518" t="s">
        <v>6045</v>
      </c>
      <c r="I518" t="s">
        <v>6050</v>
      </c>
      <c r="J518" t="s">
        <v>6054</v>
      </c>
      <c r="K518" t="s">
        <v>6062</v>
      </c>
      <c r="L518" t="s">
        <v>6567</v>
      </c>
      <c r="M518">
        <v>1515.85</v>
      </c>
      <c r="N518">
        <v>1</v>
      </c>
      <c r="O518">
        <v>0.33</v>
      </c>
      <c r="P518">
        <v>-173.75</v>
      </c>
      <c r="Q518" t="s">
        <v>9896</v>
      </c>
      <c r="R518">
        <v>6</v>
      </c>
      <c r="S518" s="5">
        <f t="shared" si="16"/>
        <v>-0.11462215918461589</v>
      </c>
      <c r="T518">
        <v>1515.85</v>
      </c>
      <c r="U518">
        <v>11</v>
      </c>
      <c r="V518">
        <v>2023</v>
      </c>
      <c r="W518">
        <v>4</v>
      </c>
      <c r="X518" t="s">
        <v>9898</v>
      </c>
      <c r="Y518" t="s">
        <v>9902</v>
      </c>
      <c r="Z518" t="s">
        <v>9898</v>
      </c>
      <c r="AD518">
        <f t="shared" si="17"/>
        <v>6</v>
      </c>
    </row>
    <row r="519" spans="1:30" x14ac:dyDescent="0.25">
      <c r="A519" t="s">
        <v>543</v>
      </c>
      <c r="B519" s="2">
        <v>45358</v>
      </c>
      <c r="C519" s="2">
        <v>45364</v>
      </c>
      <c r="D519" t="s">
        <v>5212</v>
      </c>
      <c r="E519" t="s">
        <v>5712</v>
      </c>
      <c r="F519" t="s">
        <v>6028</v>
      </c>
      <c r="G519" t="s">
        <v>6029</v>
      </c>
      <c r="H519" t="s">
        <v>6044</v>
      </c>
      <c r="I519" t="s">
        <v>6050</v>
      </c>
      <c r="J519" t="s">
        <v>6054</v>
      </c>
      <c r="K519" t="s">
        <v>6062</v>
      </c>
      <c r="L519" t="s">
        <v>6568</v>
      </c>
      <c r="M519">
        <v>1645.22</v>
      </c>
      <c r="N519">
        <v>4</v>
      </c>
      <c r="O519">
        <v>0.28000000000000003</v>
      </c>
      <c r="P519">
        <v>9.73</v>
      </c>
      <c r="Q519" t="s">
        <v>9894</v>
      </c>
      <c r="R519">
        <v>6</v>
      </c>
      <c r="S519" s="5">
        <f t="shared" si="16"/>
        <v>5.9141026731987217E-3</v>
      </c>
      <c r="T519">
        <v>411.30500000000001</v>
      </c>
      <c r="U519">
        <v>3</v>
      </c>
      <c r="V519">
        <v>2024</v>
      </c>
      <c r="W519">
        <v>1</v>
      </c>
      <c r="X519" t="s">
        <v>9899</v>
      </c>
      <c r="Y519" t="s">
        <v>9900</v>
      </c>
      <c r="Z519" t="s">
        <v>9898</v>
      </c>
      <c r="AD519">
        <f t="shared" si="17"/>
        <v>6</v>
      </c>
    </row>
    <row r="520" spans="1:30" x14ac:dyDescent="0.25">
      <c r="A520" t="s">
        <v>544</v>
      </c>
      <c r="B520" s="2">
        <v>44734</v>
      </c>
      <c r="C520" s="2">
        <v>44737</v>
      </c>
      <c r="D520" t="s">
        <v>5352</v>
      </c>
      <c r="E520" t="s">
        <v>5852</v>
      </c>
      <c r="F520" t="s">
        <v>6027</v>
      </c>
      <c r="G520" t="s">
        <v>6031</v>
      </c>
      <c r="H520" t="s">
        <v>6040</v>
      </c>
      <c r="I520" t="s">
        <v>6048</v>
      </c>
      <c r="J520" t="s">
        <v>6054</v>
      </c>
      <c r="K520" t="s">
        <v>6059</v>
      </c>
      <c r="L520" t="s">
        <v>6569</v>
      </c>
      <c r="M520">
        <v>436.77</v>
      </c>
      <c r="N520">
        <v>7</v>
      </c>
      <c r="O520">
        <v>0.11</v>
      </c>
      <c r="P520">
        <v>19.79</v>
      </c>
      <c r="Q520" t="s">
        <v>9894</v>
      </c>
      <c r="R520">
        <v>3</v>
      </c>
      <c r="S520" s="5">
        <f t="shared" si="16"/>
        <v>4.5309888499668015E-2</v>
      </c>
      <c r="T520">
        <v>62.395714285714277</v>
      </c>
      <c r="U520">
        <v>6</v>
      </c>
      <c r="V520">
        <v>2022</v>
      </c>
      <c r="W520">
        <v>2</v>
      </c>
      <c r="X520" t="s">
        <v>9899</v>
      </c>
      <c r="Y520" t="s">
        <v>9901</v>
      </c>
      <c r="Z520" t="s">
        <v>9899</v>
      </c>
      <c r="AD520">
        <f t="shared" si="17"/>
        <v>3</v>
      </c>
    </row>
    <row r="521" spans="1:30" x14ac:dyDescent="0.25">
      <c r="A521" t="s">
        <v>545</v>
      </c>
      <c r="B521" s="2">
        <v>45422</v>
      </c>
      <c r="C521" s="2">
        <v>45426</v>
      </c>
      <c r="D521" t="s">
        <v>5310</v>
      </c>
      <c r="E521" t="s">
        <v>5810</v>
      </c>
      <c r="F521" t="s">
        <v>6028</v>
      </c>
      <c r="G521" t="s">
        <v>6031</v>
      </c>
      <c r="H521" t="s">
        <v>6037</v>
      </c>
      <c r="I521" t="s">
        <v>6050</v>
      </c>
      <c r="J521" t="s">
        <v>6053</v>
      </c>
      <c r="K521" t="s">
        <v>6057</v>
      </c>
      <c r="L521" t="s">
        <v>6570</v>
      </c>
      <c r="M521">
        <v>489.1</v>
      </c>
      <c r="N521">
        <v>2</v>
      </c>
      <c r="O521">
        <v>0.15</v>
      </c>
      <c r="P521">
        <v>52.86</v>
      </c>
      <c r="Q521" t="s">
        <v>9896</v>
      </c>
      <c r="R521">
        <v>4</v>
      </c>
      <c r="S521" s="5">
        <f t="shared" si="16"/>
        <v>0.1080760580658352</v>
      </c>
      <c r="T521">
        <v>244.55</v>
      </c>
      <c r="U521">
        <v>5</v>
      </c>
      <c r="V521">
        <v>2024</v>
      </c>
      <c r="W521">
        <v>2</v>
      </c>
      <c r="X521" t="s">
        <v>9899</v>
      </c>
      <c r="Y521" t="s">
        <v>9901</v>
      </c>
      <c r="Z521" t="s">
        <v>9899</v>
      </c>
      <c r="AD521">
        <f t="shared" si="17"/>
        <v>4</v>
      </c>
    </row>
    <row r="522" spans="1:30" x14ac:dyDescent="0.25">
      <c r="A522" t="s">
        <v>546</v>
      </c>
      <c r="B522" s="2">
        <v>45055</v>
      </c>
      <c r="C522" s="2">
        <v>45060</v>
      </c>
      <c r="D522" t="s">
        <v>5096</v>
      </c>
      <c r="E522" t="s">
        <v>5596</v>
      </c>
      <c r="F522" t="s">
        <v>6028</v>
      </c>
      <c r="G522" t="s">
        <v>6029</v>
      </c>
      <c r="H522" t="s">
        <v>6041</v>
      </c>
      <c r="I522" t="s">
        <v>6050</v>
      </c>
      <c r="J522" t="s">
        <v>6054</v>
      </c>
      <c r="K522" t="s">
        <v>6062</v>
      </c>
      <c r="L522" t="s">
        <v>6571</v>
      </c>
      <c r="M522">
        <v>1351.12</v>
      </c>
      <c r="N522">
        <v>2</v>
      </c>
      <c r="O522">
        <v>0.11</v>
      </c>
      <c r="P522">
        <v>230.92</v>
      </c>
      <c r="Q522" t="s">
        <v>9897</v>
      </c>
      <c r="R522">
        <v>5</v>
      </c>
      <c r="S522" s="5">
        <f t="shared" si="16"/>
        <v>0.17091005980223814</v>
      </c>
      <c r="T522">
        <v>675.56</v>
      </c>
      <c r="U522">
        <v>5</v>
      </c>
      <c r="V522">
        <v>2023</v>
      </c>
      <c r="W522">
        <v>2</v>
      </c>
      <c r="X522" t="s">
        <v>9899</v>
      </c>
      <c r="Y522" t="s">
        <v>9901</v>
      </c>
      <c r="Z522" t="s">
        <v>9898</v>
      </c>
      <c r="AD522">
        <f t="shared" si="17"/>
        <v>5</v>
      </c>
    </row>
    <row r="523" spans="1:30" x14ac:dyDescent="0.25">
      <c r="A523" t="s">
        <v>547</v>
      </c>
      <c r="B523" s="2">
        <v>44571</v>
      </c>
      <c r="C523" s="2">
        <v>44577</v>
      </c>
      <c r="D523" t="s">
        <v>5113</v>
      </c>
      <c r="E523" t="s">
        <v>5613</v>
      </c>
      <c r="F523" t="s">
        <v>6026</v>
      </c>
      <c r="G523" t="s">
        <v>6030</v>
      </c>
      <c r="H523" t="s">
        <v>6039</v>
      </c>
      <c r="I523" t="s">
        <v>6047</v>
      </c>
      <c r="J523" t="s">
        <v>6055</v>
      </c>
      <c r="K523" t="s">
        <v>6064</v>
      </c>
      <c r="L523" t="s">
        <v>6572</v>
      </c>
      <c r="M523">
        <v>1541.03</v>
      </c>
      <c r="N523">
        <v>4</v>
      </c>
      <c r="O523">
        <v>0.17</v>
      </c>
      <c r="P523">
        <v>-93.1</v>
      </c>
      <c r="Q523" t="s">
        <v>9895</v>
      </c>
      <c r="R523">
        <v>6</v>
      </c>
      <c r="S523" s="5">
        <f t="shared" si="16"/>
        <v>-6.0414138595614619E-2</v>
      </c>
      <c r="T523">
        <v>385.25749999999999</v>
      </c>
      <c r="U523">
        <v>1</v>
      </c>
      <c r="V523">
        <v>2022</v>
      </c>
      <c r="W523">
        <v>1</v>
      </c>
      <c r="X523" t="s">
        <v>9898</v>
      </c>
      <c r="Y523" t="s">
        <v>9900</v>
      </c>
      <c r="Z523" t="s">
        <v>9898</v>
      </c>
      <c r="AD523">
        <f t="shared" si="17"/>
        <v>6</v>
      </c>
    </row>
    <row r="524" spans="1:30" x14ac:dyDescent="0.25">
      <c r="A524" t="s">
        <v>548</v>
      </c>
      <c r="B524" s="2">
        <v>44751</v>
      </c>
      <c r="C524" s="2">
        <v>44757</v>
      </c>
      <c r="D524" t="s">
        <v>5252</v>
      </c>
      <c r="E524" t="s">
        <v>5752</v>
      </c>
      <c r="F524" t="s">
        <v>6026</v>
      </c>
      <c r="G524" t="s">
        <v>6031</v>
      </c>
      <c r="H524" t="s">
        <v>6037</v>
      </c>
      <c r="I524" t="s">
        <v>6052</v>
      </c>
      <c r="J524" t="s">
        <v>6053</v>
      </c>
      <c r="K524" t="s">
        <v>6056</v>
      </c>
      <c r="L524" t="s">
        <v>6337</v>
      </c>
      <c r="M524">
        <v>228.71</v>
      </c>
      <c r="N524">
        <v>6</v>
      </c>
      <c r="O524">
        <v>0.25</v>
      </c>
      <c r="P524">
        <v>7.18</v>
      </c>
      <c r="Q524" t="s">
        <v>9896</v>
      </c>
      <c r="R524">
        <v>6</v>
      </c>
      <c r="S524" s="5">
        <f t="shared" si="16"/>
        <v>3.1393467710200691E-2</v>
      </c>
      <c r="T524">
        <v>38.118333333333332</v>
      </c>
      <c r="U524">
        <v>7</v>
      </c>
      <c r="V524">
        <v>2022</v>
      </c>
      <c r="W524">
        <v>3</v>
      </c>
      <c r="X524" t="s">
        <v>9899</v>
      </c>
      <c r="Y524" t="s">
        <v>9900</v>
      </c>
      <c r="Z524" t="s">
        <v>9899</v>
      </c>
      <c r="AD524">
        <f t="shared" si="17"/>
        <v>6</v>
      </c>
    </row>
    <row r="525" spans="1:30" x14ac:dyDescent="0.25">
      <c r="A525" t="s">
        <v>549</v>
      </c>
      <c r="B525" s="2">
        <v>45044</v>
      </c>
      <c r="C525" s="2">
        <v>45046</v>
      </c>
      <c r="D525" t="s">
        <v>5353</v>
      </c>
      <c r="E525" t="s">
        <v>5853</v>
      </c>
      <c r="F525" t="s">
        <v>6027</v>
      </c>
      <c r="G525" t="s">
        <v>6029</v>
      </c>
      <c r="H525" t="s">
        <v>6036</v>
      </c>
      <c r="I525" t="s">
        <v>6046</v>
      </c>
      <c r="J525" t="s">
        <v>6054</v>
      </c>
      <c r="K525" t="s">
        <v>6062</v>
      </c>
      <c r="L525" t="s">
        <v>6573</v>
      </c>
      <c r="M525">
        <v>956.74</v>
      </c>
      <c r="N525">
        <v>1</v>
      </c>
      <c r="O525">
        <v>0.18</v>
      </c>
      <c r="P525">
        <v>-1.31</v>
      </c>
      <c r="Q525" t="s">
        <v>9894</v>
      </c>
      <c r="R525">
        <v>2</v>
      </c>
      <c r="S525" s="5">
        <f t="shared" si="16"/>
        <v>-1.3692330204653303E-3</v>
      </c>
      <c r="T525">
        <v>956.74</v>
      </c>
      <c r="U525">
        <v>4</v>
      </c>
      <c r="V525">
        <v>2023</v>
      </c>
      <c r="W525">
        <v>2</v>
      </c>
      <c r="X525" t="s">
        <v>9898</v>
      </c>
      <c r="Y525" t="s">
        <v>9900</v>
      </c>
      <c r="Z525" t="s">
        <v>9899</v>
      </c>
      <c r="AD525">
        <f t="shared" si="17"/>
        <v>2</v>
      </c>
    </row>
    <row r="526" spans="1:30" x14ac:dyDescent="0.25">
      <c r="A526" t="s">
        <v>550</v>
      </c>
      <c r="B526" s="2">
        <v>44982</v>
      </c>
      <c r="C526" s="2">
        <v>44988</v>
      </c>
      <c r="D526" t="s">
        <v>5354</v>
      </c>
      <c r="E526" t="s">
        <v>5854</v>
      </c>
      <c r="F526" t="s">
        <v>6026</v>
      </c>
      <c r="G526" t="s">
        <v>6030</v>
      </c>
      <c r="H526" t="s">
        <v>6035</v>
      </c>
      <c r="I526" t="s">
        <v>6051</v>
      </c>
      <c r="J526" t="s">
        <v>6055</v>
      </c>
      <c r="K526" t="s">
        <v>6064</v>
      </c>
      <c r="L526" t="s">
        <v>6574</v>
      </c>
      <c r="M526">
        <v>367.09</v>
      </c>
      <c r="N526">
        <v>4</v>
      </c>
      <c r="O526">
        <v>0.17</v>
      </c>
      <c r="P526">
        <v>45.12</v>
      </c>
      <c r="Q526" t="s">
        <v>9895</v>
      </c>
      <c r="R526">
        <v>6</v>
      </c>
      <c r="S526" s="5">
        <f t="shared" si="16"/>
        <v>0.12291263722792775</v>
      </c>
      <c r="T526">
        <v>91.772499999999994</v>
      </c>
      <c r="U526">
        <v>2</v>
      </c>
      <c r="V526">
        <v>2023</v>
      </c>
      <c r="W526">
        <v>1</v>
      </c>
      <c r="X526" t="s">
        <v>9899</v>
      </c>
      <c r="Y526" t="s">
        <v>9900</v>
      </c>
      <c r="Z526" t="s">
        <v>9899</v>
      </c>
      <c r="AD526">
        <f t="shared" si="17"/>
        <v>6</v>
      </c>
    </row>
    <row r="527" spans="1:30" x14ac:dyDescent="0.25">
      <c r="A527" t="s">
        <v>551</v>
      </c>
      <c r="B527" s="2">
        <v>44809</v>
      </c>
      <c r="C527" s="2">
        <v>44813</v>
      </c>
      <c r="D527" t="s">
        <v>5355</v>
      </c>
      <c r="E527" t="s">
        <v>5855</v>
      </c>
      <c r="F527" t="s">
        <v>6026</v>
      </c>
      <c r="G527" t="s">
        <v>6031</v>
      </c>
      <c r="H527" t="s">
        <v>6043</v>
      </c>
      <c r="I527" t="s">
        <v>6050</v>
      </c>
      <c r="J527" t="s">
        <v>6055</v>
      </c>
      <c r="K527" t="s">
        <v>6061</v>
      </c>
      <c r="L527" t="s">
        <v>6246</v>
      </c>
      <c r="M527">
        <v>222.79</v>
      </c>
      <c r="N527">
        <v>5</v>
      </c>
      <c r="O527">
        <v>0.02</v>
      </c>
      <c r="P527">
        <v>55.21</v>
      </c>
      <c r="Q527" t="s">
        <v>9893</v>
      </c>
      <c r="R527">
        <v>4</v>
      </c>
      <c r="S527" s="5">
        <f t="shared" si="16"/>
        <v>0.24781184074689169</v>
      </c>
      <c r="T527">
        <v>44.558</v>
      </c>
      <c r="U527">
        <v>9</v>
      </c>
      <c r="V527">
        <v>2022</v>
      </c>
      <c r="W527">
        <v>3</v>
      </c>
      <c r="X527" t="s">
        <v>9899</v>
      </c>
      <c r="Y527" t="s">
        <v>9901</v>
      </c>
      <c r="Z527" t="s">
        <v>9899</v>
      </c>
      <c r="AD527">
        <f t="shared" si="17"/>
        <v>4</v>
      </c>
    </row>
    <row r="528" spans="1:30" x14ac:dyDescent="0.25">
      <c r="A528" t="s">
        <v>552</v>
      </c>
      <c r="B528" s="2">
        <v>44812</v>
      </c>
      <c r="C528" s="2">
        <v>44817</v>
      </c>
      <c r="D528" t="s">
        <v>5070</v>
      </c>
      <c r="E528" t="s">
        <v>5570</v>
      </c>
      <c r="F528" t="s">
        <v>6028</v>
      </c>
      <c r="G528" t="s">
        <v>6031</v>
      </c>
      <c r="H528" t="s">
        <v>6037</v>
      </c>
      <c r="I528" t="s">
        <v>6052</v>
      </c>
      <c r="J528" t="s">
        <v>6055</v>
      </c>
      <c r="K528" t="s">
        <v>6064</v>
      </c>
      <c r="L528" t="s">
        <v>6575</v>
      </c>
      <c r="M528">
        <v>386.88</v>
      </c>
      <c r="N528">
        <v>7</v>
      </c>
      <c r="O528">
        <v>0.08</v>
      </c>
      <c r="P528">
        <v>9.57</v>
      </c>
      <c r="Q528" t="s">
        <v>9893</v>
      </c>
      <c r="R528">
        <v>5</v>
      </c>
      <c r="S528" s="5">
        <f t="shared" si="16"/>
        <v>2.47363523573201E-2</v>
      </c>
      <c r="T528">
        <v>55.268571428571427</v>
      </c>
      <c r="U528">
        <v>9</v>
      </c>
      <c r="V528">
        <v>2022</v>
      </c>
      <c r="W528">
        <v>3</v>
      </c>
      <c r="X528" t="s">
        <v>9899</v>
      </c>
      <c r="Y528" t="s">
        <v>9901</v>
      </c>
      <c r="Z528" t="s">
        <v>9899</v>
      </c>
      <c r="AD528">
        <f t="shared" si="17"/>
        <v>5</v>
      </c>
    </row>
    <row r="529" spans="1:30" x14ac:dyDescent="0.25">
      <c r="A529" t="s">
        <v>553</v>
      </c>
      <c r="B529" s="2">
        <v>45403</v>
      </c>
      <c r="C529" s="2">
        <v>45405</v>
      </c>
      <c r="D529" t="s">
        <v>5356</v>
      </c>
      <c r="E529" t="s">
        <v>5856</v>
      </c>
      <c r="F529" t="s">
        <v>6026</v>
      </c>
      <c r="G529" t="s">
        <v>6030</v>
      </c>
      <c r="H529" t="s">
        <v>6039</v>
      </c>
      <c r="I529" t="s">
        <v>6051</v>
      </c>
      <c r="J529" t="s">
        <v>6054</v>
      </c>
      <c r="K529" t="s">
        <v>6059</v>
      </c>
      <c r="L529" t="s">
        <v>6576</v>
      </c>
      <c r="M529">
        <v>1641.28</v>
      </c>
      <c r="N529">
        <v>3</v>
      </c>
      <c r="O529">
        <v>0.08</v>
      </c>
      <c r="P529">
        <v>325.27</v>
      </c>
      <c r="Q529" t="s">
        <v>9894</v>
      </c>
      <c r="R529">
        <v>2</v>
      </c>
      <c r="S529" s="5">
        <f t="shared" si="16"/>
        <v>0.19818068824332227</v>
      </c>
      <c r="T529">
        <v>547.09333333333336</v>
      </c>
      <c r="U529">
        <v>4</v>
      </c>
      <c r="V529">
        <v>2024</v>
      </c>
      <c r="W529">
        <v>2</v>
      </c>
      <c r="X529" t="s">
        <v>9899</v>
      </c>
      <c r="Y529" t="s">
        <v>9901</v>
      </c>
      <c r="Z529" t="s">
        <v>9898</v>
      </c>
      <c r="AD529">
        <f t="shared" si="17"/>
        <v>2</v>
      </c>
    </row>
    <row r="530" spans="1:30" x14ac:dyDescent="0.25">
      <c r="A530" t="s">
        <v>554</v>
      </c>
      <c r="B530" s="2">
        <v>45416</v>
      </c>
      <c r="C530" s="2">
        <v>45419</v>
      </c>
      <c r="D530" t="s">
        <v>5357</v>
      </c>
      <c r="E530" t="s">
        <v>5857</v>
      </c>
      <c r="F530" t="s">
        <v>6027</v>
      </c>
      <c r="G530" t="s">
        <v>6030</v>
      </c>
      <c r="H530" t="s">
        <v>6035</v>
      </c>
      <c r="I530" t="s">
        <v>6051</v>
      </c>
      <c r="J530" t="s">
        <v>6054</v>
      </c>
      <c r="K530" t="s">
        <v>6060</v>
      </c>
      <c r="L530" t="s">
        <v>6577</v>
      </c>
      <c r="M530">
        <v>216.1</v>
      </c>
      <c r="N530">
        <v>6</v>
      </c>
      <c r="O530">
        <v>0.09</v>
      </c>
      <c r="P530">
        <v>34.76</v>
      </c>
      <c r="Q530" t="s">
        <v>9894</v>
      </c>
      <c r="R530">
        <v>3</v>
      </c>
      <c r="S530" s="5">
        <f t="shared" si="16"/>
        <v>0.16085145765849143</v>
      </c>
      <c r="T530">
        <v>36.016666666666673</v>
      </c>
      <c r="U530">
        <v>5</v>
      </c>
      <c r="V530">
        <v>2024</v>
      </c>
      <c r="W530">
        <v>2</v>
      </c>
      <c r="X530" t="s">
        <v>9899</v>
      </c>
      <c r="Y530" t="s">
        <v>9901</v>
      </c>
      <c r="Z530" t="s">
        <v>9899</v>
      </c>
      <c r="AD530">
        <f t="shared" si="17"/>
        <v>3</v>
      </c>
    </row>
    <row r="531" spans="1:30" x14ac:dyDescent="0.25">
      <c r="A531" t="s">
        <v>555</v>
      </c>
      <c r="B531" s="2">
        <v>45117</v>
      </c>
      <c r="C531" s="2">
        <v>45122</v>
      </c>
      <c r="D531" t="s">
        <v>5142</v>
      </c>
      <c r="E531" t="s">
        <v>5642</v>
      </c>
      <c r="F531" t="s">
        <v>6028</v>
      </c>
      <c r="G531" t="s">
        <v>6031</v>
      </c>
      <c r="H531" t="s">
        <v>6034</v>
      </c>
      <c r="I531" t="s">
        <v>6048</v>
      </c>
      <c r="J531" t="s">
        <v>6054</v>
      </c>
      <c r="K531" t="s">
        <v>6060</v>
      </c>
      <c r="L531" t="s">
        <v>6578</v>
      </c>
      <c r="M531">
        <v>741.46</v>
      </c>
      <c r="N531">
        <v>7</v>
      </c>
      <c r="O531">
        <v>0.28000000000000003</v>
      </c>
      <c r="P531">
        <v>-125.41</v>
      </c>
      <c r="Q531" t="s">
        <v>9895</v>
      </c>
      <c r="R531">
        <v>5</v>
      </c>
      <c r="S531" s="5">
        <f t="shared" si="16"/>
        <v>-0.16913926577293448</v>
      </c>
      <c r="T531">
        <v>105.9228571428572</v>
      </c>
      <c r="U531">
        <v>7</v>
      </c>
      <c r="V531">
        <v>2023</v>
      </c>
      <c r="W531">
        <v>3</v>
      </c>
      <c r="X531" t="s">
        <v>9898</v>
      </c>
      <c r="Y531" t="s">
        <v>9900</v>
      </c>
      <c r="Z531" t="s">
        <v>9899</v>
      </c>
      <c r="AD531">
        <f t="shared" si="17"/>
        <v>5</v>
      </c>
    </row>
    <row r="532" spans="1:30" x14ac:dyDescent="0.25">
      <c r="A532" t="s">
        <v>556</v>
      </c>
      <c r="B532" s="2">
        <v>45331</v>
      </c>
      <c r="C532" s="2">
        <v>45335</v>
      </c>
      <c r="D532" t="s">
        <v>5358</v>
      </c>
      <c r="E532" t="s">
        <v>5858</v>
      </c>
      <c r="F532" t="s">
        <v>6027</v>
      </c>
      <c r="G532" t="s">
        <v>6030</v>
      </c>
      <c r="H532" t="s">
        <v>6033</v>
      </c>
      <c r="I532" t="s">
        <v>6051</v>
      </c>
      <c r="J532" t="s">
        <v>6053</v>
      </c>
      <c r="K532" t="s">
        <v>6058</v>
      </c>
      <c r="L532" t="s">
        <v>6579</v>
      </c>
      <c r="M532">
        <v>654.75</v>
      </c>
      <c r="N532">
        <v>6</v>
      </c>
      <c r="O532">
        <v>0.16</v>
      </c>
      <c r="P532">
        <v>-17.02</v>
      </c>
      <c r="Q532" t="s">
        <v>9893</v>
      </c>
      <c r="R532">
        <v>4</v>
      </c>
      <c r="S532" s="5">
        <f t="shared" si="16"/>
        <v>-2.5994654448262693E-2</v>
      </c>
      <c r="T532">
        <v>109.125</v>
      </c>
      <c r="U532">
        <v>2</v>
      </c>
      <c r="V532">
        <v>2024</v>
      </c>
      <c r="W532">
        <v>1</v>
      </c>
      <c r="X532" t="s">
        <v>9898</v>
      </c>
      <c r="Y532" t="s">
        <v>9900</v>
      </c>
      <c r="Z532" t="s">
        <v>9899</v>
      </c>
      <c r="AD532">
        <f t="shared" si="17"/>
        <v>4</v>
      </c>
    </row>
    <row r="533" spans="1:30" x14ac:dyDescent="0.25">
      <c r="A533" t="s">
        <v>557</v>
      </c>
      <c r="B533" s="2">
        <v>45388</v>
      </c>
      <c r="C533" s="2">
        <v>45393</v>
      </c>
      <c r="D533" t="s">
        <v>5359</v>
      </c>
      <c r="E533" t="s">
        <v>5859</v>
      </c>
      <c r="F533" t="s">
        <v>6028</v>
      </c>
      <c r="G533" t="s">
        <v>6029</v>
      </c>
      <c r="H533" t="s">
        <v>6041</v>
      </c>
      <c r="I533" t="s">
        <v>6046</v>
      </c>
      <c r="J533" t="s">
        <v>6054</v>
      </c>
      <c r="K533" t="s">
        <v>6060</v>
      </c>
      <c r="L533" t="s">
        <v>6580</v>
      </c>
      <c r="M533">
        <v>1207.77</v>
      </c>
      <c r="N533">
        <v>2</v>
      </c>
      <c r="O533">
        <v>0.35</v>
      </c>
      <c r="P533">
        <v>-106.43</v>
      </c>
      <c r="Q533" t="s">
        <v>9896</v>
      </c>
      <c r="R533">
        <v>5</v>
      </c>
      <c r="S533" s="5">
        <f t="shared" si="16"/>
        <v>-8.8121082656466052E-2</v>
      </c>
      <c r="T533">
        <v>603.88499999999999</v>
      </c>
      <c r="U533">
        <v>4</v>
      </c>
      <c r="V533">
        <v>2024</v>
      </c>
      <c r="W533">
        <v>2</v>
      </c>
      <c r="X533" t="s">
        <v>9898</v>
      </c>
      <c r="Y533" t="s">
        <v>9902</v>
      </c>
      <c r="Z533" t="s">
        <v>9898</v>
      </c>
      <c r="AD533">
        <f t="shared" si="17"/>
        <v>5</v>
      </c>
    </row>
    <row r="534" spans="1:30" x14ac:dyDescent="0.25">
      <c r="A534" t="s">
        <v>558</v>
      </c>
      <c r="B534" s="2">
        <v>44974</v>
      </c>
      <c r="C534" s="2">
        <v>44978</v>
      </c>
      <c r="D534" t="s">
        <v>5050</v>
      </c>
      <c r="E534" t="s">
        <v>5550</v>
      </c>
      <c r="F534" t="s">
        <v>6027</v>
      </c>
      <c r="G534" t="s">
        <v>6030</v>
      </c>
      <c r="H534" t="s">
        <v>6035</v>
      </c>
      <c r="I534" t="s">
        <v>6051</v>
      </c>
      <c r="J534" t="s">
        <v>6055</v>
      </c>
      <c r="K534" t="s">
        <v>6061</v>
      </c>
      <c r="L534" t="s">
        <v>6581</v>
      </c>
      <c r="M534">
        <v>277.01</v>
      </c>
      <c r="N534">
        <v>7</v>
      </c>
      <c r="O534">
        <v>0.05</v>
      </c>
      <c r="P534">
        <v>43.75</v>
      </c>
      <c r="Q534" t="s">
        <v>9895</v>
      </c>
      <c r="R534">
        <v>4</v>
      </c>
      <c r="S534" s="5">
        <f t="shared" si="16"/>
        <v>0.15793653658712684</v>
      </c>
      <c r="T534">
        <v>39.572857142857139</v>
      </c>
      <c r="U534">
        <v>2</v>
      </c>
      <c r="V534">
        <v>2023</v>
      </c>
      <c r="W534">
        <v>1</v>
      </c>
      <c r="X534" t="s">
        <v>9899</v>
      </c>
      <c r="Y534" t="s">
        <v>9901</v>
      </c>
      <c r="Z534" t="s">
        <v>9899</v>
      </c>
      <c r="AD534">
        <f t="shared" si="17"/>
        <v>4</v>
      </c>
    </row>
    <row r="535" spans="1:30" x14ac:dyDescent="0.25">
      <c r="A535" t="s">
        <v>559</v>
      </c>
      <c r="B535" s="2">
        <v>45309</v>
      </c>
      <c r="C535" s="2">
        <v>45315</v>
      </c>
      <c r="D535" t="s">
        <v>5360</v>
      </c>
      <c r="E535" t="s">
        <v>5860</v>
      </c>
      <c r="F535" t="s">
        <v>6026</v>
      </c>
      <c r="G535" t="s">
        <v>6031</v>
      </c>
      <c r="H535" t="s">
        <v>6042</v>
      </c>
      <c r="I535" t="s">
        <v>6048</v>
      </c>
      <c r="J535" t="s">
        <v>6054</v>
      </c>
      <c r="K535" t="s">
        <v>6059</v>
      </c>
      <c r="L535" t="s">
        <v>6582</v>
      </c>
      <c r="M535">
        <v>1722.01</v>
      </c>
      <c r="N535">
        <v>5</v>
      </c>
      <c r="O535">
        <v>0</v>
      </c>
      <c r="P535">
        <v>357.19</v>
      </c>
      <c r="Q535" t="s">
        <v>9896</v>
      </c>
      <c r="R535">
        <v>6</v>
      </c>
      <c r="S535" s="5">
        <f t="shared" si="16"/>
        <v>0.20742620542273274</v>
      </c>
      <c r="T535">
        <v>344.40199999999999</v>
      </c>
      <c r="U535">
        <v>1</v>
      </c>
      <c r="V535">
        <v>2024</v>
      </c>
      <c r="W535">
        <v>1</v>
      </c>
      <c r="X535" t="s">
        <v>9899</v>
      </c>
      <c r="Y535" t="s">
        <v>9901</v>
      </c>
      <c r="Z535" t="s">
        <v>9898</v>
      </c>
      <c r="AD535">
        <f t="shared" si="17"/>
        <v>6</v>
      </c>
    </row>
    <row r="536" spans="1:30" x14ac:dyDescent="0.25">
      <c r="A536" t="s">
        <v>560</v>
      </c>
      <c r="B536" s="2">
        <v>45286</v>
      </c>
      <c r="C536" s="2">
        <v>45288</v>
      </c>
      <c r="D536" t="s">
        <v>5083</v>
      </c>
      <c r="E536" t="s">
        <v>5583</v>
      </c>
      <c r="F536" t="s">
        <v>6027</v>
      </c>
      <c r="G536" t="s">
        <v>6029</v>
      </c>
      <c r="H536" t="s">
        <v>6045</v>
      </c>
      <c r="I536" t="s">
        <v>6049</v>
      </c>
      <c r="J536" t="s">
        <v>6054</v>
      </c>
      <c r="K536" t="s">
        <v>6060</v>
      </c>
      <c r="L536" t="s">
        <v>6583</v>
      </c>
      <c r="M536">
        <v>638.76</v>
      </c>
      <c r="N536">
        <v>5</v>
      </c>
      <c r="O536">
        <v>0.28000000000000003</v>
      </c>
      <c r="P536">
        <v>-91.08</v>
      </c>
      <c r="Q536" t="s">
        <v>9896</v>
      </c>
      <c r="R536">
        <v>2</v>
      </c>
      <c r="S536" s="5">
        <f t="shared" si="16"/>
        <v>-0.14258876573360887</v>
      </c>
      <c r="T536">
        <v>127.752</v>
      </c>
      <c r="U536">
        <v>12</v>
      </c>
      <c r="V536">
        <v>2023</v>
      </c>
      <c r="W536">
        <v>4</v>
      </c>
      <c r="X536" t="s">
        <v>9898</v>
      </c>
      <c r="Y536" t="s">
        <v>9900</v>
      </c>
      <c r="Z536" t="s">
        <v>9899</v>
      </c>
      <c r="AD536">
        <f t="shared" si="17"/>
        <v>2</v>
      </c>
    </row>
    <row r="537" spans="1:30" x14ac:dyDescent="0.25">
      <c r="A537" t="s">
        <v>561</v>
      </c>
      <c r="B537" s="2">
        <v>44895</v>
      </c>
      <c r="C537" s="2">
        <v>44898</v>
      </c>
      <c r="D537" t="s">
        <v>5098</v>
      </c>
      <c r="E537" t="s">
        <v>5598</v>
      </c>
      <c r="F537" t="s">
        <v>6027</v>
      </c>
      <c r="G537" t="s">
        <v>6031</v>
      </c>
      <c r="H537" t="s">
        <v>6043</v>
      </c>
      <c r="I537" t="s">
        <v>6052</v>
      </c>
      <c r="J537" t="s">
        <v>6055</v>
      </c>
      <c r="K537" t="s">
        <v>6061</v>
      </c>
      <c r="L537" t="s">
        <v>6584</v>
      </c>
      <c r="M537">
        <v>1234.5</v>
      </c>
      <c r="N537">
        <v>4</v>
      </c>
      <c r="O537">
        <v>0.31</v>
      </c>
      <c r="P537">
        <v>-150.85</v>
      </c>
      <c r="Q537" t="s">
        <v>9896</v>
      </c>
      <c r="R537">
        <v>3</v>
      </c>
      <c r="S537" s="5">
        <f t="shared" si="16"/>
        <v>-0.12219522073714054</v>
      </c>
      <c r="T537">
        <v>308.625</v>
      </c>
      <c r="U537">
        <v>11</v>
      </c>
      <c r="V537">
        <v>2022</v>
      </c>
      <c r="W537">
        <v>4</v>
      </c>
      <c r="X537" t="s">
        <v>9898</v>
      </c>
      <c r="Y537" t="s">
        <v>9902</v>
      </c>
      <c r="Z537" t="s">
        <v>9898</v>
      </c>
      <c r="AD537">
        <f t="shared" si="17"/>
        <v>3</v>
      </c>
    </row>
    <row r="538" spans="1:30" x14ac:dyDescent="0.25">
      <c r="A538" t="s">
        <v>562</v>
      </c>
      <c r="B538" s="2">
        <v>45153</v>
      </c>
      <c r="C538" s="2">
        <v>45155</v>
      </c>
      <c r="D538" t="s">
        <v>5068</v>
      </c>
      <c r="E538" t="s">
        <v>5568</v>
      </c>
      <c r="F538" t="s">
        <v>6028</v>
      </c>
      <c r="G538" t="s">
        <v>6030</v>
      </c>
      <c r="H538" t="s">
        <v>6035</v>
      </c>
      <c r="I538" t="s">
        <v>6047</v>
      </c>
      <c r="J538" t="s">
        <v>6053</v>
      </c>
      <c r="K538" t="s">
        <v>6058</v>
      </c>
      <c r="L538" t="s">
        <v>6585</v>
      </c>
      <c r="M538">
        <v>306.33999999999997</v>
      </c>
      <c r="N538">
        <v>6</v>
      </c>
      <c r="O538">
        <v>0.2</v>
      </c>
      <c r="P538">
        <v>-29.65</v>
      </c>
      <c r="Q538" t="s">
        <v>9895</v>
      </c>
      <c r="R538">
        <v>2</v>
      </c>
      <c r="S538" s="5">
        <f t="shared" si="16"/>
        <v>-9.6787882744662795E-2</v>
      </c>
      <c r="T538">
        <v>51.056666666666658</v>
      </c>
      <c r="U538">
        <v>8</v>
      </c>
      <c r="V538">
        <v>2023</v>
      </c>
      <c r="W538">
        <v>3</v>
      </c>
      <c r="X538" t="s">
        <v>9898</v>
      </c>
      <c r="Y538" t="s">
        <v>9900</v>
      </c>
      <c r="Z538" t="s">
        <v>9899</v>
      </c>
      <c r="AD538">
        <f t="shared" si="17"/>
        <v>2</v>
      </c>
    </row>
    <row r="539" spans="1:30" x14ac:dyDescent="0.25">
      <c r="A539" t="s">
        <v>563</v>
      </c>
      <c r="B539" s="2">
        <v>45003</v>
      </c>
      <c r="C539" s="2">
        <v>45008</v>
      </c>
      <c r="D539" t="s">
        <v>5310</v>
      </c>
      <c r="E539" t="s">
        <v>5810</v>
      </c>
      <c r="F539" t="s">
        <v>6027</v>
      </c>
      <c r="G539" t="s">
        <v>6029</v>
      </c>
      <c r="H539" t="s">
        <v>6045</v>
      </c>
      <c r="I539" t="s">
        <v>6050</v>
      </c>
      <c r="J539" t="s">
        <v>6053</v>
      </c>
      <c r="K539" t="s">
        <v>6056</v>
      </c>
      <c r="L539" t="s">
        <v>6586</v>
      </c>
      <c r="M539">
        <v>1448.01</v>
      </c>
      <c r="N539">
        <v>4</v>
      </c>
      <c r="O539">
        <v>0.02</v>
      </c>
      <c r="P539">
        <v>383.33</v>
      </c>
      <c r="Q539" t="s">
        <v>9895</v>
      </c>
      <c r="R539">
        <v>5</v>
      </c>
      <c r="S539" s="5">
        <f t="shared" si="16"/>
        <v>0.26472883474561637</v>
      </c>
      <c r="T539">
        <v>362.0025</v>
      </c>
      <c r="U539">
        <v>3</v>
      </c>
      <c r="V539">
        <v>2023</v>
      </c>
      <c r="W539">
        <v>1</v>
      </c>
      <c r="X539" t="s">
        <v>9899</v>
      </c>
      <c r="Y539" t="s">
        <v>9901</v>
      </c>
      <c r="Z539" t="s">
        <v>9898</v>
      </c>
      <c r="AD539">
        <f t="shared" si="17"/>
        <v>5</v>
      </c>
    </row>
    <row r="540" spans="1:30" x14ac:dyDescent="0.25">
      <c r="A540" t="s">
        <v>564</v>
      </c>
      <c r="B540" s="2">
        <v>44635</v>
      </c>
      <c r="C540" s="2">
        <v>44642</v>
      </c>
      <c r="D540" t="s">
        <v>5361</v>
      </c>
      <c r="E540" t="s">
        <v>5861</v>
      </c>
      <c r="F540" t="s">
        <v>6028</v>
      </c>
      <c r="G540" t="s">
        <v>6029</v>
      </c>
      <c r="H540" t="s">
        <v>6045</v>
      </c>
      <c r="I540" t="s">
        <v>6050</v>
      </c>
      <c r="J540" t="s">
        <v>6054</v>
      </c>
      <c r="K540" t="s">
        <v>6060</v>
      </c>
      <c r="L540" t="s">
        <v>6587</v>
      </c>
      <c r="M540">
        <v>1019.47</v>
      </c>
      <c r="N540">
        <v>1</v>
      </c>
      <c r="O540">
        <v>0.22</v>
      </c>
      <c r="P540">
        <v>-93.59</v>
      </c>
      <c r="Q540" t="s">
        <v>9893</v>
      </c>
      <c r="R540">
        <v>7</v>
      </c>
      <c r="S540" s="5">
        <f t="shared" si="16"/>
        <v>-9.1802603313486414E-2</v>
      </c>
      <c r="T540">
        <v>1019.47</v>
      </c>
      <c r="U540">
        <v>3</v>
      </c>
      <c r="V540">
        <v>2022</v>
      </c>
      <c r="W540">
        <v>1</v>
      </c>
      <c r="X540" t="s">
        <v>9898</v>
      </c>
      <c r="Y540" t="s">
        <v>9900</v>
      </c>
      <c r="Z540" t="s">
        <v>9898</v>
      </c>
      <c r="AD540">
        <f t="shared" si="17"/>
        <v>7</v>
      </c>
    </row>
    <row r="541" spans="1:30" x14ac:dyDescent="0.25">
      <c r="A541" t="s">
        <v>565</v>
      </c>
      <c r="B541" s="2">
        <v>45442</v>
      </c>
      <c r="C541" s="2">
        <v>45446</v>
      </c>
      <c r="D541" t="s">
        <v>5337</v>
      </c>
      <c r="E541" t="s">
        <v>5837</v>
      </c>
      <c r="F541" t="s">
        <v>6026</v>
      </c>
      <c r="G541" t="s">
        <v>6029</v>
      </c>
      <c r="H541" t="s">
        <v>6032</v>
      </c>
      <c r="I541" t="s">
        <v>6050</v>
      </c>
      <c r="J541" t="s">
        <v>6055</v>
      </c>
      <c r="K541" t="s">
        <v>6064</v>
      </c>
      <c r="L541" t="s">
        <v>6588</v>
      </c>
      <c r="M541">
        <v>1082.76</v>
      </c>
      <c r="N541">
        <v>3</v>
      </c>
      <c r="O541">
        <v>0.16</v>
      </c>
      <c r="P541">
        <v>17.350000000000001</v>
      </c>
      <c r="Q541" t="s">
        <v>9894</v>
      </c>
      <c r="R541">
        <v>4</v>
      </c>
      <c r="S541" s="5">
        <f t="shared" si="16"/>
        <v>1.6023864937751674E-2</v>
      </c>
      <c r="T541">
        <v>360.92</v>
      </c>
      <c r="U541">
        <v>5</v>
      </c>
      <c r="V541">
        <v>2024</v>
      </c>
      <c r="W541">
        <v>2</v>
      </c>
      <c r="X541" t="s">
        <v>9899</v>
      </c>
      <c r="Y541" t="s">
        <v>9900</v>
      </c>
      <c r="Z541" t="s">
        <v>9898</v>
      </c>
      <c r="AD541">
        <f t="shared" si="17"/>
        <v>4</v>
      </c>
    </row>
    <row r="542" spans="1:30" x14ac:dyDescent="0.25">
      <c r="A542" t="s">
        <v>566</v>
      </c>
      <c r="B542" s="2">
        <v>44634</v>
      </c>
      <c r="C542" s="2">
        <v>44636</v>
      </c>
      <c r="D542" t="s">
        <v>5362</v>
      </c>
      <c r="E542" t="s">
        <v>5862</v>
      </c>
      <c r="F542" t="s">
        <v>6028</v>
      </c>
      <c r="G542" t="s">
        <v>6029</v>
      </c>
      <c r="H542" t="s">
        <v>6044</v>
      </c>
      <c r="I542" t="s">
        <v>6049</v>
      </c>
      <c r="J542" t="s">
        <v>6054</v>
      </c>
      <c r="K542" t="s">
        <v>6060</v>
      </c>
      <c r="L542" t="s">
        <v>6589</v>
      </c>
      <c r="M542">
        <v>931.76</v>
      </c>
      <c r="N542">
        <v>3</v>
      </c>
      <c r="O542">
        <v>0.24</v>
      </c>
      <c r="P542">
        <v>-89.4</v>
      </c>
      <c r="Q542" t="s">
        <v>9893</v>
      </c>
      <c r="R542">
        <v>2</v>
      </c>
      <c r="S542" s="5">
        <f t="shared" si="16"/>
        <v>-9.5947454280072134E-2</v>
      </c>
      <c r="T542">
        <v>310.58666666666659</v>
      </c>
      <c r="U542">
        <v>3</v>
      </c>
      <c r="V542">
        <v>2022</v>
      </c>
      <c r="W542">
        <v>1</v>
      </c>
      <c r="X542" t="s">
        <v>9898</v>
      </c>
      <c r="Y542" t="s">
        <v>9900</v>
      </c>
      <c r="Z542" t="s">
        <v>9899</v>
      </c>
      <c r="AD542">
        <f t="shared" si="17"/>
        <v>2</v>
      </c>
    </row>
    <row r="543" spans="1:30" x14ac:dyDescent="0.25">
      <c r="A543" t="s">
        <v>567</v>
      </c>
      <c r="B543" s="2">
        <v>45105</v>
      </c>
      <c r="C543" s="2">
        <v>45112</v>
      </c>
      <c r="D543" t="s">
        <v>5068</v>
      </c>
      <c r="E543" t="s">
        <v>5568</v>
      </c>
      <c r="F543" t="s">
        <v>6027</v>
      </c>
      <c r="G543" t="s">
        <v>6031</v>
      </c>
      <c r="H543" t="s">
        <v>6042</v>
      </c>
      <c r="I543" t="s">
        <v>6052</v>
      </c>
      <c r="J543" t="s">
        <v>6054</v>
      </c>
      <c r="K543" t="s">
        <v>6060</v>
      </c>
      <c r="L543" t="s">
        <v>6590</v>
      </c>
      <c r="M543">
        <v>1177.31</v>
      </c>
      <c r="N543">
        <v>8</v>
      </c>
      <c r="O543">
        <v>0.09</v>
      </c>
      <c r="P543">
        <v>94.08</v>
      </c>
      <c r="Q543" t="s">
        <v>9894</v>
      </c>
      <c r="R543">
        <v>7</v>
      </c>
      <c r="S543" s="5">
        <f t="shared" si="16"/>
        <v>7.9910983513263284E-2</v>
      </c>
      <c r="T543">
        <v>147.16374999999999</v>
      </c>
      <c r="U543">
        <v>6</v>
      </c>
      <c r="V543">
        <v>2023</v>
      </c>
      <c r="W543">
        <v>2</v>
      </c>
      <c r="X543" t="s">
        <v>9899</v>
      </c>
      <c r="Y543" t="s">
        <v>9901</v>
      </c>
      <c r="Z543" t="s">
        <v>9898</v>
      </c>
      <c r="AD543">
        <f t="shared" si="17"/>
        <v>7</v>
      </c>
    </row>
    <row r="544" spans="1:30" x14ac:dyDescent="0.25">
      <c r="A544" t="s">
        <v>568</v>
      </c>
      <c r="B544" s="2">
        <v>45442</v>
      </c>
      <c r="C544" s="2">
        <v>45449</v>
      </c>
      <c r="D544" t="s">
        <v>5363</v>
      </c>
      <c r="E544" t="s">
        <v>5863</v>
      </c>
      <c r="F544" t="s">
        <v>6026</v>
      </c>
      <c r="G544" t="s">
        <v>6030</v>
      </c>
      <c r="H544" t="s">
        <v>6039</v>
      </c>
      <c r="I544" t="s">
        <v>6051</v>
      </c>
      <c r="J544" t="s">
        <v>6053</v>
      </c>
      <c r="K544" t="s">
        <v>6056</v>
      </c>
      <c r="L544" t="s">
        <v>6591</v>
      </c>
      <c r="M544">
        <v>1646.99</v>
      </c>
      <c r="N544">
        <v>6</v>
      </c>
      <c r="O544">
        <v>0.03</v>
      </c>
      <c r="P544">
        <v>351.2</v>
      </c>
      <c r="Q544" t="s">
        <v>9897</v>
      </c>
      <c r="R544">
        <v>7</v>
      </c>
      <c r="S544" s="5">
        <f t="shared" si="16"/>
        <v>0.21323748170905713</v>
      </c>
      <c r="T544">
        <v>274.49833333333328</v>
      </c>
      <c r="U544">
        <v>5</v>
      </c>
      <c r="V544">
        <v>2024</v>
      </c>
      <c r="W544">
        <v>2</v>
      </c>
      <c r="X544" t="s">
        <v>9899</v>
      </c>
      <c r="Y544" t="s">
        <v>9901</v>
      </c>
      <c r="Z544" t="s">
        <v>9898</v>
      </c>
      <c r="AD544">
        <f t="shared" si="17"/>
        <v>7</v>
      </c>
    </row>
    <row r="545" spans="1:30" x14ac:dyDescent="0.25">
      <c r="A545" t="s">
        <v>569</v>
      </c>
      <c r="B545" s="2">
        <v>45078</v>
      </c>
      <c r="C545" s="2">
        <v>45079</v>
      </c>
      <c r="D545" t="s">
        <v>5106</v>
      </c>
      <c r="E545" t="s">
        <v>5606</v>
      </c>
      <c r="F545" t="s">
        <v>6027</v>
      </c>
      <c r="G545" t="s">
        <v>6031</v>
      </c>
      <c r="H545" t="s">
        <v>6034</v>
      </c>
      <c r="I545" t="s">
        <v>6050</v>
      </c>
      <c r="J545" t="s">
        <v>6053</v>
      </c>
      <c r="K545" t="s">
        <v>6056</v>
      </c>
      <c r="L545" t="s">
        <v>6592</v>
      </c>
      <c r="M545">
        <v>1392.98</v>
      </c>
      <c r="N545">
        <v>7</v>
      </c>
      <c r="O545">
        <v>0.31</v>
      </c>
      <c r="P545">
        <v>-163.38999999999999</v>
      </c>
      <c r="Q545" t="s">
        <v>9895</v>
      </c>
      <c r="R545">
        <v>1</v>
      </c>
      <c r="S545" s="5">
        <f t="shared" si="16"/>
        <v>-0.11729529497910952</v>
      </c>
      <c r="T545">
        <v>198.99714285714279</v>
      </c>
      <c r="U545">
        <v>6</v>
      </c>
      <c r="V545">
        <v>2023</v>
      </c>
      <c r="W545">
        <v>2</v>
      </c>
      <c r="X545" t="s">
        <v>9898</v>
      </c>
      <c r="Y545" t="s">
        <v>9902</v>
      </c>
      <c r="Z545" t="s">
        <v>9898</v>
      </c>
      <c r="AD545">
        <f t="shared" si="17"/>
        <v>1</v>
      </c>
    </row>
    <row r="546" spans="1:30" x14ac:dyDescent="0.25">
      <c r="A546" t="s">
        <v>570</v>
      </c>
      <c r="B546" s="2">
        <v>45052</v>
      </c>
      <c r="C546" s="2">
        <v>45055</v>
      </c>
      <c r="D546" t="s">
        <v>5081</v>
      </c>
      <c r="E546" t="s">
        <v>5581</v>
      </c>
      <c r="F546" t="s">
        <v>6026</v>
      </c>
      <c r="G546" t="s">
        <v>6029</v>
      </c>
      <c r="H546" t="s">
        <v>6041</v>
      </c>
      <c r="I546" t="s">
        <v>6050</v>
      </c>
      <c r="J546" t="s">
        <v>6054</v>
      </c>
      <c r="K546" t="s">
        <v>6060</v>
      </c>
      <c r="L546" t="s">
        <v>6593</v>
      </c>
      <c r="M546">
        <v>705.36</v>
      </c>
      <c r="N546">
        <v>6</v>
      </c>
      <c r="O546">
        <v>0.02</v>
      </c>
      <c r="P546">
        <v>115.35</v>
      </c>
      <c r="Q546" t="s">
        <v>9897</v>
      </c>
      <c r="R546">
        <v>3</v>
      </c>
      <c r="S546" s="5">
        <f t="shared" si="16"/>
        <v>0.16353351480095268</v>
      </c>
      <c r="T546">
        <v>117.56</v>
      </c>
      <c r="U546">
        <v>5</v>
      </c>
      <c r="V546">
        <v>2023</v>
      </c>
      <c r="W546">
        <v>2</v>
      </c>
      <c r="X546" t="s">
        <v>9899</v>
      </c>
      <c r="Y546" t="s">
        <v>9901</v>
      </c>
      <c r="Z546" t="s">
        <v>9899</v>
      </c>
      <c r="AD546">
        <f t="shared" si="17"/>
        <v>3</v>
      </c>
    </row>
    <row r="547" spans="1:30" x14ac:dyDescent="0.25">
      <c r="A547" t="s">
        <v>571</v>
      </c>
      <c r="B547" s="2">
        <v>45265</v>
      </c>
      <c r="C547" s="2">
        <v>45272</v>
      </c>
      <c r="D547" t="s">
        <v>5125</v>
      </c>
      <c r="E547" t="s">
        <v>5625</v>
      </c>
      <c r="F547" t="s">
        <v>6028</v>
      </c>
      <c r="G547" t="s">
        <v>6031</v>
      </c>
      <c r="H547" t="s">
        <v>6034</v>
      </c>
      <c r="I547" t="s">
        <v>6048</v>
      </c>
      <c r="J547" t="s">
        <v>6055</v>
      </c>
      <c r="K547" t="s">
        <v>6064</v>
      </c>
      <c r="L547" t="s">
        <v>6594</v>
      </c>
      <c r="M547">
        <v>1175.98</v>
      </c>
      <c r="N547">
        <v>1</v>
      </c>
      <c r="O547">
        <v>0.15</v>
      </c>
      <c r="P547">
        <v>38.619999999999997</v>
      </c>
      <c r="Q547" t="s">
        <v>9896</v>
      </c>
      <c r="R547">
        <v>7</v>
      </c>
      <c r="S547" s="5">
        <f t="shared" si="16"/>
        <v>3.2840694569635537E-2</v>
      </c>
      <c r="T547">
        <v>1175.98</v>
      </c>
      <c r="U547">
        <v>12</v>
      </c>
      <c r="V547">
        <v>2023</v>
      </c>
      <c r="W547">
        <v>4</v>
      </c>
      <c r="X547" t="s">
        <v>9899</v>
      </c>
      <c r="Y547" t="s">
        <v>9901</v>
      </c>
      <c r="Z547" t="s">
        <v>9898</v>
      </c>
      <c r="AD547">
        <f t="shared" si="17"/>
        <v>7</v>
      </c>
    </row>
    <row r="548" spans="1:30" x14ac:dyDescent="0.25">
      <c r="A548" t="s">
        <v>572</v>
      </c>
      <c r="B548" s="2">
        <v>45231</v>
      </c>
      <c r="C548" s="2">
        <v>45232</v>
      </c>
      <c r="D548" t="s">
        <v>5364</v>
      </c>
      <c r="E548" t="s">
        <v>5864</v>
      </c>
      <c r="F548" t="s">
        <v>6026</v>
      </c>
      <c r="G548" t="s">
        <v>6030</v>
      </c>
      <c r="H548" t="s">
        <v>6035</v>
      </c>
      <c r="I548" t="s">
        <v>6051</v>
      </c>
      <c r="J548" t="s">
        <v>6055</v>
      </c>
      <c r="K548" t="s">
        <v>6063</v>
      </c>
      <c r="L548" t="s">
        <v>6595</v>
      </c>
      <c r="M548">
        <v>1308.44</v>
      </c>
      <c r="N548">
        <v>4</v>
      </c>
      <c r="O548">
        <v>0.21</v>
      </c>
      <c r="P548">
        <v>16.059999999999999</v>
      </c>
      <c r="Q548" t="s">
        <v>9897</v>
      </c>
      <c r="R548">
        <v>1</v>
      </c>
      <c r="S548" s="5">
        <f t="shared" si="16"/>
        <v>1.2274158539940691E-2</v>
      </c>
      <c r="T548">
        <v>327.11</v>
      </c>
      <c r="U548">
        <v>11</v>
      </c>
      <c r="V548">
        <v>2023</v>
      </c>
      <c r="W548">
        <v>4</v>
      </c>
      <c r="X548" t="s">
        <v>9899</v>
      </c>
      <c r="Y548" t="s">
        <v>9900</v>
      </c>
      <c r="Z548" t="s">
        <v>9898</v>
      </c>
      <c r="AD548">
        <f t="shared" si="17"/>
        <v>1</v>
      </c>
    </row>
    <row r="549" spans="1:30" x14ac:dyDescent="0.25">
      <c r="A549" t="s">
        <v>573</v>
      </c>
      <c r="B549" s="2">
        <v>45190</v>
      </c>
      <c r="C549" s="2">
        <v>45193</v>
      </c>
      <c r="D549" t="s">
        <v>5219</v>
      </c>
      <c r="E549" t="s">
        <v>5719</v>
      </c>
      <c r="F549" t="s">
        <v>6028</v>
      </c>
      <c r="G549" t="s">
        <v>6030</v>
      </c>
      <c r="H549" t="s">
        <v>6033</v>
      </c>
      <c r="I549" t="s">
        <v>6047</v>
      </c>
      <c r="J549" t="s">
        <v>6053</v>
      </c>
      <c r="K549" t="s">
        <v>6056</v>
      </c>
      <c r="L549" t="s">
        <v>6596</v>
      </c>
      <c r="M549">
        <v>542.73</v>
      </c>
      <c r="N549">
        <v>3</v>
      </c>
      <c r="O549">
        <v>7.0000000000000007E-2</v>
      </c>
      <c r="P549">
        <v>116.73</v>
      </c>
      <c r="Q549" t="s">
        <v>9895</v>
      </c>
      <c r="R549">
        <v>3</v>
      </c>
      <c r="S549" s="5">
        <f t="shared" si="16"/>
        <v>0.21507932120944115</v>
      </c>
      <c r="T549">
        <v>180.91</v>
      </c>
      <c r="U549">
        <v>9</v>
      </c>
      <c r="V549">
        <v>2023</v>
      </c>
      <c r="W549">
        <v>3</v>
      </c>
      <c r="X549" t="s">
        <v>9899</v>
      </c>
      <c r="Y549" t="s">
        <v>9901</v>
      </c>
      <c r="Z549" t="s">
        <v>9899</v>
      </c>
      <c r="AD549">
        <f t="shared" si="17"/>
        <v>3</v>
      </c>
    </row>
    <row r="550" spans="1:30" x14ac:dyDescent="0.25">
      <c r="A550" t="s">
        <v>574</v>
      </c>
      <c r="B550" s="2">
        <v>44618</v>
      </c>
      <c r="C550" s="2">
        <v>44624</v>
      </c>
      <c r="D550" t="s">
        <v>5365</v>
      </c>
      <c r="E550" t="s">
        <v>5865</v>
      </c>
      <c r="F550" t="s">
        <v>6028</v>
      </c>
      <c r="G550" t="s">
        <v>6029</v>
      </c>
      <c r="H550" t="s">
        <v>6045</v>
      </c>
      <c r="I550" t="s">
        <v>6046</v>
      </c>
      <c r="J550" t="s">
        <v>6054</v>
      </c>
      <c r="K550" t="s">
        <v>6062</v>
      </c>
      <c r="L550" t="s">
        <v>6597</v>
      </c>
      <c r="M550">
        <v>1256.83</v>
      </c>
      <c r="N550">
        <v>1</v>
      </c>
      <c r="O550">
        <v>0.3</v>
      </c>
      <c r="P550">
        <v>-244.49</v>
      </c>
      <c r="Q550" t="s">
        <v>9894</v>
      </c>
      <c r="R550">
        <v>6</v>
      </c>
      <c r="S550" s="5">
        <f t="shared" si="16"/>
        <v>-0.19452909303565322</v>
      </c>
      <c r="T550">
        <v>1256.83</v>
      </c>
      <c r="U550">
        <v>2</v>
      </c>
      <c r="V550">
        <v>2022</v>
      </c>
      <c r="W550">
        <v>1</v>
      </c>
      <c r="X550" t="s">
        <v>9898</v>
      </c>
      <c r="Y550" t="s">
        <v>9900</v>
      </c>
      <c r="Z550" t="s">
        <v>9898</v>
      </c>
      <c r="AD550">
        <f t="shared" si="17"/>
        <v>6</v>
      </c>
    </row>
    <row r="551" spans="1:30" x14ac:dyDescent="0.25">
      <c r="A551" t="s">
        <v>575</v>
      </c>
      <c r="B551" s="2">
        <v>45212</v>
      </c>
      <c r="C551" s="2">
        <v>45216</v>
      </c>
      <c r="D551" t="s">
        <v>5330</v>
      </c>
      <c r="E551" t="s">
        <v>5830</v>
      </c>
      <c r="F551" t="s">
        <v>6026</v>
      </c>
      <c r="G551" t="s">
        <v>6029</v>
      </c>
      <c r="H551" t="s">
        <v>6036</v>
      </c>
      <c r="I551" t="s">
        <v>6046</v>
      </c>
      <c r="J551" t="s">
        <v>6053</v>
      </c>
      <c r="K551" t="s">
        <v>6056</v>
      </c>
      <c r="L551" t="s">
        <v>6598</v>
      </c>
      <c r="M551">
        <v>1795.2</v>
      </c>
      <c r="N551">
        <v>5</v>
      </c>
      <c r="O551">
        <v>0.26</v>
      </c>
      <c r="P551">
        <v>-222.42</v>
      </c>
      <c r="Q551" t="s">
        <v>9896</v>
      </c>
      <c r="R551">
        <v>4</v>
      </c>
      <c r="S551" s="5">
        <f t="shared" si="16"/>
        <v>-0.1238970588235294</v>
      </c>
      <c r="T551">
        <v>359.04</v>
      </c>
      <c r="U551">
        <v>10</v>
      </c>
      <c r="V551">
        <v>2023</v>
      </c>
      <c r="W551">
        <v>4</v>
      </c>
      <c r="X551" t="s">
        <v>9898</v>
      </c>
      <c r="Y551" t="s">
        <v>9900</v>
      </c>
      <c r="Z551" t="s">
        <v>9898</v>
      </c>
      <c r="AD551">
        <f t="shared" si="17"/>
        <v>4</v>
      </c>
    </row>
    <row r="552" spans="1:30" x14ac:dyDescent="0.25">
      <c r="A552" t="s">
        <v>576</v>
      </c>
      <c r="B552" s="2">
        <v>44878</v>
      </c>
      <c r="C552" s="2">
        <v>44881</v>
      </c>
      <c r="D552" t="s">
        <v>5352</v>
      </c>
      <c r="E552" t="s">
        <v>5852</v>
      </c>
      <c r="F552" t="s">
        <v>6028</v>
      </c>
      <c r="G552" t="s">
        <v>6030</v>
      </c>
      <c r="H552" t="s">
        <v>6039</v>
      </c>
      <c r="I552" t="s">
        <v>6047</v>
      </c>
      <c r="J552" t="s">
        <v>6054</v>
      </c>
      <c r="K552" t="s">
        <v>6060</v>
      </c>
      <c r="L552" t="s">
        <v>6599</v>
      </c>
      <c r="M552">
        <v>1771.87</v>
      </c>
      <c r="N552">
        <v>5</v>
      </c>
      <c r="O552">
        <v>0.09</v>
      </c>
      <c r="P552">
        <v>265.01</v>
      </c>
      <c r="Q552" t="s">
        <v>9897</v>
      </c>
      <c r="R552">
        <v>3</v>
      </c>
      <c r="S552" s="5">
        <f t="shared" si="16"/>
        <v>0.14956514868472293</v>
      </c>
      <c r="T552">
        <v>354.37400000000002</v>
      </c>
      <c r="U552">
        <v>11</v>
      </c>
      <c r="V552">
        <v>2022</v>
      </c>
      <c r="W552">
        <v>4</v>
      </c>
      <c r="X552" t="s">
        <v>9899</v>
      </c>
      <c r="Y552" t="s">
        <v>9901</v>
      </c>
      <c r="Z552" t="s">
        <v>9898</v>
      </c>
      <c r="AD552">
        <f t="shared" si="17"/>
        <v>3</v>
      </c>
    </row>
    <row r="553" spans="1:30" x14ac:dyDescent="0.25">
      <c r="A553" t="s">
        <v>577</v>
      </c>
      <c r="B553" s="2">
        <v>44707</v>
      </c>
      <c r="C553" s="2">
        <v>44708</v>
      </c>
      <c r="D553" t="s">
        <v>5224</v>
      </c>
      <c r="E553" t="s">
        <v>5724</v>
      </c>
      <c r="F553" t="s">
        <v>6026</v>
      </c>
      <c r="G553" t="s">
        <v>6029</v>
      </c>
      <c r="H553" t="s">
        <v>6045</v>
      </c>
      <c r="I553" t="s">
        <v>6046</v>
      </c>
      <c r="J553" t="s">
        <v>6054</v>
      </c>
      <c r="K553" t="s">
        <v>6062</v>
      </c>
      <c r="L553" t="s">
        <v>6600</v>
      </c>
      <c r="M553">
        <v>102.52</v>
      </c>
      <c r="N553">
        <v>3</v>
      </c>
      <c r="O553">
        <v>0.15</v>
      </c>
      <c r="P553">
        <v>5.67</v>
      </c>
      <c r="Q553" t="s">
        <v>9894</v>
      </c>
      <c r="R553">
        <v>1</v>
      </c>
      <c r="S553" s="5">
        <f t="shared" si="16"/>
        <v>5.5306281701131485E-2</v>
      </c>
      <c r="T553">
        <v>34.173333333333332</v>
      </c>
      <c r="U553">
        <v>5</v>
      </c>
      <c r="V553">
        <v>2022</v>
      </c>
      <c r="W553">
        <v>2</v>
      </c>
      <c r="X553" t="s">
        <v>9899</v>
      </c>
      <c r="Y553" t="s">
        <v>9901</v>
      </c>
      <c r="Z553" t="s">
        <v>9899</v>
      </c>
      <c r="AD553">
        <f t="shared" si="17"/>
        <v>1</v>
      </c>
    </row>
    <row r="554" spans="1:30" x14ac:dyDescent="0.25">
      <c r="A554" t="s">
        <v>578</v>
      </c>
      <c r="B554" s="2">
        <v>45081</v>
      </c>
      <c r="C554" s="2">
        <v>45084</v>
      </c>
      <c r="D554" t="s">
        <v>5146</v>
      </c>
      <c r="E554" t="s">
        <v>5646</v>
      </c>
      <c r="F554" t="s">
        <v>6027</v>
      </c>
      <c r="G554" t="s">
        <v>6031</v>
      </c>
      <c r="H554" t="s">
        <v>6043</v>
      </c>
      <c r="I554" t="s">
        <v>6048</v>
      </c>
      <c r="J554" t="s">
        <v>6054</v>
      </c>
      <c r="K554" t="s">
        <v>6059</v>
      </c>
      <c r="L554" t="s">
        <v>6601</v>
      </c>
      <c r="M554">
        <v>1220.72</v>
      </c>
      <c r="N554">
        <v>2</v>
      </c>
      <c r="O554">
        <v>0.03</v>
      </c>
      <c r="P554">
        <v>326.83999999999997</v>
      </c>
      <c r="Q554" t="s">
        <v>9897</v>
      </c>
      <c r="R554">
        <v>3</v>
      </c>
      <c r="S554" s="5">
        <f t="shared" si="16"/>
        <v>0.26774362671210433</v>
      </c>
      <c r="T554">
        <v>610.36</v>
      </c>
      <c r="U554">
        <v>6</v>
      </c>
      <c r="V554">
        <v>2023</v>
      </c>
      <c r="W554">
        <v>2</v>
      </c>
      <c r="X554" t="s">
        <v>9899</v>
      </c>
      <c r="Y554" t="s">
        <v>9901</v>
      </c>
      <c r="Z554" t="s">
        <v>9898</v>
      </c>
      <c r="AD554">
        <f t="shared" si="17"/>
        <v>3</v>
      </c>
    </row>
    <row r="555" spans="1:30" x14ac:dyDescent="0.25">
      <c r="A555" t="s">
        <v>579</v>
      </c>
      <c r="B555" s="2">
        <v>44881</v>
      </c>
      <c r="C555" s="2">
        <v>44885</v>
      </c>
      <c r="D555" t="s">
        <v>5316</v>
      </c>
      <c r="E555" t="s">
        <v>5816</v>
      </c>
      <c r="F555" t="s">
        <v>6028</v>
      </c>
      <c r="G555" t="s">
        <v>6029</v>
      </c>
      <c r="H555" t="s">
        <v>6044</v>
      </c>
      <c r="I555" t="s">
        <v>6050</v>
      </c>
      <c r="J555" t="s">
        <v>6055</v>
      </c>
      <c r="K555" t="s">
        <v>6064</v>
      </c>
      <c r="L555" t="s">
        <v>6602</v>
      </c>
      <c r="M555">
        <v>1835.26</v>
      </c>
      <c r="N555">
        <v>7</v>
      </c>
      <c r="O555">
        <v>0.03</v>
      </c>
      <c r="P555">
        <v>433.36</v>
      </c>
      <c r="Q555" t="s">
        <v>9896</v>
      </c>
      <c r="R555">
        <v>4</v>
      </c>
      <c r="S555" s="5">
        <f t="shared" si="16"/>
        <v>0.23613003062236415</v>
      </c>
      <c r="T555">
        <v>262.18</v>
      </c>
      <c r="U555">
        <v>11</v>
      </c>
      <c r="V555">
        <v>2022</v>
      </c>
      <c r="W555">
        <v>4</v>
      </c>
      <c r="X555" t="s">
        <v>9899</v>
      </c>
      <c r="Y555" t="s">
        <v>9901</v>
      </c>
      <c r="Z555" t="s">
        <v>9898</v>
      </c>
      <c r="AD555">
        <f t="shared" si="17"/>
        <v>4</v>
      </c>
    </row>
    <row r="556" spans="1:30" x14ac:dyDescent="0.25">
      <c r="A556" t="s">
        <v>580</v>
      </c>
      <c r="B556" s="2">
        <v>44798</v>
      </c>
      <c r="C556" s="2">
        <v>44803</v>
      </c>
      <c r="D556" t="s">
        <v>5282</v>
      </c>
      <c r="E556" t="s">
        <v>5782</v>
      </c>
      <c r="F556" t="s">
        <v>6026</v>
      </c>
      <c r="G556" t="s">
        <v>6031</v>
      </c>
      <c r="H556" t="s">
        <v>6040</v>
      </c>
      <c r="I556" t="s">
        <v>6048</v>
      </c>
      <c r="J556" t="s">
        <v>6054</v>
      </c>
      <c r="K556" t="s">
        <v>6062</v>
      </c>
      <c r="L556" t="s">
        <v>6603</v>
      </c>
      <c r="M556">
        <v>532.01</v>
      </c>
      <c r="N556">
        <v>6</v>
      </c>
      <c r="O556">
        <v>0.03</v>
      </c>
      <c r="P556">
        <v>79.91</v>
      </c>
      <c r="Q556" t="s">
        <v>9894</v>
      </c>
      <c r="R556">
        <v>5</v>
      </c>
      <c r="S556" s="5">
        <f t="shared" si="16"/>
        <v>0.15020394353489597</v>
      </c>
      <c r="T556">
        <v>88.668333333333337</v>
      </c>
      <c r="U556">
        <v>8</v>
      </c>
      <c r="V556">
        <v>2022</v>
      </c>
      <c r="W556">
        <v>3</v>
      </c>
      <c r="X556" t="s">
        <v>9899</v>
      </c>
      <c r="Y556" t="s">
        <v>9901</v>
      </c>
      <c r="Z556" t="s">
        <v>9899</v>
      </c>
      <c r="AD556">
        <f t="shared" si="17"/>
        <v>5</v>
      </c>
    </row>
    <row r="557" spans="1:30" x14ac:dyDescent="0.25">
      <c r="A557" t="s">
        <v>581</v>
      </c>
      <c r="B557" s="2">
        <v>44901</v>
      </c>
      <c r="C557" s="2">
        <v>44907</v>
      </c>
      <c r="D557" t="s">
        <v>5277</v>
      </c>
      <c r="E557" t="s">
        <v>5777</v>
      </c>
      <c r="F557" t="s">
        <v>6028</v>
      </c>
      <c r="G557" t="s">
        <v>6029</v>
      </c>
      <c r="H557" t="s">
        <v>6041</v>
      </c>
      <c r="I557" t="s">
        <v>6046</v>
      </c>
      <c r="J557" t="s">
        <v>6055</v>
      </c>
      <c r="K557" t="s">
        <v>6064</v>
      </c>
      <c r="L557" t="s">
        <v>6604</v>
      </c>
      <c r="M557">
        <v>1579.95</v>
      </c>
      <c r="N557">
        <v>1</v>
      </c>
      <c r="O557">
        <v>0.06</v>
      </c>
      <c r="P557">
        <v>376.29</v>
      </c>
      <c r="Q557" t="s">
        <v>9895</v>
      </c>
      <c r="R557">
        <v>6</v>
      </c>
      <c r="S557" s="5">
        <f t="shared" si="16"/>
        <v>0.2381657647393905</v>
      </c>
      <c r="T557">
        <v>1579.95</v>
      </c>
      <c r="U557">
        <v>12</v>
      </c>
      <c r="V557">
        <v>2022</v>
      </c>
      <c r="W557">
        <v>4</v>
      </c>
      <c r="X557" t="s">
        <v>9899</v>
      </c>
      <c r="Y557" t="s">
        <v>9901</v>
      </c>
      <c r="Z557" t="s">
        <v>9898</v>
      </c>
      <c r="AD557">
        <f t="shared" si="17"/>
        <v>6</v>
      </c>
    </row>
    <row r="558" spans="1:30" x14ac:dyDescent="0.25">
      <c r="A558" t="s">
        <v>582</v>
      </c>
      <c r="B558" s="2">
        <v>45070</v>
      </c>
      <c r="C558" s="2">
        <v>45074</v>
      </c>
      <c r="D558" t="s">
        <v>5289</v>
      </c>
      <c r="E558" t="s">
        <v>5789</v>
      </c>
      <c r="F558" t="s">
        <v>6028</v>
      </c>
      <c r="G558" t="s">
        <v>6029</v>
      </c>
      <c r="H558" t="s">
        <v>6044</v>
      </c>
      <c r="I558" t="s">
        <v>6046</v>
      </c>
      <c r="J558" t="s">
        <v>6054</v>
      </c>
      <c r="K558" t="s">
        <v>6059</v>
      </c>
      <c r="L558" t="s">
        <v>6605</v>
      </c>
      <c r="M558">
        <v>302.60000000000002</v>
      </c>
      <c r="N558">
        <v>6</v>
      </c>
      <c r="O558">
        <v>0.22</v>
      </c>
      <c r="P558">
        <v>-9.77</v>
      </c>
      <c r="Q558" t="s">
        <v>9897</v>
      </c>
      <c r="R558">
        <v>4</v>
      </c>
      <c r="S558" s="5">
        <f t="shared" si="16"/>
        <v>-3.228684732319894E-2</v>
      </c>
      <c r="T558">
        <v>50.433333333333337</v>
      </c>
      <c r="U558">
        <v>5</v>
      </c>
      <c r="V558">
        <v>2023</v>
      </c>
      <c r="W558">
        <v>2</v>
      </c>
      <c r="X558" t="s">
        <v>9898</v>
      </c>
      <c r="Y558" t="s">
        <v>9900</v>
      </c>
      <c r="Z558" t="s">
        <v>9899</v>
      </c>
      <c r="AD558">
        <f t="shared" si="17"/>
        <v>4</v>
      </c>
    </row>
    <row r="559" spans="1:30" x14ac:dyDescent="0.25">
      <c r="A559" t="s">
        <v>583</v>
      </c>
      <c r="B559" s="2">
        <v>45018</v>
      </c>
      <c r="C559" s="2">
        <v>45021</v>
      </c>
      <c r="D559" t="s">
        <v>5251</v>
      </c>
      <c r="E559" t="s">
        <v>5751</v>
      </c>
      <c r="F559" t="s">
        <v>6026</v>
      </c>
      <c r="G559" t="s">
        <v>6030</v>
      </c>
      <c r="H559" t="s">
        <v>6038</v>
      </c>
      <c r="I559" t="s">
        <v>6047</v>
      </c>
      <c r="J559" t="s">
        <v>6053</v>
      </c>
      <c r="K559" t="s">
        <v>6057</v>
      </c>
      <c r="L559" t="s">
        <v>6606</v>
      </c>
      <c r="M559">
        <v>883.96</v>
      </c>
      <c r="N559">
        <v>5</v>
      </c>
      <c r="O559">
        <v>0.06</v>
      </c>
      <c r="P559">
        <v>106.38</v>
      </c>
      <c r="Q559" t="s">
        <v>9897</v>
      </c>
      <c r="R559">
        <v>3</v>
      </c>
      <c r="S559" s="5">
        <f t="shared" si="16"/>
        <v>0.12034481198244264</v>
      </c>
      <c r="T559">
        <v>176.792</v>
      </c>
      <c r="U559">
        <v>4</v>
      </c>
      <c r="V559">
        <v>2023</v>
      </c>
      <c r="W559">
        <v>2</v>
      </c>
      <c r="X559" t="s">
        <v>9899</v>
      </c>
      <c r="Y559" t="s">
        <v>9901</v>
      </c>
      <c r="Z559" t="s">
        <v>9899</v>
      </c>
      <c r="AD559">
        <f t="shared" si="17"/>
        <v>3</v>
      </c>
    </row>
    <row r="560" spans="1:30" x14ac:dyDescent="0.25">
      <c r="A560" t="s">
        <v>584</v>
      </c>
      <c r="B560" s="2">
        <v>44991</v>
      </c>
      <c r="C560" s="2">
        <v>44998</v>
      </c>
      <c r="D560" t="s">
        <v>5272</v>
      </c>
      <c r="E560" t="s">
        <v>5772</v>
      </c>
      <c r="F560" t="s">
        <v>6026</v>
      </c>
      <c r="G560" t="s">
        <v>6031</v>
      </c>
      <c r="H560" t="s">
        <v>6042</v>
      </c>
      <c r="I560" t="s">
        <v>6050</v>
      </c>
      <c r="J560" t="s">
        <v>6055</v>
      </c>
      <c r="K560" t="s">
        <v>6063</v>
      </c>
      <c r="L560" t="s">
        <v>6607</v>
      </c>
      <c r="M560">
        <v>1378.09</v>
      </c>
      <c r="N560">
        <v>2</v>
      </c>
      <c r="O560">
        <v>0.13</v>
      </c>
      <c r="P560">
        <v>-29.05</v>
      </c>
      <c r="Q560" t="s">
        <v>9895</v>
      </c>
      <c r="R560">
        <v>7</v>
      </c>
      <c r="S560" s="5">
        <f t="shared" si="16"/>
        <v>-2.1079900441915989E-2</v>
      </c>
      <c r="T560">
        <v>689.04499999999996</v>
      </c>
      <c r="U560">
        <v>3</v>
      </c>
      <c r="V560">
        <v>2023</v>
      </c>
      <c r="W560">
        <v>1</v>
      </c>
      <c r="X560" t="s">
        <v>9898</v>
      </c>
      <c r="Y560" t="s">
        <v>9901</v>
      </c>
      <c r="Z560" t="s">
        <v>9898</v>
      </c>
      <c r="AD560">
        <f t="shared" si="17"/>
        <v>7</v>
      </c>
    </row>
    <row r="561" spans="1:30" x14ac:dyDescent="0.25">
      <c r="A561" t="s">
        <v>585</v>
      </c>
      <c r="B561" s="2">
        <v>45285</v>
      </c>
      <c r="C561" s="2">
        <v>45292</v>
      </c>
      <c r="D561" t="s">
        <v>5069</v>
      </c>
      <c r="E561" t="s">
        <v>5569</v>
      </c>
      <c r="F561" t="s">
        <v>6026</v>
      </c>
      <c r="G561" t="s">
        <v>6029</v>
      </c>
      <c r="H561" t="s">
        <v>6041</v>
      </c>
      <c r="I561" t="s">
        <v>6046</v>
      </c>
      <c r="J561" t="s">
        <v>6055</v>
      </c>
      <c r="K561" t="s">
        <v>6064</v>
      </c>
      <c r="L561" t="s">
        <v>6608</v>
      </c>
      <c r="M561">
        <v>1843.72</v>
      </c>
      <c r="N561">
        <v>8</v>
      </c>
      <c r="O561">
        <v>0.21</v>
      </c>
      <c r="P561">
        <v>-101.97</v>
      </c>
      <c r="Q561" t="s">
        <v>9896</v>
      </c>
      <c r="R561">
        <v>7</v>
      </c>
      <c r="S561" s="5">
        <f t="shared" si="16"/>
        <v>-5.5306662616883259E-2</v>
      </c>
      <c r="T561">
        <v>230.465</v>
      </c>
      <c r="U561">
        <v>12</v>
      </c>
      <c r="V561">
        <v>2023</v>
      </c>
      <c r="W561">
        <v>4</v>
      </c>
      <c r="X561" t="s">
        <v>9898</v>
      </c>
      <c r="Y561" t="s">
        <v>9900</v>
      </c>
      <c r="Z561" t="s">
        <v>9898</v>
      </c>
      <c r="AD561">
        <f t="shared" si="17"/>
        <v>7</v>
      </c>
    </row>
    <row r="562" spans="1:30" x14ac:dyDescent="0.25">
      <c r="A562" t="s">
        <v>586</v>
      </c>
      <c r="B562" s="2">
        <v>44998</v>
      </c>
      <c r="C562" s="2">
        <v>45005</v>
      </c>
      <c r="D562" t="s">
        <v>5277</v>
      </c>
      <c r="E562" t="s">
        <v>5777</v>
      </c>
      <c r="F562" t="s">
        <v>6028</v>
      </c>
      <c r="G562" t="s">
        <v>6030</v>
      </c>
      <c r="H562" t="s">
        <v>6033</v>
      </c>
      <c r="I562" t="s">
        <v>6051</v>
      </c>
      <c r="J562" t="s">
        <v>6054</v>
      </c>
      <c r="K562" t="s">
        <v>6059</v>
      </c>
      <c r="L562" t="s">
        <v>6609</v>
      </c>
      <c r="M562">
        <v>575.46</v>
      </c>
      <c r="N562">
        <v>2</v>
      </c>
      <c r="O562">
        <v>0.24</v>
      </c>
      <c r="P562">
        <v>-42.36</v>
      </c>
      <c r="Q562" t="s">
        <v>9894</v>
      </c>
      <c r="R562">
        <v>7</v>
      </c>
      <c r="S562" s="5">
        <f t="shared" si="16"/>
        <v>-7.3610676676050452E-2</v>
      </c>
      <c r="T562">
        <v>287.73</v>
      </c>
      <c r="U562">
        <v>3</v>
      </c>
      <c r="V562">
        <v>2023</v>
      </c>
      <c r="W562">
        <v>1</v>
      </c>
      <c r="X562" t="s">
        <v>9898</v>
      </c>
      <c r="Y562" t="s">
        <v>9900</v>
      </c>
      <c r="Z562" t="s">
        <v>9899</v>
      </c>
      <c r="AD562">
        <f t="shared" si="17"/>
        <v>7</v>
      </c>
    </row>
    <row r="563" spans="1:30" x14ac:dyDescent="0.25">
      <c r="A563" t="s">
        <v>587</v>
      </c>
      <c r="B563" s="2">
        <v>45174</v>
      </c>
      <c r="C563" s="2">
        <v>45181</v>
      </c>
      <c r="D563" t="s">
        <v>5041</v>
      </c>
      <c r="E563" t="s">
        <v>5541</v>
      </c>
      <c r="F563" t="s">
        <v>6027</v>
      </c>
      <c r="G563" t="s">
        <v>6029</v>
      </c>
      <c r="H563" t="s">
        <v>6032</v>
      </c>
      <c r="I563" t="s">
        <v>6046</v>
      </c>
      <c r="J563" t="s">
        <v>6053</v>
      </c>
      <c r="K563" t="s">
        <v>6057</v>
      </c>
      <c r="L563" t="s">
        <v>6610</v>
      </c>
      <c r="M563">
        <v>332.15</v>
      </c>
      <c r="N563">
        <v>4</v>
      </c>
      <c r="O563">
        <v>0.14000000000000001</v>
      </c>
      <c r="P563">
        <v>8.01</v>
      </c>
      <c r="Q563" t="s">
        <v>9893</v>
      </c>
      <c r="R563">
        <v>7</v>
      </c>
      <c r="S563" s="5">
        <f t="shared" si="16"/>
        <v>2.4115610416980279E-2</v>
      </c>
      <c r="T563">
        <v>83.037499999999994</v>
      </c>
      <c r="U563">
        <v>9</v>
      </c>
      <c r="V563">
        <v>2023</v>
      </c>
      <c r="W563">
        <v>3</v>
      </c>
      <c r="X563" t="s">
        <v>9899</v>
      </c>
      <c r="Y563" t="s">
        <v>9901</v>
      </c>
      <c r="Z563" t="s">
        <v>9899</v>
      </c>
      <c r="AD563">
        <f t="shared" si="17"/>
        <v>7</v>
      </c>
    </row>
    <row r="564" spans="1:30" x14ac:dyDescent="0.25">
      <c r="A564" t="s">
        <v>588</v>
      </c>
      <c r="B564" s="2">
        <v>44747</v>
      </c>
      <c r="C564" s="2">
        <v>44754</v>
      </c>
      <c r="D564" t="s">
        <v>5366</v>
      </c>
      <c r="E564" t="s">
        <v>5866</v>
      </c>
      <c r="F564" t="s">
        <v>6027</v>
      </c>
      <c r="G564" t="s">
        <v>6031</v>
      </c>
      <c r="H564" t="s">
        <v>6037</v>
      </c>
      <c r="I564" t="s">
        <v>6050</v>
      </c>
      <c r="J564" t="s">
        <v>6055</v>
      </c>
      <c r="K564" t="s">
        <v>6063</v>
      </c>
      <c r="L564" t="s">
        <v>6611</v>
      </c>
      <c r="M564">
        <v>684.85</v>
      </c>
      <c r="N564">
        <v>1</v>
      </c>
      <c r="O564">
        <v>0.14000000000000001</v>
      </c>
      <c r="P564">
        <v>52.29</v>
      </c>
      <c r="Q564" t="s">
        <v>9893</v>
      </c>
      <c r="R564">
        <v>7</v>
      </c>
      <c r="S564" s="5">
        <f t="shared" si="16"/>
        <v>7.6352485945827553E-2</v>
      </c>
      <c r="T564">
        <v>684.85</v>
      </c>
      <c r="U564">
        <v>7</v>
      </c>
      <c r="V564">
        <v>2022</v>
      </c>
      <c r="W564">
        <v>3</v>
      </c>
      <c r="X564" t="s">
        <v>9899</v>
      </c>
      <c r="Y564" t="s">
        <v>9901</v>
      </c>
      <c r="Z564" t="s">
        <v>9899</v>
      </c>
      <c r="AD564">
        <f t="shared" si="17"/>
        <v>7</v>
      </c>
    </row>
    <row r="565" spans="1:30" x14ac:dyDescent="0.25">
      <c r="A565" t="s">
        <v>589</v>
      </c>
      <c r="B565" s="2">
        <v>44805</v>
      </c>
      <c r="C565" s="2">
        <v>44808</v>
      </c>
      <c r="D565" t="s">
        <v>5044</v>
      </c>
      <c r="E565" t="s">
        <v>5544</v>
      </c>
      <c r="F565" t="s">
        <v>6027</v>
      </c>
      <c r="G565" t="s">
        <v>6030</v>
      </c>
      <c r="H565" t="s">
        <v>6038</v>
      </c>
      <c r="I565" t="s">
        <v>6051</v>
      </c>
      <c r="J565" t="s">
        <v>6054</v>
      </c>
      <c r="K565" t="s">
        <v>6060</v>
      </c>
      <c r="L565" t="s">
        <v>6612</v>
      </c>
      <c r="M565">
        <v>1980.6</v>
      </c>
      <c r="N565">
        <v>7</v>
      </c>
      <c r="O565">
        <v>0.25</v>
      </c>
      <c r="P565">
        <v>-91.57</v>
      </c>
      <c r="Q565" t="s">
        <v>9896</v>
      </c>
      <c r="R565">
        <v>3</v>
      </c>
      <c r="S565" s="5">
        <f t="shared" si="16"/>
        <v>-4.6233464606684843E-2</v>
      </c>
      <c r="T565">
        <v>282.94285714285712</v>
      </c>
      <c r="U565">
        <v>9</v>
      </c>
      <c r="V565">
        <v>2022</v>
      </c>
      <c r="W565">
        <v>3</v>
      </c>
      <c r="X565" t="s">
        <v>9898</v>
      </c>
      <c r="Y565" t="s">
        <v>9900</v>
      </c>
      <c r="Z565" t="s">
        <v>9898</v>
      </c>
      <c r="AD565">
        <f t="shared" si="17"/>
        <v>3</v>
      </c>
    </row>
    <row r="566" spans="1:30" x14ac:dyDescent="0.25">
      <c r="A566" t="s">
        <v>590</v>
      </c>
      <c r="B566" s="2">
        <v>45156</v>
      </c>
      <c r="C566" s="2">
        <v>45157</v>
      </c>
      <c r="D566" t="s">
        <v>5217</v>
      </c>
      <c r="E566" t="s">
        <v>5717</v>
      </c>
      <c r="F566" t="s">
        <v>6027</v>
      </c>
      <c r="G566" t="s">
        <v>6031</v>
      </c>
      <c r="H566" t="s">
        <v>6042</v>
      </c>
      <c r="I566" t="s">
        <v>6050</v>
      </c>
      <c r="J566" t="s">
        <v>6055</v>
      </c>
      <c r="K566" t="s">
        <v>6063</v>
      </c>
      <c r="L566" t="s">
        <v>6613</v>
      </c>
      <c r="M566">
        <v>1324.8</v>
      </c>
      <c r="N566">
        <v>5</v>
      </c>
      <c r="O566">
        <v>0.32</v>
      </c>
      <c r="P566">
        <v>-140.30000000000001</v>
      </c>
      <c r="Q566" t="s">
        <v>9897</v>
      </c>
      <c r="R566">
        <v>1</v>
      </c>
      <c r="S566" s="5">
        <f t="shared" si="16"/>
        <v>-0.10590277777777779</v>
      </c>
      <c r="T566">
        <v>264.95999999999998</v>
      </c>
      <c r="U566">
        <v>8</v>
      </c>
      <c r="V566">
        <v>2023</v>
      </c>
      <c r="W566">
        <v>3</v>
      </c>
      <c r="X566" t="s">
        <v>9898</v>
      </c>
      <c r="Y566" t="s">
        <v>9902</v>
      </c>
      <c r="Z566" t="s">
        <v>9898</v>
      </c>
      <c r="AD566">
        <f t="shared" si="17"/>
        <v>1</v>
      </c>
    </row>
    <row r="567" spans="1:30" x14ac:dyDescent="0.25">
      <c r="A567" t="s">
        <v>591</v>
      </c>
      <c r="B567" s="2">
        <v>45254</v>
      </c>
      <c r="C567" s="2">
        <v>45258</v>
      </c>
      <c r="D567" t="s">
        <v>5367</v>
      </c>
      <c r="E567" t="s">
        <v>5867</v>
      </c>
      <c r="F567" t="s">
        <v>6028</v>
      </c>
      <c r="G567" t="s">
        <v>6030</v>
      </c>
      <c r="H567" t="s">
        <v>6033</v>
      </c>
      <c r="I567" t="s">
        <v>6047</v>
      </c>
      <c r="J567" t="s">
        <v>6053</v>
      </c>
      <c r="K567" t="s">
        <v>6058</v>
      </c>
      <c r="L567" t="s">
        <v>6614</v>
      </c>
      <c r="M567">
        <v>1893.48</v>
      </c>
      <c r="N567">
        <v>6</v>
      </c>
      <c r="O567">
        <v>0.04</v>
      </c>
      <c r="P567">
        <v>414.32</v>
      </c>
      <c r="Q567" t="s">
        <v>9893</v>
      </c>
      <c r="R567">
        <v>4</v>
      </c>
      <c r="S567" s="5">
        <f t="shared" si="16"/>
        <v>0.21881403553245873</v>
      </c>
      <c r="T567">
        <v>315.58</v>
      </c>
      <c r="U567">
        <v>11</v>
      </c>
      <c r="V567">
        <v>2023</v>
      </c>
      <c r="W567">
        <v>4</v>
      </c>
      <c r="X567" t="s">
        <v>9899</v>
      </c>
      <c r="Y567" t="s">
        <v>9901</v>
      </c>
      <c r="Z567" t="s">
        <v>9898</v>
      </c>
      <c r="AD567">
        <f t="shared" si="17"/>
        <v>4</v>
      </c>
    </row>
    <row r="568" spans="1:30" x14ac:dyDescent="0.25">
      <c r="A568" t="s">
        <v>592</v>
      </c>
      <c r="B568" s="2">
        <v>45086</v>
      </c>
      <c r="C568" s="2">
        <v>45088</v>
      </c>
      <c r="D568" t="s">
        <v>5242</v>
      </c>
      <c r="E568" t="s">
        <v>5742</v>
      </c>
      <c r="F568" t="s">
        <v>6026</v>
      </c>
      <c r="G568" t="s">
        <v>6029</v>
      </c>
      <c r="H568" t="s">
        <v>6036</v>
      </c>
      <c r="I568" t="s">
        <v>6049</v>
      </c>
      <c r="J568" t="s">
        <v>6054</v>
      </c>
      <c r="K568" t="s">
        <v>6059</v>
      </c>
      <c r="L568" t="s">
        <v>6615</v>
      </c>
      <c r="M568">
        <v>439.26</v>
      </c>
      <c r="N568">
        <v>1</v>
      </c>
      <c r="O568">
        <v>0.11</v>
      </c>
      <c r="P568">
        <v>24.03</v>
      </c>
      <c r="Q568" t="s">
        <v>9896</v>
      </c>
      <c r="R568">
        <v>2</v>
      </c>
      <c r="S568" s="5">
        <f t="shared" si="16"/>
        <v>5.4705641305832539E-2</v>
      </c>
      <c r="T568">
        <v>439.26</v>
      </c>
      <c r="U568">
        <v>6</v>
      </c>
      <c r="V568">
        <v>2023</v>
      </c>
      <c r="W568">
        <v>2</v>
      </c>
      <c r="X568" t="s">
        <v>9899</v>
      </c>
      <c r="Y568" t="s">
        <v>9901</v>
      </c>
      <c r="Z568" t="s">
        <v>9899</v>
      </c>
      <c r="AD568">
        <f t="shared" si="17"/>
        <v>2</v>
      </c>
    </row>
    <row r="569" spans="1:30" x14ac:dyDescent="0.25">
      <c r="A569" t="s">
        <v>593</v>
      </c>
      <c r="B569" s="2">
        <v>45190</v>
      </c>
      <c r="C569" s="2">
        <v>45194</v>
      </c>
      <c r="D569" t="s">
        <v>5368</v>
      </c>
      <c r="E569" t="s">
        <v>5868</v>
      </c>
      <c r="F569" t="s">
        <v>6028</v>
      </c>
      <c r="G569" t="s">
        <v>6031</v>
      </c>
      <c r="H569" t="s">
        <v>6034</v>
      </c>
      <c r="I569" t="s">
        <v>6050</v>
      </c>
      <c r="J569" t="s">
        <v>6053</v>
      </c>
      <c r="K569" t="s">
        <v>6056</v>
      </c>
      <c r="L569" t="s">
        <v>6616</v>
      </c>
      <c r="M569">
        <v>1623.74</v>
      </c>
      <c r="N569">
        <v>5</v>
      </c>
      <c r="O569">
        <v>0.15</v>
      </c>
      <c r="P569">
        <v>130.88</v>
      </c>
      <c r="Q569" t="s">
        <v>9894</v>
      </c>
      <c r="R569">
        <v>4</v>
      </c>
      <c r="S569" s="5">
        <f t="shared" si="16"/>
        <v>8.0604037592225355E-2</v>
      </c>
      <c r="T569">
        <v>324.74799999999999</v>
      </c>
      <c r="U569">
        <v>9</v>
      </c>
      <c r="V569">
        <v>2023</v>
      </c>
      <c r="W569">
        <v>3</v>
      </c>
      <c r="X569" t="s">
        <v>9899</v>
      </c>
      <c r="Y569" t="s">
        <v>9901</v>
      </c>
      <c r="Z569" t="s">
        <v>9898</v>
      </c>
      <c r="AD569">
        <f t="shared" si="17"/>
        <v>4</v>
      </c>
    </row>
    <row r="570" spans="1:30" x14ac:dyDescent="0.25">
      <c r="A570" t="s">
        <v>594</v>
      </c>
      <c r="B570" s="2">
        <v>44960</v>
      </c>
      <c r="C570" s="2">
        <v>44964</v>
      </c>
      <c r="D570" t="s">
        <v>5289</v>
      </c>
      <c r="E570" t="s">
        <v>5789</v>
      </c>
      <c r="F570" t="s">
        <v>6026</v>
      </c>
      <c r="G570" t="s">
        <v>6029</v>
      </c>
      <c r="H570" t="s">
        <v>6032</v>
      </c>
      <c r="I570" t="s">
        <v>6046</v>
      </c>
      <c r="J570" t="s">
        <v>6054</v>
      </c>
      <c r="K570" t="s">
        <v>6062</v>
      </c>
      <c r="L570" t="s">
        <v>6617</v>
      </c>
      <c r="M570">
        <v>1663.05</v>
      </c>
      <c r="N570">
        <v>8</v>
      </c>
      <c r="O570">
        <v>0.32</v>
      </c>
      <c r="P570">
        <v>-115.2</v>
      </c>
      <c r="Q570" t="s">
        <v>9895</v>
      </c>
      <c r="R570">
        <v>4</v>
      </c>
      <c r="S570" s="5">
        <f t="shared" si="16"/>
        <v>-6.9270316586993785E-2</v>
      </c>
      <c r="T570">
        <v>207.88124999999999</v>
      </c>
      <c r="U570">
        <v>2</v>
      </c>
      <c r="V570">
        <v>2023</v>
      </c>
      <c r="W570">
        <v>1</v>
      </c>
      <c r="X570" t="s">
        <v>9898</v>
      </c>
      <c r="Y570" t="s">
        <v>9902</v>
      </c>
      <c r="Z570" t="s">
        <v>9898</v>
      </c>
      <c r="AD570">
        <f t="shared" si="17"/>
        <v>4</v>
      </c>
    </row>
    <row r="571" spans="1:30" x14ac:dyDescent="0.25">
      <c r="A571" t="s">
        <v>595</v>
      </c>
      <c r="B571" s="2">
        <v>44931</v>
      </c>
      <c r="C571" s="2">
        <v>44936</v>
      </c>
      <c r="D571" t="s">
        <v>5168</v>
      </c>
      <c r="E571" t="s">
        <v>5668</v>
      </c>
      <c r="F571" t="s">
        <v>6028</v>
      </c>
      <c r="G571" t="s">
        <v>6031</v>
      </c>
      <c r="H571" t="s">
        <v>6040</v>
      </c>
      <c r="I571" t="s">
        <v>6052</v>
      </c>
      <c r="J571" t="s">
        <v>6055</v>
      </c>
      <c r="K571" t="s">
        <v>6061</v>
      </c>
      <c r="L571" t="s">
        <v>6618</v>
      </c>
      <c r="M571">
        <v>1643.04</v>
      </c>
      <c r="N571">
        <v>6</v>
      </c>
      <c r="O571">
        <v>0.18</v>
      </c>
      <c r="P571">
        <v>143.66999999999999</v>
      </c>
      <c r="Q571" t="s">
        <v>9894</v>
      </c>
      <c r="R571">
        <v>5</v>
      </c>
      <c r="S571" s="5">
        <f t="shared" si="16"/>
        <v>8.7441571720712818E-2</v>
      </c>
      <c r="T571">
        <v>273.83999999999997</v>
      </c>
      <c r="U571">
        <v>1</v>
      </c>
      <c r="V571">
        <v>2023</v>
      </c>
      <c r="W571">
        <v>1</v>
      </c>
      <c r="X571" t="s">
        <v>9899</v>
      </c>
      <c r="Y571" t="s">
        <v>9900</v>
      </c>
      <c r="Z571" t="s">
        <v>9898</v>
      </c>
      <c r="AD571">
        <f t="shared" si="17"/>
        <v>5</v>
      </c>
    </row>
    <row r="572" spans="1:30" x14ac:dyDescent="0.25">
      <c r="A572" t="s">
        <v>596</v>
      </c>
      <c r="B572" s="2">
        <v>45407</v>
      </c>
      <c r="C572" s="2">
        <v>45412</v>
      </c>
      <c r="D572" t="s">
        <v>5133</v>
      </c>
      <c r="E572" t="s">
        <v>5633</v>
      </c>
      <c r="F572" t="s">
        <v>6028</v>
      </c>
      <c r="G572" t="s">
        <v>6030</v>
      </c>
      <c r="H572" t="s">
        <v>6035</v>
      </c>
      <c r="I572" t="s">
        <v>6051</v>
      </c>
      <c r="J572" t="s">
        <v>6053</v>
      </c>
      <c r="K572" t="s">
        <v>6056</v>
      </c>
      <c r="L572" t="s">
        <v>6619</v>
      </c>
      <c r="M572">
        <v>654.48</v>
      </c>
      <c r="N572">
        <v>3</v>
      </c>
      <c r="O572">
        <v>0.05</v>
      </c>
      <c r="P572">
        <v>117.04</v>
      </c>
      <c r="Q572" t="s">
        <v>9897</v>
      </c>
      <c r="R572">
        <v>5</v>
      </c>
      <c r="S572" s="5">
        <f t="shared" si="16"/>
        <v>0.17882899401051217</v>
      </c>
      <c r="T572">
        <v>218.16</v>
      </c>
      <c r="U572">
        <v>4</v>
      </c>
      <c r="V572">
        <v>2024</v>
      </c>
      <c r="W572">
        <v>2</v>
      </c>
      <c r="X572" t="s">
        <v>9899</v>
      </c>
      <c r="Y572" t="s">
        <v>9901</v>
      </c>
      <c r="Z572" t="s">
        <v>9899</v>
      </c>
      <c r="AD572">
        <f t="shared" si="17"/>
        <v>5</v>
      </c>
    </row>
    <row r="573" spans="1:30" x14ac:dyDescent="0.25">
      <c r="A573" t="s">
        <v>597</v>
      </c>
      <c r="B573" s="2">
        <v>45178</v>
      </c>
      <c r="C573" s="2">
        <v>45180</v>
      </c>
      <c r="D573" t="s">
        <v>5350</v>
      </c>
      <c r="E573" t="s">
        <v>5850</v>
      </c>
      <c r="F573" t="s">
        <v>6028</v>
      </c>
      <c r="G573" t="s">
        <v>6031</v>
      </c>
      <c r="H573" t="s">
        <v>6037</v>
      </c>
      <c r="I573" t="s">
        <v>6048</v>
      </c>
      <c r="J573" t="s">
        <v>6054</v>
      </c>
      <c r="K573" t="s">
        <v>6060</v>
      </c>
      <c r="L573" t="s">
        <v>6620</v>
      </c>
      <c r="M573">
        <v>1136.01</v>
      </c>
      <c r="N573">
        <v>1</v>
      </c>
      <c r="O573">
        <v>7.0000000000000007E-2</v>
      </c>
      <c r="P573">
        <v>187.19</v>
      </c>
      <c r="Q573" t="s">
        <v>9895</v>
      </c>
      <c r="R573">
        <v>2</v>
      </c>
      <c r="S573" s="5">
        <f t="shared" si="16"/>
        <v>0.16477847906268431</v>
      </c>
      <c r="T573">
        <v>1136.01</v>
      </c>
      <c r="U573">
        <v>9</v>
      </c>
      <c r="V573">
        <v>2023</v>
      </c>
      <c r="W573">
        <v>3</v>
      </c>
      <c r="X573" t="s">
        <v>9899</v>
      </c>
      <c r="Y573" t="s">
        <v>9901</v>
      </c>
      <c r="Z573" t="s">
        <v>9898</v>
      </c>
      <c r="AD573">
        <f t="shared" si="17"/>
        <v>2</v>
      </c>
    </row>
    <row r="574" spans="1:30" x14ac:dyDescent="0.25">
      <c r="A574" t="s">
        <v>598</v>
      </c>
      <c r="B574" s="2">
        <v>45294</v>
      </c>
      <c r="C574" s="2">
        <v>45295</v>
      </c>
      <c r="D574" t="s">
        <v>5092</v>
      </c>
      <c r="E574" t="s">
        <v>5592</v>
      </c>
      <c r="F574" t="s">
        <v>6026</v>
      </c>
      <c r="G574" t="s">
        <v>6029</v>
      </c>
      <c r="H574" t="s">
        <v>6032</v>
      </c>
      <c r="I574" t="s">
        <v>6046</v>
      </c>
      <c r="J574" t="s">
        <v>6053</v>
      </c>
      <c r="K574" t="s">
        <v>6057</v>
      </c>
      <c r="L574" t="s">
        <v>6621</v>
      </c>
      <c r="M574">
        <v>951.27</v>
      </c>
      <c r="N574">
        <v>2</v>
      </c>
      <c r="O574">
        <v>0.09</v>
      </c>
      <c r="P574">
        <v>147.34</v>
      </c>
      <c r="Q574" t="s">
        <v>9895</v>
      </c>
      <c r="R574">
        <v>1</v>
      </c>
      <c r="S574" s="5">
        <f t="shared" si="16"/>
        <v>0.15488767647460763</v>
      </c>
      <c r="T574">
        <v>475.63499999999999</v>
      </c>
      <c r="U574">
        <v>1</v>
      </c>
      <c r="V574">
        <v>2024</v>
      </c>
      <c r="W574">
        <v>1</v>
      </c>
      <c r="X574" t="s">
        <v>9899</v>
      </c>
      <c r="Y574" t="s">
        <v>9901</v>
      </c>
      <c r="Z574" t="s">
        <v>9899</v>
      </c>
      <c r="AD574">
        <f t="shared" si="17"/>
        <v>1</v>
      </c>
    </row>
    <row r="575" spans="1:30" x14ac:dyDescent="0.25">
      <c r="A575" t="s">
        <v>599</v>
      </c>
      <c r="B575" s="2">
        <v>45191</v>
      </c>
      <c r="C575" s="2">
        <v>45196</v>
      </c>
      <c r="D575" t="s">
        <v>5269</v>
      </c>
      <c r="E575" t="s">
        <v>5769</v>
      </c>
      <c r="F575" t="s">
        <v>6026</v>
      </c>
      <c r="G575" t="s">
        <v>6029</v>
      </c>
      <c r="H575" t="s">
        <v>6036</v>
      </c>
      <c r="I575" t="s">
        <v>6049</v>
      </c>
      <c r="J575" t="s">
        <v>6054</v>
      </c>
      <c r="K575" t="s">
        <v>6060</v>
      </c>
      <c r="L575" t="s">
        <v>6622</v>
      </c>
      <c r="M575">
        <v>1287.05</v>
      </c>
      <c r="N575">
        <v>6</v>
      </c>
      <c r="O575">
        <v>0.2</v>
      </c>
      <c r="P575">
        <v>-127.75</v>
      </c>
      <c r="Q575" t="s">
        <v>9897</v>
      </c>
      <c r="R575">
        <v>5</v>
      </c>
      <c r="S575" s="5">
        <f t="shared" si="16"/>
        <v>-9.9257993084961735E-2</v>
      </c>
      <c r="T575">
        <v>214.5083333333333</v>
      </c>
      <c r="U575">
        <v>9</v>
      </c>
      <c r="V575">
        <v>2023</v>
      </c>
      <c r="W575">
        <v>3</v>
      </c>
      <c r="X575" t="s">
        <v>9898</v>
      </c>
      <c r="Y575" t="s">
        <v>9900</v>
      </c>
      <c r="Z575" t="s">
        <v>9898</v>
      </c>
      <c r="AD575">
        <f t="shared" si="17"/>
        <v>5</v>
      </c>
    </row>
    <row r="576" spans="1:30" x14ac:dyDescent="0.25">
      <c r="A576" t="s">
        <v>600</v>
      </c>
      <c r="B576" s="2">
        <v>44962</v>
      </c>
      <c r="C576" s="2">
        <v>44969</v>
      </c>
      <c r="D576" t="s">
        <v>5347</v>
      </c>
      <c r="E576" t="s">
        <v>5847</v>
      </c>
      <c r="F576" t="s">
        <v>6026</v>
      </c>
      <c r="G576" t="s">
        <v>6030</v>
      </c>
      <c r="H576" t="s">
        <v>6033</v>
      </c>
      <c r="I576" t="s">
        <v>6051</v>
      </c>
      <c r="J576" t="s">
        <v>6054</v>
      </c>
      <c r="K576" t="s">
        <v>6060</v>
      </c>
      <c r="L576" t="s">
        <v>6623</v>
      </c>
      <c r="M576">
        <v>1149.18</v>
      </c>
      <c r="N576">
        <v>1</v>
      </c>
      <c r="O576">
        <v>0.34</v>
      </c>
      <c r="P576">
        <v>-161.61000000000001</v>
      </c>
      <c r="Q576" t="s">
        <v>9895</v>
      </c>
      <c r="R576">
        <v>7</v>
      </c>
      <c r="S576" s="5">
        <f t="shared" si="16"/>
        <v>-0.14063071059364068</v>
      </c>
      <c r="T576">
        <v>1149.18</v>
      </c>
      <c r="U576">
        <v>2</v>
      </c>
      <c r="V576">
        <v>2023</v>
      </c>
      <c r="W576">
        <v>1</v>
      </c>
      <c r="X576" t="s">
        <v>9898</v>
      </c>
      <c r="Y576" t="s">
        <v>9902</v>
      </c>
      <c r="Z576" t="s">
        <v>9898</v>
      </c>
      <c r="AD576">
        <f t="shared" si="17"/>
        <v>7</v>
      </c>
    </row>
    <row r="577" spans="1:30" x14ac:dyDescent="0.25">
      <c r="A577" t="s">
        <v>601</v>
      </c>
      <c r="B577" s="2">
        <v>44857</v>
      </c>
      <c r="C577" s="2">
        <v>44863</v>
      </c>
      <c r="D577" t="s">
        <v>5369</v>
      </c>
      <c r="E577" t="s">
        <v>5869</v>
      </c>
      <c r="F577" t="s">
        <v>6028</v>
      </c>
      <c r="G577" t="s">
        <v>6030</v>
      </c>
      <c r="H577" t="s">
        <v>6038</v>
      </c>
      <c r="I577" t="s">
        <v>6051</v>
      </c>
      <c r="J577" t="s">
        <v>6054</v>
      </c>
      <c r="K577" t="s">
        <v>6060</v>
      </c>
      <c r="L577" t="s">
        <v>6624</v>
      </c>
      <c r="M577">
        <v>133.06</v>
      </c>
      <c r="N577">
        <v>6</v>
      </c>
      <c r="O577">
        <v>0.09</v>
      </c>
      <c r="P577">
        <v>12.57</v>
      </c>
      <c r="Q577" t="s">
        <v>9894</v>
      </c>
      <c r="R577">
        <v>6</v>
      </c>
      <c r="S577" s="5">
        <f t="shared" si="16"/>
        <v>9.4468660754546824E-2</v>
      </c>
      <c r="T577">
        <v>22.176666666666669</v>
      </c>
      <c r="U577">
        <v>10</v>
      </c>
      <c r="V577">
        <v>2022</v>
      </c>
      <c r="W577">
        <v>4</v>
      </c>
      <c r="X577" t="s">
        <v>9899</v>
      </c>
      <c r="Y577" t="s">
        <v>9901</v>
      </c>
      <c r="Z577" t="s">
        <v>9899</v>
      </c>
      <c r="AD577">
        <f t="shared" si="17"/>
        <v>6</v>
      </c>
    </row>
    <row r="578" spans="1:30" x14ac:dyDescent="0.25">
      <c r="A578" t="s">
        <v>602</v>
      </c>
      <c r="B578" s="2">
        <v>45365</v>
      </c>
      <c r="C578" s="2">
        <v>45372</v>
      </c>
      <c r="D578" t="s">
        <v>5142</v>
      </c>
      <c r="E578" t="s">
        <v>5642</v>
      </c>
      <c r="F578" t="s">
        <v>6028</v>
      </c>
      <c r="G578" t="s">
        <v>6031</v>
      </c>
      <c r="H578" t="s">
        <v>6040</v>
      </c>
      <c r="I578" t="s">
        <v>6050</v>
      </c>
      <c r="J578" t="s">
        <v>6053</v>
      </c>
      <c r="K578" t="s">
        <v>6056</v>
      </c>
      <c r="L578" t="s">
        <v>6625</v>
      </c>
      <c r="M578">
        <v>1771.34</v>
      </c>
      <c r="N578">
        <v>5</v>
      </c>
      <c r="O578">
        <v>0.33</v>
      </c>
      <c r="P578">
        <v>-96.49</v>
      </c>
      <c r="Q578" t="s">
        <v>9894</v>
      </c>
      <c r="R578">
        <v>7</v>
      </c>
      <c r="S578" s="5">
        <f t="shared" si="16"/>
        <v>-5.447288493456931E-2</v>
      </c>
      <c r="T578">
        <v>354.26799999999997</v>
      </c>
      <c r="U578">
        <v>3</v>
      </c>
      <c r="V578">
        <v>2024</v>
      </c>
      <c r="W578">
        <v>1</v>
      </c>
      <c r="X578" t="s">
        <v>9898</v>
      </c>
      <c r="Y578" t="s">
        <v>9902</v>
      </c>
      <c r="Z578" t="s">
        <v>9898</v>
      </c>
      <c r="AD578">
        <f t="shared" si="17"/>
        <v>7</v>
      </c>
    </row>
    <row r="579" spans="1:30" x14ac:dyDescent="0.25">
      <c r="A579" t="s">
        <v>603</v>
      </c>
      <c r="B579" s="2">
        <v>45110</v>
      </c>
      <c r="C579" s="2">
        <v>45113</v>
      </c>
      <c r="D579" t="s">
        <v>5045</v>
      </c>
      <c r="E579" t="s">
        <v>5545</v>
      </c>
      <c r="F579" t="s">
        <v>6027</v>
      </c>
      <c r="G579" t="s">
        <v>6030</v>
      </c>
      <c r="H579" t="s">
        <v>6038</v>
      </c>
      <c r="I579" t="s">
        <v>6051</v>
      </c>
      <c r="J579" t="s">
        <v>6054</v>
      </c>
      <c r="K579" t="s">
        <v>6059</v>
      </c>
      <c r="L579" t="s">
        <v>6626</v>
      </c>
      <c r="M579">
        <v>139.61000000000001</v>
      </c>
      <c r="N579">
        <v>6</v>
      </c>
      <c r="O579">
        <v>0.22</v>
      </c>
      <c r="P579">
        <v>-7.41</v>
      </c>
      <c r="Q579" t="s">
        <v>9894</v>
      </c>
      <c r="R579">
        <v>3</v>
      </c>
      <c r="S579" s="5">
        <f t="shared" ref="S579:S642" si="18">P579/M579</f>
        <v>-5.3076427190029363E-2</v>
      </c>
      <c r="T579">
        <v>23.268333333333331</v>
      </c>
      <c r="U579">
        <v>7</v>
      </c>
      <c r="V579">
        <v>2023</v>
      </c>
      <c r="W579">
        <v>3</v>
      </c>
      <c r="X579" t="s">
        <v>9898</v>
      </c>
      <c r="Y579" t="s">
        <v>9900</v>
      </c>
      <c r="Z579" t="s">
        <v>9899</v>
      </c>
      <c r="AD579">
        <f t="shared" ref="AD579:AD642" si="19">C579-B579</f>
        <v>3</v>
      </c>
    </row>
    <row r="580" spans="1:30" x14ac:dyDescent="0.25">
      <c r="A580" t="s">
        <v>604</v>
      </c>
      <c r="B580" s="2">
        <v>44793</v>
      </c>
      <c r="C580" s="2">
        <v>44796</v>
      </c>
      <c r="D580" t="s">
        <v>5064</v>
      </c>
      <c r="E580" t="s">
        <v>5564</v>
      </c>
      <c r="F580" t="s">
        <v>6026</v>
      </c>
      <c r="G580" t="s">
        <v>6031</v>
      </c>
      <c r="H580" t="s">
        <v>6043</v>
      </c>
      <c r="I580" t="s">
        <v>6050</v>
      </c>
      <c r="J580" t="s">
        <v>6055</v>
      </c>
      <c r="K580" t="s">
        <v>6063</v>
      </c>
      <c r="L580" t="s">
        <v>6627</v>
      </c>
      <c r="M580">
        <v>757</v>
      </c>
      <c r="N580">
        <v>8</v>
      </c>
      <c r="O580">
        <v>0.19</v>
      </c>
      <c r="P580">
        <v>-17.54</v>
      </c>
      <c r="Q580" t="s">
        <v>9895</v>
      </c>
      <c r="R580">
        <v>3</v>
      </c>
      <c r="S580" s="5">
        <f t="shared" si="18"/>
        <v>-2.3170409511228531E-2</v>
      </c>
      <c r="T580">
        <v>94.625</v>
      </c>
      <c r="U580">
        <v>8</v>
      </c>
      <c r="V580">
        <v>2022</v>
      </c>
      <c r="W580">
        <v>3</v>
      </c>
      <c r="X580" t="s">
        <v>9898</v>
      </c>
      <c r="Y580" t="s">
        <v>9900</v>
      </c>
      <c r="Z580" t="s">
        <v>9899</v>
      </c>
      <c r="AD580">
        <f t="shared" si="19"/>
        <v>3</v>
      </c>
    </row>
    <row r="581" spans="1:30" x14ac:dyDescent="0.25">
      <c r="A581" t="s">
        <v>605</v>
      </c>
      <c r="B581" s="2">
        <v>45180</v>
      </c>
      <c r="C581" s="2">
        <v>45181</v>
      </c>
      <c r="D581" t="s">
        <v>5370</v>
      </c>
      <c r="E581" t="s">
        <v>5870</v>
      </c>
      <c r="F581" t="s">
        <v>6026</v>
      </c>
      <c r="G581" t="s">
        <v>6029</v>
      </c>
      <c r="H581" t="s">
        <v>6041</v>
      </c>
      <c r="I581" t="s">
        <v>6049</v>
      </c>
      <c r="J581" t="s">
        <v>6053</v>
      </c>
      <c r="K581" t="s">
        <v>6057</v>
      </c>
      <c r="L581" t="s">
        <v>6628</v>
      </c>
      <c r="M581">
        <v>881.57</v>
      </c>
      <c r="N581">
        <v>6</v>
      </c>
      <c r="O581">
        <v>0.32</v>
      </c>
      <c r="P581">
        <v>-154.74</v>
      </c>
      <c r="Q581" t="s">
        <v>9895</v>
      </c>
      <c r="R581">
        <v>1</v>
      </c>
      <c r="S581" s="5">
        <f t="shared" si="18"/>
        <v>-0.17552775162494186</v>
      </c>
      <c r="T581">
        <v>146.92833333333331</v>
      </c>
      <c r="U581">
        <v>9</v>
      </c>
      <c r="V581">
        <v>2023</v>
      </c>
      <c r="W581">
        <v>3</v>
      </c>
      <c r="X581" t="s">
        <v>9898</v>
      </c>
      <c r="Y581" t="s">
        <v>9902</v>
      </c>
      <c r="Z581" t="s">
        <v>9899</v>
      </c>
      <c r="AD581">
        <f t="shared" si="19"/>
        <v>1</v>
      </c>
    </row>
    <row r="582" spans="1:30" x14ac:dyDescent="0.25">
      <c r="A582" t="s">
        <v>606</v>
      </c>
      <c r="B582" s="2">
        <v>45060</v>
      </c>
      <c r="C582" s="2">
        <v>45066</v>
      </c>
      <c r="D582" t="s">
        <v>5207</v>
      </c>
      <c r="E582" t="s">
        <v>5707</v>
      </c>
      <c r="F582" t="s">
        <v>6027</v>
      </c>
      <c r="G582" t="s">
        <v>6030</v>
      </c>
      <c r="H582" t="s">
        <v>6035</v>
      </c>
      <c r="I582" t="s">
        <v>6051</v>
      </c>
      <c r="J582" t="s">
        <v>6054</v>
      </c>
      <c r="K582" t="s">
        <v>6062</v>
      </c>
      <c r="L582" t="s">
        <v>6629</v>
      </c>
      <c r="M582">
        <v>347.79</v>
      </c>
      <c r="N582">
        <v>6</v>
      </c>
      <c r="O582">
        <v>0.17</v>
      </c>
      <c r="P582">
        <v>-10.14</v>
      </c>
      <c r="Q582" t="s">
        <v>9896</v>
      </c>
      <c r="R582">
        <v>6</v>
      </c>
      <c r="S582" s="5">
        <f t="shared" si="18"/>
        <v>-2.9155524885706892E-2</v>
      </c>
      <c r="T582">
        <v>57.965000000000003</v>
      </c>
      <c r="U582">
        <v>5</v>
      </c>
      <c r="V582">
        <v>2023</v>
      </c>
      <c r="W582">
        <v>2</v>
      </c>
      <c r="X582" t="s">
        <v>9898</v>
      </c>
      <c r="Y582" t="s">
        <v>9900</v>
      </c>
      <c r="Z582" t="s">
        <v>9899</v>
      </c>
      <c r="AD582">
        <f t="shared" si="19"/>
        <v>6</v>
      </c>
    </row>
    <row r="583" spans="1:30" x14ac:dyDescent="0.25">
      <c r="A583" t="s">
        <v>607</v>
      </c>
      <c r="B583" s="2">
        <v>45274</v>
      </c>
      <c r="C583" s="2">
        <v>45277</v>
      </c>
      <c r="D583" t="s">
        <v>5157</v>
      </c>
      <c r="E583" t="s">
        <v>5657</v>
      </c>
      <c r="F583" t="s">
        <v>6026</v>
      </c>
      <c r="G583" t="s">
        <v>6029</v>
      </c>
      <c r="H583" t="s">
        <v>6041</v>
      </c>
      <c r="I583" t="s">
        <v>6050</v>
      </c>
      <c r="J583" t="s">
        <v>6053</v>
      </c>
      <c r="K583" t="s">
        <v>6058</v>
      </c>
      <c r="L583" t="s">
        <v>6630</v>
      </c>
      <c r="M583">
        <v>413.63</v>
      </c>
      <c r="N583">
        <v>6</v>
      </c>
      <c r="O583">
        <v>0.31</v>
      </c>
      <c r="P583">
        <v>-77.099999999999994</v>
      </c>
      <c r="Q583" t="s">
        <v>9896</v>
      </c>
      <c r="R583">
        <v>3</v>
      </c>
      <c r="S583" s="5">
        <f t="shared" si="18"/>
        <v>-0.18639847206440538</v>
      </c>
      <c r="T583">
        <v>68.938333333333333</v>
      </c>
      <c r="U583">
        <v>12</v>
      </c>
      <c r="V583">
        <v>2023</v>
      </c>
      <c r="W583">
        <v>4</v>
      </c>
      <c r="X583" t="s">
        <v>9898</v>
      </c>
      <c r="Y583" t="s">
        <v>9902</v>
      </c>
      <c r="Z583" t="s">
        <v>9899</v>
      </c>
      <c r="AD583">
        <f t="shared" si="19"/>
        <v>3</v>
      </c>
    </row>
    <row r="584" spans="1:30" x14ac:dyDescent="0.25">
      <c r="A584" t="s">
        <v>608</v>
      </c>
      <c r="B584" s="2">
        <v>45347</v>
      </c>
      <c r="C584" s="2">
        <v>45352</v>
      </c>
      <c r="D584" t="s">
        <v>5371</v>
      </c>
      <c r="E584" t="s">
        <v>5871</v>
      </c>
      <c r="F584" t="s">
        <v>6026</v>
      </c>
      <c r="G584" t="s">
        <v>6030</v>
      </c>
      <c r="H584" t="s">
        <v>6038</v>
      </c>
      <c r="I584" t="s">
        <v>6051</v>
      </c>
      <c r="J584" t="s">
        <v>6054</v>
      </c>
      <c r="K584" t="s">
        <v>6059</v>
      </c>
      <c r="L584" t="s">
        <v>6631</v>
      </c>
      <c r="M584">
        <v>1146.06</v>
      </c>
      <c r="N584">
        <v>1</v>
      </c>
      <c r="O584">
        <v>0.33</v>
      </c>
      <c r="P584">
        <v>-34.56</v>
      </c>
      <c r="Q584" t="s">
        <v>9893</v>
      </c>
      <c r="R584">
        <v>5</v>
      </c>
      <c r="S584" s="5">
        <f t="shared" si="18"/>
        <v>-3.0155489241400976E-2</v>
      </c>
      <c r="T584">
        <v>1146.06</v>
      </c>
      <c r="U584">
        <v>2</v>
      </c>
      <c r="V584">
        <v>2024</v>
      </c>
      <c r="W584">
        <v>1</v>
      </c>
      <c r="X584" t="s">
        <v>9898</v>
      </c>
      <c r="Y584" t="s">
        <v>9902</v>
      </c>
      <c r="Z584" t="s">
        <v>9898</v>
      </c>
      <c r="AD584">
        <f t="shared" si="19"/>
        <v>5</v>
      </c>
    </row>
    <row r="585" spans="1:30" x14ac:dyDescent="0.25">
      <c r="A585" t="s">
        <v>609</v>
      </c>
      <c r="B585" s="2">
        <v>45384</v>
      </c>
      <c r="C585" s="2">
        <v>45385</v>
      </c>
      <c r="D585" t="s">
        <v>5367</v>
      </c>
      <c r="E585" t="s">
        <v>5867</v>
      </c>
      <c r="F585" t="s">
        <v>6028</v>
      </c>
      <c r="G585" t="s">
        <v>6031</v>
      </c>
      <c r="H585" t="s">
        <v>6043</v>
      </c>
      <c r="I585" t="s">
        <v>6050</v>
      </c>
      <c r="J585" t="s">
        <v>6054</v>
      </c>
      <c r="K585" t="s">
        <v>6062</v>
      </c>
      <c r="L585" t="s">
        <v>6632</v>
      </c>
      <c r="M585">
        <v>1230.72</v>
      </c>
      <c r="N585">
        <v>8</v>
      </c>
      <c r="O585">
        <v>0.19</v>
      </c>
      <c r="P585">
        <v>126.74</v>
      </c>
      <c r="Q585" t="s">
        <v>9893</v>
      </c>
      <c r="R585">
        <v>1</v>
      </c>
      <c r="S585" s="5">
        <f t="shared" si="18"/>
        <v>0.10298036921476858</v>
      </c>
      <c r="T585">
        <v>153.84</v>
      </c>
      <c r="U585">
        <v>4</v>
      </c>
      <c r="V585">
        <v>2024</v>
      </c>
      <c r="W585">
        <v>2</v>
      </c>
      <c r="X585" t="s">
        <v>9899</v>
      </c>
      <c r="Y585" t="s">
        <v>9900</v>
      </c>
      <c r="Z585" t="s">
        <v>9898</v>
      </c>
      <c r="AD585">
        <f t="shared" si="19"/>
        <v>1</v>
      </c>
    </row>
    <row r="586" spans="1:30" x14ac:dyDescent="0.25">
      <c r="A586" t="s">
        <v>610</v>
      </c>
      <c r="B586" s="2">
        <v>45205</v>
      </c>
      <c r="C586" s="2">
        <v>45210</v>
      </c>
      <c r="D586" t="s">
        <v>5372</v>
      </c>
      <c r="E586" t="s">
        <v>5872</v>
      </c>
      <c r="F586" t="s">
        <v>6028</v>
      </c>
      <c r="G586" t="s">
        <v>6031</v>
      </c>
      <c r="H586" t="s">
        <v>6040</v>
      </c>
      <c r="I586" t="s">
        <v>6052</v>
      </c>
      <c r="J586" t="s">
        <v>6053</v>
      </c>
      <c r="K586" t="s">
        <v>6057</v>
      </c>
      <c r="L586" t="s">
        <v>6633</v>
      </c>
      <c r="M586">
        <v>1424.28</v>
      </c>
      <c r="N586">
        <v>6</v>
      </c>
      <c r="O586">
        <v>0.08</v>
      </c>
      <c r="P586">
        <v>33.29</v>
      </c>
      <c r="Q586" t="s">
        <v>9897</v>
      </c>
      <c r="R586">
        <v>5</v>
      </c>
      <c r="S586" s="5">
        <f t="shared" si="18"/>
        <v>2.3373213132249278E-2</v>
      </c>
      <c r="T586">
        <v>237.38</v>
      </c>
      <c r="U586">
        <v>10</v>
      </c>
      <c r="V586">
        <v>2023</v>
      </c>
      <c r="W586">
        <v>4</v>
      </c>
      <c r="X586" t="s">
        <v>9899</v>
      </c>
      <c r="Y586" t="s">
        <v>9901</v>
      </c>
      <c r="Z586" t="s">
        <v>9898</v>
      </c>
      <c r="AD586">
        <f t="shared" si="19"/>
        <v>5</v>
      </c>
    </row>
    <row r="587" spans="1:30" x14ac:dyDescent="0.25">
      <c r="A587" t="s">
        <v>611</v>
      </c>
      <c r="B587" s="2">
        <v>44591</v>
      </c>
      <c r="C587" s="2">
        <v>44597</v>
      </c>
      <c r="D587" t="s">
        <v>5349</v>
      </c>
      <c r="E587" t="s">
        <v>5849</v>
      </c>
      <c r="F587" t="s">
        <v>6027</v>
      </c>
      <c r="G587" t="s">
        <v>6030</v>
      </c>
      <c r="H587" t="s">
        <v>6039</v>
      </c>
      <c r="I587" t="s">
        <v>6051</v>
      </c>
      <c r="J587" t="s">
        <v>6053</v>
      </c>
      <c r="K587" t="s">
        <v>6056</v>
      </c>
      <c r="L587" t="s">
        <v>6634</v>
      </c>
      <c r="M587">
        <v>453.04</v>
      </c>
      <c r="N587">
        <v>2</v>
      </c>
      <c r="O587">
        <v>0</v>
      </c>
      <c r="P587">
        <v>121.36</v>
      </c>
      <c r="Q587" t="s">
        <v>9893</v>
      </c>
      <c r="R587">
        <v>6</v>
      </c>
      <c r="S587" s="5">
        <f t="shared" si="18"/>
        <v>0.26787921596327036</v>
      </c>
      <c r="T587">
        <v>226.52</v>
      </c>
      <c r="U587">
        <v>1</v>
      </c>
      <c r="V587">
        <v>2022</v>
      </c>
      <c r="W587">
        <v>1</v>
      </c>
      <c r="X587" t="s">
        <v>9899</v>
      </c>
      <c r="Y587" t="s">
        <v>9901</v>
      </c>
      <c r="Z587" t="s">
        <v>9899</v>
      </c>
      <c r="AD587">
        <f t="shared" si="19"/>
        <v>6</v>
      </c>
    </row>
    <row r="588" spans="1:30" x14ac:dyDescent="0.25">
      <c r="A588" t="s">
        <v>612</v>
      </c>
      <c r="B588" s="2">
        <v>44768</v>
      </c>
      <c r="C588" s="2">
        <v>44771</v>
      </c>
      <c r="D588" t="s">
        <v>5373</v>
      </c>
      <c r="E588" t="s">
        <v>5873</v>
      </c>
      <c r="F588" t="s">
        <v>6028</v>
      </c>
      <c r="G588" t="s">
        <v>6029</v>
      </c>
      <c r="H588" t="s">
        <v>6032</v>
      </c>
      <c r="I588" t="s">
        <v>6050</v>
      </c>
      <c r="J588" t="s">
        <v>6054</v>
      </c>
      <c r="K588" t="s">
        <v>6060</v>
      </c>
      <c r="L588" t="s">
        <v>6635</v>
      </c>
      <c r="M588">
        <v>1933.97</v>
      </c>
      <c r="N588">
        <v>4</v>
      </c>
      <c r="O588">
        <v>0.01</v>
      </c>
      <c r="P588">
        <v>257.3</v>
      </c>
      <c r="Q588" t="s">
        <v>9896</v>
      </c>
      <c r="R588">
        <v>3</v>
      </c>
      <c r="S588" s="5">
        <f t="shared" si="18"/>
        <v>0.13304239465968964</v>
      </c>
      <c r="T588">
        <v>483.49250000000001</v>
      </c>
      <c r="U588">
        <v>7</v>
      </c>
      <c r="V588">
        <v>2022</v>
      </c>
      <c r="W588">
        <v>3</v>
      </c>
      <c r="X588" t="s">
        <v>9899</v>
      </c>
      <c r="Y588" t="s">
        <v>9901</v>
      </c>
      <c r="Z588" t="s">
        <v>9898</v>
      </c>
      <c r="AD588">
        <f t="shared" si="19"/>
        <v>3</v>
      </c>
    </row>
    <row r="589" spans="1:30" x14ac:dyDescent="0.25">
      <c r="A589" t="s">
        <v>613</v>
      </c>
      <c r="B589" s="2">
        <v>45394</v>
      </c>
      <c r="C589" s="2">
        <v>45397</v>
      </c>
      <c r="D589" t="s">
        <v>5374</v>
      </c>
      <c r="E589" t="s">
        <v>5874</v>
      </c>
      <c r="F589" t="s">
        <v>6027</v>
      </c>
      <c r="G589" t="s">
        <v>6030</v>
      </c>
      <c r="H589" t="s">
        <v>6039</v>
      </c>
      <c r="I589" t="s">
        <v>6047</v>
      </c>
      <c r="J589" t="s">
        <v>6053</v>
      </c>
      <c r="K589" t="s">
        <v>6056</v>
      </c>
      <c r="L589" t="s">
        <v>6636</v>
      </c>
      <c r="M589">
        <v>720.37</v>
      </c>
      <c r="N589">
        <v>5</v>
      </c>
      <c r="O589">
        <v>0.24</v>
      </c>
      <c r="P589">
        <v>-34.020000000000003</v>
      </c>
      <c r="Q589" t="s">
        <v>9895</v>
      </c>
      <c r="R589">
        <v>3</v>
      </c>
      <c r="S589" s="5">
        <f t="shared" si="18"/>
        <v>-4.7225731221455645E-2</v>
      </c>
      <c r="T589">
        <v>144.07400000000001</v>
      </c>
      <c r="U589">
        <v>4</v>
      </c>
      <c r="V589">
        <v>2024</v>
      </c>
      <c r="W589">
        <v>2</v>
      </c>
      <c r="X589" t="s">
        <v>9898</v>
      </c>
      <c r="Y589" t="s">
        <v>9900</v>
      </c>
      <c r="Z589" t="s">
        <v>9899</v>
      </c>
      <c r="AD589">
        <f t="shared" si="19"/>
        <v>3</v>
      </c>
    </row>
    <row r="590" spans="1:30" x14ac:dyDescent="0.25">
      <c r="A590" t="s">
        <v>614</v>
      </c>
      <c r="B590" s="2">
        <v>44817</v>
      </c>
      <c r="C590" s="2">
        <v>44819</v>
      </c>
      <c r="D590" t="s">
        <v>5041</v>
      </c>
      <c r="E590" t="s">
        <v>5541</v>
      </c>
      <c r="F590" t="s">
        <v>6028</v>
      </c>
      <c r="G590" t="s">
        <v>6029</v>
      </c>
      <c r="H590" t="s">
        <v>6044</v>
      </c>
      <c r="I590" t="s">
        <v>6046</v>
      </c>
      <c r="J590" t="s">
        <v>6054</v>
      </c>
      <c r="K590" t="s">
        <v>6062</v>
      </c>
      <c r="L590" t="s">
        <v>6637</v>
      </c>
      <c r="M590">
        <v>175.28</v>
      </c>
      <c r="N590">
        <v>4</v>
      </c>
      <c r="O590">
        <v>0.09</v>
      </c>
      <c r="P590">
        <v>7.49</v>
      </c>
      <c r="Q590" t="s">
        <v>9896</v>
      </c>
      <c r="R590">
        <v>2</v>
      </c>
      <c r="S590" s="5">
        <f t="shared" si="18"/>
        <v>4.2731629392971246E-2</v>
      </c>
      <c r="T590">
        <v>43.82</v>
      </c>
      <c r="U590">
        <v>9</v>
      </c>
      <c r="V590">
        <v>2022</v>
      </c>
      <c r="W590">
        <v>3</v>
      </c>
      <c r="X590" t="s">
        <v>9899</v>
      </c>
      <c r="Y590" t="s">
        <v>9901</v>
      </c>
      <c r="Z590" t="s">
        <v>9899</v>
      </c>
      <c r="AD590">
        <f t="shared" si="19"/>
        <v>2</v>
      </c>
    </row>
    <row r="591" spans="1:30" x14ac:dyDescent="0.25">
      <c r="A591" t="s">
        <v>615</v>
      </c>
      <c r="B591" s="2">
        <v>44794</v>
      </c>
      <c r="C591" s="2">
        <v>44795</v>
      </c>
      <c r="D591" t="s">
        <v>5067</v>
      </c>
      <c r="E591" t="s">
        <v>5567</v>
      </c>
      <c r="F591" t="s">
        <v>6027</v>
      </c>
      <c r="G591" t="s">
        <v>6031</v>
      </c>
      <c r="H591" t="s">
        <v>6034</v>
      </c>
      <c r="I591" t="s">
        <v>6048</v>
      </c>
      <c r="J591" t="s">
        <v>6055</v>
      </c>
      <c r="K591" t="s">
        <v>6061</v>
      </c>
      <c r="L591" t="s">
        <v>6638</v>
      </c>
      <c r="M591">
        <v>562.19000000000005</v>
      </c>
      <c r="N591">
        <v>7</v>
      </c>
      <c r="O591">
        <v>0.32</v>
      </c>
      <c r="P591">
        <v>-41</v>
      </c>
      <c r="Q591" t="s">
        <v>9896</v>
      </c>
      <c r="R591">
        <v>1</v>
      </c>
      <c r="S591" s="5">
        <f t="shared" si="18"/>
        <v>-7.2929080915704644E-2</v>
      </c>
      <c r="T591">
        <v>80.312857142857155</v>
      </c>
      <c r="U591">
        <v>8</v>
      </c>
      <c r="V591">
        <v>2022</v>
      </c>
      <c r="W591">
        <v>3</v>
      </c>
      <c r="X591" t="s">
        <v>9898</v>
      </c>
      <c r="Y591" t="s">
        <v>9902</v>
      </c>
      <c r="Z591" t="s">
        <v>9899</v>
      </c>
      <c r="AD591">
        <f t="shared" si="19"/>
        <v>1</v>
      </c>
    </row>
    <row r="592" spans="1:30" x14ac:dyDescent="0.25">
      <c r="A592" t="s">
        <v>616</v>
      </c>
      <c r="B592" s="2">
        <v>45024</v>
      </c>
      <c r="C592" s="2">
        <v>45026</v>
      </c>
      <c r="D592" t="s">
        <v>5178</v>
      </c>
      <c r="E592" t="s">
        <v>5678</v>
      </c>
      <c r="F592" t="s">
        <v>6027</v>
      </c>
      <c r="G592" t="s">
        <v>6031</v>
      </c>
      <c r="H592" t="s">
        <v>6037</v>
      </c>
      <c r="I592" t="s">
        <v>6052</v>
      </c>
      <c r="J592" t="s">
        <v>6054</v>
      </c>
      <c r="K592" t="s">
        <v>6062</v>
      </c>
      <c r="L592" t="s">
        <v>6639</v>
      </c>
      <c r="M592">
        <v>1805.2</v>
      </c>
      <c r="N592">
        <v>8</v>
      </c>
      <c r="O592">
        <v>0.34</v>
      </c>
      <c r="P592">
        <v>-256.33</v>
      </c>
      <c r="Q592" t="s">
        <v>9896</v>
      </c>
      <c r="R592">
        <v>2</v>
      </c>
      <c r="S592" s="5">
        <f t="shared" si="18"/>
        <v>-0.1419953467759805</v>
      </c>
      <c r="T592">
        <v>225.65</v>
      </c>
      <c r="U592">
        <v>4</v>
      </c>
      <c r="V592">
        <v>2023</v>
      </c>
      <c r="W592">
        <v>2</v>
      </c>
      <c r="X592" t="s">
        <v>9898</v>
      </c>
      <c r="Y592" t="s">
        <v>9902</v>
      </c>
      <c r="Z592" t="s">
        <v>9898</v>
      </c>
      <c r="AD592">
        <f t="shared" si="19"/>
        <v>2</v>
      </c>
    </row>
    <row r="593" spans="1:30" x14ac:dyDescent="0.25">
      <c r="A593" t="s">
        <v>617</v>
      </c>
      <c r="B593" s="2">
        <v>45035</v>
      </c>
      <c r="C593" s="2">
        <v>45037</v>
      </c>
      <c r="D593" t="s">
        <v>5148</v>
      </c>
      <c r="E593" t="s">
        <v>5648</v>
      </c>
      <c r="F593" t="s">
        <v>6027</v>
      </c>
      <c r="G593" t="s">
        <v>6030</v>
      </c>
      <c r="H593" t="s">
        <v>6038</v>
      </c>
      <c r="I593" t="s">
        <v>6051</v>
      </c>
      <c r="J593" t="s">
        <v>6055</v>
      </c>
      <c r="K593" t="s">
        <v>6063</v>
      </c>
      <c r="L593" t="s">
        <v>6640</v>
      </c>
      <c r="M593">
        <v>499.61</v>
      </c>
      <c r="N593">
        <v>6</v>
      </c>
      <c r="O593">
        <v>0.31</v>
      </c>
      <c r="P593">
        <v>-78.36</v>
      </c>
      <c r="Q593" t="s">
        <v>9893</v>
      </c>
      <c r="R593">
        <v>2</v>
      </c>
      <c r="S593" s="5">
        <f t="shared" si="18"/>
        <v>-0.15684233702287784</v>
      </c>
      <c r="T593">
        <v>83.268333333333331</v>
      </c>
      <c r="U593">
        <v>4</v>
      </c>
      <c r="V593">
        <v>2023</v>
      </c>
      <c r="W593">
        <v>2</v>
      </c>
      <c r="X593" t="s">
        <v>9898</v>
      </c>
      <c r="Y593" t="s">
        <v>9902</v>
      </c>
      <c r="Z593" t="s">
        <v>9899</v>
      </c>
      <c r="AD593">
        <f t="shared" si="19"/>
        <v>2</v>
      </c>
    </row>
    <row r="594" spans="1:30" x14ac:dyDescent="0.25">
      <c r="A594" t="s">
        <v>618</v>
      </c>
      <c r="B594" s="2">
        <v>45101</v>
      </c>
      <c r="C594" s="2">
        <v>45102</v>
      </c>
      <c r="D594" t="s">
        <v>5342</v>
      </c>
      <c r="E594" t="s">
        <v>5842</v>
      </c>
      <c r="F594" t="s">
        <v>6027</v>
      </c>
      <c r="G594" t="s">
        <v>6030</v>
      </c>
      <c r="H594" t="s">
        <v>6038</v>
      </c>
      <c r="I594" t="s">
        <v>6047</v>
      </c>
      <c r="J594" t="s">
        <v>6053</v>
      </c>
      <c r="K594" t="s">
        <v>6056</v>
      </c>
      <c r="L594" t="s">
        <v>6641</v>
      </c>
      <c r="M594">
        <v>393.19</v>
      </c>
      <c r="N594">
        <v>2</v>
      </c>
      <c r="O594">
        <v>0.3</v>
      </c>
      <c r="P594">
        <v>-34.51</v>
      </c>
      <c r="Q594" t="s">
        <v>9896</v>
      </c>
      <c r="R594">
        <v>1</v>
      </c>
      <c r="S594" s="5">
        <f t="shared" si="18"/>
        <v>-8.7769271853302466E-2</v>
      </c>
      <c r="T594">
        <v>196.595</v>
      </c>
      <c r="U594">
        <v>6</v>
      </c>
      <c r="V594">
        <v>2023</v>
      </c>
      <c r="W594">
        <v>2</v>
      </c>
      <c r="X594" t="s">
        <v>9898</v>
      </c>
      <c r="Y594" t="s">
        <v>9900</v>
      </c>
      <c r="Z594" t="s">
        <v>9899</v>
      </c>
      <c r="AD594">
        <f t="shared" si="19"/>
        <v>1</v>
      </c>
    </row>
    <row r="595" spans="1:30" x14ac:dyDescent="0.25">
      <c r="A595" t="s">
        <v>619</v>
      </c>
      <c r="B595" s="2">
        <v>45166</v>
      </c>
      <c r="C595" s="2">
        <v>45171</v>
      </c>
      <c r="D595" t="s">
        <v>5160</v>
      </c>
      <c r="E595" t="s">
        <v>5660</v>
      </c>
      <c r="F595" t="s">
        <v>6028</v>
      </c>
      <c r="G595" t="s">
        <v>6030</v>
      </c>
      <c r="H595" t="s">
        <v>6039</v>
      </c>
      <c r="I595" t="s">
        <v>6051</v>
      </c>
      <c r="J595" t="s">
        <v>6054</v>
      </c>
      <c r="K595" t="s">
        <v>6059</v>
      </c>
      <c r="L595" t="s">
        <v>6642</v>
      </c>
      <c r="M595">
        <v>561.69000000000005</v>
      </c>
      <c r="N595">
        <v>7</v>
      </c>
      <c r="O595">
        <v>0.12</v>
      </c>
      <c r="P595">
        <v>76.98</v>
      </c>
      <c r="Q595" t="s">
        <v>9897</v>
      </c>
      <c r="R595">
        <v>5</v>
      </c>
      <c r="S595" s="5">
        <f t="shared" si="18"/>
        <v>0.13705068632163647</v>
      </c>
      <c r="T595">
        <v>80.241428571428585</v>
      </c>
      <c r="U595">
        <v>8</v>
      </c>
      <c r="V595">
        <v>2023</v>
      </c>
      <c r="W595">
        <v>3</v>
      </c>
      <c r="X595" t="s">
        <v>9899</v>
      </c>
      <c r="Y595" t="s">
        <v>9901</v>
      </c>
      <c r="Z595" t="s">
        <v>9899</v>
      </c>
      <c r="AD595">
        <f t="shared" si="19"/>
        <v>5</v>
      </c>
    </row>
    <row r="596" spans="1:30" x14ac:dyDescent="0.25">
      <c r="A596" t="s">
        <v>620</v>
      </c>
      <c r="B596" s="2">
        <v>45458</v>
      </c>
      <c r="C596" s="2">
        <v>45460</v>
      </c>
      <c r="D596" t="s">
        <v>5217</v>
      </c>
      <c r="E596" t="s">
        <v>5717</v>
      </c>
      <c r="F596" t="s">
        <v>6026</v>
      </c>
      <c r="G596" t="s">
        <v>6031</v>
      </c>
      <c r="H596" t="s">
        <v>6043</v>
      </c>
      <c r="I596" t="s">
        <v>6050</v>
      </c>
      <c r="J596" t="s">
        <v>6053</v>
      </c>
      <c r="K596" t="s">
        <v>6056</v>
      </c>
      <c r="L596" t="s">
        <v>6643</v>
      </c>
      <c r="M596">
        <v>1368.57</v>
      </c>
      <c r="N596">
        <v>4</v>
      </c>
      <c r="O596">
        <v>0.18</v>
      </c>
      <c r="P596">
        <v>42.75</v>
      </c>
      <c r="Q596" t="s">
        <v>9893</v>
      </c>
      <c r="R596">
        <v>2</v>
      </c>
      <c r="S596" s="5">
        <f t="shared" si="18"/>
        <v>3.1236984589754272E-2</v>
      </c>
      <c r="T596">
        <v>342.14249999999998</v>
      </c>
      <c r="U596">
        <v>6</v>
      </c>
      <c r="V596">
        <v>2024</v>
      </c>
      <c r="W596">
        <v>2</v>
      </c>
      <c r="X596" t="s">
        <v>9899</v>
      </c>
      <c r="Y596" t="s">
        <v>9900</v>
      </c>
      <c r="Z596" t="s">
        <v>9898</v>
      </c>
      <c r="AD596">
        <f t="shared" si="19"/>
        <v>2</v>
      </c>
    </row>
    <row r="597" spans="1:30" x14ac:dyDescent="0.25">
      <c r="A597" t="s">
        <v>621</v>
      </c>
      <c r="B597" s="2">
        <v>45074</v>
      </c>
      <c r="C597" s="2">
        <v>45078</v>
      </c>
      <c r="D597" t="s">
        <v>5375</v>
      </c>
      <c r="E597" t="s">
        <v>5875</v>
      </c>
      <c r="F597" t="s">
        <v>6028</v>
      </c>
      <c r="G597" t="s">
        <v>6030</v>
      </c>
      <c r="H597" t="s">
        <v>6038</v>
      </c>
      <c r="I597" t="s">
        <v>6047</v>
      </c>
      <c r="J597" t="s">
        <v>6054</v>
      </c>
      <c r="K597" t="s">
        <v>6059</v>
      </c>
      <c r="L597" t="s">
        <v>6644</v>
      </c>
      <c r="M597">
        <v>1530.84</v>
      </c>
      <c r="N597">
        <v>4</v>
      </c>
      <c r="O597">
        <v>0.14000000000000001</v>
      </c>
      <c r="P597">
        <v>-38.71</v>
      </c>
      <c r="Q597" t="s">
        <v>9894</v>
      </c>
      <c r="R597">
        <v>4</v>
      </c>
      <c r="S597" s="5">
        <f t="shared" si="18"/>
        <v>-2.5286770661858849E-2</v>
      </c>
      <c r="T597">
        <v>382.71</v>
      </c>
      <c r="U597">
        <v>5</v>
      </c>
      <c r="V597">
        <v>2023</v>
      </c>
      <c r="W597">
        <v>2</v>
      </c>
      <c r="X597" t="s">
        <v>9898</v>
      </c>
      <c r="Y597" t="s">
        <v>9901</v>
      </c>
      <c r="Z597" t="s">
        <v>9898</v>
      </c>
      <c r="AD597">
        <f t="shared" si="19"/>
        <v>4</v>
      </c>
    </row>
    <row r="598" spans="1:30" x14ac:dyDescent="0.25">
      <c r="A598" t="s">
        <v>622</v>
      </c>
      <c r="B598" s="2">
        <v>45455</v>
      </c>
      <c r="C598" s="2">
        <v>45456</v>
      </c>
      <c r="D598" t="s">
        <v>5376</v>
      </c>
      <c r="E598" t="s">
        <v>5876</v>
      </c>
      <c r="F598" t="s">
        <v>6026</v>
      </c>
      <c r="G598" t="s">
        <v>6031</v>
      </c>
      <c r="H598" t="s">
        <v>6043</v>
      </c>
      <c r="I598" t="s">
        <v>6050</v>
      </c>
      <c r="J598" t="s">
        <v>6054</v>
      </c>
      <c r="K598" t="s">
        <v>6062</v>
      </c>
      <c r="L598" t="s">
        <v>6645</v>
      </c>
      <c r="M598">
        <v>833</v>
      </c>
      <c r="N598">
        <v>1</v>
      </c>
      <c r="O598">
        <v>0.12</v>
      </c>
      <c r="P598">
        <v>48.12</v>
      </c>
      <c r="Q598" t="s">
        <v>9897</v>
      </c>
      <c r="R598">
        <v>1</v>
      </c>
      <c r="S598" s="5">
        <f t="shared" si="18"/>
        <v>5.7767106842737094E-2</v>
      </c>
      <c r="T598">
        <v>833</v>
      </c>
      <c r="U598">
        <v>6</v>
      </c>
      <c r="V598">
        <v>2024</v>
      </c>
      <c r="W598">
        <v>2</v>
      </c>
      <c r="X598" t="s">
        <v>9899</v>
      </c>
      <c r="Y598" t="s">
        <v>9901</v>
      </c>
      <c r="Z598" t="s">
        <v>9899</v>
      </c>
      <c r="AD598">
        <f t="shared" si="19"/>
        <v>1</v>
      </c>
    </row>
    <row r="599" spans="1:30" x14ac:dyDescent="0.25">
      <c r="A599" t="s">
        <v>623</v>
      </c>
      <c r="B599" s="2">
        <v>45341</v>
      </c>
      <c r="C599" s="2">
        <v>45347</v>
      </c>
      <c r="D599" t="s">
        <v>5377</v>
      </c>
      <c r="E599" t="s">
        <v>5877</v>
      </c>
      <c r="F599" t="s">
        <v>6027</v>
      </c>
      <c r="G599" t="s">
        <v>6030</v>
      </c>
      <c r="H599" t="s">
        <v>6039</v>
      </c>
      <c r="I599" t="s">
        <v>6051</v>
      </c>
      <c r="J599" t="s">
        <v>6054</v>
      </c>
      <c r="K599" t="s">
        <v>6060</v>
      </c>
      <c r="L599" t="s">
        <v>6646</v>
      </c>
      <c r="M599">
        <v>1365.33</v>
      </c>
      <c r="N599">
        <v>6</v>
      </c>
      <c r="O599">
        <v>0</v>
      </c>
      <c r="P599">
        <v>156.01</v>
      </c>
      <c r="Q599" t="s">
        <v>9895</v>
      </c>
      <c r="R599">
        <v>6</v>
      </c>
      <c r="S599" s="5">
        <f t="shared" si="18"/>
        <v>0.11426541568705002</v>
      </c>
      <c r="T599">
        <v>227.55500000000001</v>
      </c>
      <c r="U599">
        <v>2</v>
      </c>
      <c r="V599">
        <v>2024</v>
      </c>
      <c r="W599">
        <v>1</v>
      </c>
      <c r="X599" t="s">
        <v>9899</v>
      </c>
      <c r="Y599" t="s">
        <v>9901</v>
      </c>
      <c r="Z599" t="s">
        <v>9898</v>
      </c>
      <c r="AD599">
        <f t="shared" si="19"/>
        <v>6</v>
      </c>
    </row>
    <row r="600" spans="1:30" x14ac:dyDescent="0.25">
      <c r="A600" t="s">
        <v>624</v>
      </c>
      <c r="B600" s="2">
        <v>45272</v>
      </c>
      <c r="C600" s="2">
        <v>45273</v>
      </c>
      <c r="D600" t="s">
        <v>5089</v>
      </c>
      <c r="E600" t="s">
        <v>5589</v>
      </c>
      <c r="F600" t="s">
        <v>6027</v>
      </c>
      <c r="G600" t="s">
        <v>6031</v>
      </c>
      <c r="H600" t="s">
        <v>6034</v>
      </c>
      <c r="I600" t="s">
        <v>6052</v>
      </c>
      <c r="J600" t="s">
        <v>6055</v>
      </c>
      <c r="K600" t="s">
        <v>6063</v>
      </c>
      <c r="L600" t="s">
        <v>6647</v>
      </c>
      <c r="M600">
        <v>649.84</v>
      </c>
      <c r="N600">
        <v>3</v>
      </c>
      <c r="O600">
        <v>0.33</v>
      </c>
      <c r="P600">
        <v>-71.69</v>
      </c>
      <c r="Q600" t="s">
        <v>9893</v>
      </c>
      <c r="R600">
        <v>1</v>
      </c>
      <c r="S600" s="5">
        <f t="shared" si="18"/>
        <v>-0.11031946325249291</v>
      </c>
      <c r="T600">
        <v>216.61333333333329</v>
      </c>
      <c r="U600">
        <v>12</v>
      </c>
      <c r="V600">
        <v>2023</v>
      </c>
      <c r="W600">
        <v>4</v>
      </c>
      <c r="X600" t="s">
        <v>9898</v>
      </c>
      <c r="Y600" t="s">
        <v>9902</v>
      </c>
      <c r="Z600" t="s">
        <v>9899</v>
      </c>
      <c r="AD600">
        <f t="shared" si="19"/>
        <v>1</v>
      </c>
    </row>
    <row r="601" spans="1:30" x14ac:dyDescent="0.25">
      <c r="A601" t="s">
        <v>625</v>
      </c>
      <c r="B601" s="2">
        <v>45264</v>
      </c>
      <c r="C601" s="2">
        <v>45266</v>
      </c>
      <c r="D601" t="s">
        <v>5118</v>
      </c>
      <c r="E601" t="s">
        <v>5618</v>
      </c>
      <c r="F601" t="s">
        <v>6027</v>
      </c>
      <c r="G601" t="s">
        <v>6030</v>
      </c>
      <c r="H601" t="s">
        <v>6033</v>
      </c>
      <c r="I601" t="s">
        <v>6047</v>
      </c>
      <c r="J601" t="s">
        <v>6053</v>
      </c>
      <c r="K601" t="s">
        <v>6057</v>
      </c>
      <c r="L601" t="s">
        <v>6648</v>
      </c>
      <c r="M601">
        <v>1650.02</v>
      </c>
      <c r="N601">
        <v>8</v>
      </c>
      <c r="O601">
        <v>0.27</v>
      </c>
      <c r="P601">
        <v>-11.43</v>
      </c>
      <c r="Q601" t="s">
        <v>9896</v>
      </c>
      <c r="R601">
        <v>2</v>
      </c>
      <c r="S601" s="5">
        <f t="shared" si="18"/>
        <v>-6.9271887613483471E-3</v>
      </c>
      <c r="T601">
        <v>206.2525</v>
      </c>
      <c r="U601">
        <v>12</v>
      </c>
      <c r="V601">
        <v>2023</v>
      </c>
      <c r="W601">
        <v>4</v>
      </c>
      <c r="X601" t="s">
        <v>9898</v>
      </c>
      <c r="Y601" t="s">
        <v>9900</v>
      </c>
      <c r="Z601" t="s">
        <v>9898</v>
      </c>
      <c r="AD601">
        <f t="shared" si="19"/>
        <v>2</v>
      </c>
    </row>
    <row r="602" spans="1:30" x14ac:dyDescent="0.25">
      <c r="A602" t="s">
        <v>626</v>
      </c>
      <c r="B602" s="2">
        <v>45115</v>
      </c>
      <c r="C602" s="2">
        <v>45116</v>
      </c>
      <c r="D602" t="s">
        <v>5378</v>
      </c>
      <c r="E602" t="s">
        <v>5878</v>
      </c>
      <c r="F602" t="s">
        <v>6027</v>
      </c>
      <c r="G602" t="s">
        <v>6029</v>
      </c>
      <c r="H602" t="s">
        <v>6045</v>
      </c>
      <c r="I602" t="s">
        <v>6046</v>
      </c>
      <c r="J602" t="s">
        <v>6055</v>
      </c>
      <c r="K602" t="s">
        <v>6061</v>
      </c>
      <c r="L602" t="s">
        <v>6649</v>
      </c>
      <c r="M602">
        <v>625.96</v>
      </c>
      <c r="N602">
        <v>7</v>
      </c>
      <c r="O602">
        <v>0.27</v>
      </c>
      <c r="P602">
        <v>10.75</v>
      </c>
      <c r="Q602" t="s">
        <v>9895</v>
      </c>
      <c r="R602">
        <v>1</v>
      </c>
      <c r="S602" s="5">
        <f t="shared" si="18"/>
        <v>1.7173621317656079E-2</v>
      </c>
      <c r="T602">
        <v>89.422857142857154</v>
      </c>
      <c r="U602">
        <v>7</v>
      </c>
      <c r="V602">
        <v>2023</v>
      </c>
      <c r="W602">
        <v>3</v>
      </c>
      <c r="X602" t="s">
        <v>9899</v>
      </c>
      <c r="Y602" t="s">
        <v>9900</v>
      </c>
      <c r="Z602" t="s">
        <v>9899</v>
      </c>
      <c r="AD602">
        <f t="shared" si="19"/>
        <v>1</v>
      </c>
    </row>
    <row r="603" spans="1:30" x14ac:dyDescent="0.25">
      <c r="A603" t="s">
        <v>627</v>
      </c>
      <c r="B603" s="2">
        <v>45432</v>
      </c>
      <c r="C603" s="2">
        <v>45438</v>
      </c>
      <c r="D603" t="s">
        <v>5070</v>
      </c>
      <c r="E603" t="s">
        <v>5570</v>
      </c>
      <c r="F603" t="s">
        <v>6028</v>
      </c>
      <c r="G603" t="s">
        <v>6030</v>
      </c>
      <c r="H603" t="s">
        <v>6038</v>
      </c>
      <c r="I603" t="s">
        <v>6047</v>
      </c>
      <c r="J603" t="s">
        <v>6055</v>
      </c>
      <c r="K603" t="s">
        <v>6064</v>
      </c>
      <c r="L603" t="s">
        <v>6650</v>
      </c>
      <c r="M603">
        <v>854.25</v>
      </c>
      <c r="N603">
        <v>7</v>
      </c>
      <c r="O603">
        <v>0.33</v>
      </c>
      <c r="P603">
        <v>-146.88999999999999</v>
      </c>
      <c r="Q603" t="s">
        <v>9897</v>
      </c>
      <c r="R603">
        <v>6</v>
      </c>
      <c r="S603" s="5">
        <f t="shared" si="18"/>
        <v>-0.17195200468246999</v>
      </c>
      <c r="T603">
        <v>122.03571428571431</v>
      </c>
      <c r="U603">
        <v>5</v>
      </c>
      <c r="V603">
        <v>2024</v>
      </c>
      <c r="W603">
        <v>2</v>
      </c>
      <c r="X603" t="s">
        <v>9898</v>
      </c>
      <c r="Y603" t="s">
        <v>9902</v>
      </c>
      <c r="Z603" t="s">
        <v>9899</v>
      </c>
      <c r="AD603">
        <f t="shared" si="19"/>
        <v>6</v>
      </c>
    </row>
    <row r="604" spans="1:30" x14ac:dyDescent="0.25">
      <c r="A604" t="s">
        <v>628</v>
      </c>
      <c r="B604" s="2">
        <v>45255</v>
      </c>
      <c r="C604" s="2">
        <v>45262</v>
      </c>
      <c r="D604" t="s">
        <v>5379</v>
      </c>
      <c r="E604" t="s">
        <v>5879</v>
      </c>
      <c r="F604" t="s">
        <v>6028</v>
      </c>
      <c r="G604" t="s">
        <v>6030</v>
      </c>
      <c r="H604" t="s">
        <v>6038</v>
      </c>
      <c r="I604" t="s">
        <v>6051</v>
      </c>
      <c r="J604" t="s">
        <v>6054</v>
      </c>
      <c r="K604" t="s">
        <v>6062</v>
      </c>
      <c r="L604" t="s">
        <v>6651</v>
      </c>
      <c r="M604">
        <v>806.82</v>
      </c>
      <c r="N604">
        <v>1</v>
      </c>
      <c r="O604">
        <v>0.32</v>
      </c>
      <c r="P604">
        <v>-65.47</v>
      </c>
      <c r="Q604" t="s">
        <v>9896</v>
      </c>
      <c r="R604">
        <v>7</v>
      </c>
      <c r="S604" s="5">
        <f t="shared" si="18"/>
        <v>-8.1145732629334916E-2</v>
      </c>
      <c r="T604">
        <v>806.82</v>
      </c>
      <c r="U604">
        <v>11</v>
      </c>
      <c r="V604">
        <v>2023</v>
      </c>
      <c r="W604">
        <v>4</v>
      </c>
      <c r="X604" t="s">
        <v>9898</v>
      </c>
      <c r="Y604" t="s">
        <v>9902</v>
      </c>
      <c r="Z604" t="s">
        <v>9899</v>
      </c>
      <c r="AD604">
        <f t="shared" si="19"/>
        <v>7</v>
      </c>
    </row>
    <row r="605" spans="1:30" x14ac:dyDescent="0.25">
      <c r="A605" t="s">
        <v>629</v>
      </c>
      <c r="B605" s="2">
        <v>45215</v>
      </c>
      <c r="C605" s="2">
        <v>45218</v>
      </c>
      <c r="D605" t="s">
        <v>5368</v>
      </c>
      <c r="E605" t="s">
        <v>5868</v>
      </c>
      <c r="F605" t="s">
        <v>6026</v>
      </c>
      <c r="G605" t="s">
        <v>6029</v>
      </c>
      <c r="H605" t="s">
        <v>6032</v>
      </c>
      <c r="I605" t="s">
        <v>6050</v>
      </c>
      <c r="J605" t="s">
        <v>6054</v>
      </c>
      <c r="K605" t="s">
        <v>6062</v>
      </c>
      <c r="L605" t="s">
        <v>6652</v>
      </c>
      <c r="M605">
        <v>1834.71</v>
      </c>
      <c r="N605">
        <v>6</v>
      </c>
      <c r="O605">
        <v>0.18</v>
      </c>
      <c r="P605">
        <v>92.81</v>
      </c>
      <c r="Q605" t="s">
        <v>9894</v>
      </c>
      <c r="R605">
        <v>3</v>
      </c>
      <c r="S605" s="5">
        <f t="shared" si="18"/>
        <v>5.058565113832704E-2</v>
      </c>
      <c r="T605">
        <v>305.78500000000003</v>
      </c>
      <c r="U605">
        <v>10</v>
      </c>
      <c r="V605">
        <v>2023</v>
      </c>
      <c r="W605">
        <v>4</v>
      </c>
      <c r="X605" t="s">
        <v>9899</v>
      </c>
      <c r="Y605" t="s">
        <v>9900</v>
      </c>
      <c r="Z605" t="s">
        <v>9898</v>
      </c>
      <c r="AD605">
        <f t="shared" si="19"/>
        <v>3</v>
      </c>
    </row>
    <row r="606" spans="1:30" x14ac:dyDescent="0.25">
      <c r="A606" t="s">
        <v>630</v>
      </c>
      <c r="B606" s="2">
        <v>45095</v>
      </c>
      <c r="C606" s="2">
        <v>45099</v>
      </c>
      <c r="D606" t="s">
        <v>5041</v>
      </c>
      <c r="E606" t="s">
        <v>5541</v>
      </c>
      <c r="F606" t="s">
        <v>6028</v>
      </c>
      <c r="G606" t="s">
        <v>6029</v>
      </c>
      <c r="H606" t="s">
        <v>6041</v>
      </c>
      <c r="I606" t="s">
        <v>6050</v>
      </c>
      <c r="J606" t="s">
        <v>6053</v>
      </c>
      <c r="K606" t="s">
        <v>6057</v>
      </c>
      <c r="L606" t="s">
        <v>6653</v>
      </c>
      <c r="M606">
        <v>1759.05</v>
      </c>
      <c r="N606">
        <v>8</v>
      </c>
      <c r="O606">
        <v>0.09</v>
      </c>
      <c r="P606">
        <v>297.51</v>
      </c>
      <c r="Q606" t="s">
        <v>9895</v>
      </c>
      <c r="R606">
        <v>4</v>
      </c>
      <c r="S606" s="5">
        <f t="shared" si="18"/>
        <v>0.1691310650635286</v>
      </c>
      <c r="T606">
        <v>219.88124999999999</v>
      </c>
      <c r="U606">
        <v>6</v>
      </c>
      <c r="V606">
        <v>2023</v>
      </c>
      <c r="W606">
        <v>2</v>
      </c>
      <c r="X606" t="s">
        <v>9899</v>
      </c>
      <c r="Y606" t="s">
        <v>9901</v>
      </c>
      <c r="Z606" t="s">
        <v>9898</v>
      </c>
      <c r="AD606">
        <f t="shared" si="19"/>
        <v>4</v>
      </c>
    </row>
    <row r="607" spans="1:30" x14ac:dyDescent="0.25">
      <c r="A607" t="s">
        <v>631</v>
      </c>
      <c r="B607" s="2">
        <v>45410</v>
      </c>
      <c r="C607" s="2">
        <v>45413</v>
      </c>
      <c r="D607" t="s">
        <v>5074</v>
      </c>
      <c r="E607" t="s">
        <v>5574</v>
      </c>
      <c r="F607" t="s">
        <v>6027</v>
      </c>
      <c r="G607" t="s">
        <v>6030</v>
      </c>
      <c r="H607" t="s">
        <v>6035</v>
      </c>
      <c r="I607" t="s">
        <v>6047</v>
      </c>
      <c r="J607" t="s">
        <v>6053</v>
      </c>
      <c r="K607" t="s">
        <v>6057</v>
      </c>
      <c r="L607" t="s">
        <v>6654</v>
      </c>
      <c r="M607">
        <v>1225.0899999999999</v>
      </c>
      <c r="N607">
        <v>6</v>
      </c>
      <c r="O607">
        <v>0.1</v>
      </c>
      <c r="P607">
        <v>141.94</v>
      </c>
      <c r="Q607" t="s">
        <v>9894</v>
      </c>
      <c r="R607">
        <v>3</v>
      </c>
      <c r="S607" s="5">
        <f t="shared" si="18"/>
        <v>0.11586087552751227</v>
      </c>
      <c r="T607">
        <v>204.18166666666659</v>
      </c>
      <c r="U607">
        <v>4</v>
      </c>
      <c r="V607">
        <v>2024</v>
      </c>
      <c r="W607">
        <v>2</v>
      </c>
      <c r="X607" t="s">
        <v>9899</v>
      </c>
      <c r="Y607" t="s">
        <v>9901</v>
      </c>
      <c r="Z607" t="s">
        <v>9898</v>
      </c>
      <c r="AD607">
        <f t="shared" si="19"/>
        <v>3</v>
      </c>
    </row>
    <row r="608" spans="1:30" x14ac:dyDescent="0.25">
      <c r="A608" t="s">
        <v>632</v>
      </c>
      <c r="B608" s="2">
        <v>44932</v>
      </c>
      <c r="C608" s="2">
        <v>44934</v>
      </c>
      <c r="D608" t="s">
        <v>5277</v>
      </c>
      <c r="E608" t="s">
        <v>5777</v>
      </c>
      <c r="F608" t="s">
        <v>6028</v>
      </c>
      <c r="G608" t="s">
        <v>6030</v>
      </c>
      <c r="H608" t="s">
        <v>6039</v>
      </c>
      <c r="I608" t="s">
        <v>6051</v>
      </c>
      <c r="J608" t="s">
        <v>6055</v>
      </c>
      <c r="K608" t="s">
        <v>6064</v>
      </c>
      <c r="L608" t="s">
        <v>6655</v>
      </c>
      <c r="M608">
        <v>1913.76</v>
      </c>
      <c r="N608">
        <v>5</v>
      </c>
      <c r="O608">
        <v>0.03</v>
      </c>
      <c r="P608">
        <v>445.49</v>
      </c>
      <c r="Q608" t="s">
        <v>9896</v>
      </c>
      <c r="R608">
        <v>2</v>
      </c>
      <c r="S608" s="5">
        <f t="shared" si="18"/>
        <v>0.23278258506813812</v>
      </c>
      <c r="T608">
        <v>382.75200000000001</v>
      </c>
      <c r="U608">
        <v>1</v>
      </c>
      <c r="V608">
        <v>2023</v>
      </c>
      <c r="W608">
        <v>1</v>
      </c>
      <c r="X608" t="s">
        <v>9899</v>
      </c>
      <c r="Y608" t="s">
        <v>9901</v>
      </c>
      <c r="Z608" t="s">
        <v>9898</v>
      </c>
      <c r="AD608">
        <f t="shared" si="19"/>
        <v>2</v>
      </c>
    </row>
    <row r="609" spans="1:30" x14ac:dyDescent="0.25">
      <c r="A609" t="s">
        <v>633</v>
      </c>
      <c r="B609" s="2">
        <v>44986</v>
      </c>
      <c r="C609" s="2">
        <v>44993</v>
      </c>
      <c r="D609" t="s">
        <v>5182</v>
      </c>
      <c r="E609" t="s">
        <v>5682</v>
      </c>
      <c r="F609" t="s">
        <v>6027</v>
      </c>
      <c r="G609" t="s">
        <v>6029</v>
      </c>
      <c r="H609" t="s">
        <v>6032</v>
      </c>
      <c r="I609" t="s">
        <v>6049</v>
      </c>
      <c r="J609" t="s">
        <v>6054</v>
      </c>
      <c r="K609" t="s">
        <v>6059</v>
      </c>
      <c r="L609" t="s">
        <v>6642</v>
      </c>
      <c r="M609">
        <v>289.05</v>
      </c>
      <c r="N609">
        <v>7</v>
      </c>
      <c r="O609">
        <v>0.05</v>
      </c>
      <c r="P609">
        <v>17.940000000000001</v>
      </c>
      <c r="Q609" t="s">
        <v>9894</v>
      </c>
      <c r="R609">
        <v>7</v>
      </c>
      <c r="S609" s="5">
        <f t="shared" si="18"/>
        <v>6.2065386611312924E-2</v>
      </c>
      <c r="T609">
        <v>41.292857142857137</v>
      </c>
      <c r="U609">
        <v>3</v>
      </c>
      <c r="V609">
        <v>2023</v>
      </c>
      <c r="W609">
        <v>1</v>
      </c>
      <c r="X609" t="s">
        <v>9899</v>
      </c>
      <c r="Y609" t="s">
        <v>9901</v>
      </c>
      <c r="Z609" t="s">
        <v>9899</v>
      </c>
      <c r="AD609">
        <f t="shared" si="19"/>
        <v>7</v>
      </c>
    </row>
    <row r="610" spans="1:30" x14ac:dyDescent="0.25">
      <c r="A610" t="s">
        <v>634</v>
      </c>
      <c r="B610" s="2">
        <v>45415</v>
      </c>
      <c r="C610" s="2">
        <v>45417</v>
      </c>
      <c r="D610" t="s">
        <v>5380</v>
      </c>
      <c r="E610" t="s">
        <v>5880</v>
      </c>
      <c r="F610" t="s">
        <v>6028</v>
      </c>
      <c r="G610" t="s">
        <v>6031</v>
      </c>
      <c r="H610" t="s">
        <v>6037</v>
      </c>
      <c r="I610" t="s">
        <v>6048</v>
      </c>
      <c r="J610" t="s">
        <v>6053</v>
      </c>
      <c r="K610" t="s">
        <v>6056</v>
      </c>
      <c r="L610" t="s">
        <v>6656</v>
      </c>
      <c r="M610">
        <v>498.1</v>
      </c>
      <c r="N610">
        <v>1</v>
      </c>
      <c r="O610">
        <v>0.18</v>
      </c>
      <c r="P610">
        <v>-4.37</v>
      </c>
      <c r="Q610" t="s">
        <v>9896</v>
      </c>
      <c r="R610">
        <v>2</v>
      </c>
      <c r="S610" s="5">
        <f t="shared" si="18"/>
        <v>-8.7733386870106397E-3</v>
      </c>
      <c r="T610">
        <v>498.1</v>
      </c>
      <c r="U610">
        <v>5</v>
      </c>
      <c r="V610">
        <v>2024</v>
      </c>
      <c r="W610">
        <v>2</v>
      </c>
      <c r="X610" t="s">
        <v>9898</v>
      </c>
      <c r="Y610" t="s">
        <v>9900</v>
      </c>
      <c r="Z610" t="s">
        <v>9899</v>
      </c>
      <c r="AD610">
        <f t="shared" si="19"/>
        <v>2</v>
      </c>
    </row>
    <row r="611" spans="1:30" x14ac:dyDescent="0.25">
      <c r="A611" t="s">
        <v>635</v>
      </c>
      <c r="B611" s="2">
        <v>45354</v>
      </c>
      <c r="C611" s="2">
        <v>45357</v>
      </c>
      <c r="D611" t="s">
        <v>5033</v>
      </c>
      <c r="E611" t="s">
        <v>5533</v>
      </c>
      <c r="F611" t="s">
        <v>6027</v>
      </c>
      <c r="G611" t="s">
        <v>6029</v>
      </c>
      <c r="H611" t="s">
        <v>6041</v>
      </c>
      <c r="I611" t="s">
        <v>6050</v>
      </c>
      <c r="J611" t="s">
        <v>6054</v>
      </c>
      <c r="K611" t="s">
        <v>6059</v>
      </c>
      <c r="L611" t="s">
        <v>6657</v>
      </c>
      <c r="M611">
        <v>1531.37</v>
      </c>
      <c r="N611">
        <v>3</v>
      </c>
      <c r="O611">
        <v>0.28999999999999998</v>
      </c>
      <c r="P611">
        <v>-47.61</v>
      </c>
      <c r="Q611" t="s">
        <v>9897</v>
      </c>
      <c r="R611">
        <v>3</v>
      </c>
      <c r="S611" s="5">
        <f t="shared" si="18"/>
        <v>-3.1089808472152387E-2</v>
      </c>
      <c r="T611">
        <v>510.45666666666659</v>
      </c>
      <c r="U611">
        <v>3</v>
      </c>
      <c r="V611">
        <v>2024</v>
      </c>
      <c r="W611">
        <v>1</v>
      </c>
      <c r="X611" t="s">
        <v>9898</v>
      </c>
      <c r="Y611" t="s">
        <v>9900</v>
      </c>
      <c r="Z611" t="s">
        <v>9898</v>
      </c>
      <c r="AD611">
        <f t="shared" si="19"/>
        <v>3</v>
      </c>
    </row>
    <row r="612" spans="1:30" x14ac:dyDescent="0.25">
      <c r="A612" t="s">
        <v>636</v>
      </c>
      <c r="B612" s="2">
        <v>45221</v>
      </c>
      <c r="C612" s="2">
        <v>45224</v>
      </c>
      <c r="D612" t="s">
        <v>5121</v>
      </c>
      <c r="E612" t="s">
        <v>5621</v>
      </c>
      <c r="F612" t="s">
        <v>6028</v>
      </c>
      <c r="G612" t="s">
        <v>6031</v>
      </c>
      <c r="H612" t="s">
        <v>6040</v>
      </c>
      <c r="I612" t="s">
        <v>6052</v>
      </c>
      <c r="J612" t="s">
        <v>6054</v>
      </c>
      <c r="K612" t="s">
        <v>6059</v>
      </c>
      <c r="L612" t="s">
        <v>6658</v>
      </c>
      <c r="M612">
        <v>1174.23</v>
      </c>
      <c r="N612">
        <v>8</v>
      </c>
      <c r="O612">
        <v>0.2</v>
      </c>
      <c r="P612">
        <v>-27.87</v>
      </c>
      <c r="Q612" t="s">
        <v>9895</v>
      </c>
      <c r="R612">
        <v>3</v>
      </c>
      <c r="S612" s="5">
        <f t="shared" si="18"/>
        <v>-2.373470274137094E-2</v>
      </c>
      <c r="T612">
        <v>146.77875</v>
      </c>
      <c r="U612">
        <v>10</v>
      </c>
      <c r="V612">
        <v>2023</v>
      </c>
      <c r="W612">
        <v>4</v>
      </c>
      <c r="X612" t="s">
        <v>9898</v>
      </c>
      <c r="Y612" t="s">
        <v>9900</v>
      </c>
      <c r="Z612" t="s">
        <v>9898</v>
      </c>
      <c r="AD612">
        <f t="shared" si="19"/>
        <v>3</v>
      </c>
    </row>
    <row r="613" spans="1:30" x14ac:dyDescent="0.25">
      <c r="A613" t="s">
        <v>637</v>
      </c>
      <c r="B613" s="2">
        <v>44574</v>
      </c>
      <c r="C613" s="2">
        <v>44579</v>
      </c>
      <c r="D613" t="s">
        <v>5171</v>
      </c>
      <c r="E613" t="s">
        <v>5671</v>
      </c>
      <c r="F613" t="s">
        <v>6028</v>
      </c>
      <c r="G613" t="s">
        <v>6030</v>
      </c>
      <c r="H613" t="s">
        <v>6035</v>
      </c>
      <c r="I613" t="s">
        <v>6047</v>
      </c>
      <c r="J613" t="s">
        <v>6054</v>
      </c>
      <c r="K613" t="s">
        <v>6059</v>
      </c>
      <c r="L613" t="s">
        <v>6659</v>
      </c>
      <c r="M613">
        <v>1331.36</v>
      </c>
      <c r="N613">
        <v>7</v>
      </c>
      <c r="O613">
        <v>0.27</v>
      </c>
      <c r="P613">
        <v>-75.67</v>
      </c>
      <c r="Q613" t="s">
        <v>9897</v>
      </c>
      <c r="R613">
        <v>5</v>
      </c>
      <c r="S613" s="5">
        <f t="shared" si="18"/>
        <v>-5.6836618194928502E-2</v>
      </c>
      <c r="T613">
        <v>190.19428571428571</v>
      </c>
      <c r="U613">
        <v>1</v>
      </c>
      <c r="V613">
        <v>2022</v>
      </c>
      <c r="W613">
        <v>1</v>
      </c>
      <c r="X613" t="s">
        <v>9898</v>
      </c>
      <c r="Y613" t="s">
        <v>9900</v>
      </c>
      <c r="Z613" t="s">
        <v>9898</v>
      </c>
      <c r="AD613">
        <f t="shared" si="19"/>
        <v>5</v>
      </c>
    </row>
    <row r="614" spans="1:30" x14ac:dyDescent="0.25">
      <c r="A614" t="s">
        <v>638</v>
      </c>
      <c r="B614" s="2">
        <v>45415</v>
      </c>
      <c r="C614" s="2">
        <v>45421</v>
      </c>
      <c r="D614" t="s">
        <v>5381</v>
      </c>
      <c r="E614" t="s">
        <v>5881</v>
      </c>
      <c r="F614" t="s">
        <v>6026</v>
      </c>
      <c r="G614" t="s">
        <v>6031</v>
      </c>
      <c r="H614" t="s">
        <v>6034</v>
      </c>
      <c r="I614" t="s">
        <v>6052</v>
      </c>
      <c r="J614" t="s">
        <v>6053</v>
      </c>
      <c r="K614" t="s">
        <v>6056</v>
      </c>
      <c r="L614" t="s">
        <v>6660</v>
      </c>
      <c r="M614">
        <v>803</v>
      </c>
      <c r="N614">
        <v>7</v>
      </c>
      <c r="O614">
        <v>0.31</v>
      </c>
      <c r="P614">
        <v>-136.9</v>
      </c>
      <c r="Q614" t="s">
        <v>9895</v>
      </c>
      <c r="R614">
        <v>6</v>
      </c>
      <c r="S614" s="5">
        <f t="shared" si="18"/>
        <v>-0.17048567870485679</v>
      </c>
      <c r="T614">
        <v>114.71428571428569</v>
      </c>
      <c r="U614">
        <v>5</v>
      </c>
      <c r="V614">
        <v>2024</v>
      </c>
      <c r="W614">
        <v>2</v>
      </c>
      <c r="X614" t="s">
        <v>9898</v>
      </c>
      <c r="Y614" t="s">
        <v>9902</v>
      </c>
      <c r="Z614" t="s">
        <v>9899</v>
      </c>
      <c r="AD614">
        <f t="shared" si="19"/>
        <v>6</v>
      </c>
    </row>
    <row r="615" spans="1:30" x14ac:dyDescent="0.25">
      <c r="A615" t="s">
        <v>639</v>
      </c>
      <c r="B615" s="2">
        <v>44786</v>
      </c>
      <c r="C615" s="2">
        <v>44791</v>
      </c>
      <c r="D615" t="s">
        <v>5070</v>
      </c>
      <c r="E615" t="s">
        <v>5570</v>
      </c>
      <c r="F615" t="s">
        <v>6027</v>
      </c>
      <c r="G615" t="s">
        <v>6031</v>
      </c>
      <c r="H615" t="s">
        <v>6043</v>
      </c>
      <c r="I615" t="s">
        <v>6048</v>
      </c>
      <c r="J615" t="s">
        <v>6053</v>
      </c>
      <c r="K615" t="s">
        <v>6056</v>
      </c>
      <c r="L615" t="s">
        <v>6661</v>
      </c>
      <c r="M615">
        <v>1320.94</v>
      </c>
      <c r="N615">
        <v>3</v>
      </c>
      <c r="O615">
        <v>0.18</v>
      </c>
      <c r="P615">
        <v>11.01</v>
      </c>
      <c r="Q615" t="s">
        <v>9895</v>
      </c>
      <c r="R615">
        <v>5</v>
      </c>
      <c r="S615" s="5">
        <f t="shared" si="18"/>
        <v>8.3349735794207153E-3</v>
      </c>
      <c r="T615">
        <v>440.31333333333328</v>
      </c>
      <c r="U615">
        <v>8</v>
      </c>
      <c r="V615">
        <v>2022</v>
      </c>
      <c r="W615">
        <v>3</v>
      </c>
      <c r="X615" t="s">
        <v>9899</v>
      </c>
      <c r="Y615" t="s">
        <v>9900</v>
      </c>
      <c r="Z615" t="s">
        <v>9898</v>
      </c>
      <c r="AD615">
        <f t="shared" si="19"/>
        <v>5</v>
      </c>
    </row>
    <row r="616" spans="1:30" x14ac:dyDescent="0.25">
      <c r="A616" t="s">
        <v>640</v>
      </c>
      <c r="B616" s="2">
        <v>45093</v>
      </c>
      <c r="C616" s="2">
        <v>45096</v>
      </c>
      <c r="D616" t="s">
        <v>5244</v>
      </c>
      <c r="E616" t="s">
        <v>5744</v>
      </c>
      <c r="F616" t="s">
        <v>6028</v>
      </c>
      <c r="G616" t="s">
        <v>6030</v>
      </c>
      <c r="H616" t="s">
        <v>6039</v>
      </c>
      <c r="I616" t="s">
        <v>6051</v>
      </c>
      <c r="J616" t="s">
        <v>6053</v>
      </c>
      <c r="K616" t="s">
        <v>6057</v>
      </c>
      <c r="L616" t="s">
        <v>6662</v>
      </c>
      <c r="M616">
        <v>1938.16</v>
      </c>
      <c r="N616">
        <v>7</v>
      </c>
      <c r="O616">
        <v>0.31</v>
      </c>
      <c r="P616">
        <v>-353.28</v>
      </c>
      <c r="Q616" t="s">
        <v>9895</v>
      </c>
      <c r="R616">
        <v>3</v>
      </c>
      <c r="S616" s="5">
        <f t="shared" si="18"/>
        <v>-0.18227597308787713</v>
      </c>
      <c r="T616">
        <v>276.88</v>
      </c>
      <c r="U616">
        <v>6</v>
      </c>
      <c r="V616">
        <v>2023</v>
      </c>
      <c r="W616">
        <v>2</v>
      </c>
      <c r="X616" t="s">
        <v>9898</v>
      </c>
      <c r="Y616" t="s">
        <v>9902</v>
      </c>
      <c r="Z616" t="s">
        <v>9898</v>
      </c>
      <c r="AD616">
        <f t="shared" si="19"/>
        <v>3</v>
      </c>
    </row>
    <row r="617" spans="1:30" x14ac:dyDescent="0.25">
      <c r="A617" t="s">
        <v>641</v>
      </c>
      <c r="B617" s="2">
        <v>44931</v>
      </c>
      <c r="C617" s="2">
        <v>44932</v>
      </c>
      <c r="D617" t="s">
        <v>5376</v>
      </c>
      <c r="E617" t="s">
        <v>5876</v>
      </c>
      <c r="F617" t="s">
        <v>6028</v>
      </c>
      <c r="G617" t="s">
        <v>6029</v>
      </c>
      <c r="H617" t="s">
        <v>6032</v>
      </c>
      <c r="I617" t="s">
        <v>6050</v>
      </c>
      <c r="J617" t="s">
        <v>6055</v>
      </c>
      <c r="K617" t="s">
        <v>6063</v>
      </c>
      <c r="L617" t="s">
        <v>6440</v>
      </c>
      <c r="M617">
        <v>554.51</v>
      </c>
      <c r="N617">
        <v>6</v>
      </c>
      <c r="O617">
        <v>0.28999999999999998</v>
      </c>
      <c r="P617">
        <v>-54.34</v>
      </c>
      <c r="Q617" t="s">
        <v>9894</v>
      </c>
      <c r="R617">
        <v>1</v>
      </c>
      <c r="S617" s="5">
        <f t="shared" si="18"/>
        <v>-9.799642927990479E-2</v>
      </c>
      <c r="T617">
        <v>92.418333333333337</v>
      </c>
      <c r="U617">
        <v>1</v>
      </c>
      <c r="V617">
        <v>2023</v>
      </c>
      <c r="W617">
        <v>1</v>
      </c>
      <c r="X617" t="s">
        <v>9898</v>
      </c>
      <c r="Y617" t="s">
        <v>9900</v>
      </c>
      <c r="Z617" t="s">
        <v>9899</v>
      </c>
      <c r="AD617">
        <f t="shared" si="19"/>
        <v>1</v>
      </c>
    </row>
    <row r="618" spans="1:30" x14ac:dyDescent="0.25">
      <c r="A618" t="s">
        <v>642</v>
      </c>
      <c r="B618" s="2">
        <v>45459</v>
      </c>
      <c r="C618" s="2">
        <v>45461</v>
      </c>
      <c r="D618" t="s">
        <v>5198</v>
      </c>
      <c r="E618" t="s">
        <v>5698</v>
      </c>
      <c r="F618" t="s">
        <v>6027</v>
      </c>
      <c r="G618" t="s">
        <v>6030</v>
      </c>
      <c r="H618" t="s">
        <v>6038</v>
      </c>
      <c r="I618" t="s">
        <v>6051</v>
      </c>
      <c r="J618" t="s">
        <v>6053</v>
      </c>
      <c r="K618" t="s">
        <v>6057</v>
      </c>
      <c r="L618" t="s">
        <v>6663</v>
      </c>
      <c r="M618">
        <v>1556.88</v>
      </c>
      <c r="N618">
        <v>8</v>
      </c>
      <c r="O618">
        <v>0.02</v>
      </c>
      <c r="P618">
        <v>270.94</v>
      </c>
      <c r="Q618" t="s">
        <v>9894</v>
      </c>
      <c r="R618">
        <v>2</v>
      </c>
      <c r="S618" s="5">
        <f t="shared" si="18"/>
        <v>0.17402754226401521</v>
      </c>
      <c r="T618">
        <v>194.61</v>
      </c>
      <c r="U618">
        <v>6</v>
      </c>
      <c r="V618">
        <v>2024</v>
      </c>
      <c r="W618">
        <v>2</v>
      </c>
      <c r="X618" t="s">
        <v>9899</v>
      </c>
      <c r="Y618" t="s">
        <v>9901</v>
      </c>
      <c r="Z618" t="s">
        <v>9898</v>
      </c>
      <c r="AD618">
        <f t="shared" si="19"/>
        <v>2</v>
      </c>
    </row>
    <row r="619" spans="1:30" x14ac:dyDescent="0.25">
      <c r="A619" t="s">
        <v>643</v>
      </c>
      <c r="B619" s="2">
        <v>44942</v>
      </c>
      <c r="C619" s="2">
        <v>44943</v>
      </c>
      <c r="D619" t="s">
        <v>5382</v>
      </c>
      <c r="E619" t="s">
        <v>5882</v>
      </c>
      <c r="F619" t="s">
        <v>6026</v>
      </c>
      <c r="G619" t="s">
        <v>6031</v>
      </c>
      <c r="H619" t="s">
        <v>6034</v>
      </c>
      <c r="I619" t="s">
        <v>6050</v>
      </c>
      <c r="J619" t="s">
        <v>6053</v>
      </c>
      <c r="K619" t="s">
        <v>6056</v>
      </c>
      <c r="L619" t="s">
        <v>6664</v>
      </c>
      <c r="M619">
        <v>1367.22</v>
      </c>
      <c r="N619">
        <v>1</v>
      </c>
      <c r="O619">
        <v>0.28000000000000003</v>
      </c>
      <c r="P619">
        <v>-26.98</v>
      </c>
      <c r="Q619" t="s">
        <v>9896</v>
      </c>
      <c r="R619">
        <v>1</v>
      </c>
      <c r="S619" s="5">
        <f t="shared" si="18"/>
        <v>-1.9733473764280803E-2</v>
      </c>
      <c r="T619">
        <v>1367.22</v>
      </c>
      <c r="U619">
        <v>1</v>
      </c>
      <c r="V619">
        <v>2023</v>
      </c>
      <c r="W619">
        <v>1</v>
      </c>
      <c r="X619" t="s">
        <v>9898</v>
      </c>
      <c r="Y619" t="s">
        <v>9900</v>
      </c>
      <c r="Z619" t="s">
        <v>9898</v>
      </c>
      <c r="AD619">
        <f t="shared" si="19"/>
        <v>1</v>
      </c>
    </row>
    <row r="620" spans="1:30" x14ac:dyDescent="0.25">
      <c r="A620" t="s">
        <v>644</v>
      </c>
      <c r="B620" s="2">
        <v>44699</v>
      </c>
      <c r="C620" s="2">
        <v>44705</v>
      </c>
      <c r="D620" t="s">
        <v>5328</v>
      </c>
      <c r="E620" t="s">
        <v>5828</v>
      </c>
      <c r="F620" t="s">
        <v>6028</v>
      </c>
      <c r="G620" t="s">
        <v>6030</v>
      </c>
      <c r="H620" t="s">
        <v>6039</v>
      </c>
      <c r="I620" t="s">
        <v>6051</v>
      </c>
      <c r="J620" t="s">
        <v>6053</v>
      </c>
      <c r="K620" t="s">
        <v>6056</v>
      </c>
      <c r="L620" t="s">
        <v>6665</v>
      </c>
      <c r="M620">
        <v>1635.08</v>
      </c>
      <c r="N620">
        <v>2</v>
      </c>
      <c r="O620">
        <v>0.15</v>
      </c>
      <c r="P620">
        <v>30.98</v>
      </c>
      <c r="Q620" t="s">
        <v>9894</v>
      </c>
      <c r="R620">
        <v>6</v>
      </c>
      <c r="S620" s="5">
        <f t="shared" si="18"/>
        <v>1.8947085157912765E-2</v>
      </c>
      <c r="T620">
        <v>817.54</v>
      </c>
      <c r="U620">
        <v>5</v>
      </c>
      <c r="V620">
        <v>2022</v>
      </c>
      <c r="W620">
        <v>2</v>
      </c>
      <c r="X620" t="s">
        <v>9899</v>
      </c>
      <c r="Y620" t="s">
        <v>9901</v>
      </c>
      <c r="Z620" t="s">
        <v>9898</v>
      </c>
      <c r="AD620">
        <f t="shared" si="19"/>
        <v>6</v>
      </c>
    </row>
    <row r="621" spans="1:30" x14ac:dyDescent="0.25">
      <c r="A621" t="s">
        <v>645</v>
      </c>
      <c r="B621" s="2">
        <v>45451</v>
      </c>
      <c r="C621" s="2">
        <v>45453</v>
      </c>
      <c r="D621" t="s">
        <v>5228</v>
      </c>
      <c r="E621" t="s">
        <v>5728</v>
      </c>
      <c r="F621" t="s">
        <v>6028</v>
      </c>
      <c r="G621" t="s">
        <v>6030</v>
      </c>
      <c r="H621" t="s">
        <v>6035</v>
      </c>
      <c r="I621" t="s">
        <v>6047</v>
      </c>
      <c r="J621" t="s">
        <v>6054</v>
      </c>
      <c r="K621" t="s">
        <v>6062</v>
      </c>
      <c r="L621" t="s">
        <v>6666</v>
      </c>
      <c r="M621">
        <v>1398.21</v>
      </c>
      <c r="N621">
        <v>8</v>
      </c>
      <c r="O621">
        <v>0.26</v>
      </c>
      <c r="P621">
        <v>-36.840000000000003</v>
      </c>
      <c r="Q621" t="s">
        <v>9894</v>
      </c>
      <c r="R621">
        <v>2</v>
      </c>
      <c r="S621" s="5">
        <f t="shared" si="18"/>
        <v>-2.6347973480378487E-2</v>
      </c>
      <c r="T621">
        <v>174.77625</v>
      </c>
      <c r="U621">
        <v>6</v>
      </c>
      <c r="V621">
        <v>2024</v>
      </c>
      <c r="W621">
        <v>2</v>
      </c>
      <c r="X621" t="s">
        <v>9898</v>
      </c>
      <c r="Y621" t="s">
        <v>9900</v>
      </c>
      <c r="Z621" t="s">
        <v>9898</v>
      </c>
      <c r="AD621">
        <f t="shared" si="19"/>
        <v>2</v>
      </c>
    </row>
    <row r="622" spans="1:30" x14ac:dyDescent="0.25">
      <c r="A622" t="s">
        <v>646</v>
      </c>
      <c r="B622" s="2">
        <v>45459</v>
      </c>
      <c r="C622" s="2">
        <v>45464</v>
      </c>
      <c r="D622" t="s">
        <v>5047</v>
      </c>
      <c r="E622" t="s">
        <v>5547</v>
      </c>
      <c r="F622" t="s">
        <v>6028</v>
      </c>
      <c r="G622" t="s">
        <v>6031</v>
      </c>
      <c r="H622" t="s">
        <v>6034</v>
      </c>
      <c r="I622" t="s">
        <v>6050</v>
      </c>
      <c r="J622" t="s">
        <v>6055</v>
      </c>
      <c r="K622" t="s">
        <v>6064</v>
      </c>
      <c r="L622" t="s">
        <v>6667</v>
      </c>
      <c r="M622">
        <v>471.8</v>
      </c>
      <c r="N622">
        <v>3</v>
      </c>
      <c r="O622">
        <v>0.15</v>
      </c>
      <c r="P622">
        <v>10.78</v>
      </c>
      <c r="Q622" t="s">
        <v>9895</v>
      </c>
      <c r="R622">
        <v>5</v>
      </c>
      <c r="S622" s="5">
        <f t="shared" si="18"/>
        <v>2.2848664688427299E-2</v>
      </c>
      <c r="T622">
        <v>157.26666666666671</v>
      </c>
      <c r="U622">
        <v>6</v>
      </c>
      <c r="V622">
        <v>2024</v>
      </c>
      <c r="W622">
        <v>2</v>
      </c>
      <c r="X622" t="s">
        <v>9899</v>
      </c>
      <c r="Y622" t="s">
        <v>9901</v>
      </c>
      <c r="Z622" t="s">
        <v>9899</v>
      </c>
      <c r="AD622">
        <f t="shared" si="19"/>
        <v>5</v>
      </c>
    </row>
    <row r="623" spans="1:30" x14ac:dyDescent="0.25">
      <c r="A623" t="s">
        <v>647</v>
      </c>
      <c r="B623" s="2">
        <v>44684</v>
      </c>
      <c r="C623" s="2">
        <v>44689</v>
      </c>
      <c r="D623" t="s">
        <v>5151</v>
      </c>
      <c r="E623" t="s">
        <v>5651</v>
      </c>
      <c r="F623" t="s">
        <v>6028</v>
      </c>
      <c r="G623" t="s">
        <v>6030</v>
      </c>
      <c r="H623" t="s">
        <v>6035</v>
      </c>
      <c r="I623" t="s">
        <v>6047</v>
      </c>
      <c r="J623" t="s">
        <v>6055</v>
      </c>
      <c r="K623" t="s">
        <v>6063</v>
      </c>
      <c r="L623" t="s">
        <v>6668</v>
      </c>
      <c r="M623">
        <v>533.53</v>
      </c>
      <c r="N623">
        <v>3</v>
      </c>
      <c r="O623">
        <v>0.33</v>
      </c>
      <c r="P623">
        <v>-34.14</v>
      </c>
      <c r="Q623" t="s">
        <v>9895</v>
      </c>
      <c r="R623">
        <v>5</v>
      </c>
      <c r="S623" s="5">
        <f t="shared" si="18"/>
        <v>-6.3988904091616228E-2</v>
      </c>
      <c r="T623">
        <v>177.84333333333331</v>
      </c>
      <c r="U623">
        <v>5</v>
      </c>
      <c r="V623">
        <v>2022</v>
      </c>
      <c r="W623">
        <v>2</v>
      </c>
      <c r="X623" t="s">
        <v>9898</v>
      </c>
      <c r="Y623" t="s">
        <v>9902</v>
      </c>
      <c r="Z623" t="s">
        <v>9899</v>
      </c>
      <c r="AD623">
        <f t="shared" si="19"/>
        <v>5</v>
      </c>
    </row>
    <row r="624" spans="1:30" x14ac:dyDescent="0.25">
      <c r="A624" t="s">
        <v>648</v>
      </c>
      <c r="B624" s="2">
        <v>45046</v>
      </c>
      <c r="C624" s="2">
        <v>45051</v>
      </c>
      <c r="D624" t="s">
        <v>5029</v>
      </c>
      <c r="E624" t="s">
        <v>5529</v>
      </c>
      <c r="F624" t="s">
        <v>6028</v>
      </c>
      <c r="G624" t="s">
        <v>6029</v>
      </c>
      <c r="H624" t="s">
        <v>6045</v>
      </c>
      <c r="I624" t="s">
        <v>6050</v>
      </c>
      <c r="J624" t="s">
        <v>6055</v>
      </c>
      <c r="K624" t="s">
        <v>6063</v>
      </c>
      <c r="L624" t="s">
        <v>6669</v>
      </c>
      <c r="M624">
        <v>275.89999999999998</v>
      </c>
      <c r="N624">
        <v>1</v>
      </c>
      <c r="O624">
        <v>0.22</v>
      </c>
      <c r="P624">
        <v>3.22</v>
      </c>
      <c r="Q624" t="s">
        <v>9894</v>
      </c>
      <c r="R624">
        <v>5</v>
      </c>
      <c r="S624" s="5">
        <f t="shared" si="18"/>
        <v>1.1670895251902865E-2</v>
      </c>
      <c r="T624">
        <v>275.89999999999998</v>
      </c>
      <c r="U624">
        <v>4</v>
      </c>
      <c r="V624">
        <v>2023</v>
      </c>
      <c r="W624">
        <v>2</v>
      </c>
      <c r="X624" t="s">
        <v>9899</v>
      </c>
      <c r="Y624" t="s">
        <v>9900</v>
      </c>
      <c r="Z624" t="s">
        <v>9899</v>
      </c>
      <c r="AD624">
        <f t="shared" si="19"/>
        <v>5</v>
      </c>
    </row>
    <row r="625" spans="1:30" x14ac:dyDescent="0.25">
      <c r="A625" t="s">
        <v>649</v>
      </c>
      <c r="B625" s="2">
        <v>45176</v>
      </c>
      <c r="C625" s="2">
        <v>45182</v>
      </c>
      <c r="D625" t="s">
        <v>5070</v>
      </c>
      <c r="E625" t="s">
        <v>5570</v>
      </c>
      <c r="F625" t="s">
        <v>6026</v>
      </c>
      <c r="G625" t="s">
        <v>6031</v>
      </c>
      <c r="H625" t="s">
        <v>6043</v>
      </c>
      <c r="I625" t="s">
        <v>6048</v>
      </c>
      <c r="J625" t="s">
        <v>6053</v>
      </c>
      <c r="K625" t="s">
        <v>6058</v>
      </c>
      <c r="L625" t="s">
        <v>6670</v>
      </c>
      <c r="M625">
        <v>1451.27</v>
      </c>
      <c r="N625">
        <v>3</v>
      </c>
      <c r="O625">
        <v>0.22</v>
      </c>
      <c r="P625">
        <v>5.51</v>
      </c>
      <c r="Q625" t="s">
        <v>9897</v>
      </c>
      <c r="R625">
        <v>6</v>
      </c>
      <c r="S625" s="5">
        <f t="shared" si="18"/>
        <v>3.7966746366975132E-3</v>
      </c>
      <c r="T625">
        <v>483.75666666666672</v>
      </c>
      <c r="U625">
        <v>9</v>
      </c>
      <c r="V625">
        <v>2023</v>
      </c>
      <c r="W625">
        <v>3</v>
      </c>
      <c r="X625" t="s">
        <v>9899</v>
      </c>
      <c r="Y625" t="s">
        <v>9900</v>
      </c>
      <c r="Z625" t="s">
        <v>9898</v>
      </c>
      <c r="AD625">
        <f t="shared" si="19"/>
        <v>6</v>
      </c>
    </row>
    <row r="626" spans="1:30" x14ac:dyDescent="0.25">
      <c r="A626" t="s">
        <v>650</v>
      </c>
      <c r="B626" s="2">
        <v>45392</v>
      </c>
      <c r="C626" s="2">
        <v>45393</v>
      </c>
      <c r="D626" t="s">
        <v>5383</v>
      </c>
      <c r="E626" t="s">
        <v>5883</v>
      </c>
      <c r="F626" t="s">
        <v>6028</v>
      </c>
      <c r="G626" t="s">
        <v>6029</v>
      </c>
      <c r="H626" t="s">
        <v>6044</v>
      </c>
      <c r="I626" t="s">
        <v>6049</v>
      </c>
      <c r="J626" t="s">
        <v>6053</v>
      </c>
      <c r="K626" t="s">
        <v>6056</v>
      </c>
      <c r="L626" t="s">
        <v>6671</v>
      </c>
      <c r="M626">
        <v>1159.17</v>
      </c>
      <c r="N626">
        <v>6</v>
      </c>
      <c r="O626">
        <v>0.15</v>
      </c>
      <c r="P626">
        <v>36.229999999999997</v>
      </c>
      <c r="Q626" t="s">
        <v>9894</v>
      </c>
      <c r="R626">
        <v>1</v>
      </c>
      <c r="S626" s="5">
        <f t="shared" si="18"/>
        <v>3.1255122199504812E-2</v>
      </c>
      <c r="T626">
        <v>193.19499999999999</v>
      </c>
      <c r="U626">
        <v>4</v>
      </c>
      <c r="V626">
        <v>2024</v>
      </c>
      <c r="W626">
        <v>2</v>
      </c>
      <c r="X626" t="s">
        <v>9899</v>
      </c>
      <c r="Y626" t="s">
        <v>9901</v>
      </c>
      <c r="Z626" t="s">
        <v>9898</v>
      </c>
      <c r="AD626">
        <f t="shared" si="19"/>
        <v>1</v>
      </c>
    </row>
    <row r="627" spans="1:30" x14ac:dyDescent="0.25">
      <c r="A627" t="s">
        <v>651</v>
      </c>
      <c r="B627" s="2">
        <v>45156</v>
      </c>
      <c r="C627" s="2">
        <v>45160</v>
      </c>
      <c r="D627" t="s">
        <v>5268</v>
      </c>
      <c r="E627" t="s">
        <v>5768</v>
      </c>
      <c r="F627" t="s">
        <v>6027</v>
      </c>
      <c r="G627" t="s">
        <v>6030</v>
      </c>
      <c r="H627" t="s">
        <v>6033</v>
      </c>
      <c r="I627" t="s">
        <v>6051</v>
      </c>
      <c r="J627" t="s">
        <v>6055</v>
      </c>
      <c r="K627" t="s">
        <v>6063</v>
      </c>
      <c r="L627" t="s">
        <v>6672</v>
      </c>
      <c r="M627">
        <v>722.83</v>
      </c>
      <c r="N627">
        <v>7</v>
      </c>
      <c r="O627">
        <v>0.26</v>
      </c>
      <c r="P627">
        <v>-109.43</v>
      </c>
      <c r="Q627" t="s">
        <v>9895</v>
      </c>
      <c r="R627">
        <v>4</v>
      </c>
      <c r="S627" s="5">
        <f t="shared" si="18"/>
        <v>-0.1513910601386218</v>
      </c>
      <c r="T627">
        <v>103.2614285714286</v>
      </c>
      <c r="U627">
        <v>8</v>
      </c>
      <c r="V627">
        <v>2023</v>
      </c>
      <c r="W627">
        <v>3</v>
      </c>
      <c r="X627" t="s">
        <v>9898</v>
      </c>
      <c r="Y627" t="s">
        <v>9900</v>
      </c>
      <c r="Z627" t="s">
        <v>9899</v>
      </c>
      <c r="AD627">
        <f t="shared" si="19"/>
        <v>4</v>
      </c>
    </row>
    <row r="628" spans="1:30" x14ac:dyDescent="0.25">
      <c r="A628" t="s">
        <v>652</v>
      </c>
      <c r="B628" s="2">
        <v>44673</v>
      </c>
      <c r="C628" s="2">
        <v>44676</v>
      </c>
      <c r="D628" t="s">
        <v>5080</v>
      </c>
      <c r="E628" t="s">
        <v>5580</v>
      </c>
      <c r="F628" t="s">
        <v>6027</v>
      </c>
      <c r="G628" t="s">
        <v>6031</v>
      </c>
      <c r="H628" t="s">
        <v>6034</v>
      </c>
      <c r="I628" t="s">
        <v>6050</v>
      </c>
      <c r="J628" t="s">
        <v>6055</v>
      </c>
      <c r="K628" t="s">
        <v>6064</v>
      </c>
      <c r="L628" t="s">
        <v>6673</v>
      </c>
      <c r="M628">
        <v>1937.1</v>
      </c>
      <c r="N628">
        <v>1</v>
      </c>
      <c r="O628">
        <v>0.34</v>
      </c>
      <c r="P628">
        <v>-85.95</v>
      </c>
      <c r="Q628" t="s">
        <v>9895</v>
      </c>
      <c r="R628">
        <v>3</v>
      </c>
      <c r="S628" s="5">
        <f t="shared" si="18"/>
        <v>-4.4370450673687473E-2</v>
      </c>
      <c r="T628">
        <v>1937.1</v>
      </c>
      <c r="U628">
        <v>4</v>
      </c>
      <c r="V628">
        <v>2022</v>
      </c>
      <c r="W628">
        <v>2</v>
      </c>
      <c r="X628" t="s">
        <v>9898</v>
      </c>
      <c r="Y628" t="s">
        <v>9902</v>
      </c>
      <c r="Z628" t="s">
        <v>9898</v>
      </c>
      <c r="AD628">
        <f t="shared" si="19"/>
        <v>3</v>
      </c>
    </row>
    <row r="629" spans="1:30" x14ac:dyDescent="0.25">
      <c r="A629" t="s">
        <v>653</v>
      </c>
      <c r="B629" s="2">
        <v>45083</v>
      </c>
      <c r="C629" s="2">
        <v>45089</v>
      </c>
      <c r="D629" t="s">
        <v>5384</v>
      </c>
      <c r="E629" t="s">
        <v>5884</v>
      </c>
      <c r="F629" t="s">
        <v>6028</v>
      </c>
      <c r="G629" t="s">
        <v>6029</v>
      </c>
      <c r="H629" t="s">
        <v>6032</v>
      </c>
      <c r="I629" t="s">
        <v>6046</v>
      </c>
      <c r="J629" t="s">
        <v>6054</v>
      </c>
      <c r="K629" t="s">
        <v>6060</v>
      </c>
      <c r="L629" t="s">
        <v>6674</v>
      </c>
      <c r="M629">
        <v>844.45</v>
      </c>
      <c r="N629">
        <v>2</v>
      </c>
      <c r="O629">
        <v>0.32</v>
      </c>
      <c r="P629">
        <v>-65</v>
      </c>
      <c r="Q629" t="s">
        <v>9895</v>
      </c>
      <c r="R629">
        <v>6</v>
      </c>
      <c r="S629" s="5">
        <f t="shared" si="18"/>
        <v>-7.6973177808040735E-2</v>
      </c>
      <c r="T629">
        <v>422.22500000000002</v>
      </c>
      <c r="U629">
        <v>6</v>
      </c>
      <c r="V629">
        <v>2023</v>
      </c>
      <c r="W629">
        <v>2</v>
      </c>
      <c r="X629" t="s">
        <v>9898</v>
      </c>
      <c r="Y629" t="s">
        <v>9902</v>
      </c>
      <c r="Z629" t="s">
        <v>9899</v>
      </c>
      <c r="AD629">
        <f t="shared" si="19"/>
        <v>6</v>
      </c>
    </row>
    <row r="630" spans="1:30" x14ac:dyDescent="0.25">
      <c r="A630" t="s">
        <v>654</v>
      </c>
      <c r="B630" s="2">
        <v>45144</v>
      </c>
      <c r="C630" s="2">
        <v>45146</v>
      </c>
      <c r="D630" t="s">
        <v>5184</v>
      </c>
      <c r="E630" t="s">
        <v>5684</v>
      </c>
      <c r="F630" t="s">
        <v>6026</v>
      </c>
      <c r="G630" t="s">
        <v>6030</v>
      </c>
      <c r="H630" t="s">
        <v>6039</v>
      </c>
      <c r="I630" t="s">
        <v>6051</v>
      </c>
      <c r="J630" t="s">
        <v>6055</v>
      </c>
      <c r="K630" t="s">
        <v>6061</v>
      </c>
      <c r="L630" t="s">
        <v>6675</v>
      </c>
      <c r="M630">
        <v>1277.6400000000001</v>
      </c>
      <c r="N630">
        <v>4</v>
      </c>
      <c r="O630">
        <v>0.15</v>
      </c>
      <c r="P630">
        <v>189.86</v>
      </c>
      <c r="Q630" t="s">
        <v>9894</v>
      </c>
      <c r="R630">
        <v>2</v>
      </c>
      <c r="S630" s="5">
        <f t="shared" si="18"/>
        <v>0.14860211014057167</v>
      </c>
      <c r="T630">
        <v>319.41000000000003</v>
      </c>
      <c r="U630">
        <v>8</v>
      </c>
      <c r="V630">
        <v>2023</v>
      </c>
      <c r="W630">
        <v>3</v>
      </c>
      <c r="X630" t="s">
        <v>9899</v>
      </c>
      <c r="Y630" t="s">
        <v>9901</v>
      </c>
      <c r="Z630" t="s">
        <v>9898</v>
      </c>
      <c r="AD630">
        <f t="shared" si="19"/>
        <v>2</v>
      </c>
    </row>
    <row r="631" spans="1:30" x14ac:dyDescent="0.25">
      <c r="A631" t="s">
        <v>655</v>
      </c>
      <c r="B631" s="2">
        <v>44849</v>
      </c>
      <c r="C631" s="2">
        <v>44856</v>
      </c>
      <c r="D631" t="s">
        <v>5244</v>
      </c>
      <c r="E631" t="s">
        <v>5744</v>
      </c>
      <c r="F631" t="s">
        <v>6026</v>
      </c>
      <c r="G631" t="s">
        <v>6029</v>
      </c>
      <c r="H631" t="s">
        <v>6044</v>
      </c>
      <c r="I631" t="s">
        <v>6049</v>
      </c>
      <c r="J631" t="s">
        <v>6055</v>
      </c>
      <c r="K631" t="s">
        <v>6064</v>
      </c>
      <c r="L631" t="s">
        <v>6676</v>
      </c>
      <c r="M631">
        <v>1659.73</v>
      </c>
      <c r="N631">
        <v>4</v>
      </c>
      <c r="O631">
        <v>0.1</v>
      </c>
      <c r="P631">
        <v>118.01</v>
      </c>
      <c r="Q631" t="s">
        <v>9897</v>
      </c>
      <c r="R631">
        <v>7</v>
      </c>
      <c r="S631" s="5">
        <f t="shared" si="18"/>
        <v>7.1101926216914801E-2</v>
      </c>
      <c r="T631">
        <v>414.9325</v>
      </c>
      <c r="U631">
        <v>10</v>
      </c>
      <c r="V631">
        <v>2022</v>
      </c>
      <c r="W631">
        <v>4</v>
      </c>
      <c r="X631" t="s">
        <v>9899</v>
      </c>
      <c r="Y631" t="s">
        <v>9901</v>
      </c>
      <c r="Z631" t="s">
        <v>9898</v>
      </c>
      <c r="AD631">
        <f t="shared" si="19"/>
        <v>7</v>
      </c>
    </row>
    <row r="632" spans="1:30" x14ac:dyDescent="0.25">
      <c r="A632" t="s">
        <v>656</v>
      </c>
      <c r="B632" s="2">
        <v>45062</v>
      </c>
      <c r="C632" s="2">
        <v>45069</v>
      </c>
      <c r="D632" t="s">
        <v>5385</v>
      </c>
      <c r="E632" t="s">
        <v>5885</v>
      </c>
      <c r="F632" t="s">
        <v>6028</v>
      </c>
      <c r="G632" t="s">
        <v>6029</v>
      </c>
      <c r="H632" t="s">
        <v>6032</v>
      </c>
      <c r="I632" t="s">
        <v>6049</v>
      </c>
      <c r="J632" t="s">
        <v>6054</v>
      </c>
      <c r="K632" t="s">
        <v>6062</v>
      </c>
      <c r="L632" t="s">
        <v>6254</v>
      </c>
      <c r="M632">
        <v>983.29</v>
      </c>
      <c r="N632">
        <v>5</v>
      </c>
      <c r="O632">
        <v>0.09</v>
      </c>
      <c r="P632">
        <v>43.83</v>
      </c>
      <c r="Q632" t="s">
        <v>9894</v>
      </c>
      <c r="R632">
        <v>7</v>
      </c>
      <c r="S632" s="5">
        <f t="shared" si="18"/>
        <v>4.4574845671165167E-2</v>
      </c>
      <c r="T632">
        <v>196.65799999999999</v>
      </c>
      <c r="U632">
        <v>5</v>
      </c>
      <c r="V632">
        <v>2023</v>
      </c>
      <c r="W632">
        <v>2</v>
      </c>
      <c r="X632" t="s">
        <v>9899</v>
      </c>
      <c r="Y632" t="s">
        <v>9901</v>
      </c>
      <c r="Z632" t="s">
        <v>9899</v>
      </c>
      <c r="AD632">
        <f t="shared" si="19"/>
        <v>7</v>
      </c>
    </row>
    <row r="633" spans="1:30" x14ac:dyDescent="0.25">
      <c r="A633" t="s">
        <v>657</v>
      </c>
      <c r="B633" s="2">
        <v>45074</v>
      </c>
      <c r="C633" s="2">
        <v>45081</v>
      </c>
      <c r="D633" t="s">
        <v>5097</v>
      </c>
      <c r="E633" t="s">
        <v>5597</v>
      </c>
      <c r="F633" t="s">
        <v>6028</v>
      </c>
      <c r="G633" t="s">
        <v>6031</v>
      </c>
      <c r="H633" t="s">
        <v>6042</v>
      </c>
      <c r="I633" t="s">
        <v>6052</v>
      </c>
      <c r="J633" t="s">
        <v>6053</v>
      </c>
      <c r="K633" t="s">
        <v>6057</v>
      </c>
      <c r="L633" t="s">
        <v>6677</v>
      </c>
      <c r="M633">
        <v>1576.08</v>
      </c>
      <c r="N633">
        <v>7</v>
      </c>
      <c r="O633">
        <v>0.13</v>
      </c>
      <c r="P633">
        <v>142.03</v>
      </c>
      <c r="Q633" t="s">
        <v>9897</v>
      </c>
      <c r="R633">
        <v>7</v>
      </c>
      <c r="S633" s="5">
        <f t="shared" si="18"/>
        <v>9.0115983960205065E-2</v>
      </c>
      <c r="T633">
        <v>225.15428571428569</v>
      </c>
      <c r="U633">
        <v>5</v>
      </c>
      <c r="V633">
        <v>2023</v>
      </c>
      <c r="W633">
        <v>2</v>
      </c>
      <c r="X633" t="s">
        <v>9899</v>
      </c>
      <c r="Y633" t="s">
        <v>9901</v>
      </c>
      <c r="Z633" t="s">
        <v>9898</v>
      </c>
      <c r="AD633">
        <f t="shared" si="19"/>
        <v>7</v>
      </c>
    </row>
    <row r="634" spans="1:30" x14ac:dyDescent="0.25">
      <c r="A634" t="s">
        <v>658</v>
      </c>
      <c r="B634" s="2">
        <v>45035</v>
      </c>
      <c r="C634" s="2">
        <v>45038</v>
      </c>
      <c r="D634" t="s">
        <v>5273</v>
      </c>
      <c r="E634" t="s">
        <v>5773</v>
      </c>
      <c r="F634" t="s">
        <v>6027</v>
      </c>
      <c r="G634" t="s">
        <v>6031</v>
      </c>
      <c r="H634" t="s">
        <v>6042</v>
      </c>
      <c r="I634" t="s">
        <v>6050</v>
      </c>
      <c r="J634" t="s">
        <v>6054</v>
      </c>
      <c r="K634" t="s">
        <v>6062</v>
      </c>
      <c r="L634" t="s">
        <v>6678</v>
      </c>
      <c r="M634">
        <v>143.03</v>
      </c>
      <c r="N634">
        <v>8</v>
      </c>
      <c r="O634">
        <v>0.08</v>
      </c>
      <c r="P634">
        <v>3.61</v>
      </c>
      <c r="Q634" t="s">
        <v>9896</v>
      </c>
      <c r="R634">
        <v>3</v>
      </c>
      <c r="S634" s="5">
        <f t="shared" si="18"/>
        <v>2.5239460253093756E-2</v>
      </c>
      <c r="T634">
        <v>17.87875</v>
      </c>
      <c r="U634">
        <v>4</v>
      </c>
      <c r="V634">
        <v>2023</v>
      </c>
      <c r="W634">
        <v>2</v>
      </c>
      <c r="X634" t="s">
        <v>9899</v>
      </c>
      <c r="Y634" t="s">
        <v>9901</v>
      </c>
      <c r="Z634" t="s">
        <v>9899</v>
      </c>
      <c r="AD634">
        <f t="shared" si="19"/>
        <v>3</v>
      </c>
    </row>
    <row r="635" spans="1:30" x14ac:dyDescent="0.25">
      <c r="A635" t="s">
        <v>659</v>
      </c>
      <c r="B635" s="2">
        <v>44834</v>
      </c>
      <c r="C635" s="2">
        <v>44835</v>
      </c>
      <c r="D635" t="s">
        <v>5119</v>
      </c>
      <c r="E635" t="s">
        <v>5619</v>
      </c>
      <c r="F635" t="s">
        <v>6028</v>
      </c>
      <c r="G635" t="s">
        <v>6029</v>
      </c>
      <c r="H635" t="s">
        <v>6045</v>
      </c>
      <c r="I635" t="s">
        <v>6049</v>
      </c>
      <c r="J635" t="s">
        <v>6053</v>
      </c>
      <c r="K635" t="s">
        <v>6057</v>
      </c>
      <c r="L635" t="s">
        <v>6679</v>
      </c>
      <c r="M635">
        <v>1974.84</v>
      </c>
      <c r="N635">
        <v>3</v>
      </c>
      <c r="O635">
        <v>0.15</v>
      </c>
      <c r="P635">
        <v>49.96</v>
      </c>
      <c r="Q635" t="s">
        <v>9897</v>
      </c>
      <c r="R635">
        <v>1</v>
      </c>
      <c r="S635" s="5">
        <f t="shared" si="18"/>
        <v>2.5298252010289443E-2</v>
      </c>
      <c r="T635">
        <v>658.28</v>
      </c>
      <c r="U635">
        <v>9</v>
      </c>
      <c r="V635">
        <v>2022</v>
      </c>
      <c r="W635">
        <v>3</v>
      </c>
      <c r="X635" t="s">
        <v>9899</v>
      </c>
      <c r="Y635" t="s">
        <v>9901</v>
      </c>
      <c r="Z635" t="s">
        <v>9898</v>
      </c>
      <c r="AD635">
        <f t="shared" si="19"/>
        <v>1</v>
      </c>
    </row>
    <row r="636" spans="1:30" x14ac:dyDescent="0.25">
      <c r="A636" t="s">
        <v>660</v>
      </c>
      <c r="B636" s="2">
        <v>44704</v>
      </c>
      <c r="C636" s="2">
        <v>44706</v>
      </c>
      <c r="D636" t="s">
        <v>5363</v>
      </c>
      <c r="E636" t="s">
        <v>5863</v>
      </c>
      <c r="F636" t="s">
        <v>6028</v>
      </c>
      <c r="G636" t="s">
        <v>6030</v>
      </c>
      <c r="H636" t="s">
        <v>6035</v>
      </c>
      <c r="I636" t="s">
        <v>6051</v>
      </c>
      <c r="J636" t="s">
        <v>6054</v>
      </c>
      <c r="K636" t="s">
        <v>6059</v>
      </c>
      <c r="L636" t="s">
        <v>6680</v>
      </c>
      <c r="M636">
        <v>870.99</v>
      </c>
      <c r="N636">
        <v>8</v>
      </c>
      <c r="O636">
        <v>0.27</v>
      </c>
      <c r="P636">
        <v>-130.22999999999999</v>
      </c>
      <c r="Q636" t="s">
        <v>9895</v>
      </c>
      <c r="R636">
        <v>2</v>
      </c>
      <c r="S636" s="5">
        <f t="shared" si="18"/>
        <v>-0.14951951227913063</v>
      </c>
      <c r="T636">
        <v>108.87375</v>
      </c>
      <c r="U636">
        <v>5</v>
      </c>
      <c r="V636">
        <v>2022</v>
      </c>
      <c r="W636">
        <v>2</v>
      </c>
      <c r="X636" t="s">
        <v>9898</v>
      </c>
      <c r="Y636" t="s">
        <v>9900</v>
      </c>
      <c r="Z636" t="s">
        <v>9899</v>
      </c>
      <c r="AD636">
        <f t="shared" si="19"/>
        <v>2</v>
      </c>
    </row>
    <row r="637" spans="1:30" x14ac:dyDescent="0.25">
      <c r="A637" t="s">
        <v>661</v>
      </c>
      <c r="B637" s="2">
        <v>45061</v>
      </c>
      <c r="C637" s="2">
        <v>45068</v>
      </c>
      <c r="D637" t="s">
        <v>5200</v>
      </c>
      <c r="E637" t="s">
        <v>5700</v>
      </c>
      <c r="F637" t="s">
        <v>6027</v>
      </c>
      <c r="G637" t="s">
        <v>6031</v>
      </c>
      <c r="H637" t="s">
        <v>6042</v>
      </c>
      <c r="I637" t="s">
        <v>6048</v>
      </c>
      <c r="J637" t="s">
        <v>6054</v>
      </c>
      <c r="K637" t="s">
        <v>6062</v>
      </c>
      <c r="L637" t="s">
        <v>6681</v>
      </c>
      <c r="M637">
        <v>1871.34</v>
      </c>
      <c r="N637">
        <v>6</v>
      </c>
      <c r="O637">
        <v>0.04</v>
      </c>
      <c r="P637">
        <v>205.49</v>
      </c>
      <c r="Q637" t="s">
        <v>9893</v>
      </c>
      <c r="R637">
        <v>7</v>
      </c>
      <c r="S637" s="5">
        <f t="shared" si="18"/>
        <v>0.10980901386172476</v>
      </c>
      <c r="T637">
        <v>311.89</v>
      </c>
      <c r="U637">
        <v>5</v>
      </c>
      <c r="V637">
        <v>2023</v>
      </c>
      <c r="W637">
        <v>2</v>
      </c>
      <c r="X637" t="s">
        <v>9899</v>
      </c>
      <c r="Y637" t="s">
        <v>9901</v>
      </c>
      <c r="Z637" t="s">
        <v>9898</v>
      </c>
      <c r="AD637">
        <f t="shared" si="19"/>
        <v>7</v>
      </c>
    </row>
    <row r="638" spans="1:30" x14ac:dyDescent="0.25">
      <c r="A638" t="s">
        <v>662</v>
      </c>
      <c r="B638" s="2">
        <v>45053</v>
      </c>
      <c r="C638" s="2">
        <v>45055</v>
      </c>
      <c r="D638" t="s">
        <v>5069</v>
      </c>
      <c r="E638" t="s">
        <v>5569</v>
      </c>
      <c r="F638" t="s">
        <v>6027</v>
      </c>
      <c r="G638" t="s">
        <v>6031</v>
      </c>
      <c r="H638" t="s">
        <v>6043</v>
      </c>
      <c r="I638" t="s">
        <v>6050</v>
      </c>
      <c r="J638" t="s">
        <v>6053</v>
      </c>
      <c r="K638" t="s">
        <v>6056</v>
      </c>
      <c r="L638" t="s">
        <v>6682</v>
      </c>
      <c r="M638">
        <v>1172.45</v>
      </c>
      <c r="N638">
        <v>1</v>
      </c>
      <c r="O638">
        <v>0</v>
      </c>
      <c r="P638">
        <v>300.35000000000002</v>
      </c>
      <c r="Q638" t="s">
        <v>9894</v>
      </c>
      <c r="R638">
        <v>2</v>
      </c>
      <c r="S638" s="5">
        <f t="shared" si="18"/>
        <v>0.2561729711288328</v>
      </c>
      <c r="T638">
        <v>1172.45</v>
      </c>
      <c r="U638">
        <v>5</v>
      </c>
      <c r="V638">
        <v>2023</v>
      </c>
      <c r="W638">
        <v>2</v>
      </c>
      <c r="X638" t="s">
        <v>9899</v>
      </c>
      <c r="Y638" t="s">
        <v>9901</v>
      </c>
      <c r="Z638" t="s">
        <v>9898</v>
      </c>
      <c r="AD638">
        <f t="shared" si="19"/>
        <v>2</v>
      </c>
    </row>
    <row r="639" spans="1:30" x14ac:dyDescent="0.25">
      <c r="A639" t="s">
        <v>663</v>
      </c>
      <c r="B639" s="2">
        <v>45141</v>
      </c>
      <c r="C639" s="2">
        <v>45146</v>
      </c>
      <c r="D639" t="s">
        <v>5218</v>
      </c>
      <c r="E639" t="s">
        <v>5718</v>
      </c>
      <c r="F639" t="s">
        <v>6028</v>
      </c>
      <c r="G639" t="s">
        <v>6029</v>
      </c>
      <c r="H639" t="s">
        <v>6032</v>
      </c>
      <c r="I639" t="s">
        <v>6046</v>
      </c>
      <c r="J639" t="s">
        <v>6055</v>
      </c>
      <c r="K639" t="s">
        <v>6064</v>
      </c>
      <c r="L639" t="s">
        <v>6683</v>
      </c>
      <c r="M639">
        <v>1667.79</v>
      </c>
      <c r="N639">
        <v>7</v>
      </c>
      <c r="O639">
        <v>0.32</v>
      </c>
      <c r="P639">
        <v>-67.05</v>
      </c>
      <c r="Q639" t="s">
        <v>9894</v>
      </c>
      <c r="R639">
        <v>5</v>
      </c>
      <c r="S639" s="5">
        <f t="shared" si="18"/>
        <v>-4.0202903243214072E-2</v>
      </c>
      <c r="T639">
        <v>238.2557142857143</v>
      </c>
      <c r="U639">
        <v>8</v>
      </c>
      <c r="V639">
        <v>2023</v>
      </c>
      <c r="W639">
        <v>3</v>
      </c>
      <c r="X639" t="s">
        <v>9898</v>
      </c>
      <c r="Y639" t="s">
        <v>9902</v>
      </c>
      <c r="Z639" t="s">
        <v>9898</v>
      </c>
      <c r="AD639">
        <f t="shared" si="19"/>
        <v>5</v>
      </c>
    </row>
    <row r="640" spans="1:30" x14ac:dyDescent="0.25">
      <c r="A640" t="s">
        <v>664</v>
      </c>
      <c r="B640" s="2">
        <v>44779</v>
      </c>
      <c r="C640" s="2">
        <v>44783</v>
      </c>
      <c r="D640" t="s">
        <v>5059</v>
      </c>
      <c r="E640" t="s">
        <v>5559</v>
      </c>
      <c r="F640" t="s">
        <v>6028</v>
      </c>
      <c r="G640" t="s">
        <v>6031</v>
      </c>
      <c r="H640" t="s">
        <v>6037</v>
      </c>
      <c r="I640" t="s">
        <v>6052</v>
      </c>
      <c r="J640" t="s">
        <v>6054</v>
      </c>
      <c r="K640" t="s">
        <v>6059</v>
      </c>
      <c r="L640" t="s">
        <v>6684</v>
      </c>
      <c r="M640">
        <v>279.64999999999998</v>
      </c>
      <c r="N640">
        <v>7</v>
      </c>
      <c r="O640">
        <v>0.31</v>
      </c>
      <c r="P640">
        <v>-51.34</v>
      </c>
      <c r="Q640" t="s">
        <v>9896</v>
      </c>
      <c r="R640">
        <v>4</v>
      </c>
      <c r="S640" s="5">
        <f t="shared" si="18"/>
        <v>-0.18358662613981766</v>
      </c>
      <c r="T640">
        <v>39.950000000000003</v>
      </c>
      <c r="U640">
        <v>8</v>
      </c>
      <c r="V640">
        <v>2022</v>
      </c>
      <c r="W640">
        <v>3</v>
      </c>
      <c r="X640" t="s">
        <v>9898</v>
      </c>
      <c r="Y640" t="s">
        <v>9902</v>
      </c>
      <c r="Z640" t="s">
        <v>9899</v>
      </c>
      <c r="AD640">
        <f t="shared" si="19"/>
        <v>4</v>
      </c>
    </row>
    <row r="641" spans="1:30" x14ac:dyDescent="0.25">
      <c r="A641" t="s">
        <v>665</v>
      </c>
      <c r="B641" s="2">
        <v>45071</v>
      </c>
      <c r="C641" s="2">
        <v>45078</v>
      </c>
      <c r="D641" t="s">
        <v>5386</v>
      </c>
      <c r="E641" t="s">
        <v>5886</v>
      </c>
      <c r="F641" t="s">
        <v>6026</v>
      </c>
      <c r="G641" t="s">
        <v>6031</v>
      </c>
      <c r="H641" t="s">
        <v>6043</v>
      </c>
      <c r="I641" t="s">
        <v>6048</v>
      </c>
      <c r="J641" t="s">
        <v>6053</v>
      </c>
      <c r="K641" t="s">
        <v>6057</v>
      </c>
      <c r="L641" t="s">
        <v>6685</v>
      </c>
      <c r="M641">
        <v>1301.0999999999999</v>
      </c>
      <c r="N641">
        <v>2</v>
      </c>
      <c r="O641">
        <v>0.01</v>
      </c>
      <c r="P641">
        <v>282.70999999999998</v>
      </c>
      <c r="Q641" t="s">
        <v>9894</v>
      </c>
      <c r="R641">
        <v>7</v>
      </c>
      <c r="S641" s="5">
        <f t="shared" si="18"/>
        <v>0.21728537391438013</v>
      </c>
      <c r="T641">
        <v>650.54999999999995</v>
      </c>
      <c r="U641">
        <v>5</v>
      </c>
      <c r="V641">
        <v>2023</v>
      </c>
      <c r="W641">
        <v>2</v>
      </c>
      <c r="X641" t="s">
        <v>9899</v>
      </c>
      <c r="Y641" t="s">
        <v>9901</v>
      </c>
      <c r="Z641" t="s">
        <v>9898</v>
      </c>
      <c r="AD641">
        <f t="shared" si="19"/>
        <v>7</v>
      </c>
    </row>
    <row r="642" spans="1:30" x14ac:dyDescent="0.25">
      <c r="A642" t="s">
        <v>666</v>
      </c>
      <c r="B642" s="2">
        <v>44933</v>
      </c>
      <c r="C642" s="2">
        <v>44934</v>
      </c>
      <c r="D642" t="s">
        <v>5077</v>
      </c>
      <c r="E642" t="s">
        <v>5577</v>
      </c>
      <c r="F642" t="s">
        <v>6026</v>
      </c>
      <c r="G642" t="s">
        <v>6029</v>
      </c>
      <c r="H642" t="s">
        <v>6032</v>
      </c>
      <c r="I642" t="s">
        <v>6046</v>
      </c>
      <c r="J642" t="s">
        <v>6053</v>
      </c>
      <c r="K642" t="s">
        <v>6056</v>
      </c>
      <c r="L642" t="s">
        <v>6686</v>
      </c>
      <c r="M642">
        <v>1747.42</v>
      </c>
      <c r="N642">
        <v>4</v>
      </c>
      <c r="O642">
        <v>0.18</v>
      </c>
      <c r="P642">
        <v>2.74</v>
      </c>
      <c r="Q642" t="s">
        <v>9895</v>
      </c>
      <c r="R642">
        <v>1</v>
      </c>
      <c r="S642" s="5">
        <f t="shared" si="18"/>
        <v>1.5680260040516877E-3</v>
      </c>
      <c r="T642">
        <v>436.85500000000002</v>
      </c>
      <c r="U642">
        <v>1</v>
      </c>
      <c r="V642">
        <v>2023</v>
      </c>
      <c r="W642">
        <v>1</v>
      </c>
      <c r="X642" t="s">
        <v>9899</v>
      </c>
      <c r="Y642" t="s">
        <v>9900</v>
      </c>
      <c r="Z642" t="s">
        <v>9898</v>
      </c>
      <c r="AD642">
        <f t="shared" si="19"/>
        <v>1</v>
      </c>
    </row>
    <row r="643" spans="1:30" x14ac:dyDescent="0.25">
      <c r="A643" t="s">
        <v>667</v>
      </c>
      <c r="B643" s="2">
        <v>45208</v>
      </c>
      <c r="C643" s="2">
        <v>45215</v>
      </c>
      <c r="D643" t="s">
        <v>5387</v>
      </c>
      <c r="E643" t="s">
        <v>5887</v>
      </c>
      <c r="F643" t="s">
        <v>6028</v>
      </c>
      <c r="G643" t="s">
        <v>6031</v>
      </c>
      <c r="H643" t="s">
        <v>6034</v>
      </c>
      <c r="I643" t="s">
        <v>6052</v>
      </c>
      <c r="J643" t="s">
        <v>6054</v>
      </c>
      <c r="K643" t="s">
        <v>6059</v>
      </c>
      <c r="L643" t="s">
        <v>6687</v>
      </c>
      <c r="M643">
        <v>1851.31</v>
      </c>
      <c r="N643">
        <v>3</v>
      </c>
      <c r="O643">
        <v>0.08</v>
      </c>
      <c r="P643">
        <v>367.62</v>
      </c>
      <c r="Q643" t="s">
        <v>9895</v>
      </c>
      <c r="R643">
        <v>7</v>
      </c>
      <c r="S643" s="5">
        <f t="shared" ref="S643:S706" si="20">P643/M643</f>
        <v>0.19857290243125139</v>
      </c>
      <c r="T643">
        <v>617.10333333333335</v>
      </c>
      <c r="U643">
        <v>10</v>
      </c>
      <c r="V643">
        <v>2023</v>
      </c>
      <c r="W643">
        <v>4</v>
      </c>
      <c r="X643" t="s">
        <v>9899</v>
      </c>
      <c r="Y643" t="s">
        <v>9901</v>
      </c>
      <c r="Z643" t="s">
        <v>9898</v>
      </c>
      <c r="AD643">
        <f t="shared" ref="AD643:AD706" si="21">C643-B643</f>
        <v>7</v>
      </c>
    </row>
    <row r="644" spans="1:30" x14ac:dyDescent="0.25">
      <c r="A644" t="s">
        <v>668</v>
      </c>
      <c r="B644" s="2">
        <v>45095</v>
      </c>
      <c r="C644" s="2">
        <v>45096</v>
      </c>
      <c r="D644" t="s">
        <v>5388</v>
      </c>
      <c r="E644" t="s">
        <v>5888</v>
      </c>
      <c r="F644" t="s">
        <v>6028</v>
      </c>
      <c r="G644" t="s">
        <v>6029</v>
      </c>
      <c r="H644" t="s">
        <v>6044</v>
      </c>
      <c r="I644" t="s">
        <v>6049</v>
      </c>
      <c r="J644" t="s">
        <v>6055</v>
      </c>
      <c r="K644" t="s">
        <v>6061</v>
      </c>
      <c r="L644" t="s">
        <v>6688</v>
      </c>
      <c r="M644">
        <v>1439.17</v>
      </c>
      <c r="N644">
        <v>5</v>
      </c>
      <c r="O644">
        <v>0.12</v>
      </c>
      <c r="P644">
        <v>156.49</v>
      </c>
      <c r="Q644" t="s">
        <v>9896</v>
      </c>
      <c r="R644">
        <v>1</v>
      </c>
      <c r="S644" s="5">
        <f t="shared" si="20"/>
        <v>0.10873628549789115</v>
      </c>
      <c r="T644">
        <v>287.834</v>
      </c>
      <c r="U644">
        <v>6</v>
      </c>
      <c r="V644">
        <v>2023</v>
      </c>
      <c r="W644">
        <v>2</v>
      </c>
      <c r="X644" t="s">
        <v>9899</v>
      </c>
      <c r="Y644" t="s">
        <v>9901</v>
      </c>
      <c r="Z644" t="s">
        <v>9898</v>
      </c>
      <c r="AD644">
        <f t="shared" si="21"/>
        <v>1</v>
      </c>
    </row>
    <row r="645" spans="1:30" x14ac:dyDescent="0.25">
      <c r="A645" t="s">
        <v>669</v>
      </c>
      <c r="B645" s="2">
        <v>45032</v>
      </c>
      <c r="C645" s="2">
        <v>45034</v>
      </c>
      <c r="D645" t="s">
        <v>5044</v>
      </c>
      <c r="E645" t="s">
        <v>5544</v>
      </c>
      <c r="F645" t="s">
        <v>6028</v>
      </c>
      <c r="G645" t="s">
        <v>6030</v>
      </c>
      <c r="H645" t="s">
        <v>6033</v>
      </c>
      <c r="I645" t="s">
        <v>6047</v>
      </c>
      <c r="J645" t="s">
        <v>6055</v>
      </c>
      <c r="K645" t="s">
        <v>6061</v>
      </c>
      <c r="L645" t="s">
        <v>6689</v>
      </c>
      <c r="M645">
        <v>1712.87</v>
      </c>
      <c r="N645">
        <v>3</v>
      </c>
      <c r="O645">
        <v>0.08</v>
      </c>
      <c r="P645">
        <v>298.07</v>
      </c>
      <c r="Q645" t="s">
        <v>9894</v>
      </c>
      <c r="R645">
        <v>2</v>
      </c>
      <c r="S645" s="5">
        <f t="shared" si="20"/>
        <v>0.17401787642961813</v>
      </c>
      <c r="T645">
        <v>570.95666666666659</v>
      </c>
      <c r="U645">
        <v>4</v>
      </c>
      <c r="V645">
        <v>2023</v>
      </c>
      <c r="W645">
        <v>2</v>
      </c>
      <c r="X645" t="s">
        <v>9899</v>
      </c>
      <c r="Y645" t="s">
        <v>9901</v>
      </c>
      <c r="Z645" t="s">
        <v>9898</v>
      </c>
      <c r="AD645">
        <f t="shared" si="21"/>
        <v>2</v>
      </c>
    </row>
    <row r="646" spans="1:30" x14ac:dyDescent="0.25">
      <c r="A646" t="s">
        <v>670</v>
      </c>
      <c r="B646" s="2">
        <v>45259</v>
      </c>
      <c r="C646" s="2">
        <v>45266</v>
      </c>
      <c r="D646" t="s">
        <v>5257</v>
      </c>
      <c r="E646" t="s">
        <v>5757</v>
      </c>
      <c r="F646" t="s">
        <v>6027</v>
      </c>
      <c r="G646" t="s">
        <v>6030</v>
      </c>
      <c r="H646" t="s">
        <v>6033</v>
      </c>
      <c r="I646" t="s">
        <v>6051</v>
      </c>
      <c r="J646" t="s">
        <v>6055</v>
      </c>
      <c r="K646" t="s">
        <v>6061</v>
      </c>
      <c r="L646" t="s">
        <v>6690</v>
      </c>
      <c r="M646">
        <v>756.22</v>
      </c>
      <c r="N646">
        <v>4</v>
      </c>
      <c r="O646">
        <v>0.2</v>
      </c>
      <c r="P646">
        <v>-40.99</v>
      </c>
      <c r="Q646" t="s">
        <v>9896</v>
      </c>
      <c r="R646">
        <v>7</v>
      </c>
      <c r="S646" s="5">
        <f t="shared" si="20"/>
        <v>-5.4203803126074424E-2</v>
      </c>
      <c r="T646">
        <v>189.05500000000001</v>
      </c>
      <c r="U646">
        <v>11</v>
      </c>
      <c r="V646">
        <v>2023</v>
      </c>
      <c r="W646">
        <v>4</v>
      </c>
      <c r="X646" t="s">
        <v>9898</v>
      </c>
      <c r="Y646" t="s">
        <v>9900</v>
      </c>
      <c r="Z646" t="s">
        <v>9899</v>
      </c>
      <c r="AD646">
        <f t="shared" si="21"/>
        <v>7</v>
      </c>
    </row>
    <row r="647" spans="1:30" x14ac:dyDescent="0.25">
      <c r="A647" t="s">
        <v>671</v>
      </c>
      <c r="B647" s="2">
        <v>45030</v>
      </c>
      <c r="C647" s="2">
        <v>45031</v>
      </c>
      <c r="D647" t="s">
        <v>5389</v>
      </c>
      <c r="E647" t="s">
        <v>5889</v>
      </c>
      <c r="F647" t="s">
        <v>6027</v>
      </c>
      <c r="G647" t="s">
        <v>6029</v>
      </c>
      <c r="H647" t="s">
        <v>6032</v>
      </c>
      <c r="I647" t="s">
        <v>6049</v>
      </c>
      <c r="J647" t="s">
        <v>6053</v>
      </c>
      <c r="K647" t="s">
        <v>6056</v>
      </c>
      <c r="L647" t="s">
        <v>6691</v>
      </c>
      <c r="M647">
        <v>375.02</v>
      </c>
      <c r="N647">
        <v>8</v>
      </c>
      <c r="O647">
        <v>0.23</v>
      </c>
      <c r="P647">
        <v>5.34</v>
      </c>
      <c r="Q647" t="s">
        <v>9895</v>
      </c>
      <c r="R647">
        <v>1</v>
      </c>
      <c r="S647" s="5">
        <f t="shared" si="20"/>
        <v>1.4239240573836062E-2</v>
      </c>
      <c r="T647">
        <v>46.877499999999998</v>
      </c>
      <c r="U647">
        <v>4</v>
      </c>
      <c r="V647">
        <v>2023</v>
      </c>
      <c r="W647">
        <v>2</v>
      </c>
      <c r="X647" t="s">
        <v>9899</v>
      </c>
      <c r="Y647" t="s">
        <v>9900</v>
      </c>
      <c r="Z647" t="s">
        <v>9899</v>
      </c>
      <c r="AD647">
        <f t="shared" si="21"/>
        <v>1</v>
      </c>
    </row>
    <row r="648" spans="1:30" x14ac:dyDescent="0.25">
      <c r="A648" t="s">
        <v>672</v>
      </c>
      <c r="B648" s="2">
        <v>44979</v>
      </c>
      <c r="C648" s="2">
        <v>44982</v>
      </c>
      <c r="D648" t="s">
        <v>5129</v>
      </c>
      <c r="E648" t="s">
        <v>5629</v>
      </c>
      <c r="F648" t="s">
        <v>6027</v>
      </c>
      <c r="G648" t="s">
        <v>6030</v>
      </c>
      <c r="H648" t="s">
        <v>6035</v>
      </c>
      <c r="I648" t="s">
        <v>6047</v>
      </c>
      <c r="J648" t="s">
        <v>6055</v>
      </c>
      <c r="K648" t="s">
        <v>6063</v>
      </c>
      <c r="L648" t="s">
        <v>6692</v>
      </c>
      <c r="M648">
        <v>520.91999999999996</v>
      </c>
      <c r="N648">
        <v>5</v>
      </c>
      <c r="O648">
        <v>0.23</v>
      </c>
      <c r="P648">
        <v>-28.14</v>
      </c>
      <c r="Q648" t="s">
        <v>9893</v>
      </c>
      <c r="R648">
        <v>3</v>
      </c>
      <c r="S648" s="5">
        <f t="shared" si="20"/>
        <v>-5.4019811103432396E-2</v>
      </c>
      <c r="T648">
        <v>104.184</v>
      </c>
      <c r="U648">
        <v>2</v>
      </c>
      <c r="V648">
        <v>2023</v>
      </c>
      <c r="W648">
        <v>1</v>
      </c>
      <c r="X648" t="s">
        <v>9898</v>
      </c>
      <c r="Y648" t="s">
        <v>9900</v>
      </c>
      <c r="Z648" t="s">
        <v>9899</v>
      </c>
      <c r="AD648">
        <f t="shared" si="21"/>
        <v>3</v>
      </c>
    </row>
    <row r="649" spans="1:30" x14ac:dyDescent="0.25">
      <c r="A649" t="s">
        <v>673</v>
      </c>
      <c r="B649" s="2">
        <v>45192</v>
      </c>
      <c r="C649" s="2">
        <v>45195</v>
      </c>
      <c r="D649" t="s">
        <v>5390</v>
      </c>
      <c r="E649" t="s">
        <v>5890</v>
      </c>
      <c r="F649" t="s">
        <v>6028</v>
      </c>
      <c r="G649" t="s">
        <v>6030</v>
      </c>
      <c r="H649" t="s">
        <v>6033</v>
      </c>
      <c r="I649" t="s">
        <v>6047</v>
      </c>
      <c r="J649" t="s">
        <v>6054</v>
      </c>
      <c r="K649" t="s">
        <v>6062</v>
      </c>
      <c r="L649" t="s">
        <v>6693</v>
      </c>
      <c r="M649">
        <v>1746.1</v>
      </c>
      <c r="N649">
        <v>7</v>
      </c>
      <c r="O649">
        <v>0.15</v>
      </c>
      <c r="P649">
        <v>261.14999999999998</v>
      </c>
      <c r="Q649" t="s">
        <v>9894</v>
      </c>
      <c r="R649">
        <v>3</v>
      </c>
      <c r="S649" s="5">
        <f t="shared" si="20"/>
        <v>0.14956188076284291</v>
      </c>
      <c r="T649">
        <v>249.44285714285709</v>
      </c>
      <c r="U649">
        <v>9</v>
      </c>
      <c r="V649">
        <v>2023</v>
      </c>
      <c r="W649">
        <v>3</v>
      </c>
      <c r="X649" t="s">
        <v>9899</v>
      </c>
      <c r="Y649" t="s">
        <v>9901</v>
      </c>
      <c r="Z649" t="s">
        <v>9898</v>
      </c>
      <c r="AD649">
        <f t="shared" si="21"/>
        <v>3</v>
      </c>
    </row>
    <row r="650" spans="1:30" x14ac:dyDescent="0.25">
      <c r="A650" t="s">
        <v>674</v>
      </c>
      <c r="B650" s="2">
        <v>45020</v>
      </c>
      <c r="C650" s="2">
        <v>45021</v>
      </c>
      <c r="D650" t="s">
        <v>5271</v>
      </c>
      <c r="E650" t="s">
        <v>5771</v>
      </c>
      <c r="F650" t="s">
        <v>6028</v>
      </c>
      <c r="G650" t="s">
        <v>6030</v>
      </c>
      <c r="H650" t="s">
        <v>6033</v>
      </c>
      <c r="I650" t="s">
        <v>6051</v>
      </c>
      <c r="J650" t="s">
        <v>6055</v>
      </c>
      <c r="K650" t="s">
        <v>6061</v>
      </c>
      <c r="L650" t="s">
        <v>6694</v>
      </c>
      <c r="M650">
        <v>1748.36</v>
      </c>
      <c r="N650">
        <v>5</v>
      </c>
      <c r="O650">
        <v>0.26</v>
      </c>
      <c r="P650">
        <v>-13.52</v>
      </c>
      <c r="Q650" t="s">
        <v>9896</v>
      </c>
      <c r="R650">
        <v>1</v>
      </c>
      <c r="S650" s="5">
        <f t="shared" si="20"/>
        <v>-7.7329611750440418E-3</v>
      </c>
      <c r="T650">
        <v>349.67200000000003</v>
      </c>
      <c r="U650">
        <v>4</v>
      </c>
      <c r="V650">
        <v>2023</v>
      </c>
      <c r="W650">
        <v>2</v>
      </c>
      <c r="X650" t="s">
        <v>9898</v>
      </c>
      <c r="Y650" t="s">
        <v>9900</v>
      </c>
      <c r="Z650" t="s">
        <v>9898</v>
      </c>
      <c r="AD650">
        <f t="shared" si="21"/>
        <v>1</v>
      </c>
    </row>
    <row r="651" spans="1:30" x14ac:dyDescent="0.25">
      <c r="A651" t="s">
        <v>675</v>
      </c>
      <c r="B651" s="2">
        <v>45404</v>
      </c>
      <c r="C651" s="2">
        <v>45409</v>
      </c>
      <c r="D651" t="s">
        <v>5284</v>
      </c>
      <c r="E651" t="s">
        <v>5784</v>
      </c>
      <c r="F651" t="s">
        <v>6026</v>
      </c>
      <c r="G651" t="s">
        <v>6029</v>
      </c>
      <c r="H651" t="s">
        <v>6045</v>
      </c>
      <c r="I651" t="s">
        <v>6046</v>
      </c>
      <c r="J651" t="s">
        <v>6055</v>
      </c>
      <c r="K651" t="s">
        <v>6063</v>
      </c>
      <c r="L651" t="s">
        <v>6611</v>
      </c>
      <c r="M651">
        <v>1264.29</v>
      </c>
      <c r="N651">
        <v>7</v>
      </c>
      <c r="O651">
        <v>0.26</v>
      </c>
      <c r="P651">
        <v>-111.16</v>
      </c>
      <c r="Q651" t="s">
        <v>9897</v>
      </c>
      <c r="R651">
        <v>5</v>
      </c>
      <c r="S651" s="5">
        <f t="shared" si="20"/>
        <v>-8.7922865798195041E-2</v>
      </c>
      <c r="T651">
        <v>180.61285714285711</v>
      </c>
      <c r="U651">
        <v>4</v>
      </c>
      <c r="V651">
        <v>2024</v>
      </c>
      <c r="W651">
        <v>2</v>
      </c>
      <c r="X651" t="s">
        <v>9898</v>
      </c>
      <c r="Y651" t="s">
        <v>9900</v>
      </c>
      <c r="Z651" t="s">
        <v>9898</v>
      </c>
      <c r="AD651">
        <f t="shared" si="21"/>
        <v>5</v>
      </c>
    </row>
    <row r="652" spans="1:30" x14ac:dyDescent="0.25">
      <c r="A652" t="s">
        <v>676</v>
      </c>
      <c r="B652" s="2">
        <v>44657</v>
      </c>
      <c r="C652" s="2">
        <v>44659</v>
      </c>
      <c r="D652" t="s">
        <v>5098</v>
      </c>
      <c r="E652" t="s">
        <v>5598</v>
      </c>
      <c r="F652" t="s">
        <v>6028</v>
      </c>
      <c r="G652" t="s">
        <v>6029</v>
      </c>
      <c r="H652" t="s">
        <v>6036</v>
      </c>
      <c r="I652" t="s">
        <v>6049</v>
      </c>
      <c r="J652" t="s">
        <v>6054</v>
      </c>
      <c r="K652" t="s">
        <v>6059</v>
      </c>
      <c r="L652" t="s">
        <v>6695</v>
      </c>
      <c r="M652">
        <v>994.72</v>
      </c>
      <c r="N652">
        <v>5</v>
      </c>
      <c r="O652">
        <v>0.05</v>
      </c>
      <c r="P652">
        <v>211.18</v>
      </c>
      <c r="Q652" t="s">
        <v>9894</v>
      </c>
      <c r="R652">
        <v>2</v>
      </c>
      <c r="S652" s="5">
        <f t="shared" si="20"/>
        <v>0.2123009490107769</v>
      </c>
      <c r="T652">
        <v>198.94399999999999</v>
      </c>
      <c r="U652">
        <v>4</v>
      </c>
      <c r="V652">
        <v>2022</v>
      </c>
      <c r="W652">
        <v>2</v>
      </c>
      <c r="X652" t="s">
        <v>9899</v>
      </c>
      <c r="Y652" t="s">
        <v>9901</v>
      </c>
      <c r="Z652" t="s">
        <v>9899</v>
      </c>
      <c r="AD652">
        <f t="shared" si="21"/>
        <v>2</v>
      </c>
    </row>
    <row r="653" spans="1:30" x14ac:dyDescent="0.25">
      <c r="A653" t="s">
        <v>677</v>
      </c>
      <c r="B653" s="2">
        <v>45410</v>
      </c>
      <c r="C653" s="2">
        <v>45413</v>
      </c>
      <c r="D653" t="s">
        <v>5391</v>
      </c>
      <c r="E653" t="s">
        <v>5891</v>
      </c>
      <c r="F653" t="s">
        <v>6026</v>
      </c>
      <c r="G653" t="s">
        <v>6030</v>
      </c>
      <c r="H653" t="s">
        <v>6038</v>
      </c>
      <c r="I653" t="s">
        <v>6051</v>
      </c>
      <c r="J653" t="s">
        <v>6055</v>
      </c>
      <c r="K653" t="s">
        <v>6063</v>
      </c>
      <c r="L653" t="s">
        <v>6696</v>
      </c>
      <c r="M653">
        <v>1207.24</v>
      </c>
      <c r="N653">
        <v>6</v>
      </c>
      <c r="O653">
        <v>0.28999999999999998</v>
      </c>
      <c r="P653">
        <v>-64.98</v>
      </c>
      <c r="Q653" t="s">
        <v>9895</v>
      </c>
      <c r="R653">
        <v>3</v>
      </c>
      <c r="S653" s="5">
        <f t="shared" si="20"/>
        <v>-5.3825254299062326E-2</v>
      </c>
      <c r="T653">
        <v>201.20666666666671</v>
      </c>
      <c r="U653">
        <v>4</v>
      </c>
      <c r="V653">
        <v>2024</v>
      </c>
      <c r="W653">
        <v>2</v>
      </c>
      <c r="X653" t="s">
        <v>9898</v>
      </c>
      <c r="Y653" t="s">
        <v>9900</v>
      </c>
      <c r="Z653" t="s">
        <v>9898</v>
      </c>
      <c r="AD653">
        <f t="shared" si="21"/>
        <v>3</v>
      </c>
    </row>
    <row r="654" spans="1:30" x14ac:dyDescent="0.25">
      <c r="A654" t="s">
        <v>678</v>
      </c>
      <c r="B654" s="2">
        <v>45222</v>
      </c>
      <c r="C654" s="2">
        <v>45225</v>
      </c>
      <c r="D654" t="s">
        <v>5392</v>
      </c>
      <c r="E654" t="s">
        <v>5892</v>
      </c>
      <c r="F654" t="s">
        <v>6028</v>
      </c>
      <c r="G654" t="s">
        <v>6029</v>
      </c>
      <c r="H654" t="s">
        <v>6045</v>
      </c>
      <c r="I654" t="s">
        <v>6050</v>
      </c>
      <c r="J654" t="s">
        <v>6055</v>
      </c>
      <c r="K654" t="s">
        <v>6061</v>
      </c>
      <c r="L654" t="s">
        <v>6697</v>
      </c>
      <c r="M654">
        <v>1038.3599999999999</v>
      </c>
      <c r="N654">
        <v>3</v>
      </c>
      <c r="O654">
        <v>0.35</v>
      </c>
      <c r="P654">
        <v>-254.28</v>
      </c>
      <c r="Q654" t="s">
        <v>9896</v>
      </c>
      <c r="R654">
        <v>3</v>
      </c>
      <c r="S654" s="5">
        <f t="shared" si="20"/>
        <v>-0.24488616664740556</v>
      </c>
      <c r="T654">
        <v>346.11999999999989</v>
      </c>
      <c r="U654">
        <v>10</v>
      </c>
      <c r="V654">
        <v>2023</v>
      </c>
      <c r="W654">
        <v>4</v>
      </c>
      <c r="X654" t="s">
        <v>9898</v>
      </c>
      <c r="Y654" t="s">
        <v>9902</v>
      </c>
      <c r="Z654" t="s">
        <v>9898</v>
      </c>
      <c r="AD654">
        <f t="shared" si="21"/>
        <v>3</v>
      </c>
    </row>
    <row r="655" spans="1:30" x14ac:dyDescent="0.25">
      <c r="A655" t="s">
        <v>679</v>
      </c>
      <c r="B655" s="2">
        <v>44869</v>
      </c>
      <c r="C655" s="2">
        <v>44874</v>
      </c>
      <c r="D655" t="s">
        <v>5393</v>
      </c>
      <c r="E655" t="s">
        <v>5893</v>
      </c>
      <c r="F655" t="s">
        <v>6028</v>
      </c>
      <c r="G655" t="s">
        <v>6031</v>
      </c>
      <c r="H655" t="s">
        <v>6037</v>
      </c>
      <c r="I655" t="s">
        <v>6050</v>
      </c>
      <c r="J655" t="s">
        <v>6053</v>
      </c>
      <c r="K655" t="s">
        <v>6058</v>
      </c>
      <c r="L655" t="s">
        <v>6698</v>
      </c>
      <c r="M655">
        <v>1598.14</v>
      </c>
      <c r="N655">
        <v>5</v>
      </c>
      <c r="O655">
        <v>0.05</v>
      </c>
      <c r="P655">
        <v>139.43</v>
      </c>
      <c r="Q655" t="s">
        <v>9896</v>
      </c>
      <c r="R655">
        <v>5</v>
      </c>
      <c r="S655" s="5">
        <f t="shared" si="20"/>
        <v>8.7245172513046421E-2</v>
      </c>
      <c r="T655">
        <v>319.62799999999999</v>
      </c>
      <c r="U655">
        <v>11</v>
      </c>
      <c r="V655">
        <v>2022</v>
      </c>
      <c r="W655">
        <v>4</v>
      </c>
      <c r="X655" t="s">
        <v>9899</v>
      </c>
      <c r="Y655" t="s">
        <v>9901</v>
      </c>
      <c r="Z655" t="s">
        <v>9898</v>
      </c>
      <c r="AD655">
        <f t="shared" si="21"/>
        <v>5</v>
      </c>
    </row>
    <row r="656" spans="1:30" x14ac:dyDescent="0.25">
      <c r="A656" t="s">
        <v>680</v>
      </c>
      <c r="B656" s="2">
        <v>45236</v>
      </c>
      <c r="C656" s="2">
        <v>45239</v>
      </c>
      <c r="D656" t="s">
        <v>5284</v>
      </c>
      <c r="E656" t="s">
        <v>5784</v>
      </c>
      <c r="F656" t="s">
        <v>6028</v>
      </c>
      <c r="G656" t="s">
        <v>6029</v>
      </c>
      <c r="H656" t="s">
        <v>6032</v>
      </c>
      <c r="I656" t="s">
        <v>6050</v>
      </c>
      <c r="J656" t="s">
        <v>6055</v>
      </c>
      <c r="K656" t="s">
        <v>6063</v>
      </c>
      <c r="L656" t="s">
        <v>6699</v>
      </c>
      <c r="M656">
        <v>1927.56</v>
      </c>
      <c r="N656">
        <v>2</v>
      </c>
      <c r="O656">
        <v>0.3</v>
      </c>
      <c r="P656">
        <v>-172.13</v>
      </c>
      <c r="Q656" t="s">
        <v>9894</v>
      </c>
      <c r="R656">
        <v>3</v>
      </c>
      <c r="S656" s="5">
        <f t="shared" si="20"/>
        <v>-8.9299425180020334E-2</v>
      </c>
      <c r="T656">
        <v>963.78</v>
      </c>
      <c r="U656">
        <v>11</v>
      </c>
      <c r="V656">
        <v>2023</v>
      </c>
      <c r="W656">
        <v>4</v>
      </c>
      <c r="X656" t="s">
        <v>9898</v>
      </c>
      <c r="Y656" t="s">
        <v>9900</v>
      </c>
      <c r="Z656" t="s">
        <v>9898</v>
      </c>
      <c r="AD656">
        <f t="shared" si="21"/>
        <v>3</v>
      </c>
    </row>
    <row r="657" spans="1:30" x14ac:dyDescent="0.25">
      <c r="A657" t="s">
        <v>681</v>
      </c>
      <c r="B657" s="2">
        <v>44589</v>
      </c>
      <c r="C657" s="2">
        <v>44592</v>
      </c>
      <c r="D657" t="s">
        <v>5153</v>
      </c>
      <c r="E657" t="s">
        <v>5653</v>
      </c>
      <c r="F657" t="s">
        <v>6026</v>
      </c>
      <c r="G657" t="s">
        <v>6031</v>
      </c>
      <c r="H657" t="s">
        <v>6043</v>
      </c>
      <c r="I657" t="s">
        <v>6052</v>
      </c>
      <c r="J657" t="s">
        <v>6053</v>
      </c>
      <c r="K657" t="s">
        <v>6057</v>
      </c>
      <c r="L657" t="s">
        <v>6700</v>
      </c>
      <c r="M657">
        <v>1130.53</v>
      </c>
      <c r="N657">
        <v>2</v>
      </c>
      <c r="O657">
        <v>0.04</v>
      </c>
      <c r="P657">
        <v>158.57</v>
      </c>
      <c r="Q657" t="s">
        <v>9894</v>
      </c>
      <c r="R657">
        <v>3</v>
      </c>
      <c r="S657" s="5">
        <f t="shared" si="20"/>
        <v>0.14026164719202497</v>
      </c>
      <c r="T657">
        <v>565.26499999999999</v>
      </c>
      <c r="U657">
        <v>1</v>
      </c>
      <c r="V657">
        <v>2022</v>
      </c>
      <c r="W657">
        <v>1</v>
      </c>
      <c r="X657" t="s">
        <v>9899</v>
      </c>
      <c r="Y657" t="s">
        <v>9901</v>
      </c>
      <c r="Z657" t="s">
        <v>9898</v>
      </c>
      <c r="AD657">
        <f t="shared" si="21"/>
        <v>3</v>
      </c>
    </row>
    <row r="658" spans="1:30" x14ac:dyDescent="0.25">
      <c r="A658" t="s">
        <v>682</v>
      </c>
      <c r="B658" s="2">
        <v>44991</v>
      </c>
      <c r="C658" s="2">
        <v>44996</v>
      </c>
      <c r="D658" t="s">
        <v>5394</v>
      </c>
      <c r="E658" t="s">
        <v>5894</v>
      </c>
      <c r="F658" t="s">
        <v>6027</v>
      </c>
      <c r="G658" t="s">
        <v>6029</v>
      </c>
      <c r="H658" t="s">
        <v>6044</v>
      </c>
      <c r="I658" t="s">
        <v>6046</v>
      </c>
      <c r="J658" t="s">
        <v>6054</v>
      </c>
      <c r="K658" t="s">
        <v>6060</v>
      </c>
      <c r="L658" t="s">
        <v>6701</v>
      </c>
      <c r="M658">
        <v>1856.68</v>
      </c>
      <c r="N658">
        <v>2</v>
      </c>
      <c r="O658">
        <v>0.26</v>
      </c>
      <c r="P658">
        <v>-286.52999999999997</v>
      </c>
      <c r="Q658" t="s">
        <v>9894</v>
      </c>
      <c r="R658">
        <v>5</v>
      </c>
      <c r="S658" s="5">
        <f t="shared" si="20"/>
        <v>-0.15432384686644976</v>
      </c>
      <c r="T658">
        <v>928.34</v>
      </c>
      <c r="U658">
        <v>3</v>
      </c>
      <c r="V658">
        <v>2023</v>
      </c>
      <c r="W658">
        <v>1</v>
      </c>
      <c r="X658" t="s">
        <v>9898</v>
      </c>
      <c r="Y658" t="s">
        <v>9900</v>
      </c>
      <c r="Z658" t="s">
        <v>9898</v>
      </c>
      <c r="AD658">
        <f t="shared" si="21"/>
        <v>5</v>
      </c>
    </row>
    <row r="659" spans="1:30" x14ac:dyDescent="0.25">
      <c r="A659" t="s">
        <v>683</v>
      </c>
      <c r="B659" s="2">
        <v>45427</v>
      </c>
      <c r="C659" s="2">
        <v>45434</v>
      </c>
      <c r="D659" t="s">
        <v>5395</v>
      </c>
      <c r="E659" t="s">
        <v>5895</v>
      </c>
      <c r="F659" t="s">
        <v>6028</v>
      </c>
      <c r="G659" t="s">
        <v>6030</v>
      </c>
      <c r="H659" t="s">
        <v>6035</v>
      </c>
      <c r="I659" t="s">
        <v>6051</v>
      </c>
      <c r="J659" t="s">
        <v>6054</v>
      </c>
      <c r="K659" t="s">
        <v>6060</v>
      </c>
      <c r="L659" t="s">
        <v>6702</v>
      </c>
      <c r="M659">
        <v>452.03</v>
      </c>
      <c r="N659">
        <v>6</v>
      </c>
      <c r="O659">
        <v>0.14000000000000001</v>
      </c>
      <c r="P659">
        <v>9.4499999999999993</v>
      </c>
      <c r="Q659" t="s">
        <v>9893</v>
      </c>
      <c r="R659">
        <v>7</v>
      </c>
      <c r="S659" s="5">
        <f t="shared" si="20"/>
        <v>2.0905692100081853E-2</v>
      </c>
      <c r="T659">
        <v>75.338333333333324</v>
      </c>
      <c r="U659">
        <v>5</v>
      </c>
      <c r="V659">
        <v>2024</v>
      </c>
      <c r="W659">
        <v>2</v>
      </c>
      <c r="X659" t="s">
        <v>9899</v>
      </c>
      <c r="Y659" t="s">
        <v>9901</v>
      </c>
      <c r="Z659" t="s">
        <v>9899</v>
      </c>
      <c r="AD659">
        <f t="shared" si="21"/>
        <v>7</v>
      </c>
    </row>
    <row r="660" spans="1:30" x14ac:dyDescent="0.25">
      <c r="A660" t="s">
        <v>684</v>
      </c>
      <c r="B660" s="2">
        <v>45451</v>
      </c>
      <c r="C660" s="2">
        <v>45453</v>
      </c>
      <c r="D660" t="s">
        <v>5257</v>
      </c>
      <c r="E660" t="s">
        <v>5757</v>
      </c>
      <c r="F660" t="s">
        <v>6028</v>
      </c>
      <c r="G660" t="s">
        <v>6030</v>
      </c>
      <c r="H660" t="s">
        <v>6038</v>
      </c>
      <c r="I660" t="s">
        <v>6047</v>
      </c>
      <c r="J660" t="s">
        <v>6055</v>
      </c>
      <c r="K660" t="s">
        <v>6061</v>
      </c>
      <c r="L660" t="s">
        <v>6703</v>
      </c>
      <c r="M660">
        <v>132.6</v>
      </c>
      <c r="N660">
        <v>5</v>
      </c>
      <c r="O660">
        <v>0.27</v>
      </c>
      <c r="P660">
        <v>0.18</v>
      </c>
      <c r="Q660" t="s">
        <v>9895</v>
      </c>
      <c r="R660">
        <v>2</v>
      </c>
      <c r="S660" s="5">
        <f t="shared" si="20"/>
        <v>1.3574660633484162E-3</v>
      </c>
      <c r="T660">
        <v>26.52</v>
      </c>
      <c r="U660">
        <v>6</v>
      </c>
      <c r="V660">
        <v>2024</v>
      </c>
      <c r="W660">
        <v>2</v>
      </c>
      <c r="X660" t="s">
        <v>9899</v>
      </c>
      <c r="Y660" t="s">
        <v>9900</v>
      </c>
      <c r="Z660" t="s">
        <v>9899</v>
      </c>
      <c r="AD660">
        <f t="shared" si="21"/>
        <v>2</v>
      </c>
    </row>
    <row r="661" spans="1:30" x14ac:dyDescent="0.25">
      <c r="A661" t="s">
        <v>685</v>
      </c>
      <c r="B661" s="2">
        <v>44680</v>
      </c>
      <c r="C661" s="2">
        <v>44685</v>
      </c>
      <c r="D661" t="s">
        <v>5396</v>
      </c>
      <c r="E661" t="s">
        <v>5896</v>
      </c>
      <c r="F661" t="s">
        <v>6028</v>
      </c>
      <c r="G661" t="s">
        <v>6030</v>
      </c>
      <c r="H661" t="s">
        <v>6038</v>
      </c>
      <c r="I661" t="s">
        <v>6047</v>
      </c>
      <c r="J661" t="s">
        <v>6055</v>
      </c>
      <c r="K661" t="s">
        <v>6061</v>
      </c>
      <c r="L661" t="s">
        <v>6704</v>
      </c>
      <c r="M661">
        <v>1357.09</v>
      </c>
      <c r="N661">
        <v>4</v>
      </c>
      <c r="O661">
        <v>0.3</v>
      </c>
      <c r="P661">
        <v>-120.98</v>
      </c>
      <c r="Q661" t="s">
        <v>9893</v>
      </c>
      <c r="R661">
        <v>5</v>
      </c>
      <c r="S661" s="5">
        <f t="shared" si="20"/>
        <v>-8.9146629921375897E-2</v>
      </c>
      <c r="T661">
        <v>339.27249999999998</v>
      </c>
      <c r="U661">
        <v>4</v>
      </c>
      <c r="V661">
        <v>2022</v>
      </c>
      <c r="W661">
        <v>2</v>
      </c>
      <c r="X661" t="s">
        <v>9898</v>
      </c>
      <c r="Y661" t="s">
        <v>9900</v>
      </c>
      <c r="Z661" t="s">
        <v>9898</v>
      </c>
      <c r="AD661">
        <f t="shared" si="21"/>
        <v>5</v>
      </c>
    </row>
    <row r="662" spans="1:30" x14ac:dyDescent="0.25">
      <c r="A662" t="s">
        <v>686</v>
      </c>
      <c r="B662" s="2">
        <v>45079</v>
      </c>
      <c r="C662" s="2">
        <v>45086</v>
      </c>
      <c r="D662" t="s">
        <v>5397</v>
      </c>
      <c r="E662" t="s">
        <v>5897</v>
      </c>
      <c r="F662" t="s">
        <v>6027</v>
      </c>
      <c r="G662" t="s">
        <v>6031</v>
      </c>
      <c r="H662" t="s">
        <v>6040</v>
      </c>
      <c r="I662" t="s">
        <v>6050</v>
      </c>
      <c r="J662" t="s">
        <v>6054</v>
      </c>
      <c r="K662" t="s">
        <v>6060</v>
      </c>
      <c r="L662" t="s">
        <v>6705</v>
      </c>
      <c r="M662">
        <v>842.83</v>
      </c>
      <c r="N662">
        <v>5</v>
      </c>
      <c r="O662">
        <v>0.11</v>
      </c>
      <c r="P662">
        <v>18.97</v>
      </c>
      <c r="Q662" t="s">
        <v>9894</v>
      </c>
      <c r="R662">
        <v>7</v>
      </c>
      <c r="S662" s="5">
        <f t="shared" si="20"/>
        <v>2.2507504478957795E-2</v>
      </c>
      <c r="T662">
        <v>168.566</v>
      </c>
      <c r="U662">
        <v>6</v>
      </c>
      <c r="V662">
        <v>2023</v>
      </c>
      <c r="W662">
        <v>2</v>
      </c>
      <c r="X662" t="s">
        <v>9899</v>
      </c>
      <c r="Y662" t="s">
        <v>9901</v>
      </c>
      <c r="Z662" t="s">
        <v>9899</v>
      </c>
      <c r="AD662">
        <f t="shared" si="21"/>
        <v>7</v>
      </c>
    </row>
    <row r="663" spans="1:30" x14ac:dyDescent="0.25">
      <c r="A663" t="s">
        <v>687</v>
      </c>
      <c r="B663" s="2">
        <v>45374</v>
      </c>
      <c r="C663" s="2">
        <v>45379</v>
      </c>
      <c r="D663" t="s">
        <v>5256</v>
      </c>
      <c r="E663" t="s">
        <v>5756</v>
      </c>
      <c r="F663" t="s">
        <v>6028</v>
      </c>
      <c r="G663" t="s">
        <v>6031</v>
      </c>
      <c r="H663" t="s">
        <v>6037</v>
      </c>
      <c r="I663" t="s">
        <v>6050</v>
      </c>
      <c r="J663" t="s">
        <v>6055</v>
      </c>
      <c r="K663" t="s">
        <v>6064</v>
      </c>
      <c r="L663" t="s">
        <v>6706</v>
      </c>
      <c r="M663">
        <v>573.09</v>
      </c>
      <c r="N663">
        <v>6</v>
      </c>
      <c r="O663">
        <v>0.24</v>
      </c>
      <c r="P663">
        <v>32.57</v>
      </c>
      <c r="Q663" t="s">
        <v>9896</v>
      </c>
      <c r="R663">
        <v>5</v>
      </c>
      <c r="S663" s="5">
        <f t="shared" si="20"/>
        <v>5.683226020345844E-2</v>
      </c>
      <c r="T663">
        <v>95.515000000000001</v>
      </c>
      <c r="U663">
        <v>3</v>
      </c>
      <c r="V663">
        <v>2024</v>
      </c>
      <c r="W663">
        <v>1</v>
      </c>
      <c r="X663" t="s">
        <v>9899</v>
      </c>
      <c r="Y663" t="s">
        <v>9900</v>
      </c>
      <c r="Z663" t="s">
        <v>9899</v>
      </c>
      <c r="AD663">
        <f t="shared" si="21"/>
        <v>5</v>
      </c>
    </row>
    <row r="664" spans="1:30" x14ac:dyDescent="0.25">
      <c r="A664" t="s">
        <v>688</v>
      </c>
      <c r="B664" s="2">
        <v>45449</v>
      </c>
      <c r="C664" s="2">
        <v>45455</v>
      </c>
      <c r="D664" t="s">
        <v>5398</v>
      </c>
      <c r="E664" t="s">
        <v>5898</v>
      </c>
      <c r="F664" t="s">
        <v>6026</v>
      </c>
      <c r="G664" t="s">
        <v>6030</v>
      </c>
      <c r="H664" t="s">
        <v>6033</v>
      </c>
      <c r="I664" t="s">
        <v>6047</v>
      </c>
      <c r="J664" t="s">
        <v>6055</v>
      </c>
      <c r="K664" t="s">
        <v>6064</v>
      </c>
      <c r="L664" t="s">
        <v>6707</v>
      </c>
      <c r="M664">
        <v>571.85</v>
      </c>
      <c r="N664">
        <v>5</v>
      </c>
      <c r="O664">
        <v>0.02</v>
      </c>
      <c r="P664">
        <v>59.72</v>
      </c>
      <c r="Q664" t="s">
        <v>9893</v>
      </c>
      <c r="R664">
        <v>6</v>
      </c>
      <c r="S664" s="5">
        <f t="shared" si="20"/>
        <v>0.10443298067675089</v>
      </c>
      <c r="T664">
        <v>114.37</v>
      </c>
      <c r="U664">
        <v>6</v>
      </c>
      <c r="V664">
        <v>2024</v>
      </c>
      <c r="W664">
        <v>2</v>
      </c>
      <c r="X664" t="s">
        <v>9899</v>
      </c>
      <c r="Y664" t="s">
        <v>9901</v>
      </c>
      <c r="Z664" t="s">
        <v>9899</v>
      </c>
      <c r="AD664">
        <f t="shared" si="21"/>
        <v>6</v>
      </c>
    </row>
    <row r="665" spans="1:30" x14ac:dyDescent="0.25">
      <c r="A665" t="s">
        <v>689</v>
      </c>
      <c r="B665" s="2">
        <v>45430</v>
      </c>
      <c r="C665" s="2">
        <v>45436</v>
      </c>
      <c r="D665" t="s">
        <v>5096</v>
      </c>
      <c r="E665" t="s">
        <v>5596</v>
      </c>
      <c r="F665" t="s">
        <v>6026</v>
      </c>
      <c r="G665" t="s">
        <v>6029</v>
      </c>
      <c r="H665" t="s">
        <v>6032</v>
      </c>
      <c r="I665" t="s">
        <v>6050</v>
      </c>
      <c r="J665" t="s">
        <v>6053</v>
      </c>
      <c r="K665" t="s">
        <v>6058</v>
      </c>
      <c r="L665" t="s">
        <v>6708</v>
      </c>
      <c r="M665">
        <v>979.44</v>
      </c>
      <c r="N665">
        <v>4</v>
      </c>
      <c r="O665">
        <v>0.28000000000000003</v>
      </c>
      <c r="P665">
        <v>-155.57</v>
      </c>
      <c r="Q665" t="s">
        <v>9896</v>
      </c>
      <c r="R665">
        <v>6</v>
      </c>
      <c r="S665" s="5">
        <f t="shared" si="20"/>
        <v>-0.15883566119415174</v>
      </c>
      <c r="T665">
        <v>244.86</v>
      </c>
      <c r="U665">
        <v>5</v>
      </c>
      <c r="V665">
        <v>2024</v>
      </c>
      <c r="W665">
        <v>2</v>
      </c>
      <c r="X665" t="s">
        <v>9898</v>
      </c>
      <c r="Y665" t="s">
        <v>9900</v>
      </c>
      <c r="Z665" t="s">
        <v>9899</v>
      </c>
      <c r="AD665">
        <f t="shared" si="21"/>
        <v>6</v>
      </c>
    </row>
    <row r="666" spans="1:30" x14ac:dyDescent="0.25">
      <c r="A666" t="s">
        <v>690</v>
      </c>
      <c r="B666" s="2">
        <v>44691</v>
      </c>
      <c r="C666" s="2">
        <v>44694</v>
      </c>
      <c r="D666" t="s">
        <v>5304</v>
      </c>
      <c r="E666" t="s">
        <v>5804</v>
      </c>
      <c r="F666" t="s">
        <v>6027</v>
      </c>
      <c r="G666" t="s">
        <v>6031</v>
      </c>
      <c r="H666" t="s">
        <v>6042</v>
      </c>
      <c r="I666" t="s">
        <v>6048</v>
      </c>
      <c r="J666" t="s">
        <v>6054</v>
      </c>
      <c r="K666" t="s">
        <v>6062</v>
      </c>
      <c r="L666" t="s">
        <v>6709</v>
      </c>
      <c r="M666">
        <v>129.74</v>
      </c>
      <c r="N666">
        <v>8</v>
      </c>
      <c r="O666">
        <v>0.02</v>
      </c>
      <c r="P666">
        <v>36.04</v>
      </c>
      <c r="Q666" t="s">
        <v>9897</v>
      </c>
      <c r="R666">
        <v>3</v>
      </c>
      <c r="S666" s="5">
        <f t="shared" si="20"/>
        <v>0.27778634191459839</v>
      </c>
      <c r="T666">
        <v>16.217500000000001</v>
      </c>
      <c r="U666">
        <v>5</v>
      </c>
      <c r="V666">
        <v>2022</v>
      </c>
      <c r="W666">
        <v>2</v>
      </c>
      <c r="X666" t="s">
        <v>9899</v>
      </c>
      <c r="Y666" t="s">
        <v>9901</v>
      </c>
      <c r="Z666" t="s">
        <v>9899</v>
      </c>
      <c r="AD666">
        <f t="shared" si="21"/>
        <v>3</v>
      </c>
    </row>
    <row r="667" spans="1:30" x14ac:dyDescent="0.25">
      <c r="A667" t="s">
        <v>691</v>
      </c>
      <c r="B667" s="2">
        <v>45244</v>
      </c>
      <c r="C667" s="2">
        <v>45245</v>
      </c>
      <c r="D667" t="s">
        <v>5399</v>
      </c>
      <c r="E667" t="s">
        <v>5899</v>
      </c>
      <c r="F667" t="s">
        <v>6027</v>
      </c>
      <c r="G667" t="s">
        <v>6031</v>
      </c>
      <c r="H667" t="s">
        <v>6037</v>
      </c>
      <c r="I667" t="s">
        <v>6052</v>
      </c>
      <c r="J667" t="s">
        <v>6054</v>
      </c>
      <c r="K667" t="s">
        <v>6059</v>
      </c>
      <c r="L667" t="s">
        <v>6710</v>
      </c>
      <c r="M667">
        <v>768.51</v>
      </c>
      <c r="N667">
        <v>1</v>
      </c>
      <c r="O667">
        <v>0.02</v>
      </c>
      <c r="P667">
        <v>148.85</v>
      </c>
      <c r="Q667" t="s">
        <v>9895</v>
      </c>
      <c r="R667">
        <v>1</v>
      </c>
      <c r="S667" s="5">
        <f t="shared" si="20"/>
        <v>0.19368648423572887</v>
      </c>
      <c r="T667">
        <v>768.51</v>
      </c>
      <c r="U667">
        <v>11</v>
      </c>
      <c r="V667">
        <v>2023</v>
      </c>
      <c r="W667">
        <v>4</v>
      </c>
      <c r="X667" t="s">
        <v>9899</v>
      </c>
      <c r="Y667" t="s">
        <v>9901</v>
      </c>
      <c r="Z667" t="s">
        <v>9899</v>
      </c>
      <c r="AD667">
        <f t="shared" si="21"/>
        <v>1</v>
      </c>
    </row>
    <row r="668" spans="1:30" x14ac:dyDescent="0.25">
      <c r="A668" t="s">
        <v>692</v>
      </c>
      <c r="B668" s="2">
        <v>45438</v>
      </c>
      <c r="C668" s="2">
        <v>45443</v>
      </c>
      <c r="D668" t="s">
        <v>5395</v>
      </c>
      <c r="E668" t="s">
        <v>5895</v>
      </c>
      <c r="F668" t="s">
        <v>6028</v>
      </c>
      <c r="G668" t="s">
        <v>6030</v>
      </c>
      <c r="H668" t="s">
        <v>6038</v>
      </c>
      <c r="I668" t="s">
        <v>6047</v>
      </c>
      <c r="J668" t="s">
        <v>6054</v>
      </c>
      <c r="K668" t="s">
        <v>6062</v>
      </c>
      <c r="L668" t="s">
        <v>6711</v>
      </c>
      <c r="M668">
        <v>1306.56</v>
      </c>
      <c r="N668">
        <v>3</v>
      </c>
      <c r="O668">
        <v>0.24</v>
      </c>
      <c r="P668">
        <v>77.12</v>
      </c>
      <c r="Q668" t="s">
        <v>9895</v>
      </c>
      <c r="R668">
        <v>5</v>
      </c>
      <c r="S668" s="5">
        <f t="shared" si="20"/>
        <v>5.9025226549106052E-2</v>
      </c>
      <c r="T668">
        <v>435.52</v>
      </c>
      <c r="U668">
        <v>5</v>
      </c>
      <c r="V668">
        <v>2024</v>
      </c>
      <c r="W668">
        <v>2</v>
      </c>
      <c r="X668" t="s">
        <v>9899</v>
      </c>
      <c r="Y668" t="s">
        <v>9900</v>
      </c>
      <c r="Z668" t="s">
        <v>9898</v>
      </c>
      <c r="AD668">
        <f t="shared" si="21"/>
        <v>5</v>
      </c>
    </row>
    <row r="669" spans="1:30" x14ac:dyDescent="0.25">
      <c r="A669" t="s">
        <v>693</v>
      </c>
      <c r="B669" s="2">
        <v>45003</v>
      </c>
      <c r="C669" s="2">
        <v>45007</v>
      </c>
      <c r="D669" t="s">
        <v>5202</v>
      </c>
      <c r="E669" t="s">
        <v>5702</v>
      </c>
      <c r="F669" t="s">
        <v>6027</v>
      </c>
      <c r="G669" t="s">
        <v>6031</v>
      </c>
      <c r="H669" t="s">
        <v>6034</v>
      </c>
      <c r="I669" t="s">
        <v>6052</v>
      </c>
      <c r="J669" t="s">
        <v>6053</v>
      </c>
      <c r="K669" t="s">
        <v>6057</v>
      </c>
      <c r="L669" t="s">
        <v>6712</v>
      </c>
      <c r="M669">
        <v>1677.79</v>
      </c>
      <c r="N669">
        <v>4</v>
      </c>
      <c r="O669">
        <v>0.05</v>
      </c>
      <c r="P669">
        <v>368.15</v>
      </c>
      <c r="Q669" t="s">
        <v>9896</v>
      </c>
      <c r="R669">
        <v>4</v>
      </c>
      <c r="S669" s="5">
        <f t="shared" si="20"/>
        <v>0.2194255538535812</v>
      </c>
      <c r="T669">
        <v>419.44749999999999</v>
      </c>
      <c r="U669">
        <v>3</v>
      </c>
      <c r="V669">
        <v>2023</v>
      </c>
      <c r="W669">
        <v>1</v>
      </c>
      <c r="X669" t="s">
        <v>9899</v>
      </c>
      <c r="Y669" t="s">
        <v>9901</v>
      </c>
      <c r="Z669" t="s">
        <v>9898</v>
      </c>
      <c r="AD669">
        <f t="shared" si="21"/>
        <v>4</v>
      </c>
    </row>
    <row r="670" spans="1:30" x14ac:dyDescent="0.25">
      <c r="A670" t="s">
        <v>694</v>
      </c>
      <c r="B670" s="2">
        <v>45019</v>
      </c>
      <c r="C670" s="2">
        <v>45022</v>
      </c>
      <c r="D670" t="s">
        <v>5192</v>
      </c>
      <c r="E670" t="s">
        <v>5692</v>
      </c>
      <c r="F670" t="s">
        <v>6027</v>
      </c>
      <c r="G670" t="s">
        <v>6031</v>
      </c>
      <c r="H670" t="s">
        <v>6042</v>
      </c>
      <c r="I670" t="s">
        <v>6048</v>
      </c>
      <c r="J670" t="s">
        <v>6055</v>
      </c>
      <c r="K670" t="s">
        <v>6064</v>
      </c>
      <c r="L670" t="s">
        <v>6713</v>
      </c>
      <c r="M670">
        <v>1986.49</v>
      </c>
      <c r="N670">
        <v>2</v>
      </c>
      <c r="O670">
        <v>0.12</v>
      </c>
      <c r="P670">
        <v>104.63</v>
      </c>
      <c r="Q670" t="s">
        <v>9895</v>
      </c>
      <c r="R670">
        <v>3</v>
      </c>
      <c r="S670" s="5">
        <f t="shared" si="20"/>
        <v>5.2670791194518972E-2</v>
      </c>
      <c r="T670">
        <v>993.245</v>
      </c>
      <c r="U670">
        <v>4</v>
      </c>
      <c r="V670">
        <v>2023</v>
      </c>
      <c r="W670">
        <v>2</v>
      </c>
      <c r="X670" t="s">
        <v>9899</v>
      </c>
      <c r="Y670" t="s">
        <v>9901</v>
      </c>
      <c r="Z670" t="s">
        <v>9898</v>
      </c>
      <c r="AD670">
        <f t="shared" si="21"/>
        <v>3</v>
      </c>
    </row>
    <row r="671" spans="1:30" x14ac:dyDescent="0.25">
      <c r="A671" t="s">
        <v>695</v>
      </c>
      <c r="B671" s="2">
        <v>45321</v>
      </c>
      <c r="C671" s="2">
        <v>45325</v>
      </c>
      <c r="D671" t="s">
        <v>5318</v>
      </c>
      <c r="E671" t="s">
        <v>5818</v>
      </c>
      <c r="F671" t="s">
        <v>6028</v>
      </c>
      <c r="G671" t="s">
        <v>6031</v>
      </c>
      <c r="H671" t="s">
        <v>6043</v>
      </c>
      <c r="I671" t="s">
        <v>6050</v>
      </c>
      <c r="J671" t="s">
        <v>6053</v>
      </c>
      <c r="K671" t="s">
        <v>6056</v>
      </c>
      <c r="L671" t="s">
        <v>6714</v>
      </c>
      <c r="M671">
        <v>404.88</v>
      </c>
      <c r="N671">
        <v>1</v>
      </c>
      <c r="O671">
        <v>0.06</v>
      </c>
      <c r="P671">
        <v>60.29</v>
      </c>
      <c r="Q671" t="s">
        <v>9896</v>
      </c>
      <c r="R671">
        <v>4</v>
      </c>
      <c r="S671" s="5">
        <f t="shared" si="20"/>
        <v>0.14890831851412764</v>
      </c>
      <c r="T671">
        <v>404.88</v>
      </c>
      <c r="U671">
        <v>1</v>
      </c>
      <c r="V671">
        <v>2024</v>
      </c>
      <c r="W671">
        <v>1</v>
      </c>
      <c r="X671" t="s">
        <v>9899</v>
      </c>
      <c r="Y671" t="s">
        <v>9901</v>
      </c>
      <c r="Z671" t="s">
        <v>9899</v>
      </c>
      <c r="AD671">
        <f t="shared" si="21"/>
        <v>4</v>
      </c>
    </row>
    <row r="672" spans="1:30" x14ac:dyDescent="0.25">
      <c r="A672" t="s">
        <v>696</v>
      </c>
      <c r="B672" s="2">
        <v>44662</v>
      </c>
      <c r="C672" s="2">
        <v>44663</v>
      </c>
      <c r="D672" t="s">
        <v>5400</v>
      </c>
      <c r="E672" t="s">
        <v>5900</v>
      </c>
      <c r="F672" t="s">
        <v>6026</v>
      </c>
      <c r="G672" t="s">
        <v>6029</v>
      </c>
      <c r="H672" t="s">
        <v>6044</v>
      </c>
      <c r="I672" t="s">
        <v>6046</v>
      </c>
      <c r="J672" t="s">
        <v>6053</v>
      </c>
      <c r="K672" t="s">
        <v>6057</v>
      </c>
      <c r="L672" t="s">
        <v>6715</v>
      </c>
      <c r="M672">
        <v>191.47</v>
      </c>
      <c r="N672">
        <v>7</v>
      </c>
      <c r="O672">
        <v>0</v>
      </c>
      <c r="P672">
        <v>35.44</v>
      </c>
      <c r="Q672" t="s">
        <v>9893</v>
      </c>
      <c r="R672">
        <v>1</v>
      </c>
      <c r="S672" s="5">
        <f t="shared" si="20"/>
        <v>0.18509427064292056</v>
      </c>
      <c r="T672">
        <v>27.35285714285714</v>
      </c>
      <c r="U672">
        <v>4</v>
      </c>
      <c r="V672">
        <v>2022</v>
      </c>
      <c r="W672">
        <v>2</v>
      </c>
      <c r="X672" t="s">
        <v>9899</v>
      </c>
      <c r="Y672" t="s">
        <v>9901</v>
      </c>
      <c r="Z672" t="s">
        <v>9899</v>
      </c>
      <c r="AD672">
        <f t="shared" si="21"/>
        <v>1</v>
      </c>
    </row>
    <row r="673" spans="1:30" x14ac:dyDescent="0.25">
      <c r="A673" t="s">
        <v>697</v>
      </c>
      <c r="B673" s="2">
        <v>44665</v>
      </c>
      <c r="C673" s="2">
        <v>44672</v>
      </c>
      <c r="D673" t="s">
        <v>5401</v>
      </c>
      <c r="E673" t="s">
        <v>5901</v>
      </c>
      <c r="F673" t="s">
        <v>6028</v>
      </c>
      <c r="G673" t="s">
        <v>6031</v>
      </c>
      <c r="H673" t="s">
        <v>6043</v>
      </c>
      <c r="I673" t="s">
        <v>6048</v>
      </c>
      <c r="J673" t="s">
        <v>6055</v>
      </c>
      <c r="K673" t="s">
        <v>6061</v>
      </c>
      <c r="L673" t="s">
        <v>6716</v>
      </c>
      <c r="M673">
        <v>1570.54</v>
      </c>
      <c r="N673">
        <v>6</v>
      </c>
      <c r="O673">
        <v>0.14000000000000001</v>
      </c>
      <c r="P673">
        <v>195.48</v>
      </c>
      <c r="Q673" t="s">
        <v>9895</v>
      </c>
      <c r="R673">
        <v>7</v>
      </c>
      <c r="S673" s="5">
        <f t="shared" si="20"/>
        <v>0.12446674392247252</v>
      </c>
      <c r="T673">
        <v>261.75666666666672</v>
      </c>
      <c r="U673">
        <v>4</v>
      </c>
      <c r="V673">
        <v>2022</v>
      </c>
      <c r="W673">
        <v>2</v>
      </c>
      <c r="X673" t="s">
        <v>9899</v>
      </c>
      <c r="Y673" t="s">
        <v>9901</v>
      </c>
      <c r="Z673" t="s">
        <v>9898</v>
      </c>
      <c r="AD673">
        <f t="shared" si="21"/>
        <v>7</v>
      </c>
    </row>
    <row r="674" spans="1:30" x14ac:dyDescent="0.25">
      <c r="A674" t="s">
        <v>698</v>
      </c>
      <c r="B674" s="2">
        <v>45383</v>
      </c>
      <c r="C674" s="2">
        <v>45385</v>
      </c>
      <c r="D674" t="s">
        <v>5249</v>
      </c>
      <c r="E674" t="s">
        <v>5749</v>
      </c>
      <c r="F674" t="s">
        <v>6026</v>
      </c>
      <c r="G674" t="s">
        <v>6030</v>
      </c>
      <c r="H674" t="s">
        <v>6038</v>
      </c>
      <c r="I674" t="s">
        <v>6047</v>
      </c>
      <c r="J674" t="s">
        <v>6055</v>
      </c>
      <c r="K674" t="s">
        <v>6064</v>
      </c>
      <c r="L674" t="s">
        <v>6717</v>
      </c>
      <c r="M674">
        <v>1237.29</v>
      </c>
      <c r="N674">
        <v>5</v>
      </c>
      <c r="O674">
        <v>0.31</v>
      </c>
      <c r="P674">
        <v>-95.27</v>
      </c>
      <c r="Q674" t="s">
        <v>9894</v>
      </c>
      <c r="R674">
        <v>2</v>
      </c>
      <c r="S674" s="5">
        <f t="shared" si="20"/>
        <v>-7.6998925070112911E-2</v>
      </c>
      <c r="T674">
        <v>247.458</v>
      </c>
      <c r="U674">
        <v>4</v>
      </c>
      <c r="V674">
        <v>2024</v>
      </c>
      <c r="W674">
        <v>2</v>
      </c>
      <c r="X674" t="s">
        <v>9898</v>
      </c>
      <c r="Y674" t="s">
        <v>9902</v>
      </c>
      <c r="Z674" t="s">
        <v>9898</v>
      </c>
      <c r="AD674">
        <f t="shared" si="21"/>
        <v>2</v>
      </c>
    </row>
    <row r="675" spans="1:30" x14ac:dyDescent="0.25">
      <c r="A675" t="s">
        <v>699</v>
      </c>
      <c r="B675" s="2">
        <v>45155</v>
      </c>
      <c r="C675" s="2">
        <v>45160</v>
      </c>
      <c r="D675" t="s">
        <v>5139</v>
      </c>
      <c r="E675" t="s">
        <v>5639</v>
      </c>
      <c r="F675" t="s">
        <v>6026</v>
      </c>
      <c r="G675" t="s">
        <v>6030</v>
      </c>
      <c r="H675" t="s">
        <v>6038</v>
      </c>
      <c r="I675" t="s">
        <v>6051</v>
      </c>
      <c r="J675" t="s">
        <v>6054</v>
      </c>
      <c r="K675" t="s">
        <v>6060</v>
      </c>
      <c r="L675" t="s">
        <v>6718</v>
      </c>
      <c r="M675">
        <v>704.68</v>
      </c>
      <c r="N675">
        <v>1</v>
      </c>
      <c r="O675">
        <v>0.16</v>
      </c>
      <c r="P675">
        <v>13.94</v>
      </c>
      <c r="Q675" t="s">
        <v>9896</v>
      </c>
      <c r="R675">
        <v>5</v>
      </c>
      <c r="S675" s="5">
        <f t="shared" si="20"/>
        <v>1.9782028722256911E-2</v>
      </c>
      <c r="T675">
        <v>704.68</v>
      </c>
      <c r="U675">
        <v>8</v>
      </c>
      <c r="V675">
        <v>2023</v>
      </c>
      <c r="W675">
        <v>3</v>
      </c>
      <c r="X675" t="s">
        <v>9899</v>
      </c>
      <c r="Y675" t="s">
        <v>9900</v>
      </c>
      <c r="Z675" t="s">
        <v>9899</v>
      </c>
      <c r="AD675">
        <f t="shared" si="21"/>
        <v>5</v>
      </c>
    </row>
    <row r="676" spans="1:30" x14ac:dyDescent="0.25">
      <c r="A676" t="s">
        <v>700</v>
      </c>
      <c r="B676" s="2">
        <v>45352</v>
      </c>
      <c r="C676" s="2">
        <v>45357</v>
      </c>
      <c r="D676" t="s">
        <v>5264</v>
      </c>
      <c r="E676" t="s">
        <v>5764</v>
      </c>
      <c r="F676" t="s">
        <v>6028</v>
      </c>
      <c r="G676" t="s">
        <v>6030</v>
      </c>
      <c r="H676" t="s">
        <v>6033</v>
      </c>
      <c r="I676" t="s">
        <v>6051</v>
      </c>
      <c r="J676" t="s">
        <v>6055</v>
      </c>
      <c r="K676" t="s">
        <v>6063</v>
      </c>
      <c r="L676" t="s">
        <v>6719</v>
      </c>
      <c r="M676">
        <v>1464.05</v>
      </c>
      <c r="N676">
        <v>3</v>
      </c>
      <c r="O676">
        <v>0.1</v>
      </c>
      <c r="P676">
        <v>41.47</v>
      </c>
      <c r="Q676" t="s">
        <v>9897</v>
      </c>
      <c r="R676">
        <v>5</v>
      </c>
      <c r="S676" s="5">
        <f t="shared" si="20"/>
        <v>2.8325535330077523E-2</v>
      </c>
      <c r="T676">
        <v>488.01666666666671</v>
      </c>
      <c r="U676">
        <v>3</v>
      </c>
      <c r="V676">
        <v>2024</v>
      </c>
      <c r="W676">
        <v>1</v>
      </c>
      <c r="X676" t="s">
        <v>9899</v>
      </c>
      <c r="Y676" t="s">
        <v>9901</v>
      </c>
      <c r="Z676" t="s">
        <v>9898</v>
      </c>
      <c r="AD676">
        <f t="shared" si="21"/>
        <v>5</v>
      </c>
    </row>
    <row r="677" spans="1:30" x14ac:dyDescent="0.25">
      <c r="A677" t="s">
        <v>701</v>
      </c>
      <c r="B677" s="2">
        <v>45426</v>
      </c>
      <c r="C677" s="2">
        <v>45427</v>
      </c>
      <c r="D677" t="s">
        <v>5281</v>
      </c>
      <c r="E677" t="s">
        <v>5781</v>
      </c>
      <c r="F677" t="s">
        <v>6026</v>
      </c>
      <c r="G677" t="s">
        <v>6031</v>
      </c>
      <c r="H677" t="s">
        <v>6042</v>
      </c>
      <c r="I677" t="s">
        <v>6052</v>
      </c>
      <c r="J677" t="s">
        <v>6055</v>
      </c>
      <c r="K677" t="s">
        <v>6064</v>
      </c>
      <c r="L677" t="s">
        <v>6594</v>
      </c>
      <c r="M677">
        <v>1059.8800000000001</v>
      </c>
      <c r="N677">
        <v>8</v>
      </c>
      <c r="O677">
        <v>0.17</v>
      </c>
      <c r="P677">
        <v>77.760000000000005</v>
      </c>
      <c r="Q677" t="s">
        <v>9894</v>
      </c>
      <c r="R677">
        <v>1</v>
      </c>
      <c r="S677" s="5">
        <f t="shared" si="20"/>
        <v>7.3366796241083887E-2</v>
      </c>
      <c r="T677">
        <v>132.48500000000001</v>
      </c>
      <c r="U677">
        <v>5</v>
      </c>
      <c r="V677">
        <v>2024</v>
      </c>
      <c r="W677">
        <v>2</v>
      </c>
      <c r="X677" t="s">
        <v>9899</v>
      </c>
      <c r="Y677" t="s">
        <v>9900</v>
      </c>
      <c r="Z677" t="s">
        <v>9898</v>
      </c>
      <c r="AD677">
        <f t="shared" si="21"/>
        <v>1</v>
      </c>
    </row>
    <row r="678" spans="1:30" x14ac:dyDescent="0.25">
      <c r="A678" t="s">
        <v>702</v>
      </c>
      <c r="B678" s="2">
        <v>45255</v>
      </c>
      <c r="C678" s="2">
        <v>45262</v>
      </c>
      <c r="D678" t="s">
        <v>5233</v>
      </c>
      <c r="E678" t="s">
        <v>5733</v>
      </c>
      <c r="F678" t="s">
        <v>6028</v>
      </c>
      <c r="G678" t="s">
        <v>6030</v>
      </c>
      <c r="H678" t="s">
        <v>6039</v>
      </c>
      <c r="I678" t="s">
        <v>6047</v>
      </c>
      <c r="J678" t="s">
        <v>6055</v>
      </c>
      <c r="K678" t="s">
        <v>6061</v>
      </c>
      <c r="L678" t="s">
        <v>6720</v>
      </c>
      <c r="M678">
        <v>1208.44</v>
      </c>
      <c r="N678">
        <v>5</v>
      </c>
      <c r="O678">
        <v>7.0000000000000007E-2</v>
      </c>
      <c r="P678">
        <v>227.14</v>
      </c>
      <c r="Q678" t="s">
        <v>9896</v>
      </c>
      <c r="R678">
        <v>7</v>
      </c>
      <c r="S678" s="5">
        <f t="shared" si="20"/>
        <v>0.18796133858528349</v>
      </c>
      <c r="T678">
        <v>241.68799999999999</v>
      </c>
      <c r="U678">
        <v>11</v>
      </c>
      <c r="V678">
        <v>2023</v>
      </c>
      <c r="W678">
        <v>4</v>
      </c>
      <c r="X678" t="s">
        <v>9899</v>
      </c>
      <c r="Y678" t="s">
        <v>9901</v>
      </c>
      <c r="Z678" t="s">
        <v>9898</v>
      </c>
      <c r="AD678">
        <f t="shared" si="21"/>
        <v>7</v>
      </c>
    </row>
    <row r="679" spans="1:30" x14ac:dyDescent="0.25">
      <c r="A679" t="s">
        <v>703</v>
      </c>
      <c r="B679" s="2">
        <v>44915</v>
      </c>
      <c r="C679" s="2">
        <v>44919</v>
      </c>
      <c r="D679" t="s">
        <v>5228</v>
      </c>
      <c r="E679" t="s">
        <v>5728</v>
      </c>
      <c r="F679" t="s">
        <v>6028</v>
      </c>
      <c r="G679" t="s">
        <v>6029</v>
      </c>
      <c r="H679" t="s">
        <v>6045</v>
      </c>
      <c r="I679" t="s">
        <v>6050</v>
      </c>
      <c r="J679" t="s">
        <v>6053</v>
      </c>
      <c r="K679" t="s">
        <v>6058</v>
      </c>
      <c r="L679" t="s">
        <v>6721</v>
      </c>
      <c r="M679">
        <v>548.26</v>
      </c>
      <c r="N679">
        <v>5</v>
      </c>
      <c r="O679">
        <v>0.27</v>
      </c>
      <c r="P679">
        <v>9.9499999999999993</v>
      </c>
      <c r="Q679" t="s">
        <v>9893</v>
      </c>
      <c r="R679">
        <v>4</v>
      </c>
      <c r="S679" s="5">
        <f t="shared" si="20"/>
        <v>1.8148323787983801E-2</v>
      </c>
      <c r="T679">
        <v>109.652</v>
      </c>
      <c r="U679">
        <v>12</v>
      </c>
      <c r="V679">
        <v>2022</v>
      </c>
      <c r="W679">
        <v>4</v>
      </c>
      <c r="X679" t="s">
        <v>9899</v>
      </c>
      <c r="Y679" t="s">
        <v>9900</v>
      </c>
      <c r="Z679" t="s">
        <v>9899</v>
      </c>
      <c r="AD679">
        <f t="shared" si="21"/>
        <v>4</v>
      </c>
    </row>
    <row r="680" spans="1:30" x14ac:dyDescent="0.25">
      <c r="A680" t="s">
        <v>704</v>
      </c>
      <c r="B680" s="2">
        <v>44975</v>
      </c>
      <c r="C680" s="2">
        <v>44979</v>
      </c>
      <c r="D680" t="s">
        <v>5291</v>
      </c>
      <c r="E680" t="s">
        <v>5791</v>
      </c>
      <c r="F680" t="s">
        <v>6027</v>
      </c>
      <c r="G680" t="s">
        <v>6031</v>
      </c>
      <c r="H680" t="s">
        <v>6042</v>
      </c>
      <c r="I680" t="s">
        <v>6050</v>
      </c>
      <c r="J680" t="s">
        <v>6053</v>
      </c>
      <c r="K680" t="s">
        <v>6056</v>
      </c>
      <c r="L680" t="s">
        <v>6722</v>
      </c>
      <c r="M680">
        <v>1830</v>
      </c>
      <c r="N680">
        <v>1</v>
      </c>
      <c r="O680">
        <v>0.05</v>
      </c>
      <c r="P680">
        <v>271.56</v>
      </c>
      <c r="Q680" t="s">
        <v>9893</v>
      </c>
      <c r="R680">
        <v>4</v>
      </c>
      <c r="S680" s="5">
        <f t="shared" si="20"/>
        <v>0.14839344262295082</v>
      </c>
      <c r="T680">
        <v>1830</v>
      </c>
      <c r="U680">
        <v>2</v>
      </c>
      <c r="V680">
        <v>2023</v>
      </c>
      <c r="W680">
        <v>1</v>
      </c>
      <c r="X680" t="s">
        <v>9899</v>
      </c>
      <c r="Y680" t="s">
        <v>9901</v>
      </c>
      <c r="Z680" t="s">
        <v>9898</v>
      </c>
      <c r="AD680">
        <f t="shared" si="21"/>
        <v>4</v>
      </c>
    </row>
    <row r="681" spans="1:30" x14ac:dyDescent="0.25">
      <c r="A681" t="s">
        <v>705</v>
      </c>
      <c r="B681" s="2">
        <v>44675</v>
      </c>
      <c r="C681" s="2">
        <v>44679</v>
      </c>
      <c r="D681" t="s">
        <v>5059</v>
      </c>
      <c r="E681" t="s">
        <v>5559</v>
      </c>
      <c r="F681" t="s">
        <v>6027</v>
      </c>
      <c r="G681" t="s">
        <v>6029</v>
      </c>
      <c r="H681" t="s">
        <v>6041</v>
      </c>
      <c r="I681" t="s">
        <v>6050</v>
      </c>
      <c r="J681" t="s">
        <v>6053</v>
      </c>
      <c r="K681" t="s">
        <v>6057</v>
      </c>
      <c r="L681" t="s">
        <v>6723</v>
      </c>
      <c r="M681">
        <v>311.99</v>
      </c>
      <c r="N681">
        <v>1</v>
      </c>
      <c r="O681">
        <v>0.15</v>
      </c>
      <c r="P681">
        <v>31.27</v>
      </c>
      <c r="Q681" t="s">
        <v>9893</v>
      </c>
      <c r="R681">
        <v>4</v>
      </c>
      <c r="S681" s="5">
        <f t="shared" si="20"/>
        <v>0.10022757139651911</v>
      </c>
      <c r="T681">
        <v>311.99</v>
      </c>
      <c r="U681">
        <v>4</v>
      </c>
      <c r="V681">
        <v>2022</v>
      </c>
      <c r="W681">
        <v>2</v>
      </c>
      <c r="X681" t="s">
        <v>9899</v>
      </c>
      <c r="Y681" t="s">
        <v>9901</v>
      </c>
      <c r="Z681" t="s">
        <v>9899</v>
      </c>
      <c r="AD681">
        <f t="shared" si="21"/>
        <v>4</v>
      </c>
    </row>
    <row r="682" spans="1:30" x14ac:dyDescent="0.25">
      <c r="A682" t="s">
        <v>706</v>
      </c>
      <c r="B682" s="2">
        <v>45183</v>
      </c>
      <c r="C682" s="2">
        <v>45189</v>
      </c>
      <c r="D682" t="s">
        <v>5402</v>
      </c>
      <c r="E682" t="s">
        <v>5902</v>
      </c>
      <c r="F682" t="s">
        <v>6026</v>
      </c>
      <c r="G682" t="s">
        <v>6031</v>
      </c>
      <c r="H682" t="s">
        <v>6042</v>
      </c>
      <c r="I682" t="s">
        <v>6048</v>
      </c>
      <c r="J682" t="s">
        <v>6054</v>
      </c>
      <c r="K682" t="s">
        <v>6060</v>
      </c>
      <c r="L682" t="s">
        <v>6724</v>
      </c>
      <c r="M682">
        <v>1674.17</v>
      </c>
      <c r="N682">
        <v>8</v>
      </c>
      <c r="O682">
        <v>0.03</v>
      </c>
      <c r="P682">
        <v>179.98</v>
      </c>
      <c r="Q682" t="s">
        <v>9897</v>
      </c>
      <c r="R682">
        <v>6</v>
      </c>
      <c r="S682" s="5">
        <f t="shared" si="20"/>
        <v>0.10750401691584485</v>
      </c>
      <c r="T682">
        <v>209.27125000000001</v>
      </c>
      <c r="U682">
        <v>9</v>
      </c>
      <c r="V682">
        <v>2023</v>
      </c>
      <c r="W682">
        <v>3</v>
      </c>
      <c r="X682" t="s">
        <v>9899</v>
      </c>
      <c r="Y682" t="s">
        <v>9901</v>
      </c>
      <c r="Z682" t="s">
        <v>9898</v>
      </c>
      <c r="AD682">
        <f t="shared" si="21"/>
        <v>6</v>
      </c>
    </row>
    <row r="683" spans="1:30" x14ac:dyDescent="0.25">
      <c r="A683" t="s">
        <v>707</v>
      </c>
      <c r="B683" s="2">
        <v>44819</v>
      </c>
      <c r="C683" s="2">
        <v>44820</v>
      </c>
      <c r="D683" t="s">
        <v>5403</v>
      </c>
      <c r="E683" t="s">
        <v>5903</v>
      </c>
      <c r="F683" t="s">
        <v>6026</v>
      </c>
      <c r="G683" t="s">
        <v>6030</v>
      </c>
      <c r="H683" t="s">
        <v>6035</v>
      </c>
      <c r="I683" t="s">
        <v>6051</v>
      </c>
      <c r="J683" t="s">
        <v>6054</v>
      </c>
      <c r="K683" t="s">
        <v>6059</v>
      </c>
      <c r="L683" t="s">
        <v>6347</v>
      </c>
      <c r="M683">
        <v>1361.6</v>
      </c>
      <c r="N683">
        <v>5</v>
      </c>
      <c r="O683">
        <v>0.16</v>
      </c>
      <c r="P683">
        <v>12.57</v>
      </c>
      <c r="Q683" t="s">
        <v>9895</v>
      </c>
      <c r="R683">
        <v>1</v>
      </c>
      <c r="S683" s="5">
        <f t="shared" si="20"/>
        <v>9.2317861339600484E-3</v>
      </c>
      <c r="T683">
        <v>272.32</v>
      </c>
      <c r="U683">
        <v>9</v>
      </c>
      <c r="V683">
        <v>2022</v>
      </c>
      <c r="W683">
        <v>3</v>
      </c>
      <c r="X683" t="s">
        <v>9899</v>
      </c>
      <c r="Y683" t="s">
        <v>9900</v>
      </c>
      <c r="Z683" t="s">
        <v>9898</v>
      </c>
      <c r="AD683">
        <f t="shared" si="21"/>
        <v>1</v>
      </c>
    </row>
    <row r="684" spans="1:30" x14ac:dyDescent="0.25">
      <c r="A684" t="s">
        <v>708</v>
      </c>
      <c r="B684" s="2">
        <v>45322</v>
      </c>
      <c r="C684" s="2">
        <v>45326</v>
      </c>
      <c r="D684" t="s">
        <v>5404</v>
      </c>
      <c r="E684" t="s">
        <v>5904</v>
      </c>
      <c r="F684" t="s">
        <v>6028</v>
      </c>
      <c r="G684" t="s">
        <v>6030</v>
      </c>
      <c r="H684" t="s">
        <v>6033</v>
      </c>
      <c r="I684" t="s">
        <v>6051</v>
      </c>
      <c r="J684" t="s">
        <v>6055</v>
      </c>
      <c r="K684" t="s">
        <v>6064</v>
      </c>
      <c r="L684" t="s">
        <v>6725</v>
      </c>
      <c r="M684">
        <v>1650.9</v>
      </c>
      <c r="N684">
        <v>5</v>
      </c>
      <c r="O684">
        <v>0.06</v>
      </c>
      <c r="P684">
        <v>74.209999999999994</v>
      </c>
      <c r="Q684" t="s">
        <v>9895</v>
      </c>
      <c r="R684">
        <v>4</v>
      </c>
      <c r="S684" s="5">
        <f t="shared" si="20"/>
        <v>4.4951238718274875E-2</v>
      </c>
      <c r="T684">
        <v>330.18</v>
      </c>
      <c r="U684">
        <v>1</v>
      </c>
      <c r="V684">
        <v>2024</v>
      </c>
      <c r="W684">
        <v>1</v>
      </c>
      <c r="X684" t="s">
        <v>9899</v>
      </c>
      <c r="Y684" t="s">
        <v>9901</v>
      </c>
      <c r="Z684" t="s">
        <v>9898</v>
      </c>
      <c r="AD684">
        <f t="shared" si="21"/>
        <v>4</v>
      </c>
    </row>
    <row r="685" spans="1:30" x14ac:dyDescent="0.25">
      <c r="A685" t="s">
        <v>709</v>
      </c>
      <c r="B685" s="2">
        <v>45433</v>
      </c>
      <c r="C685" s="2">
        <v>45434</v>
      </c>
      <c r="D685" t="s">
        <v>5033</v>
      </c>
      <c r="E685" t="s">
        <v>5533</v>
      </c>
      <c r="F685" t="s">
        <v>6026</v>
      </c>
      <c r="G685" t="s">
        <v>6029</v>
      </c>
      <c r="H685" t="s">
        <v>6041</v>
      </c>
      <c r="I685" t="s">
        <v>6049</v>
      </c>
      <c r="J685" t="s">
        <v>6054</v>
      </c>
      <c r="K685" t="s">
        <v>6062</v>
      </c>
      <c r="L685" t="s">
        <v>6726</v>
      </c>
      <c r="M685">
        <v>1146.42</v>
      </c>
      <c r="N685">
        <v>2</v>
      </c>
      <c r="O685">
        <v>0.12</v>
      </c>
      <c r="P685">
        <v>165.38</v>
      </c>
      <c r="Q685" t="s">
        <v>9895</v>
      </c>
      <c r="R685">
        <v>1</v>
      </c>
      <c r="S685" s="5">
        <f t="shared" si="20"/>
        <v>0.14425777638212869</v>
      </c>
      <c r="T685">
        <v>573.21</v>
      </c>
      <c r="U685">
        <v>5</v>
      </c>
      <c r="V685">
        <v>2024</v>
      </c>
      <c r="W685">
        <v>2</v>
      </c>
      <c r="X685" t="s">
        <v>9899</v>
      </c>
      <c r="Y685" t="s">
        <v>9901</v>
      </c>
      <c r="Z685" t="s">
        <v>9898</v>
      </c>
      <c r="AD685">
        <f t="shared" si="21"/>
        <v>1</v>
      </c>
    </row>
    <row r="686" spans="1:30" x14ac:dyDescent="0.25">
      <c r="A686" t="s">
        <v>710</v>
      </c>
      <c r="B686" s="2">
        <v>44813</v>
      </c>
      <c r="C686" s="2">
        <v>44816</v>
      </c>
      <c r="D686" t="s">
        <v>5310</v>
      </c>
      <c r="E686" t="s">
        <v>5810</v>
      </c>
      <c r="F686" t="s">
        <v>6026</v>
      </c>
      <c r="G686" t="s">
        <v>6031</v>
      </c>
      <c r="H686" t="s">
        <v>6037</v>
      </c>
      <c r="I686" t="s">
        <v>6050</v>
      </c>
      <c r="J686" t="s">
        <v>6054</v>
      </c>
      <c r="K686" t="s">
        <v>6062</v>
      </c>
      <c r="L686" t="s">
        <v>6727</v>
      </c>
      <c r="M686">
        <v>1913.14</v>
      </c>
      <c r="N686">
        <v>6</v>
      </c>
      <c r="O686">
        <v>0.34</v>
      </c>
      <c r="P686">
        <v>-134.22</v>
      </c>
      <c r="Q686" t="s">
        <v>9893</v>
      </c>
      <c r="R686">
        <v>3</v>
      </c>
      <c r="S686" s="5">
        <f t="shared" si="20"/>
        <v>-7.0156914810207305E-2</v>
      </c>
      <c r="T686">
        <v>318.85666666666668</v>
      </c>
      <c r="U686">
        <v>9</v>
      </c>
      <c r="V686">
        <v>2022</v>
      </c>
      <c r="W686">
        <v>3</v>
      </c>
      <c r="X686" t="s">
        <v>9898</v>
      </c>
      <c r="Y686" t="s">
        <v>9902</v>
      </c>
      <c r="Z686" t="s">
        <v>9898</v>
      </c>
      <c r="AD686">
        <f t="shared" si="21"/>
        <v>3</v>
      </c>
    </row>
    <row r="687" spans="1:30" x14ac:dyDescent="0.25">
      <c r="A687" t="s">
        <v>711</v>
      </c>
      <c r="B687" s="2">
        <v>45109</v>
      </c>
      <c r="C687" s="2">
        <v>45113</v>
      </c>
      <c r="D687" t="s">
        <v>5088</v>
      </c>
      <c r="E687" t="s">
        <v>5588</v>
      </c>
      <c r="F687" t="s">
        <v>6026</v>
      </c>
      <c r="G687" t="s">
        <v>6029</v>
      </c>
      <c r="H687" t="s">
        <v>6041</v>
      </c>
      <c r="I687" t="s">
        <v>6049</v>
      </c>
      <c r="J687" t="s">
        <v>6054</v>
      </c>
      <c r="K687" t="s">
        <v>6060</v>
      </c>
      <c r="L687" t="s">
        <v>6728</v>
      </c>
      <c r="M687">
        <v>1937.24</v>
      </c>
      <c r="N687">
        <v>1</v>
      </c>
      <c r="O687">
        <v>0.16</v>
      </c>
      <c r="P687">
        <v>-16.559999999999999</v>
      </c>
      <c r="Q687" t="s">
        <v>9893</v>
      </c>
      <c r="R687">
        <v>4</v>
      </c>
      <c r="S687" s="5">
        <f t="shared" si="20"/>
        <v>-8.5482438933740783E-3</v>
      </c>
      <c r="T687">
        <v>1937.24</v>
      </c>
      <c r="U687">
        <v>7</v>
      </c>
      <c r="V687">
        <v>2023</v>
      </c>
      <c r="W687">
        <v>3</v>
      </c>
      <c r="X687" t="s">
        <v>9898</v>
      </c>
      <c r="Y687" t="s">
        <v>9900</v>
      </c>
      <c r="Z687" t="s">
        <v>9898</v>
      </c>
      <c r="AD687">
        <f t="shared" si="21"/>
        <v>4</v>
      </c>
    </row>
    <row r="688" spans="1:30" x14ac:dyDescent="0.25">
      <c r="A688" t="s">
        <v>712</v>
      </c>
      <c r="B688" s="2">
        <v>44665</v>
      </c>
      <c r="C688" s="2">
        <v>44672</v>
      </c>
      <c r="D688" t="s">
        <v>5405</v>
      </c>
      <c r="E688" t="s">
        <v>5905</v>
      </c>
      <c r="F688" t="s">
        <v>6028</v>
      </c>
      <c r="G688" t="s">
        <v>6031</v>
      </c>
      <c r="H688" t="s">
        <v>6043</v>
      </c>
      <c r="I688" t="s">
        <v>6048</v>
      </c>
      <c r="J688" t="s">
        <v>6053</v>
      </c>
      <c r="K688" t="s">
        <v>6057</v>
      </c>
      <c r="L688" t="s">
        <v>6729</v>
      </c>
      <c r="M688">
        <v>1103.97</v>
      </c>
      <c r="N688">
        <v>5</v>
      </c>
      <c r="O688">
        <v>0</v>
      </c>
      <c r="P688">
        <v>295.42</v>
      </c>
      <c r="Q688" t="s">
        <v>9897</v>
      </c>
      <c r="R688">
        <v>7</v>
      </c>
      <c r="S688" s="5">
        <f t="shared" si="20"/>
        <v>0.26759785139088926</v>
      </c>
      <c r="T688">
        <v>220.79400000000001</v>
      </c>
      <c r="U688">
        <v>4</v>
      </c>
      <c r="V688">
        <v>2022</v>
      </c>
      <c r="W688">
        <v>2</v>
      </c>
      <c r="X688" t="s">
        <v>9899</v>
      </c>
      <c r="Y688" t="s">
        <v>9901</v>
      </c>
      <c r="Z688" t="s">
        <v>9898</v>
      </c>
      <c r="AD688">
        <f t="shared" si="21"/>
        <v>7</v>
      </c>
    </row>
    <row r="689" spans="1:30" x14ac:dyDescent="0.25">
      <c r="A689" t="s">
        <v>713</v>
      </c>
      <c r="B689" s="2">
        <v>44650</v>
      </c>
      <c r="C689" s="2">
        <v>44653</v>
      </c>
      <c r="D689" t="s">
        <v>5185</v>
      </c>
      <c r="E689" t="s">
        <v>5685</v>
      </c>
      <c r="F689" t="s">
        <v>6028</v>
      </c>
      <c r="G689" t="s">
        <v>6029</v>
      </c>
      <c r="H689" t="s">
        <v>6036</v>
      </c>
      <c r="I689" t="s">
        <v>6049</v>
      </c>
      <c r="J689" t="s">
        <v>6054</v>
      </c>
      <c r="K689" t="s">
        <v>6062</v>
      </c>
      <c r="L689" t="s">
        <v>6730</v>
      </c>
      <c r="M689">
        <v>1056.82</v>
      </c>
      <c r="N689">
        <v>7</v>
      </c>
      <c r="O689">
        <v>0.35</v>
      </c>
      <c r="P689">
        <v>-239.91</v>
      </c>
      <c r="Q689" t="s">
        <v>9894</v>
      </c>
      <c r="R689">
        <v>3</v>
      </c>
      <c r="S689" s="5">
        <f t="shared" si="20"/>
        <v>-0.22701122234628415</v>
      </c>
      <c r="T689">
        <v>150.97428571428571</v>
      </c>
      <c r="U689">
        <v>3</v>
      </c>
      <c r="V689">
        <v>2022</v>
      </c>
      <c r="W689">
        <v>1</v>
      </c>
      <c r="X689" t="s">
        <v>9898</v>
      </c>
      <c r="Y689" t="s">
        <v>9902</v>
      </c>
      <c r="Z689" t="s">
        <v>9898</v>
      </c>
      <c r="AD689">
        <f t="shared" si="21"/>
        <v>3</v>
      </c>
    </row>
    <row r="690" spans="1:30" x14ac:dyDescent="0.25">
      <c r="A690" t="s">
        <v>714</v>
      </c>
      <c r="B690" s="2">
        <v>45059</v>
      </c>
      <c r="C690" s="2">
        <v>45061</v>
      </c>
      <c r="D690" t="s">
        <v>5215</v>
      </c>
      <c r="E690" t="s">
        <v>5715</v>
      </c>
      <c r="F690" t="s">
        <v>6026</v>
      </c>
      <c r="G690" t="s">
        <v>6030</v>
      </c>
      <c r="H690" t="s">
        <v>6035</v>
      </c>
      <c r="I690" t="s">
        <v>6047</v>
      </c>
      <c r="J690" t="s">
        <v>6055</v>
      </c>
      <c r="K690" t="s">
        <v>6063</v>
      </c>
      <c r="L690" t="s">
        <v>6731</v>
      </c>
      <c r="M690">
        <v>1972</v>
      </c>
      <c r="N690">
        <v>3</v>
      </c>
      <c r="O690">
        <v>0.1</v>
      </c>
      <c r="P690">
        <v>21.8</v>
      </c>
      <c r="Q690" t="s">
        <v>9896</v>
      </c>
      <c r="R690">
        <v>2</v>
      </c>
      <c r="S690" s="5">
        <f t="shared" si="20"/>
        <v>1.1054766734279919E-2</v>
      </c>
      <c r="T690">
        <v>657.33333333333337</v>
      </c>
      <c r="U690">
        <v>5</v>
      </c>
      <c r="V690">
        <v>2023</v>
      </c>
      <c r="W690">
        <v>2</v>
      </c>
      <c r="X690" t="s">
        <v>9899</v>
      </c>
      <c r="Y690" t="s">
        <v>9901</v>
      </c>
      <c r="Z690" t="s">
        <v>9898</v>
      </c>
      <c r="AD690">
        <f t="shared" si="21"/>
        <v>2</v>
      </c>
    </row>
    <row r="691" spans="1:30" x14ac:dyDescent="0.25">
      <c r="A691" t="s">
        <v>715</v>
      </c>
      <c r="B691" s="2">
        <v>44923</v>
      </c>
      <c r="C691" s="2">
        <v>44930</v>
      </c>
      <c r="D691" t="s">
        <v>5406</v>
      </c>
      <c r="E691" t="s">
        <v>5906</v>
      </c>
      <c r="F691" t="s">
        <v>6028</v>
      </c>
      <c r="G691" t="s">
        <v>6031</v>
      </c>
      <c r="H691" t="s">
        <v>6042</v>
      </c>
      <c r="I691" t="s">
        <v>6048</v>
      </c>
      <c r="J691" t="s">
        <v>6054</v>
      </c>
      <c r="K691" t="s">
        <v>6059</v>
      </c>
      <c r="L691" t="s">
        <v>6732</v>
      </c>
      <c r="M691">
        <v>597.16999999999996</v>
      </c>
      <c r="N691">
        <v>8</v>
      </c>
      <c r="O691">
        <v>0.1</v>
      </c>
      <c r="P691">
        <v>13.81</v>
      </c>
      <c r="Q691" t="s">
        <v>9896</v>
      </c>
      <c r="R691">
        <v>7</v>
      </c>
      <c r="S691" s="5">
        <f t="shared" si="20"/>
        <v>2.3125743088232835E-2</v>
      </c>
      <c r="T691">
        <v>74.646249999999995</v>
      </c>
      <c r="U691">
        <v>12</v>
      </c>
      <c r="V691">
        <v>2022</v>
      </c>
      <c r="W691">
        <v>4</v>
      </c>
      <c r="X691" t="s">
        <v>9899</v>
      </c>
      <c r="Y691" t="s">
        <v>9901</v>
      </c>
      <c r="Z691" t="s">
        <v>9899</v>
      </c>
      <c r="AD691">
        <f t="shared" si="21"/>
        <v>7</v>
      </c>
    </row>
    <row r="692" spans="1:30" x14ac:dyDescent="0.25">
      <c r="A692" t="s">
        <v>716</v>
      </c>
      <c r="B692" s="2">
        <v>45362</v>
      </c>
      <c r="C692" s="2">
        <v>45364</v>
      </c>
      <c r="D692" t="s">
        <v>5174</v>
      </c>
      <c r="E692" t="s">
        <v>5674</v>
      </c>
      <c r="F692" t="s">
        <v>6026</v>
      </c>
      <c r="G692" t="s">
        <v>6031</v>
      </c>
      <c r="H692" t="s">
        <v>6037</v>
      </c>
      <c r="I692" t="s">
        <v>6050</v>
      </c>
      <c r="J692" t="s">
        <v>6055</v>
      </c>
      <c r="K692" t="s">
        <v>6064</v>
      </c>
      <c r="L692" t="s">
        <v>6733</v>
      </c>
      <c r="M692">
        <v>108.95</v>
      </c>
      <c r="N692">
        <v>8</v>
      </c>
      <c r="O692">
        <v>0.19</v>
      </c>
      <c r="P692">
        <v>9.89</v>
      </c>
      <c r="Q692" t="s">
        <v>9897</v>
      </c>
      <c r="R692">
        <v>2</v>
      </c>
      <c r="S692" s="5">
        <f t="shared" si="20"/>
        <v>9.0775585130793951E-2</v>
      </c>
      <c r="T692">
        <v>13.61875</v>
      </c>
      <c r="U692">
        <v>3</v>
      </c>
      <c r="V692">
        <v>2024</v>
      </c>
      <c r="W692">
        <v>1</v>
      </c>
      <c r="X692" t="s">
        <v>9899</v>
      </c>
      <c r="Y692" t="s">
        <v>9900</v>
      </c>
      <c r="Z692" t="s">
        <v>9899</v>
      </c>
      <c r="AD692">
        <f t="shared" si="21"/>
        <v>2</v>
      </c>
    </row>
    <row r="693" spans="1:30" x14ac:dyDescent="0.25">
      <c r="A693" t="s">
        <v>717</v>
      </c>
      <c r="B693" s="2">
        <v>45386</v>
      </c>
      <c r="C693" s="2">
        <v>45393</v>
      </c>
      <c r="D693" t="s">
        <v>5273</v>
      </c>
      <c r="E693" t="s">
        <v>5773</v>
      </c>
      <c r="F693" t="s">
        <v>6026</v>
      </c>
      <c r="G693" t="s">
        <v>6030</v>
      </c>
      <c r="H693" t="s">
        <v>6039</v>
      </c>
      <c r="I693" t="s">
        <v>6047</v>
      </c>
      <c r="J693" t="s">
        <v>6053</v>
      </c>
      <c r="K693" t="s">
        <v>6056</v>
      </c>
      <c r="L693" t="s">
        <v>6734</v>
      </c>
      <c r="M693">
        <v>1304.6400000000001</v>
      </c>
      <c r="N693">
        <v>7</v>
      </c>
      <c r="O693">
        <v>0.21</v>
      </c>
      <c r="P693">
        <v>11.9</v>
      </c>
      <c r="Q693" t="s">
        <v>9896</v>
      </c>
      <c r="R693">
        <v>7</v>
      </c>
      <c r="S693" s="5">
        <f t="shared" si="20"/>
        <v>9.1212901643365207E-3</v>
      </c>
      <c r="T693">
        <v>186.3771428571429</v>
      </c>
      <c r="U693">
        <v>4</v>
      </c>
      <c r="V693">
        <v>2024</v>
      </c>
      <c r="W693">
        <v>2</v>
      </c>
      <c r="X693" t="s">
        <v>9899</v>
      </c>
      <c r="Y693" t="s">
        <v>9900</v>
      </c>
      <c r="Z693" t="s">
        <v>9898</v>
      </c>
      <c r="AD693">
        <f t="shared" si="21"/>
        <v>7</v>
      </c>
    </row>
    <row r="694" spans="1:30" x14ac:dyDescent="0.25">
      <c r="A694" t="s">
        <v>718</v>
      </c>
      <c r="B694" s="2">
        <v>45174</v>
      </c>
      <c r="C694" s="2">
        <v>45175</v>
      </c>
      <c r="D694" t="s">
        <v>5346</v>
      </c>
      <c r="E694" t="s">
        <v>5846</v>
      </c>
      <c r="F694" t="s">
        <v>6026</v>
      </c>
      <c r="G694" t="s">
        <v>6030</v>
      </c>
      <c r="H694" t="s">
        <v>6038</v>
      </c>
      <c r="I694" t="s">
        <v>6051</v>
      </c>
      <c r="J694" t="s">
        <v>6053</v>
      </c>
      <c r="K694" t="s">
        <v>6057</v>
      </c>
      <c r="L694" t="s">
        <v>6735</v>
      </c>
      <c r="M694">
        <v>420.21</v>
      </c>
      <c r="N694">
        <v>2</v>
      </c>
      <c r="O694">
        <v>0.01</v>
      </c>
      <c r="P694">
        <v>94.44</v>
      </c>
      <c r="Q694" t="s">
        <v>9896</v>
      </c>
      <c r="R694">
        <v>1</v>
      </c>
      <c r="S694" s="5">
        <f t="shared" si="20"/>
        <v>0.22474477047190691</v>
      </c>
      <c r="T694">
        <v>210.10499999999999</v>
      </c>
      <c r="U694">
        <v>9</v>
      </c>
      <c r="V694">
        <v>2023</v>
      </c>
      <c r="W694">
        <v>3</v>
      </c>
      <c r="X694" t="s">
        <v>9899</v>
      </c>
      <c r="Y694" t="s">
        <v>9901</v>
      </c>
      <c r="Z694" t="s">
        <v>9899</v>
      </c>
      <c r="AD694">
        <f t="shared" si="21"/>
        <v>1</v>
      </c>
    </row>
    <row r="695" spans="1:30" x14ac:dyDescent="0.25">
      <c r="A695" t="s">
        <v>719</v>
      </c>
      <c r="B695" s="2">
        <v>45241</v>
      </c>
      <c r="C695" s="2">
        <v>45244</v>
      </c>
      <c r="D695" t="s">
        <v>5240</v>
      </c>
      <c r="E695" t="s">
        <v>5740</v>
      </c>
      <c r="F695" t="s">
        <v>6026</v>
      </c>
      <c r="G695" t="s">
        <v>6030</v>
      </c>
      <c r="H695" t="s">
        <v>6035</v>
      </c>
      <c r="I695" t="s">
        <v>6051</v>
      </c>
      <c r="J695" t="s">
        <v>6054</v>
      </c>
      <c r="K695" t="s">
        <v>6059</v>
      </c>
      <c r="L695" t="s">
        <v>6736</v>
      </c>
      <c r="M695">
        <v>1913.03</v>
      </c>
      <c r="N695">
        <v>7</v>
      </c>
      <c r="O695">
        <v>0.18</v>
      </c>
      <c r="P695">
        <v>19.27</v>
      </c>
      <c r="Q695" t="s">
        <v>9893</v>
      </c>
      <c r="R695">
        <v>3</v>
      </c>
      <c r="S695" s="5">
        <f t="shared" si="20"/>
        <v>1.0073025514497944E-2</v>
      </c>
      <c r="T695">
        <v>273.29000000000002</v>
      </c>
      <c r="U695">
        <v>11</v>
      </c>
      <c r="V695">
        <v>2023</v>
      </c>
      <c r="W695">
        <v>4</v>
      </c>
      <c r="X695" t="s">
        <v>9899</v>
      </c>
      <c r="Y695" t="s">
        <v>9900</v>
      </c>
      <c r="Z695" t="s">
        <v>9898</v>
      </c>
      <c r="AD695">
        <f t="shared" si="21"/>
        <v>3</v>
      </c>
    </row>
    <row r="696" spans="1:30" x14ac:dyDescent="0.25">
      <c r="A696" t="s">
        <v>720</v>
      </c>
      <c r="B696" s="2">
        <v>44951</v>
      </c>
      <c r="C696" s="2">
        <v>44958</v>
      </c>
      <c r="D696" t="s">
        <v>5407</v>
      </c>
      <c r="E696" t="s">
        <v>5907</v>
      </c>
      <c r="F696" t="s">
        <v>6028</v>
      </c>
      <c r="G696" t="s">
        <v>6031</v>
      </c>
      <c r="H696" t="s">
        <v>6042</v>
      </c>
      <c r="I696" t="s">
        <v>6048</v>
      </c>
      <c r="J696" t="s">
        <v>6055</v>
      </c>
      <c r="K696" t="s">
        <v>6064</v>
      </c>
      <c r="L696" t="s">
        <v>6737</v>
      </c>
      <c r="M696">
        <v>1215.8</v>
      </c>
      <c r="N696">
        <v>1</v>
      </c>
      <c r="O696">
        <v>0.24</v>
      </c>
      <c r="P696">
        <v>16.059999999999999</v>
      </c>
      <c r="Q696" t="s">
        <v>9896</v>
      </c>
      <c r="R696">
        <v>7</v>
      </c>
      <c r="S696" s="5">
        <f t="shared" si="20"/>
        <v>1.3209409442342491E-2</v>
      </c>
      <c r="T696">
        <v>1215.8</v>
      </c>
      <c r="U696">
        <v>1</v>
      </c>
      <c r="V696">
        <v>2023</v>
      </c>
      <c r="W696">
        <v>1</v>
      </c>
      <c r="X696" t="s">
        <v>9899</v>
      </c>
      <c r="Y696" t="s">
        <v>9900</v>
      </c>
      <c r="Z696" t="s">
        <v>9898</v>
      </c>
      <c r="AD696">
        <f t="shared" si="21"/>
        <v>7</v>
      </c>
    </row>
    <row r="697" spans="1:30" x14ac:dyDescent="0.25">
      <c r="A697" t="s">
        <v>721</v>
      </c>
      <c r="B697" s="2">
        <v>45344</v>
      </c>
      <c r="C697" s="2">
        <v>45350</v>
      </c>
      <c r="D697" t="s">
        <v>5289</v>
      </c>
      <c r="E697" t="s">
        <v>5789</v>
      </c>
      <c r="F697" t="s">
        <v>6028</v>
      </c>
      <c r="G697" t="s">
        <v>6031</v>
      </c>
      <c r="H697" t="s">
        <v>6037</v>
      </c>
      <c r="I697" t="s">
        <v>6052</v>
      </c>
      <c r="J697" t="s">
        <v>6054</v>
      </c>
      <c r="K697" t="s">
        <v>6059</v>
      </c>
      <c r="L697" t="s">
        <v>6738</v>
      </c>
      <c r="M697">
        <v>1679.77</v>
      </c>
      <c r="N697">
        <v>2</v>
      </c>
      <c r="O697">
        <v>0.31</v>
      </c>
      <c r="P697">
        <v>-140.88</v>
      </c>
      <c r="Q697" t="s">
        <v>9897</v>
      </c>
      <c r="R697">
        <v>6</v>
      </c>
      <c r="S697" s="5">
        <f t="shared" si="20"/>
        <v>-8.3868624871262135E-2</v>
      </c>
      <c r="T697">
        <v>839.88499999999999</v>
      </c>
      <c r="U697">
        <v>2</v>
      </c>
      <c r="V697">
        <v>2024</v>
      </c>
      <c r="W697">
        <v>1</v>
      </c>
      <c r="X697" t="s">
        <v>9898</v>
      </c>
      <c r="Y697" t="s">
        <v>9902</v>
      </c>
      <c r="Z697" t="s">
        <v>9898</v>
      </c>
      <c r="AD697">
        <f t="shared" si="21"/>
        <v>6</v>
      </c>
    </row>
    <row r="698" spans="1:30" x14ac:dyDescent="0.25">
      <c r="A698" t="s">
        <v>722</v>
      </c>
      <c r="B698" s="2">
        <v>44845</v>
      </c>
      <c r="C698" s="2">
        <v>44850</v>
      </c>
      <c r="D698" t="s">
        <v>5390</v>
      </c>
      <c r="E698" t="s">
        <v>5890</v>
      </c>
      <c r="F698" t="s">
        <v>6027</v>
      </c>
      <c r="G698" t="s">
        <v>6030</v>
      </c>
      <c r="H698" t="s">
        <v>6033</v>
      </c>
      <c r="I698" t="s">
        <v>6047</v>
      </c>
      <c r="J698" t="s">
        <v>6055</v>
      </c>
      <c r="K698" t="s">
        <v>6063</v>
      </c>
      <c r="L698" t="s">
        <v>6739</v>
      </c>
      <c r="M698">
        <v>353.17</v>
      </c>
      <c r="N698">
        <v>5</v>
      </c>
      <c r="O698">
        <v>0.27</v>
      </c>
      <c r="P698">
        <v>0.94</v>
      </c>
      <c r="Q698" t="s">
        <v>9895</v>
      </c>
      <c r="R698">
        <v>5</v>
      </c>
      <c r="S698" s="5">
        <f t="shared" si="20"/>
        <v>2.6616077243253955E-3</v>
      </c>
      <c r="T698">
        <v>70.634</v>
      </c>
      <c r="U698">
        <v>10</v>
      </c>
      <c r="V698">
        <v>2022</v>
      </c>
      <c r="W698">
        <v>4</v>
      </c>
      <c r="X698" t="s">
        <v>9899</v>
      </c>
      <c r="Y698" t="s">
        <v>9900</v>
      </c>
      <c r="Z698" t="s">
        <v>9899</v>
      </c>
      <c r="AD698">
        <f t="shared" si="21"/>
        <v>5</v>
      </c>
    </row>
    <row r="699" spans="1:30" x14ac:dyDescent="0.25">
      <c r="A699" t="s">
        <v>723</v>
      </c>
      <c r="B699" s="2">
        <v>44831</v>
      </c>
      <c r="C699" s="2">
        <v>44833</v>
      </c>
      <c r="D699" t="s">
        <v>5098</v>
      </c>
      <c r="E699" t="s">
        <v>5598</v>
      </c>
      <c r="F699" t="s">
        <v>6028</v>
      </c>
      <c r="G699" t="s">
        <v>6030</v>
      </c>
      <c r="H699" t="s">
        <v>6035</v>
      </c>
      <c r="I699" t="s">
        <v>6047</v>
      </c>
      <c r="J699" t="s">
        <v>6054</v>
      </c>
      <c r="K699" t="s">
        <v>6060</v>
      </c>
      <c r="L699" t="s">
        <v>6307</v>
      </c>
      <c r="M699">
        <v>1346.07</v>
      </c>
      <c r="N699">
        <v>2</v>
      </c>
      <c r="O699">
        <v>0.11</v>
      </c>
      <c r="P699">
        <v>78.8</v>
      </c>
      <c r="Q699" t="s">
        <v>9896</v>
      </c>
      <c r="R699">
        <v>2</v>
      </c>
      <c r="S699" s="5">
        <f t="shared" si="20"/>
        <v>5.8540789112007552E-2</v>
      </c>
      <c r="T699">
        <v>673.03499999999997</v>
      </c>
      <c r="U699">
        <v>9</v>
      </c>
      <c r="V699">
        <v>2022</v>
      </c>
      <c r="W699">
        <v>3</v>
      </c>
      <c r="X699" t="s">
        <v>9899</v>
      </c>
      <c r="Y699" t="s">
        <v>9901</v>
      </c>
      <c r="Z699" t="s">
        <v>9898</v>
      </c>
      <c r="AD699">
        <f t="shared" si="21"/>
        <v>2</v>
      </c>
    </row>
    <row r="700" spans="1:30" x14ac:dyDescent="0.25">
      <c r="A700" t="s">
        <v>724</v>
      </c>
      <c r="B700" s="2">
        <v>45424</v>
      </c>
      <c r="C700" s="2">
        <v>45425</v>
      </c>
      <c r="D700" t="s">
        <v>5203</v>
      </c>
      <c r="E700" t="s">
        <v>5703</v>
      </c>
      <c r="F700" t="s">
        <v>6028</v>
      </c>
      <c r="G700" t="s">
        <v>6031</v>
      </c>
      <c r="H700" t="s">
        <v>6037</v>
      </c>
      <c r="I700" t="s">
        <v>6048</v>
      </c>
      <c r="J700" t="s">
        <v>6053</v>
      </c>
      <c r="K700" t="s">
        <v>6058</v>
      </c>
      <c r="L700" t="s">
        <v>6740</v>
      </c>
      <c r="M700">
        <v>1509.58</v>
      </c>
      <c r="N700">
        <v>4</v>
      </c>
      <c r="O700">
        <v>0.03</v>
      </c>
      <c r="P700">
        <v>164.26</v>
      </c>
      <c r="Q700" t="s">
        <v>9893</v>
      </c>
      <c r="R700">
        <v>1</v>
      </c>
      <c r="S700" s="5">
        <f t="shared" si="20"/>
        <v>0.10881172246585143</v>
      </c>
      <c r="T700">
        <v>377.39499999999998</v>
      </c>
      <c r="U700">
        <v>5</v>
      </c>
      <c r="V700">
        <v>2024</v>
      </c>
      <c r="W700">
        <v>2</v>
      </c>
      <c r="X700" t="s">
        <v>9899</v>
      </c>
      <c r="Y700" t="s">
        <v>9901</v>
      </c>
      <c r="Z700" t="s">
        <v>9898</v>
      </c>
      <c r="AD700">
        <f t="shared" si="21"/>
        <v>1</v>
      </c>
    </row>
    <row r="701" spans="1:30" x14ac:dyDescent="0.25">
      <c r="A701" t="s">
        <v>725</v>
      </c>
      <c r="B701" s="2">
        <v>44575</v>
      </c>
      <c r="C701" s="2">
        <v>44579</v>
      </c>
      <c r="D701" t="s">
        <v>5408</v>
      </c>
      <c r="E701" t="s">
        <v>5908</v>
      </c>
      <c r="F701" t="s">
        <v>6026</v>
      </c>
      <c r="G701" t="s">
        <v>6029</v>
      </c>
      <c r="H701" t="s">
        <v>6044</v>
      </c>
      <c r="I701" t="s">
        <v>6049</v>
      </c>
      <c r="J701" t="s">
        <v>6054</v>
      </c>
      <c r="K701" t="s">
        <v>6060</v>
      </c>
      <c r="L701" t="s">
        <v>6741</v>
      </c>
      <c r="M701">
        <v>1782.17</v>
      </c>
      <c r="N701">
        <v>5</v>
      </c>
      <c r="O701">
        <v>0.1</v>
      </c>
      <c r="P701">
        <v>286.98</v>
      </c>
      <c r="Q701" t="s">
        <v>9896</v>
      </c>
      <c r="R701">
        <v>4</v>
      </c>
      <c r="S701" s="5">
        <f t="shared" si="20"/>
        <v>0.16102840918655348</v>
      </c>
      <c r="T701">
        <v>356.43400000000003</v>
      </c>
      <c r="U701">
        <v>1</v>
      </c>
      <c r="V701">
        <v>2022</v>
      </c>
      <c r="W701">
        <v>1</v>
      </c>
      <c r="X701" t="s">
        <v>9899</v>
      </c>
      <c r="Y701" t="s">
        <v>9901</v>
      </c>
      <c r="Z701" t="s">
        <v>9898</v>
      </c>
      <c r="AD701">
        <f t="shared" si="21"/>
        <v>4</v>
      </c>
    </row>
    <row r="702" spans="1:30" x14ac:dyDescent="0.25">
      <c r="A702" t="s">
        <v>726</v>
      </c>
      <c r="B702" s="2">
        <v>44868</v>
      </c>
      <c r="C702" s="2">
        <v>44870</v>
      </c>
      <c r="D702" t="s">
        <v>5279</v>
      </c>
      <c r="E702" t="s">
        <v>5779</v>
      </c>
      <c r="F702" t="s">
        <v>6027</v>
      </c>
      <c r="G702" t="s">
        <v>6030</v>
      </c>
      <c r="H702" t="s">
        <v>6038</v>
      </c>
      <c r="I702" t="s">
        <v>6047</v>
      </c>
      <c r="J702" t="s">
        <v>6054</v>
      </c>
      <c r="K702" t="s">
        <v>6060</v>
      </c>
      <c r="L702" t="s">
        <v>6742</v>
      </c>
      <c r="M702">
        <v>580.04999999999995</v>
      </c>
      <c r="N702">
        <v>1</v>
      </c>
      <c r="O702">
        <v>0.13</v>
      </c>
      <c r="P702">
        <v>91.25</v>
      </c>
      <c r="Q702" t="s">
        <v>9895</v>
      </c>
      <c r="R702">
        <v>2</v>
      </c>
      <c r="S702" s="5">
        <f t="shared" si="20"/>
        <v>0.15731402465304717</v>
      </c>
      <c r="T702">
        <v>580.04999999999995</v>
      </c>
      <c r="U702">
        <v>11</v>
      </c>
      <c r="V702">
        <v>2022</v>
      </c>
      <c r="W702">
        <v>4</v>
      </c>
      <c r="X702" t="s">
        <v>9899</v>
      </c>
      <c r="Y702" t="s">
        <v>9901</v>
      </c>
      <c r="Z702" t="s">
        <v>9899</v>
      </c>
      <c r="AD702">
        <f t="shared" si="21"/>
        <v>2</v>
      </c>
    </row>
    <row r="703" spans="1:30" x14ac:dyDescent="0.25">
      <c r="A703" t="s">
        <v>727</v>
      </c>
      <c r="B703" s="2">
        <v>44746</v>
      </c>
      <c r="C703" s="2">
        <v>44753</v>
      </c>
      <c r="D703" t="s">
        <v>5366</v>
      </c>
      <c r="E703" t="s">
        <v>5866</v>
      </c>
      <c r="F703" t="s">
        <v>6026</v>
      </c>
      <c r="G703" t="s">
        <v>6031</v>
      </c>
      <c r="H703" t="s">
        <v>6043</v>
      </c>
      <c r="I703" t="s">
        <v>6052</v>
      </c>
      <c r="J703" t="s">
        <v>6053</v>
      </c>
      <c r="K703" t="s">
        <v>6056</v>
      </c>
      <c r="L703" t="s">
        <v>6743</v>
      </c>
      <c r="M703">
        <v>565.69000000000005</v>
      </c>
      <c r="N703">
        <v>6</v>
      </c>
      <c r="O703">
        <v>7.0000000000000007E-2</v>
      </c>
      <c r="P703">
        <v>81.52</v>
      </c>
      <c r="Q703" t="s">
        <v>9893</v>
      </c>
      <c r="R703">
        <v>7</v>
      </c>
      <c r="S703" s="5">
        <f t="shared" si="20"/>
        <v>0.14410719652106274</v>
      </c>
      <c r="T703">
        <v>94.28166666666668</v>
      </c>
      <c r="U703">
        <v>7</v>
      </c>
      <c r="V703">
        <v>2022</v>
      </c>
      <c r="W703">
        <v>3</v>
      </c>
      <c r="X703" t="s">
        <v>9899</v>
      </c>
      <c r="Y703" t="s">
        <v>9901</v>
      </c>
      <c r="Z703" t="s">
        <v>9899</v>
      </c>
      <c r="AD703">
        <f t="shared" si="21"/>
        <v>7</v>
      </c>
    </row>
    <row r="704" spans="1:30" x14ac:dyDescent="0.25">
      <c r="A704" t="s">
        <v>728</v>
      </c>
      <c r="B704" s="2">
        <v>44633</v>
      </c>
      <c r="C704" s="2">
        <v>44637</v>
      </c>
      <c r="D704" t="s">
        <v>5045</v>
      </c>
      <c r="E704" t="s">
        <v>5545</v>
      </c>
      <c r="F704" t="s">
        <v>6027</v>
      </c>
      <c r="G704" t="s">
        <v>6029</v>
      </c>
      <c r="H704" t="s">
        <v>6044</v>
      </c>
      <c r="I704" t="s">
        <v>6050</v>
      </c>
      <c r="J704" t="s">
        <v>6055</v>
      </c>
      <c r="K704" t="s">
        <v>6064</v>
      </c>
      <c r="L704" t="s">
        <v>6744</v>
      </c>
      <c r="M704">
        <v>1854.46</v>
      </c>
      <c r="N704">
        <v>6</v>
      </c>
      <c r="O704">
        <v>0.13</v>
      </c>
      <c r="P704">
        <v>0.08</v>
      </c>
      <c r="Q704" t="s">
        <v>9895</v>
      </c>
      <c r="R704">
        <v>4</v>
      </c>
      <c r="S704" s="5">
        <f t="shared" si="20"/>
        <v>4.3139242690594565E-5</v>
      </c>
      <c r="T704">
        <v>309.07666666666671</v>
      </c>
      <c r="U704">
        <v>3</v>
      </c>
      <c r="V704">
        <v>2022</v>
      </c>
      <c r="W704">
        <v>1</v>
      </c>
      <c r="X704" t="s">
        <v>9899</v>
      </c>
      <c r="Y704" t="s">
        <v>9901</v>
      </c>
      <c r="Z704" t="s">
        <v>9898</v>
      </c>
      <c r="AD704">
        <f t="shared" si="21"/>
        <v>4</v>
      </c>
    </row>
    <row r="705" spans="1:30" x14ac:dyDescent="0.25">
      <c r="A705" t="s">
        <v>729</v>
      </c>
      <c r="B705" s="2">
        <v>45437</v>
      </c>
      <c r="C705" s="2">
        <v>45440</v>
      </c>
      <c r="D705" t="s">
        <v>5358</v>
      </c>
      <c r="E705" t="s">
        <v>5858</v>
      </c>
      <c r="F705" t="s">
        <v>6026</v>
      </c>
      <c r="G705" t="s">
        <v>6031</v>
      </c>
      <c r="H705" t="s">
        <v>6034</v>
      </c>
      <c r="I705" t="s">
        <v>6048</v>
      </c>
      <c r="J705" t="s">
        <v>6054</v>
      </c>
      <c r="K705" t="s">
        <v>6060</v>
      </c>
      <c r="L705" t="s">
        <v>6745</v>
      </c>
      <c r="M705">
        <v>1614.35</v>
      </c>
      <c r="N705">
        <v>2</v>
      </c>
      <c r="O705">
        <v>0</v>
      </c>
      <c r="P705">
        <v>166.57</v>
      </c>
      <c r="Q705" t="s">
        <v>9894</v>
      </c>
      <c r="R705">
        <v>3</v>
      </c>
      <c r="S705" s="5">
        <f t="shared" si="20"/>
        <v>0.10318084678043794</v>
      </c>
      <c r="T705">
        <v>807.17499999999995</v>
      </c>
      <c r="U705">
        <v>5</v>
      </c>
      <c r="V705">
        <v>2024</v>
      </c>
      <c r="W705">
        <v>2</v>
      </c>
      <c r="X705" t="s">
        <v>9899</v>
      </c>
      <c r="Y705" t="s">
        <v>9901</v>
      </c>
      <c r="Z705" t="s">
        <v>9898</v>
      </c>
      <c r="AD705">
        <f t="shared" si="21"/>
        <v>3</v>
      </c>
    </row>
    <row r="706" spans="1:30" x14ac:dyDescent="0.25">
      <c r="A706" t="s">
        <v>730</v>
      </c>
      <c r="B706" s="2">
        <v>45101</v>
      </c>
      <c r="C706" s="2">
        <v>45103</v>
      </c>
      <c r="D706" t="s">
        <v>5409</v>
      </c>
      <c r="E706" t="s">
        <v>5909</v>
      </c>
      <c r="F706" t="s">
        <v>6027</v>
      </c>
      <c r="G706" t="s">
        <v>6029</v>
      </c>
      <c r="H706" t="s">
        <v>6044</v>
      </c>
      <c r="I706" t="s">
        <v>6046</v>
      </c>
      <c r="J706" t="s">
        <v>6054</v>
      </c>
      <c r="K706" t="s">
        <v>6060</v>
      </c>
      <c r="L706" t="s">
        <v>6746</v>
      </c>
      <c r="M706">
        <v>572.82000000000005</v>
      </c>
      <c r="N706">
        <v>8</v>
      </c>
      <c r="O706">
        <v>0.24</v>
      </c>
      <c r="P706">
        <v>-30.85</v>
      </c>
      <c r="Q706" t="s">
        <v>9896</v>
      </c>
      <c r="R706">
        <v>2</v>
      </c>
      <c r="S706" s="5">
        <f t="shared" si="20"/>
        <v>-5.3856359763974716E-2</v>
      </c>
      <c r="T706">
        <v>71.602500000000006</v>
      </c>
      <c r="U706">
        <v>6</v>
      </c>
      <c r="V706">
        <v>2023</v>
      </c>
      <c r="W706">
        <v>2</v>
      </c>
      <c r="X706" t="s">
        <v>9898</v>
      </c>
      <c r="Y706" t="s">
        <v>9900</v>
      </c>
      <c r="Z706" t="s">
        <v>9899</v>
      </c>
      <c r="AD706">
        <f t="shared" si="21"/>
        <v>2</v>
      </c>
    </row>
    <row r="707" spans="1:30" x14ac:dyDescent="0.25">
      <c r="A707" t="s">
        <v>731</v>
      </c>
      <c r="B707" s="2">
        <v>45297</v>
      </c>
      <c r="C707" s="2">
        <v>45304</v>
      </c>
      <c r="D707" t="s">
        <v>5096</v>
      </c>
      <c r="E707" t="s">
        <v>5596</v>
      </c>
      <c r="F707" t="s">
        <v>6026</v>
      </c>
      <c r="G707" t="s">
        <v>6031</v>
      </c>
      <c r="H707" t="s">
        <v>6037</v>
      </c>
      <c r="I707" t="s">
        <v>6048</v>
      </c>
      <c r="J707" t="s">
        <v>6053</v>
      </c>
      <c r="K707" t="s">
        <v>6058</v>
      </c>
      <c r="L707" t="s">
        <v>6747</v>
      </c>
      <c r="M707">
        <v>733.37</v>
      </c>
      <c r="N707">
        <v>5</v>
      </c>
      <c r="O707">
        <v>0.05</v>
      </c>
      <c r="P707">
        <v>37.42</v>
      </c>
      <c r="Q707" t="s">
        <v>9897</v>
      </c>
      <c r="R707">
        <v>7</v>
      </c>
      <c r="S707" s="5">
        <f t="shared" ref="S707:S770" si="22">P707/M707</f>
        <v>5.1024721491198168E-2</v>
      </c>
      <c r="T707">
        <v>146.67400000000001</v>
      </c>
      <c r="U707">
        <v>1</v>
      </c>
      <c r="V707">
        <v>2024</v>
      </c>
      <c r="W707">
        <v>1</v>
      </c>
      <c r="X707" t="s">
        <v>9899</v>
      </c>
      <c r="Y707" t="s">
        <v>9901</v>
      </c>
      <c r="Z707" t="s">
        <v>9899</v>
      </c>
      <c r="AD707">
        <f t="shared" ref="AD707:AD770" si="23">C707-B707</f>
        <v>7</v>
      </c>
    </row>
    <row r="708" spans="1:30" x14ac:dyDescent="0.25">
      <c r="A708" t="s">
        <v>732</v>
      </c>
      <c r="B708" s="2">
        <v>45260</v>
      </c>
      <c r="C708" s="2">
        <v>45263</v>
      </c>
      <c r="D708" t="s">
        <v>5125</v>
      </c>
      <c r="E708" t="s">
        <v>5625</v>
      </c>
      <c r="F708" t="s">
        <v>6028</v>
      </c>
      <c r="G708" t="s">
        <v>6031</v>
      </c>
      <c r="H708" t="s">
        <v>6040</v>
      </c>
      <c r="I708" t="s">
        <v>6050</v>
      </c>
      <c r="J708" t="s">
        <v>6055</v>
      </c>
      <c r="K708" t="s">
        <v>6063</v>
      </c>
      <c r="L708" t="s">
        <v>6748</v>
      </c>
      <c r="M708">
        <v>1879.8</v>
      </c>
      <c r="N708">
        <v>6</v>
      </c>
      <c r="O708">
        <v>0.18</v>
      </c>
      <c r="P708">
        <v>-113.69</v>
      </c>
      <c r="Q708" t="s">
        <v>9895</v>
      </c>
      <c r="R708">
        <v>3</v>
      </c>
      <c r="S708" s="5">
        <f t="shared" si="22"/>
        <v>-6.0479838280668156E-2</v>
      </c>
      <c r="T708">
        <v>313.3</v>
      </c>
      <c r="U708">
        <v>11</v>
      </c>
      <c r="V708">
        <v>2023</v>
      </c>
      <c r="W708">
        <v>4</v>
      </c>
      <c r="X708" t="s">
        <v>9898</v>
      </c>
      <c r="Y708" t="s">
        <v>9900</v>
      </c>
      <c r="Z708" t="s">
        <v>9898</v>
      </c>
      <c r="AD708">
        <f t="shared" si="23"/>
        <v>3</v>
      </c>
    </row>
    <row r="709" spans="1:30" x14ac:dyDescent="0.25">
      <c r="A709" t="s">
        <v>733</v>
      </c>
      <c r="B709" s="2">
        <v>45438</v>
      </c>
      <c r="C709" s="2">
        <v>45442</v>
      </c>
      <c r="D709" t="s">
        <v>5388</v>
      </c>
      <c r="E709" t="s">
        <v>5888</v>
      </c>
      <c r="F709" t="s">
        <v>6027</v>
      </c>
      <c r="G709" t="s">
        <v>6029</v>
      </c>
      <c r="H709" t="s">
        <v>6041</v>
      </c>
      <c r="I709" t="s">
        <v>6049</v>
      </c>
      <c r="J709" t="s">
        <v>6055</v>
      </c>
      <c r="K709" t="s">
        <v>6061</v>
      </c>
      <c r="L709" t="s">
        <v>6749</v>
      </c>
      <c r="M709">
        <v>500.43</v>
      </c>
      <c r="N709">
        <v>4</v>
      </c>
      <c r="O709">
        <v>7.0000000000000007E-2</v>
      </c>
      <c r="P709">
        <v>61.66</v>
      </c>
      <c r="Q709" t="s">
        <v>9894</v>
      </c>
      <c r="R709">
        <v>4</v>
      </c>
      <c r="S709" s="5">
        <f t="shared" si="22"/>
        <v>0.12321403592910096</v>
      </c>
      <c r="T709">
        <v>125.1075</v>
      </c>
      <c r="U709">
        <v>5</v>
      </c>
      <c r="V709">
        <v>2024</v>
      </c>
      <c r="W709">
        <v>2</v>
      </c>
      <c r="X709" t="s">
        <v>9899</v>
      </c>
      <c r="Y709" t="s">
        <v>9901</v>
      </c>
      <c r="Z709" t="s">
        <v>9899</v>
      </c>
      <c r="AD709">
        <f t="shared" si="23"/>
        <v>4</v>
      </c>
    </row>
    <row r="710" spans="1:30" x14ac:dyDescent="0.25">
      <c r="A710" t="s">
        <v>734</v>
      </c>
      <c r="B710" s="2">
        <v>44982</v>
      </c>
      <c r="C710" s="2">
        <v>44983</v>
      </c>
      <c r="D710" t="s">
        <v>5286</v>
      </c>
      <c r="E710" t="s">
        <v>5786</v>
      </c>
      <c r="F710" t="s">
        <v>6027</v>
      </c>
      <c r="G710" t="s">
        <v>6030</v>
      </c>
      <c r="H710" t="s">
        <v>6035</v>
      </c>
      <c r="I710" t="s">
        <v>6051</v>
      </c>
      <c r="J710" t="s">
        <v>6054</v>
      </c>
      <c r="K710" t="s">
        <v>6062</v>
      </c>
      <c r="L710" t="s">
        <v>6750</v>
      </c>
      <c r="M710">
        <v>1941.09</v>
      </c>
      <c r="N710">
        <v>5</v>
      </c>
      <c r="O710">
        <v>0.2</v>
      </c>
      <c r="P710">
        <v>-170.62</v>
      </c>
      <c r="Q710" t="s">
        <v>9896</v>
      </c>
      <c r="R710">
        <v>1</v>
      </c>
      <c r="S710" s="5">
        <f t="shared" si="22"/>
        <v>-8.7899067019046012E-2</v>
      </c>
      <c r="T710">
        <v>388.21800000000002</v>
      </c>
      <c r="U710">
        <v>2</v>
      </c>
      <c r="V710">
        <v>2023</v>
      </c>
      <c r="W710">
        <v>1</v>
      </c>
      <c r="X710" t="s">
        <v>9898</v>
      </c>
      <c r="Y710" t="s">
        <v>9900</v>
      </c>
      <c r="Z710" t="s">
        <v>9898</v>
      </c>
      <c r="AD710">
        <f t="shared" si="23"/>
        <v>1</v>
      </c>
    </row>
    <row r="711" spans="1:30" x14ac:dyDescent="0.25">
      <c r="A711" t="s">
        <v>735</v>
      </c>
      <c r="B711" s="2">
        <v>45185</v>
      </c>
      <c r="C711" s="2">
        <v>45190</v>
      </c>
      <c r="D711" t="s">
        <v>5350</v>
      </c>
      <c r="E711" t="s">
        <v>5850</v>
      </c>
      <c r="F711" t="s">
        <v>6027</v>
      </c>
      <c r="G711" t="s">
        <v>6029</v>
      </c>
      <c r="H711" t="s">
        <v>6041</v>
      </c>
      <c r="I711" t="s">
        <v>6046</v>
      </c>
      <c r="J711" t="s">
        <v>6054</v>
      </c>
      <c r="K711" t="s">
        <v>6060</v>
      </c>
      <c r="L711" t="s">
        <v>6751</v>
      </c>
      <c r="M711">
        <v>661.67</v>
      </c>
      <c r="N711">
        <v>7</v>
      </c>
      <c r="O711">
        <v>0.12</v>
      </c>
      <c r="P711">
        <v>10.96</v>
      </c>
      <c r="Q711" t="s">
        <v>9896</v>
      </c>
      <c r="R711">
        <v>5</v>
      </c>
      <c r="S711" s="5">
        <f t="shared" si="22"/>
        <v>1.6564148291444376E-2</v>
      </c>
      <c r="T711">
        <v>94.52428571428571</v>
      </c>
      <c r="U711">
        <v>9</v>
      </c>
      <c r="V711">
        <v>2023</v>
      </c>
      <c r="W711">
        <v>3</v>
      </c>
      <c r="X711" t="s">
        <v>9899</v>
      </c>
      <c r="Y711" t="s">
        <v>9901</v>
      </c>
      <c r="Z711" t="s">
        <v>9899</v>
      </c>
      <c r="AD711">
        <f t="shared" si="23"/>
        <v>5</v>
      </c>
    </row>
    <row r="712" spans="1:30" x14ac:dyDescent="0.25">
      <c r="A712" t="s">
        <v>736</v>
      </c>
      <c r="B712" s="2">
        <v>44900</v>
      </c>
      <c r="C712" s="2">
        <v>44903</v>
      </c>
      <c r="D712" t="s">
        <v>5378</v>
      </c>
      <c r="E712" t="s">
        <v>5878</v>
      </c>
      <c r="F712" t="s">
        <v>6027</v>
      </c>
      <c r="G712" t="s">
        <v>6029</v>
      </c>
      <c r="H712" t="s">
        <v>6044</v>
      </c>
      <c r="I712" t="s">
        <v>6050</v>
      </c>
      <c r="J712" t="s">
        <v>6054</v>
      </c>
      <c r="K712" t="s">
        <v>6062</v>
      </c>
      <c r="L712" t="s">
        <v>6752</v>
      </c>
      <c r="M712">
        <v>696.32</v>
      </c>
      <c r="N712">
        <v>8</v>
      </c>
      <c r="O712">
        <v>0.18</v>
      </c>
      <c r="P712">
        <v>72.7</v>
      </c>
      <c r="Q712" t="s">
        <v>9896</v>
      </c>
      <c r="R712">
        <v>3</v>
      </c>
      <c r="S712" s="5">
        <f t="shared" si="22"/>
        <v>0.10440602022058823</v>
      </c>
      <c r="T712">
        <v>87.04</v>
      </c>
      <c r="U712">
        <v>12</v>
      </c>
      <c r="V712">
        <v>2022</v>
      </c>
      <c r="W712">
        <v>4</v>
      </c>
      <c r="X712" t="s">
        <v>9899</v>
      </c>
      <c r="Y712" t="s">
        <v>9900</v>
      </c>
      <c r="Z712" t="s">
        <v>9899</v>
      </c>
      <c r="AD712">
        <f t="shared" si="23"/>
        <v>3</v>
      </c>
    </row>
    <row r="713" spans="1:30" x14ac:dyDescent="0.25">
      <c r="A713" t="s">
        <v>737</v>
      </c>
      <c r="B713" s="2">
        <v>44857</v>
      </c>
      <c r="C713" s="2">
        <v>44859</v>
      </c>
      <c r="D713" t="s">
        <v>5267</v>
      </c>
      <c r="E713" t="s">
        <v>5767</v>
      </c>
      <c r="F713" t="s">
        <v>6027</v>
      </c>
      <c r="G713" t="s">
        <v>6029</v>
      </c>
      <c r="H713" t="s">
        <v>6044</v>
      </c>
      <c r="I713" t="s">
        <v>6050</v>
      </c>
      <c r="J713" t="s">
        <v>6054</v>
      </c>
      <c r="K713" t="s">
        <v>6062</v>
      </c>
      <c r="L713" t="s">
        <v>6480</v>
      </c>
      <c r="M713">
        <v>1453.24</v>
      </c>
      <c r="N713">
        <v>4</v>
      </c>
      <c r="O713">
        <v>0.24</v>
      </c>
      <c r="P713">
        <v>-121.92</v>
      </c>
      <c r="Q713" t="s">
        <v>9893</v>
      </c>
      <c r="R713">
        <v>2</v>
      </c>
      <c r="S713" s="5">
        <f t="shared" si="22"/>
        <v>-8.3895296028185296E-2</v>
      </c>
      <c r="T713">
        <v>363.31</v>
      </c>
      <c r="U713">
        <v>10</v>
      </c>
      <c r="V713">
        <v>2022</v>
      </c>
      <c r="W713">
        <v>4</v>
      </c>
      <c r="X713" t="s">
        <v>9898</v>
      </c>
      <c r="Y713" t="s">
        <v>9900</v>
      </c>
      <c r="Z713" t="s">
        <v>9898</v>
      </c>
      <c r="AD713">
        <f t="shared" si="23"/>
        <v>2</v>
      </c>
    </row>
    <row r="714" spans="1:30" x14ac:dyDescent="0.25">
      <c r="A714" t="s">
        <v>738</v>
      </c>
      <c r="B714" s="2">
        <v>44608</v>
      </c>
      <c r="C714" s="2">
        <v>44609</v>
      </c>
      <c r="D714" t="s">
        <v>5034</v>
      </c>
      <c r="E714" t="s">
        <v>5534</v>
      </c>
      <c r="F714" t="s">
        <v>6027</v>
      </c>
      <c r="G714" t="s">
        <v>6030</v>
      </c>
      <c r="H714" t="s">
        <v>6035</v>
      </c>
      <c r="I714" t="s">
        <v>6051</v>
      </c>
      <c r="J714" t="s">
        <v>6055</v>
      </c>
      <c r="K714" t="s">
        <v>6061</v>
      </c>
      <c r="L714" t="s">
        <v>6753</v>
      </c>
      <c r="M714">
        <v>771.01</v>
      </c>
      <c r="N714">
        <v>2</v>
      </c>
      <c r="O714">
        <v>0.2</v>
      </c>
      <c r="P714">
        <v>-51.89</v>
      </c>
      <c r="Q714" t="s">
        <v>9897</v>
      </c>
      <c r="R714">
        <v>1</v>
      </c>
      <c r="S714" s="5">
        <f t="shared" si="22"/>
        <v>-6.7301332019039956E-2</v>
      </c>
      <c r="T714">
        <v>385.505</v>
      </c>
      <c r="U714">
        <v>2</v>
      </c>
      <c r="V714">
        <v>2022</v>
      </c>
      <c r="W714">
        <v>1</v>
      </c>
      <c r="X714" t="s">
        <v>9898</v>
      </c>
      <c r="Y714" t="s">
        <v>9900</v>
      </c>
      <c r="Z714" t="s">
        <v>9899</v>
      </c>
      <c r="AD714">
        <f t="shared" si="23"/>
        <v>1</v>
      </c>
    </row>
    <row r="715" spans="1:30" x14ac:dyDescent="0.25">
      <c r="A715" t="s">
        <v>739</v>
      </c>
      <c r="B715" s="2">
        <v>44699</v>
      </c>
      <c r="C715" s="2">
        <v>44704</v>
      </c>
      <c r="D715" t="s">
        <v>5205</v>
      </c>
      <c r="E715" t="s">
        <v>5705</v>
      </c>
      <c r="F715" t="s">
        <v>6026</v>
      </c>
      <c r="G715" t="s">
        <v>6031</v>
      </c>
      <c r="H715" t="s">
        <v>6043</v>
      </c>
      <c r="I715" t="s">
        <v>6052</v>
      </c>
      <c r="J715" t="s">
        <v>6053</v>
      </c>
      <c r="K715" t="s">
        <v>6056</v>
      </c>
      <c r="L715" t="s">
        <v>6754</v>
      </c>
      <c r="M715">
        <v>1109.03</v>
      </c>
      <c r="N715">
        <v>2</v>
      </c>
      <c r="O715">
        <v>0.33</v>
      </c>
      <c r="P715">
        <v>-187.44</v>
      </c>
      <c r="Q715" t="s">
        <v>9894</v>
      </c>
      <c r="R715">
        <v>5</v>
      </c>
      <c r="S715" s="5">
        <f t="shared" si="22"/>
        <v>-0.16901256052586494</v>
      </c>
      <c r="T715">
        <v>554.51499999999999</v>
      </c>
      <c r="U715">
        <v>5</v>
      </c>
      <c r="V715">
        <v>2022</v>
      </c>
      <c r="W715">
        <v>2</v>
      </c>
      <c r="X715" t="s">
        <v>9898</v>
      </c>
      <c r="Y715" t="s">
        <v>9902</v>
      </c>
      <c r="Z715" t="s">
        <v>9898</v>
      </c>
      <c r="AD715">
        <f t="shared" si="23"/>
        <v>5</v>
      </c>
    </row>
    <row r="716" spans="1:30" x14ac:dyDescent="0.25">
      <c r="A716" t="s">
        <v>740</v>
      </c>
      <c r="B716" s="2">
        <v>45047</v>
      </c>
      <c r="C716" s="2">
        <v>45053</v>
      </c>
      <c r="D716" t="s">
        <v>5410</v>
      </c>
      <c r="E716" t="s">
        <v>5910</v>
      </c>
      <c r="F716" t="s">
        <v>6028</v>
      </c>
      <c r="G716" t="s">
        <v>6029</v>
      </c>
      <c r="H716" t="s">
        <v>6032</v>
      </c>
      <c r="I716" t="s">
        <v>6049</v>
      </c>
      <c r="J716" t="s">
        <v>6055</v>
      </c>
      <c r="K716" t="s">
        <v>6064</v>
      </c>
      <c r="L716" t="s">
        <v>6755</v>
      </c>
      <c r="M716">
        <v>500.83</v>
      </c>
      <c r="N716">
        <v>5</v>
      </c>
      <c r="O716">
        <v>0.01</v>
      </c>
      <c r="P716">
        <v>138.99</v>
      </c>
      <c r="Q716" t="s">
        <v>9896</v>
      </c>
      <c r="R716">
        <v>6</v>
      </c>
      <c r="S716" s="5">
        <f t="shared" si="22"/>
        <v>0.2775193179322325</v>
      </c>
      <c r="T716">
        <v>100.166</v>
      </c>
      <c r="U716">
        <v>5</v>
      </c>
      <c r="V716">
        <v>2023</v>
      </c>
      <c r="W716">
        <v>2</v>
      </c>
      <c r="X716" t="s">
        <v>9899</v>
      </c>
      <c r="Y716" t="s">
        <v>9901</v>
      </c>
      <c r="Z716" t="s">
        <v>9899</v>
      </c>
      <c r="AD716">
        <f t="shared" si="23"/>
        <v>6</v>
      </c>
    </row>
    <row r="717" spans="1:30" x14ac:dyDescent="0.25">
      <c r="A717" t="s">
        <v>741</v>
      </c>
      <c r="B717" s="2">
        <v>44592</v>
      </c>
      <c r="C717" s="2">
        <v>44593</v>
      </c>
      <c r="D717" t="s">
        <v>5327</v>
      </c>
      <c r="E717" t="s">
        <v>5827</v>
      </c>
      <c r="F717" t="s">
        <v>6027</v>
      </c>
      <c r="G717" t="s">
        <v>6031</v>
      </c>
      <c r="H717" t="s">
        <v>6037</v>
      </c>
      <c r="I717" t="s">
        <v>6048</v>
      </c>
      <c r="J717" t="s">
        <v>6055</v>
      </c>
      <c r="K717" t="s">
        <v>6064</v>
      </c>
      <c r="L717" t="s">
        <v>6756</v>
      </c>
      <c r="M717">
        <v>952.38</v>
      </c>
      <c r="N717">
        <v>4</v>
      </c>
      <c r="O717">
        <v>0.22</v>
      </c>
      <c r="P717">
        <v>-26.82</v>
      </c>
      <c r="Q717" t="s">
        <v>9897</v>
      </c>
      <c r="R717">
        <v>1</v>
      </c>
      <c r="S717" s="5">
        <f t="shared" si="22"/>
        <v>-2.8161028161028161E-2</v>
      </c>
      <c r="T717">
        <v>238.095</v>
      </c>
      <c r="U717">
        <v>1</v>
      </c>
      <c r="V717">
        <v>2022</v>
      </c>
      <c r="W717">
        <v>1</v>
      </c>
      <c r="X717" t="s">
        <v>9898</v>
      </c>
      <c r="Y717" t="s">
        <v>9900</v>
      </c>
      <c r="Z717" t="s">
        <v>9899</v>
      </c>
      <c r="AD717">
        <f t="shared" si="23"/>
        <v>1</v>
      </c>
    </row>
    <row r="718" spans="1:30" x14ac:dyDescent="0.25">
      <c r="A718" t="s">
        <v>742</v>
      </c>
      <c r="B718" s="2">
        <v>45281</v>
      </c>
      <c r="C718" s="2">
        <v>45288</v>
      </c>
      <c r="D718" t="s">
        <v>5345</v>
      </c>
      <c r="E718" t="s">
        <v>5845</v>
      </c>
      <c r="F718" t="s">
        <v>6026</v>
      </c>
      <c r="G718" t="s">
        <v>6031</v>
      </c>
      <c r="H718" t="s">
        <v>6034</v>
      </c>
      <c r="I718" t="s">
        <v>6050</v>
      </c>
      <c r="J718" t="s">
        <v>6053</v>
      </c>
      <c r="K718" t="s">
        <v>6057</v>
      </c>
      <c r="L718" t="s">
        <v>6757</v>
      </c>
      <c r="M718">
        <v>1548.34</v>
      </c>
      <c r="N718">
        <v>6</v>
      </c>
      <c r="O718">
        <v>0.19</v>
      </c>
      <c r="P718">
        <v>122.77</v>
      </c>
      <c r="Q718" t="s">
        <v>9896</v>
      </c>
      <c r="R718">
        <v>7</v>
      </c>
      <c r="S718" s="5">
        <f t="shared" si="22"/>
        <v>7.9291370112507586E-2</v>
      </c>
      <c r="T718">
        <v>258.05666666666667</v>
      </c>
      <c r="U718">
        <v>12</v>
      </c>
      <c r="V718">
        <v>2023</v>
      </c>
      <c r="W718">
        <v>4</v>
      </c>
      <c r="X718" t="s">
        <v>9899</v>
      </c>
      <c r="Y718" t="s">
        <v>9900</v>
      </c>
      <c r="Z718" t="s">
        <v>9898</v>
      </c>
      <c r="AD718">
        <f t="shared" si="23"/>
        <v>7</v>
      </c>
    </row>
    <row r="719" spans="1:30" x14ac:dyDescent="0.25">
      <c r="A719" t="s">
        <v>743</v>
      </c>
      <c r="B719" s="2">
        <v>44734</v>
      </c>
      <c r="C719" s="2">
        <v>44736</v>
      </c>
      <c r="D719" t="s">
        <v>5411</v>
      </c>
      <c r="E719" t="s">
        <v>5911</v>
      </c>
      <c r="F719" t="s">
        <v>6028</v>
      </c>
      <c r="G719" t="s">
        <v>6029</v>
      </c>
      <c r="H719" t="s">
        <v>6045</v>
      </c>
      <c r="I719" t="s">
        <v>6050</v>
      </c>
      <c r="J719" t="s">
        <v>6053</v>
      </c>
      <c r="K719" t="s">
        <v>6057</v>
      </c>
      <c r="L719" t="s">
        <v>6758</v>
      </c>
      <c r="M719">
        <v>892.47</v>
      </c>
      <c r="N719">
        <v>7</v>
      </c>
      <c r="O719">
        <v>0.25</v>
      </c>
      <c r="P719">
        <v>-88.35</v>
      </c>
      <c r="Q719" t="s">
        <v>9894</v>
      </c>
      <c r="R719">
        <v>2</v>
      </c>
      <c r="S719" s="5">
        <f t="shared" si="22"/>
        <v>-9.8994924199132736E-2</v>
      </c>
      <c r="T719">
        <v>127.4957142857143</v>
      </c>
      <c r="U719">
        <v>6</v>
      </c>
      <c r="V719">
        <v>2022</v>
      </c>
      <c r="W719">
        <v>2</v>
      </c>
      <c r="X719" t="s">
        <v>9898</v>
      </c>
      <c r="Y719" t="s">
        <v>9900</v>
      </c>
      <c r="Z719" t="s">
        <v>9899</v>
      </c>
      <c r="AD719">
        <f t="shared" si="23"/>
        <v>2</v>
      </c>
    </row>
    <row r="720" spans="1:30" x14ac:dyDescent="0.25">
      <c r="A720" t="s">
        <v>744</v>
      </c>
      <c r="B720" s="2">
        <v>45077</v>
      </c>
      <c r="C720" s="2">
        <v>45079</v>
      </c>
      <c r="D720" t="s">
        <v>5188</v>
      </c>
      <c r="E720" t="s">
        <v>5688</v>
      </c>
      <c r="F720" t="s">
        <v>6027</v>
      </c>
      <c r="G720" t="s">
        <v>6031</v>
      </c>
      <c r="H720" t="s">
        <v>6042</v>
      </c>
      <c r="I720" t="s">
        <v>6050</v>
      </c>
      <c r="J720" t="s">
        <v>6054</v>
      </c>
      <c r="K720" t="s">
        <v>6060</v>
      </c>
      <c r="L720" t="s">
        <v>6759</v>
      </c>
      <c r="M720">
        <v>1770.69</v>
      </c>
      <c r="N720">
        <v>7</v>
      </c>
      <c r="O720">
        <v>0</v>
      </c>
      <c r="P720">
        <v>313.31</v>
      </c>
      <c r="Q720" t="s">
        <v>9894</v>
      </c>
      <c r="R720">
        <v>2</v>
      </c>
      <c r="S720" s="5">
        <f t="shared" si="22"/>
        <v>0.1769423219197036</v>
      </c>
      <c r="T720">
        <v>252.95571428571429</v>
      </c>
      <c r="U720">
        <v>5</v>
      </c>
      <c r="V720">
        <v>2023</v>
      </c>
      <c r="W720">
        <v>2</v>
      </c>
      <c r="X720" t="s">
        <v>9899</v>
      </c>
      <c r="Y720" t="s">
        <v>9901</v>
      </c>
      <c r="Z720" t="s">
        <v>9898</v>
      </c>
      <c r="AD720">
        <f t="shared" si="23"/>
        <v>2</v>
      </c>
    </row>
    <row r="721" spans="1:30" x14ac:dyDescent="0.25">
      <c r="A721" t="s">
        <v>745</v>
      </c>
      <c r="B721" s="2">
        <v>45237</v>
      </c>
      <c r="C721" s="2">
        <v>45241</v>
      </c>
      <c r="D721" t="s">
        <v>5387</v>
      </c>
      <c r="E721" t="s">
        <v>5887</v>
      </c>
      <c r="F721" t="s">
        <v>6026</v>
      </c>
      <c r="G721" t="s">
        <v>6031</v>
      </c>
      <c r="H721" t="s">
        <v>6034</v>
      </c>
      <c r="I721" t="s">
        <v>6052</v>
      </c>
      <c r="J721" t="s">
        <v>6055</v>
      </c>
      <c r="K721" t="s">
        <v>6064</v>
      </c>
      <c r="L721" t="s">
        <v>6760</v>
      </c>
      <c r="M721">
        <v>1326.9</v>
      </c>
      <c r="N721">
        <v>2</v>
      </c>
      <c r="O721">
        <v>0.16</v>
      </c>
      <c r="P721">
        <v>165.42</v>
      </c>
      <c r="Q721" t="s">
        <v>9897</v>
      </c>
      <c r="R721">
        <v>4</v>
      </c>
      <c r="S721" s="5">
        <f t="shared" si="22"/>
        <v>0.12466651593940763</v>
      </c>
      <c r="T721">
        <v>663.45</v>
      </c>
      <c r="U721">
        <v>11</v>
      </c>
      <c r="V721">
        <v>2023</v>
      </c>
      <c r="W721">
        <v>4</v>
      </c>
      <c r="X721" t="s">
        <v>9899</v>
      </c>
      <c r="Y721" t="s">
        <v>9900</v>
      </c>
      <c r="Z721" t="s">
        <v>9898</v>
      </c>
      <c r="AD721">
        <f t="shared" si="23"/>
        <v>4</v>
      </c>
    </row>
    <row r="722" spans="1:30" x14ac:dyDescent="0.25">
      <c r="A722" t="s">
        <v>746</v>
      </c>
      <c r="B722" s="2">
        <v>45375</v>
      </c>
      <c r="C722" s="2">
        <v>45381</v>
      </c>
      <c r="D722" t="s">
        <v>5412</v>
      </c>
      <c r="E722" t="s">
        <v>5912</v>
      </c>
      <c r="F722" t="s">
        <v>6027</v>
      </c>
      <c r="G722" t="s">
        <v>6030</v>
      </c>
      <c r="H722" t="s">
        <v>6033</v>
      </c>
      <c r="I722" t="s">
        <v>6047</v>
      </c>
      <c r="J722" t="s">
        <v>6054</v>
      </c>
      <c r="K722" t="s">
        <v>6060</v>
      </c>
      <c r="L722" t="s">
        <v>6761</v>
      </c>
      <c r="M722">
        <v>519.52</v>
      </c>
      <c r="N722">
        <v>8</v>
      </c>
      <c r="O722">
        <v>0.27</v>
      </c>
      <c r="P722">
        <v>-87.59</v>
      </c>
      <c r="Q722" t="s">
        <v>9896</v>
      </c>
      <c r="R722">
        <v>6</v>
      </c>
      <c r="S722" s="5">
        <f t="shared" si="22"/>
        <v>-0.1685979365568217</v>
      </c>
      <c r="T722">
        <v>64.94</v>
      </c>
      <c r="U722">
        <v>3</v>
      </c>
      <c r="V722">
        <v>2024</v>
      </c>
      <c r="W722">
        <v>1</v>
      </c>
      <c r="X722" t="s">
        <v>9898</v>
      </c>
      <c r="Y722" t="s">
        <v>9900</v>
      </c>
      <c r="Z722" t="s">
        <v>9899</v>
      </c>
      <c r="AD722">
        <f t="shared" si="23"/>
        <v>6</v>
      </c>
    </row>
    <row r="723" spans="1:30" x14ac:dyDescent="0.25">
      <c r="A723" t="s">
        <v>747</v>
      </c>
      <c r="B723" s="2">
        <v>45403</v>
      </c>
      <c r="C723" s="2">
        <v>45408</v>
      </c>
      <c r="D723" t="s">
        <v>5040</v>
      </c>
      <c r="E723" t="s">
        <v>5540</v>
      </c>
      <c r="F723" t="s">
        <v>6028</v>
      </c>
      <c r="G723" t="s">
        <v>6031</v>
      </c>
      <c r="H723" t="s">
        <v>6040</v>
      </c>
      <c r="I723" t="s">
        <v>6048</v>
      </c>
      <c r="J723" t="s">
        <v>6055</v>
      </c>
      <c r="K723" t="s">
        <v>6061</v>
      </c>
      <c r="L723" t="s">
        <v>6694</v>
      </c>
      <c r="M723">
        <v>890.77</v>
      </c>
      <c r="N723">
        <v>8</v>
      </c>
      <c r="O723">
        <v>0.17</v>
      </c>
      <c r="P723">
        <v>95.91</v>
      </c>
      <c r="Q723" t="s">
        <v>9893</v>
      </c>
      <c r="R723">
        <v>5</v>
      </c>
      <c r="S723" s="5">
        <f t="shared" si="22"/>
        <v>0.10767089147591409</v>
      </c>
      <c r="T723">
        <v>111.34625</v>
      </c>
      <c r="U723">
        <v>4</v>
      </c>
      <c r="V723">
        <v>2024</v>
      </c>
      <c r="W723">
        <v>2</v>
      </c>
      <c r="X723" t="s">
        <v>9899</v>
      </c>
      <c r="Y723" t="s">
        <v>9900</v>
      </c>
      <c r="Z723" t="s">
        <v>9899</v>
      </c>
      <c r="AD723">
        <f t="shared" si="23"/>
        <v>5</v>
      </c>
    </row>
    <row r="724" spans="1:30" x14ac:dyDescent="0.25">
      <c r="A724" t="s">
        <v>748</v>
      </c>
      <c r="B724" s="2">
        <v>45209</v>
      </c>
      <c r="C724" s="2">
        <v>45214</v>
      </c>
      <c r="D724" t="s">
        <v>5060</v>
      </c>
      <c r="E724" t="s">
        <v>5560</v>
      </c>
      <c r="F724" t="s">
        <v>6027</v>
      </c>
      <c r="G724" t="s">
        <v>6030</v>
      </c>
      <c r="H724" t="s">
        <v>6033</v>
      </c>
      <c r="I724" t="s">
        <v>6047</v>
      </c>
      <c r="J724" t="s">
        <v>6054</v>
      </c>
      <c r="K724" t="s">
        <v>6059</v>
      </c>
      <c r="L724" t="s">
        <v>6762</v>
      </c>
      <c r="M724">
        <v>279.19</v>
      </c>
      <c r="N724">
        <v>2</v>
      </c>
      <c r="O724">
        <v>0.17</v>
      </c>
      <c r="P724">
        <v>7.39</v>
      </c>
      <c r="Q724" t="s">
        <v>9894</v>
      </c>
      <c r="R724">
        <v>5</v>
      </c>
      <c r="S724" s="5">
        <f t="shared" si="22"/>
        <v>2.6469429420824527E-2</v>
      </c>
      <c r="T724">
        <v>139.595</v>
      </c>
      <c r="U724">
        <v>10</v>
      </c>
      <c r="V724">
        <v>2023</v>
      </c>
      <c r="W724">
        <v>4</v>
      </c>
      <c r="X724" t="s">
        <v>9899</v>
      </c>
      <c r="Y724" t="s">
        <v>9900</v>
      </c>
      <c r="Z724" t="s">
        <v>9899</v>
      </c>
      <c r="AD724">
        <f t="shared" si="23"/>
        <v>5</v>
      </c>
    </row>
    <row r="725" spans="1:30" x14ac:dyDescent="0.25">
      <c r="A725" t="s">
        <v>749</v>
      </c>
      <c r="B725" s="2">
        <v>45431</v>
      </c>
      <c r="C725" s="2">
        <v>45437</v>
      </c>
      <c r="D725" t="s">
        <v>5058</v>
      </c>
      <c r="E725" t="s">
        <v>5558</v>
      </c>
      <c r="F725" t="s">
        <v>6026</v>
      </c>
      <c r="G725" t="s">
        <v>6030</v>
      </c>
      <c r="H725" t="s">
        <v>6038</v>
      </c>
      <c r="I725" t="s">
        <v>6051</v>
      </c>
      <c r="J725" t="s">
        <v>6055</v>
      </c>
      <c r="K725" t="s">
        <v>6064</v>
      </c>
      <c r="L725" t="s">
        <v>6763</v>
      </c>
      <c r="M725">
        <v>918.46</v>
      </c>
      <c r="N725">
        <v>4</v>
      </c>
      <c r="O725">
        <v>0.12</v>
      </c>
      <c r="P725">
        <v>7.34</v>
      </c>
      <c r="Q725" t="s">
        <v>9897</v>
      </c>
      <c r="R725">
        <v>6</v>
      </c>
      <c r="S725" s="5">
        <f t="shared" si="22"/>
        <v>7.9916381769483697E-3</v>
      </c>
      <c r="T725">
        <v>229.61500000000001</v>
      </c>
      <c r="U725">
        <v>5</v>
      </c>
      <c r="V725">
        <v>2024</v>
      </c>
      <c r="W725">
        <v>2</v>
      </c>
      <c r="X725" t="s">
        <v>9899</v>
      </c>
      <c r="Y725" t="s">
        <v>9901</v>
      </c>
      <c r="Z725" t="s">
        <v>9899</v>
      </c>
      <c r="AD725">
        <f t="shared" si="23"/>
        <v>6</v>
      </c>
    </row>
    <row r="726" spans="1:30" x14ac:dyDescent="0.25">
      <c r="A726" t="s">
        <v>750</v>
      </c>
      <c r="B726" s="2">
        <v>44768</v>
      </c>
      <c r="C726" s="2">
        <v>44774</v>
      </c>
      <c r="D726" t="s">
        <v>5381</v>
      </c>
      <c r="E726" t="s">
        <v>5881</v>
      </c>
      <c r="F726" t="s">
        <v>6027</v>
      </c>
      <c r="G726" t="s">
        <v>6031</v>
      </c>
      <c r="H726" t="s">
        <v>6037</v>
      </c>
      <c r="I726" t="s">
        <v>6050</v>
      </c>
      <c r="J726" t="s">
        <v>6053</v>
      </c>
      <c r="K726" t="s">
        <v>6058</v>
      </c>
      <c r="L726" t="s">
        <v>6764</v>
      </c>
      <c r="M726">
        <v>469.41</v>
      </c>
      <c r="N726">
        <v>7</v>
      </c>
      <c r="O726">
        <v>0.16</v>
      </c>
      <c r="P726">
        <v>-0.89</v>
      </c>
      <c r="Q726" t="s">
        <v>9893</v>
      </c>
      <c r="R726">
        <v>6</v>
      </c>
      <c r="S726" s="5">
        <f t="shared" si="22"/>
        <v>-1.8959971027460003E-3</v>
      </c>
      <c r="T726">
        <v>67.058571428571426</v>
      </c>
      <c r="U726">
        <v>7</v>
      </c>
      <c r="V726">
        <v>2022</v>
      </c>
      <c r="W726">
        <v>3</v>
      </c>
      <c r="X726" t="s">
        <v>9898</v>
      </c>
      <c r="Y726" t="s">
        <v>9900</v>
      </c>
      <c r="Z726" t="s">
        <v>9899</v>
      </c>
      <c r="AD726">
        <f t="shared" si="23"/>
        <v>6</v>
      </c>
    </row>
    <row r="727" spans="1:30" x14ac:dyDescent="0.25">
      <c r="A727" t="s">
        <v>751</v>
      </c>
      <c r="B727" s="2">
        <v>45370</v>
      </c>
      <c r="C727" s="2">
        <v>45372</v>
      </c>
      <c r="D727" t="s">
        <v>5114</v>
      </c>
      <c r="E727" t="s">
        <v>5614</v>
      </c>
      <c r="F727" t="s">
        <v>6028</v>
      </c>
      <c r="G727" t="s">
        <v>6031</v>
      </c>
      <c r="H727" t="s">
        <v>6042</v>
      </c>
      <c r="I727" t="s">
        <v>6050</v>
      </c>
      <c r="J727" t="s">
        <v>6055</v>
      </c>
      <c r="K727" t="s">
        <v>6061</v>
      </c>
      <c r="L727" t="s">
        <v>6765</v>
      </c>
      <c r="M727">
        <v>1396.35</v>
      </c>
      <c r="N727">
        <v>7</v>
      </c>
      <c r="O727">
        <v>0.14000000000000001</v>
      </c>
      <c r="P727">
        <v>109.8</v>
      </c>
      <c r="Q727" t="s">
        <v>9895</v>
      </c>
      <c r="R727">
        <v>2</v>
      </c>
      <c r="S727" s="5">
        <f t="shared" si="22"/>
        <v>7.8633580406058654E-2</v>
      </c>
      <c r="T727">
        <v>199.4785714285714</v>
      </c>
      <c r="U727">
        <v>3</v>
      </c>
      <c r="V727">
        <v>2024</v>
      </c>
      <c r="W727">
        <v>1</v>
      </c>
      <c r="X727" t="s">
        <v>9899</v>
      </c>
      <c r="Y727" t="s">
        <v>9901</v>
      </c>
      <c r="Z727" t="s">
        <v>9898</v>
      </c>
      <c r="AD727">
        <f t="shared" si="23"/>
        <v>2</v>
      </c>
    </row>
    <row r="728" spans="1:30" x14ac:dyDescent="0.25">
      <c r="A728" t="s">
        <v>752</v>
      </c>
      <c r="B728" s="2">
        <v>44974</v>
      </c>
      <c r="C728" s="2">
        <v>44975</v>
      </c>
      <c r="D728" t="s">
        <v>5126</v>
      </c>
      <c r="E728" t="s">
        <v>5626</v>
      </c>
      <c r="F728" t="s">
        <v>6026</v>
      </c>
      <c r="G728" t="s">
        <v>6030</v>
      </c>
      <c r="H728" t="s">
        <v>6038</v>
      </c>
      <c r="I728" t="s">
        <v>6051</v>
      </c>
      <c r="J728" t="s">
        <v>6053</v>
      </c>
      <c r="K728" t="s">
        <v>6057</v>
      </c>
      <c r="L728" t="s">
        <v>6766</v>
      </c>
      <c r="M728">
        <v>299.75</v>
      </c>
      <c r="N728">
        <v>6</v>
      </c>
      <c r="O728">
        <v>0.28000000000000003</v>
      </c>
      <c r="P728">
        <v>-12.88</v>
      </c>
      <c r="Q728" t="s">
        <v>9895</v>
      </c>
      <c r="R728">
        <v>1</v>
      </c>
      <c r="S728" s="5">
        <f t="shared" si="22"/>
        <v>-4.296914095079233E-2</v>
      </c>
      <c r="T728">
        <v>49.958333333333343</v>
      </c>
      <c r="U728">
        <v>2</v>
      </c>
      <c r="V728">
        <v>2023</v>
      </c>
      <c r="W728">
        <v>1</v>
      </c>
      <c r="X728" t="s">
        <v>9898</v>
      </c>
      <c r="Y728" t="s">
        <v>9900</v>
      </c>
      <c r="Z728" t="s">
        <v>9899</v>
      </c>
      <c r="AD728">
        <f t="shared" si="23"/>
        <v>1</v>
      </c>
    </row>
    <row r="729" spans="1:30" x14ac:dyDescent="0.25">
      <c r="A729" t="s">
        <v>753</v>
      </c>
      <c r="B729" s="2">
        <v>45195</v>
      </c>
      <c r="C729" s="2">
        <v>45197</v>
      </c>
      <c r="D729" t="s">
        <v>5240</v>
      </c>
      <c r="E729" t="s">
        <v>5740</v>
      </c>
      <c r="F729" t="s">
        <v>6028</v>
      </c>
      <c r="G729" t="s">
        <v>6030</v>
      </c>
      <c r="H729" t="s">
        <v>6033</v>
      </c>
      <c r="I729" t="s">
        <v>6047</v>
      </c>
      <c r="J729" t="s">
        <v>6055</v>
      </c>
      <c r="K729" t="s">
        <v>6063</v>
      </c>
      <c r="L729" t="s">
        <v>6767</v>
      </c>
      <c r="M729">
        <v>774.27</v>
      </c>
      <c r="N729">
        <v>2</v>
      </c>
      <c r="O729">
        <v>0.26</v>
      </c>
      <c r="P729">
        <v>11.94</v>
      </c>
      <c r="Q729" t="s">
        <v>9894</v>
      </c>
      <c r="R729">
        <v>2</v>
      </c>
      <c r="S729" s="5">
        <f t="shared" si="22"/>
        <v>1.5420977178503622E-2</v>
      </c>
      <c r="T729">
        <v>387.13499999999999</v>
      </c>
      <c r="U729">
        <v>9</v>
      </c>
      <c r="V729">
        <v>2023</v>
      </c>
      <c r="W729">
        <v>3</v>
      </c>
      <c r="X729" t="s">
        <v>9899</v>
      </c>
      <c r="Y729" t="s">
        <v>9900</v>
      </c>
      <c r="Z729" t="s">
        <v>9899</v>
      </c>
      <c r="AD729">
        <f t="shared" si="23"/>
        <v>2</v>
      </c>
    </row>
    <row r="730" spans="1:30" x14ac:dyDescent="0.25">
      <c r="A730" t="s">
        <v>754</v>
      </c>
      <c r="B730" s="2">
        <v>45020</v>
      </c>
      <c r="C730" s="2">
        <v>45023</v>
      </c>
      <c r="D730" t="s">
        <v>5345</v>
      </c>
      <c r="E730" t="s">
        <v>5845</v>
      </c>
      <c r="F730" t="s">
        <v>6027</v>
      </c>
      <c r="G730" t="s">
        <v>6029</v>
      </c>
      <c r="H730" t="s">
        <v>6032</v>
      </c>
      <c r="I730" t="s">
        <v>6050</v>
      </c>
      <c r="J730" t="s">
        <v>6054</v>
      </c>
      <c r="K730" t="s">
        <v>6060</v>
      </c>
      <c r="L730" t="s">
        <v>6768</v>
      </c>
      <c r="M730">
        <v>1526.95</v>
      </c>
      <c r="N730">
        <v>6</v>
      </c>
      <c r="O730">
        <v>0.16</v>
      </c>
      <c r="P730">
        <v>135.86000000000001</v>
      </c>
      <c r="Q730" t="s">
        <v>9897</v>
      </c>
      <c r="R730">
        <v>3</v>
      </c>
      <c r="S730" s="5">
        <f t="shared" si="22"/>
        <v>8.897475359376536E-2</v>
      </c>
      <c r="T730">
        <v>254.4916666666667</v>
      </c>
      <c r="U730">
        <v>4</v>
      </c>
      <c r="V730">
        <v>2023</v>
      </c>
      <c r="W730">
        <v>2</v>
      </c>
      <c r="X730" t="s">
        <v>9899</v>
      </c>
      <c r="Y730" t="s">
        <v>9900</v>
      </c>
      <c r="Z730" t="s">
        <v>9898</v>
      </c>
      <c r="AD730">
        <f t="shared" si="23"/>
        <v>3</v>
      </c>
    </row>
    <row r="731" spans="1:30" x14ac:dyDescent="0.25">
      <c r="A731" t="s">
        <v>755</v>
      </c>
      <c r="B731" s="2">
        <v>45166</v>
      </c>
      <c r="C731" s="2">
        <v>45168</v>
      </c>
      <c r="D731" t="s">
        <v>5302</v>
      </c>
      <c r="E731" t="s">
        <v>5802</v>
      </c>
      <c r="F731" t="s">
        <v>6027</v>
      </c>
      <c r="G731" t="s">
        <v>6029</v>
      </c>
      <c r="H731" t="s">
        <v>6044</v>
      </c>
      <c r="I731" t="s">
        <v>6050</v>
      </c>
      <c r="J731" t="s">
        <v>6055</v>
      </c>
      <c r="K731" t="s">
        <v>6063</v>
      </c>
      <c r="L731" t="s">
        <v>6769</v>
      </c>
      <c r="M731">
        <v>370.41</v>
      </c>
      <c r="N731">
        <v>5</v>
      </c>
      <c r="O731">
        <v>0.17</v>
      </c>
      <c r="P731">
        <v>24.21</v>
      </c>
      <c r="Q731" t="s">
        <v>9896</v>
      </c>
      <c r="R731">
        <v>2</v>
      </c>
      <c r="S731" s="5">
        <f t="shared" si="22"/>
        <v>6.5360006479306718E-2</v>
      </c>
      <c r="T731">
        <v>74.082000000000008</v>
      </c>
      <c r="U731">
        <v>8</v>
      </c>
      <c r="V731">
        <v>2023</v>
      </c>
      <c r="W731">
        <v>3</v>
      </c>
      <c r="X731" t="s">
        <v>9899</v>
      </c>
      <c r="Y731" t="s">
        <v>9900</v>
      </c>
      <c r="Z731" t="s">
        <v>9899</v>
      </c>
      <c r="AD731">
        <f t="shared" si="23"/>
        <v>2</v>
      </c>
    </row>
    <row r="732" spans="1:30" x14ac:dyDescent="0.25">
      <c r="A732" t="s">
        <v>756</v>
      </c>
      <c r="B732" s="2">
        <v>44722</v>
      </c>
      <c r="C732" s="2">
        <v>44724</v>
      </c>
      <c r="D732" t="s">
        <v>5209</v>
      </c>
      <c r="E732" t="s">
        <v>5709</v>
      </c>
      <c r="F732" t="s">
        <v>6027</v>
      </c>
      <c r="G732" t="s">
        <v>6029</v>
      </c>
      <c r="H732" t="s">
        <v>6032</v>
      </c>
      <c r="I732" t="s">
        <v>6050</v>
      </c>
      <c r="J732" t="s">
        <v>6054</v>
      </c>
      <c r="K732" t="s">
        <v>6059</v>
      </c>
      <c r="L732" t="s">
        <v>6770</v>
      </c>
      <c r="M732">
        <v>1449.57</v>
      </c>
      <c r="N732">
        <v>2</v>
      </c>
      <c r="O732">
        <v>0.04</v>
      </c>
      <c r="P732">
        <v>146.22999999999999</v>
      </c>
      <c r="Q732" t="s">
        <v>9897</v>
      </c>
      <c r="R732">
        <v>2</v>
      </c>
      <c r="S732" s="5">
        <f t="shared" si="22"/>
        <v>0.10087819146367544</v>
      </c>
      <c r="T732">
        <v>724.78499999999997</v>
      </c>
      <c r="U732">
        <v>6</v>
      </c>
      <c r="V732">
        <v>2022</v>
      </c>
      <c r="W732">
        <v>2</v>
      </c>
      <c r="X732" t="s">
        <v>9899</v>
      </c>
      <c r="Y732" t="s">
        <v>9901</v>
      </c>
      <c r="Z732" t="s">
        <v>9898</v>
      </c>
      <c r="AD732">
        <f t="shared" si="23"/>
        <v>2</v>
      </c>
    </row>
    <row r="733" spans="1:30" x14ac:dyDescent="0.25">
      <c r="A733" t="s">
        <v>757</v>
      </c>
      <c r="B733" s="2">
        <v>45331</v>
      </c>
      <c r="C733" s="2">
        <v>45333</v>
      </c>
      <c r="D733" t="s">
        <v>5269</v>
      </c>
      <c r="E733" t="s">
        <v>5769</v>
      </c>
      <c r="F733" t="s">
        <v>6026</v>
      </c>
      <c r="G733" t="s">
        <v>6031</v>
      </c>
      <c r="H733" t="s">
        <v>6043</v>
      </c>
      <c r="I733" t="s">
        <v>6052</v>
      </c>
      <c r="J733" t="s">
        <v>6054</v>
      </c>
      <c r="K733" t="s">
        <v>6062</v>
      </c>
      <c r="L733" t="s">
        <v>6771</v>
      </c>
      <c r="M733">
        <v>957.64</v>
      </c>
      <c r="N733">
        <v>5</v>
      </c>
      <c r="O733">
        <v>0.28999999999999998</v>
      </c>
      <c r="P733">
        <v>2.69</v>
      </c>
      <c r="Q733" t="s">
        <v>9893</v>
      </c>
      <c r="R733">
        <v>2</v>
      </c>
      <c r="S733" s="5">
        <f t="shared" si="22"/>
        <v>2.8089887640449437E-3</v>
      </c>
      <c r="T733">
        <v>191.52799999999999</v>
      </c>
      <c r="U733">
        <v>2</v>
      </c>
      <c r="V733">
        <v>2024</v>
      </c>
      <c r="W733">
        <v>1</v>
      </c>
      <c r="X733" t="s">
        <v>9899</v>
      </c>
      <c r="Y733" t="s">
        <v>9900</v>
      </c>
      <c r="Z733" t="s">
        <v>9899</v>
      </c>
      <c r="AD733">
        <f t="shared" si="23"/>
        <v>2</v>
      </c>
    </row>
    <row r="734" spans="1:30" x14ac:dyDescent="0.25">
      <c r="A734" t="s">
        <v>758</v>
      </c>
      <c r="B734" s="2">
        <v>44714</v>
      </c>
      <c r="C734" s="2">
        <v>44715</v>
      </c>
      <c r="D734" t="s">
        <v>5310</v>
      </c>
      <c r="E734" t="s">
        <v>5810</v>
      </c>
      <c r="F734" t="s">
        <v>6027</v>
      </c>
      <c r="G734" t="s">
        <v>6030</v>
      </c>
      <c r="H734" t="s">
        <v>6033</v>
      </c>
      <c r="I734" t="s">
        <v>6047</v>
      </c>
      <c r="J734" t="s">
        <v>6054</v>
      </c>
      <c r="K734" t="s">
        <v>6059</v>
      </c>
      <c r="L734" t="s">
        <v>6772</v>
      </c>
      <c r="M734">
        <v>564.36</v>
      </c>
      <c r="N734">
        <v>5</v>
      </c>
      <c r="O734">
        <v>0.23</v>
      </c>
      <c r="P734">
        <v>27.86</v>
      </c>
      <c r="Q734" t="s">
        <v>9893</v>
      </c>
      <c r="R734">
        <v>1</v>
      </c>
      <c r="S734" s="5">
        <f t="shared" si="22"/>
        <v>4.9365653129208306E-2</v>
      </c>
      <c r="T734">
        <v>112.872</v>
      </c>
      <c r="U734">
        <v>6</v>
      </c>
      <c r="V734">
        <v>2022</v>
      </c>
      <c r="W734">
        <v>2</v>
      </c>
      <c r="X734" t="s">
        <v>9899</v>
      </c>
      <c r="Y734" t="s">
        <v>9900</v>
      </c>
      <c r="Z734" t="s">
        <v>9899</v>
      </c>
      <c r="AD734">
        <f t="shared" si="23"/>
        <v>1</v>
      </c>
    </row>
    <row r="735" spans="1:30" x14ac:dyDescent="0.25">
      <c r="A735" t="s">
        <v>759</v>
      </c>
      <c r="B735" s="2">
        <v>44651</v>
      </c>
      <c r="C735" s="2">
        <v>44654</v>
      </c>
      <c r="D735" t="s">
        <v>5169</v>
      </c>
      <c r="E735" t="s">
        <v>5669</v>
      </c>
      <c r="F735" t="s">
        <v>6028</v>
      </c>
      <c r="G735" t="s">
        <v>6030</v>
      </c>
      <c r="H735" t="s">
        <v>6033</v>
      </c>
      <c r="I735" t="s">
        <v>6051</v>
      </c>
      <c r="J735" t="s">
        <v>6055</v>
      </c>
      <c r="K735" t="s">
        <v>6064</v>
      </c>
      <c r="L735" t="s">
        <v>6773</v>
      </c>
      <c r="M735">
        <v>856.16</v>
      </c>
      <c r="N735">
        <v>7</v>
      </c>
      <c r="O735">
        <v>0</v>
      </c>
      <c r="P735">
        <v>110.69</v>
      </c>
      <c r="Q735" t="s">
        <v>9893</v>
      </c>
      <c r="R735">
        <v>3</v>
      </c>
      <c r="S735" s="5">
        <f t="shared" si="22"/>
        <v>0.12928658194729958</v>
      </c>
      <c r="T735">
        <v>122.3085714285714</v>
      </c>
      <c r="U735">
        <v>3</v>
      </c>
      <c r="V735">
        <v>2022</v>
      </c>
      <c r="W735">
        <v>1</v>
      </c>
      <c r="X735" t="s">
        <v>9899</v>
      </c>
      <c r="Y735" t="s">
        <v>9901</v>
      </c>
      <c r="Z735" t="s">
        <v>9899</v>
      </c>
      <c r="AD735">
        <f t="shared" si="23"/>
        <v>3</v>
      </c>
    </row>
    <row r="736" spans="1:30" x14ac:dyDescent="0.25">
      <c r="A736" t="s">
        <v>760</v>
      </c>
      <c r="B736" s="2">
        <v>44824</v>
      </c>
      <c r="C736" s="2">
        <v>44826</v>
      </c>
      <c r="D736" t="s">
        <v>5242</v>
      </c>
      <c r="E736" t="s">
        <v>5742</v>
      </c>
      <c r="F736" t="s">
        <v>6026</v>
      </c>
      <c r="G736" t="s">
        <v>6029</v>
      </c>
      <c r="H736" t="s">
        <v>6041</v>
      </c>
      <c r="I736" t="s">
        <v>6049</v>
      </c>
      <c r="J736" t="s">
        <v>6054</v>
      </c>
      <c r="K736" t="s">
        <v>6062</v>
      </c>
      <c r="L736" t="s">
        <v>6774</v>
      </c>
      <c r="M736">
        <v>1672.85</v>
      </c>
      <c r="N736">
        <v>1</v>
      </c>
      <c r="O736">
        <v>0.18</v>
      </c>
      <c r="P736">
        <v>8.82</v>
      </c>
      <c r="Q736" t="s">
        <v>9897</v>
      </c>
      <c r="R736">
        <v>2</v>
      </c>
      <c r="S736" s="5">
        <f t="shared" si="22"/>
        <v>5.2724392503810868E-3</v>
      </c>
      <c r="T736">
        <v>1672.85</v>
      </c>
      <c r="U736">
        <v>9</v>
      </c>
      <c r="V736">
        <v>2022</v>
      </c>
      <c r="W736">
        <v>3</v>
      </c>
      <c r="X736" t="s">
        <v>9899</v>
      </c>
      <c r="Y736" t="s">
        <v>9900</v>
      </c>
      <c r="Z736" t="s">
        <v>9898</v>
      </c>
      <c r="AD736">
        <f t="shared" si="23"/>
        <v>2</v>
      </c>
    </row>
    <row r="737" spans="1:30" x14ac:dyDescent="0.25">
      <c r="A737" t="s">
        <v>761</v>
      </c>
      <c r="B737" s="2">
        <v>44658</v>
      </c>
      <c r="C737" s="2">
        <v>44661</v>
      </c>
      <c r="D737" t="s">
        <v>5123</v>
      </c>
      <c r="E737" t="s">
        <v>5623</v>
      </c>
      <c r="F737" t="s">
        <v>6026</v>
      </c>
      <c r="G737" t="s">
        <v>6030</v>
      </c>
      <c r="H737" t="s">
        <v>6038</v>
      </c>
      <c r="I737" t="s">
        <v>6047</v>
      </c>
      <c r="J737" t="s">
        <v>6055</v>
      </c>
      <c r="K737" t="s">
        <v>6063</v>
      </c>
      <c r="L737" t="s">
        <v>6775</v>
      </c>
      <c r="M737">
        <v>1102.94</v>
      </c>
      <c r="N737">
        <v>8</v>
      </c>
      <c r="O737">
        <v>0.09</v>
      </c>
      <c r="P737">
        <v>130.83000000000001</v>
      </c>
      <c r="Q737" t="s">
        <v>9893</v>
      </c>
      <c r="R737">
        <v>3</v>
      </c>
      <c r="S737" s="5">
        <f t="shared" si="22"/>
        <v>0.11861932652728163</v>
      </c>
      <c r="T737">
        <v>137.86750000000001</v>
      </c>
      <c r="U737">
        <v>4</v>
      </c>
      <c r="V737">
        <v>2022</v>
      </c>
      <c r="W737">
        <v>2</v>
      </c>
      <c r="X737" t="s">
        <v>9899</v>
      </c>
      <c r="Y737" t="s">
        <v>9901</v>
      </c>
      <c r="Z737" t="s">
        <v>9898</v>
      </c>
      <c r="AD737">
        <f t="shared" si="23"/>
        <v>3</v>
      </c>
    </row>
    <row r="738" spans="1:30" x14ac:dyDescent="0.25">
      <c r="A738" t="s">
        <v>762</v>
      </c>
      <c r="B738" s="2">
        <v>45356</v>
      </c>
      <c r="C738" s="2">
        <v>45359</v>
      </c>
      <c r="D738" t="s">
        <v>5147</v>
      </c>
      <c r="E738" t="s">
        <v>5647</v>
      </c>
      <c r="F738" t="s">
        <v>6028</v>
      </c>
      <c r="G738" t="s">
        <v>6029</v>
      </c>
      <c r="H738" t="s">
        <v>6044</v>
      </c>
      <c r="I738" t="s">
        <v>6050</v>
      </c>
      <c r="J738" t="s">
        <v>6055</v>
      </c>
      <c r="K738" t="s">
        <v>6063</v>
      </c>
      <c r="L738" t="s">
        <v>6776</v>
      </c>
      <c r="M738">
        <v>1310.01</v>
      </c>
      <c r="N738">
        <v>5</v>
      </c>
      <c r="O738">
        <v>0.1</v>
      </c>
      <c r="P738">
        <v>68.930000000000007</v>
      </c>
      <c r="Q738" t="s">
        <v>9897</v>
      </c>
      <c r="R738">
        <v>3</v>
      </c>
      <c r="S738" s="5">
        <f t="shared" si="22"/>
        <v>5.2617918947183616E-2</v>
      </c>
      <c r="T738">
        <v>262.00200000000001</v>
      </c>
      <c r="U738">
        <v>3</v>
      </c>
      <c r="V738">
        <v>2024</v>
      </c>
      <c r="W738">
        <v>1</v>
      </c>
      <c r="X738" t="s">
        <v>9899</v>
      </c>
      <c r="Y738" t="s">
        <v>9901</v>
      </c>
      <c r="Z738" t="s">
        <v>9898</v>
      </c>
      <c r="AD738">
        <f t="shared" si="23"/>
        <v>3</v>
      </c>
    </row>
    <row r="739" spans="1:30" x14ac:dyDescent="0.25">
      <c r="A739" t="s">
        <v>763</v>
      </c>
      <c r="B739" s="2">
        <v>45299</v>
      </c>
      <c r="C739" s="2">
        <v>45304</v>
      </c>
      <c r="D739" t="s">
        <v>5180</v>
      </c>
      <c r="E739" t="s">
        <v>5680</v>
      </c>
      <c r="F739" t="s">
        <v>6026</v>
      </c>
      <c r="G739" t="s">
        <v>6030</v>
      </c>
      <c r="H739" t="s">
        <v>6039</v>
      </c>
      <c r="I739" t="s">
        <v>6051</v>
      </c>
      <c r="J739" t="s">
        <v>6053</v>
      </c>
      <c r="K739" t="s">
        <v>6057</v>
      </c>
      <c r="L739" t="s">
        <v>6777</v>
      </c>
      <c r="M739">
        <v>1714.03</v>
      </c>
      <c r="N739">
        <v>4</v>
      </c>
      <c r="O739">
        <v>0.16</v>
      </c>
      <c r="P739">
        <v>56.16</v>
      </c>
      <c r="Q739" t="s">
        <v>9895</v>
      </c>
      <c r="R739">
        <v>5</v>
      </c>
      <c r="S739" s="5">
        <f t="shared" si="22"/>
        <v>3.2764887429041496E-2</v>
      </c>
      <c r="T739">
        <v>428.50749999999999</v>
      </c>
      <c r="U739">
        <v>1</v>
      </c>
      <c r="V739">
        <v>2024</v>
      </c>
      <c r="W739">
        <v>1</v>
      </c>
      <c r="X739" t="s">
        <v>9899</v>
      </c>
      <c r="Y739" t="s">
        <v>9900</v>
      </c>
      <c r="Z739" t="s">
        <v>9898</v>
      </c>
      <c r="AD739">
        <f t="shared" si="23"/>
        <v>5</v>
      </c>
    </row>
    <row r="740" spans="1:30" x14ac:dyDescent="0.25">
      <c r="A740" t="s">
        <v>764</v>
      </c>
      <c r="B740" s="2">
        <v>45076</v>
      </c>
      <c r="C740" s="2">
        <v>45081</v>
      </c>
      <c r="D740" t="s">
        <v>5116</v>
      </c>
      <c r="E740" t="s">
        <v>5616</v>
      </c>
      <c r="F740" t="s">
        <v>6026</v>
      </c>
      <c r="G740" t="s">
        <v>6030</v>
      </c>
      <c r="H740" t="s">
        <v>6039</v>
      </c>
      <c r="I740" t="s">
        <v>6051</v>
      </c>
      <c r="J740" t="s">
        <v>6055</v>
      </c>
      <c r="K740" t="s">
        <v>6064</v>
      </c>
      <c r="L740" t="s">
        <v>6778</v>
      </c>
      <c r="M740">
        <v>1723.58</v>
      </c>
      <c r="N740">
        <v>6</v>
      </c>
      <c r="O740">
        <v>0.33</v>
      </c>
      <c r="P740">
        <v>-138.08000000000001</v>
      </c>
      <c r="Q740" t="s">
        <v>9897</v>
      </c>
      <c r="R740">
        <v>5</v>
      </c>
      <c r="S740" s="5">
        <f t="shared" si="22"/>
        <v>-8.011232434815907E-2</v>
      </c>
      <c r="T740">
        <v>287.26333333333332</v>
      </c>
      <c r="U740">
        <v>5</v>
      </c>
      <c r="V740">
        <v>2023</v>
      </c>
      <c r="W740">
        <v>2</v>
      </c>
      <c r="X740" t="s">
        <v>9898</v>
      </c>
      <c r="Y740" t="s">
        <v>9902</v>
      </c>
      <c r="Z740" t="s">
        <v>9898</v>
      </c>
      <c r="AD740">
        <f t="shared" si="23"/>
        <v>5</v>
      </c>
    </row>
    <row r="741" spans="1:30" x14ac:dyDescent="0.25">
      <c r="A741" t="s">
        <v>765</v>
      </c>
      <c r="B741" s="2">
        <v>45312</v>
      </c>
      <c r="C741" s="2">
        <v>45314</v>
      </c>
      <c r="D741" t="s">
        <v>5119</v>
      </c>
      <c r="E741" t="s">
        <v>5619</v>
      </c>
      <c r="F741" t="s">
        <v>6026</v>
      </c>
      <c r="G741" t="s">
        <v>6031</v>
      </c>
      <c r="H741" t="s">
        <v>6037</v>
      </c>
      <c r="I741" t="s">
        <v>6048</v>
      </c>
      <c r="J741" t="s">
        <v>6054</v>
      </c>
      <c r="K741" t="s">
        <v>6059</v>
      </c>
      <c r="L741" t="s">
        <v>6268</v>
      </c>
      <c r="M741">
        <v>1843.57</v>
      </c>
      <c r="N741">
        <v>4</v>
      </c>
      <c r="O741">
        <v>0.2</v>
      </c>
      <c r="P741">
        <v>-173.44</v>
      </c>
      <c r="Q741" t="s">
        <v>9896</v>
      </c>
      <c r="R741">
        <v>2</v>
      </c>
      <c r="S741" s="5">
        <f t="shared" si="22"/>
        <v>-9.4078337139354623E-2</v>
      </c>
      <c r="T741">
        <v>460.89249999999998</v>
      </c>
      <c r="U741">
        <v>1</v>
      </c>
      <c r="V741">
        <v>2024</v>
      </c>
      <c r="W741">
        <v>1</v>
      </c>
      <c r="X741" t="s">
        <v>9898</v>
      </c>
      <c r="Y741" t="s">
        <v>9900</v>
      </c>
      <c r="Z741" t="s">
        <v>9898</v>
      </c>
      <c r="AD741">
        <f t="shared" si="23"/>
        <v>2</v>
      </c>
    </row>
    <row r="742" spans="1:30" x14ac:dyDescent="0.25">
      <c r="A742" t="s">
        <v>766</v>
      </c>
      <c r="B742" s="2">
        <v>44611</v>
      </c>
      <c r="C742" s="2">
        <v>44617</v>
      </c>
      <c r="D742" t="s">
        <v>5030</v>
      </c>
      <c r="E742" t="s">
        <v>5530</v>
      </c>
      <c r="F742" t="s">
        <v>6026</v>
      </c>
      <c r="G742" t="s">
        <v>6030</v>
      </c>
      <c r="H742" t="s">
        <v>6038</v>
      </c>
      <c r="I742" t="s">
        <v>6047</v>
      </c>
      <c r="J742" t="s">
        <v>6055</v>
      </c>
      <c r="K742" t="s">
        <v>6063</v>
      </c>
      <c r="L742" t="s">
        <v>6779</v>
      </c>
      <c r="M742">
        <v>1039.75</v>
      </c>
      <c r="N742">
        <v>4</v>
      </c>
      <c r="O742">
        <v>0.05</v>
      </c>
      <c r="P742">
        <v>255.26</v>
      </c>
      <c r="Q742" t="s">
        <v>9895</v>
      </c>
      <c r="R742">
        <v>6</v>
      </c>
      <c r="S742" s="5">
        <f t="shared" si="22"/>
        <v>0.24550132243327721</v>
      </c>
      <c r="T742">
        <v>259.9375</v>
      </c>
      <c r="U742">
        <v>2</v>
      </c>
      <c r="V742">
        <v>2022</v>
      </c>
      <c r="W742">
        <v>1</v>
      </c>
      <c r="X742" t="s">
        <v>9899</v>
      </c>
      <c r="Y742" t="s">
        <v>9901</v>
      </c>
      <c r="Z742" t="s">
        <v>9898</v>
      </c>
      <c r="AD742">
        <f t="shared" si="23"/>
        <v>6</v>
      </c>
    </row>
    <row r="743" spans="1:30" x14ac:dyDescent="0.25">
      <c r="A743" t="s">
        <v>767</v>
      </c>
      <c r="B743" s="2">
        <v>44876</v>
      </c>
      <c r="C743" s="2">
        <v>44877</v>
      </c>
      <c r="D743" t="s">
        <v>5413</v>
      </c>
      <c r="E743" t="s">
        <v>5913</v>
      </c>
      <c r="F743" t="s">
        <v>6028</v>
      </c>
      <c r="G743" t="s">
        <v>6029</v>
      </c>
      <c r="H743" t="s">
        <v>6044</v>
      </c>
      <c r="I743" t="s">
        <v>6046</v>
      </c>
      <c r="J743" t="s">
        <v>6054</v>
      </c>
      <c r="K743" t="s">
        <v>6059</v>
      </c>
      <c r="L743" t="s">
        <v>6780</v>
      </c>
      <c r="M743">
        <v>722.19</v>
      </c>
      <c r="N743">
        <v>1</v>
      </c>
      <c r="O743">
        <v>0.05</v>
      </c>
      <c r="P743">
        <v>173.27</v>
      </c>
      <c r="Q743" t="s">
        <v>9896</v>
      </c>
      <c r="R743">
        <v>1</v>
      </c>
      <c r="S743" s="5">
        <f t="shared" si="22"/>
        <v>0.2399230119497639</v>
      </c>
      <c r="T743">
        <v>722.19</v>
      </c>
      <c r="U743">
        <v>11</v>
      </c>
      <c r="V743">
        <v>2022</v>
      </c>
      <c r="W743">
        <v>4</v>
      </c>
      <c r="X743" t="s">
        <v>9899</v>
      </c>
      <c r="Y743" t="s">
        <v>9901</v>
      </c>
      <c r="Z743" t="s">
        <v>9899</v>
      </c>
      <c r="AD743">
        <f t="shared" si="23"/>
        <v>1</v>
      </c>
    </row>
    <row r="744" spans="1:30" x14ac:dyDescent="0.25">
      <c r="A744" t="s">
        <v>768</v>
      </c>
      <c r="B744" s="2">
        <v>44910</v>
      </c>
      <c r="C744" s="2">
        <v>44915</v>
      </c>
      <c r="D744" t="s">
        <v>5119</v>
      </c>
      <c r="E744" t="s">
        <v>5619</v>
      </c>
      <c r="F744" t="s">
        <v>6028</v>
      </c>
      <c r="G744" t="s">
        <v>6029</v>
      </c>
      <c r="H744" t="s">
        <v>6041</v>
      </c>
      <c r="I744" t="s">
        <v>6046</v>
      </c>
      <c r="J744" t="s">
        <v>6055</v>
      </c>
      <c r="K744" t="s">
        <v>6064</v>
      </c>
      <c r="L744" t="s">
        <v>6781</v>
      </c>
      <c r="M744">
        <v>845.65</v>
      </c>
      <c r="N744">
        <v>8</v>
      </c>
      <c r="O744">
        <v>0.15</v>
      </c>
      <c r="P744">
        <v>24.05</v>
      </c>
      <c r="Q744" t="s">
        <v>9894</v>
      </c>
      <c r="R744">
        <v>5</v>
      </c>
      <c r="S744" s="5">
        <f t="shared" si="22"/>
        <v>2.8439661798616449E-2</v>
      </c>
      <c r="T744">
        <v>105.70625</v>
      </c>
      <c r="U744">
        <v>12</v>
      </c>
      <c r="V744">
        <v>2022</v>
      </c>
      <c r="W744">
        <v>4</v>
      </c>
      <c r="X744" t="s">
        <v>9899</v>
      </c>
      <c r="Y744" t="s">
        <v>9901</v>
      </c>
      <c r="Z744" t="s">
        <v>9899</v>
      </c>
      <c r="AD744">
        <f t="shared" si="23"/>
        <v>5</v>
      </c>
    </row>
    <row r="745" spans="1:30" x14ac:dyDescent="0.25">
      <c r="A745" t="s">
        <v>769</v>
      </c>
      <c r="B745" s="2">
        <v>45202</v>
      </c>
      <c r="C745" s="2">
        <v>45208</v>
      </c>
      <c r="D745" t="s">
        <v>5377</v>
      </c>
      <c r="E745" t="s">
        <v>5877</v>
      </c>
      <c r="F745" t="s">
        <v>6028</v>
      </c>
      <c r="G745" t="s">
        <v>6031</v>
      </c>
      <c r="H745" t="s">
        <v>6034</v>
      </c>
      <c r="I745" t="s">
        <v>6050</v>
      </c>
      <c r="J745" t="s">
        <v>6055</v>
      </c>
      <c r="K745" t="s">
        <v>6064</v>
      </c>
      <c r="L745" t="s">
        <v>6782</v>
      </c>
      <c r="M745">
        <v>905.57</v>
      </c>
      <c r="N745">
        <v>8</v>
      </c>
      <c r="O745">
        <v>0.17</v>
      </c>
      <c r="P745">
        <v>14.69</v>
      </c>
      <c r="Q745" t="s">
        <v>9895</v>
      </c>
      <c r="R745">
        <v>6</v>
      </c>
      <c r="S745" s="5">
        <f t="shared" si="22"/>
        <v>1.6221827136499663E-2</v>
      </c>
      <c r="T745">
        <v>113.19625000000001</v>
      </c>
      <c r="U745">
        <v>10</v>
      </c>
      <c r="V745">
        <v>2023</v>
      </c>
      <c r="W745">
        <v>4</v>
      </c>
      <c r="X745" t="s">
        <v>9899</v>
      </c>
      <c r="Y745" t="s">
        <v>9900</v>
      </c>
      <c r="Z745" t="s">
        <v>9899</v>
      </c>
      <c r="AD745">
        <f t="shared" si="23"/>
        <v>6</v>
      </c>
    </row>
    <row r="746" spans="1:30" x14ac:dyDescent="0.25">
      <c r="A746" t="s">
        <v>770</v>
      </c>
      <c r="B746" s="2">
        <v>44859</v>
      </c>
      <c r="C746" s="2">
        <v>44863</v>
      </c>
      <c r="D746" t="s">
        <v>5223</v>
      </c>
      <c r="E746" t="s">
        <v>5723</v>
      </c>
      <c r="F746" t="s">
        <v>6028</v>
      </c>
      <c r="G746" t="s">
        <v>6031</v>
      </c>
      <c r="H746" t="s">
        <v>6042</v>
      </c>
      <c r="I746" t="s">
        <v>6048</v>
      </c>
      <c r="J746" t="s">
        <v>6053</v>
      </c>
      <c r="K746" t="s">
        <v>6057</v>
      </c>
      <c r="L746" t="s">
        <v>6783</v>
      </c>
      <c r="M746">
        <v>519.29</v>
      </c>
      <c r="N746">
        <v>4</v>
      </c>
      <c r="O746">
        <v>0.18</v>
      </c>
      <c r="P746">
        <v>33.42</v>
      </c>
      <c r="Q746" t="s">
        <v>9897</v>
      </c>
      <c r="R746">
        <v>4</v>
      </c>
      <c r="S746" s="5">
        <f t="shared" si="22"/>
        <v>6.4357102967513347E-2</v>
      </c>
      <c r="T746">
        <v>129.82249999999999</v>
      </c>
      <c r="U746">
        <v>10</v>
      </c>
      <c r="V746">
        <v>2022</v>
      </c>
      <c r="W746">
        <v>4</v>
      </c>
      <c r="X746" t="s">
        <v>9899</v>
      </c>
      <c r="Y746" t="s">
        <v>9900</v>
      </c>
      <c r="Z746" t="s">
        <v>9899</v>
      </c>
      <c r="AD746">
        <f t="shared" si="23"/>
        <v>4</v>
      </c>
    </row>
    <row r="747" spans="1:30" x14ac:dyDescent="0.25">
      <c r="A747" t="s">
        <v>771</v>
      </c>
      <c r="B747" s="2">
        <v>44664</v>
      </c>
      <c r="C747" s="2">
        <v>44670</v>
      </c>
      <c r="D747" t="s">
        <v>5414</v>
      </c>
      <c r="E747" t="s">
        <v>5914</v>
      </c>
      <c r="F747" t="s">
        <v>6028</v>
      </c>
      <c r="G747" t="s">
        <v>6031</v>
      </c>
      <c r="H747" t="s">
        <v>6037</v>
      </c>
      <c r="I747" t="s">
        <v>6050</v>
      </c>
      <c r="J747" t="s">
        <v>6055</v>
      </c>
      <c r="K747" t="s">
        <v>6063</v>
      </c>
      <c r="L747" t="s">
        <v>6784</v>
      </c>
      <c r="M747">
        <v>1236.29</v>
      </c>
      <c r="N747">
        <v>4</v>
      </c>
      <c r="O747">
        <v>0.06</v>
      </c>
      <c r="P747">
        <v>131.03</v>
      </c>
      <c r="Q747" t="s">
        <v>9893</v>
      </c>
      <c r="R747">
        <v>6</v>
      </c>
      <c r="S747" s="5">
        <f t="shared" si="22"/>
        <v>0.10598645948766067</v>
      </c>
      <c r="T747">
        <v>309.07249999999999</v>
      </c>
      <c r="U747">
        <v>4</v>
      </c>
      <c r="V747">
        <v>2022</v>
      </c>
      <c r="W747">
        <v>2</v>
      </c>
      <c r="X747" t="s">
        <v>9899</v>
      </c>
      <c r="Y747" t="s">
        <v>9901</v>
      </c>
      <c r="Z747" t="s">
        <v>9898</v>
      </c>
      <c r="AD747">
        <f t="shared" si="23"/>
        <v>6</v>
      </c>
    </row>
    <row r="748" spans="1:30" x14ac:dyDescent="0.25">
      <c r="A748" t="s">
        <v>772</v>
      </c>
      <c r="B748" s="2">
        <v>44733</v>
      </c>
      <c r="C748" s="2">
        <v>44736</v>
      </c>
      <c r="D748" t="s">
        <v>5310</v>
      </c>
      <c r="E748" t="s">
        <v>5810</v>
      </c>
      <c r="F748" t="s">
        <v>6028</v>
      </c>
      <c r="G748" t="s">
        <v>6031</v>
      </c>
      <c r="H748" t="s">
        <v>6040</v>
      </c>
      <c r="I748" t="s">
        <v>6050</v>
      </c>
      <c r="J748" t="s">
        <v>6053</v>
      </c>
      <c r="K748" t="s">
        <v>6056</v>
      </c>
      <c r="L748" t="s">
        <v>6785</v>
      </c>
      <c r="M748">
        <v>882.69</v>
      </c>
      <c r="N748">
        <v>1</v>
      </c>
      <c r="O748">
        <v>0.12</v>
      </c>
      <c r="P748">
        <v>108.29</v>
      </c>
      <c r="Q748" t="s">
        <v>9894</v>
      </c>
      <c r="R748">
        <v>3</v>
      </c>
      <c r="S748" s="5">
        <f t="shared" si="22"/>
        <v>0.12268180221821931</v>
      </c>
      <c r="T748">
        <v>882.69</v>
      </c>
      <c r="U748">
        <v>6</v>
      </c>
      <c r="V748">
        <v>2022</v>
      </c>
      <c r="W748">
        <v>2</v>
      </c>
      <c r="X748" t="s">
        <v>9899</v>
      </c>
      <c r="Y748" t="s">
        <v>9901</v>
      </c>
      <c r="Z748" t="s">
        <v>9899</v>
      </c>
      <c r="AD748">
        <f t="shared" si="23"/>
        <v>3</v>
      </c>
    </row>
    <row r="749" spans="1:30" x14ac:dyDescent="0.25">
      <c r="A749" t="s">
        <v>773</v>
      </c>
      <c r="B749" s="2">
        <v>44718</v>
      </c>
      <c r="C749" s="2">
        <v>44724</v>
      </c>
      <c r="D749" t="s">
        <v>5068</v>
      </c>
      <c r="E749" t="s">
        <v>5568</v>
      </c>
      <c r="F749" t="s">
        <v>6026</v>
      </c>
      <c r="G749" t="s">
        <v>6029</v>
      </c>
      <c r="H749" t="s">
        <v>6032</v>
      </c>
      <c r="I749" t="s">
        <v>6049</v>
      </c>
      <c r="J749" t="s">
        <v>6055</v>
      </c>
      <c r="K749" t="s">
        <v>6064</v>
      </c>
      <c r="L749" t="s">
        <v>6554</v>
      </c>
      <c r="M749">
        <v>1723.53</v>
      </c>
      <c r="N749">
        <v>1</v>
      </c>
      <c r="O749">
        <v>0.24</v>
      </c>
      <c r="P749">
        <v>-174.43</v>
      </c>
      <c r="Q749" t="s">
        <v>9895</v>
      </c>
      <c r="R749">
        <v>6</v>
      </c>
      <c r="S749" s="5">
        <f t="shared" si="22"/>
        <v>-0.10120508491294031</v>
      </c>
      <c r="T749">
        <v>1723.53</v>
      </c>
      <c r="U749">
        <v>6</v>
      </c>
      <c r="V749">
        <v>2022</v>
      </c>
      <c r="W749">
        <v>2</v>
      </c>
      <c r="X749" t="s">
        <v>9898</v>
      </c>
      <c r="Y749" t="s">
        <v>9900</v>
      </c>
      <c r="Z749" t="s">
        <v>9898</v>
      </c>
      <c r="AD749">
        <f t="shared" si="23"/>
        <v>6</v>
      </c>
    </row>
    <row r="750" spans="1:30" x14ac:dyDescent="0.25">
      <c r="A750" t="s">
        <v>774</v>
      </c>
      <c r="B750" s="2">
        <v>45203</v>
      </c>
      <c r="C750" s="2">
        <v>45209</v>
      </c>
      <c r="D750" t="s">
        <v>5177</v>
      </c>
      <c r="E750" t="s">
        <v>5677</v>
      </c>
      <c r="F750" t="s">
        <v>6028</v>
      </c>
      <c r="G750" t="s">
        <v>6031</v>
      </c>
      <c r="H750" t="s">
        <v>6042</v>
      </c>
      <c r="I750" t="s">
        <v>6052</v>
      </c>
      <c r="J750" t="s">
        <v>6054</v>
      </c>
      <c r="K750" t="s">
        <v>6060</v>
      </c>
      <c r="L750" t="s">
        <v>6786</v>
      </c>
      <c r="M750">
        <v>704.59</v>
      </c>
      <c r="N750">
        <v>3</v>
      </c>
      <c r="O750">
        <v>0.13</v>
      </c>
      <c r="P750">
        <v>107.08</v>
      </c>
      <c r="Q750" t="s">
        <v>9894</v>
      </c>
      <c r="R750">
        <v>6</v>
      </c>
      <c r="S750" s="5">
        <f t="shared" si="22"/>
        <v>0.15197490739295191</v>
      </c>
      <c r="T750">
        <v>234.86333333333329</v>
      </c>
      <c r="U750">
        <v>10</v>
      </c>
      <c r="V750">
        <v>2023</v>
      </c>
      <c r="W750">
        <v>4</v>
      </c>
      <c r="X750" t="s">
        <v>9899</v>
      </c>
      <c r="Y750" t="s">
        <v>9901</v>
      </c>
      <c r="Z750" t="s">
        <v>9899</v>
      </c>
      <c r="AD750">
        <f t="shared" si="23"/>
        <v>6</v>
      </c>
    </row>
    <row r="751" spans="1:30" x14ac:dyDescent="0.25">
      <c r="A751" t="s">
        <v>775</v>
      </c>
      <c r="B751" s="2">
        <v>44644</v>
      </c>
      <c r="C751" s="2">
        <v>44650</v>
      </c>
      <c r="D751" t="s">
        <v>5415</v>
      </c>
      <c r="E751" t="s">
        <v>5915</v>
      </c>
      <c r="F751" t="s">
        <v>6027</v>
      </c>
      <c r="G751" t="s">
        <v>6029</v>
      </c>
      <c r="H751" t="s">
        <v>6044</v>
      </c>
      <c r="I751" t="s">
        <v>6049</v>
      </c>
      <c r="J751" t="s">
        <v>6053</v>
      </c>
      <c r="K751" t="s">
        <v>6057</v>
      </c>
      <c r="L751" t="s">
        <v>6787</v>
      </c>
      <c r="M751">
        <v>1756.04</v>
      </c>
      <c r="N751">
        <v>5</v>
      </c>
      <c r="O751">
        <v>0.02</v>
      </c>
      <c r="P751">
        <v>270.63</v>
      </c>
      <c r="Q751" t="s">
        <v>9897</v>
      </c>
      <c r="R751">
        <v>6</v>
      </c>
      <c r="S751" s="5">
        <f t="shared" si="22"/>
        <v>0.15411380150793832</v>
      </c>
      <c r="T751">
        <v>351.20800000000003</v>
      </c>
      <c r="U751">
        <v>3</v>
      </c>
      <c r="V751">
        <v>2022</v>
      </c>
      <c r="W751">
        <v>1</v>
      </c>
      <c r="X751" t="s">
        <v>9899</v>
      </c>
      <c r="Y751" t="s">
        <v>9901</v>
      </c>
      <c r="Z751" t="s">
        <v>9898</v>
      </c>
      <c r="AD751">
        <f t="shared" si="23"/>
        <v>6</v>
      </c>
    </row>
    <row r="752" spans="1:30" x14ac:dyDescent="0.25">
      <c r="A752" t="s">
        <v>776</v>
      </c>
      <c r="B752" s="2">
        <v>45023</v>
      </c>
      <c r="C752" s="2">
        <v>45024</v>
      </c>
      <c r="D752" t="s">
        <v>5146</v>
      </c>
      <c r="E752" t="s">
        <v>5646</v>
      </c>
      <c r="F752" t="s">
        <v>6028</v>
      </c>
      <c r="G752" t="s">
        <v>6031</v>
      </c>
      <c r="H752" t="s">
        <v>6040</v>
      </c>
      <c r="I752" t="s">
        <v>6050</v>
      </c>
      <c r="J752" t="s">
        <v>6053</v>
      </c>
      <c r="K752" t="s">
        <v>6058</v>
      </c>
      <c r="L752" t="s">
        <v>6788</v>
      </c>
      <c r="M752">
        <v>359.77</v>
      </c>
      <c r="N752">
        <v>3</v>
      </c>
      <c r="O752">
        <v>7.0000000000000007E-2</v>
      </c>
      <c r="P752">
        <v>56.64</v>
      </c>
      <c r="Q752" t="s">
        <v>9894</v>
      </c>
      <c r="R752">
        <v>1</v>
      </c>
      <c r="S752" s="5">
        <f t="shared" si="22"/>
        <v>0.15743391611307225</v>
      </c>
      <c r="T752">
        <v>119.9233333333333</v>
      </c>
      <c r="U752">
        <v>4</v>
      </c>
      <c r="V752">
        <v>2023</v>
      </c>
      <c r="W752">
        <v>2</v>
      </c>
      <c r="X752" t="s">
        <v>9899</v>
      </c>
      <c r="Y752" t="s">
        <v>9901</v>
      </c>
      <c r="Z752" t="s">
        <v>9899</v>
      </c>
      <c r="AD752">
        <f t="shared" si="23"/>
        <v>1</v>
      </c>
    </row>
    <row r="753" spans="1:30" x14ac:dyDescent="0.25">
      <c r="A753" t="s">
        <v>777</v>
      </c>
      <c r="B753" s="2">
        <v>44727</v>
      </c>
      <c r="C753" s="2">
        <v>44729</v>
      </c>
      <c r="D753" t="s">
        <v>5400</v>
      </c>
      <c r="E753" t="s">
        <v>5900</v>
      </c>
      <c r="F753" t="s">
        <v>6028</v>
      </c>
      <c r="G753" t="s">
        <v>6029</v>
      </c>
      <c r="H753" t="s">
        <v>6032</v>
      </c>
      <c r="I753" t="s">
        <v>6050</v>
      </c>
      <c r="J753" t="s">
        <v>6054</v>
      </c>
      <c r="K753" t="s">
        <v>6062</v>
      </c>
      <c r="L753" t="s">
        <v>6458</v>
      </c>
      <c r="M753">
        <v>544.83000000000004</v>
      </c>
      <c r="N753">
        <v>5</v>
      </c>
      <c r="O753">
        <v>7.0000000000000007E-2</v>
      </c>
      <c r="P753">
        <v>119.64</v>
      </c>
      <c r="Q753" t="s">
        <v>9895</v>
      </c>
      <c r="R753">
        <v>2</v>
      </c>
      <c r="S753" s="5">
        <f t="shared" si="22"/>
        <v>0.21959143218985738</v>
      </c>
      <c r="T753">
        <v>108.96599999999999</v>
      </c>
      <c r="U753">
        <v>6</v>
      </c>
      <c r="V753">
        <v>2022</v>
      </c>
      <c r="W753">
        <v>2</v>
      </c>
      <c r="X753" t="s">
        <v>9899</v>
      </c>
      <c r="Y753" t="s">
        <v>9901</v>
      </c>
      <c r="Z753" t="s">
        <v>9899</v>
      </c>
      <c r="AD753">
        <f t="shared" si="23"/>
        <v>2</v>
      </c>
    </row>
    <row r="754" spans="1:30" x14ac:dyDescent="0.25">
      <c r="A754" t="s">
        <v>778</v>
      </c>
      <c r="B754" s="2">
        <v>44684</v>
      </c>
      <c r="C754" s="2">
        <v>44689</v>
      </c>
      <c r="D754" t="s">
        <v>5416</v>
      </c>
      <c r="E754" t="s">
        <v>5916</v>
      </c>
      <c r="F754" t="s">
        <v>6026</v>
      </c>
      <c r="G754" t="s">
        <v>6030</v>
      </c>
      <c r="H754" t="s">
        <v>6033</v>
      </c>
      <c r="I754" t="s">
        <v>6047</v>
      </c>
      <c r="J754" t="s">
        <v>6053</v>
      </c>
      <c r="K754" t="s">
        <v>6058</v>
      </c>
      <c r="L754" t="s">
        <v>6789</v>
      </c>
      <c r="M754">
        <v>1531.85</v>
      </c>
      <c r="N754">
        <v>8</v>
      </c>
      <c r="O754">
        <v>0.1</v>
      </c>
      <c r="P754">
        <v>116.38</v>
      </c>
      <c r="Q754" t="s">
        <v>9896</v>
      </c>
      <c r="R754">
        <v>5</v>
      </c>
      <c r="S754" s="5">
        <f t="shared" si="22"/>
        <v>7.5973496099487545E-2</v>
      </c>
      <c r="T754">
        <v>191.48124999999999</v>
      </c>
      <c r="U754">
        <v>5</v>
      </c>
      <c r="V754">
        <v>2022</v>
      </c>
      <c r="W754">
        <v>2</v>
      </c>
      <c r="X754" t="s">
        <v>9899</v>
      </c>
      <c r="Y754" t="s">
        <v>9901</v>
      </c>
      <c r="Z754" t="s">
        <v>9898</v>
      </c>
      <c r="AD754">
        <f t="shared" si="23"/>
        <v>5</v>
      </c>
    </row>
    <row r="755" spans="1:30" x14ac:dyDescent="0.25">
      <c r="A755" t="s">
        <v>779</v>
      </c>
      <c r="B755" s="2">
        <v>44873</v>
      </c>
      <c r="C755" s="2">
        <v>44876</v>
      </c>
      <c r="D755" t="s">
        <v>5272</v>
      </c>
      <c r="E755" t="s">
        <v>5772</v>
      </c>
      <c r="F755" t="s">
        <v>6026</v>
      </c>
      <c r="G755" t="s">
        <v>6031</v>
      </c>
      <c r="H755" t="s">
        <v>6040</v>
      </c>
      <c r="I755" t="s">
        <v>6052</v>
      </c>
      <c r="J755" t="s">
        <v>6053</v>
      </c>
      <c r="K755" t="s">
        <v>6056</v>
      </c>
      <c r="L755" t="s">
        <v>6790</v>
      </c>
      <c r="M755">
        <v>1056.49</v>
      </c>
      <c r="N755">
        <v>8</v>
      </c>
      <c r="O755">
        <v>0.23</v>
      </c>
      <c r="P755">
        <v>-128.84</v>
      </c>
      <c r="Q755" t="s">
        <v>9893</v>
      </c>
      <c r="R755">
        <v>3</v>
      </c>
      <c r="S755" s="5">
        <f t="shared" si="22"/>
        <v>-0.12195098865109939</v>
      </c>
      <c r="T755">
        <v>132.06125</v>
      </c>
      <c r="U755">
        <v>11</v>
      </c>
      <c r="V755">
        <v>2022</v>
      </c>
      <c r="W755">
        <v>4</v>
      </c>
      <c r="X755" t="s">
        <v>9898</v>
      </c>
      <c r="Y755" t="s">
        <v>9900</v>
      </c>
      <c r="Z755" t="s">
        <v>9898</v>
      </c>
      <c r="AD755">
        <f t="shared" si="23"/>
        <v>3</v>
      </c>
    </row>
    <row r="756" spans="1:30" x14ac:dyDescent="0.25">
      <c r="A756" t="s">
        <v>780</v>
      </c>
      <c r="B756" s="2">
        <v>44656</v>
      </c>
      <c r="C756" s="2">
        <v>44658</v>
      </c>
      <c r="D756" t="s">
        <v>5133</v>
      </c>
      <c r="E756" t="s">
        <v>5633</v>
      </c>
      <c r="F756" t="s">
        <v>6028</v>
      </c>
      <c r="G756" t="s">
        <v>6029</v>
      </c>
      <c r="H756" t="s">
        <v>6032</v>
      </c>
      <c r="I756" t="s">
        <v>6049</v>
      </c>
      <c r="J756" t="s">
        <v>6055</v>
      </c>
      <c r="K756" t="s">
        <v>6064</v>
      </c>
      <c r="L756" t="s">
        <v>6791</v>
      </c>
      <c r="M756">
        <v>307.64</v>
      </c>
      <c r="N756">
        <v>1</v>
      </c>
      <c r="O756">
        <v>0.13</v>
      </c>
      <c r="P756">
        <v>37.35</v>
      </c>
      <c r="Q756" t="s">
        <v>9893</v>
      </c>
      <c r="R756">
        <v>2</v>
      </c>
      <c r="S756" s="5">
        <f t="shared" si="22"/>
        <v>0.12140813938369524</v>
      </c>
      <c r="T756">
        <v>307.64</v>
      </c>
      <c r="U756">
        <v>4</v>
      </c>
      <c r="V756">
        <v>2022</v>
      </c>
      <c r="W756">
        <v>2</v>
      </c>
      <c r="X756" t="s">
        <v>9899</v>
      </c>
      <c r="Y756" t="s">
        <v>9901</v>
      </c>
      <c r="Z756" t="s">
        <v>9899</v>
      </c>
      <c r="AD756">
        <f t="shared" si="23"/>
        <v>2</v>
      </c>
    </row>
    <row r="757" spans="1:30" x14ac:dyDescent="0.25">
      <c r="A757" t="s">
        <v>781</v>
      </c>
      <c r="B757" s="2">
        <v>45017</v>
      </c>
      <c r="C757" s="2">
        <v>45024</v>
      </c>
      <c r="D757" t="s">
        <v>5417</v>
      </c>
      <c r="E757" t="s">
        <v>5917</v>
      </c>
      <c r="F757" t="s">
        <v>6028</v>
      </c>
      <c r="G757" t="s">
        <v>6030</v>
      </c>
      <c r="H757" t="s">
        <v>6038</v>
      </c>
      <c r="I757" t="s">
        <v>6051</v>
      </c>
      <c r="J757" t="s">
        <v>6055</v>
      </c>
      <c r="K757" t="s">
        <v>6061</v>
      </c>
      <c r="L757" t="s">
        <v>6792</v>
      </c>
      <c r="M757">
        <v>1840.54</v>
      </c>
      <c r="N757">
        <v>4</v>
      </c>
      <c r="O757">
        <v>0.01</v>
      </c>
      <c r="P757">
        <v>336.71</v>
      </c>
      <c r="Q757" t="s">
        <v>9896</v>
      </c>
      <c r="R757">
        <v>7</v>
      </c>
      <c r="S757" s="5">
        <f t="shared" si="22"/>
        <v>0.18294087604724699</v>
      </c>
      <c r="T757">
        <v>460.13499999999999</v>
      </c>
      <c r="U757">
        <v>4</v>
      </c>
      <c r="V757">
        <v>2023</v>
      </c>
      <c r="W757">
        <v>2</v>
      </c>
      <c r="X757" t="s">
        <v>9899</v>
      </c>
      <c r="Y757" t="s">
        <v>9901</v>
      </c>
      <c r="Z757" t="s">
        <v>9898</v>
      </c>
      <c r="AD757">
        <f t="shared" si="23"/>
        <v>7</v>
      </c>
    </row>
    <row r="758" spans="1:30" x14ac:dyDescent="0.25">
      <c r="A758" t="s">
        <v>782</v>
      </c>
      <c r="B758" s="2">
        <v>44707</v>
      </c>
      <c r="C758" s="2">
        <v>44711</v>
      </c>
      <c r="D758" t="s">
        <v>5098</v>
      </c>
      <c r="E758" t="s">
        <v>5598</v>
      </c>
      <c r="F758" t="s">
        <v>6028</v>
      </c>
      <c r="G758" t="s">
        <v>6031</v>
      </c>
      <c r="H758" t="s">
        <v>6037</v>
      </c>
      <c r="I758" t="s">
        <v>6050</v>
      </c>
      <c r="J758" t="s">
        <v>6055</v>
      </c>
      <c r="K758" t="s">
        <v>6064</v>
      </c>
      <c r="L758" t="s">
        <v>6793</v>
      </c>
      <c r="M758">
        <v>101.57</v>
      </c>
      <c r="N758">
        <v>7</v>
      </c>
      <c r="O758">
        <v>0.17</v>
      </c>
      <c r="P758">
        <v>4.51</v>
      </c>
      <c r="Q758" t="s">
        <v>9894</v>
      </c>
      <c r="R758">
        <v>4</v>
      </c>
      <c r="S758" s="5">
        <f t="shared" si="22"/>
        <v>4.440287486462538E-2</v>
      </c>
      <c r="T758">
        <v>14.51</v>
      </c>
      <c r="U758">
        <v>5</v>
      </c>
      <c r="V758">
        <v>2022</v>
      </c>
      <c r="W758">
        <v>2</v>
      </c>
      <c r="X758" t="s">
        <v>9899</v>
      </c>
      <c r="Y758" t="s">
        <v>9900</v>
      </c>
      <c r="Z758" t="s">
        <v>9899</v>
      </c>
      <c r="AD758">
        <f t="shared" si="23"/>
        <v>4</v>
      </c>
    </row>
    <row r="759" spans="1:30" x14ac:dyDescent="0.25">
      <c r="A759" t="s">
        <v>783</v>
      </c>
      <c r="B759" s="2">
        <v>44866</v>
      </c>
      <c r="C759" s="2">
        <v>44868</v>
      </c>
      <c r="D759" t="s">
        <v>5418</v>
      </c>
      <c r="E759" t="s">
        <v>5918</v>
      </c>
      <c r="F759" t="s">
        <v>6027</v>
      </c>
      <c r="G759" t="s">
        <v>6029</v>
      </c>
      <c r="H759" t="s">
        <v>6036</v>
      </c>
      <c r="I759" t="s">
        <v>6050</v>
      </c>
      <c r="J759" t="s">
        <v>6055</v>
      </c>
      <c r="K759" t="s">
        <v>6063</v>
      </c>
      <c r="L759" t="s">
        <v>6794</v>
      </c>
      <c r="M759">
        <v>1847.83</v>
      </c>
      <c r="N759">
        <v>7</v>
      </c>
      <c r="O759">
        <v>0.34</v>
      </c>
      <c r="P759">
        <v>-408.53</v>
      </c>
      <c r="Q759" t="s">
        <v>9897</v>
      </c>
      <c r="R759">
        <v>2</v>
      </c>
      <c r="S759" s="5">
        <f t="shared" si="22"/>
        <v>-0.22108635534654161</v>
      </c>
      <c r="T759">
        <v>263.97571428571428</v>
      </c>
      <c r="U759">
        <v>11</v>
      </c>
      <c r="V759">
        <v>2022</v>
      </c>
      <c r="W759">
        <v>4</v>
      </c>
      <c r="X759" t="s">
        <v>9898</v>
      </c>
      <c r="Y759" t="s">
        <v>9902</v>
      </c>
      <c r="Z759" t="s">
        <v>9898</v>
      </c>
      <c r="AD759">
        <f t="shared" si="23"/>
        <v>2</v>
      </c>
    </row>
    <row r="760" spans="1:30" x14ac:dyDescent="0.25">
      <c r="A760" t="s">
        <v>784</v>
      </c>
      <c r="B760" s="2">
        <v>44658</v>
      </c>
      <c r="C760" s="2">
        <v>44659</v>
      </c>
      <c r="D760" t="s">
        <v>5045</v>
      </c>
      <c r="E760" t="s">
        <v>5545</v>
      </c>
      <c r="F760" t="s">
        <v>6028</v>
      </c>
      <c r="G760" t="s">
        <v>6029</v>
      </c>
      <c r="H760" t="s">
        <v>6032</v>
      </c>
      <c r="I760" t="s">
        <v>6049</v>
      </c>
      <c r="J760" t="s">
        <v>6053</v>
      </c>
      <c r="K760" t="s">
        <v>6056</v>
      </c>
      <c r="L760" t="s">
        <v>6127</v>
      </c>
      <c r="M760">
        <v>1402.97</v>
      </c>
      <c r="N760">
        <v>2</v>
      </c>
      <c r="O760">
        <v>0.25</v>
      </c>
      <c r="P760">
        <v>-208.75</v>
      </c>
      <c r="Q760" t="s">
        <v>9897</v>
      </c>
      <c r="R760">
        <v>1</v>
      </c>
      <c r="S760" s="5">
        <f t="shared" si="22"/>
        <v>-0.14879149233411976</v>
      </c>
      <c r="T760">
        <v>701.48500000000001</v>
      </c>
      <c r="U760">
        <v>4</v>
      </c>
      <c r="V760">
        <v>2022</v>
      </c>
      <c r="W760">
        <v>2</v>
      </c>
      <c r="X760" t="s">
        <v>9898</v>
      </c>
      <c r="Y760" t="s">
        <v>9900</v>
      </c>
      <c r="Z760" t="s">
        <v>9898</v>
      </c>
      <c r="AD760">
        <f t="shared" si="23"/>
        <v>1</v>
      </c>
    </row>
    <row r="761" spans="1:30" x14ac:dyDescent="0.25">
      <c r="A761" t="s">
        <v>785</v>
      </c>
      <c r="B761" s="2">
        <v>44722</v>
      </c>
      <c r="C761" s="2">
        <v>44729</v>
      </c>
      <c r="D761" t="s">
        <v>5220</v>
      </c>
      <c r="E761" t="s">
        <v>5720</v>
      </c>
      <c r="F761" t="s">
        <v>6027</v>
      </c>
      <c r="G761" t="s">
        <v>6030</v>
      </c>
      <c r="H761" t="s">
        <v>6039</v>
      </c>
      <c r="I761" t="s">
        <v>6047</v>
      </c>
      <c r="J761" t="s">
        <v>6054</v>
      </c>
      <c r="K761" t="s">
        <v>6059</v>
      </c>
      <c r="L761" t="s">
        <v>6795</v>
      </c>
      <c r="M761">
        <v>779.35</v>
      </c>
      <c r="N761">
        <v>5</v>
      </c>
      <c r="O761">
        <v>0.34</v>
      </c>
      <c r="P761">
        <v>-82.77</v>
      </c>
      <c r="Q761" t="s">
        <v>9896</v>
      </c>
      <c r="R761">
        <v>7</v>
      </c>
      <c r="S761" s="5">
        <f t="shared" si="22"/>
        <v>-0.106203887855264</v>
      </c>
      <c r="T761">
        <v>155.87</v>
      </c>
      <c r="U761">
        <v>6</v>
      </c>
      <c r="V761">
        <v>2022</v>
      </c>
      <c r="W761">
        <v>2</v>
      </c>
      <c r="X761" t="s">
        <v>9898</v>
      </c>
      <c r="Y761" t="s">
        <v>9902</v>
      </c>
      <c r="Z761" t="s">
        <v>9899</v>
      </c>
      <c r="AD761">
        <f t="shared" si="23"/>
        <v>7</v>
      </c>
    </row>
    <row r="762" spans="1:30" x14ac:dyDescent="0.25">
      <c r="A762" t="s">
        <v>786</v>
      </c>
      <c r="B762" s="2">
        <v>45019</v>
      </c>
      <c r="C762" s="2">
        <v>45021</v>
      </c>
      <c r="D762" t="s">
        <v>5419</v>
      </c>
      <c r="E762" t="s">
        <v>5919</v>
      </c>
      <c r="F762" t="s">
        <v>6026</v>
      </c>
      <c r="G762" t="s">
        <v>6029</v>
      </c>
      <c r="H762" t="s">
        <v>6044</v>
      </c>
      <c r="I762" t="s">
        <v>6050</v>
      </c>
      <c r="J762" t="s">
        <v>6053</v>
      </c>
      <c r="K762" t="s">
        <v>6057</v>
      </c>
      <c r="L762" t="s">
        <v>6796</v>
      </c>
      <c r="M762">
        <v>265.52</v>
      </c>
      <c r="N762">
        <v>4</v>
      </c>
      <c r="O762">
        <v>0.28000000000000003</v>
      </c>
      <c r="P762">
        <v>-40.89</v>
      </c>
      <c r="Q762" t="s">
        <v>9893</v>
      </c>
      <c r="R762">
        <v>2</v>
      </c>
      <c r="S762" s="5">
        <f t="shared" si="22"/>
        <v>-0.15399969870442906</v>
      </c>
      <c r="T762">
        <v>66.38</v>
      </c>
      <c r="U762">
        <v>4</v>
      </c>
      <c r="V762">
        <v>2023</v>
      </c>
      <c r="W762">
        <v>2</v>
      </c>
      <c r="X762" t="s">
        <v>9898</v>
      </c>
      <c r="Y762" t="s">
        <v>9900</v>
      </c>
      <c r="Z762" t="s">
        <v>9899</v>
      </c>
      <c r="AD762">
        <f t="shared" si="23"/>
        <v>2</v>
      </c>
    </row>
    <row r="763" spans="1:30" x14ac:dyDescent="0.25">
      <c r="A763" t="s">
        <v>787</v>
      </c>
      <c r="B763" s="2">
        <v>44695</v>
      </c>
      <c r="C763" s="2">
        <v>44701</v>
      </c>
      <c r="D763" t="s">
        <v>5420</v>
      </c>
      <c r="E763" t="s">
        <v>5920</v>
      </c>
      <c r="F763" t="s">
        <v>6026</v>
      </c>
      <c r="G763" t="s">
        <v>6030</v>
      </c>
      <c r="H763" t="s">
        <v>6033</v>
      </c>
      <c r="I763" t="s">
        <v>6051</v>
      </c>
      <c r="J763" t="s">
        <v>6055</v>
      </c>
      <c r="K763" t="s">
        <v>6061</v>
      </c>
      <c r="L763" t="s">
        <v>6797</v>
      </c>
      <c r="M763">
        <v>1520.73</v>
      </c>
      <c r="N763">
        <v>1</v>
      </c>
      <c r="O763">
        <v>0.22</v>
      </c>
      <c r="P763">
        <v>63</v>
      </c>
      <c r="Q763" t="s">
        <v>9896</v>
      </c>
      <c r="R763">
        <v>6</v>
      </c>
      <c r="S763" s="5">
        <f t="shared" si="22"/>
        <v>4.142747233236669E-2</v>
      </c>
      <c r="T763">
        <v>1520.73</v>
      </c>
      <c r="U763">
        <v>5</v>
      </c>
      <c r="V763">
        <v>2022</v>
      </c>
      <c r="W763">
        <v>2</v>
      </c>
      <c r="X763" t="s">
        <v>9899</v>
      </c>
      <c r="Y763" t="s">
        <v>9900</v>
      </c>
      <c r="Z763" t="s">
        <v>9898</v>
      </c>
      <c r="AD763">
        <f t="shared" si="23"/>
        <v>6</v>
      </c>
    </row>
    <row r="764" spans="1:30" x14ac:dyDescent="0.25">
      <c r="A764" t="s">
        <v>788</v>
      </c>
      <c r="B764" s="2">
        <v>44884</v>
      </c>
      <c r="C764" s="2">
        <v>44890</v>
      </c>
      <c r="D764" t="s">
        <v>5370</v>
      </c>
      <c r="E764" t="s">
        <v>5870</v>
      </c>
      <c r="F764" t="s">
        <v>6028</v>
      </c>
      <c r="G764" t="s">
        <v>6031</v>
      </c>
      <c r="H764" t="s">
        <v>6040</v>
      </c>
      <c r="I764" t="s">
        <v>6050</v>
      </c>
      <c r="J764" t="s">
        <v>6053</v>
      </c>
      <c r="K764" t="s">
        <v>6056</v>
      </c>
      <c r="L764" t="s">
        <v>6798</v>
      </c>
      <c r="M764">
        <v>1610.98</v>
      </c>
      <c r="N764">
        <v>6</v>
      </c>
      <c r="O764">
        <v>0.23</v>
      </c>
      <c r="P764">
        <v>-101.59</v>
      </c>
      <c r="Q764" t="s">
        <v>9894</v>
      </c>
      <c r="R764">
        <v>6</v>
      </c>
      <c r="S764" s="5">
        <f t="shared" si="22"/>
        <v>-6.3060993929161133E-2</v>
      </c>
      <c r="T764">
        <v>268.49666666666673</v>
      </c>
      <c r="U764">
        <v>11</v>
      </c>
      <c r="V764">
        <v>2022</v>
      </c>
      <c r="W764">
        <v>4</v>
      </c>
      <c r="X764" t="s">
        <v>9898</v>
      </c>
      <c r="Y764" t="s">
        <v>9900</v>
      </c>
      <c r="Z764" t="s">
        <v>9898</v>
      </c>
      <c r="AD764">
        <f t="shared" si="23"/>
        <v>6</v>
      </c>
    </row>
    <row r="765" spans="1:30" x14ac:dyDescent="0.25">
      <c r="A765" t="s">
        <v>789</v>
      </c>
      <c r="B765" s="2">
        <v>45204</v>
      </c>
      <c r="C765" s="2">
        <v>45209</v>
      </c>
      <c r="D765" t="s">
        <v>5073</v>
      </c>
      <c r="E765" t="s">
        <v>5573</v>
      </c>
      <c r="F765" t="s">
        <v>6027</v>
      </c>
      <c r="G765" t="s">
        <v>6031</v>
      </c>
      <c r="H765" t="s">
        <v>6042</v>
      </c>
      <c r="I765" t="s">
        <v>6052</v>
      </c>
      <c r="J765" t="s">
        <v>6053</v>
      </c>
      <c r="K765" t="s">
        <v>6057</v>
      </c>
      <c r="L765" t="s">
        <v>6799</v>
      </c>
      <c r="M765">
        <v>830.93</v>
      </c>
      <c r="N765">
        <v>5</v>
      </c>
      <c r="O765">
        <v>0.05</v>
      </c>
      <c r="P765">
        <v>171.78</v>
      </c>
      <c r="Q765" t="s">
        <v>9896</v>
      </c>
      <c r="R765">
        <v>5</v>
      </c>
      <c r="S765" s="5">
        <f t="shared" si="22"/>
        <v>0.20673221571010797</v>
      </c>
      <c r="T765">
        <v>166.18600000000001</v>
      </c>
      <c r="U765">
        <v>10</v>
      </c>
      <c r="V765">
        <v>2023</v>
      </c>
      <c r="W765">
        <v>4</v>
      </c>
      <c r="X765" t="s">
        <v>9899</v>
      </c>
      <c r="Y765" t="s">
        <v>9901</v>
      </c>
      <c r="Z765" t="s">
        <v>9899</v>
      </c>
      <c r="AD765">
        <f t="shared" si="23"/>
        <v>5</v>
      </c>
    </row>
    <row r="766" spans="1:30" x14ac:dyDescent="0.25">
      <c r="A766" t="s">
        <v>790</v>
      </c>
      <c r="B766" s="2">
        <v>45217</v>
      </c>
      <c r="C766" s="2">
        <v>45221</v>
      </c>
      <c r="D766" t="s">
        <v>5280</v>
      </c>
      <c r="E766" t="s">
        <v>5780</v>
      </c>
      <c r="F766" t="s">
        <v>6028</v>
      </c>
      <c r="G766" t="s">
        <v>6031</v>
      </c>
      <c r="H766" t="s">
        <v>6043</v>
      </c>
      <c r="I766" t="s">
        <v>6048</v>
      </c>
      <c r="J766" t="s">
        <v>6055</v>
      </c>
      <c r="K766" t="s">
        <v>6064</v>
      </c>
      <c r="L766" t="s">
        <v>6332</v>
      </c>
      <c r="M766">
        <v>787.12</v>
      </c>
      <c r="N766">
        <v>5</v>
      </c>
      <c r="O766">
        <v>0.04</v>
      </c>
      <c r="P766">
        <v>192.16</v>
      </c>
      <c r="Q766" t="s">
        <v>9893</v>
      </c>
      <c r="R766">
        <v>4</v>
      </c>
      <c r="S766" s="5">
        <f t="shared" si="22"/>
        <v>0.24413050106718162</v>
      </c>
      <c r="T766">
        <v>157.42400000000001</v>
      </c>
      <c r="U766">
        <v>10</v>
      </c>
      <c r="V766">
        <v>2023</v>
      </c>
      <c r="W766">
        <v>4</v>
      </c>
      <c r="X766" t="s">
        <v>9899</v>
      </c>
      <c r="Y766" t="s">
        <v>9901</v>
      </c>
      <c r="Z766" t="s">
        <v>9899</v>
      </c>
      <c r="AD766">
        <f t="shared" si="23"/>
        <v>4</v>
      </c>
    </row>
    <row r="767" spans="1:30" x14ac:dyDescent="0.25">
      <c r="A767" t="s">
        <v>791</v>
      </c>
      <c r="B767" s="2">
        <v>44930</v>
      </c>
      <c r="C767" s="2">
        <v>44931</v>
      </c>
      <c r="D767" t="s">
        <v>5027</v>
      </c>
      <c r="E767" t="s">
        <v>5527</v>
      </c>
      <c r="F767" t="s">
        <v>6026</v>
      </c>
      <c r="G767" t="s">
        <v>6031</v>
      </c>
      <c r="H767" t="s">
        <v>6037</v>
      </c>
      <c r="I767" t="s">
        <v>6048</v>
      </c>
      <c r="J767" t="s">
        <v>6054</v>
      </c>
      <c r="K767" t="s">
        <v>6062</v>
      </c>
      <c r="L767" t="s">
        <v>6800</v>
      </c>
      <c r="M767">
        <v>467.17</v>
      </c>
      <c r="N767">
        <v>1</v>
      </c>
      <c r="O767">
        <v>0.3</v>
      </c>
      <c r="P767">
        <v>-27.82</v>
      </c>
      <c r="Q767" t="s">
        <v>9896</v>
      </c>
      <c r="R767">
        <v>1</v>
      </c>
      <c r="S767" s="5">
        <f t="shared" si="22"/>
        <v>-5.9550056724532827E-2</v>
      </c>
      <c r="T767">
        <v>467.17</v>
      </c>
      <c r="U767">
        <v>1</v>
      </c>
      <c r="V767">
        <v>2023</v>
      </c>
      <c r="W767">
        <v>1</v>
      </c>
      <c r="X767" t="s">
        <v>9898</v>
      </c>
      <c r="Y767" t="s">
        <v>9900</v>
      </c>
      <c r="Z767" t="s">
        <v>9899</v>
      </c>
      <c r="AD767">
        <f t="shared" si="23"/>
        <v>1</v>
      </c>
    </row>
    <row r="768" spans="1:30" x14ac:dyDescent="0.25">
      <c r="A768" t="s">
        <v>792</v>
      </c>
      <c r="B768" s="2">
        <v>44619</v>
      </c>
      <c r="C768" s="2">
        <v>44624</v>
      </c>
      <c r="D768" t="s">
        <v>5138</v>
      </c>
      <c r="E768" t="s">
        <v>5638</v>
      </c>
      <c r="F768" t="s">
        <v>6027</v>
      </c>
      <c r="G768" t="s">
        <v>6030</v>
      </c>
      <c r="H768" t="s">
        <v>6039</v>
      </c>
      <c r="I768" t="s">
        <v>6051</v>
      </c>
      <c r="J768" t="s">
        <v>6055</v>
      </c>
      <c r="K768" t="s">
        <v>6063</v>
      </c>
      <c r="L768" t="s">
        <v>6801</v>
      </c>
      <c r="M768">
        <v>873.3</v>
      </c>
      <c r="N768">
        <v>5</v>
      </c>
      <c r="O768">
        <v>0.32</v>
      </c>
      <c r="P768">
        <v>-35.42</v>
      </c>
      <c r="Q768" t="s">
        <v>9897</v>
      </c>
      <c r="R768">
        <v>5</v>
      </c>
      <c r="S768" s="5">
        <f t="shared" si="22"/>
        <v>-4.0558799954196728E-2</v>
      </c>
      <c r="T768">
        <v>174.66</v>
      </c>
      <c r="U768">
        <v>2</v>
      </c>
      <c r="V768">
        <v>2022</v>
      </c>
      <c r="W768">
        <v>1</v>
      </c>
      <c r="X768" t="s">
        <v>9898</v>
      </c>
      <c r="Y768" t="s">
        <v>9902</v>
      </c>
      <c r="Z768" t="s">
        <v>9899</v>
      </c>
      <c r="AD768">
        <f t="shared" si="23"/>
        <v>5</v>
      </c>
    </row>
    <row r="769" spans="1:30" x14ac:dyDescent="0.25">
      <c r="A769" t="s">
        <v>793</v>
      </c>
      <c r="B769" s="2">
        <v>45111</v>
      </c>
      <c r="C769" s="2">
        <v>45116</v>
      </c>
      <c r="D769" t="s">
        <v>5170</v>
      </c>
      <c r="E769" t="s">
        <v>5670</v>
      </c>
      <c r="F769" t="s">
        <v>6026</v>
      </c>
      <c r="G769" t="s">
        <v>6029</v>
      </c>
      <c r="H769" t="s">
        <v>6041</v>
      </c>
      <c r="I769" t="s">
        <v>6049</v>
      </c>
      <c r="J769" t="s">
        <v>6055</v>
      </c>
      <c r="K769" t="s">
        <v>6064</v>
      </c>
      <c r="L769" t="s">
        <v>6802</v>
      </c>
      <c r="M769">
        <v>1929.8</v>
      </c>
      <c r="N769">
        <v>2</v>
      </c>
      <c r="O769">
        <v>0.26</v>
      </c>
      <c r="P769">
        <v>-22.44</v>
      </c>
      <c r="Q769" t="s">
        <v>9896</v>
      </c>
      <c r="R769">
        <v>5</v>
      </c>
      <c r="S769" s="5">
        <f t="shared" si="22"/>
        <v>-1.1628147994610842E-2</v>
      </c>
      <c r="T769">
        <v>964.9</v>
      </c>
      <c r="U769">
        <v>7</v>
      </c>
      <c r="V769">
        <v>2023</v>
      </c>
      <c r="W769">
        <v>3</v>
      </c>
      <c r="X769" t="s">
        <v>9898</v>
      </c>
      <c r="Y769" t="s">
        <v>9900</v>
      </c>
      <c r="Z769" t="s">
        <v>9898</v>
      </c>
      <c r="AD769">
        <f t="shared" si="23"/>
        <v>5</v>
      </c>
    </row>
    <row r="770" spans="1:30" x14ac:dyDescent="0.25">
      <c r="A770" t="s">
        <v>794</v>
      </c>
      <c r="B770" s="2">
        <v>45029</v>
      </c>
      <c r="C770" s="2">
        <v>45032</v>
      </c>
      <c r="D770" t="s">
        <v>5421</v>
      </c>
      <c r="E770" t="s">
        <v>5921</v>
      </c>
      <c r="F770" t="s">
        <v>6026</v>
      </c>
      <c r="G770" t="s">
        <v>6030</v>
      </c>
      <c r="H770" t="s">
        <v>6039</v>
      </c>
      <c r="I770" t="s">
        <v>6047</v>
      </c>
      <c r="J770" t="s">
        <v>6053</v>
      </c>
      <c r="K770" t="s">
        <v>6057</v>
      </c>
      <c r="L770" t="s">
        <v>6803</v>
      </c>
      <c r="M770">
        <v>1542.42</v>
      </c>
      <c r="N770">
        <v>3</v>
      </c>
      <c r="O770">
        <v>0.27</v>
      </c>
      <c r="P770">
        <v>-140.75</v>
      </c>
      <c r="Q770" t="s">
        <v>9897</v>
      </c>
      <c r="R770">
        <v>3</v>
      </c>
      <c r="S770" s="5">
        <f t="shared" si="22"/>
        <v>-9.1252706785441062E-2</v>
      </c>
      <c r="T770">
        <v>514.14</v>
      </c>
      <c r="U770">
        <v>4</v>
      </c>
      <c r="V770">
        <v>2023</v>
      </c>
      <c r="W770">
        <v>2</v>
      </c>
      <c r="X770" t="s">
        <v>9898</v>
      </c>
      <c r="Y770" t="s">
        <v>9900</v>
      </c>
      <c r="Z770" t="s">
        <v>9898</v>
      </c>
      <c r="AD770">
        <f t="shared" si="23"/>
        <v>3</v>
      </c>
    </row>
    <row r="771" spans="1:30" x14ac:dyDescent="0.25">
      <c r="A771" t="s">
        <v>795</v>
      </c>
      <c r="B771" s="2">
        <v>44926</v>
      </c>
      <c r="C771" s="2">
        <v>44933</v>
      </c>
      <c r="D771" t="s">
        <v>5422</v>
      </c>
      <c r="E771" t="s">
        <v>5922</v>
      </c>
      <c r="F771" t="s">
        <v>6028</v>
      </c>
      <c r="G771" t="s">
        <v>6029</v>
      </c>
      <c r="H771" t="s">
        <v>6041</v>
      </c>
      <c r="I771" t="s">
        <v>6049</v>
      </c>
      <c r="J771" t="s">
        <v>6054</v>
      </c>
      <c r="K771" t="s">
        <v>6062</v>
      </c>
      <c r="L771" t="s">
        <v>6804</v>
      </c>
      <c r="M771">
        <v>759.04</v>
      </c>
      <c r="N771">
        <v>1</v>
      </c>
      <c r="O771">
        <v>0.3</v>
      </c>
      <c r="P771">
        <v>-34.31</v>
      </c>
      <c r="Q771" t="s">
        <v>9894</v>
      </c>
      <c r="R771">
        <v>7</v>
      </c>
      <c r="S771" s="5">
        <f t="shared" ref="S771:S834" si="24">P771/M771</f>
        <v>-4.5201833895446887E-2</v>
      </c>
      <c r="T771">
        <v>759.04</v>
      </c>
      <c r="U771">
        <v>12</v>
      </c>
      <c r="V771">
        <v>2022</v>
      </c>
      <c r="W771">
        <v>4</v>
      </c>
      <c r="X771" t="s">
        <v>9898</v>
      </c>
      <c r="Y771" t="s">
        <v>9900</v>
      </c>
      <c r="Z771" t="s">
        <v>9899</v>
      </c>
      <c r="AD771">
        <f t="shared" ref="AD771:AD834" si="25">C771-B771</f>
        <v>7</v>
      </c>
    </row>
    <row r="772" spans="1:30" x14ac:dyDescent="0.25">
      <c r="A772" t="s">
        <v>796</v>
      </c>
      <c r="B772" s="2">
        <v>45383</v>
      </c>
      <c r="C772" s="2">
        <v>45386</v>
      </c>
      <c r="D772" t="s">
        <v>5272</v>
      </c>
      <c r="E772" t="s">
        <v>5772</v>
      </c>
      <c r="F772" t="s">
        <v>6026</v>
      </c>
      <c r="G772" t="s">
        <v>6029</v>
      </c>
      <c r="H772" t="s">
        <v>6036</v>
      </c>
      <c r="I772" t="s">
        <v>6050</v>
      </c>
      <c r="J772" t="s">
        <v>6055</v>
      </c>
      <c r="K772" t="s">
        <v>6063</v>
      </c>
      <c r="L772" t="s">
        <v>6805</v>
      </c>
      <c r="M772">
        <v>607.41</v>
      </c>
      <c r="N772">
        <v>1</v>
      </c>
      <c r="O772">
        <v>0.2</v>
      </c>
      <c r="P772">
        <v>-38.270000000000003</v>
      </c>
      <c r="Q772" t="s">
        <v>9893</v>
      </c>
      <c r="R772">
        <v>3</v>
      </c>
      <c r="S772" s="5">
        <f t="shared" si="24"/>
        <v>-6.3005218880163319E-2</v>
      </c>
      <c r="T772">
        <v>607.41</v>
      </c>
      <c r="U772">
        <v>4</v>
      </c>
      <c r="V772">
        <v>2024</v>
      </c>
      <c r="W772">
        <v>2</v>
      </c>
      <c r="X772" t="s">
        <v>9898</v>
      </c>
      <c r="Y772" t="s">
        <v>9900</v>
      </c>
      <c r="Z772" t="s">
        <v>9899</v>
      </c>
      <c r="AD772">
        <f t="shared" si="25"/>
        <v>3</v>
      </c>
    </row>
    <row r="773" spans="1:30" x14ac:dyDescent="0.25">
      <c r="A773" t="s">
        <v>797</v>
      </c>
      <c r="B773" s="2">
        <v>44577</v>
      </c>
      <c r="C773" s="2">
        <v>44578</v>
      </c>
      <c r="D773" t="s">
        <v>5423</v>
      </c>
      <c r="E773" t="s">
        <v>5923</v>
      </c>
      <c r="F773" t="s">
        <v>6026</v>
      </c>
      <c r="G773" t="s">
        <v>6031</v>
      </c>
      <c r="H773" t="s">
        <v>6042</v>
      </c>
      <c r="I773" t="s">
        <v>6052</v>
      </c>
      <c r="J773" t="s">
        <v>6054</v>
      </c>
      <c r="K773" t="s">
        <v>6059</v>
      </c>
      <c r="L773" t="s">
        <v>6806</v>
      </c>
      <c r="M773">
        <v>142.18</v>
      </c>
      <c r="N773">
        <v>3</v>
      </c>
      <c r="O773">
        <v>0.32</v>
      </c>
      <c r="P773">
        <v>-3.02</v>
      </c>
      <c r="Q773" t="s">
        <v>9896</v>
      </c>
      <c r="R773">
        <v>1</v>
      </c>
      <c r="S773" s="5">
        <f t="shared" si="24"/>
        <v>-2.1240680827120551E-2</v>
      </c>
      <c r="T773">
        <v>47.393333333333338</v>
      </c>
      <c r="U773">
        <v>1</v>
      </c>
      <c r="V773">
        <v>2022</v>
      </c>
      <c r="W773">
        <v>1</v>
      </c>
      <c r="X773" t="s">
        <v>9898</v>
      </c>
      <c r="Y773" t="s">
        <v>9902</v>
      </c>
      <c r="Z773" t="s">
        <v>9899</v>
      </c>
      <c r="AD773">
        <f t="shared" si="25"/>
        <v>1</v>
      </c>
    </row>
    <row r="774" spans="1:30" x14ac:dyDescent="0.25">
      <c r="A774" t="s">
        <v>798</v>
      </c>
      <c r="B774" s="2">
        <v>45332</v>
      </c>
      <c r="C774" s="2">
        <v>45334</v>
      </c>
      <c r="D774" t="s">
        <v>5122</v>
      </c>
      <c r="E774" t="s">
        <v>5622</v>
      </c>
      <c r="F774" t="s">
        <v>6026</v>
      </c>
      <c r="G774" t="s">
        <v>6031</v>
      </c>
      <c r="H774" t="s">
        <v>6040</v>
      </c>
      <c r="I774" t="s">
        <v>6048</v>
      </c>
      <c r="J774" t="s">
        <v>6053</v>
      </c>
      <c r="K774" t="s">
        <v>6057</v>
      </c>
      <c r="L774" t="s">
        <v>6807</v>
      </c>
      <c r="M774">
        <v>1357.28</v>
      </c>
      <c r="N774">
        <v>5</v>
      </c>
      <c r="O774">
        <v>0.19</v>
      </c>
      <c r="P774">
        <v>92.57</v>
      </c>
      <c r="Q774" t="s">
        <v>9895</v>
      </c>
      <c r="R774">
        <v>2</v>
      </c>
      <c r="S774" s="5">
        <f t="shared" si="24"/>
        <v>6.8202581633855938E-2</v>
      </c>
      <c r="T774">
        <v>271.45600000000002</v>
      </c>
      <c r="U774">
        <v>2</v>
      </c>
      <c r="V774">
        <v>2024</v>
      </c>
      <c r="W774">
        <v>1</v>
      </c>
      <c r="X774" t="s">
        <v>9899</v>
      </c>
      <c r="Y774" t="s">
        <v>9900</v>
      </c>
      <c r="Z774" t="s">
        <v>9898</v>
      </c>
      <c r="AD774">
        <f t="shared" si="25"/>
        <v>2</v>
      </c>
    </row>
    <row r="775" spans="1:30" x14ac:dyDescent="0.25">
      <c r="A775" t="s">
        <v>799</v>
      </c>
      <c r="B775" s="2">
        <v>45007</v>
      </c>
      <c r="C775" s="2">
        <v>45011</v>
      </c>
      <c r="D775" t="s">
        <v>5312</v>
      </c>
      <c r="E775" t="s">
        <v>5812</v>
      </c>
      <c r="F775" t="s">
        <v>6027</v>
      </c>
      <c r="G775" t="s">
        <v>6031</v>
      </c>
      <c r="H775" t="s">
        <v>6040</v>
      </c>
      <c r="I775" t="s">
        <v>6050</v>
      </c>
      <c r="J775" t="s">
        <v>6053</v>
      </c>
      <c r="K775" t="s">
        <v>6057</v>
      </c>
      <c r="L775" t="s">
        <v>6360</v>
      </c>
      <c r="M775">
        <v>1786.84</v>
      </c>
      <c r="N775">
        <v>6</v>
      </c>
      <c r="O775">
        <v>0.17</v>
      </c>
      <c r="P775">
        <v>-123.41</v>
      </c>
      <c r="Q775" t="s">
        <v>9896</v>
      </c>
      <c r="R775">
        <v>4</v>
      </c>
      <c r="S775" s="5">
        <f t="shared" si="24"/>
        <v>-6.9066060755299863E-2</v>
      </c>
      <c r="T775">
        <v>297.80666666666667</v>
      </c>
      <c r="U775">
        <v>3</v>
      </c>
      <c r="V775">
        <v>2023</v>
      </c>
      <c r="W775">
        <v>1</v>
      </c>
      <c r="X775" t="s">
        <v>9898</v>
      </c>
      <c r="Y775" t="s">
        <v>9900</v>
      </c>
      <c r="Z775" t="s">
        <v>9898</v>
      </c>
      <c r="AD775">
        <f t="shared" si="25"/>
        <v>4</v>
      </c>
    </row>
    <row r="776" spans="1:30" x14ac:dyDescent="0.25">
      <c r="A776" t="s">
        <v>800</v>
      </c>
      <c r="B776" s="2">
        <v>44895</v>
      </c>
      <c r="C776" s="2">
        <v>44899</v>
      </c>
      <c r="D776" t="s">
        <v>5197</v>
      </c>
      <c r="E776" t="s">
        <v>5697</v>
      </c>
      <c r="F776" t="s">
        <v>6026</v>
      </c>
      <c r="G776" t="s">
        <v>6029</v>
      </c>
      <c r="H776" t="s">
        <v>6032</v>
      </c>
      <c r="I776" t="s">
        <v>6050</v>
      </c>
      <c r="J776" t="s">
        <v>6053</v>
      </c>
      <c r="K776" t="s">
        <v>6056</v>
      </c>
      <c r="L776" t="s">
        <v>6808</v>
      </c>
      <c r="M776">
        <v>1089.32</v>
      </c>
      <c r="N776">
        <v>2</v>
      </c>
      <c r="O776">
        <v>0.19</v>
      </c>
      <c r="P776">
        <v>71.959999999999994</v>
      </c>
      <c r="Q776" t="s">
        <v>9895</v>
      </c>
      <c r="R776">
        <v>4</v>
      </c>
      <c r="S776" s="5">
        <f t="shared" si="24"/>
        <v>6.6059560092534789E-2</v>
      </c>
      <c r="T776">
        <v>544.66</v>
      </c>
      <c r="U776">
        <v>11</v>
      </c>
      <c r="V776">
        <v>2022</v>
      </c>
      <c r="W776">
        <v>4</v>
      </c>
      <c r="X776" t="s">
        <v>9899</v>
      </c>
      <c r="Y776" t="s">
        <v>9900</v>
      </c>
      <c r="Z776" t="s">
        <v>9898</v>
      </c>
      <c r="AD776">
        <f t="shared" si="25"/>
        <v>4</v>
      </c>
    </row>
    <row r="777" spans="1:30" x14ac:dyDescent="0.25">
      <c r="A777" t="s">
        <v>801</v>
      </c>
      <c r="B777" s="2">
        <v>45401</v>
      </c>
      <c r="C777" s="2">
        <v>45408</v>
      </c>
      <c r="D777" t="s">
        <v>5283</v>
      </c>
      <c r="E777" t="s">
        <v>5783</v>
      </c>
      <c r="F777" t="s">
        <v>6027</v>
      </c>
      <c r="G777" t="s">
        <v>6031</v>
      </c>
      <c r="H777" t="s">
        <v>6037</v>
      </c>
      <c r="I777" t="s">
        <v>6052</v>
      </c>
      <c r="J777" t="s">
        <v>6053</v>
      </c>
      <c r="K777" t="s">
        <v>6058</v>
      </c>
      <c r="L777" t="s">
        <v>6809</v>
      </c>
      <c r="M777">
        <v>885.95</v>
      </c>
      <c r="N777">
        <v>5</v>
      </c>
      <c r="O777">
        <v>0.03</v>
      </c>
      <c r="P777">
        <v>148.84</v>
      </c>
      <c r="Q777" t="s">
        <v>9897</v>
      </c>
      <c r="R777">
        <v>7</v>
      </c>
      <c r="S777" s="5">
        <f t="shared" si="24"/>
        <v>0.16800045149274789</v>
      </c>
      <c r="T777">
        <v>177.19</v>
      </c>
      <c r="U777">
        <v>4</v>
      </c>
      <c r="V777">
        <v>2024</v>
      </c>
      <c r="W777">
        <v>2</v>
      </c>
      <c r="X777" t="s">
        <v>9899</v>
      </c>
      <c r="Y777" t="s">
        <v>9901</v>
      </c>
      <c r="Z777" t="s">
        <v>9899</v>
      </c>
      <c r="AD777">
        <f t="shared" si="25"/>
        <v>7</v>
      </c>
    </row>
    <row r="778" spans="1:30" x14ac:dyDescent="0.25">
      <c r="A778" t="s">
        <v>802</v>
      </c>
      <c r="B778" s="2">
        <v>44612</v>
      </c>
      <c r="C778" s="2">
        <v>44617</v>
      </c>
      <c r="D778" t="s">
        <v>5320</v>
      </c>
      <c r="E778" t="s">
        <v>5820</v>
      </c>
      <c r="F778" t="s">
        <v>6028</v>
      </c>
      <c r="G778" t="s">
        <v>6030</v>
      </c>
      <c r="H778" t="s">
        <v>6035</v>
      </c>
      <c r="I778" t="s">
        <v>6047</v>
      </c>
      <c r="J778" t="s">
        <v>6055</v>
      </c>
      <c r="K778" t="s">
        <v>6061</v>
      </c>
      <c r="L778" t="s">
        <v>6810</v>
      </c>
      <c r="M778">
        <v>1867.06</v>
      </c>
      <c r="N778">
        <v>4</v>
      </c>
      <c r="O778">
        <v>0.28000000000000003</v>
      </c>
      <c r="P778">
        <v>25.82</v>
      </c>
      <c r="Q778" t="s">
        <v>9893</v>
      </c>
      <c r="R778">
        <v>5</v>
      </c>
      <c r="S778" s="5">
        <f t="shared" si="24"/>
        <v>1.3829228841065633E-2</v>
      </c>
      <c r="T778">
        <v>466.76499999999999</v>
      </c>
      <c r="U778">
        <v>2</v>
      </c>
      <c r="V778">
        <v>2022</v>
      </c>
      <c r="W778">
        <v>1</v>
      </c>
      <c r="X778" t="s">
        <v>9899</v>
      </c>
      <c r="Y778" t="s">
        <v>9900</v>
      </c>
      <c r="Z778" t="s">
        <v>9898</v>
      </c>
      <c r="AD778">
        <f t="shared" si="25"/>
        <v>5</v>
      </c>
    </row>
    <row r="779" spans="1:30" x14ac:dyDescent="0.25">
      <c r="A779" t="s">
        <v>803</v>
      </c>
      <c r="B779" s="2">
        <v>44677</v>
      </c>
      <c r="C779" s="2">
        <v>44679</v>
      </c>
      <c r="D779" t="s">
        <v>5291</v>
      </c>
      <c r="E779" t="s">
        <v>5791</v>
      </c>
      <c r="F779" t="s">
        <v>6028</v>
      </c>
      <c r="G779" t="s">
        <v>6029</v>
      </c>
      <c r="H779" t="s">
        <v>6045</v>
      </c>
      <c r="I779" t="s">
        <v>6049</v>
      </c>
      <c r="J779" t="s">
        <v>6053</v>
      </c>
      <c r="K779" t="s">
        <v>6056</v>
      </c>
      <c r="L779" t="s">
        <v>6515</v>
      </c>
      <c r="M779">
        <v>277.95</v>
      </c>
      <c r="N779">
        <v>1</v>
      </c>
      <c r="O779">
        <v>0.14000000000000001</v>
      </c>
      <c r="P779">
        <v>37.619999999999997</v>
      </c>
      <c r="Q779" t="s">
        <v>9897</v>
      </c>
      <c r="R779">
        <v>2</v>
      </c>
      <c r="S779" s="5">
        <f t="shared" si="24"/>
        <v>0.13534808418780356</v>
      </c>
      <c r="T779">
        <v>277.95</v>
      </c>
      <c r="U779">
        <v>4</v>
      </c>
      <c r="V779">
        <v>2022</v>
      </c>
      <c r="W779">
        <v>2</v>
      </c>
      <c r="X779" t="s">
        <v>9899</v>
      </c>
      <c r="Y779" t="s">
        <v>9901</v>
      </c>
      <c r="Z779" t="s">
        <v>9899</v>
      </c>
      <c r="AD779">
        <f t="shared" si="25"/>
        <v>2</v>
      </c>
    </row>
    <row r="780" spans="1:30" x14ac:dyDescent="0.25">
      <c r="A780" t="s">
        <v>804</v>
      </c>
      <c r="B780" s="2">
        <v>44636</v>
      </c>
      <c r="C780" s="2">
        <v>44643</v>
      </c>
      <c r="D780" t="s">
        <v>5045</v>
      </c>
      <c r="E780" t="s">
        <v>5545</v>
      </c>
      <c r="F780" t="s">
        <v>6027</v>
      </c>
      <c r="G780" t="s">
        <v>6031</v>
      </c>
      <c r="H780" t="s">
        <v>6043</v>
      </c>
      <c r="I780" t="s">
        <v>6052</v>
      </c>
      <c r="J780" t="s">
        <v>6054</v>
      </c>
      <c r="K780" t="s">
        <v>6060</v>
      </c>
      <c r="L780" t="s">
        <v>6258</v>
      </c>
      <c r="M780">
        <v>1306.44</v>
      </c>
      <c r="N780">
        <v>2</v>
      </c>
      <c r="O780">
        <v>0.17</v>
      </c>
      <c r="P780">
        <v>9.99</v>
      </c>
      <c r="Q780" t="s">
        <v>9894</v>
      </c>
      <c r="R780">
        <v>7</v>
      </c>
      <c r="S780" s="5">
        <f t="shared" si="24"/>
        <v>7.6467346376412233E-3</v>
      </c>
      <c r="T780">
        <v>653.22</v>
      </c>
      <c r="U780">
        <v>3</v>
      </c>
      <c r="V780">
        <v>2022</v>
      </c>
      <c r="W780">
        <v>1</v>
      </c>
      <c r="X780" t="s">
        <v>9899</v>
      </c>
      <c r="Y780" t="s">
        <v>9900</v>
      </c>
      <c r="Z780" t="s">
        <v>9898</v>
      </c>
      <c r="AD780">
        <f t="shared" si="25"/>
        <v>7</v>
      </c>
    </row>
    <row r="781" spans="1:30" x14ac:dyDescent="0.25">
      <c r="A781" t="s">
        <v>805</v>
      </c>
      <c r="B781" s="2">
        <v>44782</v>
      </c>
      <c r="C781" s="2">
        <v>44787</v>
      </c>
      <c r="D781" t="s">
        <v>5210</v>
      </c>
      <c r="E781" t="s">
        <v>5710</v>
      </c>
      <c r="F781" t="s">
        <v>6026</v>
      </c>
      <c r="G781" t="s">
        <v>6031</v>
      </c>
      <c r="H781" t="s">
        <v>6042</v>
      </c>
      <c r="I781" t="s">
        <v>6052</v>
      </c>
      <c r="J781" t="s">
        <v>6054</v>
      </c>
      <c r="K781" t="s">
        <v>6060</v>
      </c>
      <c r="L781" t="s">
        <v>6811</v>
      </c>
      <c r="M781">
        <v>1625.93</v>
      </c>
      <c r="N781">
        <v>1</v>
      </c>
      <c r="O781">
        <v>0.3</v>
      </c>
      <c r="P781">
        <v>-20.190000000000001</v>
      </c>
      <c r="Q781" t="s">
        <v>9894</v>
      </c>
      <c r="R781">
        <v>5</v>
      </c>
      <c r="S781" s="5">
        <f t="shared" si="24"/>
        <v>-1.2417508748839127E-2</v>
      </c>
      <c r="T781">
        <v>1625.93</v>
      </c>
      <c r="U781">
        <v>8</v>
      </c>
      <c r="V781">
        <v>2022</v>
      </c>
      <c r="W781">
        <v>3</v>
      </c>
      <c r="X781" t="s">
        <v>9898</v>
      </c>
      <c r="Y781" t="s">
        <v>9900</v>
      </c>
      <c r="Z781" t="s">
        <v>9898</v>
      </c>
      <c r="AD781">
        <f t="shared" si="25"/>
        <v>5</v>
      </c>
    </row>
    <row r="782" spans="1:30" x14ac:dyDescent="0.25">
      <c r="A782" t="s">
        <v>806</v>
      </c>
      <c r="B782" s="2">
        <v>44630</v>
      </c>
      <c r="C782" s="2">
        <v>44635</v>
      </c>
      <c r="D782" t="s">
        <v>5424</v>
      </c>
      <c r="E782" t="s">
        <v>5924</v>
      </c>
      <c r="F782" t="s">
        <v>6027</v>
      </c>
      <c r="G782" t="s">
        <v>6031</v>
      </c>
      <c r="H782" t="s">
        <v>6043</v>
      </c>
      <c r="I782" t="s">
        <v>6052</v>
      </c>
      <c r="J782" t="s">
        <v>6055</v>
      </c>
      <c r="K782" t="s">
        <v>6064</v>
      </c>
      <c r="L782" t="s">
        <v>6812</v>
      </c>
      <c r="M782">
        <v>136.66999999999999</v>
      </c>
      <c r="N782">
        <v>2</v>
      </c>
      <c r="O782">
        <v>0.28999999999999998</v>
      </c>
      <c r="P782">
        <v>-17.57</v>
      </c>
      <c r="Q782" t="s">
        <v>9893</v>
      </c>
      <c r="R782">
        <v>5</v>
      </c>
      <c r="S782" s="5">
        <f t="shared" si="24"/>
        <v>-0.12855784005268164</v>
      </c>
      <c r="T782">
        <v>68.334999999999994</v>
      </c>
      <c r="U782">
        <v>3</v>
      </c>
      <c r="V782">
        <v>2022</v>
      </c>
      <c r="W782">
        <v>1</v>
      </c>
      <c r="X782" t="s">
        <v>9898</v>
      </c>
      <c r="Y782" t="s">
        <v>9900</v>
      </c>
      <c r="Z782" t="s">
        <v>9899</v>
      </c>
      <c r="AD782">
        <f t="shared" si="25"/>
        <v>5</v>
      </c>
    </row>
    <row r="783" spans="1:30" x14ac:dyDescent="0.25">
      <c r="A783" t="s">
        <v>807</v>
      </c>
      <c r="B783" s="2">
        <v>44839</v>
      </c>
      <c r="C783" s="2">
        <v>44840</v>
      </c>
      <c r="D783" t="s">
        <v>5380</v>
      </c>
      <c r="E783" t="s">
        <v>5880</v>
      </c>
      <c r="F783" t="s">
        <v>6026</v>
      </c>
      <c r="G783" t="s">
        <v>6031</v>
      </c>
      <c r="H783" t="s">
        <v>6040</v>
      </c>
      <c r="I783" t="s">
        <v>6052</v>
      </c>
      <c r="J783" t="s">
        <v>6055</v>
      </c>
      <c r="K783" t="s">
        <v>6064</v>
      </c>
      <c r="L783" t="s">
        <v>6813</v>
      </c>
      <c r="M783">
        <v>1634.29</v>
      </c>
      <c r="N783">
        <v>4</v>
      </c>
      <c r="O783">
        <v>0.06</v>
      </c>
      <c r="P783">
        <v>299.25</v>
      </c>
      <c r="Q783" t="s">
        <v>9893</v>
      </c>
      <c r="R783">
        <v>1</v>
      </c>
      <c r="S783" s="5">
        <f t="shared" si="24"/>
        <v>0.18310703730672034</v>
      </c>
      <c r="T783">
        <v>408.57249999999999</v>
      </c>
      <c r="U783">
        <v>10</v>
      </c>
      <c r="V783">
        <v>2022</v>
      </c>
      <c r="W783">
        <v>4</v>
      </c>
      <c r="X783" t="s">
        <v>9899</v>
      </c>
      <c r="Y783" t="s">
        <v>9901</v>
      </c>
      <c r="Z783" t="s">
        <v>9898</v>
      </c>
      <c r="AD783">
        <f t="shared" si="25"/>
        <v>1</v>
      </c>
    </row>
    <row r="784" spans="1:30" x14ac:dyDescent="0.25">
      <c r="A784" t="s">
        <v>808</v>
      </c>
      <c r="B784" s="2">
        <v>45110</v>
      </c>
      <c r="C784" s="2">
        <v>45114</v>
      </c>
      <c r="D784" t="s">
        <v>5082</v>
      </c>
      <c r="E784" t="s">
        <v>5582</v>
      </c>
      <c r="F784" t="s">
        <v>6026</v>
      </c>
      <c r="G784" t="s">
        <v>6029</v>
      </c>
      <c r="H784" t="s">
        <v>6036</v>
      </c>
      <c r="I784" t="s">
        <v>6046</v>
      </c>
      <c r="J784" t="s">
        <v>6053</v>
      </c>
      <c r="K784" t="s">
        <v>6056</v>
      </c>
      <c r="L784" t="s">
        <v>6814</v>
      </c>
      <c r="M784">
        <v>662.7</v>
      </c>
      <c r="N784">
        <v>5</v>
      </c>
      <c r="O784">
        <v>0.26</v>
      </c>
      <c r="P784">
        <v>13.61</v>
      </c>
      <c r="Q784" t="s">
        <v>9894</v>
      </c>
      <c r="R784">
        <v>4</v>
      </c>
      <c r="S784" s="5">
        <f t="shared" si="24"/>
        <v>2.053719631809265E-2</v>
      </c>
      <c r="T784">
        <v>132.54</v>
      </c>
      <c r="U784">
        <v>7</v>
      </c>
      <c r="V784">
        <v>2023</v>
      </c>
      <c r="W784">
        <v>3</v>
      </c>
      <c r="X784" t="s">
        <v>9899</v>
      </c>
      <c r="Y784" t="s">
        <v>9900</v>
      </c>
      <c r="Z784" t="s">
        <v>9899</v>
      </c>
      <c r="AD784">
        <f t="shared" si="25"/>
        <v>4</v>
      </c>
    </row>
    <row r="785" spans="1:30" x14ac:dyDescent="0.25">
      <c r="A785" t="s">
        <v>809</v>
      </c>
      <c r="B785" s="2">
        <v>44616</v>
      </c>
      <c r="C785" s="2">
        <v>44621</v>
      </c>
      <c r="D785" t="s">
        <v>5327</v>
      </c>
      <c r="E785" t="s">
        <v>5827</v>
      </c>
      <c r="F785" t="s">
        <v>6027</v>
      </c>
      <c r="G785" t="s">
        <v>6029</v>
      </c>
      <c r="H785" t="s">
        <v>6045</v>
      </c>
      <c r="I785" t="s">
        <v>6050</v>
      </c>
      <c r="J785" t="s">
        <v>6055</v>
      </c>
      <c r="K785" t="s">
        <v>6064</v>
      </c>
      <c r="L785" t="s">
        <v>6815</v>
      </c>
      <c r="M785">
        <v>1488.93</v>
      </c>
      <c r="N785">
        <v>8</v>
      </c>
      <c r="O785">
        <v>0.17</v>
      </c>
      <c r="P785">
        <v>84.28</v>
      </c>
      <c r="Q785" t="s">
        <v>9896</v>
      </c>
      <c r="R785">
        <v>5</v>
      </c>
      <c r="S785" s="5">
        <f t="shared" si="24"/>
        <v>5.6604407191741722E-2</v>
      </c>
      <c r="T785">
        <v>186.11625000000001</v>
      </c>
      <c r="U785">
        <v>2</v>
      </c>
      <c r="V785">
        <v>2022</v>
      </c>
      <c r="W785">
        <v>1</v>
      </c>
      <c r="X785" t="s">
        <v>9899</v>
      </c>
      <c r="Y785" t="s">
        <v>9900</v>
      </c>
      <c r="Z785" t="s">
        <v>9898</v>
      </c>
      <c r="AD785">
        <f t="shared" si="25"/>
        <v>5</v>
      </c>
    </row>
    <row r="786" spans="1:30" x14ac:dyDescent="0.25">
      <c r="A786" t="s">
        <v>810</v>
      </c>
      <c r="B786" s="2">
        <v>45425</v>
      </c>
      <c r="C786" s="2">
        <v>45427</v>
      </c>
      <c r="D786" t="s">
        <v>5408</v>
      </c>
      <c r="E786" t="s">
        <v>5908</v>
      </c>
      <c r="F786" t="s">
        <v>6028</v>
      </c>
      <c r="G786" t="s">
        <v>6030</v>
      </c>
      <c r="H786" t="s">
        <v>6035</v>
      </c>
      <c r="I786" t="s">
        <v>6047</v>
      </c>
      <c r="J786" t="s">
        <v>6055</v>
      </c>
      <c r="K786" t="s">
        <v>6063</v>
      </c>
      <c r="L786" t="s">
        <v>6816</v>
      </c>
      <c r="M786">
        <v>1502.57</v>
      </c>
      <c r="N786">
        <v>5</v>
      </c>
      <c r="O786">
        <v>0.1</v>
      </c>
      <c r="P786">
        <v>27.38</v>
      </c>
      <c r="Q786" t="s">
        <v>9896</v>
      </c>
      <c r="R786">
        <v>2</v>
      </c>
      <c r="S786" s="5">
        <f t="shared" si="24"/>
        <v>1.8222112780103421E-2</v>
      </c>
      <c r="T786">
        <v>300.51400000000001</v>
      </c>
      <c r="U786">
        <v>5</v>
      </c>
      <c r="V786">
        <v>2024</v>
      </c>
      <c r="W786">
        <v>2</v>
      </c>
      <c r="X786" t="s">
        <v>9899</v>
      </c>
      <c r="Y786" t="s">
        <v>9901</v>
      </c>
      <c r="Z786" t="s">
        <v>9898</v>
      </c>
      <c r="AD786">
        <f t="shared" si="25"/>
        <v>2</v>
      </c>
    </row>
    <row r="787" spans="1:30" x14ac:dyDescent="0.25">
      <c r="A787" t="s">
        <v>811</v>
      </c>
      <c r="B787" s="2">
        <v>45084</v>
      </c>
      <c r="C787" s="2">
        <v>45085</v>
      </c>
      <c r="D787" t="s">
        <v>5055</v>
      </c>
      <c r="E787" t="s">
        <v>5555</v>
      </c>
      <c r="F787" t="s">
        <v>6027</v>
      </c>
      <c r="G787" t="s">
        <v>6031</v>
      </c>
      <c r="H787" t="s">
        <v>6034</v>
      </c>
      <c r="I787" t="s">
        <v>6050</v>
      </c>
      <c r="J787" t="s">
        <v>6053</v>
      </c>
      <c r="K787" t="s">
        <v>6056</v>
      </c>
      <c r="L787" t="s">
        <v>6817</v>
      </c>
      <c r="M787">
        <v>997.67</v>
      </c>
      <c r="N787">
        <v>6</v>
      </c>
      <c r="O787">
        <v>0.1</v>
      </c>
      <c r="P787">
        <v>59.57</v>
      </c>
      <c r="Q787" t="s">
        <v>9895</v>
      </c>
      <c r="R787">
        <v>1</v>
      </c>
      <c r="S787" s="5">
        <f t="shared" si="24"/>
        <v>5.9709122254853815E-2</v>
      </c>
      <c r="T787">
        <v>166.27833333333331</v>
      </c>
      <c r="U787">
        <v>6</v>
      </c>
      <c r="V787">
        <v>2023</v>
      </c>
      <c r="W787">
        <v>2</v>
      </c>
      <c r="X787" t="s">
        <v>9899</v>
      </c>
      <c r="Y787" t="s">
        <v>9901</v>
      </c>
      <c r="Z787" t="s">
        <v>9899</v>
      </c>
      <c r="AD787">
        <f t="shared" si="25"/>
        <v>1</v>
      </c>
    </row>
    <row r="788" spans="1:30" x14ac:dyDescent="0.25">
      <c r="A788" t="s">
        <v>812</v>
      </c>
      <c r="B788" s="2">
        <v>45200</v>
      </c>
      <c r="C788" s="2">
        <v>45205</v>
      </c>
      <c r="D788" t="s">
        <v>5167</v>
      </c>
      <c r="E788" t="s">
        <v>5667</v>
      </c>
      <c r="F788" t="s">
        <v>6028</v>
      </c>
      <c r="G788" t="s">
        <v>6031</v>
      </c>
      <c r="H788" t="s">
        <v>6037</v>
      </c>
      <c r="I788" t="s">
        <v>6048</v>
      </c>
      <c r="J788" t="s">
        <v>6053</v>
      </c>
      <c r="K788" t="s">
        <v>6056</v>
      </c>
      <c r="L788" t="s">
        <v>6818</v>
      </c>
      <c r="M788">
        <v>1401.74</v>
      </c>
      <c r="N788">
        <v>5</v>
      </c>
      <c r="O788">
        <v>0.14000000000000001</v>
      </c>
      <c r="P788">
        <v>170.13</v>
      </c>
      <c r="Q788" t="s">
        <v>9896</v>
      </c>
      <c r="R788">
        <v>5</v>
      </c>
      <c r="S788" s="5">
        <f t="shared" si="24"/>
        <v>0.12137058227631373</v>
      </c>
      <c r="T788">
        <v>280.34800000000001</v>
      </c>
      <c r="U788">
        <v>10</v>
      </c>
      <c r="V788">
        <v>2023</v>
      </c>
      <c r="W788">
        <v>4</v>
      </c>
      <c r="X788" t="s">
        <v>9899</v>
      </c>
      <c r="Y788" t="s">
        <v>9901</v>
      </c>
      <c r="Z788" t="s">
        <v>9898</v>
      </c>
      <c r="AD788">
        <f t="shared" si="25"/>
        <v>5</v>
      </c>
    </row>
    <row r="789" spans="1:30" x14ac:dyDescent="0.25">
      <c r="A789" t="s">
        <v>813</v>
      </c>
      <c r="B789" s="2">
        <v>44936</v>
      </c>
      <c r="C789" s="2">
        <v>44939</v>
      </c>
      <c r="D789" t="s">
        <v>5354</v>
      </c>
      <c r="E789" t="s">
        <v>5854</v>
      </c>
      <c r="F789" t="s">
        <v>6026</v>
      </c>
      <c r="G789" t="s">
        <v>6030</v>
      </c>
      <c r="H789" t="s">
        <v>6039</v>
      </c>
      <c r="I789" t="s">
        <v>6051</v>
      </c>
      <c r="J789" t="s">
        <v>6055</v>
      </c>
      <c r="K789" t="s">
        <v>6061</v>
      </c>
      <c r="L789" t="s">
        <v>6819</v>
      </c>
      <c r="M789">
        <v>722.91</v>
      </c>
      <c r="N789">
        <v>2</v>
      </c>
      <c r="O789">
        <v>0.17</v>
      </c>
      <c r="P789">
        <v>49.18</v>
      </c>
      <c r="Q789" t="s">
        <v>9893</v>
      </c>
      <c r="R789">
        <v>3</v>
      </c>
      <c r="S789" s="5">
        <f t="shared" si="24"/>
        <v>6.8030598553070226E-2</v>
      </c>
      <c r="T789">
        <v>361.45499999999998</v>
      </c>
      <c r="U789">
        <v>1</v>
      </c>
      <c r="V789">
        <v>2023</v>
      </c>
      <c r="W789">
        <v>1</v>
      </c>
      <c r="X789" t="s">
        <v>9899</v>
      </c>
      <c r="Y789" t="s">
        <v>9900</v>
      </c>
      <c r="Z789" t="s">
        <v>9899</v>
      </c>
      <c r="AD789">
        <f t="shared" si="25"/>
        <v>3</v>
      </c>
    </row>
    <row r="790" spans="1:30" x14ac:dyDescent="0.25">
      <c r="A790" t="s">
        <v>814</v>
      </c>
      <c r="B790" s="2">
        <v>44635</v>
      </c>
      <c r="C790" s="2">
        <v>44638</v>
      </c>
      <c r="D790" t="s">
        <v>5041</v>
      </c>
      <c r="E790" t="s">
        <v>5541</v>
      </c>
      <c r="F790" t="s">
        <v>6027</v>
      </c>
      <c r="G790" t="s">
        <v>6031</v>
      </c>
      <c r="H790" t="s">
        <v>6037</v>
      </c>
      <c r="I790" t="s">
        <v>6052</v>
      </c>
      <c r="J790" t="s">
        <v>6055</v>
      </c>
      <c r="K790" t="s">
        <v>6061</v>
      </c>
      <c r="L790" t="s">
        <v>6820</v>
      </c>
      <c r="M790">
        <v>1495.84</v>
      </c>
      <c r="N790">
        <v>3</v>
      </c>
      <c r="O790">
        <v>0.02</v>
      </c>
      <c r="P790">
        <v>366.72</v>
      </c>
      <c r="Q790" t="s">
        <v>9895</v>
      </c>
      <c r="R790">
        <v>3</v>
      </c>
      <c r="S790" s="5">
        <f t="shared" si="24"/>
        <v>0.24515991015081831</v>
      </c>
      <c r="T790">
        <v>498.61333333333329</v>
      </c>
      <c r="U790">
        <v>3</v>
      </c>
      <c r="V790">
        <v>2022</v>
      </c>
      <c r="W790">
        <v>1</v>
      </c>
      <c r="X790" t="s">
        <v>9899</v>
      </c>
      <c r="Y790" t="s">
        <v>9901</v>
      </c>
      <c r="Z790" t="s">
        <v>9898</v>
      </c>
      <c r="AD790">
        <f t="shared" si="25"/>
        <v>3</v>
      </c>
    </row>
    <row r="791" spans="1:30" x14ac:dyDescent="0.25">
      <c r="A791" t="s">
        <v>815</v>
      </c>
      <c r="B791" s="2">
        <v>45355</v>
      </c>
      <c r="C791" s="2">
        <v>45359</v>
      </c>
      <c r="D791" t="s">
        <v>5417</v>
      </c>
      <c r="E791" t="s">
        <v>5917</v>
      </c>
      <c r="F791" t="s">
        <v>6028</v>
      </c>
      <c r="G791" t="s">
        <v>6030</v>
      </c>
      <c r="H791" t="s">
        <v>6033</v>
      </c>
      <c r="I791" t="s">
        <v>6051</v>
      </c>
      <c r="J791" t="s">
        <v>6053</v>
      </c>
      <c r="K791" t="s">
        <v>6057</v>
      </c>
      <c r="L791" t="s">
        <v>6821</v>
      </c>
      <c r="M791">
        <v>927.25</v>
      </c>
      <c r="N791">
        <v>4</v>
      </c>
      <c r="O791">
        <v>0.22</v>
      </c>
      <c r="P791">
        <v>16.350000000000001</v>
      </c>
      <c r="Q791" t="s">
        <v>9894</v>
      </c>
      <c r="R791">
        <v>4</v>
      </c>
      <c r="S791" s="5">
        <f t="shared" si="24"/>
        <v>1.763278511728229E-2</v>
      </c>
      <c r="T791">
        <v>231.8125</v>
      </c>
      <c r="U791">
        <v>3</v>
      </c>
      <c r="V791">
        <v>2024</v>
      </c>
      <c r="W791">
        <v>1</v>
      </c>
      <c r="X791" t="s">
        <v>9899</v>
      </c>
      <c r="Y791" t="s">
        <v>9900</v>
      </c>
      <c r="Z791" t="s">
        <v>9899</v>
      </c>
      <c r="AD791">
        <f t="shared" si="25"/>
        <v>4</v>
      </c>
    </row>
    <row r="792" spans="1:30" x14ac:dyDescent="0.25">
      <c r="A792" t="s">
        <v>816</v>
      </c>
      <c r="B792" s="2">
        <v>45127</v>
      </c>
      <c r="C792" s="2">
        <v>45129</v>
      </c>
      <c r="D792" t="s">
        <v>5348</v>
      </c>
      <c r="E792" t="s">
        <v>5848</v>
      </c>
      <c r="F792" t="s">
        <v>6028</v>
      </c>
      <c r="G792" t="s">
        <v>6030</v>
      </c>
      <c r="H792" t="s">
        <v>6033</v>
      </c>
      <c r="I792" t="s">
        <v>6051</v>
      </c>
      <c r="J792" t="s">
        <v>6054</v>
      </c>
      <c r="K792" t="s">
        <v>6062</v>
      </c>
      <c r="L792" t="s">
        <v>6822</v>
      </c>
      <c r="M792">
        <v>1126.83</v>
      </c>
      <c r="N792">
        <v>6</v>
      </c>
      <c r="O792">
        <v>0.12</v>
      </c>
      <c r="P792">
        <v>57.57</v>
      </c>
      <c r="Q792" t="s">
        <v>9893</v>
      </c>
      <c r="R792">
        <v>2</v>
      </c>
      <c r="S792" s="5">
        <f t="shared" si="24"/>
        <v>5.1090226564787948E-2</v>
      </c>
      <c r="T792">
        <v>187.80500000000001</v>
      </c>
      <c r="U792">
        <v>7</v>
      </c>
      <c r="V792">
        <v>2023</v>
      </c>
      <c r="W792">
        <v>3</v>
      </c>
      <c r="X792" t="s">
        <v>9899</v>
      </c>
      <c r="Y792" t="s">
        <v>9901</v>
      </c>
      <c r="Z792" t="s">
        <v>9898</v>
      </c>
      <c r="AD792">
        <f t="shared" si="25"/>
        <v>2</v>
      </c>
    </row>
    <row r="793" spans="1:30" x14ac:dyDescent="0.25">
      <c r="A793" t="s">
        <v>817</v>
      </c>
      <c r="B793" s="2">
        <v>44636</v>
      </c>
      <c r="C793" s="2">
        <v>44643</v>
      </c>
      <c r="D793" t="s">
        <v>5425</v>
      </c>
      <c r="E793" t="s">
        <v>5925</v>
      </c>
      <c r="F793" t="s">
        <v>6027</v>
      </c>
      <c r="G793" t="s">
        <v>6030</v>
      </c>
      <c r="H793" t="s">
        <v>6035</v>
      </c>
      <c r="I793" t="s">
        <v>6051</v>
      </c>
      <c r="J793" t="s">
        <v>6054</v>
      </c>
      <c r="K793" t="s">
        <v>6060</v>
      </c>
      <c r="L793" t="s">
        <v>6823</v>
      </c>
      <c r="M793">
        <v>1619.8</v>
      </c>
      <c r="N793">
        <v>6</v>
      </c>
      <c r="O793">
        <v>0.31</v>
      </c>
      <c r="P793">
        <v>-266.93</v>
      </c>
      <c r="Q793" t="s">
        <v>9897</v>
      </c>
      <c r="R793">
        <v>7</v>
      </c>
      <c r="S793" s="5">
        <f t="shared" si="24"/>
        <v>-0.16479194962341032</v>
      </c>
      <c r="T793">
        <v>269.96666666666658</v>
      </c>
      <c r="U793">
        <v>3</v>
      </c>
      <c r="V793">
        <v>2022</v>
      </c>
      <c r="W793">
        <v>1</v>
      </c>
      <c r="X793" t="s">
        <v>9898</v>
      </c>
      <c r="Y793" t="s">
        <v>9902</v>
      </c>
      <c r="Z793" t="s">
        <v>9898</v>
      </c>
      <c r="AD793">
        <f t="shared" si="25"/>
        <v>7</v>
      </c>
    </row>
    <row r="794" spans="1:30" x14ac:dyDescent="0.25">
      <c r="A794" t="s">
        <v>818</v>
      </c>
      <c r="B794" s="2">
        <v>44578</v>
      </c>
      <c r="C794" s="2">
        <v>44579</v>
      </c>
      <c r="D794" t="s">
        <v>5426</v>
      </c>
      <c r="E794" t="s">
        <v>5926</v>
      </c>
      <c r="F794" t="s">
        <v>6028</v>
      </c>
      <c r="G794" t="s">
        <v>6029</v>
      </c>
      <c r="H794" t="s">
        <v>6044</v>
      </c>
      <c r="I794" t="s">
        <v>6049</v>
      </c>
      <c r="J794" t="s">
        <v>6053</v>
      </c>
      <c r="K794" t="s">
        <v>6057</v>
      </c>
      <c r="L794" t="s">
        <v>6824</v>
      </c>
      <c r="M794">
        <v>1696.4</v>
      </c>
      <c r="N794">
        <v>4</v>
      </c>
      <c r="O794">
        <v>0.27</v>
      </c>
      <c r="P794">
        <v>-86.07</v>
      </c>
      <c r="Q794" t="s">
        <v>9897</v>
      </c>
      <c r="R794">
        <v>1</v>
      </c>
      <c r="S794" s="5">
        <f t="shared" si="24"/>
        <v>-5.0736854515444463E-2</v>
      </c>
      <c r="T794">
        <v>424.1</v>
      </c>
      <c r="U794">
        <v>1</v>
      </c>
      <c r="V794">
        <v>2022</v>
      </c>
      <c r="W794">
        <v>1</v>
      </c>
      <c r="X794" t="s">
        <v>9898</v>
      </c>
      <c r="Y794" t="s">
        <v>9900</v>
      </c>
      <c r="Z794" t="s">
        <v>9898</v>
      </c>
      <c r="AD794">
        <f t="shared" si="25"/>
        <v>1</v>
      </c>
    </row>
    <row r="795" spans="1:30" x14ac:dyDescent="0.25">
      <c r="A795" t="s">
        <v>819</v>
      </c>
      <c r="B795" s="2">
        <v>45065</v>
      </c>
      <c r="C795" s="2">
        <v>45070</v>
      </c>
      <c r="D795" t="s">
        <v>5427</v>
      </c>
      <c r="E795" t="s">
        <v>5927</v>
      </c>
      <c r="F795" t="s">
        <v>6028</v>
      </c>
      <c r="G795" t="s">
        <v>6029</v>
      </c>
      <c r="H795" t="s">
        <v>6044</v>
      </c>
      <c r="I795" t="s">
        <v>6046</v>
      </c>
      <c r="J795" t="s">
        <v>6054</v>
      </c>
      <c r="K795" t="s">
        <v>6059</v>
      </c>
      <c r="L795" t="s">
        <v>6825</v>
      </c>
      <c r="M795">
        <v>1088.07</v>
      </c>
      <c r="N795">
        <v>8</v>
      </c>
      <c r="O795">
        <v>0.24</v>
      </c>
      <c r="P795">
        <v>-7.03</v>
      </c>
      <c r="Q795" t="s">
        <v>9894</v>
      </c>
      <c r="R795">
        <v>5</v>
      </c>
      <c r="S795" s="5">
        <f t="shared" si="24"/>
        <v>-6.4609813706838718E-3</v>
      </c>
      <c r="T795">
        <v>136.00874999999999</v>
      </c>
      <c r="U795">
        <v>5</v>
      </c>
      <c r="V795">
        <v>2023</v>
      </c>
      <c r="W795">
        <v>2</v>
      </c>
      <c r="X795" t="s">
        <v>9898</v>
      </c>
      <c r="Y795" t="s">
        <v>9900</v>
      </c>
      <c r="Z795" t="s">
        <v>9898</v>
      </c>
      <c r="AD795">
        <f t="shared" si="25"/>
        <v>5</v>
      </c>
    </row>
    <row r="796" spans="1:30" x14ac:dyDescent="0.25">
      <c r="A796" t="s">
        <v>820</v>
      </c>
      <c r="B796" s="2">
        <v>45170</v>
      </c>
      <c r="C796" s="2">
        <v>45171</v>
      </c>
      <c r="D796" t="s">
        <v>5140</v>
      </c>
      <c r="E796" t="s">
        <v>5640</v>
      </c>
      <c r="F796" t="s">
        <v>6026</v>
      </c>
      <c r="G796" t="s">
        <v>6029</v>
      </c>
      <c r="H796" t="s">
        <v>6036</v>
      </c>
      <c r="I796" t="s">
        <v>6050</v>
      </c>
      <c r="J796" t="s">
        <v>6055</v>
      </c>
      <c r="K796" t="s">
        <v>6061</v>
      </c>
      <c r="L796" t="s">
        <v>6826</v>
      </c>
      <c r="M796">
        <v>650.12</v>
      </c>
      <c r="N796">
        <v>5</v>
      </c>
      <c r="O796">
        <v>0.16</v>
      </c>
      <c r="P796">
        <v>30.06</v>
      </c>
      <c r="Q796" t="s">
        <v>9893</v>
      </c>
      <c r="R796">
        <v>1</v>
      </c>
      <c r="S796" s="5">
        <f t="shared" si="24"/>
        <v>4.6237617670583889E-2</v>
      </c>
      <c r="T796">
        <v>130.024</v>
      </c>
      <c r="U796">
        <v>9</v>
      </c>
      <c r="V796">
        <v>2023</v>
      </c>
      <c r="W796">
        <v>3</v>
      </c>
      <c r="X796" t="s">
        <v>9899</v>
      </c>
      <c r="Y796" t="s">
        <v>9900</v>
      </c>
      <c r="Z796" t="s">
        <v>9899</v>
      </c>
      <c r="AD796">
        <f t="shared" si="25"/>
        <v>1</v>
      </c>
    </row>
    <row r="797" spans="1:30" x14ac:dyDescent="0.25">
      <c r="A797" t="s">
        <v>821</v>
      </c>
      <c r="B797" s="2">
        <v>45093</v>
      </c>
      <c r="C797" s="2">
        <v>45095</v>
      </c>
      <c r="D797" t="s">
        <v>5313</v>
      </c>
      <c r="E797" t="s">
        <v>5813</v>
      </c>
      <c r="F797" t="s">
        <v>6028</v>
      </c>
      <c r="G797" t="s">
        <v>6029</v>
      </c>
      <c r="H797" t="s">
        <v>6045</v>
      </c>
      <c r="I797" t="s">
        <v>6049</v>
      </c>
      <c r="J797" t="s">
        <v>6053</v>
      </c>
      <c r="K797" t="s">
        <v>6057</v>
      </c>
      <c r="L797" t="s">
        <v>6827</v>
      </c>
      <c r="M797">
        <v>456.99</v>
      </c>
      <c r="N797">
        <v>3</v>
      </c>
      <c r="O797">
        <v>0.3</v>
      </c>
      <c r="P797">
        <v>-87.57</v>
      </c>
      <c r="Q797" t="s">
        <v>9894</v>
      </c>
      <c r="R797">
        <v>2</v>
      </c>
      <c r="S797" s="5">
        <f t="shared" si="24"/>
        <v>-0.19162344909078971</v>
      </c>
      <c r="T797">
        <v>152.33000000000001</v>
      </c>
      <c r="U797">
        <v>6</v>
      </c>
      <c r="V797">
        <v>2023</v>
      </c>
      <c r="W797">
        <v>2</v>
      </c>
      <c r="X797" t="s">
        <v>9898</v>
      </c>
      <c r="Y797" t="s">
        <v>9900</v>
      </c>
      <c r="Z797" t="s">
        <v>9899</v>
      </c>
      <c r="AD797">
        <f t="shared" si="25"/>
        <v>2</v>
      </c>
    </row>
    <row r="798" spans="1:30" x14ac:dyDescent="0.25">
      <c r="A798" t="s">
        <v>822</v>
      </c>
      <c r="B798" s="2">
        <v>45437</v>
      </c>
      <c r="C798" s="2">
        <v>45441</v>
      </c>
      <c r="D798" t="s">
        <v>5252</v>
      </c>
      <c r="E798" t="s">
        <v>5752</v>
      </c>
      <c r="F798" t="s">
        <v>6028</v>
      </c>
      <c r="G798" t="s">
        <v>6029</v>
      </c>
      <c r="H798" t="s">
        <v>6036</v>
      </c>
      <c r="I798" t="s">
        <v>6046</v>
      </c>
      <c r="J798" t="s">
        <v>6055</v>
      </c>
      <c r="K798" t="s">
        <v>6061</v>
      </c>
      <c r="L798" t="s">
        <v>6828</v>
      </c>
      <c r="M798">
        <v>1674.65</v>
      </c>
      <c r="N798">
        <v>8</v>
      </c>
      <c r="O798">
        <v>0.09</v>
      </c>
      <c r="P798">
        <v>92.79</v>
      </c>
      <c r="Q798" t="s">
        <v>9893</v>
      </c>
      <c r="R798">
        <v>4</v>
      </c>
      <c r="S798" s="5">
        <f t="shared" si="24"/>
        <v>5.5408592840294986E-2</v>
      </c>
      <c r="T798">
        <v>209.33125000000001</v>
      </c>
      <c r="U798">
        <v>5</v>
      </c>
      <c r="V798">
        <v>2024</v>
      </c>
      <c r="W798">
        <v>2</v>
      </c>
      <c r="X798" t="s">
        <v>9899</v>
      </c>
      <c r="Y798" t="s">
        <v>9901</v>
      </c>
      <c r="Z798" t="s">
        <v>9898</v>
      </c>
      <c r="AD798">
        <f t="shared" si="25"/>
        <v>4</v>
      </c>
    </row>
    <row r="799" spans="1:30" x14ac:dyDescent="0.25">
      <c r="A799" t="s">
        <v>823</v>
      </c>
      <c r="B799" s="2">
        <v>44681</v>
      </c>
      <c r="C799" s="2">
        <v>44682</v>
      </c>
      <c r="D799" t="s">
        <v>5067</v>
      </c>
      <c r="E799" t="s">
        <v>5567</v>
      </c>
      <c r="F799" t="s">
        <v>6026</v>
      </c>
      <c r="G799" t="s">
        <v>6029</v>
      </c>
      <c r="H799" t="s">
        <v>6041</v>
      </c>
      <c r="I799" t="s">
        <v>6049</v>
      </c>
      <c r="J799" t="s">
        <v>6055</v>
      </c>
      <c r="K799" t="s">
        <v>6061</v>
      </c>
      <c r="L799" t="s">
        <v>6829</v>
      </c>
      <c r="M799">
        <v>1183.8800000000001</v>
      </c>
      <c r="N799">
        <v>6</v>
      </c>
      <c r="O799">
        <v>0.1</v>
      </c>
      <c r="P799">
        <v>116.38</v>
      </c>
      <c r="Q799" t="s">
        <v>9897</v>
      </c>
      <c r="R799">
        <v>1</v>
      </c>
      <c r="S799" s="5">
        <f t="shared" si="24"/>
        <v>9.8303882150217917E-2</v>
      </c>
      <c r="T799">
        <v>197.31333333333339</v>
      </c>
      <c r="U799">
        <v>4</v>
      </c>
      <c r="V799">
        <v>2022</v>
      </c>
      <c r="W799">
        <v>2</v>
      </c>
      <c r="X799" t="s">
        <v>9899</v>
      </c>
      <c r="Y799" t="s">
        <v>9901</v>
      </c>
      <c r="Z799" t="s">
        <v>9898</v>
      </c>
      <c r="AD799">
        <f t="shared" si="25"/>
        <v>1</v>
      </c>
    </row>
    <row r="800" spans="1:30" x14ac:dyDescent="0.25">
      <c r="A800" t="s">
        <v>824</v>
      </c>
      <c r="B800" s="2">
        <v>44788</v>
      </c>
      <c r="C800" s="2">
        <v>44793</v>
      </c>
      <c r="D800" t="s">
        <v>5041</v>
      </c>
      <c r="E800" t="s">
        <v>5541</v>
      </c>
      <c r="F800" t="s">
        <v>6028</v>
      </c>
      <c r="G800" t="s">
        <v>6029</v>
      </c>
      <c r="H800" t="s">
        <v>6041</v>
      </c>
      <c r="I800" t="s">
        <v>6050</v>
      </c>
      <c r="J800" t="s">
        <v>6054</v>
      </c>
      <c r="K800" t="s">
        <v>6059</v>
      </c>
      <c r="L800" t="s">
        <v>6830</v>
      </c>
      <c r="M800">
        <v>682.46</v>
      </c>
      <c r="N800">
        <v>5</v>
      </c>
      <c r="O800">
        <v>0.27</v>
      </c>
      <c r="P800">
        <v>-10.47</v>
      </c>
      <c r="Q800" t="s">
        <v>9893</v>
      </c>
      <c r="R800">
        <v>5</v>
      </c>
      <c r="S800" s="5">
        <f t="shared" si="24"/>
        <v>-1.5341558479617854E-2</v>
      </c>
      <c r="T800">
        <v>136.49199999999999</v>
      </c>
      <c r="U800">
        <v>8</v>
      </c>
      <c r="V800">
        <v>2022</v>
      </c>
      <c r="W800">
        <v>3</v>
      </c>
      <c r="X800" t="s">
        <v>9898</v>
      </c>
      <c r="Y800" t="s">
        <v>9900</v>
      </c>
      <c r="Z800" t="s">
        <v>9899</v>
      </c>
      <c r="AD800">
        <f t="shared" si="25"/>
        <v>5</v>
      </c>
    </row>
    <row r="801" spans="1:30" x14ac:dyDescent="0.25">
      <c r="A801" t="s">
        <v>825</v>
      </c>
      <c r="B801" s="2">
        <v>45390</v>
      </c>
      <c r="C801" s="2">
        <v>45391</v>
      </c>
      <c r="D801" t="s">
        <v>5339</v>
      </c>
      <c r="E801" t="s">
        <v>5839</v>
      </c>
      <c r="F801" t="s">
        <v>6027</v>
      </c>
      <c r="G801" t="s">
        <v>6031</v>
      </c>
      <c r="H801" t="s">
        <v>6040</v>
      </c>
      <c r="I801" t="s">
        <v>6052</v>
      </c>
      <c r="J801" t="s">
        <v>6053</v>
      </c>
      <c r="K801" t="s">
        <v>6058</v>
      </c>
      <c r="L801" t="s">
        <v>6831</v>
      </c>
      <c r="M801">
        <v>1390.56</v>
      </c>
      <c r="N801">
        <v>1</v>
      </c>
      <c r="O801">
        <v>0.09</v>
      </c>
      <c r="P801">
        <v>251.81</v>
      </c>
      <c r="Q801" t="s">
        <v>9893</v>
      </c>
      <c r="R801">
        <v>1</v>
      </c>
      <c r="S801" s="5">
        <f t="shared" si="24"/>
        <v>0.1810853181452077</v>
      </c>
      <c r="T801">
        <v>1390.56</v>
      </c>
      <c r="U801">
        <v>4</v>
      </c>
      <c r="V801">
        <v>2024</v>
      </c>
      <c r="W801">
        <v>2</v>
      </c>
      <c r="X801" t="s">
        <v>9899</v>
      </c>
      <c r="Y801" t="s">
        <v>9901</v>
      </c>
      <c r="Z801" t="s">
        <v>9898</v>
      </c>
      <c r="AD801">
        <f t="shared" si="25"/>
        <v>1</v>
      </c>
    </row>
    <row r="802" spans="1:30" x14ac:dyDescent="0.25">
      <c r="A802" t="s">
        <v>826</v>
      </c>
      <c r="B802" s="2">
        <v>44856</v>
      </c>
      <c r="C802" s="2">
        <v>44859</v>
      </c>
      <c r="D802" t="s">
        <v>5052</v>
      </c>
      <c r="E802" t="s">
        <v>5552</v>
      </c>
      <c r="F802" t="s">
        <v>6027</v>
      </c>
      <c r="G802" t="s">
        <v>6030</v>
      </c>
      <c r="H802" t="s">
        <v>6039</v>
      </c>
      <c r="I802" t="s">
        <v>6047</v>
      </c>
      <c r="J802" t="s">
        <v>6054</v>
      </c>
      <c r="K802" t="s">
        <v>6059</v>
      </c>
      <c r="L802" t="s">
        <v>6832</v>
      </c>
      <c r="M802">
        <v>267.57</v>
      </c>
      <c r="N802">
        <v>2</v>
      </c>
      <c r="O802">
        <v>0.3</v>
      </c>
      <c r="P802">
        <v>-25.47</v>
      </c>
      <c r="Q802" t="s">
        <v>9897</v>
      </c>
      <c r="R802">
        <v>3</v>
      </c>
      <c r="S802" s="5">
        <f t="shared" si="24"/>
        <v>-9.5190043726875215E-2</v>
      </c>
      <c r="T802">
        <v>133.785</v>
      </c>
      <c r="U802">
        <v>10</v>
      </c>
      <c r="V802">
        <v>2022</v>
      </c>
      <c r="W802">
        <v>4</v>
      </c>
      <c r="X802" t="s">
        <v>9898</v>
      </c>
      <c r="Y802" t="s">
        <v>9900</v>
      </c>
      <c r="Z802" t="s">
        <v>9899</v>
      </c>
      <c r="AD802">
        <f t="shared" si="25"/>
        <v>3</v>
      </c>
    </row>
    <row r="803" spans="1:30" x14ac:dyDescent="0.25">
      <c r="A803" t="s">
        <v>827</v>
      </c>
      <c r="B803" s="2">
        <v>45231</v>
      </c>
      <c r="C803" s="2">
        <v>45234</v>
      </c>
      <c r="D803" t="s">
        <v>5388</v>
      </c>
      <c r="E803" t="s">
        <v>5888</v>
      </c>
      <c r="F803" t="s">
        <v>6027</v>
      </c>
      <c r="G803" t="s">
        <v>6029</v>
      </c>
      <c r="H803" t="s">
        <v>6045</v>
      </c>
      <c r="I803" t="s">
        <v>6049</v>
      </c>
      <c r="J803" t="s">
        <v>6054</v>
      </c>
      <c r="K803" t="s">
        <v>6062</v>
      </c>
      <c r="L803" t="s">
        <v>6833</v>
      </c>
      <c r="M803">
        <v>1674.18</v>
      </c>
      <c r="N803">
        <v>7</v>
      </c>
      <c r="O803">
        <v>0.01</v>
      </c>
      <c r="P803">
        <v>266.02999999999997</v>
      </c>
      <c r="Q803" t="s">
        <v>9894</v>
      </c>
      <c r="R803">
        <v>3</v>
      </c>
      <c r="S803" s="5">
        <f t="shared" si="24"/>
        <v>0.15890167126593316</v>
      </c>
      <c r="T803">
        <v>239.1685714285714</v>
      </c>
      <c r="U803">
        <v>11</v>
      </c>
      <c r="V803">
        <v>2023</v>
      </c>
      <c r="W803">
        <v>4</v>
      </c>
      <c r="X803" t="s">
        <v>9899</v>
      </c>
      <c r="Y803" t="s">
        <v>9901</v>
      </c>
      <c r="Z803" t="s">
        <v>9898</v>
      </c>
      <c r="AD803">
        <f t="shared" si="25"/>
        <v>3</v>
      </c>
    </row>
    <row r="804" spans="1:30" x14ac:dyDescent="0.25">
      <c r="A804" t="s">
        <v>828</v>
      </c>
      <c r="B804" s="2">
        <v>45336</v>
      </c>
      <c r="C804" s="2">
        <v>45341</v>
      </c>
      <c r="D804" t="s">
        <v>5201</v>
      </c>
      <c r="E804" t="s">
        <v>5701</v>
      </c>
      <c r="F804" t="s">
        <v>6026</v>
      </c>
      <c r="G804" t="s">
        <v>6030</v>
      </c>
      <c r="H804" t="s">
        <v>6039</v>
      </c>
      <c r="I804" t="s">
        <v>6051</v>
      </c>
      <c r="J804" t="s">
        <v>6053</v>
      </c>
      <c r="K804" t="s">
        <v>6058</v>
      </c>
      <c r="L804" t="s">
        <v>6834</v>
      </c>
      <c r="M804">
        <v>1920.45</v>
      </c>
      <c r="N804">
        <v>4</v>
      </c>
      <c r="O804">
        <v>0.23</v>
      </c>
      <c r="P804">
        <v>-164.35</v>
      </c>
      <c r="Q804" t="s">
        <v>9895</v>
      </c>
      <c r="R804">
        <v>5</v>
      </c>
      <c r="S804" s="5">
        <f t="shared" si="24"/>
        <v>-8.5578900778463377E-2</v>
      </c>
      <c r="T804">
        <v>480.11250000000001</v>
      </c>
      <c r="U804">
        <v>2</v>
      </c>
      <c r="V804">
        <v>2024</v>
      </c>
      <c r="W804">
        <v>1</v>
      </c>
      <c r="X804" t="s">
        <v>9898</v>
      </c>
      <c r="Y804" t="s">
        <v>9900</v>
      </c>
      <c r="Z804" t="s">
        <v>9898</v>
      </c>
      <c r="AD804">
        <f t="shared" si="25"/>
        <v>5</v>
      </c>
    </row>
    <row r="805" spans="1:30" x14ac:dyDescent="0.25">
      <c r="A805" t="s">
        <v>829</v>
      </c>
      <c r="B805" s="2">
        <v>45056</v>
      </c>
      <c r="C805" s="2">
        <v>45059</v>
      </c>
      <c r="D805" t="s">
        <v>5315</v>
      </c>
      <c r="E805" t="s">
        <v>5815</v>
      </c>
      <c r="F805" t="s">
        <v>6026</v>
      </c>
      <c r="G805" t="s">
        <v>6030</v>
      </c>
      <c r="H805" t="s">
        <v>6038</v>
      </c>
      <c r="I805" t="s">
        <v>6047</v>
      </c>
      <c r="J805" t="s">
        <v>6053</v>
      </c>
      <c r="K805" t="s">
        <v>6056</v>
      </c>
      <c r="L805" t="s">
        <v>6835</v>
      </c>
      <c r="M805">
        <v>588.76</v>
      </c>
      <c r="N805">
        <v>3</v>
      </c>
      <c r="O805">
        <v>0.27</v>
      </c>
      <c r="P805">
        <v>-50.83</v>
      </c>
      <c r="Q805" t="s">
        <v>9894</v>
      </c>
      <c r="R805">
        <v>3</v>
      </c>
      <c r="S805" s="5">
        <f t="shared" si="24"/>
        <v>-8.6333990080847883E-2</v>
      </c>
      <c r="T805">
        <v>196.2533333333333</v>
      </c>
      <c r="U805">
        <v>5</v>
      </c>
      <c r="V805">
        <v>2023</v>
      </c>
      <c r="W805">
        <v>2</v>
      </c>
      <c r="X805" t="s">
        <v>9898</v>
      </c>
      <c r="Y805" t="s">
        <v>9900</v>
      </c>
      <c r="Z805" t="s">
        <v>9899</v>
      </c>
      <c r="AD805">
        <f t="shared" si="25"/>
        <v>3</v>
      </c>
    </row>
    <row r="806" spans="1:30" x14ac:dyDescent="0.25">
      <c r="A806" t="s">
        <v>830</v>
      </c>
      <c r="B806" s="2">
        <v>45088</v>
      </c>
      <c r="C806" s="2">
        <v>45093</v>
      </c>
      <c r="D806" t="s">
        <v>5066</v>
      </c>
      <c r="E806" t="s">
        <v>5566</v>
      </c>
      <c r="F806" t="s">
        <v>6028</v>
      </c>
      <c r="G806" t="s">
        <v>6030</v>
      </c>
      <c r="H806" t="s">
        <v>6035</v>
      </c>
      <c r="I806" t="s">
        <v>6047</v>
      </c>
      <c r="J806" t="s">
        <v>6053</v>
      </c>
      <c r="K806" t="s">
        <v>6057</v>
      </c>
      <c r="L806" t="s">
        <v>6836</v>
      </c>
      <c r="M806">
        <v>459.3</v>
      </c>
      <c r="N806">
        <v>7</v>
      </c>
      <c r="O806">
        <v>0.25</v>
      </c>
      <c r="P806">
        <v>5.19</v>
      </c>
      <c r="Q806" t="s">
        <v>9894</v>
      </c>
      <c r="R806">
        <v>5</v>
      </c>
      <c r="S806" s="5">
        <f t="shared" si="24"/>
        <v>1.1299804049640759E-2</v>
      </c>
      <c r="T806">
        <v>65.614285714285714</v>
      </c>
      <c r="U806">
        <v>6</v>
      </c>
      <c r="V806">
        <v>2023</v>
      </c>
      <c r="W806">
        <v>2</v>
      </c>
      <c r="X806" t="s">
        <v>9899</v>
      </c>
      <c r="Y806" t="s">
        <v>9900</v>
      </c>
      <c r="Z806" t="s">
        <v>9899</v>
      </c>
      <c r="AD806">
        <f t="shared" si="25"/>
        <v>5</v>
      </c>
    </row>
    <row r="807" spans="1:30" x14ac:dyDescent="0.25">
      <c r="A807" t="s">
        <v>831</v>
      </c>
      <c r="B807" s="2">
        <v>44680</v>
      </c>
      <c r="C807" s="2">
        <v>44687</v>
      </c>
      <c r="D807" t="s">
        <v>5334</v>
      </c>
      <c r="E807" t="s">
        <v>5834</v>
      </c>
      <c r="F807" t="s">
        <v>6027</v>
      </c>
      <c r="G807" t="s">
        <v>6029</v>
      </c>
      <c r="H807" t="s">
        <v>6044</v>
      </c>
      <c r="I807" t="s">
        <v>6050</v>
      </c>
      <c r="J807" t="s">
        <v>6054</v>
      </c>
      <c r="K807" t="s">
        <v>6059</v>
      </c>
      <c r="L807" t="s">
        <v>6837</v>
      </c>
      <c r="M807">
        <v>914.93</v>
      </c>
      <c r="N807">
        <v>3</v>
      </c>
      <c r="O807">
        <v>0.28999999999999998</v>
      </c>
      <c r="P807">
        <v>-132.78</v>
      </c>
      <c r="Q807" t="s">
        <v>9895</v>
      </c>
      <c r="R807">
        <v>7</v>
      </c>
      <c r="S807" s="5">
        <f t="shared" si="24"/>
        <v>-0.14512585662291105</v>
      </c>
      <c r="T807">
        <v>304.97666666666657</v>
      </c>
      <c r="U807">
        <v>4</v>
      </c>
      <c r="V807">
        <v>2022</v>
      </c>
      <c r="W807">
        <v>2</v>
      </c>
      <c r="X807" t="s">
        <v>9898</v>
      </c>
      <c r="Y807" t="s">
        <v>9900</v>
      </c>
      <c r="Z807" t="s">
        <v>9899</v>
      </c>
      <c r="AD807">
        <f t="shared" si="25"/>
        <v>7</v>
      </c>
    </row>
    <row r="808" spans="1:30" x14ac:dyDescent="0.25">
      <c r="A808" t="s">
        <v>832</v>
      </c>
      <c r="B808" s="2">
        <v>44741</v>
      </c>
      <c r="C808" s="2">
        <v>44748</v>
      </c>
      <c r="D808" t="s">
        <v>5118</v>
      </c>
      <c r="E808" t="s">
        <v>5618</v>
      </c>
      <c r="F808" t="s">
        <v>6027</v>
      </c>
      <c r="G808" t="s">
        <v>6031</v>
      </c>
      <c r="H808" t="s">
        <v>6042</v>
      </c>
      <c r="I808" t="s">
        <v>6052</v>
      </c>
      <c r="J808" t="s">
        <v>6053</v>
      </c>
      <c r="K808" t="s">
        <v>6058</v>
      </c>
      <c r="L808" t="s">
        <v>6838</v>
      </c>
      <c r="M808">
        <v>600.63</v>
      </c>
      <c r="N808">
        <v>2</v>
      </c>
      <c r="O808">
        <v>0.13</v>
      </c>
      <c r="P808">
        <v>50.23</v>
      </c>
      <c r="Q808" t="s">
        <v>9894</v>
      </c>
      <c r="R808">
        <v>7</v>
      </c>
      <c r="S808" s="5">
        <f t="shared" si="24"/>
        <v>8.3628856367480811E-2</v>
      </c>
      <c r="T808">
        <v>300.315</v>
      </c>
      <c r="U808">
        <v>6</v>
      </c>
      <c r="V808">
        <v>2022</v>
      </c>
      <c r="W808">
        <v>2</v>
      </c>
      <c r="X808" t="s">
        <v>9899</v>
      </c>
      <c r="Y808" t="s">
        <v>9901</v>
      </c>
      <c r="Z808" t="s">
        <v>9899</v>
      </c>
      <c r="AD808">
        <f t="shared" si="25"/>
        <v>7</v>
      </c>
    </row>
    <row r="809" spans="1:30" x14ac:dyDescent="0.25">
      <c r="A809" t="s">
        <v>833</v>
      </c>
      <c r="B809" s="2">
        <v>44663</v>
      </c>
      <c r="C809" s="2">
        <v>44670</v>
      </c>
      <c r="D809" t="s">
        <v>5102</v>
      </c>
      <c r="E809" t="s">
        <v>5602</v>
      </c>
      <c r="F809" t="s">
        <v>6027</v>
      </c>
      <c r="G809" t="s">
        <v>6029</v>
      </c>
      <c r="H809" t="s">
        <v>6045</v>
      </c>
      <c r="I809" t="s">
        <v>6046</v>
      </c>
      <c r="J809" t="s">
        <v>6054</v>
      </c>
      <c r="K809" t="s">
        <v>6062</v>
      </c>
      <c r="L809" t="s">
        <v>6839</v>
      </c>
      <c r="M809">
        <v>1287.27</v>
      </c>
      <c r="N809">
        <v>7</v>
      </c>
      <c r="O809">
        <v>0.13</v>
      </c>
      <c r="P809">
        <v>183.46</v>
      </c>
      <c r="Q809" t="s">
        <v>9895</v>
      </c>
      <c r="R809">
        <v>7</v>
      </c>
      <c r="S809" s="5">
        <f t="shared" si="24"/>
        <v>0.14251866352824194</v>
      </c>
      <c r="T809">
        <v>183.89571428571429</v>
      </c>
      <c r="U809">
        <v>4</v>
      </c>
      <c r="V809">
        <v>2022</v>
      </c>
      <c r="W809">
        <v>2</v>
      </c>
      <c r="X809" t="s">
        <v>9899</v>
      </c>
      <c r="Y809" t="s">
        <v>9901</v>
      </c>
      <c r="Z809" t="s">
        <v>9898</v>
      </c>
      <c r="AD809">
        <f t="shared" si="25"/>
        <v>7</v>
      </c>
    </row>
    <row r="810" spans="1:30" x14ac:dyDescent="0.25">
      <c r="A810" t="s">
        <v>834</v>
      </c>
      <c r="B810" s="2">
        <v>45080</v>
      </c>
      <c r="C810" s="2">
        <v>45087</v>
      </c>
      <c r="D810" t="s">
        <v>5421</v>
      </c>
      <c r="E810" t="s">
        <v>5921</v>
      </c>
      <c r="F810" t="s">
        <v>6027</v>
      </c>
      <c r="G810" t="s">
        <v>6030</v>
      </c>
      <c r="H810" t="s">
        <v>6039</v>
      </c>
      <c r="I810" t="s">
        <v>6051</v>
      </c>
      <c r="J810" t="s">
        <v>6055</v>
      </c>
      <c r="K810" t="s">
        <v>6061</v>
      </c>
      <c r="L810" t="s">
        <v>6840</v>
      </c>
      <c r="M810">
        <v>762.78</v>
      </c>
      <c r="N810">
        <v>2</v>
      </c>
      <c r="O810">
        <v>0.15</v>
      </c>
      <c r="P810">
        <v>72.88</v>
      </c>
      <c r="Q810" t="s">
        <v>9895</v>
      </c>
      <c r="R810">
        <v>7</v>
      </c>
      <c r="S810" s="5">
        <f t="shared" si="24"/>
        <v>9.554524240278979E-2</v>
      </c>
      <c r="T810">
        <v>381.39</v>
      </c>
      <c r="U810">
        <v>6</v>
      </c>
      <c r="V810">
        <v>2023</v>
      </c>
      <c r="W810">
        <v>2</v>
      </c>
      <c r="X810" t="s">
        <v>9899</v>
      </c>
      <c r="Y810" t="s">
        <v>9901</v>
      </c>
      <c r="Z810" t="s">
        <v>9899</v>
      </c>
      <c r="AD810">
        <f t="shared" si="25"/>
        <v>7</v>
      </c>
    </row>
    <row r="811" spans="1:30" x14ac:dyDescent="0.25">
      <c r="A811" t="s">
        <v>835</v>
      </c>
      <c r="B811" s="2">
        <v>45180</v>
      </c>
      <c r="C811" s="2">
        <v>45183</v>
      </c>
      <c r="D811" t="s">
        <v>5236</v>
      </c>
      <c r="E811" t="s">
        <v>5736</v>
      </c>
      <c r="F811" t="s">
        <v>6028</v>
      </c>
      <c r="G811" t="s">
        <v>6029</v>
      </c>
      <c r="H811" t="s">
        <v>6044</v>
      </c>
      <c r="I811" t="s">
        <v>6049</v>
      </c>
      <c r="J811" t="s">
        <v>6053</v>
      </c>
      <c r="K811" t="s">
        <v>6058</v>
      </c>
      <c r="L811" t="s">
        <v>6841</v>
      </c>
      <c r="M811">
        <v>1607.75</v>
      </c>
      <c r="N811">
        <v>1</v>
      </c>
      <c r="O811">
        <v>0.28999999999999998</v>
      </c>
      <c r="P811">
        <v>-149.46</v>
      </c>
      <c r="Q811" t="s">
        <v>9897</v>
      </c>
      <c r="R811">
        <v>3</v>
      </c>
      <c r="S811" s="5">
        <f t="shared" si="24"/>
        <v>-9.296221427460738E-2</v>
      </c>
      <c r="T811">
        <v>1607.75</v>
      </c>
      <c r="U811">
        <v>9</v>
      </c>
      <c r="V811">
        <v>2023</v>
      </c>
      <c r="W811">
        <v>3</v>
      </c>
      <c r="X811" t="s">
        <v>9898</v>
      </c>
      <c r="Y811" t="s">
        <v>9900</v>
      </c>
      <c r="Z811" t="s">
        <v>9898</v>
      </c>
      <c r="AD811">
        <f t="shared" si="25"/>
        <v>3</v>
      </c>
    </row>
    <row r="812" spans="1:30" x14ac:dyDescent="0.25">
      <c r="A812" t="s">
        <v>836</v>
      </c>
      <c r="B812" s="2">
        <v>45102</v>
      </c>
      <c r="C812" s="2">
        <v>45105</v>
      </c>
      <c r="D812" t="s">
        <v>5254</v>
      </c>
      <c r="E812" t="s">
        <v>5754</v>
      </c>
      <c r="F812" t="s">
        <v>6028</v>
      </c>
      <c r="G812" t="s">
        <v>6030</v>
      </c>
      <c r="H812" t="s">
        <v>6039</v>
      </c>
      <c r="I812" t="s">
        <v>6051</v>
      </c>
      <c r="J812" t="s">
        <v>6054</v>
      </c>
      <c r="K812" t="s">
        <v>6059</v>
      </c>
      <c r="L812" t="s">
        <v>6563</v>
      </c>
      <c r="M812">
        <v>460.39</v>
      </c>
      <c r="N812">
        <v>7</v>
      </c>
      <c r="O812">
        <v>0.25</v>
      </c>
      <c r="P812">
        <v>-23.25</v>
      </c>
      <c r="Q812" t="s">
        <v>9897</v>
      </c>
      <c r="R812">
        <v>3</v>
      </c>
      <c r="S812" s="5">
        <f t="shared" si="24"/>
        <v>-5.05006624818089E-2</v>
      </c>
      <c r="T812">
        <v>65.77</v>
      </c>
      <c r="U812">
        <v>6</v>
      </c>
      <c r="V812">
        <v>2023</v>
      </c>
      <c r="W812">
        <v>2</v>
      </c>
      <c r="X812" t="s">
        <v>9898</v>
      </c>
      <c r="Y812" t="s">
        <v>9900</v>
      </c>
      <c r="Z812" t="s">
        <v>9899</v>
      </c>
      <c r="AD812">
        <f t="shared" si="25"/>
        <v>3</v>
      </c>
    </row>
    <row r="813" spans="1:30" x14ac:dyDescent="0.25">
      <c r="A813" t="s">
        <v>837</v>
      </c>
      <c r="B813" s="2">
        <v>45427</v>
      </c>
      <c r="C813" s="2">
        <v>45434</v>
      </c>
      <c r="D813" t="s">
        <v>5068</v>
      </c>
      <c r="E813" t="s">
        <v>5568</v>
      </c>
      <c r="F813" t="s">
        <v>6028</v>
      </c>
      <c r="G813" t="s">
        <v>6031</v>
      </c>
      <c r="H813" t="s">
        <v>6043</v>
      </c>
      <c r="I813" t="s">
        <v>6052</v>
      </c>
      <c r="J813" t="s">
        <v>6053</v>
      </c>
      <c r="K813" t="s">
        <v>6057</v>
      </c>
      <c r="L813" t="s">
        <v>6842</v>
      </c>
      <c r="M813">
        <v>532.65</v>
      </c>
      <c r="N813">
        <v>6</v>
      </c>
      <c r="O813">
        <v>0.28999999999999998</v>
      </c>
      <c r="P813">
        <v>-50.81</v>
      </c>
      <c r="Q813" t="s">
        <v>9897</v>
      </c>
      <c r="R813">
        <v>7</v>
      </c>
      <c r="S813" s="5">
        <f t="shared" si="24"/>
        <v>-9.5390969679902377E-2</v>
      </c>
      <c r="T813">
        <v>88.774999999999991</v>
      </c>
      <c r="U813">
        <v>5</v>
      </c>
      <c r="V813">
        <v>2024</v>
      </c>
      <c r="W813">
        <v>2</v>
      </c>
      <c r="X813" t="s">
        <v>9898</v>
      </c>
      <c r="Y813" t="s">
        <v>9900</v>
      </c>
      <c r="Z813" t="s">
        <v>9899</v>
      </c>
      <c r="AD813">
        <f t="shared" si="25"/>
        <v>7</v>
      </c>
    </row>
    <row r="814" spans="1:30" x14ac:dyDescent="0.25">
      <c r="A814" t="s">
        <v>838</v>
      </c>
      <c r="B814" s="2">
        <v>44936</v>
      </c>
      <c r="C814" s="2">
        <v>44942</v>
      </c>
      <c r="D814" t="s">
        <v>5428</v>
      </c>
      <c r="E814" t="s">
        <v>5928</v>
      </c>
      <c r="F814" t="s">
        <v>6027</v>
      </c>
      <c r="G814" t="s">
        <v>6031</v>
      </c>
      <c r="H814" t="s">
        <v>6043</v>
      </c>
      <c r="I814" t="s">
        <v>6048</v>
      </c>
      <c r="J814" t="s">
        <v>6054</v>
      </c>
      <c r="K814" t="s">
        <v>6062</v>
      </c>
      <c r="L814" t="s">
        <v>6843</v>
      </c>
      <c r="M814">
        <v>1236.27</v>
      </c>
      <c r="N814">
        <v>6</v>
      </c>
      <c r="O814">
        <v>0.18</v>
      </c>
      <c r="P814">
        <v>98.12</v>
      </c>
      <c r="Q814" t="s">
        <v>9895</v>
      </c>
      <c r="R814">
        <v>6</v>
      </c>
      <c r="S814" s="5">
        <f t="shared" si="24"/>
        <v>7.9367775647714495E-2</v>
      </c>
      <c r="T814">
        <v>206.04499999999999</v>
      </c>
      <c r="U814">
        <v>1</v>
      </c>
      <c r="V814">
        <v>2023</v>
      </c>
      <c r="W814">
        <v>1</v>
      </c>
      <c r="X814" t="s">
        <v>9899</v>
      </c>
      <c r="Y814" t="s">
        <v>9900</v>
      </c>
      <c r="Z814" t="s">
        <v>9898</v>
      </c>
      <c r="AD814">
        <f t="shared" si="25"/>
        <v>6</v>
      </c>
    </row>
    <row r="815" spans="1:30" x14ac:dyDescent="0.25">
      <c r="A815" t="s">
        <v>839</v>
      </c>
      <c r="B815" s="2">
        <v>44593</v>
      </c>
      <c r="C815" s="2">
        <v>44595</v>
      </c>
      <c r="D815" t="s">
        <v>5057</v>
      </c>
      <c r="E815" t="s">
        <v>5557</v>
      </c>
      <c r="F815" t="s">
        <v>6028</v>
      </c>
      <c r="G815" t="s">
        <v>6031</v>
      </c>
      <c r="H815" t="s">
        <v>6042</v>
      </c>
      <c r="I815" t="s">
        <v>6052</v>
      </c>
      <c r="J815" t="s">
        <v>6055</v>
      </c>
      <c r="K815" t="s">
        <v>6064</v>
      </c>
      <c r="L815" t="s">
        <v>6844</v>
      </c>
      <c r="M815">
        <v>1261.08</v>
      </c>
      <c r="N815">
        <v>7</v>
      </c>
      <c r="O815">
        <v>0.08</v>
      </c>
      <c r="P815">
        <v>275.72000000000003</v>
      </c>
      <c r="Q815" t="s">
        <v>9894</v>
      </c>
      <c r="R815">
        <v>2</v>
      </c>
      <c r="S815" s="5">
        <f t="shared" si="24"/>
        <v>0.21863799283154126</v>
      </c>
      <c r="T815">
        <v>180.15428571428569</v>
      </c>
      <c r="U815">
        <v>2</v>
      </c>
      <c r="V815">
        <v>2022</v>
      </c>
      <c r="W815">
        <v>1</v>
      </c>
      <c r="X815" t="s">
        <v>9899</v>
      </c>
      <c r="Y815" t="s">
        <v>9901</v>
      </c>
      <c r="Z815" t="s">
        <v>9898</v>
      </c>
      <c r="AD815">
        <f t="shared" si="25"/>
        <v>2</v>
      </c>
    </row>
    <row r="816" spans="1:30" x14ac:dyDescent="0.25">
      <c r="A816" t="s">
        <v>840</v>
      </c>
      <c r="B816" s="2">
        <v>45281</v>
      </c>
      <c r="C816" s="2">
        <v>45285</v>
      </c>
      <c r="D816" t="s">
        <v>5429</v>
      </c>
      <c r="E816" t="s">
        <v>5929</v>
      </c>
      <c r="F816" t="s">
        <v>6028</v>
      </c>
      <c r="G816" t="s">
        <v>6030</v>
      </c>
      <c r="H816" t="s">
        <v>6038</v>
      </c>
      <c r="I816" t="s">
        <v>6047</v>
      </c>
      <c r="J816" t="s">
        <v>6055</v>
      </c>
      <c r="K816" t="s">
        <v>6061</v>
      </c>
      <c r="L816" t="s">
        <v>6845</v>
      </c>
      <c r="M816">
        <v>1865.19</v>
      </c>
      <c r="N816">
        <v>2</v>
      </c>
      <c r="O816">
        <v>0.22</v>
      </c>
      <c r="P816">
        <v>31.72</v>
      </c>
      <c r="Q816" t="s">
        <v>9897</v>
      </c>
      <c r="R816">
        <v>4</v>
      </c>
      <c r="S816" s="5">
        <f t="shared" si="24"/>
        <v>1.7006310349079717E-2</v>
      </c>
      <c r="T816">
        <v>932.59500000000003</v>
      </c>
      <c r="U816">
        <v>12</v>
      </c>
      <c r="V816">
        <v>2023</v>
      </c>
      <c r="W816">
        <v>4</v>
      </c>
      <c r="X816" t="s">
        <v>9899</v>
      </c>
      <c r="Y816" t="s">
        <v>9900</v>
      </c>
      <c r="Z816" t="s">
        <v>9898</v>
      </c>
      <c r="AD816">
        <f t="shared" si="25"/>
        <v>4</v>
      </c>
    </row>
    <row r="817" spans="1:30" x14ac:dyDescent="0.25">
      <c r="A817" t="s">
        <v>841</v>
      </c>
      <c r="B817" s="2">
        <v>45216</v>
      </c>
      <c r="C817" s="2">
        <v>45222</v>
      </c>
      <c r="D817" t="s">
        <v>5110</v>
      </c>
      <c r="E817" t="s">
        <v>5610</v>
      </c>
      <c r="F817" t="s">
        <v>6026</v>
      </c>
      <c r="G817" t="s">
        <v>6030</v>
      </c>
      <c r="H817" t="s">
        <v>6033</v>
      </c>
      <c r="I817" t="s">
        <v>6051</v>
      </c>
      <c r="J817" t="s">
        <v>6055</v>
      </c>
      <c r="K817" t="s">
        <v>6063</v>
      </c>
      <c r="L817" t="s">
        <v>6846</v>
      </c>
      <c r="M817">
        <v>684.99</v>
      </c>
      <c r="N817">
        <v>4</v>
      </c>
      <c r="O817">
        <v>0.16</v>
      </c>
      <c r="P817">
        <v>25.92</v>
      </c>
      <c r="Q817" t="s">
        <v>9897</v>
      </c>
      <c r="R817">
        <v>6</v>
      </c>
      <c r="S817" s="5">
        <f t="shared" si="24"/>
        <v>3.783996846669295E-2</v>
      </c>
      <c r="T817">
        <v>171.2475</v>
      </c>
      <c r="U817">
        <v>10</v>
      </c>
      <c r="V817">
        <v>2023</v>
      </c>
      <c r="W817">
        <v>4</v>
      </c>
      <c r="X817" t="s">
        <v>9899</v>
      </c>
      <c r="Y817" t="s">
        <v>9900</v>
      </c>
      <c r="Z817" t="s">
        <v>9899</v>
      </c>
      <c r="AD817">
        <f t="shared" si="25"/>
        <v>6</v>
      </c>
    </row>
    <row r="818" spans="1:30" x14ac:dyDescent="0.25">
      <c r="A818" t="s">
        <v>842</v>
      </c>
      <c r="B818" s="2">
        <v>45175</v>
      </c>
      <c r="C818" s="2">
        <v>45181</v>
      </c>
      <c r="D818" t="s">
        <v>5238</v>
      </c>
      <c r="E818" t="s">
        <v>5738</v>
      </c>
      <c r="F818" t="s">
        <v>6027</v>
      </c>
      <c r="G818" t="s">
        <v>6031</v>
      </c>
      <c r="H818" t="s">
        <v>6040</v>
      </c>
      <c r="I818" t="s">
        <v>6050</v>
      </c>
      <c r="J818" t="s">
        <v>6055</v>
      </c>
      <c r="K818" t="s">
        <v>6063</v>
      </c>
      <c r="L818" t="s">
        <v>6847</v>
      </c>
      <c r="M818">
        <v>992.95</v>
      </c>
      <c r="N818">
        <v>2</v>
      </c>
      <c r="O818">
        <v>0.01</v>
      </c>
      <c r="P818">
        <v>210.32</v>
      </c>
      <c r="Q818" t="s">
        <v>9896</v>
      </c>
      <c r="R818">
        <v>6</v>
      </c>
      <c r="S818" s="5">
        <f t="shared" si="24"/>
        <v>0.21181328364973059</v>
      </c>
      <c r="T818">
        <v>496.47500000000002</v>
      </c>
      <c r="U818">
        <v>9</v>
      </c>
      <c r="V818">
        <v>2023</v>
      </c>
      <c r="W818">
        <v>3</v>
      </c>
      <c r="X818" t="s">
        <v>9899</v>
      </c>
      <c r="Y818" t="s">
        <v>9901</v>
      </c>
      <c r="Z818" t="s">
        <v>9899</v>
      </c>
      <c r="AD818">
        <f t="shared" si="25"/>
        <v>6</v>
      </c>
    </row>
    <row r="819" spans="1:30" x14ac:dyDescent="0.25">
      <c r="A819" t="s">
        <v>843</v>
      </c>
      <c r="B819" s="2">
        <v>44798</v>
      </c>
      <c r="C819" s="2">
        <v>44804</v>
      </c>
      <c r="D819" t="s">
        <v>5087</v>
      </c>
      <c r="E819" t="s">
        <v>5587</v>
      </c>
      <c r="F819" t="s">
        <v>6028</v>
      </c>
      <c r="G819" t="s">
        <v>6030</v>
      </c>
      <c r="H819" t="s">
        <v>6035</v>
      </c>
      <c r="I819" t="s">
        <v>6051</v>
      </c>
      <c r="J819" t="s">
        <v>6055</v>
      </c>
      <c r="K819" t="s">
        <v>6063</v>
      </c>
      <c r="L819" t="s">
        <v>6848</v>
      </c>
      <c r="M819">
        <v>771.85</v>
      </c>
      <c r="N819">
        <v>5</v>
      </c>
      <c r="O819">
        <v>0.22</v>
      </c>
      <c r="P819">
        <v>-64.38</v>
      </c>
      <c r="Q819" t="s">
        <v>9897</v>
      </c>
      <c r="R819">
        <v>6</v>
      </c>
      <c r="S819" s="5">
        <f t="shared" si="24"/>
        <v>-8.340998898749756E-2</v>
      </c>
      <c r="T819">
        <v>154.37</v>
      </c>
      <c r="U819">
        <v>8</v>
      </c>
      <c r="V819">
        <v>2022</v>
      </c>
      <c r="W819">
        <v>3</v>
      </c>
      <c r="X819" t="s">
        <v>9898</v>
      </c>
      <c r="Y819" t="s">
        <v>9900</v>
      </c>
      <c r="Z819" t="s">
        <v>9899</v>
      </c>
      <c r="AD819">
        <f t="shared" si="25"/>
        <v>6</v>
      </c>
    </row>
    <row r="820" spans="1:30" x14ac:dyDescent="0.25">
      <c r="A820" t="s">
        <v>844</v>
      </c>
      <c r="B820" s="2">
        <v>45114</v>
      </c>
      <c r="C820" s="2">
        <v>45115</v>
      </c>
      <c r="D820" t="s">
        <v>5125</v>
      </c>
      <c r="E820" t="s">
        <v>5625</v>
      </c>
      <c r="F820" t="s">
        <v>6026</v>
      </c>
      <c r="G820" t="s">
        <v>6031</v>
      </c>
      <c r="H820" t="s">
        <v>6037</v>
      </c>
      <c r="I820" t="s">
        <v>6050</v>
      </c>
      <c r="J820" t="s">
        <v>6053</v>
      </c>
      <c r="K820" t="s">
        <v>6057</v>
      </c>
      <c r="L820" t="s">
        <v>6849</v>
      </c>
      <c r="M820">
        <v>748.25</v>
      </c>
      <c r="N820">
        <v>1</v>
      </c>
      <c r="O820">
        <v>0.08</v>
      </c>
      <c r="P820">
        <v>33.83</v>
      </c>
      <c r="Q820" t="s">
        <v>9894</v>
      </c>
      <c r="R820">
        <v>1</v>
      </c>
      <c r="S820" s="5">
        <f t="shared" si="24"/>
        <v>4.52121617106582E-2</v>
      </c>
      <c r="T820">
        <v>748.25</v>
      </c>
      <c r="U820">
        <v>7</v>
      </c>
      <c r="V820">
        <v>2023</v>
      </c>
      <c r="W820">
        <v>3</v>
      </c>
      <c r="X820" t="s">
        <v>9899</v>
      </c>
      <c r="Y820" t="s">
        <v>9901</v>
      </c>
      <c r="Z820" t="s">
        <v>9899</v>
      </c>
      <c r="AD820">
        <f t="shared" si="25"/>
        <v>1</v>
      </c>
    </row>
    <row r="821" spans="1:30" x14ac:dyDescent="0.25">
      <c r="A821" t="s">
        <v>845</v>
      </c>
      <c r="B821" s="2">
        <v>45448</v>
      </c>
      <c r="C821" s="2">
        <v>45450</v>
      </c>
      <c r="D821" t="s">
        <v>5122</v>
      </c>
      <c r="E821" t="s">
        <v>5622</v>
      </c>
      <c r="F821" t="s">
        <v>6027</v>
      </c>
      <c r="G821" t="s">
        <v>6031</v>
      </c>
      <c r="H821" t="s">
        <v>6034</v>
      </c>
      <c r="I821" t="s">
        <v>6050</v>
      </c>
      <c r="J821" t="s">
        <v>6053</v>
      </c>
      <c r="K821" t="s">
        <v>6057</v>
      </c>
      <c r="L821" t="s">
        <v>6850</v>
      </c>
      <c r="M821">
        <v>1332.81</v>
      </c>
      <c r="N821">
        <v>4</v>
      </c>
      <c r="O821">
        <v>0.06</v>
      </c>
      <c r="P821">
        <v>174.25</v>
      </c>
      <c r="Q821" t="s">
        <v>9896</v>
      </c>
      <c r="R821">
        <v>2</v>
      </c>
      <c r="S821" s="5">
        <f t="shared" si="24"/>
        <v>0.13073881498488157</v>
      </c>
      <c r="T821">
        <v>333.20249999999999</v>
      </c>
      <c r="U821">
        <v>6</v>
      </c>
      <c r="V821">
        <v>2024</v>
      </c>
      <c r="W821">
        <v>2</v>
      </c>
      <c r="X821" t="s">
        <v>9899</v>
      </c>
      <c r="Y821" t="s">
        <v>9901</v>
      </c>
      <c r="Z821" t="s">
        <v>9898</v>
      </c>
      <c r="AD821">
        <f t="shared" si="25"/>
        <v>2</v>
      </c>
    </row>
    <row r="822" spans="1:30" x14ac:dyDescent="0.25">
      <c r="A822" t="s">
        <v>846</v>
      </c>
      <c r="B822" s="2">
        <v>44602</v>
      </c>
      <c r="C822" s="2">
        <v>44605</v>
      </c>
      <c r="D822" t="s">
        <v>5272</v>
      </c>
      <c r="E822" t="s">
        <v>5772</v>
      </c>
      <c r="F822" t="s">
        <v>6026</v>
      </c>
      <c r="G822" t="s">
        <v>6030</v>
      </c>
      <c r="H822" t="s">
        <v>6033</v>
      </c>
      <c r="I822" t="s">
        <v>6051</v>
      </c>
      <c r="J822" t="s">
        <v>6055</v>
      </c>
      <c r="K822" t="s">
        <v>6064</v>
      </c>
      <c r="L822" t="s">
        <v>6851</v>
      </c>
      <c r="M822">
        <v>552.53</v>
      </c>
      <c r="N822">
        <v>8</v>
      </c>
      <c r="O822">
        <v>0.16</v>
      </c>
      <c r="P822">
        <v>48.01</v>
      </c>
      <c r="Q822" t="s">
        <v>9897</v>
      </c>
      <c r="R822">
        <v>3</v>
      </c>
      <c r="S822" s="5">
        <f t="shared" si="24"/>
        <v>8.6891209527084498E-2</v>
      </c>
      <c r="T822">
        <v>69.066249999999997</v>
      </c>
      <c r="U822">
        <v>2</v>
      </c>
      <c r="V822">
        <v>2022</v>
      </c>
      <c r="W822">
        <v>1</v>
      </c>
      <c r="X822" t="s">
        <v>9899</v>
      </c>
      <c r="Y822" t="s">
        <v>9900</v>
      </c>
      <c r="Z822" t="s">
        <v>9899</v>
      </c>
      <c r="AD822">
        <f t="shared" si="25"/>
        <v>3</v>
      </c>
    </row>
    <row r="823" spans="1:30" x14ac:dyDescent="0.25">
      <c r="A823" t="s">
        <v>847</v>
      </c>
      <c r="B823" s="2">
        <v>45224</v>
      </c>
      <c r="C823" s="2">
        <v>45227</v>
      </c>
      <c r="D823" t="s">
        <v>5276</v>
      </c>
      <c r="E823" t="s">
        <v>5776</v>
      </c>
      <c r="F823" t="s">
        <v>6028</v>
      </c>
      <c r="G823" t="s">
        <v>6030</v>
      </c>
      <c r="H823" t="s">
        <v>6038</v>
      </c>
      <c r="I823" t="s">
        <v>6047</v>
      </c>
      <c r="J823" t="s">
        <v>6055</v>
      </c>
      <c r="K823" t="s">
        <v>6063</v>
      </c>
      <c r="L823" t="s">
        <v>6852</v>
      </c>
      <c r="M823">
        <v>478.89</v>
      </c>
      <c r="N823">
        <v>3</v>
      </c>
      <c r="O823">
        <v>0.23</v>
      </c>
      <c r="P823">
        <v>-46.19</v>
      </c>
      <c r="Q823" t="s">
        <v>9896</v>
      </c>
      <c r="R823">
        <v>3</v>
      </c>
      <c r="S823" s="5">
        <f t="shared" si="24"/>
        <v>-9.6452212407859839E-2</v>
      </c>
      <c r="T823">
        <v>159.63</v>
      </c>
      <c r="U823">
        <v>10</v>
      </c>
      <c r="V823">
        <v>2023</v>
      </c>
      <c r="W823">
        <v>4</v>
      </c>
      <c r="X823" t="s">
        <v>9898</v>
      </c>
      <c r="Y823" t="s">
        <v>9900</v>
      </c>
      <c r="Z823" t="s">
        <v>9899</v>
      </c>
      <c r="AD823">
        <f t="shared" si="25"/>
        <v>3</v>
      </c>
    </row>
    <row r="824" spans="1:30" x14ac:dyDescent="0.25">
      <c r="A824" t="s">
        <v>848</v>
      </c>
      <c r="B824" s="2">
        <v>45337</v>
      </c>
      <c r="C824" s="2">
        <v>45340</v>
      </c>
      <c r="D824" t="s">
        <v>5291</v>
      </c>
      <c r="E824" t="s">
        <v>5791</v>
      </c>
      <c r="F824" t="s">
        <v>6026</v>
      </c>
      <c r="G824" t="s">
        <v>6031</v>
      </c>
      <c r="H824" t="s">
        <v>6042</v>
      </c>
      <c r="I824" t="s">
        <v>6048</v>
      </c>
      <c r="J824" t="s">
        <v>6054</v>
      </c>
      <c r="K824" t="s">
        <v>6062</v>
      </c>
      <c r="L824" t="s">
        <v>6853</v>
      </c>
      <c r="M824">
        <v>430.28</v>
      </c>
      <c r="N824">
        <v>2</v>
      </c>
      <c r="O824">
        <v>0.34</v>
      </c>
      <c r="P824">
        <v>-28.24</v>
      </c>
      <c r="Q824" t="s">
        <v>9895</v>
      </c>
      <c r="R824">
        <v>3</v>
      </c>
      <c r="S824" s="5">
        <f t="shared" si="24"/>
        <v>-6.5631681695640043E-2</v>
      </c>
      <c r="T824">
        <v>215.14</v>
      </c>
      <c r="U824">
        <v>2</v>
      </c>
      <c r="V824">
        <v>2024</v>
      </c>
      <c r="W824">
        <v>1</v>
      </c>
      <c r="X824" t="s">
        <v>9898</v>
      </c>
      <c r="Y824" t="s">
        <v>9902</v>
      </c>
      <c r="Z824" t="s">
        <v>9899</v>
      </c>
      <c r="AD824">
        <f t="shared" si="25"/>
        <v>3</v>
      </c>
    </row>
    <row r="825" spans="1:30" x14ac:dyDescent="0.25">
      <c r="A825" t="s">
        <v>849</v>
      </c>
      <c r="B825" s="2">
        <v>44767</v>
      </c>
      <c r="C825" s="2">
        <v>44771</v>
      </c>
      <c r="D825" t="s">
        <v>5430</v>
      </c>
      <c r="E825" t="s">
        <v>5930</v>
      </c>
      <c r="F825" t="s">
        <v>6027</v>
      </c>
      <c r="G825" t="s">
        <v>6029</v>
      </c>
      <c r="H825" t="s">
        <v>6036</v>
      </c>
      <c r="I825" t="s">
        <v>6049</v>
      </c>
      <c r="J825" t="s">
        <v>6053</v>
      </c>
      <c r="K825" t="s">
        <v>6057</v>
      </c>
      <c r="L825" t="s">
        <v>6854</v>
      </c>
      <c r="M825">
        <v>110.66</v>
      </c>
      <c r="N825">
        <v>8</v>
      </c>
      <c r="O825">
        <v>0.23</v>
      </c>
      <c r="P825">
        <v>0.02</v>
      </c>
      <c r="Q825" t="s">
        <v>9893</v>
      </c>
      <c r="R825">
        <v>4</v>
      </c>
      <c r="S825" s="5">
        <f t="shared" si="24"/>
        <v>1.8073377914332189E-4</v>
      </c>
      <c r="T825">
        <v>13.8325</v>
      </c>
      <c r="U825">
        <v>7</v>
      </c>
      <c r="V825">
        <v>2022</v>
      </c>
      <c r="W825">
        <v>3</v>
      </c>
      <c r="X825" t="s">
        <v>9899</v>
      </c>
      <c r="Y825" t="s">
        <v>9900</v>
      </c>
      <c r="Z825" t="s">
        <v>9899</v>
      </c>
      <c r="AD825">
        <f t="shared" si="25"/>
        <v>4</v>
      </c>
    </row>
    <row r="826" spans="1:30" x14ac:dyDescent="0.25">
      <c r="A826" t="s">
        <v>850</v>
      </c>
      <c r="B826" s="2">
        <v>44927</v>
      </c>
      <c r="C826" s="2">
        <v>44932</v>
      </c>
      <c r="D826" t="s">
        <v>5431</v>
      </c>
      <c r="E826" t="s">
        <v>5931</v>
      </c>
      <c r="F826" t="s">
        <v>6026</v>
      </c>
      <c r="G826" t="s">
        <v>6031</v>
      </c>
      <c r="H826" t="s">
        <v>6034</v>
      </c>
      <c r="I826" t="s">
        <v>6048</v>
      </c>
      <c r="J826" t="s">
        <v>6055</v>
      </c>
      <c r="K826" t="s">
        <v>6064</v>
      </c>
      <c r="L826" t="s">
        <v>6855</v>
      </c>
      <c r="M826">
        <v>1066.4000000000001</v>
      </c>
      <c r="N826">
        <v>1</v>
      </c>
      <c r="O826">
        <v>0.17</v>
      </c>
      <c r="P826">
        <v>76.2</v>
      </c>
      <c r="Q826" t="s">
        <v>9894</v>
      </c>
      <c r="R826">
        <v>5</v>
      </c>
      <c r="S826" s="5">
        <f t="shared" si="24"/>
        <v>7.145536384096024E-2</v>
      </c>
      <c r="T826">
        <v>1066.4000000000001</v>
      </c>
      <c r="U826">
        <v>1</v>
      </c>
      <c r="V826">
        <v>2023</v>
      </c>
      <c r="W826">
        <v>1</v>
      </c>
      <c r="X826" t="s">
        <v>9899</v>
      </c>
      <c r="Y826" t="s">
        <v>9900</v>
      </c>
      <c r="Z826" t="s">
        <v>9898</v>
      </c>
      <c r="AD826">
        <f t="shared" si="25"/>
        <v>5</v>
      </c>
    </row>
    <row r="827" spans="1:30" x14ac:dyDescent="0.25">
      <c r="A827" t="s">
        <v>851</v>
      </c>
      <c r="B827" s="2">
        <v>45379</v>
      </c>
      <c r="C827" s="2">
        <v>45380</v>
      </c>
      <c r="D827" t="s">
        <v>5432</v>
      </c>
      <c r="E827" t="s">
        <v>5932</v>
      </c>
      <c r="F827" t="s">
        <v>6027</v>
      </c>
      <c r="G827" t="s">
        <v>6031</v>
      </c>
      <c r="H827" t="s">
        <v>6040</v>
      </c>
      <c r="I827" t="s">
        <v>6050</v>
      </c>
      <c r="J827" t="s">
        <v>6055</v>
      </c>
      <c r="K827" t="s">
        <v>6061</v>
      </c>
      <c r="L827" t="s">
        <v>6856</v>
      </c>
      <c r="M827">
        <v>1285.17</v>
      </c>
      <c r="N827">
        <v>6</v>
      </c>
      <c r="O827">
        <v>0.13</v>
      </c>
      <c r="P827">
        <v>-7.95</v>
      </c>
      <c r="Q827" t="s">
        <v>9893</v>
      </c>
      <c r="R827">
        <v>1</v>
      </c>
      <c r="S827" s="5">
        <f t="shared" si="24"/>
        <v>-6.1859520530357847E-3</v>
      </c>
      <c r="T827">
        <v>214.19499999999999</v>
      </c>
      <c r="U827">
        <v>3</v>
      </c>
      <c r="V827">
        <v>2024</v>
      </c>
      <c r="W827">
        <v>1</v>
      </c>
      <c r="X827" t="s">
        <v>9898</v>
      </c>
      <c r="Y827" t="s">
        <v>9901</v>
      </c>
      <c r="Z827" t="s">
        <v>9898</v>
      </c>
      <c r="AD827">
        <f t="shared" si="25"/>
        <v>1</v>
      </c>
    </row>
    <row r="828" spans="1:30" x14ac:dyDescent="0.25">
      <c r="A828" t="s">
        <v>852</v>
      </c>
      <c r="B828" s="2">
        <v>45169</v>
      </c>
      <c r="C828" s="2">
        <v>45174</v>
      </c>
      <c r="D828" t="s">
        <v>5293</v>
      </c>
      <c r="E828" t="s">
        <v>5793</v>
      </c>
      <c r="F828" t="s">
        <v>6028</v>
      </c>
      <c r="G828" t="s">
        <v>6031</v>
      </c>
      <c r="H828" t="s">
        <v>6043</v>
      </c>
      <c r="I828" t="s">
        <v>6052</v>
      </c>
      <c r="J828" t="s">
        <v>6055</v>
      </c>
      <c r="K828" t="s">
        <v>6064</v>
      </c>
      <c r="L828" t="s">
        <v>6857</v>
      </c>
      <c r="M828">
        <v>1240.08</v>
      </c>
      <c r="N828">
        <v>4</v>
      </c>
      <c r="O828">
        <v>0.06</v>
      </c>
      <c r="P828">
        <v>114.2</v>
      </c>
      <c r="Q828" t="s">
        <v>9893</v>
      </c>
      <c r="R828">
        <v>5</v>
      </c>
      <c r="S828" s="5">
        <f t="shared" si="24"/>
        <v>9.2090832849493584E-2</v>
      </c>
      <c r="T828">
        <v>310.02</v>
      </c>
      <c r="U828">
        <v>8</v>
      </c>
      <c r="V828">
        <v>2023</v>
      </c>
      <c r="W828">
        <v>3</v>
      </c>
      <c r="X828" t="s">
        <v>9899</v>
      </c>
      <c r="Y828" t="s">
        <v>9901</v>
      </c>
      <c r="Z828" t="s">
        <v>9898</v>
      </c>
      <c r="AD828">
        <f t="shared" si="25"/>
        <v>5</v>
      </c>
    </row>
    <row r="829" spans="1:30" x14ac:dyDescent="0.25">
      <c r="A829" t="s">
        <v>853</v>
      </c>
      <c r="B829" s="2">
        <v>44603</v>
      </c>
      <c r="C829" s="2">
        <v>44604</v>
      </c>
      <c r="D829" t="s">
        <v>5157</v>
      </c>
      <c r="E829" t="s">
        <v>5657</v>
      </c>
      <c r="F829" t="s">
        <v>6026</v>
      </c>
      <c r="G829" t="s">
        <v>6031</v>
      </c>
      <c r="H829" t="s">
        <v>6037</v>
      </c>
      <c r="I829" t="s">
        <v>6052</v>
      </c>
      <c r="J829" t="s">
        <v>6054</v>
      </c>
      <c r="K829" t="s">
        <v>6060</v>
      </c>
      <c r="L829" t="s">
        <v>6858</v>
      </c>
      <c r="M829">
        <v>1795.32</v>
      </c>
      <c r="N829">
        <v>2</v>
      </c>
      <c r="O829">
        <v>0.24</v>
      </c>
      <c r="P829">
        <v>-202.22</v>
      </c>
      <c r="Q829" t="s">
        <v>9893</v>
      </c>
      <c r="R829">
        <v>1</v>
      </c>
      <c r="S829" s="5">
        <f t="shared" si="24"/>
        <v>-0.11263730142815766</v>
      </c>
      <c r="T829">
        <v>897.66</v>
      </c>
      <c r="U829">
        <v>2</v>
      </c>
      <c r="V829">
        <v>2022</v>
      </c>
      <c r="W829">
        <v>1</v>
      </c>
      <c r="X829" t="s">
        <v>9898</v>
      </c>
      <c r="Y829" t="s">
        <v>9900</v>
      </c>
      <c r="Z829" t="s">
        <v>9898</v>
      </c>
      <c r="AD829">
        <f t="shared" si="25"/>
        <v>1</v>
      </c>
    </row>
    <row r="830" spans="1:30" x14ac:dyDescent="0.25">
      <c r="A830" t="s">
        <v>854</v>
      </c>
      <c r="B830" s="2">
        <v>44889</v>
      </c>
      <c r="C830" s="2">
        <v>44892</v>
      </c>
      <c r="D830" t="s">
        <v>5342</v>
      </c>
      <c r="E830" t="s">
        <v>5842</v>
      </c>
      <c r="F830" t="s">
        <v>6026</v>
      </c>
      <c r="G830" t="s">
        <v>6031</v>
      </c>
      <c r="H830" t="s">
        <v>6042</v>
      </c>
      <c r="I830" t="s">
        <v>6050</v>
      </c>
      <c r="J830" t="s">
        <v>6054</v>
      </c>
      <c r="K830" t="s">
        <v>6059</v>
      </c>
      <c r="L830" t="s">
        <v>6163</v>
      </c>
      <c r="M830">
        <v>405.83</v>
      </c>
      <c r="N830">
        <v>2</v>
      </c>
      <c r="O830">
        <v>0.34</v>
      </c>
      <c r="P830">
        <v>-55.65</v>
      </c>
      <c r="Q830" t="s">
        <v>9893</v>
      </c>
      <c r="R830">
        <v>3</v>
      </c>
      <c r="S830" s="5">
        <f t="shared" si="24"/>
        <v>-0.13712638296823793</v>
      </c>
      <c r="T830">
        <v>202.91499999999999</v>
      </c>
      <c r="U830">
        <v>11</v>
      </c>
      <c r="V830">
        <v>2022</v>
      </c>
      <c r="W830">
        <v>4</v>
      </c>
      <c r="X830" t="s">
        <v>9898</v>
      </c>
      <c r="Y830" t="s">
        <v>9902</v>
      </c>
      <c r="Z830" t="s">
        <v>9899</v>
      </c>
      <c r="AD830">
        <f t="shared" si="25"/>
        <v>3</v>
      </c>
    </row>
    <row r="831" spans="1:30" x14ac:dyDescent="0.25">
      <c r="A831" t="s">
        <v>855</v>
      </c>
      <c r="B831" s="2">
        <v>44650</v>
      </c>
      <c r="C831" s="2">
        <v>44652</v>
      </c>
      <c r="D831" t="s">
        <v>5091</v>
      </c>
      <c r="E831" t="s">
        <v>5591</v>
      </c>
      <c r="F831" t="s">
        <v>6026</v>
      </c>
      <c r="G831" t="s">
        <v>6031</v>
      </c>
      <c r="H831" t="s">
        <v>6043</v>
      </c>
      <c r="I831" t="s">
        <v>6052</v>
      </c>
      <c r="J831" t="s">
        <v>6053</v>
      </c>
      <c r="K831" t="s">
        <v>6057</v>
      </c>
      <c r="L831" t="s">
        <v>6859</v>
      </c>
      <c r="M831">
        <v>139.47</v>
      </c>
      <c r="N831">
        <v>3</v>
      </c>
      <c r="O831">
        <v>0.05</v>
      </c>
      <c r="P831">
        <v>29.66</v>
      </c>
      <c r="Q831" t="s">
        <v>9895</v>
      </c>
      <c r="R831">
        <v>2</v>
      </c>
      <c r="S831" s="5">
        <f t="shared" si="24"/>
        <v>0.21266222126622214</v>
      </c>
      <c r="T831">
        <v>46.49</v>
      </c>
      <c r="U831">
        <v>3</v>
      </c>
      <c r="V831">
        <v>2022</v>
      </c>
      <c r="W831">
        <v>1</v>
      </c>
      <c r="X831" t="s">
        <v>9899</v>
      </c>
      <c r="Y831" t="s">
        <v>9901</v>
      </c>
      <c r="Z831" t="s">
        <v>9899</v>
      </c>
      <c r="AD831">
        <f t="shared" si="25"/>
        <v>2</v>
      </c>
    </row>
    <row r="832" spans="1:30" x14ac:dyDescent="0.25">
      <c r="A832" t="s">
        <v>856</v>
      </c>
      <c r="B832" s="2">
        <v>44741</v>
      </c>
      <c r="C832" s="2">
        <v>44748</v>
      </c>
      <c r="D832" t="s">
        <v>5384</v>
      </c>
      <c r="E832" t="s">
        <v>5884</v>
      </c>
      <c r="F832" t="s">
        <v>6026</v>
      </c>
      <c r="G832" t="s">
        <v>6031</v>
      </c>
      <c r="H832" t="s">
        <v>6034</v>
      </c>
      <c r="I832" t="s">
        <v>6050</v>
      </c>
      <c r="J832" t="s">
        <v>6055</v>
      </c>
      <c r="K832" t="s">
        <v>6061</v>
      </c>
      <c r="L832" t="s">
        <v>6860</v>
      </c>
      <c r="M832">
        <v>1833.73</v>
      </c>
      <c r="N832">
        <v>3</v>
      </c>
      <c r="O832">
        <v>0.24</v>
      </c>
      <c r="P832">
        <v>-196.22</v>
      </c>
      <c r="Q832" t="s">
        <v>9894</v>
      </c>
      <c r="R832">
        <v>7</v>
      </c>
      <c r="S832" s="5">
        <f t="shared" si="24"/>
        <v>-0.10700593871507801</v>
      </c>
      <c r="T832">
        <v>611.24333333333334</v>
      </c>
      <c r="U832">
        <v>6</v>
      </c>
      <c r="V832">
        <v>2022</v>
      </c>
      <c r="W832">
        <v>2</v>
      </c>
      <c r="X832" t="s">
        <v>9898</v>
      </c>
      <c r="Y832" t="s">
        <v>9900</v>
      </c>
      <c r="Z832" t="s">
        <v>9898</v>
      </c>
      <c r="AD832">
        <f t="shared" si="25"/>
        <v>7</v>
      </c>
    </row>
    <row r="833" spans="1:30" x14ac:dyDescent="0.25">
      <c r="A833" t="s">
        <v>857</v>
      </c>
      <c r="B833" s="2">
        <v>44833</v>
      </c>
      <c r="C833" s="2">
        <v>44839</v>
      </c>
      <c r="D833" t="s">
        <v>5258</v>
      </c>
      <c r="E833" t="s">
        <v>5758</v>
      </c>
      <c r="F833" t="s">
        <v>6028</v>
      </c>
      <c r="G833" t="s">
        <v>6030</v>
      </c>
      <c r="H833" t="s">
        <v>6039</v>
      </c>
      <c r="I833" t="s">
        <v>6051</v>
      </c>
      <c r="J833" t="s">
        <v>6055</v>
      </c>
      <c r="K833" t="s">
        <v>6064</v>
      </c>
      <c r="L833" t="s">
        <v>6861</v>
      </c>
      <c r="M833">
        <v>1773.67</v>
      </c>
      <c r="N833">
        <v>6</v>
      </c>
      <c r="O833">
        <v>0.19</v>
      </c>
      <c r="P833">
        <v>-96.01</v>
      </c>
      <c r="Q833" t="s">
        <v>9893</v>
      </c>
      <c r="R833">
        <v>6</v>
      </c>
      <c r="S833" s="5">
        <f t="shared" si="24"/>
        <v>-5.4130700750421444E-2</v>
      </c>
      <c r="T833">
        <v>295.61166666666668</v>
      </c>
      <c r="U833">
        <v>9</v>
      </c>
      <c r="V833">
        <v>2022</v>
      </c>
      <c r="W833">
        <v>3</v>
      </c>
      <c r="X833" t="s">
        <v>9898</v>
      </c>
      <c r="Y833" t="s">
        <v>9900</v>
      </c>
      <c r="Z833" t="s">
        <v>9898</v>
      </c>
      <c r="AD833">
        <f t="shared" si="25"/>
        <v>6</v>
      </c>
    </row>
    <row r="834" spans="1:30" x14ac:dyDescent="0.25">
      <c r="A834" t="s">
        <v>858</v>
      </c>
      <c r="B834" s="2">
        <v>45266</v>
      </c>
      <c r="C834" s="2">
        <v>45270</v>
      </c>
      <c r="D834" t="s">
        <v>5362</v>
      </c>
      <c r="E834" t="s">
        <v>5862</v>
      </c>
      <c r="F834" t="s">
        <v>6027</v>
      </c>
      <c r="G834" t="s">
        <v>6031</v>
      </c>
      <c r="H834" t="s">
        <v>6042</v>
      </c>
      <c r="I834" t="s">
        <v>6052</v>
      </c>
      <c r="J834" t="s">
        <v>6054</v>
      </c>
      <c r="K834" t="s">
        <v>6059</v>
      </c>
      <c r="L834" t="s">
        <v>6862</v>
      </c>
      <c r="M834">
        <v>354.26</v>
      </c>
      <c r="N834">
        <v>1</v>
      </c>
      <c r="O834">
        <v>0.22</v>
      </c>
      <c r="P834">
        <v>27.23</v>
      </c>
      <c r="Q834" t="s">
        <v>9896</v>
      </c>
      <c r="R834">
        <v>4</v>
      </c>
      <c r="S834" s="5">
        <f t="shared" si="24"/>
        <v>7.6864449839101234E-2</v>
      </c>
      <c r="T834">
        <v>354.26</v>
      </c>
      <c r="U834">
        <v>12</v>
      </c>
      <c r="V834">
        <v>2023</v>
      </c>
      <c r="W834">
        <v>4</v>
      </c>
      <c r="X834" t="s">
        <v>9899</v>
      </c>
      <c r="Y834" t="s">
        <v>9900</v>
      </c>
      <c r="Z834" t="s">
        <v>9899</v>
      </c>
      <c r="AD834">
        <f t="shared" si="25"/>
        <v>4</v>
      </c>
    </row>
    <row r="835" spans="1:30" x14ac:dyDescent="0.25">
      <c r="A835" t="s">
        <v>859</v>
      </c>
      <c r="B835" s="2">
        <v>44725</v>
      </c>
      <c r="C835" s="2">
        <v>44726</v>
      </c>
      <c r="D835" t="s">
        <v>5433</v>
      </c>
      <c r="E835" t="s">
        <v>5933</v>
      </c>
      <c r="F835" t="s">
        <v>6026</v>
      </c>
      <c r="G835" t="s">
        <v>6029</v>
      </c>
      <c r="H835" t="s">
        <v>6036</v>
      </c>
      <c r="I835" t="s">
        <v>6046</v>
      </c>
      <c r="J835" t="s">
        <v>6054</v>
      </c>
      <c r="K835" t="s">
        <v>6059</v>
      </c>
      <c r="L835" t="s">
        <v>6687</v>
      </c>
      <c r="M835">
        <v>649.44000000000005</v>
      </c>
      <c r="N835">
        <v>7</v>
      </c>
      <c r="O835">
        <v>0.02</v>
      </c>
      <c r="P835">
        <v>133.75</v>
      </c>
      <c r="Q835" t="s">
        <v>9894</v>
      </c>
      <c r="R835">
        <v>1</v>
      </c>
      <c r="S835" s="5">
        <f t="shared" ref="S835:S898" si="26">P835/M835</f>
        <v>0.20594666173934464</v>
      </c>
      <c r="T835">
        <v>92.777142857142863</v>
      </c>
      <c r="U835">
        <v>6</v>
      </c>
      <c r="V835">
        <v>2022</v>
      </c>
      <c r="W835">
        <v>2</v>
      </c>
      <c r="X835" t="s">
        <v>9899</v>
      </c>
      <c r="Y835" t="s">
        <v>9901</v>
      </c>
      <c r="Z835" t="s">
        <v>9899</v>
      </c>
      <c r="AD835">
        <f t="shared" ref="AD835:AD898" si="27">C835-B835</f>
        <v>1</v>
      </c>
    </row>
    <row r="836" spans="1:30" x14ac:dyDescent="0.25">
      <c r="A836" t="s">
        <v>860</v>
      </c>
      <c r="B836" s="2">
        <v>45206</v>
      </c>
      <c r="C836" s="2">
        <v>45209</v>
      </c>
      <c r="D836" t="s">
        <v>5199</v>
      </c>
      <c r="E836" t="s">
        <v>5699</v>
      </c>
      <c r="F836" t="s">
        <v>6028</v>
      </c>
      <c r="G836" t="s">
        <v>6031</v>
      </c>
      <c r="H836" t="s">
        <v>6037</v>
      </c>
      <c r="I836" t="s">
        <v>6052</v>
      </c>
      <c r="J836" t="s">
        <v>6053</v>
      </c>
      <c r="K836" t="s">
        <v>6057</v>
      </c>
      <c r="L836" t="s">
        <v>6863</v>
      </c>
      <c r="M836">
        <v>1291.83</v>
      </c>
      <c r="N836">
        <v>1</v>
      </c>
      <c r="O836">
        <v>0.17</v>
      </c>
      <c r="P836">
        <v>-13.73</v>
      </c>
      <c r="Q836" t="s">
        <v>9894</v>
      </c>
      <c r="R836">
        <v>3</v>
      </c>
      <c r="S836" s="5">
        <f t="shared" si="26"/>
        <v>-1.0628333449447684E-2</v>
      </c>
      <c r="T836">
        <v>1291.83</v>
      </c>
      <c r="U836">
        <v>10</v>
      </c>
      <c r="V836">
        <v>2023</v>
      </c>
      <c r="W836">
        <v>4</v>
      </c>
      <c r="X836" t="s">
        <v>9898</v>
      </c>
      <c r="Y836" t="s">
        <v>9900</v>
      </c>
      <c r="Z836" t="s">
        <v>9898</v>
      </c>
      <c r="AD836">
        <f t="shared" si="27"/>
        <v>3</v>
      </c>
    </row>
    <row r="837" spans="1:30" x14ac:dyDescent="0.25">
      <c r="A837" t="s">
        <v>861</v>
      </c>
      <c r="B837" s="2">
        <v>45132</v>
      </c>
      <c r="C837" s="2">
        <v>45137</v>
      </c>
      <c r="D837" t="s">
        <v>5394</v>
      </c>
      <c r="E837" t="s">
        <v>5894</v>
      </c>
      <c r="F837" t="s">
        <v>6027</v>
      </c>
      <c r="G837" t="s">
        <v>6031</v>
      </c>
      <c r="H837" t="s">
        <v>6040</v>
      </c>
      <c r="I837" t="s">
        <v>6052</v>
      </c>
      <c r="J837" t="s">
        <v>6054</v>
      </c>
      <c r="K837" t="s">
        <v>6059</v>
      </c>
      <c r="L837" t="s">
        <v>6680</v>
      </c>
      <c r="M837">
        <v>713.23</v>
      </c>
      <c r="N837">
        <v>7</v>
      </c>
      <c r="O837">
        <v>0.16</v>
      </c>
      <c r="P837">
        <v>34.68</v>
      </c>
      <c r="Q837" t="s">
        <v>9895</v>
      </c>
      <c r="R837">
        <v>5</v>
      </c>
      <c r="S837" s="5">
        <f t="shared" si="26"/>
        <v>4.8623866074057456E-2</v>
      </c>
      <c r="T837">
        <v>101.89</v>
      </c>
      <c r="U837">
        <v>7</v>
      </c>
      <c r="V837">
        <v>2023</v>
      </c>
      <c r="W837">
        <v>3</v>
      </c>
      <c r="X837" t="s">
        <v>9899</v>
      </c>
      <c r="Y837" t="s">
        <v>9900</v>
      </c>
      <c r="Z837" t="s">
        <v>9899</v>
      </c>
      <c r="AD837">
        <f t="shared" si="27"/>
        <v>5</v>
      </c>
    </row>
    <row r="838" spans="1:30" x14ac:dyDescent="0.25">
      <c r="A838" t="s">
        <v>862</v>
      </c>
      <c r="B838" s="2">
        <v>45271</v>
      </c>
      <c r="C838" s="2">
        <v>45274</v>
      </c>
      <c r="D838" t="s">
        <v>5044</v>
      </c>
      <c r="E838" t="s">
        <v>5544</v>
      </c>
      <c r="F838" t="s">
        <v>6027</v>
      </c>
      <c r="G838" t="s">
        <v>6029</v>
      </c>
      <c r="H838" t="s">
        <v>6036</v>
      </c>
      <c r="I838" t="s">
        <v>6050</v>
      </c>
      <c r="J838" t="s">
        <v>6054</v>
      </c>
      <c r="K838" t="s">
        <v>6062</v>
      </c>
      <c r="L838" t="s">
        <v>6864</v>
      </c>
      <c r="M838">
        <v>812.94</v>
      </c>
      <c r="N838">
        <v>8</v>
      </c>
      <c r="O838">
        <v>0.16</v>
      </c>
      <c r="P838">
        <v>113.73</v>
      </c>
      <c r="Q838" t="s">
        <v>9897</v>
      </c>
      <c r="R838">
        <v>3</v>
      </c>
      <c r="S838" s="5">
        <f t="shared" si="26"/>
        <v>0.1398996235884567</v>
      </c>
      <c r="T838">
        <v>101.61750000000001</v>
      </c>
      <c r="U838">
        <v>12</v>
      </c>
      <c r="V838">
        <v>2023</v>
      </c>
      <c r="W838">
        <v>4</v>
      </c>
      <c r="X838" t="s">
        <v>9899</v>
      </c>
      <c r="Y838" t="s">
        <v>9900</v>
      </c>
      <c r="Z838" t="s">
        <v>9899</v>
      </c>
      <c r="AD838">
        <f t="shared" si="27"/>
        <v>3</v>
      </c>
    </row>
    <row r="839" spans="1:30" x14ac:dyDescent="0.25">
      <c r="A839" t="s">
        <v>863</v>
      </c>
      <c r="B839" s="2">
        <v>44638</v>
      </c>
      <c r="C839" s="2">
        <v>44640</v>
      </c>
      <c r="D839" t="s">
        <v>5030</v>
      </c>
      <c r="E839" t="s">
        <v>5530</v>
      </c>
      <c r="F839" t="s">
        <v>6026</v>
      </c>
      <c r="G839" t="s">
        <v>6029</v>
      </c>
      <c r="H839" t="s">
        <v>6032</v>
      </c>
      <c r="I839" t="s">
        <v>6046</v>
      </c>
      <c r="J839" t="s">
        <v>6053</v>
      </c>
      <c r="K839" t="s">
        <v>6057</v>
      </c>
      <c r="L839" t="s">
        <v>6777</v>
      </c>
      <c r="M839">
        <v>874.8</v>
      </c>
      <c r="N839">
        <v>1</v>
      </c>
      <c r="O839">
        <v>0.09</v>
      </c>
      <c r="P839">
        <v>40.18</v>
      </c>
      <c r="Q839" t="s">
        <v>9893</v>
      </c>
      <c r="R839">
        <v>2</v>
      </c>
      <c r="S839" s="5">
        <f t="shared" si="26"/>
        <v>4.5930498399634201E-2</v>
      </c>
      <c r="T839">
        <v>874.8</v>
      </c>
      <c r="U839">
        <v>3</v>
      </c>
      <c r="V839">
        <v>2022</v>
      </c>
      <c r="W839">
        <v>1</v>
      </c>
      <c r="X839" t="s">
        <v>9899</v>
      </c>
      <c r="Y839" t="s">
        <v>9901</v>
      </c>
      <c r="Z839" t="s">
        <v>9899</v>
      </c>
      <c r="AD839">
        <f t="shared" si="27"/>
        <v>2</v>
      </c>
    </row>
    <row r="840" spans="1:30" x14ac:dyDescent="0.25">
      <c r="A840" t="s">
        <v>864</v>
      </c>
      <c r="B840" s="2">
        <v>45332</v>
      </c>
      <c r="C840" s="2">
        <v>45335</v>
      </c>
      <c r="D840" t="s">
        <v>5339</v>
      </c>
      <c r="E840" t="s">
        <v>5839</v>
      </c>
      <c r="F840" t="s">
        <v>6027</v>
      </c>
      <c r="G840" t="s">
        <v>6030</v>
      </c>
      <c r="H840" t="s">
        <v>6033</v>
      </c>
      <c r="I840" t="s">
        <v>6047</v>
      </c>
      <c r="J840" t="s">
        <v>6054</v>
      </c>
      <c r="K840" t="s">
        <v>6059</v>
      </c>
      <c r="L840" t="s">
        <v>6865</v>
      </c>
      <c r="M840">
        <v>1011.95</v>
      </c>
      <c r="N840">
        <v>5</v>
      </c>
      <c r="O840">
        <v>0.04</v>
      </c>
      <c r="P840">
        <v>240.78</v>
      </c>
      <c r="Q840" t="s">
        <v>9895</v>
      </c>
      <c r="R840">
        <v>3</v>
      </c>
      <c r="S840" s="5">
        <f t="shared" si="26"/>
        <v>0.23793665694945401</v>
      </c>
      <c r="T840">
        <v>202.39</v>
      </c>
      <c r="U840">
        <v>2</v>
      </c>
      <c r="V840">
        <v>2024</v>
      </c>
      <c r="W840">
        <v>1</v>
      </c>
      <c r="X840" t="s">
        <v>9899</v>
      </c>
      <c r="Y840" t="s">
        <v>9901</v>
      </c>
      <c r="Z840" t="s">
        <v>9898</v>
      </c>
      <c r="AD840">
        <f t="shared" si="27"/>
        <v>3</v>
      </c>
    </row>
    <row r="841" spans="1:30" x14ac:dyDescent="0.25">
      <c r="A841" t="s">
        <v>865</v>
      </c>
      <c r="B841" s="2">
        <v>44876</v>
      </c>
      <c r="C841" s="2">
        <v>44878</v>
      </c>
      <c r="D841" t="s">
        <v>5394</v>
      </c>
      <c r="E841" t="s">
        <v>5894</v>
      </c>
      <c r="F841" t="s">
        <v>6026</v>
      </c>
      <c r="G841" t="s">
        <v>6030</v>
      </c>
      <c r="H841" t="s">
        <v>6033</v>
      </c>
      <c r="I841" t="s">
        <v>6051</v>
      </c>
      <c r="J841" t="s">
        <v>6055</v>
      </c>
      <c r="K841" t="s">
        <v>6063</v>
      </c>
      <c r="L841" t="s">
        <v>6443</v>
      </c>
      <c r="M841">
        <v>1320.56</v>
      </c>
      <c r="N841">
        <v>3</v>
      </c>
      <c r="O841">
        <v>0.18</v>
      </c>
      <c r="P841">
        <v>61.67</v>
      </c>
      <c r="Q841" t="s">
        <v>9895</v>
      </c>
      <c r="R841">
        <v>2</v>
      </c>
      <c r="S841" s="5">
        <f t="shared" si="26"/>
        <v>4.6699884897316295E-2</v>
      </c>
      <c r="T841">
        <v>440.18666666666672</v>
      </c>
      <c r="U841">
        <v>11</v>
      </c>
      <c r="V841">
        <v>2022</v>
      </c>
      <c r="W841">
        <v>4</v>
      </c>
      <c r="X841" t="s">
        <v>9899</v>
      </c>
      <c r="Y841" t="s">
        <v>9900</v>
      </c>
      <c r="Z841" t="s">
        <v>9898</v>
      </c>
      <c r="AD841">
        <f t="shared" si="27"/>
        <v>2</v>
      </c>
    </row>
    <row r="842" spans="1:30" x14ac:dyDescent="0.25">
      <c r="A842" t="s">
        <v>866</v>
      </c>
      <c r="B842" s="2">
        <v>45264</v>
      </c>
      <c r="C842" s="2">
        <v>45266</v>
      </c>
      <c r="D842" t="s">
        <v>5228</v>
      </c>
      <c r="E842" t="s">
        <v>5728</v>
      </c>
      <c r="F842" t="s">
        <v>6026</v>
      </c>
      <c r="G842" t="s">
        <v>6031</v>
      </c>
      <c r="H842" t="s">
        <v>6034</v>
      </c>
      <c r="I842" t="s">
        <v>6048</v>
      </c>
      <c r="J842" t="s">
        <v>6055</v>
      </c>
      <c r="K842" t="s">
        <v>6064</v>
      </c>
      <c r="L842" t="s">
        <v>6866</v>
      </c>
      <c r="M842">
        <v>1897.02</v>
      </c>
      <c r="N842">
        <v>5</v>
      </c>
      <c r="O842">
        <v>0.19</v>
      </c>
      <c r="P842">
        <v>-122.17</v>
      </c>
      <c r="Q842" t="s">
        <v>9893</v>
      </c>
      <c r="R842">
        <v>2</v>
      </c>
      <c r="S842" s="5">
        <f t="shared" si="26"/>
        <v>-6.4401007896595711E-2</v>
      </c>
      <c r="T842">
        <v>379.404</v>
      </c>
      <c r="U842">
        <v>12</v>
      </c>
      <c r="V842">
        <v>2023</v>
      </c>
      <c r="W842">
        <v>4</v>
      </c>
      <c r="X842" t="s">
        <v>9898</v>
      </c>
      <c r="Y842" t="s">
        <v>9900</v>
      </c>
      <c r="Z842" t="s">
        <v>9898</v>
      </c>
      <c r="AD842">
        <f t="shared" si="27"/>
        <v>2</v>
      </c>
    </row>
    <row r="843" spans="1:30" x14ac:dyDescent="0.25">
      <c r="A843" t="s">
        <v>867</v>
      </c>
      <c r="B843" s="2">
        <v>44933</v>
      </c>
      <c r="C843" s="2">
        <v>44940</v>
      </c>
      <c r="D843" t="s">
        <v>5064</v>
      </c>
      <c r="E843" t="s">
        <v>5564</v>
      </c>
      <c r="F843" t="s">
        <v>6028</v>
      </c>
      <c r="G843" t="s">
        <v>6030</v>
      </c>
      <c r="H843" t="s">
        <v>6033</v>
      </c>
      <c r="I843" t="s">
        <v>6047</v>
      </c>
      <c r="J843" t="s">
        <v>6055</v>
      </c>
      <c r="K843" t="s">
        <v>6064</v>
      </c>
      <c r="L843" t="s">
        <v>6867</v>
      </c>
      <c r="M843">
        <v>845.53</v>
      </c>
      <c r="N843">
        <v>2</v>
      </c>
      <c r="O843">
        <v>0.12</v>
      </c>
      <c r="P843">
        <v>136.58000000000001</v>
      </c>
      <c r="Q843" t="s">
        <v>9894</v>
      </c>
      <c r="R843">
        <v>7</v>
      </c>
      <c r="S843" s="5">
        <f t="shared" si="26"/>
        <v>0.16153182027840529</v>
      </c>
      <c r="T843">
        <v>422.76499999999999</v>
      </c>
      <c r="U843">
        <v>1</v>
      </c>
      <c r="V843">
        <v>2023</v>
      </c>
      <c r="W843">
        <v>1</v>
      </c>
      <c r="X843" t="s">
        <v>9899</v>
      </c>
      <c r="Y843" t="s">
        <v>9901</v>
      </c>
      <c r="Z843" t="s">
        <v>9899</v>
      </c>
      <c r="AD843">
        <f t="shared" si="27"/>
        <v>7</v>
      </c>
    </row>
    <row r="844" spans="1:30" x14ac:dyDescent="0.25">
      <c r="A844" t="s">
        <v>868</v>
      </c>
      <c r="B844" s="2">
        <v>44603</v>
      </c>
      <c r="C844" s="2">
        <v>44604</v>
      </c>
      <c r="D844" t="s">
        <v>5062</v>
      </c>
      <c r="E844" t="s">
        <v>5562</v>
      </c>
      <c r="F844" t="s">
        <v>6026</v>
      </c>
      <c r="G844" t="s">
        <v>6030</v>
      </c>
      <c r="H844" t="s">
        <v>6033</v>
      </c>
      <c r="I844" t="s">
        <v>6047</v>
      </c>
      <c r="J844" t="s">
        <v>6054</v>
      </c>
      <c r="K844" t="s">
        <v>6060</v>
      </c>
      <c r="L844" t="s">
        <v>6868</v>
      </c>
      <c r="M844">
        <v>1702.16</v>
      </c>
      <c r="N844">
        <v>8</v>
      </c>
      <c r="O844">
        <v>0.28999999999999998</v>
      </c>
      <c r="P844">
        <v>-281.23</v>
      </c>
      <c r="Q844" t="s">
        <v>9896</v>
      </c>
      <c r="R844">
        <v>1</v>
      </c>
      <c r="S844" s="5">
        <f t="shared" si="26"/>
        <v>-0.16521948582976922</v>
      </c>
      <c r="T844">
        <v>212.77</v>
      </c>
      <c r="U844">
        <v>2</v>
      </c>
      <c r="V844">
        <v>2022</v>
      </c>
      <c r="W844">
        <v>1</v>
      </c>
      <c r="X844" t="s">
        <v>9898</v>
      </c>
      <c r="Y844" t="s">
        <v>9900</v>
      </c>
      <c r="Z844" t="s">
        <v>9898</v>
      </c>
      <c r="AD844">
        <f t="shared" si="27"/>
        <v>1</v>
      </c>
    </row>
    <row r="845" spans="1:30" x14ac:dyDescent="0.25">
      <c r="A845" t="s">
        <v>869</v>
      </c>
      <c r="B845" s="2">
        <v>44965</v>
      </c>
      <c r="C845" s="2">
        <v>44968</v>
      </c>
      <c r="D845" t="s">
        <v>5193</v>
      </c>
      <c r="E845" t="s">
        <v>5693</v>
      </c>
      <c r="F845" t="s">
        <v>6027</v>
      </c>
      <c r="G845" t="s">
        <v>6030</v>
      </c>
      <c r="H845" t="s">
        <v>6039</v>
      </c>
      <c r="I845" t="s">
        <v>6047</v>
      </c>
      <c r="J845" t="s">
        <v>6054</v>
      </c>
      <c r="K845" t="s">
        <v>6062</v>
      </c>
      <c r="L845" t="s">
        <v>6869</v>
      </c>
      <c r="M845">
        <v>1358.72</v>
      </c>
      <c r="N845">
        <v>7</v>
      </c>
      <c r="O845">
        <v>0.33</v>
      </c>
      <c r="P845">
        <v>-266.88</v>
      </c>
      <c r="Q845" t="s">
        <v>9895</v>
      </c>
      <c r="R845">
        <v>3</v>
      </c>
      <c r="S845" s="5">
        <f t="shared" si="26"/>
        <v>-0.19642016015073011</v>
      </c>
      <c r="T845">
        <v>194.10285714285709</v>
      </c>
      <c r="U845">
        <v>2</v>
      </c>
      <c r="V845">
        <v>2023</v>
      </c>
      <c r="W845">
        <v>1</v>
      </c>
      <c r="X845" t="s">
        <v>9898</v>
      </c>
      <c r="Y845" t="s">
        <v>9902</v>
      </c>
      <c r="Z845" t="s">
        <v>9898</v>
      </c>
      <c r="AD845">
        <f t="shared" si="27"/>
        <v>3</v>
      </c>
    </row>
    <row r="846" spans="1:30" x14ac:dyDescent="0.25">
      <c r="A846" t="s">
        <v>870</v>
      </c>
      <c r="B846" s="2">
        <v>45356</v>
      </c>
      <c r="C846" s="2">
        <v>45359</v>
      </c>
      <c r="D846" t="s">
        <v>5239</v>
      </c>
      <c r="E846" t="s">
        <v>5739</v>
      </c>
      <c r="F846" t="s">
        <v>6028</v>
      </c>
      <c r="G846" t="s">
        <v>6029</v>
      </c>
      <c r="H846" t="s">
        <v>6041</v>
      </c>
      <c r="I846" t="s">
        <v>6050</v>
      </c>
      <c r="J846" t="s">
        <v>6053</v>
      </c>
      <c r="K846" t="s">
        <v>6058</v>
      </c>
      <c r="L846" t="s">
        <v>6870</v>
      </c>
      <c r="M846">
        <v>1020.25</v>
      </c>
      <c r="N846">
        <v>4</v>
      </c>
      <c r="O846">
        <v>0.1</v>
      </c>
      <c r="P846">
        <v>94.61</v>
      </c>
      <c r="Q846" t="s">
        <v>9895</v>
      </c>
      <c r="R846">
        <v>3</v>
      </c>
      <c r="S846" s="5">
        <f t="shared" si="26"/>
        <v>9.2732173486890473E-2</v>
      </c>
      <c r="T846">
        <v>255.0625</v>
      </c>
      <c r="U846">
        <v>3</v>
      </c>
      <c r="V846">
        <v>2024</v>
      </c>
      <c r="W846">
        <v>1</v>
      </c>
      <c r="X846" t="s">
        <v>9899</v>
      </c>
      <c r="Y846" t="s">
        <v>9901</v>
      </c>
      <c r="Z846" t="s">
        <v>9898</v>
      </c>
      <c r="AD846">
        <f t="shared" si="27"/>
        <v>3</v>
      </c>
    </row>
    <row r="847" spans="1:30" x14ac:dyDescent="0.25">
      <c r="A847" t="s">
        <v>871</v>
      </c>
      <c r="B847" s="2">
        <v>45074</v>
      </c>
      <c r="C847" s="2">
        <v>45080</v>
      </c>
      <c r="D847" t="s">
        <v>5151</v>
      </c>
      <c r="E847" t="s">
        <v>5651</v>
      </c>
      <c r="F847" t="s">
        <v>6026</v>
      </c>
      <c r="G847" t="s">
        <v>6031</v>
      </c>
      <c r="H847" t="s">
        <v>6042</v>
      </c>
      <c r="I847" t="s">
        <v>6048</v>
      </c>
      <c r="J847" t="s">
        <v>6055</v>
      </c>
      <c r="K847" t="s">
        <v>6064</v>
      </c>
      <c r="L847" t="s">
        <v>6871</v>
      </c>
      <c r="M847">
        <v>537.91999999999996</v>
      </c>
      <c r="N847">
        <v>4</v>
      </c>
      <c r="O847">
        <v>0.2</v>
      </c>
      <c r="P847">
        <v>25.24</v>
      </c>
      <c r="Q847" t="s">
        <v>9895</v>
      </c>
      <c r="R847">
        <v>6</v>
      </c>
      <c r="S847" s="5">
        <f t="shared" si="26"/>
        <v>4.6921475312314102E-2</v>
      </c>
      <c r="T847">
        <v>134.47999999999999</v>
      </c>
      <c r="U847">
        <v>5</v>
      </c>
      <c r="V847">
        <v>2023</v>
      </c>
      <c r="W847">
        <v>2</v>
      </c>
      <c r="X847" t="s">
        <v>9899</v>
      </c>
      <c r="Y847" t="s">
        <v>9900</v>
      </c>
      <c r="Z847" t="s">
        <v>9899</v>
      </c>
      <c r="AD847">
        <f t="shared" si="27"/>
        <v>6</v>
      </c>
    </row>
    <row r="848" spans="1:30" x14ac:dyDescent="0.25">
      <c r="A848" t="s">
        <v>872</v>
      </c>
      <c r="B848" s="2">
        <v>44874</v>
      </c>
      <c r="C848" s="2">
        <v>44879</v>
      </c>
      <c r="D848" t="s">
        <v>5434</v>
      </c>
      <c r="E848" t="s">
        <v>5934</v>
      </c>
      <c r="F848" t="s">
        <v>6028</v>
      </c>
      <c r="G848" t="s">
        <v>6029</v>
      </c>
      <c r="H848" t="s">
        <v>6041</v>
      </c>
      <c r="I848" t="s">
        <v>6049</v>
      </c>
      <c r="J848" t="s">
        <v>6055</v>
      </c>
      <c r="K848" t="s">
        <v>6064</v>
      </c>
      <c r="L848" t="s">
        <v>6872</v>
      </c>
      <c r="M848">
        <v>729.49</v>
      </c>
      <c r="N848">
        <v>1</v>
      </c>
      <c r="O848">
        <v>0.34</v>
      </c>
      <c r="P848">
        <v>-143.56</v>
      </c>
      <c r="Q848" t="s">
        <v>9893</v>
      </c>
      <c r="R848">
        <v>5</v>
      </c>
      <c r="S848" s="5">
        <f t="shared" si="26"/>
        <v>-0.19679502117917996</v>
      </c>
      <c r="T848">
        <v>729.49</v>
      </c>
      <c r="U848">
        <v>11</v>
      </c>
      <c r="V848">
        <v>2022</v>
      </c>
      <c r="W848">
        <v>4</v>
      </c>
      <c r="X848" t="s">
        <v>9898</v>
      </c>
      <c r="Y848" t="s">
        <v>9902</v>
      </c>
      <c r="Z848" t="s">
        <v>9899</v>
      </c>
      <c r="AD848">
        <f t="shared" si="27"/>
        <v>5</v>
      </c>
    </row>
    <row r="849" spans="1:30" x14ac:dyDescent="0.25">
      <c r="A849" t="s">
        <v>873</v>
      </c>
      <c r="B849" s="2">
        <v>44683</v>
      </c>
      <c r="C849" s="2">
        <v>44688</v>
      </c>
      <c r="D849" t="s">
        <v>5083</v>
      </c>
      <c r="E849" t="s">
        <v>5583</v>
      </c>
      <c r="F849" t="s">
        <v>6028</v>
      </c>
      <c r="G849" t="s">
        <v>6029</v>
      </c>
      <c r="H849" t="s">
        <v>6045</v>
      </c>
      <c r="I849" t="s">
        <v>6046</v>
      </c>
      <c r="J849" t="s">
        <v>6053</v>
      </c>
      <c r="K849" t="s">
        <v>6057</v>
      </c>
      <c r="L849" t="s">
        <v>6873</v>
      </c>
      <c r="M849">
        <v>586.67999999999995</v>
      </c>
      <c r="N849">
        <v>8</v>
      </c>
      <c r="O849">
        <v>0.01</v>
      </c>
      <c r="P849">
        <v>138.96</v>
      </c>
      <c r="Q849" t="s">
        <v>9897</v>
      </c>
      <c r="R849">
        <v>5</v>
      </c>
      <c r="S849" s="5">
        <f t="shared" si="26"/>
        <v>0.23685825322151774</v>
      </c>
      <c r="T849">
        <v>73.334999999999994</v>
      </c>
      <c r="U849">
        <v>5</v>
      </c>
      <c r="V849">
        <v>2022</v>
      </c>
      <c r="W849">
        <v>2</v>
      </c>
      <c r="X849" t="s">
        <v>9899</v>
      </c>
      <c r="Y849" t="s">
        <v>9901</v>
      </c>
      <c r="Z849" t="s">
        <v>9899</v>
      </c>
      <c r="AD849">
        <f t="shared" si="27"/>
        <v>5</v>
      </c>
    </row>
    <row r="850" spans="1:30" x14ac:dyDescent="0.25">
      <c r="A850" t="s">
        <v>874</v>
      </c>
      <c r="B850" s="2">
        <v>44894</v>
      </c>
      <c r="C850" s="2">
        <v>44900</v>
      </c>
      <c r="D850" t="s">
        <v>5185</v>
      </c>
      <c r="E850" t="s">
        <v>5685</v>
      </c>
      <c r="F850" t="s">
        <v>6028</v>
      </c>
      <c r="G850" t="s">
        <v>6029</v>
      </c>
      <c r="H850" t="s">
        <v>6044</v>
      </c>
      <c r="I850" t="s">
        <v>6050</v>
      </c>
      <c r="J850" t="s">
        <v>6055</v>
      </c>
      <c r="K850" t="s">
        <v>6064</v>
      </c>
      <c r="L850" t="s">
        <v>6874</v>
      </c>
      <c r="M850">
        <v>565.79999999999995</v>
      </c>
      <c r="N850">
        <v>2</v>
      </c>
      <c r="O850">
        <v>0.19</v>
      </c>
      <c r="P850">
        <v>33.58</v>
      </c>
      <c r="Q850" t="s">
        <v>9893</v>
      </c>
      <c r="R850">
        <v>6</v>
      </c>
      <c r="S850" s="5">
        <f t="shared" si="26"/>
        <v>5.9349593495934959E-2</v>
      </c>
      <c r="T850">
        <v>282.89999999999998</v>
      </c>
      <c r="U850">
        <v>11</v>
      </c>
      <c r="V850">
        <v>2022</v>
      </c>
      <c r="W850">
        <v>4</v>
      </c>
      <c r="X850" t="s">
        <v>9899</v>
      </c>
      <c r="Y850" t="s">
        <v>9900</v>
      </c>
      <c r="Z850" t="s">
        <v>9899</v>
      </c>
      <c r="AD850">
        <f t="shared" si="27"/>
        <v>6</v>
      </c>
    </row>
    <row r="851" spans="1:30" x14ac:dyDescent="0.25">
      <c r="A851" t="s">
        <v>875</v>
      </c>
      <c r="B851" s="2">
        <v>44686</v>
      </c>
      <c r="C851" s="2">
        <v>44690</v>
      </c>
      <c r="D851" t="s">
        <v>5072</v>
      </c>
      <c r="E851" t="s">
        <v>5572</v>
      </c>
      <c r="F851" t="s">
        <v>6028</v>
      </c>
      <c r="G851" t="s">
        <v>6031</v>
      </c>
      <c r="H851" t="s">
        <v>6043</v>
      </c>
      <c r="I851" t="s">
        <v>6048</v>
      </c>
      <c r="J851" t="s">
        <v>6055</v>
      </c>
      <c r="K851" t="s">
        <v>6063</v>
      </c>
      <c r="L851" t="s">
        <v>6875</v>
      </c>
      <c r="M851">
        <v>1896.9</v>
      </c>
      <c r="N851">
        <v>8</v>
      </c>
      <c r="O851">
        <v>0.06</v>
      </c>
      <c r="P851">
        <v>256.73</v>
      </c>
      <c r="Q851" t="s">
        <v>9894</v>
      </c>
      <c r="R851">
        <v>4</v>
      </c>
      <c r="S851" s="5">
        <f t="shared" si="26"/>
        <v>0.13534187358321473</v>
      </c>
      <c r="T851">
        <v>237.11250000000001</v>
      </c>
      <c r="U851">
        <v>5</v>
      </c>
      <c r="V851">
        <v>2022</v>
      </c>
      <c r="W851">
        <v>2</v>
      </c>
      <c r="X851" t="s">
        <v>9899</v>
      </c>
      <c r="Y851" t="s">
        <v>9901</v>
      </c>
      <c r="Z851" t="s">
        <v>9898</v>
      </c>
      <c r="AD851">
        <f t="shared" si="27"/>
        <v>4</v>
      </c>
    </row>
    <row r="852" spans="1:30" x14ac:dyDescent="0.25">
      <c r="A852" t="s">
        <v>876</v>
      </c>
      <c r="B852" s="2">
        <v>45368</v>
      </c>
      <c r="C852" s="2">
        <v>45374</v>
      </c>
      <c r="D852" t="s">
        <v>5177</v>
      </c>
      <c r="E852" t="s">
        <v>5677</v>
      </c>
      <c r="F852" t="s">
        <v>6026</v>
      </c>
      <c r="G852" t="s">
        <v>6031</v>
      </c>
      <c r="H852" t="s">
        <v>6043</v>
      </c>
      <c r="I852" t="s">
        <v>6050</v>
      </c>
      <c r="J852" t="s">
        <v>6055</v>
      </c>
      <c r="K852" t="s">
        <v>6063</v>
      </c>
      <c r="L852" t="s">
        <v>6876</v>
      </c>
      <c r="M852">
        <v>1971.07</v>
      </c>
      <c r="N852">
        <v>3</v>
      </c>
      <c r="O852">
        <v>0.01</v>
      </c>
      <c r="P852">
        <v>274.22000000000003</v>
      </c>
      <c r="Q852" t="s">
        <v>9896</v>
      </c>
      <c r="R852">
        <v>6</v>
      </c>
      <c r="S852" s="5">
        <f t="shared" si="26"/>
        <v>0.13912240559696004</v>
      </c>
      <c r="T852">
        <v>657.02333333333331</v>
      </c>
      <c r="U852">
        <v>3</v>
      </c>
      <c r="V852">
        <v>2024</v>
      </c>
      <c r="W852">
        <v>1</v>
      </c>
      <c r="X852" t="s">
        <v>9899</v>
      </c>
      <c r="Y852" t="s">
        <v>9901</v>
      </c>
      <c r="Z852" t="s">
        <v>9898</v>
      </c>
      <c r="AD852">
        <f t="shared" si="27"/>
        <v>6</v>
      </c>
    </row>
    <row r="853" spans="1:30" x14ac:dyDescent="0.25">
      <c r="A853" t="s">
        <v>877</v>
      </c>
      <c r="B853" s="2">
        <v>45223</v>
      </c>
      <c r="C853" s="2">
        <v>45228</v>
      </c>
      <c r="D853" t="s">
        <v>5080</v>
      </c>
      <c r="E853" t="s">
        <v>5580</v>
      </c>
      <c r="F853" t="s">
        <v>6026</v>
      </c>
      <c r="G853" t="s">
        <v>6029</v>
      </c>
      <c r="H853" t="s">
        <v>6045</v>
      </c>
      <c r="I853" t="s">
        <v>6049</v>
      </c>
      <c r="J853" t="s">
        <v>6055</v>
      </c>
      <c r="K853" t="s">
        <v>6064</v>
      </c>
      <c r="L853" t="s">
        <v>6877</v>
      </c>
      <c r="M853">
        <v>632.41999999999996</v>
      </c>
      <c r="N853">
        <v>1</v>
      </c>
      <c r="O853">
        <v>0.19</v>
      </c>
      <c r="P853">
        <v>-56.44</v>
      </c>
      <c r="Q853" t="s">
        <v>9896</v>
      </c>
      <c r="R853">
        <v>5</v>
      </c>
      <c r="S853" s="5">
        <f t="shared" si="26"/>
        <v>-8.9244489421586928E-2</v>
      </c>
      <c r="T853">
        <v>632.41999999999996</v>
      </c>
      <c r="U853">
        <v>10</v>
      </c>
      <c r="V853">
        <v>2023</v>
      </c>
      <c r="W853">
        <v>4</v>
      </c>
      <c r="X853" t="s">
        <v>9898</v>
      </c>
      <c r="Y853" t="s">
        <v>9900</v>
      </c>
      <c r="Z853" t="s">
        <v>9899</v>
      </c>
      <c r="AD853">
        <f t="shared" si="27"/>
        <v>5</v>
      </c>
    </row>
    <row r="854" spans="1:30" x14ac:dyDescent="0.25">
      <c r="A854" t="s">
        <v>878</v>
      </c>
      <c r="B854" s="2">
        <v>45200</v>
      </c>
      <c r="C854" s="2">
        <v>45201</v>
      </c>
      <c r="D854" t="s">
        <v>5272</v>
      </c>
      <c r="E854" t="s">
        <v>5772</v>
      </c>
      <c r="F854" t="s">
        <v>6027</v>
      </c>
      <c r="G854" t="s">
        <v>6031</v>
      </c>
      <c r="H854" t="s">
        <v>6040</v>
      </c>
      <c r="I854" t="s">
        <v>6048</v>
      </c>
      <c r="J854" t="s">
        <v>6054</v>
      </c>
      <c r="K854" t="s">
        <v>6062</v>
      </c>
      <c r="L854" t="s">
        <v>6878</v>
      </c>
      <c r="M854">
        <v>749.49</v>
      </c>
      <c r="N854">
        <v>5</v>
      </c>
      <c r="O854">
        <v>0.13</v>
      </c>
      <c r="P854">
        <v>36.25</v>
      </c>
      <c r="Q854" t="s">
        <v>9896</v>
      </c>
      <c r="R854">
        <v>1</v>
      </c>
      <c r="S854" s="5">
        <f t="shared" si="26"/>
        <v>4.8366222364541224E-2</v>
      </c>
      <c r="T854">
        <v>149.898</v>
      </c>
      <c r="U854">
        <v>10</v>
      </c>
      <c r="V854">
        <v>2023</v>
      </c>
      <c r="W854">
        <v>4</v>
      </c>
      <c r="X854" t="s">
        <v>9899</v>
      </c>
      <c r="Y854" t="s">
        <v>9901</v>
      </c>
      <c r="Z854" t="s">
        <v>9899</v>
      </c>
      <c r="AD854">
        <f t="shared" si="27"/>
        <v>1</v>
      </c>
    </row>
    <row r="855" spans="1:30" x14ac:dyDescent="0.25">
      <c r="A855" t="s">
        <v>879</v>
      </c>
      <c r="B855" s="2">
        <v>45161</v>
      </c>
      <c r="C855" s="2">
        <v>45167</v>
      </c>
      <c r="D855" t="s">
        <v>5048</v>
      </c>
      <c r="E855" t="s">
        <v>5548</v>
      </c>
      <c r="F855" t="s">
        <v>6028</v>
      </c>
      <c r="G855" t="s">
        <v>6030</v>
      </c>
      <c r="H855" t="s">
        <v>6033</v>
      </c>
      <c r="I855" t="s">
        <v>6051</v>
      </c>
      <c r="J855" t="s">
        <v>6054</v>
      </c>
      <c r="K855" t="s">
        <v>6062</v>
      </c>
      <c r="L855" t="s">
        <v>6879</v>
      </c>
      <c r="M855">
        <v>1080.0999999999999</v>
      </c>
      <c r="N855">
        <v>1</v>
      </c>
      <c r="O855">
        <v>0.06</v>
      </c>
      <c r="P855">
        <v>43.54</v>
      </c>
      <c r="Q855" t="s">
        <v>9897</v>
      </c>
      <c r="R855">
        <v>6</v>
      </c>
      <c r="S855" s="5">
        <f t="shared" si="26"/>
        <v>4.0311082307193782E-2</v>
      </c>
      <c r="T855">
        <v>1080.0999999999999</v>
      </c>
      <c r="U855">
        <v>8</v>
      </c>
      <c r="V855">
        <v>2023</v>
      </c>
      <c r="W855">
        <v>3</v>
      </c>
      <c r="X855" t="s">
        <v>9899</v>
      </c>
      <c r="Y855" t="s">
        <v>9901</v>
      </c>
      <c r="Z855" t="s">
        <v>9898</v>
      </c>
      <c r="AD855">
        <f t="shared" si="27"/>
        <v>6</v>
      </c>
    </row>
    <row r="856" spans="1:30" x14ac:dyDescent="0.25">
      <c r="A856" t="s">
        <v>880</v>
      </c>
      <c r="B856" s="2">
        <v>44600</v>
      </c>
      <c r="C856" s="2">
        <v>44602</v>
      </c>
      <c r="D856" t="s">
        <v>5285</v>
      </c>
      <c r="E856" t="s">
        <v>5785</v>
      </c>
      <c r="F856" t="s">
        <v>6027</v>
      </c>
      <c r="G856" t="s">
        <v>6029</v>
      </c>
      <c r="H856" t="s">
        <v>6045</v>
      </c>
      <c r="I856" t="s">
        <v>6049</v>
      </c>
      <c r="J856" t="s">
        <v>6055</v>
      </c>
      <c r="K856" t="s">
        <v>6063</v>
      </c>
      <c r="L856" t="s">
        <v>6880</v>
      </c>
      <c r="M856">
        <v>100.42</v>
      </c>
      <c r="N856">
        <v>6</v>
      </c>
      <c r="O856">
        <v>0.35</v>
      </c>
      <c r="P856">
        <v>-6.21</v>
      </c>
      <c r="Q856" t="s">
        <v>9893</v>
      </c>
      <c r="R856">
        <v>2</v>
      </c>
      <c r="S856" s="5">
        <f t="shared" si="26"/>
        <v>-6.1840270862378012E-2</v>
      </c>
      <c r="T856">
        <v>16.736666666666672</v>
      </c>
      <c r="U856">
        <v>2</v>
      </c>
      <c r="V856">
        <v>2022</v>
      </c>
      <c r="W856">
        <v>1</v>
      </c>
      <c r="X856" t="s">
        <v>9898</v>
      </c>
      <c r="Y856" t="s">
        <v>9902</v>
      </c>
      <c r="Z856" t="s">
        <v>9899</v>
      </c>
      <c r="AD856">
        <f t="shared" si="27"/>
        <v>2</v>
      </c>
    </row>
    <row r="857" spans="1:30" x14ac:dyDescent="0.25">
      <c r="A857" t="s">
        <v>881</v>
      </c>
      <c r="B857" s="2">
        <v>45248</v>
      </c>
      <c r="C857" s="2">
        <v>45251</v>
      </c>
      <c r="D857" t="s">
        <v>5064</v>
      </c>
      <c r="E857" t="s">
        <v>5564</v>
      </c>
      <c r="F857" t="s">
        <v>6026</v>
      </c>
      <c r="G857" t="s">
        <v>6030</v>
      </c>
      <c r="H857" t="s">
        <v>6035</v>
      </c>
      <c r="I857" t="s">
        <v>6047</v>
      </c>
      <c r="J857" t="s">
        <v>6053</v>
      </c>
      <c r="K857" t="s">
        <v>6058</v>
      </c>
      <c r="L857" t="s">
        <v>6881</v>
      </c>
      <c r="M857">
        <v>686.12</v>
      </c>
      <c r="N857">
        <v>8</v>
      </c>
      <c r="O857">
        <v>0.26</v>
      </c>
      <c r="P857">
        <v>6.41</v>
      </c>
      <c r="Q857" t="s">
        <v>9893</v>
      </c>
      <c r="R857">
        <v>3</v>
      </c>
      <c r="S857" s="5">
        <f t="shared" si="26"/>
        <v>9.3423890864571795E-3</v>
      </c>
      <c r="T857">
        <v>85.765000000000001</v>
      </c>
      <c r="U857">
        <v>11</v>
      </c>
      <c r="V857">
        <v>2023</v>
      </c>
      <c r="W857">
        <v>4</v>
      </c>
      <c r="X857" t="s">
        <v>9899</v>
      </c>
      <c r="Y857" t="s">
        <v>9900</v>
      </c>
      <c r="Z857" t="s">
        <v>9899</v>
      </c>
      <c r="AD857">
        <f t="shared" si="27"/>
        <v>3</v>
      </c>
    </row>
    <row r="858" spans="1:30" x14ac:dyDescent="0.25">
      <c r="A858" t="s">
        <v>882</v>
      </c>
      <c r="B858" s="2">
        <v>44652</v>
      </c>
      <c r="C858" s="2">
        <v>44657</v>
      </c>
      <c r="D858" t="s">
        <v>5435</v>
      </c>
      <c r="E858" t="s">
        <v>5935</v>
      </c>
      <c r="F858" t="s">
        <v>6028</v>
      </c>
      <c r="G858" t="s">
        <v>6029</v>
      </c>
      <c r="H858" t="s">
        <v>6045</v>
      </c>
      <c r="I858" t="s">
        <v>6046</v>
      </c>
      <c r="J858" t="s">
        <v>6053</v>
      </c>
      <c r="K858" t="s">
        <v>6058</v>
      </c>
      <c r="L858" t="s">
        <v>6882</v>
      </c>
      <c r="M858">
        <v>898.02</v>
      </c>
      <c r="N858">
        <v>2</v>
      </c>
      <c r="O858">
        <v>0.2</v>
      </c>
      <c r="P858">
        <v>86.76</v>
      </c>
      <c r="Q858" t="s">
        <v>9896</v>
      </c>
      <c r="R858">
        <v>5</v>
      </c>
      <c r="S858" s="5">
        <f t="shared" si="26"/>
        <v>9.6612547604730412E-2</v>
      </c>
      <c r="T858">
        <v>449.01</v>
      </c>
      <c r="U858">
        <v>4</v>
      </c>
      <c r="V858">
        <v>2022</v>
      </c>
      <c r="W858">
        <v>2</v>
      </c>
      <c r="X858" t="s">
        <v>9899</v>
      </c>
      <c r="Y858" t="s">
        <v>9900</v>
      </c>
      <c r="Z858" t="s">
        <v>9899</v>
      </c>
      <c r="AD858">
        <f t="shared" si="27"/>
        <v>5</v>
      </c>
    </row>
    <row r="859" spans="1:30" x14ac:dyDescent="0.25">
      <c r="A859" t="s">
        <v>883</v>
      </c>
      <c r="B859" s="2">
        <v>45272</v>
      </c>
      <c r="C859" s="2">
        <v>45277</v>
      </c>
      <c r="D859" t="s">
        <v>5233</v>
      </c>
      <c r="E859" t="s">
        <v>5733</v>
      </c>
      <c r="F859" t="s">
        <v>6027</v>
      </c>
      <c r="G859" t="s">
        <v>6029</v>
      </c>
      <c r="H859" t="s">
        <v>6036</v>
      </c>
      <c r="I859" t="s">
        <v>6049</v>
      </c>
      <c r="J859" t="s">
        <v>6054</v>
      </c>
      <c r="K859" t="s">
        <v>6059</v>
      </c>
      <c r="L859" t="s">
        <v>6883</v>
      </c>
      <c r="M859">
        <v>1455.01</v>
      </c>
      <c r="N859">
        <v>6</v>
      </c>
      <c r="O859">
        <v>0.13</v>
      </c>
      <c r="P859">
        <v>133.47</v>
      </c>
      <c r="Q859" t="s">
        <v>9893</v>
      </c>
      <c r="R859">
        <v>5</v>
      </c>
      <c r="S859" s="5">
        <f t="shared" si="26"/>
        <v>9.173132830702195E-2</v>
      </c>
      <c r="T859">
        <v>242.50166666666669</v>
      </c>
      <c r="U859">
        <v>12</v>
      </c>
      <c r="V859">
        <v>2023</v>
      </c>
      <c r="W859">
        <v>4</v>
      </c>
      <c r="X859" t="s">
        <v>9899</v>
      </c>
      <c r="Y859" t="s">
        <v>9901</v>
      </c>
      <c r="Z859" t="s">
        <v>9898</v>
      </c>
      <c r="AD859">
        <f t="shared" si="27"/>
        <v>5</v>
      </c>
    </row>
    <row r="860" spans="1:30" x14ac:dyDescent="0.25">
      <c r="A860" t="s">
        <v>884</v>
      </c>
      <c r="B860" s="2">
        <v>44759</v>
      </c>
      <c r="C860" s="2">
        <v>44762</v>
      </c>
      <c r="D860" t="s">
        <v>5436</v>
      </c>
      <c r="E860" t="s">
        <v>5936</v>
      </c>
      <c r="F860" t="s">
        <v>6026</v>
      </c>
      <c r="G860" t="s">
        <v>6031</v>
      </c>
      <c r="H860" t="s">
        <v>6034</v>
      </c>
      <c r="I860" t="s">
        <v>6050</v>
      </c>
      <c r="J860" t="s">
        <v>6053</v>
      </c>
      <c r="K860" t="s">
        <v>6056</v>
      </c>
      <c r="L860" t="s">
        <v>6884</v>
      </c>
      <c r="M860">
        <v>1976.12</v>
      </c>
      <c r="N860">
        <v>7</v>
      </c>
      <c r="O860">
        <v>0.26</v>
      </c>
      <c r="P860">
        <v>-199.44</v>
      </c>
      <c r="Q860" t="s">
        <v>9897</v>
      </c>
      <c r="R860">
        <v>3</v>
      </c>
      <c r="S860" s="5">
        <f t="shared" si="26"/>
        <v>-0.10092504503775075</v>
      </c>
      <c r="T860">
        <v>282.30285714285708</v>
      </c>
      <c r="U860">
        <v>7</v>
      </c>
      <c r="V860">
        <v>2022</v>
      </c>
      <c r="W860">
        <v>3</v>
      </c>
      <c r="X860" t="s">
        <v>9898</v>
      </c>
      <c r="Y860" t="s">
        <v>9900</v>
      </c>
      <c r="Z860" t="s">
        <v>9898</v>
      </c>
      <c r="AD860">
        <f t="shared" si="27"/>
        <v>3</v>
      </c>
    </row>
    <row r="861" spans="1:30" x14ac:dyDescent="0.25">
      <c r="A861" t="s">
        <v>885</v>
      </c>
      <c r="B861" s="2">
        <v>45156</v>
      </c>
      <c r="C861" s="2">
        <v>45161</v>
      </c>
      <c r="D861" t="s">
        <v>5381</v>
      </c>
      <c r="E861" t="s">
        <v>5881</v>
      </c>
      <c r="F861" t="s">
        <v>6028</v>
      </c>
      <c r="G861" t="s">
        <v>6029</v>
      </c>
      <c r="H861" t="s">
        <v>6041</v>
      </c>
      <c r="I861" t="s">
        <v>6049</v>
      </c>
      <c r="J861" t="s">
        <v>6054</v>
      </c>
      <c r="K861" t="s">
        <v>6059</v>
      </c>
      <c r="L861" t="s">
        <v>6885</v>
      </c>
      <c r="M861">
        <v>887.14</v>
      </c>
      <c r="N861">
        <v>1</v>
      </c>
      <c r="O861">
        <v>0.28999999999999998</v>
      </c>
      <c r="P861">
        <v>-160.77000000000001</v>
      </c>
      <c r="Q861" t="s">
        <v>9893</v>
      </c>
      <c r="R861">
        <v>5</v>
      </c>
      <c r="S861" s="5">
        <f t="shared" si="26"/>
        <v>-0.18122280587055031</v>
      </c>
      <c r="T861">
        <v>887.14</v>
      </c>
      <c r="U861">
        <v>8</v>
      </c>
      <c r="V861">
        <v>2023</v>
      </c>
      <c r="W861">
        <v>3</v>
      </c>
      <c r="X861" t="s">
        <v>9898</v>
      </c>
      <c r="Y861" t="s">
        <v>9900</v>
      </c>
      <c r="Z861" t="s">
        <v>9899</v>
      </c>
      <c r="AD861">
        <f t="shared" si="27"/>
        <v>5</v>
      </c>
    </row>
    <row r="862" spans="1:30" x14ac:dyDescent="0.25">
      <c r="A862" t="s">
        <v>886</v>
      </c>
      <c r="B862" s="2">
        <v>45435</v>
      </c>
      <c r="C862" s="2">
        <v>45437</v>
      </c>
      <c r="D862" t="s">
        <v>5224</v>
      </c>
      <c r="E862" t="s">
        <v>5724</v>
      </c>
      <c r="F862" t="s">
        <v>6026</v>
      </c>
      <c r="G862" t="s">
        <v>6031</v>
      </c>
      <c r="H862" t="s">
        <v>6043</v>
      </c>
      <c r="I862" t="s">
        <v>6052</v>
      </c>
      <c r="J862" t="s">
        <v>6055</v>
      </c>
      <c r="K862" t="s">
        <v>6064</v>
      </c>
      <c r="L862" t="s">
        <v>6886</v>
      </c>
      <c r="M862">
        <v>1748.08</v>
      </c>
      <c r="N862">
        <v>6</v>
      </c>
      <c r="O862">
        <v>0.08</v>
      </c>
      <c r="P862">
        <v>182.57</v>
      </c>
      <c r="Q862" t="s">
        <v>9893</v>
      </c>
      <c r="R862">
        <v>2</v>
      </c>
      <c r="S862" s="5">
        <f t="shared" si="26"/>
        <v>0.10444030021509314</v>
      </c>
      <c r="T862">
        <v>291.34666666666658</v>
      </c>
      <c r="U862">
        <v>5</v>
      </c>
      <c r="V862">
        <v>2024</v>
      </c>
      <c r="W862">
        <v>2</v>
      </c>
      <c r="X862" t="s">
        <v>9899</v>
      </c>
      <c r="Y862" t="s">
        <v>9901</v>
      </c>
      <c r="Z862" t="s">
        <v>9898</v>
      </c>
      <c r="AD862">
        <f t="shared" si="27"/>
        <v>2</v>
      </c>
    </row>
    <row r="863" spans="1:30" x14ac:dyDescent="0.25">
      <c r="A863" t="s">
        <v>887</v>
      </c>
      <c r="B863" s="2">
        <v>45027</v>
      </c>
      <c r="C863" s="2">
        <v>45031</v>
      </c>
      <c r="D863" t="s">
        <v>5244</v>
      </c>
      <c r="E863" t="s">
        <v>5744</v>
      </c>
      <c r="F863" t="s">
        <v>6027</v>
      </c>
      <c r="G863" t="s">
        <v>6029</v>
      </c>
      <c r="H863" t="s">
        <v>6036</v>
      </c>
      <c r="I863" t="s">
        <v>6050</v>
      </c>
      <c r="J863" t="s">
        <v>6053</v>
      </c>
      <c r="K863" t="s">
        <v>6056</v>
      </c>
      <c r="L863" t="s">
        <v>6887</v>
      </c>
      <c r="M863">
        <v>1733.31</v>
      </c>
      <c r="N863">
        <v>5</v>
      </c>
      <c r="O863">
        <v>0.01</v>
      </c>
      <c r="P863">
        <v>234.83</v>
      </c>
      <c r="Q863" t="s">
        <v>9894</v>
      </c>
      <c r="R863">
        <v>4</v>
      </c>
      <c r="S863" s="5">
        <f t="shared" si="26"/>
        <v>0.13548066993209526</v>
      </c>
      <c r="T863">
        <v>346.66199999999998</v>
      </c>
      <c r="U863">
        <v>4</v>
      </c>
      <c r="V863">
        <v>2023</v>
      </c>
      <c r="W863">
        <v>2</v>
      </c>
      <c r="X863" t="s">
        <v>9899</v>
      </c>
      <c r="Y863" t="s">
        <v>9901</v>
      </c>
      <c r="Z863" t="s">
        <v>9898</v>
      </c>
      <c r="AD863">
        <f t="shared" si="27"/>
        <v>4</v>
      </c>
    </row>
    <row r="864" spans="1:30" x14ac:dyDescent="0.25">
      <c r="A864" t="s">
        <v>888</v>
      </c>
      <c r="B864" s="2">
        <v>45222</v>
      </c>
      <c r="C864" s="2">
        <v>45226</v>
      </c>
      <c r="D864" t="s">
        <v>5376</v>
      </c>
      <c r="E864" t="s">
        <v>5876</v>
      </c>
      <c r="F864" t="s">
        <v>6026</v>
      </c>
      <c r="G864" t="s">
        <v>6031</v>
      </c>
      <c r="H864" t="s">
        <v>6034</v>
      </c>
      <c r="I864" t="s">
        <v>6050</v>
      </c>
      <c r="J864" t="s">
        <v>6054</v>
      </c>
      <c r="K864" t="s">
        <v>6059</v>
      </c>
      <c r="L864" t="s">
        <v>6888</v>
      </c>
      <c r="M864">
        <v>481.83</v>
      </c>
      <c r="N864">
        <v>7</v>
      </c>
      <c r="O864">
        <v>0.14000000000000001</v>
      </c>
      <c r="P864">
        <v>31.25</v>
      </c>
      <c r="Q864" t="s">
        <v>9896</v>
      </c>
      <c r="R864">
        <v>4</v>
      </c>
      <c r="S864" s="5">
        <f t="shared" si="26"/>
        <v>6.4856899736421558E-2</v>
      </c>
      <c r="T864">
        <v>68.832857142857137</v>
      </c>
      <c r="U864">
        <v>10</v>
      </c>
      <c r="V864">
        <v>2023</v>
      </c>
      <c r="W864">
        <v>4</v>
      </c>
      <c r="X864" t="s">
        <v>9899</v>
      </c>
      <c r="Y864" t="s">
        <v>9901</v>
      </c>
      <c r="Z864" t="s">
        <v>9899</v>
      </c>
      <c r="AD864">
        <f t="shared" si="27"/>
        <v>4</v>
      </c>
    </row>
    <row r="865" spans="1:30" x14ac:dyDescent="0.25">
      <c r="A865" t="s">
        <v>889</v>
      </c>
      <c r="B865" s="2">
        <v>45229</v>
      </c>
      <c r="C865" s="2">
        <v>45232</v>
      </c>
      <c r="D865" t="s">
        <v>5342</v>
      </c>
      <c r="E865" t="s">
        <v>5842</v>
      </c>
      <c r="F865" t="s">
        <v>6027</v>
      </c>
      <c r="G865" t="s">
        <v>6030</v>
      </c>
      <c r="H865" t="s">
        <v>6035</v>
      </c>
      <c r="I865" t="s">
        <v>6047</v>
      </c>
      <c r="J865" t="s">
        <v>6055</v>
      </c>
      <c r="K865" t="s">
        <v>6064</v>
      </c>
      <c r="L865" t="s">
        <v>6889</v>
      </c>
      <c r="M865">
        <v>164.33</v>
      </c>
      <c r="N865">
        <v>8</v>
      </c>
      <c r="O865">
        <v>0.22</v>
      </c>
      <c r="P865">
        <v>-2.98</v>
      </c>
      <c r="Q865" t="s">
        <v>9896</v>
      </c>
      <c r="R865">
        <v>3</v>
      </c>
      <c r="S865" s="5">
        <f t="shared" si="26"/>
        <v>-1.8134242073875737E-2</v>
      </c>
      <c r="T865">
        <v>20.541250000000002</v>
      </c>
      <c r="U865">
        <v>10</v>
      </c>
      <c r="V865">
        <v>2023</v>
      </c>
      <c r="W865">
        <v>4</v>
      </c>
      <c r="X865" t="s">
        <v>9898</v>
      </c>
      <c r="Y865" t="s">
        <v>9900</v>
      </c>
      <c r="Z865" t="s">
        <v>9899</v>
      </c>
      <c r="AD865">
        <f t="shared" si="27"/>
        <v>3</v>
      </c>
    </row>
    <row r="866" spans="1:30" x14ac:dyDescent="0.25">
      <c r="A866" t="s">
        <v>890</v>
      </c>
      <c r="B866" s="2">
        <v>44918</v>
      </c>
      <c r="C866" s="2">
        <v>44925</v>
      </c>
      <c r="D866" t="s">
        <v>5273</v>
      </c>
      <c r="E866" t="s">
        <v>5773</v>
      </c>
      <c r="F866" t="s">
        <v>6028</v>
      </c>
      <c r="G866" t="s">
        <v>6029</v>
      </c>
      <c r="H866" t="s">
        <v>6041</v>
      </c>
      <c r="I866" t="s">
        <v>6049</v>
      </c>
      <c r="J866" t="s">
        <v>6055</v>
      </c>
      <c r="K866" t="s">
        <v>6064</v>
      </c>
      <c r="L866" t="s">
        <v>6778</v>
      </c>
      <c r="M866">
        <v>1583.23</v>
      </c>
      <c r="N866">
        <v>7</v>
      </c>
      <c r="O866">
        <v>0.01</v>
      </c>
      <c r="P866">
        <v>366.41</v>
      </c>
      <c r="Q866" t="s">
        <v>9896</v>
      </c>
      <c r="R866">
        <v>7</v>
      </c>
      <c r="S866" s="5">
        <f t="shared" si="26"/>
        <v>0.23143194608490239</v>
      </c>
      <c r="T866">
        <v>226.17571428571429</v>
      </c>
      <c r="U866">
        <v>12</v>
      </c>
      <c r="V866">
        <v>2022</v>
      </c>
      <c r="W866">
        <v>4</v>
      </c>
      <c r="X866" t="s">
        <v>9899</v>
      </c>
      <c r="Y866" t="s">
        <v>9901</v>
      </c>
      <c r="Z866" t="s">
        <v>9898</v>
      </c>
      <c r="AD866">
        <f t="shared" si="27"/>
        <v>7</v>
      </c>
    </row>
    <row r="867" spans="1:30" x14ac:dyDescent="0.25">
      <c r="A867" t="s">
        <v>891</v>
      </c>
      <c r="B867" s="2">
        <v>45198</v>
      </c>
      <c r="C867" s="2">
        <v>45200</v>
      </c>
      <c r="D867" t="s">
        <v>5411</v>
      </c>
      <c r="E867" t="s">
        <v>5911</v>
      </c>
      <c r="F867" t="s">
        <v>6028</v>
      </c>
      <c r="G867" t="s">
        <v>6030</v>
      </c>
      <c r="H867" t="s">
        <v>6033</v>
      </c>
      <c r="I867" t="s">
        <v>6051</v>
      </c>
      <c r="J867" t="s">
        <v>6054</v>
      </c>
      <c r="K867" t="s">
        <v>6062</v>
      </c>
      <c r="L867" t="s">
        <v>6890</v>
      </c>
      <c r="M867">
        <v>1328.35</v>
      </c>
      <c r="N867">
        <v>6</v>
      </c>
      <c r="O867">
        <v>0.19</v>
      </c>
      <c r="P867">
        <v>52.83</v>
      </c>
      <c r="Q867" t="s">
        <v>9895</v>
      </c>
      <c r="R867">
        <v>2</v>
      </c>
      <c r="S867" s="5">
        <f t="shared" si="26"/>
        <v>3.9771144653141119E-2</v>
      </c>
      <c r="T867">
        <v>221.39166666666671</v>
      </c>
      <c r="U867">
        <v>9</v>
      </c>
      <c r="V867">
        <v>2023</v>
      </c>
      <c r="W867">
        <v>3</v>
      </c>
      <c r="X867" t="s">
        <v>9899</v>
      </c>
      <c r="Y867" t="s">
        <v>9900</v>
      </c>
      <c r="Z867" t="s">
        <v>9898</v>
      </c>
      <c r="AD867">
        <f t="shared" si="27"/>
        <v>2</v>
      </c>
    </row>
    <row r="868" spans="1:30" x14ac:dyDescent="0.25">
      <c r="A868" t="s">
        <v>892</v>
      </c>
      <c r="B868" s="2">
        <v>44740</v>
      </c>
      <c r="C868" s="2">
        <v>44747</v>
      </c>
      <c r="D868" t="s">
        <v>5437</v>
      </c>
      <c r="E868" t="s">
        <v>5937</v>
      </c>
      <c r="F868" t="s">
        <v>6027</v>
      </c>
      <c r="G868" t="s">
        <v>6031</v>
      </c>
      <c r="H868" t="s">
        <v>6042</v>
      </c>
      <c r="I868" t="s">
        <v>6050</v>
      </c>
      <c r="J868" t="s">
        <v>6053</v>
      </c>
      <c r="K868" t="s">
        <v>6058</v>
      </c>
      <c r="L868" t="s">
        <v>6891</v>
      </c>
      <c r="M868">
        <v>876.65</v>
      </c>
      <c r="N868">
        <v>3</v>
      </c>
      <c r="O868">
        <v>0.03</v>
      </c>
      <c r="P868">
        <v>141.84</v>
      </c>
      <c r="Q868" t="s">
        <v>9895</v>
      </c>
      <c r="R868">
        <v>7</v>
      </c>
      <c r="S868" s="5">
        <f t="shared" si="26"/>
        <v>0.16179775280898878</v>
      </c>
      <c r="T868">
        <v>292.21666666666658</v>
      </c>
      <c r="U868">
        <v>6</v>
      </c>
      <c r="V868">
        <v>2022</v>
      </c>
      <c r="W868">
        <v>2</v>
      </c>
      <c r="X868" t="s">
        <v>9899</v>
      </c>
      <c r="Y868" t="s">
        <v>9901</v>
      </c>
      <c r="Z868" t="s">
        <v>9899</v>
      </c>
      <c r="AD868">
        <f t="shared" si="27"/>
        <v>7</v>
      </c>
    </row>
    <row r="869" spans="1:30" x14ac:dyDescent="0.25">
      <c r="A869" t="s">
        <v>893</v>
      </c>
      <c r="B869" s="2">
        <v>45023</v>
      </c>
      <c r="C869" s="2">
        <v>45027</v>
      </c>
      <c r="D869" t="s">
        <v>5229</v>
      </c>
      <c r="E869" t="s">
        <v>5729</v>
      </c>
      <c r="F869" t="s">
        <v>6027</v>
      </c>
      <c r="G869" t="s">
        <v>6031</v>
      </c>
      <c r="H869" t="s">
        <v>6042</v>
      </c>
      <c r="I869" t="s">
        <v>6052</v>
      </c>
      <c r="J869" t="s">
        <v>6055</v>
      </c>
      <c r="K869" t="s">
        <v>6061</v>
      </c>
      <c r="L869" t="s">
        <v>6246</v>
      </c>
      <c r="M869">
        <v>813.14</v>
      </c>
      <c r="N869">
        <v>4</v>
      </c>
      <c r="O869">
        <v>0.03</v>
      </c>
      <c r="P869">
        <v>203.55</v>
      </c>
      <c r="Q869" t="s">
        <v>9897</v>
      </c>
      <c r="R869">
        <v>4</v>
      </c>
      <c r="S869" s="5">
        <f t="shared" si="26"/>
        <v>0.250325897139484</v>
      </c>
      <c r="T869">
        <v>203.285</v>
      </c>
      <c r="U869">
        <v>4</v>
      </c>
      <c r="V869">
        <v>2023</v>
      </c>
      <c r="W869">
        <v>2</v>
      </c>
      <c r="X869" t="s">
        <v>9899</v>
      </c>
      <c r="Y869" t="s">
        <v>9901</v>
      </c>
      <c r="Z869" t="s">
        <v>9899</v>
      </c>
      <c r="AD869">
        <f t="shared" si="27"/>
        <v>4</v>
      </c>
    </row>
    <row r="870" spans="1:30" x14ac:dyDescent="0.25">
      <c r="A870" t="s">
        <v>894</v>
      </c>
      <c r="B870" s="2">
        <v>44790</v>
      </c>
      <c r="C870" s="2">
        <v>44793</v>
      </c>
      <c r="D870" t="s">
        <v>5409</v>
      </c>
      <c r="E870" t="s">
        <v>5909</v>
      </c>
      <c r="F870" t="s">
        <v>6027</v>
      </c>
      <c r="G870" t="s">
        <v>6029</v>
      </c>
      <c r="H870" t="s">
        <v>6032</v>
      </c>
      <c r="I870" t="s">
        <v>6049</v>
      </c>
      <c r="J870" t="s">
        <v>6055</v>
      </c>
      <c r="K870" t="s">
        <v>6061</v>
      </c>
      <c r="L870" t="s">
        <v>6892</v>
      </c>
      <c r="M870">
        <v>1487.74</v>
      </c>
      <c r="N870">
        <v>6</v>
      </c>
      <c r="O870">
        <v>0.3</v>
      </c>
      <c r="P870">
        <v>-137.54</v>
      </c>
      <c r="Q870" t="s">
        <v>9894</v>
      </c>
      <c r="R870">
        <v>3</v>
      </c>
      <c r="S870" s="5">
        <f t="shared" si="26"/>
        <v>-9.2448949413203918E-2</v>
      </c>
      <c r="T870">
        <v>247.95666666666671</v>
      </c>
      <c r="U870">
        <v>8</v>
      </c>
      <c r="V870">
        <v>2022</v>
      </c>
      <c r="W870">
        <v>3</v>
      </c>
      <c r="X870" t="s">
        <v>9898</v>
      </c>
      <c r="Y870" t="s">
        <v>9900</v>
      </c>
      <c r="Z870" t="s">
        <v>9898</v>
      </c>
      <c r="AD870">
        <f t="shared" si="27"/>
        <v>3</v>
      </c>
    </row>
    <row r="871" spans="1:30" x14ac:dyDescent="0.25">
      <c r="A871" t="s">
        <v>895</v>
      </c>
      <c r="B871" s="2">
        <v>44567</v>
      </c>
      <c r="C871" s="2">
        <v>44573</v>
      </c>
      <c r="D871" t="s">
        <v>5438</v>
      </c>
      <c r="E871" t="s">
        <v>5938</v>
      </c>
      <c r="F871" t="s">
        <v>6028</v>
      </c>
      <c r="G871" t="s">
        <v>6031</v>
      </c>
      <c r="H871" t="s">
        <v>6037</v>
      </c>
      <c r="I871" t="s">
        <v>6050</v>
      </c>
      <c r="J871" t="s">
        <v>6054</v>
      </c>
      <c r="K871" t="s">
        <v>6062</v>
      </c>
      <c r="L871" t="s">
        <v>6893</v>
      </c>
      <c r="M871">
        <v>1383.09</v>
      </c>
      <c r="N871">
        <v>1</v>
      </c>
      <c r="O871">
        <v>0.21</v>
      </c>
      <c r="P871">
        <v>-78.27</v>
      </c>
      <c r="Q871" t="s">
        <v>9894</v>
      </c>
      <c r="R871">
        <v>6</v>
      </c>
      <c r="S871" s="5">
        <f t="shared" si="26"/>
        <v>-5.6590677396264888E-2</v>
      </c>
      <c r="T871">
        <v>1383.09</v>
      </c>
      <c r="U871">
        <v>1</v>
      </c>
      <c r="V871">
        <v>2022</v>
      </c>
      <c r="W871">
        <v>1</v>
      </c>
      <c r="X871" t="s">
        <v>9898</v>
      </c>
      <c r="Y871" t="s">
        <v>9900</v>
      </c>
      <c r="Z871" t="s">
        <v>9898</v>
      </c>
      <c r="AD871">
        <f t="shared" si="27"/>
        <v>6</v>
      </c>
    </row>
    <row r="872" spans="1:30" x14ac:dyDescent="0.25">
      <c r="A872" t="s">
        <v>896</v>
      </c>
      <c r="B872" s="2">
        <v>45396</v>
      </c>
      <c r="C872" s="2">
        <v>45399</v>
      </c>
      <c r="D872" t="s">
        <v>5439</v>
      </c>
      <c r="E872" t="s">
        <v>5939</v>
      </c>
      <c r="F872" t="s">
        <v>6028</v>
      </c>
      <c r="G872" t="s">
        <v>6029</v>
      </c>
      <c r="H872" t="s">
        <v>6041</v>
      </c>
      <c r="I872" t="s">
        <v>6046</v>
      </c>
      <c r="J872" t="s">
        <v>6054</v>
      </c>
      <c r="K872" t="s">
        <v>6060</v>
      </c>
      <c r="L872" t="s">
        <v>6894</v>
      </c>
      <c r="M872">
        <v>1578.32</v>
      </c>
      <c r="N872">
        <v>8</v>
      </c>
      <c r="O872">
        <v>0.03</v>
      </c>
      <c r="P872">
        <v>304.56</v>
      </c>
      <c r="Q872" t="s">
        <v>9897</v>
      </c>
      <c r="R872">
        <v>3</v>
      </c>
      <c r="S872" s="5">
        <f t="shared" si="26"/>
        <v>0.19296467129606165</v>
      </c>
      <c r="T872">
        <v>197.29</v>
      </c>
      <c r="U872">
        <v>4</v>
      </c>
      <c r="V872">
        <v>2024</v>
      </c>
      <c r="W872">
        <v>2</v>
      </c>
      <c r="X872" t="s">
        <v>9899</v>
      </c>
      <c r="Y872" t="s">
        <v>9901</v>
      </c>
      <c r="Z872" t="s">
        <v>9898</v>
      </c>
      <c r="AD872">
        <f t="shared" si="27"/>
        <v>3</v>
      </c>
    </row>
    <row r="873" spans="1:30" x14ac:dyDescent="0.25">
      <c r="A873" t="s">
        <v>897</v>
      </c>
      <c r="B873" s="2">
        <v>45456</v>
      </c>
      <c r="C873" s="2">
        <v>45461</v>
      </c>
      <c r="D873" t="s">
        <v>5199</v>
      </c>
      <c r="E873" t="s">
        <v>5699</v>
      </c>
      <c r="F873" t="s">
        <v>6026</v>
      </c>
      <c r="G873" t="s">
        <v>6031</v>
      </c>
      <c r="H873" t="s">
        <v>6040</v>
      </c>
      <c r="I873" t="s">
        <v>6050</v>
      </c>
      <c r="J873" t="s">
        <v>6054</v>
      </c>
      <c r="K873" t="s">
        <v>6059</v>
      </c>
      <c r="L873" t="s">
        <v>6895</v>
      </c>
      <c r="M873">
        <v>1059.1600000000001</v>
      </c>
      <c r="N873">
        <v>7</v>
      </c>
      <c r="O873">
        <v>0.11</v>
      </c>
      <c r="P873">
        <v>82.8</v>
      </c>
      <c r="Q873" t="s">
        <v>9893</v>
      </c>
      <c r="R873">
        <v>5</v>
      </c>
      <c r="S873" s="5">
        <f t="shared" si="26"/>
        <v>7.8175157672117523E-2</v>
      </c>
      <c r="T873">
        <v>151.30857142857141</v>
      </c>
      <c r="U873">
        <v>6</v>
      </c>
      <c r="V873">
        <v>2024</v>
      </c>
      <c r="W873">
        <v>2</v>
      </c>
      <c r="X873" t="s">
        <v>9899</v>
      </c>
      <c r="Y873" t="s">
        <v>9901</v>
      </c>
      <c r="Z873" t="s">
        <v>9898</v>
      </c>
      <c r="AD873">
        <f t="shared" si="27"/>
        <v>5</v>
      </c>
    </row>
    <row r="874" spans="1:30" x14ac:dyDescent="0.25">
      <c r="A874" t="s">
        <v>898</v>
      </c>
      <c r="B874" s="2">
        <v>44700</v>
      </c>
      <c r="C874" s="2">
        <v>44707</v>
      </c>
      <c r="D874" t="s">
        <v>5246</v>
      </c>
      <c r="E874" t="s">
        <v>5746</v>
      </c>
      <c r="F874" t="s">
        <v>6028</v>
      </c>
      <c r="G874" t="s">
        <v>6030</v>
      </c>
      <c r="H874" t="s">
        <v>6039</v>
      </c>
      <c r="I874" t="s">
        <v>6051</v>
      </c>
      <c r="J874" t="s">
        <v>6055</v>
      </c>
      <c r="K874" t="s">
        <v>6064</v>
      </c>
      <c r="L874" t="s">
        <v>6896</v>
      </c>
      <c r="M874">
        <v>772.26</v>
      </c>
      <c r="N874">
        <v>6</v>
      </c>
      <c r="O874">
        <v>0.08</v>
      </c>
      <c r="P874">
        <v>38.15</v>
      </c>
      <c r="Q874" t="s">
        <v>9896</v>
      </c>
      <c r="R874">
        <v>7</v>
      </c>
      <c r="S874" s="5">
        <f t="shared" si="26"/>
        <v>4.9400460984642479E-2</v>
      </c>
      <c r="T874">
        <v>128.71</v>
      </c>
      <c r="U874">
        <v>5</v>
      </c>
      <c r="V874">
        <v>2022</v>
      </c>
      <c r="W874">
        <v>2</v>
      </c>
      <c r="X874" t="s">
        <v>9899</v>
      </c>
      <c r="Y874" t="s">
        <v>9901</v>
      </c>
      <c r="Z874" t="s">
        <v>9899</v>
      </c>
      <c r="AD874">
        <f t="shared" si="27"/>
        <v>7</v>
      </c>
    </row>
    <row r="875" spans="1:30" x14ac:dyDescent="0.25">
      <c r="A875" t="s">
        <v>899</v>
      </c>
      <c r="B875" s="2">
        <v>45182</v>
      </c>
      <c r="C875" s="2">
        <v>45184</v>
      </c>
      <c r="D875" t="s">
        <v>5032</v>
      </c>
      <c r="E875" t="s">
        <v>5532</v>
      </c>
      <c r="F875" t="s">
        <v>6026</v>
      </c>
      <c r="G875" t="s">
        <v>6030</v>
      </c>
      <c r="H875" t="s">
        <v>6033</v>
      </c>
      <c r="I875" t="s">
        <v>6047</v>
      </c>
      <c r="J875" t="s">
        <v>6054</v>
      </c>
      <c r="K875" t="s">
        <v>6059</v>
      </c>
      <c r="L875" t="s">
        <v>6605</v>
      </c>
      <c r="M875">
        <v>487.81</v>
      </c>
      <c r="N875">
        <v>3</v>
      </c>
      <c r="O875">
        <v>0.2</v>
      </c>
      <c r="P875">
        <v>-39.03</v>
      </c>
      <c r="Q875" t="s">
        <v>9894</v>
      </c>
      <c r="R875">
        <v>2</v>
      </c>
      <c r="S875" s="5">
        <f t="shared" si="26"/>
        <v>-8.0010659888071184E-2</v>
      </c>
      <c r="T875">
        <v>162.6033333333333</v>
      </c>
      <c r="U875">
        <v>9</v>
      </c>
      <c r="V875">
        <v>2023</v>
      </c>
      <c r="W875">
        <v>3</v>
      </c>
      <c r="X875" t="s">
        <v>9898</v>
      </c>
      <c r="Y875" t="s">
        <v>9900</v>
      </c>
      <c r="Z875" t="s">
        <v>9899</v>
      </c>
      <c r="AD875">
        <f t="shared" si="27"/>
        <v>2</v>
      </c>
    </row>
    <row r="876" spans="1:30" x14ac:dyDescent="0.25">
      <c r="A876" t="s">
        <v>900</v>
      </c>
      <c r="B876" s="2">
        <v>44928</v>
      </c>
      <c r="C876" s="2">
        <v>44934</v>
      </c>
      <c r="D876" t="s">
        <v>5255</v>
      </c>
      <c r="E876" t="s">
        <v>5755</v>
      </c>
      <c r="F876" t="s">
        <v>6027</v>
      </c>
      <c r="G876" t="s">
        <v>6029</v>
      </c>
      <c r="H876" t="s">
        <v>6032</v>
      </c>
      <c r="I876" t="s">
        <v>6050</v>
      </c>
      <c r="J876" t="s">
        <v>6054</v>
      </c>
      <c r="K876" t="s">
        <v>6062</v>
      </c>
      <c r="L876" t="s">
        <v>6897</v>
      </c>
      <c r="M876">
        <v>848.21</v>
      </c>
      <c r="N876">
        <v>8</v>
      </c>
      <c r="O876">
        <v>0.11</v>
      </c>
      <c r="P876">
        <v>13.1</v>
      </c>
      <c r="Q876" t="s">
        <v>9895</v>
      </c>
      <c r="R876">
        <v>6</v>
      </c>
      <c r="S876" s="5">
        <f t="shared" si="26"/>
        <v>1.5444288560615884E-2</v>
      </c>
      <c r="T876">
        <v>106.02625</v>
      </c>
      <c r="U876">
        <v>1</v>
      </c>
      <c r="V876">
        <v>2023</v>
      </c>
      <c r="W876">
        <v>1</v>
      </c>
      <c r="X876" t="s">
        <v>9899</v>
      </c>
      <c r="Y876" t="s">
        <v>9901</v>
      </c>
      <c r="Z876" t="s">
        <v>9899</v>
      </c>
      <c r="AD876">
        <f t="shared" si="27"/>
        <v>6</v>
      </c>
    </row>
    <row r="877" spans="1:30" x14ac:dyDescent="0.25">
      <c r="A877" t="s">
        <v>901</v>
      </c>
      <c r="B877" s="2">
        <v>44610</v>
      </c>
      <c r="C877" s="2">
        <v>44616</v>
      </c>
      <c r="D877" t="s">
        <v>5196</v>
      </c>
      <c r="E877" t="s">
        <v>5696</v>
      </c>
      <c r="F877" t="s">
        <v>6027</v>
      </c>
      <c r="G877" t="s">
        <v>6031</v>
      </c>
      <c r="H877" t="s">
        <v>6040</v>
      </c>
      <c r="I877" t="s">
        <v>6050</v>
      </c>
      <c r="J877" t="s">
        <v>6053</v>
      </c>
      <c r="K877" t="s">
        <v>6057</v>
      </c>
      <c r="L877" t="s">
        <v>6898</v>
      </c>
      <c r="M877">
        <v>701.52</v>
      </c>
      <c r="N877">
        <v>2</v>
      </c>
      <c r="O877">
        <v>0.22</v>
      </c>
      <c r="P877">
        <v>-54.72</v>
      </c>
      <c r="Q877" t="s">
        <v>9893</v>
      </c>
      <c r="R877">
        <v>6</v>
      </c>
      <c r="S877" s="5">
        <f t="shared" si="26"/>
        <v>-7.8002052685596984E-2</v>
      </c>
      <c r="T877">
        <v>350.76</v>
      </c>
      <c r="U877">
        <v>2</v>
      </c>
      <c r="V877">
        <v>2022</v>
      </c>
      <c r="W877">
        <v>1</v>
      </c>
      <c r="X877" t="s">
        <v>9898</v>
      </c>
      <c r="Y877" t="s">
        <v>9900</v>
      </c>
      <c r="Z877" t="s">
        <v>9899</v>
      </c>
      <c r="AD877">
        <f t="shared" si="27"/>
        <v>6</v>
      </c>
    </row>
    <row r="878" spans="1:30" x14ac:dyDescent="0.25">
      <c r="A878" t="s">
        <v>902</v>
      </c>
      <c r="B878" s="2">
        <v>44822</v>
      </c>
      <c r="C878" s="2">
        <v>44825</v>
      </c>
      <c r="D878" t="s">
        <v>5140</v>
      </c>
      <c r="E878" t="s">
        <v>5640</v>
      </c>
      <c r="F878" t="s">
        <v>6027</v>
      </c>
      <c r="G878" t="s">
        <v>6031</v>
      </c>
      <c r="H878" t="s">
        <v>6042</v>
      </c>
      <c r="I878" t="s">
        <v>6050</v>
      </c>
      <c r="J878" t="s">
        <v>6055</v>
      </c>
      <c r="K878" t="s">
        <v>6063</v>
      </c>
      <c r="L878" t="s">
        <v>6899</v>
      </c>
      <c r="M878">
        <v>393.8</v>
      </c>
      <c r="N878">
        <v>8</v>
      </c>
      <c r="O878">
        <v>0.26</v>
      </c>
      <c r="P878">
        <v>-52.92</v>
      </c>
      <c r="Q878" t="s">
        <v>9894</v>
      </c>
      <c r="R878">
        <v>3</v>
      </c>
      <c r="S878" s="5">
        <f t="shared" si="26"/>
        <v>-0.13438293550025393</v>
      </c>
      <c r="T878">
        <v>49.225000000000001</v>
      </c>
      <c r="U878">
        <v>9</v>
      </c>
      <c r="V878">
        <v>2022</v>
      </c>
      <c r="W878">
        <v>3</v>
      </c>
      <c r="X878" t="s">
        <v>9898</v>
      </c>
      <c r="Y878" t="s">
        <v>9900</v>
      </c>
      <c r="Z878" t="s">
        <v>9899</v>
      </c>
      <c r="AD878">
        <f t="shared" si="27"/>
        <v>3</v>
      </c>
    </row>
    <row r="879" spans="1:30" x14ac:dyDescent="0.25">
      <c r="A879" t="s">
        <v>903</v>
      </c>
      <c r="B879" s="2">
        <v>45000</v>
      </c>
      <c r="C879" s="2">
        <v>45001</v>
      </c>
      <c r="D879" t="s">
        <v>5165</v>
      </c>
      <c r="E879" t="s">
        <v>5665</v>
      </c>
      <c r="F879" t="s">
        <v>6026</v>
      </c>
      <c r="G879" t="s">
        <v>6031</v>
      </c>
      <c r="H879" t="s">
        <v>6034</v>
      </c>
      <c r="I879" t="s">
        <v>6048</v>
      </c>
      <c r="J879" t="s">
        <v>6053</v>
      </c>
      <c r="K879" t="s">
        <v>6056</v>
      </c>
      <c r="L879" t="s">
        <v>6900</v>
      </c>
      <c r="M879">
        <v>1250.7</v>
      </c>
      <c r="N879">
        <v>8</v>
      </c>
      <c r="O879">
        <v>0.28000000000000003</v>
      </c>
      <c r="P879">
        <v>-49.93</v>
      </c>
      <c r="Q879" t="s">
        <v>9893</v>
      </c>
      <c r="R879">
        <v>1</v>
      </c>
      <c r="S879" s="5">
        <f t="shared" si="26"/>
        <v>-3.9921643879427517E-2</v>
      </c>
      <c r="T879">
        <v>156.33750000000001</v>
      </c>
      <c r="U879">
        <v>3</v>
      </c>
      <c r="V879">
        <v>2023</v>
      </c>
      <c r="W879">
        <v>1</v>
      </c>
      <c r="X879" t="s">
        <v>9898</v>
      </c>
      <c r="Y879" t="s">
        <v>9900</v>
      </c>
      <c r="Z879" t="s">
        <v>9898</v>
      </c>
      <c r="AD879">
        <f t="shared" si="27"/>
        <v>1</v>
      </c>
    </row>
    <row r="880" spans="1:30" x14ac:dyDescent="0.25">
      <c r="A880" t="s">
        <v>904</v>
      </c>
      <c r="B880" s="2">
        <v>44578</v>
      </c>
      <c r="C880" s="2">
        <v>44580</v>
      </c>
      <c r="D880" t="s">
        <v>5231</v>
      </c>
      <c r="E880" t="s">
        <v>5731</v>
      </c>
      <c r="F880" t="s">
        <v>6026</v>
      </c>
      <c r="G880" t="s">
        <v>6031</v>
      </c>
      <c r="H880" t="s">
        <v>6043</v>
      </c>
      <c r="I880" t="s">
        <v>6050</v>
      </c>
      <c r="J880" t="s">
        <v>6055</v>
      </c>
      <c r="K880" t="s">
        <v>6064</v>
      </c>
      <c r="L880" t="s">
        <v>6901</v>
      </c>
      <c r="M880">
        <v>1295.54</v>
      </c>
      <c r="N880">
        <v>5</v>
      </c>
      <c r="O880">
        <v>0.2</v>
      </c>
      <c r="P880">
        <v>-73.34</v>
      </c>
      <c r="Q880" t="s">
        <v>9897</v>
      </c>
      <c r="R880">
        <v>2</v>
      </c>
      <c r="S880" s="5">
        <f t="shared" si="26"/>
        <v>-5.6609599086095377E-2</v>
      </c>
      <c r="T880">
        <v>259.108</v>
      </c>
      <c r="U880">
        <v>1</v>
      </c>
      <c r="V880">
        <v>2022</v>
      </c>
      <c r="W880">
        <v>1</v>
      </c>
      <c r="X880" t="s">
        <v>9898</v>
      </c>
      <c r="Y880" t="s">
        <v>9900</v>
      </c>
      <c r="Z880" t="s">
        <v>9898</v>
      </c>
      <c r="AD880">
        <f t="shared" si="27"/>
        <v>2</v>
      </c>
    </row>
    <row r="881" spans="1:30" x14ac:dyDescent="0.25">
      <c r="A881" t="s">
        <v>905</v>
      </c>
      <c r="B881" s="2">
        <v>45252</v>
      </c>
      <c r="C881" s="2">
        <v>45258</v>
      </c>
      <c r="D881" t="s">
        <v>5162</v>
      </c>
      <c r="E881" t="s">
        <v>5662</v>
      </c>
      <c r="F881" t="s">
        <v>6027</v>
      </c>
      <c r="G881" t="s">
        <v>6030</v>
      </c>
      <c r="H881" t="s">
        <v>6039</v>
      </c>
      <c r="I881" t="s">
        <v>6051</v>
      </c>
      <c r="J881" t="s">
        <v>6055</v>
      </c>
      <c r="K881" t="s">
        <v>6063</v>
      </c>
      <c r="L881" t="s">
        <v>6902</v>
      </c>
      <c r="M881">
        <v>1114</v>
      </c>
      <c r="N881">
        <v>5</v>
      </c>
      <c r="O881">
        <v>0.09</v>
      </c>
      <c r="P881">
        <v>70.56</v>
      </c>
      <c r="Q881" t="s">
        <v>9897</v>
      </c>
      <c r="R881">
        <v>6</v>
      </c>
      <c r="S881" s="5">
        <f t="shared" si="26"/>
        <v>6.3339317773788151E-2</v>
      </c>
      <c r="T881">
        <v>222.8</v>
      </c>
      <c r="U881">
        <v>11</v>
      </c>
      <c r="V881">
        <v>2023</v>
      </c>
      <c r="W881">
        <v>4</v>
      </c>
      <c r="X881" t="s">
        <v>9899</v>
      </c>
      <c r="Y881" t="s">
        <v>9901</v>
      </c>
      <c r="Z881" t="s">
        <v>9898</v>
      </c>
      <c r="AD881">
        <f t="shared" si="27"/>
        <v>6</v>
      </c>
    </row>
    <row r="882" spans="1:30" x14ac:dyDescent="0.25">
      <c r="A882" t="s">
        <v>906</v>
      </c>
      <c r="B882" s="2">
        <v>45206</v>
      </c>
      <c r="C882" s="2">
        <v>45212</v>
      </c>
      <c r="D882" t="s">
        <v>5440</v>
      </c>
      <c r="E882" t="s">
        <v>5940</v>
      </c>
      <c r="F882" t="s">
        <v>6026</v>
      </c>
      <c r="G882" t="s">
        <v>6030</v>
      </c>
      <c r="H882" t="s">
        <v>6038</v>
      </c>
      <c r="I882" t="s">
        <v>6047</v>
      </c>
      <c r="J882" t="s">
        <v>6055</v>
      </c>
      <c r="K882" t="s">
        <v>6061</v>
      </c>
      <c r="L882" t="s">
        <v>6903</v>
      </c>
      <c r="M882">
        <v>989.83</v>
      </c>
      <c r="N882">
        <v>4</v>
      </c>
      <c r="O882">
        <v>0.15</v>
      </c>
      <c r="P882">
        <v>118.3</v>
      </c>
      <c r="Q882" t="s">
        <v>9897</v>
      </c>
      <c r="R882">
        <v>6</v>
      </c>
      <c r="S882" s="5">
        <f t="shared" si="26"/>
        <v>0.11951547235383853</v>
      </c>
      <c r="T882">
        <v>247.45750000000001</v>
      </c>
      <c r="U882">
        <v>10</v>
      </c>
      <c r="V882">
        <v>2023</v>
      </c>
      <c r="W882">
        <v>4</v>
      </c>
      <c r="X882" t="s">
        <v>9899</v>
      </c>
      <c r="Y882" t="s">
        <v>9901</v>
      </c>
      <c r="Z882" t="s">
        <v>9899</v>
      </c>
      <c r="AD882">
        <f t="shared" si="27"/>
        <v>6</v>
      </c>
    </row>
    <row r="883" spans="1:30" x14ac:dyDescent="0.25">
      <c r="A883" t="s">
        <v>907</v>
      </c>
      <c r="B883" s="2">
        <v>45374</v>
      </c>
      <c r="C883" s="2">
        <v>45380</v>
      </c>
      <c r="D883" t="s">
        <v>5126</v>
      </c>
      <c r="E883" t="s">
        <v>5626</v>
      </c>
      <c r="F883" t="s">
        <v>6026</v>
      </c>
      <c r="G883" t="s">
        <v>6029</v>
      </c>
      <c r="H883" t="s">
        <v>6032</v>
      </c>
      <c r="I883" t="s">
        <v>6049</v>
      </c>
      <c r="J883" t="s">
        <v>6055</v>
      </c>
      <c r="K883" t="s">
        <v>6063</v>
      </c>
      <c r="L883" t="s">
        <v>6904</v>
      </c>
      <c r="M883">
        <v>725.51</v>
      </c>
      <c r="N883">
        <v>3</v>
      </c>
      <c r="O883">
        <v>0.34</v>
      </c>
      <c r="P883">
        <v>-85.1</v>
      </c>
      <c r="Q883" t="s">
        <v>9893</v>
      </c>
      <c r="R883">
        <v>6</v>
      </c>
      <c r="S883" s="5">
        <f t="shared" si="26"/>
        <v>-0.11729679811442985</v>
      </c>
      <c r="T883">
        <v>241.8366666666667</v>
      </c>
      <c r="U883">
        <v>3</v>
      </c>
      <c r="V883">
        <v>2024</v>
      </c>
      <c r="W883">
        <v>1</v>
      </c>
      <c r="X883" t="s">
        <v>9898</v>
      </c>
      <c r="Y883" t="s">
        <v>9902</v>
      </c>
      <c r="Z883" t="s">
        <v>9899</v>
      </c>
      <c r="AD883">
        <f t="shared" si="27"/>
        <v>6</v>
      </c>
    </row>
    <row r="884" spans="1:30" x14ac:dyDescent="0.25">
      <c r="A884" t="s">
        <v>908</v>
      </c>
      <c r="B884" s="2">
        <v>44642</v>
      </c>
      <c r="C884" s="2">
        <v>44643</v>
      </c>
      <c r="D884" t="s">
        <v>5320</v>
      </c>
      <c r="E884" t="s">
        <v>5820</v>
      </c>
      <c r="F884" t="s">
        <v>6028</v>
      </c>
      <c r="G884" t="s">
        <v>6029</v>
      </c>
      <c r="H884" t="s">
        <v>6044</v>
      </c>
      <c r="I884" t="s">
        <v>6046</v>
      </c>
      <c r="J884" t="s">
        <v>6053</v>
      </c>
      <c r="K884" t="s">
        <v>6057</v>
      </c>
      <c r="L884" t="s">
        <v>6905</v>
      </c>
      <c r="M884">
        <v>1796.48</v>
      </c>
      <c r="N884">
        <v>5</v>
      </c>
      <c r="O884">
        <v>0.21</v>
      </c>
      <c r="P884">
        <v>88.88</v>
      </c>
      <c r="Q884" t="s">
        <v>9894</v>
      </c>
      <c r="R884">
        <v>1</v>
      </c>
      <c r="S884" s="5">
        <f t="shared" si="26"/>
        <v>4.9474527965799785E-2</v>
      </c>
      <c r="T884">
        <v>359.29599999999999</v>
      </c>
      <c r="U884">
        <v>3</v>
      </c>
      <c r="V884">
        <v>2022</v>
      </c>
      <c r="W884">
        <v>1</v>
      </c>
      <c r="X884" t="s">
        <v>9899</v>
      </c>
      <c r="Y884" t="s">
        <v>9900</v>
      </c>
      <c r="Z884" t="s">
        <v>9898</v>
      </c>
      <c r="AD884">
        <f t="shared" si="27"/>
        <v>1</v>
      </c>
    </row>
    <row r="885" spans="1:30" x14ac:dyDescent="0.25">
      <c r="A885" t="s">
        <v>909</v>
      </c>
      <c r="B885" s="2">
        <v>44704</v>
      </c>
      <c r="C885" s="2">
        <v>44706</v>
      </c>
      <c r="D885" t="s">
        <v>5220</v>
      </c>
      <c r="E885" t="s">
        <v>5720</v>
      </c>
      <c r="F885" t="s">
        <v>6026</v>
      </c>
      <c r="G885" t="s">
        <v>6031</v>
      </c>
      <c r="H885" t="s">
        <v>6042</v>
      </c>
      <c r="I885" t="s">
        <v>6052</v>
      </c>
      <c r="J885" t="s">
        <v>6053</v>
      </c>
      <c r="K885" t="s">
        <v>6056</v>
      </c>
      <c r="L885" t="s">
        <v>6906</v>
      </c>
      <c r="M885">
        <v>833.61</v>
      </c>
      <c r="N885">
        <v>7</v>
      </c>
      <c r="O885">
        <v>7.0000000000000007E-2</v>
      </c>
      <c r="P885">
        <v>147.69999999999999</v>
      </c>
      <c r="Q885" t="s">
        <v>9894</v>
      </c>
      <c r="R885">
        <v>2</v>
      </c>
      <c r="S885" s="5">
        <f t="shared" si="26"/>
        <v>0.1771811758496179</v>
      </c>
      <c r="T885">
        <v>119.08714285714289</v>
      </c>
      <c r="U885">
        <v>5</v>
      </c>
      <c r="V885">
        <v>2022</v>
      </c>
      <c r="W885">
        <v>2</v>
      </c>
      <c r="X885" t="s">
        <v>9899</v>
      </c>
      <c r="Y885" t="s">
        <v>9901</v>
      </c>
      <c r="Z885" t="s">
        <v>9899</v>
      </c>
      <c r="AD885">
        <f t="shared" si="27"/>
        <v>2</v>
      </c>
    </row>
    <row r="886" spans="1:30" x14ac:dyDescent="0.25">
      <c r="A886" t="s">
        <v>910</v>
      </c>
      <c r="B886" s="2">
        <v>45197</v>
      </c>
      <c r="C886" s="2">
        <v>45202</v>
      </c>
      <c r="D886" t="s">
        <v>5441</v>
      </c>
      <c r="E886" t="s">
        <v>5941</v>
      </c>
      <c r="F886" t="s">
        <v>6026</v>
      </c>
      <c r="G886" t="s">
        <v>6030</v>
      </c>
      <c r="H886" t="s">
        <v>6035</v>
      </c>
      <c r="I886" t="s">
        <v>6047</v>
      </c>
      <c r="J886" t="s">
        <v>6055</v>
      </c>
      <c r="K886" t="s">
        <v>6064</v>
      </c>
      <c r="L886" t="s">
        <v>6907</v>
      </c>
      <c r="M886">
        <v>1262.6199999999999</v>
      </c>
      <c r="N886">
        <v>4</v>
      </c>
      <c r="O886">
        <v>0.32</v>
      </c>
      <c r="P886">
        <v>-169.12</v>
      </c>
      <c r="Q886" t="s">
        <v>9893</v>
      </c>
      <c r="R886">
        <v>5</v>
      </c>
      <c r="S886" s="5">
        <f t="shared" si="26"/>
        <v>-0.13394370436077366</v>
      </c>
      <c r="T886">
        <v>315.65499999999997</v>
      </c>
      <c r="U886">
        <v>9</v>
      </c>
      <c r="V886">
        <v>2023</v>
      </c>
      <c r="W886">
        <v>3</v>
      </c>
      <c r="X886" t="s">
        <v>9898</v>
      </c>
      <c r="Y886" t="s">
        <v>9902</v>
      </c>
      <c r="Z886" t="s">
        <v>9898</v>
      </c>
      <c r="AD886">
        <f t="shared" si="27"/>
        <v>5</v>
      </c>
    </row>
    <row r="887" spans="1:30" x14ac:dyDescent="0.25">
      <c r="A887" t="s">
        <v>911</v>
      </c>
      <c r="B887" s="2">
        <v>45452</v>
      </c>
      <c r="C887" s="2">
        <v>45455</v>
      </c>
      <c r="D887" t="s">
        <v>5060</v>
      </c>
      <c r="E887" t="s">
        <v>5560</v>
      </c>
      <c r="F887" t="s">
        <v>6027</v>
      </c>
      <c r="G887" t="s">
        <v>6029</v>
      </c>
      <c r="H887" t="s">
        <v>6032</v>
      </c>
      <c r="I887" t="s">
        <v>6046</v>
      </c>
      <c r="J887" t="s">
        <v>6055</v>
      </c>
      <c r="K887" t="s">
        <v>6064</v>
      </c>
      <c r="L887" t="s">
        <v>6908</v>
      </c>
      <c r="M887">
        <v>1304.68</v>
      </c>
      <c r="N887">
        <v>6</v>
      </c>
      <c r="O887">
        <v>0.31</v>
      </c>
      <c r="P887">
        <v>-33.26</v>
      </c>
      <c r="Q887" t="s">
        <v>9893</v>
      </c>
      <c r="R887">
        <v>3</v>
      </c>
      <c r="S887" s="5">
        <f t="shared" si="26"/>
        <v>-2.5492841156452156E-2</v>
      </c>
      <c r="T887">
        <v>217.44666666666669</v>
      </c>
      <c r="U887">
        <v>6</v>
      </c>
      <c r="V887">
        <v>2024</v>
      </c>
      <c r="W887">
        <v>2</v>
      </c>
      <c r="X887" t="s">
        <v>9898</v>
      </c>
      <c r="Y887" t="s">
        <v>9902</v>
      </c>
      <c r="Z887" t="s">
        <v>9898</v>
      </c>
      <c r="AD887">
        <f t="shared" si="27"/>
        <v>3</v>
      </c>
    </row>
    <row r="888" spans="1:30" x14ac:dyDescent="0.25">
      <c r="A888" t="s">
        <v>912</v>
      </c>
      <c r="B888" s="2">
        <v>44915</v>
      </c>
      <c r="C888" s="2">
        <v>44918</v>
      </c>
      <c r="D888" t="s">
        <v>5142</v>
      </c>
      <c r="E888" t="s">
        <v>5642</v>
      </c>
      <c r="F888" t="s">
        <v>6027</v>
      </c>
      <c r="G888" t="s">
        <v>6031</v>
      </c>
      <c r="H888" t="s">
        <v>6042</v>
      </c>
      <c r="I888" t="s">
        <v>6050</v>
      </c>
      <c r="J888" t="s">
        <v>6055</v>
      </c>
      <c r="K888" t="s">
        <v>6061</v>
      </c>
      <c r="L888" t="s">
        <v>6909</v>
      </c>
      <c r="M888">
        <v>753.18</v>
      </c>
      <c r="N888">
        <v>1</v>
      </c>
      <c r="O888">
        <v>0.05</v>
      </c>
      <c r="P888">
        <v>128.71</v>
      </c>
      <c r="Q888" t="s">
        <v>9896</v>
      </c>
      <c r="R888">
        <v>3</v>
      </c>
      <c r="S888" s="5">
        <f t="shared" si="26"/>
        <v>0.17088876496986113</v>
      </c>
      <c r="T888">
        <v>753.18</v>
      </c>
      <c r="U888">
        <v>12</v>
      </c>
      <c r="V888">
        <v>2022</v>
      </c>
      <c r="W888">
        <v>4</v>
      </c>
      <c r="X888" t="s">
        <v>9899</v>
      </c>
      <c r="Y888" t="s">
        <v>9901</v>
      </c>
      <c r="Z888" t="s">
        <v>9899</v>
      </c>
      <c r="AD888">
        <f t="shared" si="27"/>
        <v>3</v>
      </c>
    </row>
    <row r="889" spans="1:30" x14ac:dyDescent="0.25">
      <c r="A889" t="s">
        <v>913</v>
      </c>
      <c r="B889" s="2">
        <v>45084</v>
      </c>
      <c r="C889" s="2">
        <v>45090</v>
      </c>
      <c r="D889" t="s">
        <v>5321</v>
      </c>
      <c r="E889" t="s">
        <v>5821</v>
      </c>
      <c r="F889" t="s">
        <v>6028</v>
      </c>
      <c r="G889" t="s">
        <v>6030</v>
      </c>
      <c r="H889" t="s">
        <v>6039</v>
      </c>
      <c r="I889" t="s">
        <v>6047</v>
      </c>
      <c r="J889" t="s">
        <v>6055</v>
      </c>
      <c r="K889" t="s">
        <v>6064</v>
      </c>
      <c r="L889" t="s">
        <v>6910</v>
      </c>
      <c r="M889">
        <v>1103.45</v>
      </c>
      <c r="N889">
        <v>8</v>
      </c>
      <c r="O889">
        <v>0.25</v>
      </c>
      <c r="P889">
        <v>-155.77000000000001</v>
      </c>
      <c r="Q889" t="s">
        <v>9896</v>
      </c>
      <c r="R889">
        <v>6</v>
      </c>
      <c r="S889" s="5">
        <f t="shared" si="26"/>
        <v>-0.14116634192759075</v>
      </c>
      <c r="T889">
        <v>137.93125000000001</v>
      </c>
      <c r="U889">
        <v>6</v>
      </c>
      <c r="V889">
        <v>2023</v>
      </c>
      <c r="W889">
        <v>2</v>
      </c>
      <c r="X889" t="s">
        <v>9898</v>
      </c>
      <c r="Y889" t="s">
        <v>9900</v>
      </c>
      <c r="Z889" t="s">
        <v>9898</v>
      </c>
      <c r="AD889">
        <f t="shared" si="27"/>
        <v>6</v>
      </c>
    </row>
    <row r="890" spans="1:30" x14ac:dyDescent="0.25">
      <c r="A890" t="s">
        <v>914</v>
      </c>
      <c r="B890" s="2">
        <v>44602</v>
      </c>
      <c r="C890" s="2">
        <v>44603</v>
      </c>
      <c r="D890" t="s">
        <v>5442</v>
      </c>
      <c r="E890" t="s">
        <v>5942</v>
      </c>
      <c r="F890" t="s">
        <v>6026</v>
      </c>
      <c r="G890" t="s">
        <v>6030</v>
      </c>
      <c r="H890" t="s">
        <v>6033</v>
      </c>
      <c r="I890" t="s">
        <v>6047</v>
      </c>
      <c r="J890" t="s">
        <v>6055</v>
      </c>
      <c r="K890" t="s">
        <v>6064</v>
      </c>
      <c r="L890" t="s">
        <v>6872</v>
      </c>
      <c r="M890">
        <v>152.78</v>
      </c>
      <c r="N890">
        <v>6</v>
      </c>
      <c r="O890">
        <v>0.12</v>
      </c>
      <c r="P890">
        <v>18.68</v>
      </c>
      <c r="Q890" t="s">
        <v>9895</v>
      </c>
      <c r="R890">
        <v>1</v>
      </c>
      <c r="S890" s="5">
        <f t="shared" si="26"/>
        <v>0.1222673124754549</v>
      </c>
      <c r="T890">
        <v>25.463333333333331</v>
      </c>
      <c r="U890">
        <v>2</v>
      </c>
      <c r="V890">
        <v>2022</v>
      </c>
      <c r="W890">
        <v>1</v>
      </c>
      <c r="X890" t="s">
        <v>9899</v>
      </c>
      <c r="Y890" t="s">
        <v>9901</v>
      </c>
      <c r="Z890" t="s">
        <v>9899</v>
      </c>
      <c r="AD890">
        <f t="shared" si="27"/>
        <v>1</v>
      </c>
    </row>
    <row r="891" spans="1:30" x14ac:dyDescent="0.25">
      <c r="A891" t="s">
        <v>915</v>
      </c>
      <c r="B891" s="2">
        <v>44856</v>
      </c>
      <c r="C891" s="2">
        <v>44861</v>
      </c>
      <c r="D891" t="s">
        <v>5384</v>
      </c>
      <c r="E891" t="s">
        <v>5884</v>
      </c>
      <c r="F891" t="s">
        <v>6027</v>
      </c>
      <c r="G891" t="s">
        <v>6030</v>
      </c>
      <c r="H891" t="s">
        <v>6033</v>
      </c>
      <c r="I891" t="s">
        <v>6047</v>
      </c>
      <c r="J891" t="s">
        <v>6055</v>
      </c>
      <c r="K891" t="s">
        <v>6063</v>
      </c>
      <c r="L891" t="s">
        <v>6911</v>
      </c>
      <c r="M891">
        <v>506.63</v>
      </c>
      <c r="N891">
        <v>3</v>
      </c>
      <c r="O891">
        <v>0.06</v>
      </c>
      <c r="P891">
        <v>23.27</v>
      </c>
      <c r="Q891" t="s">
        <v>9897</v>
      </c>
      <c r="R891">
        <v>5</v>
      </c>
      <c r="S891" s="5">
        <f t="shared" si="26"/>
        <v>4.5930955529676493E-2</v>
      </c>
      <c r="T891">
        <v>168.87666666666669</v>
      </c>
      <c r="U891">
        <v>10</v>
      </c>
      <c r="V891">
        <v>2022</v>
      </c>
      <c r="W891">
        <v>4</v>
      </c>
      <c r="X891" t="s">
        <v>9899</v>
      </c>
      <c r="Y891" t="s">
        <v>9901</v>
      </c>
      <c r="Z891" t="s">
        <v>9899</v>
      </c>
      <c r="AD891">
        <f t="shared" si="27"/>
        <v>5</v>
      </c>
    </row>
    <row r="892" spans="1:30" x14ac:dyDescent="0.25">
      <c r="A892" t="s">
        <v>916</v>
      </c>
      <c r="B892" s="2">
        <v>45384</v>
      </c>
      <c r="C892" s="2">
        <v>45389</v>
      </c>
      <c r="D892" t="s">
        <v>5443</v>
      </c>
      <c r="E892" t="s">
        <v>5943</v>
      </c>
      <c r="F892" t="s">
        <v>6026</v>
      </c>
      <c r="G892" t="s">
        <v>6031</v>
      </c>
      <c r="H892" t="s">
        <v>6040</v>
      </c>
      <c r="I892" t="s">
        <v>6052</v>
      </c>
      <c r="J892" t="s">
        <v>6054</v>
      </c>
      <c r="K892" t="s">
        <v>6060</v>
      </c>
      <c r="L892" t="s">
        <v>6912</v>
      </c>
      <c r="M892">
        <v>203.83</v>
      </c>
      <c r="N892">
        <v>3</v>
      </c>
      <c r="O892">
        <v>0.25</v>
      </c>
      <c r="P892">
        <v>-29.5</v>
      </c>
      <c r="Q892" t="s">
        <v>9894</v>
      </c>
      <c r="R892">
        <v>5</v>
      </c>
      <c r="S892" s="5">
        <f t="shared" si="26"/>
        <v>-0.14472845017907079</v>
      </c>
      <c r="T892">
        <v>67.943333333333342</v>
      </c>
      <c r="U892">
        <v>4</v>
      </c>
      <c r="V892">
        <v>2024</v>
      </c>
      <c r="W892">
        <v>2</v>
      </c>
      <c r="X892" t="s">
        <v>9898</v>
      </c>
      <c r="Y892" t="s">
        <v>9900</v>
      </c>
      <c r="Z892" t="s">
        <v>9899</v>
      </c>
      <c r="AD892">
        <f t="shared" si="27"/>
        <v>5</v>
      </c>
    </row>
    <row r="893" spans="1:30" x14ac:dyDescent="0.25">
      <c r="A893" t="s">
        <v>917</v>
      </c>
      <c r="B893" s="2">
        <v>45129</v>
      </c>
      <c r="C893" s="2">
        <v>45131</v>
      </c>
      <c r="D893" t="s">
        <v>5444</v>
      </c>
      <c r="E893" t="s">
        <v>5944</v>
      </c>
      <c r="F893" t="s">
        <v>6026</v>
      </c>
      <c r="G893" t="s">
        <v>6031</v>
      </c>
      <c r="H893" t="s">
        <v>6037</v>
      </c>
      <c r="I893" t="s">
        <v>6048</v>
      </c>
      <c r="J893" t="s">
        <v>6053</v>
      </c>
      <c r="K893" t="s">
        <v>6058</v>
      </c>
      <c r="L893" t="s">
        <v>6913</v>
      </c>
      <c r="M893">
        <v>1113.95</v>
      </c>
      <c r="N893">
        <v>1</v>
      </c>
      <c r="O893">
        <v>0.19</v>
      </c>
      <c r="P893">
        <v>-87.35</v>
      </c>
      <c r="Q893" t="s">
        <v>9896</v>
      </c>
      <c r="R893">
        <v>2</v>
      </c>
      <c r="S893" s="5">
        <f t="shared" si="26"/>
        <v>-7.8414650567799268E-2</v>
      </c>
      <c r="T893">
        <v>1113.95</v>
      </c>
      <c r="U893">
        <v>7</v>
      </c>
      <c r="V893">
        <v>2023</v>
      </c>
      <c r="W893">
        <v>3</v>
      </c>
      <c r="X893" t="s">
        <v>9898</v>
      </c>
      <c r="Y893" t="s">
        <v>9900</v>
      </c>
      <c r="Z893" t="s">
        <v>9898</v>
      </c>
      <c r="AD893">
        <f t="shared" si="27"/>
        <v>2</v>
      </c>
    </row>
    <row r="894" spans="1:30" x14ac:dyDescent="0.25">
      <c r="A894" t="s">
        <v>918</v>
      </c>
      <c r="B894" s="2">
        <v>44842</v>
      </c>
      <c r="C894" s="2">
        <v>44848</v>
      </c>
      <c r="D894" t="s">
        <v>5435</v>
      </c>
      <c r="E894" t="s">
        <v>5935</v>
      </c>
      <c r="F894" t="s">
        <v>6026</v>
      </c>
      <c r="G894" t="s">
        <v>6029</v>
      </c>
      <c r="H894" t="s">
        <v>6044</v>
      </c>
      <c r="I894" t="s">
        <v>6046</v>
      </c>
      <c r="J894" t="s">
        <v>6054</v>
      </c>
      <c r="K894" t="s">
        <v>6062</v>
      </c>
      <c r="L894" t="s">
        <v>6914</v>
      </c>
      <c r="M894">
        <v>1791.81</v>
      </c>
      <c r="N894">
        <v>7</v>
      </c>
      <c r="O894">
        <v>0.22</v>
      </c>
      <c r="P894">
        <v>-47.35</v>
      </c>
      <c r="Q894" t="s">
        <v>9893</v>
      </c>
      <c r="R894">
        <v>6</v>
      </c>
      <c r="S894" s="5">
        <f t="shared" si="26"/>
        <v>-2.6425792913311121E-2</v>
      </c>
      <c r="T894">
        <v>255.97285714285709</v>
      </c>
      <c r="U894">
        <v>10</v>
      </c>
      <c r="V894">
        <v>2022</v>
      </c>
      <c r="W894">
        <v>4</v>
      </c>
      <c r="X894" t="s">
        <v>9898</v>
      </c>
      <c r="Y894" t="s">
        <v>9900</v>
      </c>
      <c r="Z894" t="s">
        <v>9898</v>
      </c>
      <c r="AD894">
        <f t="shared" si="27"/>
        <v>6</v>
      </c>
    </row>
    <row r="895" spans="1:30" x14ac:dyDescent="0.25">
      <c r="A895" t="s">
        <v>919</v>
      </c>
      <c r="B895" s="2">
        <v>44745</v>
      </c>
      <c r="C895" s="2">
        <v>44749</v>
      </c>
      <c r="D895" t="s">
        <v>5042</v>
      </c>
      <c r="E895" t="s">
        <v>5542</v>
      </c>
      <c r="F895" t="s">
        <v>6028</v>
      </c>
      <c r="G895" t="s">
        <v>6029</v>
      </c>
      <c r="H895" t="s">
        <v>6045</v>
      </c>
      <c r="I895" t="s">
        <v>6049</v>
      </c>
      <c r="J895" t="s">
        <v>6054</v>
      </c>
      <c r="K895" t="s">
        <v>6059</v>
      </c>
      <c r="L895" t="s">
        <v>6915</v>
      </c>
      <c r="M895">
        <v>516.41999999999996</v>
      </c>
      <c r="N895">
        <v>3</v>
      </c>
      <c r="O895">
        <v>7.0000000000000007E-2</v>
      </c>
      <c r="P895">
        <v>17.829999999999998</v>
      </c>
      <c r="Q895" t="s">
        <v>9895</v>
      </c>
      <c r="R895">
        <v>4</v>
      </c>
      <c r="S895" s="5">
        <f t="shared" si="26"/>
        <v>3.4526160876805698E-2</v>
      </c>
      <c r="T895">
        <v>172.14</v>
      </c>
      <c r="U895">
        <v>7</v>
      </c>
      <c r="V895">
        <v>2022</v>
      </c>
      <c r="W895">
        <v>3</v>
      </c>
      <c r="X895" t="s">
        <v>9899</v>
      </c>
      <c r="Y895" t="s">
        <v>9901</v>
      </c>
      <c r="Z895" t="s">
        <v>9899</v>
      </c>
      <c r="AD895">
        <f t="shared" si="27"/>
        <v>4</v>
      </c>
    </row>
    <row r="896" spans="1:30" x14ac:dyDescent="0.25">
      <c r="A896" t="s">
        <v>920</v>
      </c>
      <c r="B896" s="2">
        <v>45165</v>
      </c>
      <c r="C896" s="2">
        <v>45171</v>
      </c>
      <c r="D896" t="s">
        <v>5088</v>
      </c>
      <c r="E896" t="s">
        <v>5588</v>
      </c>
      <c r="F896" t="s">
        <v>6027</v>
      </c>
      <c r="G896" t="s">
        <v>6031</v>
      </c>
      <c r="H896" t="s">
        <v>6037</v>
      </c>
      <c r="I896" t="s">
        <v>6048</v>
      </c>
      <c r="J896" t="s">
        <v>6053</v>
      </c>
      <c r="K896" t="s">
        <v>6057</v>
      </c>
      <c r="L896" t="s">
        <v>6916</v>
      </c>
      <c r="M896">
        <v>1890.05</v>
      </c>
      <c r="N896">
        <v>4</v>
      </c>
      <c r="O896">
        <v>0.33</v>
      </c>
      <c r="P896">
        <v>-94.43</v>
      </c>
      <c r="Q896" t="s">
        <v>9894</v>
      </c>
      <c r="R896">
        <v>6</v>
      </c>
      <c r="S896" s="5">
        <f t="shared" si="26"/>
        <v>-4.9961641226422583E-2</v>
      </c>
      <c r="T896">
        <v>472.51249999999999</v>
      </c>
      <c r="U896">
        <v>8</v>
      </c>
      <c r="V896">
        <v>2023</v>
      </c>
      <c r="W896">
        <v>3</v>
      </c>
      <c r="X896" t="s">
        <v>9898</v>
      </c>
      <c r="Y896" t="s">
        <v>9902</v>
      </c>
      <c r="Z896" t="s">
        <v>9898</v>
      </c>
      <c r="AD896">
        <f t="shared" si="27"/>
        <v>6</v>
      </c>
    </row>
    <row r="897" spans="1:30" x14ac:dyDescent="0.25">
      <c r="A897" t="s">
        <v>921</v>
      </c>
      <c r="B897" s="2">
        <v>44785</v>
      </c>
      <c r="C897" s="2">
        <v>44790</v>
      </c>
      <c r="D897" t="s">
        <v>5389</v>
      </c>
      <c r="E897" t="s">
        <v>5889</v>
      </c>
      <c r="F897" t="s">
        <v>6027</v>
      </c>
      <c r="G897" t="s">
        <v>6029</v>
      </c>
      <c r="H897" t="s">
        <v>6036</v>
      </c>
      <c r="I897" t="s">
        <v>6050</v>
      </c>
      <c r="J897" t="s">
        <v>6055</v>
      </c>
      <c r="K897" t="s">
        <v>6061</v>
      </c>
      <c r="L897" t="s">
        <v>6917</v>
      </c>
      <c r="M897">
        <v>1590.48</v>
      </c>
      <c r="N897">
        <v>1</v>
      </c>
      <c r="O897">
        <v>0.2</v>
      </c>
      <c r="P897">
        <v>119.5</v>
      </c>
      <c r="Q897" t="s">
        <v>9894</v>
      </c>
      <c r="R897">
        <v>5</v>
      </c>
      <c r="S897" s="5">
        <f t="shared" si="26"/>
        <v>7.5134550575926759E-2</v>
      </c>
      <c r="T897">
        <v>1590.48</v>
      </c>
      <c r="U897">
        <v>8</v>
      </c>
      <c r="V897">
        <v>2022</v>
      </c>
      <c r="W897">
        <v>3</v>
      </c>
      <c r="X897" t="s">
        <v>9899</v>
      </c>
      <c r="Y897" t="s">
        <v>9900</v>
      </c>
      <c r="Z897" t="s">
        <v>9898</v>
      </c>
      <c r="AD897">
        <f t="shared" si="27"/>
        <v>5</v>
      </c>
    </row>
    <row r="898" spans="1:30" x14ac:dyDescent="0.25">
      <c r="A898" t="s">
        <v>922</v>
      </c>
      <c r="B898" s="2">
        <v>44628</v>
      </c>
      <c r="C898" s="2">
        <v>44630</v>
      </c>
      <c r="D898" t="s">
        <v>5302</v>
      </c>
      <c r="E898" t="s">
        <v>5802</v>
      </c>
      <c r="F898" t="s">
        <v>6028</v>
      </c>
      <c r="G898" t="s">
        <v>6029</v>
      </c>
      <c r="H898" t="s">
        <v>6036</v>
      </c>
      <c r="I898" t="s">
        <v>6046</v>
      </c>
      <c r="J898" t="s">
        <v>6054</v>
      </c>
      <c r="K898" t="s">
        <v>6059</v>
      </c>
      <c r="L898" t="s">
        <v>6918</v>
      </c>
      <c r="M898">
        <v>140.15</v>
      </c>
      <c r="N898">
        <v>4</v>
      </c>
      <c r="O898">
        <v>0.02</v>
      </c>
      <c r="P898">
        <v>19.09</v>
      </c>
      <c r="Q898" t="s">
        <v>9894</v>
      </c>
      <c r="R898">
        <v>2</v>
      </c>
      <c r="S898" s="5">
        <f t="shared" si="26"/>
        <v>0.13621120228326791</v>
      </c>
      <c r="T898">
        <v>35.037500000000001</v>
      </c>
      <c r="U898">
        <v>3</v>
      </c>
      <c r="V898">
        <v>2022</v>
      </c>
      <c r="W898">
        <v>1</v>
      </c>
      <c r="X898" t="s">
        <v>9899</v>
      </c>
      <c r="Y898" t="s">
        <v>9901</v>
      </c>
      <c r="Z898" t="s">
        <v>9899</v>
      </c>
      <c r="AD898">
        <f t="shared" si="27"/>
        <v>2</v>
      </c>
    </row>
    <row r="899" spans="1:30" x14ac:dyDescent="0.25">
      <c r="A899" t="s">
        <v>923</v>
      </c>
      <c r="B899" s="2">
        <v>44863</v>
      </c>
      <c r="C899" s="2">
        <v>44868</v>
      </c>
      <c r="D899" t="s">
        <v>5445</v>
      </c>
      <c r="E899" t="s">
        <v>5945</v>
      </c>
      <c r="F899" t="s">
        <v>6028</v>
      </c>
      <c r="G899" t="s">
        <v>6029</v>
      </c>
      <c r="H899" t="s">
        <v>6036</v>
      </c>
      <c r="I899" t="s">
        <v>6046</v>
      </c>
      <c r="J899" t="s">
        <v>6053</v>
      </c>
      <c r="K899" t="s">
        <v>6058</v>
      </c>
      <c r="L899" t="s">
        <v>6919</v>
      </c>
      <c r="M899">
        <v>516.27</v>
      </c>
      <c r="N899">
        <v>2</v>
      </c>
      <c r="O899">
        <v>0.12</v>
      </c>
      <c r="P899">
        <v>27.03</v>
      </c>
      <c r="Q899" t="s">
        <v>9893</v>
      </c>
      <c r="R899">
        <v>5</v>
      </c>
      <c r="S899" s="5">
        <f t="shared" ref="S899:S962" si="28">P899/M899</f>
        <v>5.2356325178685575E-2</v>
      </c>
      <c r="T899">
        <v>258.13499999999999</v>
      </c>
      <c r="U899">
        <v>10</v>
      </c>
      <c r="V899">
        <v>2022</v>
      </c>
      <c r="W899">
        <v>4</v>
      </c>
      <c r="X899" t="s">
        <v>9899</v>
      </c>
      <c r="Y899" t="s">
        <v>9901</v>
      </c>
      <c r="Z899" t="s">
        <v>9899</v>
      </c>
      <c r="AD899">
        <f t="shared" ref="AD899:AD962" si="29">C899-B899</f>
        <v>5</v>
      </c>
    </row>
    <row r="900" spans="1:30" x14ac:dyDescent="0.25">
      <c r="A900" t="s">
        <v>924</v>
      </c>
      <c r="B900" s="2">
        <v>45336</v>
      </c>
      <c r="C900" s="2">
        <v>45337</v>
      </c>
      <c r="D900" t="s">
        <v>5280</v>
      </c>
      <c r="E900" t="s">
        <v>5780</v>
      </c>
      <c r="F900" t="s">
        <v>6027</v>
      </c>
      <c r="G900" t="s">
        <v>6030</v>
      </c>
      <c r="H900" t="s">
        <v>6039</v>
      </c>
      <c r="I900" t="s">
        <v>6051</v>
      </c>
      <c r="J900" t="s">
        <v>6053</v>
      </c>
      <c r="K900" t="s">
        <v>6058</v>
      </c>
      <c r="L900" t="s">
        <v>6920</v>
      </c>
      <c r="M900">
        <v>1784.54</v>
      </c>
      <c r="N900">
        <v>7</v>
      </c>
      <c r="O900">
        <v>0.27</v>
      </c>
      <c r="P900">
        <v>-114.39</v>
      </c>
      <c r="Q900" t="s">
        <v>9893</v>
      </c>
      <c r="R900">
        <v>1</v>
      </c>
      <c r="S900" s="5">
        <f t="shared" si="28"/>
        <v>-6.4100552523339349E-2</v>
      </c>
      <c r="T900">
        <v>254.93428571428569</v>
      </c>
      <c r="U900">
        <v>2</v>
      </c>
      <c r="V900">
        <v>2024</v>
      </c>
      <c r="W900">
        <v>1</v>
      </c>
      <c r="X900" t="s">
        <v>9898</v>
      </c>
      <c r="Y900" t="s">
        <v>9900</v>
      </c>
      <c r="Z900" t="s">
        <v>9898</v>
      </c>
      <c r="AD900">
        <f t="shared" si="29"/>
        <v>1</v>
      </c>
    </row>
    <row r="901" spans="1:30" x14ac:dyDescent="0.25">
      <c r="A901" t="s">
        <v>925</v>
      </c>
      <c r="B901" s="2">
        <v>44714</v>
      </c>
      <c r="C901" s="2">
        <v>44720</v>
      </c>
      <c r="D901" t="s">
        <v>5360</v>
      </c>
      <c r="E901" t="s">
        <v>5860</v>
      </c>
      <c r="F901" t="s">
        <v>6026</v>
      </c>
      <c r="G901" t="s">
        <v>6031</v>
      </c>
      <c r="H901" t="s">
        <v>6040</v>
      </c>
      <c r="I901" t="s">
        <v>6050</v>
      </c>
      <c r="J901" t="s">
        <v>6053</v>
      </c>
      <c r="K901" t="s">
        <v>6057</v>
      </c>
      <c r="L901" t="s">
        <v>6921</v>
      </c>
      <c r="M901">
        <v>1968.36</v>
      </c>
      <c r="N901">
        <v>8</v>
      </c>
      <c r="O901">
        <v>0.3</v>
      </c>
      <c r="P901">
        <v>-36.54</v>
      </c>
      <c r="Q901" t="s">
        <v>9897</v>
      </c>
      <c r="R901">
        <v>6</v>
      </c>
      <c r="S901" s="5">
        <f t="shared" si="28"/>
        <v>-1.856367737608974E-2</v>
      </c>
      <c r="T901">
        <v>246.04499999999999</v>
      </c>
      <c r="U901">
        <v>6</v>
      </c>
      <c r="V901">
        <v>2022</v>
      </c>
      <c r="W901">
        <v>2</v>
      </c>
      <c r="X901" t="s">
        <v>9898</v>
      </c>
      <c r="Y901" t="s">
        <v>9900</v>
      </c>
      <c r="Z901" t="s">
        <v>9898</v>
      </c>
      <c r="AD901">
        <f t="shared" si="29"/>
        <v>6</v>
      </c>
    </row>
    <row r="902" spans="1:30" x14ac:dyDescent="0.25">
      <c r="A902" t="s">
        <v>926</v>
      </c>
      <c r="B902" s="2">
        <v>45224</v>
      </c>
      <c r="C902" s="2">
        <v>45226</v>
      </c>
      <c r="D902" t="s">
        <v>5446</v>
      </c>
      <c r="E902" t="s">
        <v>5946</v>
      </c>
      <c r="F902" t="s">
        <v>6028</v>
      </c>
      <c r="G902" t="s">
        <v>6031</v>
      </c>
      <c r="H902" t="s">
        <v>6037</v>
      </c>
      <c r="I902" t="s">
        <v>6052</v>
      </c>
      <c r="J902" t="s">
        <v>6055</v>
      </c>
      <c r="K902" t="s">
        <v>6061</v>
      </c>
      <c r="L902" t="s">
        <v>6922</v>
      </c>
      <c r="M902">
        <v>1228.0999999999999</v>
      </c>
      <c r="N902">
        <v>5</v>
      </c>
      <c r="O902">
        <v>0.2</v>
      </c>
      <c r="P902">
        <v>-71.63</v>
      </c>
      <c r="Q902" t="s">
        <v>9895</v>
      </c>
      <c r="R902">
        <v>2</v>
      </c>
      <c r="S902" s="5">
        <f t="shared" si="28"/>
        <v>-5.8325869228890159E-2</v>
      </c>
      <c r="T902">
        <v>245.62</v>
      </c>
      <c r="U902">
        <v>10</v>
      </c>
      <c r="V902">
        <v>2023</v>
      </c>
      <c r="W902">
        <v>4</v>
      </c>
      <c r="X902" t="s">
        <v>9898</v>
      </c>
      <c r="Y902" t="s">
        <v>9900</v>
      </c>
      <c r="Z902" t="s">
        <v>9898</v>
      </c>
      <c r="AD902">
        <f t="shared" si="29"/>
        <v>2</v>
      </c>
    </row>
    <row r="903" spans="1:30" x14ac:dyDescent="0.25">
      <c r="A903" t="s">
        <v>927</v>
      </c>
      <c r="B903" s="2">
        <v>44740</v>
      </c>
      <c r="C903" s="2">
        <v>44747</v>
      </c>
      <c r="D903" t="s">
        <v>5128</v>
      </c>
      <c r="E903" t="s">
        <v>5628</v>
      </c>
      <c r="F903" t="s">
        <v>6026</v>
      </c>
      <c r="G903" t="s">
        <v>6030</v>
      </c>
      <c r="H903" t="s">
        <v>6033</v>
      </c>
      <c r="I903" t="s">
        <v>6051</v>
      </c>
      <c r="J903" t="s">
        <v>6055</v>
      </c>
      <c r="K903" t="s">
        <v>6064</v>
      </c>
      <c r="L903" t="s">
        <v>6855</v>
      </c>
      <c r="M903">
        <v>314.79000000000002</v>
      </c>
      <c r="N903">
        <v>2</v>
      </c>
      <c r="O903">
        <v>0.12</v>
      </c>
      <c r="P903">
        <v>37.11</v>
      </c>
      <c r="Q903" t="s">
        <v>9893</v>
      </c>
      <c r="R903">
        <v>7</v>
      </c>
      <c r="S903" s="5">
        <f t="shared" si="28"/>
        <v>0.11788811588678165</v>
      </c>
      <c r="T903">
        <v>157.39500000000001</v>
      </c>
      <c r="U903">
        <v>6</v>
      </c>
      <c r="V903">
        <v>2022</v>
      </c>
      <c r="W903">
        <v>2</v>
      </c>
      <c r="X903" t="s">
        <v>9899</v>
      </c>
      <c r="Y903" t="s">
        <v>9901</v>
      </c>
      <c r="Z903" t="s">
        <v>9899</v>
      </c>
      <c r="AD903">
        <f t="shared" si="29"/>
        <v>7</v>
      </c>
    </row>
    <row r="904" spans="1:30" x14ac:dyDescent="0.25">
      <c r="A904" t="s">
        <v>928</v>
      </c>
      <c r="B904" s="2">
        <v>44878</v>
      </c>
      <c r="C904" s="2">
        <v>44882</v>
      </c>
      <c r="D904" t="s">
        <v>5075</v>
      </c>
      <c r="E904" t="s">
        <v>5575</v>
      </c>
      <c r="F904" t="s">
        <v>6028</v>
      </c>
      <c r="G904" t="s">
        <v>6030</v>
      </c>
      <c r="H904" t="s">
        <v>6035</v>
      </c>
      <c r="I904" t="s">
        <v>6051</v>
      </c>
      <c r="J904" t="s">
        <v>6054</v>
      </c>
      <c r="K904" t="s">
        <v>6062</v>
      </c>
      <c r="L904" t="s">
        <v>6923</v>
      </c>
      <c r="M904">
        <v>1128.81</v>
      </c>
      <c r="N904">
        <v>2</v>
      </c>
      <c r="O904">
        <v>0.33</v>
      </c>
      <c r="P904">
        <v>-234</v>
      </c>
      <c r="Q904" t="s">
        <v>9895</v>
      </c>
      <c r="R904">
        <v>4</v>
      </c>
      <c r="S904" s="5">
        <f t="shared" si="28"/>
        <v>-0.20729795093948494</v>
      </c>
      <c r="T904">
        <v>564.40499999999997</v>
      </c>
      <c r="U904">
        <v>11</v>
      </c>
      <c r="V904">
        <v>2022</v>
      </c>
      <c r="W904">
        <v>4</v>
      </c>
      <c r="X904" t="s">
        <v>9898</v>
      </c>
      <c r="Y904" t="s">
        <v>9902</v>
      </c>
      <c r="Z904" t="s">
        <v>9898</v>
      </c>
      <c r="AD904">
        <f t="shared" si="29"/>
        <v>4</v>
      </c>
    </row>
    <row r="905" spans="1:30" x14ac:dyDescent="0.25">
      <c r="A905" t="s">
        <v>929</v>
      </c>
      <c r="B905" s="2">
        <v>45309</v>
      </c>
      <c r="C905" s="2">
        <v>45311</v>
      </c>
      <c r="D905" t="s">
        <v>5176</v>
      </c>
      <c r="E905" t="s">
        <v>5676</v>
      </c>
      <c r="F905" t="s">
        <v>6026</v>
      </c>
      <c r="G905" t="s">
        <v>6029</v>
      </c>
      <c r="H905" t="s">
        <v>6045</v>
      </c>
      <c r="I905" t="s">
        <v>6050</v>
      </c>
      <c r="J905" t="s">
        <v>6053</v>
      </c>
      <c r="K905" t="s">
        <v>6056</v>
      </c>
      <c r="L905" t="s">
        <v>6924</v>
      </c>
      <c r="M905">
        <v>1907.85</v>
      </c>
      <c r="N905">
        <v>5</v>
      </c>
      <c r="O905">
        <v>0.23</v>
      </c>
      <c r="P905">
        <v>90.71</v>
      </c>
      <c r="Q905" t="s">
        <v>9897</v>
      </c>
      <c r="R905">
        <v>2</v>
      </c>
      <c r="S905" s="5">
        <f t="shared" si="28"/>
        <v>4.7545666588044135E-2</v>
      </c>
      <c r="T905">
        <v>381.57</v>
      </c>
      <c r="U905">
        <v>1</v>
      </c>
      <c r="V905">
        <v>2024</v>
      </c>
      <c r="W905">
        <v>1</v>
      </c>
      <c r="X905" t="s">
        <v>9899</v>
      </c>
      <c r="Y905" t="s">
        <v>9900</v>
      </c>
      <c r="Z905" t="s">
        <v>9898</v>
      </c>
      <c r="AD905">
        <f t="shared" si="29"/>
        <v>2</v>
      </c>
    </row>
    <row r="906" spans="1:30" x14ac:dyDescent="0.25">
      <c r="A906" t="s">
        <v>930</v>
      </c>
      <c r="B906" s="2">
        <v>45088</v>
      </c>
      <c r="C906" s="2">
        <v>45089</v>
      </c>
      <c r="D906" t="s">
        <v>5444</v>
      </c>
      <c r="E906" t="s">
        <v>5944</v>
      </c>
      <c r="F906" t="s">
        <v>6026</v>
      </c>
      <c r="G906" t="s">
        <v>6029</v>
      </c>
      <c r="H906" t="s">
        <v>6036</v>
      </c>
      <c r="I906" t="s">
        <v>6050</v>
      </c>
      <c r="J906" t="s">
        <v>6055</v>
      </c>
      <c r="K906" t="s">
        <v>6064</v>
      </c>
      <c r="L906" t="s">
        <v>6925</v>
      </c>
      <c r="M906">
        <v>281.95999999999998</v>
      </c>
      <c r="N906">
        <v>4</v>
      </c>
      <c r="O906">
        <v>0.32</v>
      </c>
      <c r="P906">
        <v>-7.83</v>
      </c>
      <c r="Q906" t="s">
        <v>9896</v>
      </c>
      <c r="R906">
        <v>1</v>
      </c>
      <c r="S906" s="5">
        <f t="shared" si="28"/>
        <v>-2.7769896439211239E-2</v>
      </c>
      <c r="T906">
        <v>70.489999999999995</v>
      </c>
      <c r="U906">
        <v>6</v>
      </c>
      <c r="V906">
        <v>2023</v>
      </c>
      <c r="W906">
        <v>2</v>
      </c>
      <c r="X906" t="s">
        <v>9898</v>
      </c>
      <c r="Y906" t="s">
        <v>9902</v>
      </c>
      <c r="Z906" t="s">
        <v>9899</v>
      </c>
      <c r="AD906">
        <f t="shared" si="29"/>
        <v>1</v>
      </c>
    </row>
    <row r="907" spans="1:30" x14ac:dyDescent="0.25">
      <c r="A907" t="s">
        <v>931</v>
      </c>
      <c r="B907" s="2">
        <v>45047</v>
      </c>
      <c r="C907" s="2">
        <v>45049</v>
      </c>
      <c r="D907" t="s">
        <v>5319</v>
      </c>
      <c r="E907" t="s">
        <v>5819</v>
      </c>
      <c r="F907" t="s">
        <v>6026</v>
      </c>
      <c r="G907" t="s">
        <v>6031</v>
      </c>
      <c r="H907" t="s">
        <v>6042</v>
      </c>
      <c r="I907" t="s">
        <v>6052</v>
      </c>
      <c r="J907" t="s">
        <v>6053</v>
      </c>
      <c r="K907" t="s">
        <v>6056</v>
      </c>
      <c r="L907" t="s">
        <v>6926</v>
      </c>
      <c r="M907">
        <v>1820.44</v>
      </c>
      <c r="N907">
        <v>5</v>
      </c>
      <c r="O907">
        <v>0.13</v>
      </c>
      <c r="P907">
        <v>253</v>
      </c>
      <c r="Q907" t="s">
        <v>9893</v>
      </c>
      <c r="R907">
        <v>2</v>
      </c>
      <c r="S907" s="5">
        <f t="shared" si="28"/>
        <v>0.13897739008151874</v>
      </c>
      <c r="T907">
        <v>364.08800000000002</v>
      </c>
      <c r="U907">
        <v>5</v>
      </c>
      <c r="V907">
        <v>2023</v>
      </c>
      <c r="W907">
        <v>2</v>
      </c>
      <c r="X907" t="s">
        <v>9899</v>
      </c>
      <c r="Y907" t="s">
        <v>9901</v>
      </c>
      <c r="Z907" t="s">
        <v>9898</v>
      </c>
      <c r="AD907">
        <f t="shared" si="29"/>
        <v>2</v>
      </c>
    </row>
    <row r="908" spans="1:30" x14ac:dyDescent="0.25">
      <c r="A908" t="s">
        <v>932</v>
      </c>
      <c r="B908" s="2">
        <v>45262</v>
      </c>
      <c r="C908" s="2">
        <v>45265</v>
      </c>
      <c r="D908" t="s">
        <v>5232</v>
      </c>
      <c r="E908" t="s">
        <v>5732</v>
      </c>
      <c r="F908" t="s">
        <v>6028</v>
      </c>
      <c r="G908" t="s">
        <v>6030</v>
      </c>
      <c r="H908" t="s">
        <v>6033</v>
      </c>
      <c r="I908" t="s">
        <v>6047</v>
      </c>
      <c r="J908" t="s">
        <v>6054</v>
      </c>
      <c r="K908" t="s">
        <v>6059</v>
      </c>
      <c r="L908" t="s">
        <v>6927</v>
      </c>
      <c r="M908">
        <v>1077.4100000000001</v>
      </c>
      <c r="N908">
        <v>5</v>
      </c>
      <c r="O908">
        <v>0.04</v>
      </c>
      <c r="P908">
        <v>93.88</v>
      </c>
      <c r="Q908" t="s">
        <v>9893</v>
      </c>
      <c r="R908">
        <v>3</v>
      </c>
      <c r="S908" s="5">
        <f t="shared" si="28"/>
        <v>8.7134888296934304E-2</v>
      </c>
      <c r="T908">
        <v>215.482</v>
      </c>
      <c r="U908">
        <v>12</v>
      </c>
      <c r="V908">
        <v>2023</v>
      </c>
      <c r="W908">
        <v>4</v>
      </c>
      <c r="X908" t="s">
        <v>9899</v>
      </c>
      <c r="Y908" t="s">
        <v>9901</v>
      </c>
      <c r="Z908" t="s">
        <v>9898</v>
      </c>
      <c r="AD908">
        <f t="shared" si="29"/>
        <v>3</v>
      </c>
    </row>
    <row r="909" spans="1:30" x14ac:dyDescent="0.25">
      <c r="A909" t="s">
        <v>933</v>
      </c>
      <c r="B909" s="2">
        <v>45294</v>
      </c>
      <c r="C909" s="2">
        <v>45297</v>
      </c>
      <c r="D909" t="s">
        <v>5356</v>
      </c>
      <c r="E909" t="s">
        <v>5856</v>
      </c>
      <c r="F909" t="s">
        <v>6026</v>
      </c>
      <c r="G909" t="s">
        <v>6030</v>
      </c>
      <c r="H909" t="s">
        <v>6035</v>
      </c>
      <c r="I909" t="s">
        <v>6051</v>
      </c>
      <c r="J909" t="s">
        <v>6053</v>
      </c>
      <c r="K909" t="s">
        <v>6058</v>
      </c>
      <c r="L909" t="s">
        <v>6928</v>
      </c>
      <c r="M909">
        <v>1498.76</v>
      </c>
      <c r="N909">
        <v>7</v>
      </c>
      <c r="O909">
        <v>0.21</v>
      </c>
      <c r="P909">
        <v>-43.75</v>
      </c>
      <c r="Q909" t="s">
        <v>9896</v>
      </c>
      <c r="R909">
        <v>3</v>
      </c>
      <c r="S909" s="5">
        <f t="shared" si="28"/>
        <v>-2.9190797726120259E-2</v>
      </c>
      <c r="T909">
        <v>214.10857142857139</v>
      </c>
      <c r="U909">
        <v>1</v>
      </c>
      <c r="V909">
        <v>2024</v>
      </c>
      <c r="W909">
        <v>1</v>
      </c>
      <c r="X909" t="s">
        <v>9898</v>
      </c>
      <c r="Y909" t="s">
        <v>9900</v>
      </c>
      <c r="Z909" t="s">
        <v>9898</v>
      </c>
      <c r="AD909">
        <f t="shared" si="29"/>
        <v>3</v>
      </c>
    </row>
    <row r="910" spans="1:30" x14ac:dyDescent="0.25">
      <c r="A910" t="s">
        <v>934</v>
      </c>
      <c r="B910" s="2">
        <v>45181</v>
      </c>
      <c r="C910" s="2">
        <v>45186</v>
      </c>
      <c r="D910" t="s">
        <v>5295</v>
      </c>
      <c r="E910" t="s">
        <v>5795</v>
      </c>
      <c r="F910" t="s">
        <v>6028</v>
      </c>
      <c r="G910" t="s">
        <v>6031</v>
      </c>
      <c r="H910" t="s">
        <v>6034</v>
      </c>
      <c r="I910" t="s">
        <v>6050</v>
      </c>
      <c r="J910" t="s">
        <v>6054</v>
      </c>
      <c r="K910" t="s">
        <v>6059</v>
      </c>
      <c r="L910" t="s">
        <v>6929</v>
      </c>
      <c r="M910">
        <v>1075.6400000000001</v>
      </c>
      <c r="N910">
        <v>2</v>
      </c>
      <c r="O910">
        <v>0.26</v>
      </c>
      <c r="P910">
        <v>-87.62</v>
      </c>
      <c r="Q910" t="s">
        <v>9896</v>
      </c>
      <c r="R910">
        <v>5</v>
      </c>
      <c r="S910" s="5">
        <f t="shared" si="28"/>
        <v>-8.1458480532520167E-2</v>
      </c>
      <c r="T910">
        <v>537.82000000000005</v>
      </c>
      <c r="U910">
        <v>9</v>
      </c>
      <c r="V910">
        <v>2023</v>
      </c>
      <c r="W910">
        <v>3</v>
      </c>
      <c r="X910" t="s">
        <v>9898</v>
      </c>
      <c r="Y910" t="s">
        <v>9900</v>
      </c>
      <c r="Z910" t="s">
        <v>9898</v>
      </c>
      <c r="AD910">
        <f t="shared" si="29"/>
        <v>5</v>
      </c>
    </row>
    <row r="911" spans="1:30" x14ac:dyDescent="0.25">
      <c r="A911" t="s">
        <v>935</v>
      </c>
      <c r="B911" s="2">
        <v>45016</v>
      </c>
      <c r="C911" s="2">
        <v>45017</v>
      </c>
      <c r="D911" t="s">
        <v>5447</v>
      </c>
      <c r="E911" t="s">
        <v>5947</v>
      </c>
      <c r="F911" t="s">
        <v>6027</v>
      </c>
      <c r="G911" t="s">
        <v>6029</v>
      </c>
      <c r="H911" t="s">
        <v>6044</v>
      </c>
      <c r="I911" t="s">
        <v>6046</v>
      </c>
      <c r="J911" t="s">
        <v>6054</v>
      </c>
      <c r="K911" t="s">
        <v>6062</v>
      </c>
      <c r="L911" t="s">
        <v>6141</v>
      </c>
      <c r="M911">
        <v>669.85</v>
      </c>
      <c r="N911">
        <v>8</v>
      </c>
      <c r="O911">
        <v>0.12</v>
      </c>
      <c r="P911">
        <v>78.2</v>
      </c>
      <c r="Q911" t="s">
        <v>9897</v>
      </c>
      <c r="R911">
        <v>1</v>
      </c>
      <c r="S911" s="5">
        <f t="shared" si="28"/>
        <v>0.11674255430320221</v>
      </c>
      <c r="T911">
        <v>83.731250000000003</v>
      </c>
      <c r="U911">
        <v>3</v>
      </c>
      <c r="V911">
        <v>2023</v>
      </c>
      <c r="W911">
        <v>1</v>
      </c>
      <c r="X911" t="s">
        <v>9899</v>
      </c>
      <c r="Y911" t="s">
        <v>9901</v>
      </c>
      <c r="Z911" t="s">
        <v>9899</v>
      </c>
      <c r="AD911">
        <f t="shared" si="29"/>
        <v>1</v>
      </c>
    </row>
    <row r="912" spans="1:30" x14ac:dyDescent="0.25">
      <c r="A912" t="s">
        <v>936</v>
      </c>
      <c r="B912" s="2">
        <v>44600</v>
      </c>
      <c r="C912" s="2">
        <v>44603</v>
      </c>
      <c r="D912" t="s">
        <v>5070</v>
      </c>
      <c r="E912" t="s">
        <v>5570</v>
      </c>
      <c r="F912" t="s">
        <v>6028</v>
      </c>
      <c r="G912" t="s">
        <v>6029</v>
      </c>
      <c r="H912" t="s">
        <v>6032</v>
      </c>
      <c r="I912" t="s">
        <v>6046</v>
      </c>
      <c r="J912" t="s">
        <v>6054</v>
      </c>
      <c r="K912" t="s">
        <v>6060</v>
      </c>
      <c r="L912" t="s">
        <v>6930</v>
      </c>
      <c r="M912">
        <v>403.26</v>
      </c>
      <c r="N912">
        <v>4</v>
      </c>
      <c r="O912">
        <v>0.13</v>
      </c>
      <c r="P912">
        <v>1.7</v>
      </c>
      <c r="Q912" t="s">
        <v>9894</v>
      </c>
      <c r="R912">
        <v>3</v>
      </c>
      <c r="S912" s="5">
        <f t="shared" si="28"/>
        <v>4.2156425135148543E-3</v>
      </c>
      <c r="T912">
        <v>100.815</v>
      </c>
      <c r="U912">
        <v>2</v>
      </c>
      <c r="V912">
        <v>2022</v>
      </c>
      <c r="W912">
        <v>1</v>
      </c>
      <c r="X912" t="s">
        <v>9899</v>
      </c>
      <c r="Y912" t="s">
        <v>9901</v>
      </c>
      <c r="Z912" t="s">
        <v>9899</v>
      </c>
      <c r="AD912">
        <f t="shared" si="29"/>
        <v>3</v>
      </c>
    </row>
    <row r="913" spans="1:30" x14ac:dyDescent="0.25">
      <c r="A913" t="s">
        <v>937</v>
      </c>
      <c r="B913" s="2">
        <v>44712</v>
      </c>
      <c r="C913" s="2">
        <v>44718</v>
      </c>
      <c r="D913" t="s">
        <v>5381</v>
      </c>
      <c r="E913" t="s">
        <v>5881</v>
      </c>
      <c r="F913" t="s">
        <v>6028</v>
      </c>
      <c r="G913" t="s">
        <v>6029</v>
      </c>
      <c r="H913" t="s">
        <v>6045</v>
      </c>
      <c r="I913" t="s">
        <v>6046</v>
      </c>
      <c r="J913" t="s">
        <v>6054</v>
      </c>
      <c r="K913" t="s">
        <v>6062</v>
      </c>
      <c r="L913" t="s">
        <v>6931</v>
      </c>
      <c r="M913">
        <v>521.26</v>
      </c>
      <c r="N913">
        <v>2</v>
      </c>
      <c r="O913">
        <v>0.33</v>
      </c>
      <c r="P913">
        <v>-96.78</v>
      </c>
      <c r="Q913" t="s">
        <v>9894</v>
      </c>
      <c r="R913">
        <v>6</v>
      </c>
      <c r="S913" s="5">
        <f t="shared" si="28"/>
        <v>-0.18566550282008978</v>
      </c>
      <c r="T913">
        <v>260.63</v>
      </c>
      <c r="U913">
        <v>5</v>
      </c>
      <c r="V913">
        <v>2022</v>
      </c>
      <c r="W913">
        <v>2</v>
      </c>
      <c r="X913" t="s">
        <v>9898</v>
      </c>
      <c r="Y913" t="s">
        <v>9902</v>
      </c>
      <c r="Z913" t="s">
        <v>9899</v>
      </c>
      <c r="AD913">
        <f t="shared" si="29"/>
        <v>6</v>
      </c>
    </row>
    <row r="914" spans="1:30" x14ac:dyDescent="0.25">
      <c r="A914" t="s">
        <v>938</v>
      </c>
      <c r="B914" s="2">
        <v>44734</v>
      </c>
      <c r="C914" s="2">
        <v>44738</v>
      </c>
      <c r="D914" t="s">
        <v>5312</v>
      </c>
      <c r="E914" t="s">
        <v>5812</v>
      </c>
      <c r="F914" t="s">
        <v>6027</v>
      </c>
      <c r="G914" t="s">
        <v>6030</v>
      </c>
      <c r="H914" t="s">
        <v>6038</v>
      </c>
      <c r="I914" t="s">
        <v>6051</v>
      </c>
      <c r="J914" t="s">
        <v>6055</v>
      </c>
      <c r="K914" t="s">
        <v>6061</v>
      </c>
      <c r="L914" t="s">
        <v>6932</v>
      </c>
      <c r="M914">
        <v>1732.52</v>
      </c>
      <c r="N914">
        <v>6</v>
      </c>
      <c r="O914">
        <v>0.2</v>
      </c>
      <c r="P914">
        <v>111.47</v>
      </c>
      <c r="Q914" t="s">
        <v>9894</v>
      </c>
      <c r="R914">
        <v>4</v>
      </c>
      <c r="S914" s="5">
        <f t="shared" si="28"/>
        <v>6.4339805601089747E-2</v>
      </c>
      <c r="T914">
        <v>288.75333333333327</v>
      </c>
      <c r="U914">
        <v>6</v>
      </c>
      <c r="V914">
        <v>2022</v>
      </c>
      <c r="W914">
        <v>2</v>
      </c>
      <c r="X914" t="s">
        <v>9899</v>
      </c>
      <c r="Y914" t="s">
        <v>9900</v>
      </c>
      <c r="Z914" t="s">
        <v>9898</v>
      </c>
      <c r="AD914">
        <f t="shared" si="29"/>
        <v>4</v>
      </c>
    </row>
    <row r="915" spans="1:30" x14ac:dyDescent="0.25">
      <c r="A915" t="s">
        <v>939</v>
      </c>
      <c r="B915" s="2">
        <v>44609</v>
      </c>
      <c r="C915" s="2">
        <v>44611</v>
      </c>
      <c r="D915" t="s">
        <v>5316</v>
      </c>
      <c r="E915" t="s">
        <v>5816</v>
      </c>
      <c r="F915" t="s">
        <v>6028</v>
      </c>
      <c r="G915" t="s">
        <v>6030</v>
      </c>
      <c r="H915" t="s">
        <v>6039</v>
      </c>
      <c r="I915" t="s">
        <v>6051</v>
      </c>
      <c r="J915" t="s">
        <v>6055</v>
      </c>
      <c r="K915" t="s">
        <v>6061</v>
      </c>
      <c r="L915" t="s">
        <v>6933</v>
      </c>
      <c r="M915">
        <v>234.3</v>
      </c>
      <c r="N915">
        <v>8</v>
      </c>
      <c r="O915">
        <v>0</v>
      </c>
      <c r="P915">
        <v>34.24</v>
      </c>
      <c r="Q915" t="s">
        <v>9893</v>
      </c>
      <c r="R915">
        <v>2</v>
      </c>
      <c r="S915" s="5">
        <f t="shared" si="28"/>
        <v>0.1461374306444729</v>
      </c>
      <c r="T915">
        <v>29.287500000000001</v>
      </c>
      <c r="U915">
        <v>2</v>
      </c>
      <c r="V915">
        <v>2022</v>
      </c>
      <c r="W915">
        <v>1</v>
      </c>
      <c r="X915" t="s">
        <v>9899</v>
      </c>
      <c r="Y915" t="s">
        <v>9901</v>
      </c>
      <c r="Z915" t="s">
        <v>9899</v>
      </c>
      <c r="AD915">
        <f t="shared" si="29"/>
        <v>2</v>
      </c>
    </row>
    <row r="916" spans="1:30" x14ac:dyDescent="0.25">
      <c r="A916" t="s">
        <v>940</v>
      </c>
      <c r="B916" s="2">
        <v>44874</v>
      </c>
      <c r="C916" s="2">
        <v>44878</v>
      </c>
      <c r="D916" t="s">
        <v>5448</v>
      </c>
      <c r="E916" t="s">
        <v>5948</v>
      </c>
      <c r="F916" t="s">
        <v>6027</v>
      </c>
      <c r="G916" t="s">
        <v>6029</v>
      </c>
      <c r="H916" t="s">
        <v>6045</v>
      </c>
      <c r="I916" t="s">
        <v>6046</v>
      </c>
      <c r="J916" t="s">
        <v>6055</v>
      </c>
      <c r="K916" t="s">
        <v>6063</v>
      </c>
      <c r="L916" t="s">
        <v>6934</v>
      </c>
      <c r="M916">
        <v>1919.61</v>
      </c>
      <c r="N916">
        <v>2</v>
      </c>
      <c r="O916">
        <v>0.15</v>
      </c>
      <c r="P916">
        <v>40.770000000000003</v>
      </c>
      <c r="Q916" t="s">
        <v>9894</v>
      </c>
      <c r="R916">
        <v>4</v>
      </c>
      <c r="S916" s="5">
        <f t="shared" si="28"/>
        <v>2.1238689108725211E-2</v>
      </c>
      <c r="T916">
        <v>959.80499999999995</v>
      </c>
      <c r="U916">
        <v>11</v>
      </c>
      <c r="V916">
        <v>2022</v>
      </c>
      <c r="W916">
        <v>4</v>
      </c>
      <c r="X916" t="s">
        <v>9899</v>
      </c>
      <c r="Y916" t="s">
        <v>9901</v>
      </c>
      <c r="Z916" t="s">
        <v>9898</v>
      </c>
      <c r="AD916">
        <f t="shared" si="29"/>
        <v>4</v>
      </c>
    </row>
    <row r="917" spans="1:30" x14ac:dyDescent="0.25">
      <c r="A917" t="s">
        <v>941</v>
      </c>
      <c r="B917" s="2">
        <v>45326</v>
      </c>
      <c r="C917" s="2">
        <v>45329</v>
      </c>
      <c r="D917" t="s">
        <v>5449</v>
      </c>
      <c r="E917" t="s">
        <v>5949</v>
      </c>
      <c r="F917" t="s">
        <v>6027</v>
      </c>
      <c r="G917" t="s">
        <v>6029</v>
      </c>
      <c r="H917" t="s">
        <v>6032</v>
      </c>
      <c r="I917" t="s">
        <v>6046</v>
      </c>
      <c r="J917" t="s">
        <v>6054</v>
      </c>
      <c r="K917" t="s">
        <v>6060</v>
      </c>
      <c r="L917" t="s">
        <v>6935</v>
      </c>
      <c r="M917">
        <v>1768.8</v>
      </c>
      <c r="N917">
        <v>8</v>
      </c>
      <c r="O917">
        <v>0.26</v>
      </c>
      <c r="P917">
        <v>-248.17</v>
      </c>
      <c r="Q917" t="s">
        <v>9896</v>
      </c>
      <c r="R917">
        <v>3</v>
      </c>
      <c r="S917" s="5">
        <f t="shared" si="28"/>
        <v>-0.14030416101311624</v>
      </c>
      <c r="T917">
        <v>221.1</v>
      </c>
      <c r="U917">
        <v>2</v>
      </c>
      <c r="V917">
        <v>2024</v>
      </c>
      <c r="W917">
        <v>1</v>
      </c>
      <c r="X917" t="s">
        <v>9898</v>
      </c>
      <c r="Y917" t="s">
        <v>9900</v>
      </c>
      <c r="Z917" t="s">
        <v>9898</v>
      </c>
      <c r="AD917">
        <f t="shared" si="29"/>
        <v>3</v>
      </c>
    </row>
    <row r="918" spans="1:30" x14ac:dyDescent="0.25">
      <c r="A918" t="s">
        <v>942</v>
      </c>
      <c r="B918" s="2">
        <v>44630</v>
      </c>
      <c r="C918" s="2">
        <v>44635</v>
      </c>
      <c r="D918" t="s">
        <v>5322</v>
      </c>
      <c r="E918" t="s">
        <v>5822</v>
      </c>
      <c r="F918" t="s">
        <v>6028</v>
      </c>
      <c r="G918" t="s">
        <v>6030</v>
      </c>
      <c r="H918" t="s">
        <v>6033</v>
      </c>
      <c r="I918" t="s">
        <v>6051</v>
      </c>
      <c r="J918" t="s">
        <v>6053</v>
      </c>
      <c r="K918" t="s">
        <v>6056</v>
      </c>
      <c r="L918" t="s">
        <v>6936</v>
      </c>
      <c r="M918">
        <v>543.19000000000005</v>
      </c>
      <c r="N918">
        <v>7</v>
      </c>
      <c r="O918">
        <v>0.24</v>
      </c>
      <c r="P918">
        <v>-38.869999999999997</v>
      </c>
      <c r="Q918" t="s">
        <v>9896</v>
      </c>
      <c r="R918">
        <v>5</v>
      </c>
      <c r="S918" s="5">
        <f t="shared" si="28"/>
        <v>-7.1558754763526564E-2</v>
      </c>
      <c r="T918">
        <v>77.598571428571432</v>
      </c>
      <c r="U918">
        <v>3</v>
      </c>
      <c r="V918">
        <v>2022</v>
      </c>
      <c r="W918">
        <v>1</v>
      </c>
      <c r="X918" t="s">
        <v>9898</v>
      </c>
      <c r="Y918" t="s">
        <v>9900</v>
      </c>
      <c r="Z918" t="s">
        <v>9899</v>
      </c>
      <c r="AD918">
        <f t="shared" si="29"/>
        <v>5</v>
      </c>
    </row>
    <row r="919" spans="1:30" x14ac:dyDescent="0.25">
      <c r="A919" t="s">
        <v>943</v>
      </c>
      <c r="B919" s="2">
        <v>44842</v>
      </c>
      <c r="C919" s="2">
        <v>44848</v>
      </c>
      <c r="D919" t="s">
        <v>5071</v>
      </c>
      <c r="E919" t="s">
        <v>5571</v>
      </c>
      <c r="F919" t="s">
        <v>6026</v>
      </c>
      <c r="G919" t="s">
        <v>6030</v>
      </c>
      <c r="H919" t="s">
        <v>6039</v>
      </c>
      <c r="I919" t="s">
        <v>6047</v>
      </c>
      <c r="J919" t="s">
        <v>6054</v>
      </c>
      <c r="K919" t="s">
        <v>6062</v>
      </c>
      <c r="L919" t="s">
        <v>6937</v>
      </c>
      <c r="M919">
        <v>1563.63</v>
      </c>
      <c r="N919">
        <v>6</v>
      </c>
      <c r="O919">
        <v>0.06</v>
      </c>
      <c r="P919">
        <v>358.49</v>
      </c>
      <c r="Q919" t="s">
        <v>9893</v>
      </c>
      <c r="R919">
        <v>6</v>
      </c>
      <c r="S919" s="5">
        <f t="shared" si="28"/>
        <v>0.22926779353171786</v>
      </c>
      <c r="T919">
        <v>260.60500000000002</v>
      </c>
      <c r="U919">
        <v>10</v>
      </c>
      <c r="V919">
        <v>2022</v>
      </c>
      <c r="W919">
        <v>4</v>
      </c>
      <c r="X919" t="s">
        <v>9899</v>
      </c>
      <c r="Y919" t="s">
        <v>9901</v>
      </c>
      <c r="Z919" t="s">
        <v>9898</v>
      </c>
      <c r="AD919">
        <f t="shared" si="29"/>
        <v>6</v>
      </c>
    </row>
    <row r="920" spans="1:30" x14ac:dyDescent="0.25">
      <c r="A920" t="s">
        <v>944</v>
      </c>
      <c r="B920" s="2">
        <v>44633</v>
      </c>
      <c r="C920" s="2">
        <v>44637</v>
      </c>
      <c r="D920" t="s">
        <v>5319</v>
      </c>
      <c r="E920" t="s">
        <v>5819</v>
      </c>
      <c r="F920" t="s">
        <v>6027</v>
      </c>
      <c r="G920" t="s">
        <v>6029</v>
      </c>
      <c r="H920" t="s">
        <v>6041</v>
      </c>
      <c r="I920" t="s">
        <v>6046</v>
      </c>
      <c r="J920" t="s">
        <v>6054</v>
      </c>
      <c r="K920" t="s">
        <v>6060</v>
      </c>
      <c r="L920" t="s">
        <v>6938</v>
      </c>
      <c r="M920">
        <v>141.16999999999999</v>
      </c>
      <c r="N920">
        <v>7</v>
      </c>
      <c r="O920">
        <v>0.16</v>
      </c>
      <c r="P920">
        <v>-6.61</v>
      </c>
      <c r="Q920" t="s">
        <v>9895</v>
      </c>
      <c r="R920">
        <v>4</v>
      </c>
      <c r="S920" s="5">
        <f t="shared" si="28"/>
        <v>-4.6822979386555226E-2</v>
      </c>
      <c r="T920">
        <v>20.16714285714286</v>
      </c>
      <c r="U920">
        <v>3</v>
      </c>
      <c r="V920">
        <v>2022</v>
      </c>
      <c r="W920">
        <v>1</v>
      </c>
      <c r="X920" t="s">
        <v>9898</v>
      </c>
      <c r="Y920" t="s">
        <v>9900</v>
      </c>
      <c r="Z920" t="s">
        <v>9899</v>
      </c>
      <c r="AD920">
        <f t="shared" si="29"/>
        <v>4</v>
      </c>
    </row>
    <row r="921" spans="1:30" x14ac:dyDescent="0.25">
      <c r="A921" t="s">
        <v>945</v>
      </c>
      <c r="B921" s="2">
        <v>45080</v>
      </c>
      <c r="C921" s="2">
        <v>45083</v>
      </c>
      <c r="D921" t="s">
        <v>5360</v>
      </c>
      <c r="E921" t="s">
        <v>5860</v>
      </c>
      <c r="F921" t="s">
        <v>6027</v>
      </c>
      <c r="G921" t="s">
        <v>6029</v>
      </c>
      <c r="H921" t="s">
        <v>6032</v>
      </c>
      <c r="I921" t="s">
        <v>6050</v>
      </c>
      <c r="J921" t="s">
        <v>6053</v>
      </c>
      <c r="K921" t="s">
        <v>6057</v>
      </c>
      <c r="L921" t="s">
        <v>6939</v>
      </c>
      <c r="M921">
        <v>235.68</v>
      </c>
      <c r="N921">
        <v>3</v>
      </c>
      <c r="O921">
        <v>0.15</v>
      </c>
      <c r="P921">
        <v>33.51</v>
      </c>
      <c r="Q921" t="s">
        <v>9895</v>
      </c>
      <c r="R921">
        <v>3</v>
      </c>
      <c r="S921" s="5">
        <f t="shared" si="28"/>
        <v>0.14218431771894091</v>
      </c>
      <c r="T921">
        <v>78.56</v>
      </c>
      <c r="U921">
        <v>6</v>
      </c>
      <c r="V921">
        <v>2023</v>
      </c>
      <c r="W921">
        <v>2</v>
      </c>
      <c r="X921" t="s">
        <v>9899</v>
      </c>
      <c r="Y921" t="s">
        <v>9901</v>
      </c>
      <c r="Z921" t="s">
        <v>9899</v>
      </c>
      <c r="AD921">
        <f t="shared" si="29"/>
        <v>3</v>
      </c>
    </row>
    <row r="922" spans="1:30" x14ac:dyDescent="0.25">
      <c r="A922" t="s">
        <v>946</v>
      </c>
      <c r="B922" s="2">
        <v>44754</v>
      </c>
      <c r="C922" s="2">
        <v>44755</v>
      </c>
      <c r="D922" t="s">
        <v>5433</v>
      </c>
      <c r="E922" t="s">
        <v>5933</v>
      </c>
      <c r="F922" t="s">
        <v>6026</v>
      </c>
      <c r="G922" t="s">
        <v>6029</v>
      </c>
      <c r="H922" t="s">
        <v>6036</v>
      </c>
      <c r="I922" t="s">
        <v>6049</v>
      </c>
      <c r="J922" t="s">
        <v>6055</v>
      </c>
      <c r="K922" t="s">
        <v>6061</v>
      </c>
      <c r="L922" t="s">
        <v>6940</v>
      </c>
      <c r="M922">
        <v>647.58000000000004</v>
      </c>
      <c r="N922">
        <v>1</v>
      </c>
      <c r="O922">
        <v>0.19</v>
      </c>
      <c r="P922">
        <v>-48.43</v>
      </c>
      <c r="Q922" t="s">
        <v>9894</v>
      </c>
      <c r="R922">
        <v>1</v>
      </c>
      <c r="S922" s="5">
        <f t="shared" si="28"/>
        <v>-7.4786126810587106E-2</v>
      </c>
      <c r="T922">
        <v>647.58000000000004</v>
      </c>
      <c r="U922">
        <v>7</v>
      </c>
      <c r="V922">
        <v>2022</v>
      </c>
      <c r="W922">
        <v>3</v>
      </c>
      <c r="X922" t="s">
        <v>9898</v>
      </c>
      <c r="Y922" t="s">
        <v>9900</v>
      </c>
      <c r="Z922" t="s">
        <v>9899</v>
      </c>
      <c r="AD922">
        <f t="shared" si="29"/>
        <v>1</v>
      </c>
    </row>
    <row r="923" spans="1:30" x14ac:dyDescent="0.25">
      <c r="A923" t="s">
        <v>947</v>
      </c>
      <c r="B923" s="2">
        <v>44964</v>
      </c>
      <c r="C923" s="2">
        <v>44969</v>
      </c>
      <c r="D923" t="s">
        <v>5227</v>
      </c>
      <c r="E923" t="s">
        <v>5727</v>
      </c>
      <c r="F923" t="s">
        <v>6028</v>
      </c>
      <c r="G923" t="s">
        <v>6031</v>
      </c>
      <c r="H923" t="s">
        <v>6037</v>
      </c>
      <c r="I923" t="s">
        <v>6050</v>
      </c>
      <c r="J923" t="s">
        <v>6055</v>
      </c>
      <c r="K923" t="s">
        <v>6064</v>
      </c>
      <c r="L923" t="s">
        <v>6941</v>
      </c>
      <c r="M923">
        <v>732.23</v>
      </c>
      <c r="N923">
        <v>8</v>
      </c>
      <c r="O923">
        <v>0.1</v>
      </c>
      <c r="P923">
        <v>10.98</v>
      </c>
      <c r="Q923" t="s">
        <v>9895</v>
      </c>
      <c r="R923">
        <v>5</v>
      </c>
      <c r="S923" s="5">
        <f t="shared" si="28"/>
        <v>1.4995288365677451E-2</v>
      </c>
      <c r="T923">
        <v>91.528750000000002</v>
      </c>
      <c r="U923">
        <v>2</v>
      </c>
      <c r="V923">
        <v>2023</v>
      </c>
      <c r="W923">
        <v>1</v>
      </c>
      <c r="X923" t="s">
        <v>9899</v>
      </c>
      <c r="Y923" t="s">
        <v>9901</v>
      </c>
      <c r="Z923" t="s">
        <v>9899</v>
      </c>
      <c r="AD923">
        <f t="shared" si="29"/>
        <v>5</v>
      </c>
    </row>
    <row r="924" spans="1:30" x14ac:dyDescent="0.25">
      <c r="A924" t="s">
        <v>948</v>
      </c>
      <c r="B924" s="2">
        <v>45182</v>
      </c>
      <c r="C924" s="2">
        <v>45189</v>
      </c>
      <c r="D924" t="s">
        <v>5048</v>
      </c>
      <c r="E924" t="s">
        <v>5548</v>
      </c>
      <c r="F924" t="s">
        <v>6026</v>
      </c>
      <c r="G924" t="s">
        <v>6029</v>
      </c>
      <c r="H924" t="s">
        <v>6032</v>
      </c>
      <c r="I924" t="s">
        <v>6046</v>
      </c>
      <c r="J924" t="s">
        <v>6055</v>
      </c>
      <c r="K924" t="s">
        <v>6064</v>
      </c>
      <c r="L924" t="s">
        <v>6942</v>
      </c>
      <c r="M924">
        <v>1957.79</v>
      </c>
      <c r="N924">
        <v>1</v>
      </c>
      <c r="O924">
        <v>0.31</v>
      </c>
      <c r="P924">
        <v>-277.14999999999998</v>
      </c>
      <c r="Q924" t="s">
        <v>9897</v>
      </c>
      <c r="R924">
        <v>7</v>
      </c>
      <c r="S924" s="5">
        <f t="shared" si="28"/>
        <v>-0.14156268036919178</v>
      </c>
      <c r="T924">
        <v>1957.79</v>
      </c>
      <c r="U924">
        <v>9</v>
      </c>
      <c r="V924">
        <v>2023</v>
      </c>
      <c r="W924">
        <v>3</v>
      </c>
      <c r="X924" t="s">
        <v>9898</v>
      </c>
      <c r="Y924" t="s">
        <v>9902</v>
      </c>
      <c r="Z924" t="s">
        <v>9898</v>
      </c>
      <c r="AD924">
        <f t="shared" si="29"/>
        <v>7</v>
      </c>
    </row>
    <row r="925" spans="1:30" x14ac:dyDescent="0.25">
      <c r="A925" t="s">
        <v>949</v>
      </c>
      <c r="B925" s="2">
        <v>44776</v>
      </c>
      <c r="C925" s="2">
        <v>44782</v>
      </c>
      <c r="D925" t="s">
        <v>5092</v>
      </c>
      <c r="E925" t="s">
        <v>5592</v>
      </c>
      <c r="F925" t="s">
        <v>6026</v>
      </c>
      <c r="G925" t="s">
        <v>6031</v>
      </c>
      <c r="H925" t="s">
        <v>6037</v>
      </c>
      <c r="I925" t="s">
        <v>6050</v>
      </c>
      <c r="J925" t="s">
        <v>6055</v>
      </c>
      <c r="K925" t="s">
        <v>6064</v>
      </c>
      <c r="L925" t="s">
        <v>6943</v>
      </c>
      <c r="M925">
        <v>1460.59</v>
      </c>
      <c r="N925">
        <v>4</v>
      </c>
      <c r="O925">
        <v>0.19</v>
      </c>
      <c r="P925">
        <v>76.27</v>
      </c>
      <c r="Q925" t="s">
        <v>9894</v>
      </c>
      <c r="R925">
        <v>6</v>
      </c>
      <c r="S925" s="5">
        <f t="shared" si="28"/>
        <v>5.2218623980720122E-2</v>
      </c>
      <c r="T925">
        <v>365.14749999999998</v>
      </c>
      <c r="U925">
        <v>8</v>
      </c>
      <c r="V925">
        <v>2022</v>
      </c>
      <c r="W925">
        <v>3</v>
      </c>
      <c r="X925" t="s">
        <v>9899</v>
      </c>
      <c r="Y925" t="s">
        <v>9900</v>
      </c>
      <c r="Z925" t="s">
        <v>9898</v>
      </c>
      <c r="AD925">
        <f t="shared" si="29"/>
        <v>6</v>
      </c>
    </row>
    <row r="926" spans="1:30" x14ac:dyDescent="0.25">
      <c r="A926" t="s">
        <v>950</v>
      </c>
      <c r="B926" s="2">
        <v>44632</v>
      </c>
      <c r="C926" s="2">
        <v>44639</v>
      </c>
      <c r="D926" t="s">
        <v>5450</v>
      </c>
      <c r="E926" t="s">
        <v>5950</v>
      </c>
      <c r="F926" t="s">
        <v>6026</v>
      </c>
      <c r="G926" t="s">
        <v>6030</v>
      </c>
      <c r="H926" t="s">
        <v>6035</v>
      </c>
      <c r="I926" t="s">
        <v>6047</v>
      </c>
      <c r="J926" t="s">
        <v>6054</v>
      </c>
      <c r="K926" t="s">
        <v>6062</v>
      </c>
      <c r="L926" t="s">
        <v>6944</v>
      </c>
      <c r="M926">
        <v>1437.89</v>
      </c>
      <c r="N926">
        <v>6</v>
      </c>
      <c r="O926">
        <v>0.1</v>
      </c>
      <c r="P926">
        <v>77.760000000000005</v>
      </c>
      <c r="Q926" t="s">
        <v>9896</v>
      </c>
      <c r="R926">
        <v>7</v>
      </c>
      <c r="S926" s="5">
        <f t="shared" si="28"/>
        <v>5.4079241110237916E-2</v>
      </c>
      <c r="T926">
        <v>239.64833333333331</v>
      </c>
      <c r="U926">
        <v>3</v>
      </c>
      <c r="V926">
        <v>2022</v>
      </c>
      <c r="W926">
        <v>1</v>
      </c>
      <c r="X926" t="s">
        <v>9899</v>
      </c>
      <c r="Y926" t="s">
        <v>9901</v>
      </c>
      <c r="Z926" t="s">
        <v>9898</v>
      </c>
      <c r="AD926">
        <f t="shared" si="29"/>
        <v>7</v>
      </c>
    </row>
    <row r="927" spans="1:30" x14ac:dyDescent="0.25">
      <c r="A927" t="s">
        <v>951</v>
      </c>
      <c r="B927" s="2">
        <v>45213</v>
      </c>
      <c r="C927" s="2">
        <v>45216</v>
      </c>
      <c r="D927" t="s">
        <v>5103</v>
      </c>
      <c r="E927" t="s">
        <v>5603</v>
      </c>
      <c r="F927" t="s">
        <v>6026</v>
      </c>
      <c r="G927" t="s">
        <v>6029</v>
      </c>
      <c r="H927" t="s">
        <v>6045</v>
      </c>
      <c r="I927" t="s">
        <v>6049</v>
      </c>
      <c r="J927" t="s">
        <v>6053</v>
      </c>
      <c r="K927" t="s">
        <v>6058</v>
      </c>
      <c r="L927" t="s">
        <v>6945</v>
      </c>
      <c r="M927">
        <v>103.56</v>
      </c>
      <c r="N927">
        <v>3</v>
      </c>
      <c r="O927">
        <v>0.11</v>
      </c>
      <c r="P927">
        <v>17.39</v>
      </c>
      <c r="Q927" t="s">
        <v>9897</v>
      </c>
      <c r="R927">
        <v>3</v>
      </c>
      <c r="S927" s="5">
        <f t="shared" si="28"/>
        <v>0.167921977597528</v>
      </c>
      <c r="T927">
        <v>34.520000000000003</v>
      </c>
      <c r="U927">
        <v>10</v>
      </c>
      <c r="V927">
        <v>2023</v>
      </c>
      <c r="W927">
        <v>4</v>
      </c>
      <c r="X927" t="s">
        <v>9899</v>
      </c>
      <c r="Y927" t="s">
        <v>9901</v>
      </c>
      <c r="Z927" t="s">
        <v>9899</v>
      </c>
      <c r="AD927">
        <f t="shared" si="29"/>
        <v>3</v>
      </c>
    </row>
    <row r="928" spans="1:30" x14ac:dyDescent="0.25">
      <c r="A928" t="s">
        <v>952</v>
      </c>
      <c r="B928" s="2">
        <v>44567</v>
      </c>
      <c r="C928" s="2">
        <v>44568</v>
      </c>
      <c r="D928" t="s">
        <v>5115</v>
      </c>
      <c r="E928" t="s">
        <v>5615</v>
      </c>
      <c r="F928" t="s">
        <v>6028</v>
      </c>
      <c r="G928" t="s">
        <v>6029</v>
      </c>
      <c r="H928" t="s">
        <v>6041</v>
      </c>
      <c r="I928" t="s">
        <v>6046</v>
      </c>
      <c r="J928" t="s">
        <v>6054</v>
      </c>
      <c r="K928" t="s">
        <v>6059</v>
      </c>
      <c r="L928" t="s">
        <v>6946</v>
      </c>
      <c r="M928">
        <v>220.3</v>
      </c>
      <c r="N928">
        <v>7</v>
      </c>
      <c r="O928">
        <v>0.28999999999999998</v>
      </c>
      <c r="P928">
        <v>-37.090000000000003</v>
      </c>
      <c r="Q928" t="s">
        <v>9897</v>
      </c>
      <c r="R928">
        <v>1</v>
      </c>
      <c r="S928" s="5">
        <f t="shared" si="28"/>
        <v>-0.16836132546527463</v>
      </c>
      <c r="T928">
        <v>31.471428571428572</v>
      </c>
      <c r="U928">
        <v>1</v>
      </c>
      <c r="V928">
        <v>2022</v>
      </c>
      <c r="W928">
        <v>1</v>
      </c>
      <c r="X928" t="s">
        <v>9898</v>
      </c>
      <c r="Y928" t="s">
        <v>9900</v>
      </c>
      <c r="Z928" t="s">
        <v>9899</v>
      </c>
      <c r="AD928">
        <f t="shared" si="29"/>
        <v>1</v>
      </c>
    </row>
    <row r="929" spans="1:30" x14ac:dyDescent="0.25">
      <c r="A929" t="s">
        <v>953</v>
      </c>
      <c r="B929" s="2">
        <v>45007</v>
      </c>
      <c r="C929" s="2">
        <v>45013</v>
      </c>
      <c r="D929" t="s">
        <v>5451</v>
      </c>
      <c r="E929" t="s">
        <v>5951</v>
      </c>
      <c r="F929" t="s">
        <v>6027</v>
      </c>
      <c r="G929" t="s">
        <v>6029</v>
      </c>
      <c r="H929" t="s">
        <v>6032</v>
      </c>
      <c r="I929" t="s">
        <v>6049</v>
      </c>
      <c r="J929" t="s">
        <v>6055</v>
      </c>
      <c r="K929" t="s">
        <v>6063</v>
      </c>
      <c r="L929" t="s">
        <v>6947</v>
      </c>
      <c r="M929">
        <v>419.27</v>
      </c>
      <c r="N929">
        <v>5</v>
      </c>
      <c r="O929">
        <v>0.05</v>
      </c>
      <c r="P929">
        <v>57.95</v>
      </c>
      <c r="Q929" t="s">
        <v>9895</v>
      </c>
      <c r="R929">
        <v>6</v>
      </c>
      <c r="S929" s="5">
        <f t="shared" si="28"/>
        <v>0.13821642378419635</v>
      </c>
      <c r="T929">
        <v>83.853999999999999</v>
      </c>
      <c r="U929">
        <v>3</v>
      </c>
      <c r="V929">
        <v>2023</v>
      </c>
      <c r="W929">
        <v>1</v>
      </c>
      <c r="X929" t="s">
        <v>9899</v>
      </c>
      <c r="Y929" t="s">
        <v>9901</v>
      </c>
      <c r="Z929" t="s">
        <v>9899</v>
      </c>
      <c r="AD929">
        <f t="shared" si="29"/>
        <v>6</v>
      </c>
    </row>
    <row r="930" spans="1:30" x14ac:dyDescent="0.25">
      <c r="A930" t="s">
        <v>954</v>
      </c>
      <c r="B930" s="2">
        <v>45280</v>
      </c>
      <c r="C930" s="2">
        <v>45286</v>
      </c>
      <c r="D930" t="s">
        <v>5252</v>
      </c>
      <c r="E930" t="s">
        <v>5752</v>
      </c>
      <c r="F930" t="s">
        <v>6028</v>
      </c>
      <c r="G930" t="s">
        <v>6030</v>
      </c>
      <c r="H930" t="s">
        <v>6038</v>
      </c>
      <c r="I930" t="s">
        <v>6051</v>
      </c>
      <c r="J930" t="s">
        <v>6055</v>
      </c>
      <c r="K930" t="s">
        <v>6064</v>
      </c>
      <c r="L930" t="s">
        <v>6948</v>
      </c>
      <c r="M930">
        <v>1370.46</v>
      </c>
      <c r="N930">
        <v>1</v>
      </c>
      <c r="O930">
        <v>0.11</v>
      </c>
      <c r="P930">
        <v>53.32</v>
      </c>
      <c r="Q930" t="s">
        <v>9897</v>
      </c>
      <c r="R930">
        <v>6</v>
      </c>
      <c r="S930" s="5">
        <f t="shared" si="28"/>
        <v>3.8906644484333723E-2</v>
      </c>
      <c r="T930">
        <v>1370.46</v>
      </c>
      <c r="U930">
        <v>12</v>
      </c>
      <c r="V930">
        <v>2023</v>
      </c>
      <c r="W930">
        <v>4</v>
      </c>
      <c r="X930" t="s">
        <v>9899</v>
      </c>
      <c r="Y930" t="s">
        <v>9901</v>
      </c>
      <c r="Z930" t="s">
        <v>9898</v>
      </c>
      <c r="AD930">
        <f t="shared" si="29"/>
        <v>6</v>
      </c>
    </row>
    <row r="931" spans="1:30" x14ac:dyDescent="0.25">
      <c r="A931" t="s">
        <v>955</v>
      </c>
      <c r="B931" s="2">
        <v>44687</v>
      </c>
      <c r="C931" s="2">
        <v>44694</v>
      </c>
      <c r="D931" t="s">
        <v>5399</v>
      </c>
      <c r="E931" t="s">
        <v>5899</v>
      </c>
      <c r="F931" t="s">
        <v>6026</v>
      </c>
      <c r="G931" t="s">
        <v>6031</v>
      </c>
      <c r="H931" t="s">
        <v>6040</v>
      </c>
      <c r="I931" t="s">
        <v>6048</v>
      </c>
      <c r="J931" t="s">
        <v>6053</v>
      </c>
      <c r="K931" t="s">
        <v>6058</v>
      </c>
      <c r="L931" t="s">
        <v>6949</v>
      </c>
      <c r="M931">
        <v>1570.63</v>
      </c>
      <c r="N931">
        <v>2</v>
      </c>
      <c r="O931">
        <v>0.14000000000000001</v>
      </c>
      <c r="P931">
        <v>-41.23</v>
      </c>
      <c r="Q931" t="s">
        <v>9893</v>
      </c>
      <c r="R931">
        <v>7</v>
      </c>
      <c r="S931" s="5">
        <f t="shared" si="28"/>
        <v>-2.6250612811419619E-2</v>
      </c>
      <c r="T931">
        <v>785.31500000000005</v>
      </c>
      <c r="U931">
        <v>5</v>
      </c>
      <c r="V931">
        <v>2022</v>
      </c>
      <c r="W931">
        <v>2</v>
      </c>
      <c r="X931" t="s">
        <v>9898</v>
      </c>
      <c r="Y931" t="s">
        <v>9901</v>
      </c>
      <c r="Z931" t="s">
        <v>9898</v>
      </c>
      <c r="AD931">
        <f t="shared" si="29"/>
        <v>7</v>
      </c>
    </row>
    <row r="932" spans="1:30" x14ac:dyDescent="0.25">
      <c r="A932" t="s">
        <v>956</v>
      </c>
      <c r="B932" s="2">
        <v>44726</v>
      </c>
      <c r="C932" s="2">
        <v>44729</v>
      </c>
      <c r="D932" t="s">
        <v>5262</v>
      </c>
      <c r="E932" t="s">
        <v>5762</v>
      </c>
      <c r="F932" t="s">
        <v>6026</v>
      </c>
      <c r="G932" t="s">
        <v>6029</v>
      </c>
      <c r="H932" t="s">
        <v>6044</v>
      </c>
      <c r="I932" t="s">
        <v>6046</v>
      </c>
      <c r="J932" t="s">
        <v>6054</v>
      </c>
      <c r="K932" t="s">
        <v>6059</v>
      </c>
      <c r="L932" t="s">
        <v>6950</v>
      </c>
      <c r="M932">
        <v>244.27</v>
      </c>
      <c r="N932">
        <v>6</v>
      </c>
      <c r="O932">
        <v>0.16</v>
      </c>
      <c r="P932">
        <v>-4.28</v>
      </c>
      <c r="Q932" t="s">
        <v>9895</v>
      </c>
      <c r="R932">
        <v>3</v>
      </c>
      <c r="S932" s="5">
        <f t="shared" si="28"/>
        <v>-1.7521594956400703E-2</v>
      </c>
      <c r="T932">
        <v>40.711666666666673</v>
      </c>
      <c r="U932">
        <v>6</v>
      </c>
      <c r="V932">
        <v>2022</v>
      </c>
      <c r="W932">
        <v>2</v>
      </c>
      <c r="X932" t="s">
        <v>9898</v>
      </c>
      <c r="Y932" t="s">
        <v>9900</v>
      </c>
      <c r="Z932" t="s">
        <v>9899</v>
      </c>
      <c r="AD932">
        <f t="shared" si="29"/>
        <v>3</v>
      </c>
    </row>
    <row r="933" spans="1:30" x14ac:dyDescent="0.25">
      <c r="A933" t="s">
        <v>957</v>
      </c>
      <c r="B933" s="2">
        <v>45430</v>
      </c>
      <c r="C933" s="2">
        <v>45433</v>
      </c>
      <c r="D933" t="s">
        <v>5113</v>
      </c>
      <c r="E933" t="s">
        <v>5613</v>
      </c>
      <c r="F933" t="s">
        <v>6027</v>
      </c>
      <c r="G933" t="s">
        <v>6030</v>
      </c>
      <c r="H933" t="s">
        <v>6038</v>
      </c>
      <c r="I933" t="s">
        <v>6051</v>
      </c>
      <c r="J933" t="s">
        <v>6053</v>
      </c>
      <c r="K933" t="s">
        <v>6058</v>
      </c>
      <c r="L933" t="s">
        <v>6585</v>
      </c>
      <c r="M933">
        <v>1978.43</v>
      </c>
      <c r="N933">
        <v>2</v>
      </c>
      <c r="O933">
        <v>0.35</v>
      </c>
      <c r="P933">
        <v>-329.27</v>
      </c>
      <c r="Q933" t="s">
        <v>9896</v>
      </c>
      <c r="R933">
        <v>3</v>
      </c>
      <c r="S933" s="5">
        <f t="shared" si="28"/>
        <v>-0.16642994697815944</v>
      </c>
      <c r="T933">
        <v>989.21500000000003</v>
      </c>
      <c r="U933">
        <v>5</v>
      </c>
      <c r="V933">
        <v>2024</v>
      </c>
      <c r="W933">
        <v>2</v>
      </c>
      <c r="X933" t="s">
        <v>9898</v>
      </c>
      <c r="Y933" t="s">
        <v>9902</v>
      </c>
      <c r="Z933" t="s">
        <v>9898</v>
      </c>
      <c r="AD933">
        <f t="shared" si="29"/>
        <v>3</v>
      </c>
    </row>
    <row r="934" spans="1:30" x14ac:dyDescent="0.25">
      <c r="A934" t="s">
        <v>958</v>
      </c>
      <c r="B934" s="2">
        <v>44749</v>
      </c>
      <c r="C934" s="2">
        <v>44756</v>
      </c>
      <c r="D934" t="s">
        <v>5209</v>
      </c>
      <c r="E934" t="s">
        <v>5709</v>
      </c>
      <c r="F934" t="s">
        <v>6026</v>
      </c>
      <c r="G934" t="s">
        <v>6029</v>
      </c>
      <c r="H934" t="s">
        <v>6045</v>
      </c>
      <c r="I934" t="s">
        <v>6050</v>
      </c>
      <c r="J934" t="s">
        <v>6053</v>
      </c>
      <c r="K934" t="s">
        <v>6057</v>
      </c>
      <c r="L934" t="s">
        <v>6951</v>
      </c>
      <c r="M934">
        <v>1919.86</v>
      </c>
      <c r="N934">
        <v>4</v>
      </c>
      <c r="O934">
        <v>0.13</v>
      </c>
      <c r="P934">
        <v>184.18</v>
      </c>
      <c r="Q934" t="s">
        <v>9896</v>
      </c>
      <c r="R934">
        <v>7</v>
      </c>
      <c r="S934" s="5">
        <f t="shared" si="28"/>
        <v>9.5934078526559233E-2</v>
      </c>
      <c r="T934">
        <v>479.96499999999997</v>
      </c>
      <c r="U934">
        <v>7</v>
      </c>
      <c r="V934">
        <v>2022</v>
      </c>
      <c r="W934">
        <v>3</v>
      </c>
      <c r="X934" t="s">
        <v>9899</v>
      </c>
      <c r="Y934" t="s">
        <v>9901</v>
      </c>
      <c r="Z934" t="s">
        <v>9898</v>
      </c>
      <c r="AD934">
        <f t="shared" si="29"/>
        <v>7</v>
      </c>
    </row>
    <row r="935" spans="1:30" x14ac:dyDescent="0.25">
      <c r="A935" t="s">
        <v>959</v>
      </c>
      <c r="B935" s="2">
        <v>44803</v>
      </c>
      <c r="C935" s="2">
        <v>44809</v>
      </c>
      <c r="D935" t="s">
        <v>5189</v>
      </c>
      <c r="E935" t="s">
        <v>5689</v>
      </c>
      <c r="F935" t="s">
        <v>6027</v>
      </c>
      <c r="G935" t="s">
        <v>6031</v>
      </c>
      <c r="H935" t="s">
        <v>6034</v>
      </c>
      <c r="I935" t="s">
        <v>6050</v>
      </c>
      <c r="J935" t="s">
        <v>6053</v>
      </c>
      <c r="K935" t="s">
        <v>6057</v>
      </c>
      <c r="L935" t="s">
        <v>6952</v>
      </c>
      <c r="M935">
        <v>628.92999999999995</v>
      </c>
      <c r="N935">
        <v>6</v>
      </c>
      <c r="O935">
        <v>0.22</v>
      </c>
      <c r="P935">
        <v>33.590000000000003</v>
      </c>
      <c r="Q935" t="s">
        <v>9893</v>
      </c>
      <c r="R935">
        <v>6</v>
      </c>
      <c r="S935" s="5">
        <f t="shared" si="28"/>
        <v>5.3408169430620267E-2</v>
      </c>
      <c r="T935">
        <v>104.8216666666667</v>
      </c>
      <c r="U935">
        <v>8</v>
      </c>
      <c r="V935">
        <v>2022</v>
      </c>
      <c r="W935">
        <v>3</v>
      </c>
      <c r="X935" t="s">
        <v>9899</v>
      </c>
      <c r="Y935" t="s">
        <v>9900</v>
      </c>
      <c r="Z935" t="s">
        <v>9899</v>
      </c>
      <c r="AD935">
        <f t="shared" si="29"/>
        <v>6</v>
      </c>
    </row>
    <row r="936" spans="1:30" x14ac:dyDescent="0.25">
      <c r="A936" t="s">
        <v>960</v>
      </c>
      <c r="B936" s="2">
        <v>45350</v>
      </c>
      <c r="C936" s="2">
        <v>45357</v>
      </c>
      <c r="D936" t="s">
        <v>5353</v>
      </c>
      <c r="E936" t="s">
        <v>5853</v>
      </c>
      <c r="F936" t="s">
        <v>6027</v>
      </c>
      <c r="G936" t="s">
        <v>6030</v>
      </c>
      <c r="H936" t="s">
        <v>6038</v>
      </c>
      <c r="I936" t="s">
        <v>6047</v>
      </c>
      <c r="J936" t="s">
        <v>6055</v>
      </c>
      <c r="K936" t="s">
        <v>6063</v>
      </c>
      <c r="L936" t="s">
        <v>6953</v>
      </c>
      <c r="M936">
        <v>1938.34</v>
      </c>
      <c r="N936">
        <v>2</v>
      </c>
      <c r="O936">
        <v>0.2</v>
      </c>
      <c r="P936">
        <v>1.08</v>
      </c>
      <c r="Q936" t="s">
        <v>9893</v>
      </c>
      <c r="R936">
        <v>7</v>
      </c>
      <c r="S936" s="5">
        <f t="shared" si="28"/>
        <v>5.5717779130596288E-4</v>
      </c>
      <c r="T936">
        <v>969.17</v>
      </c>
      <c r="U936">
        <v>2</v>
      </c>
      <c r="V936">
        <v>2024</v>
      </c>
      <c r="W936">
        <v>1</v>
      </c>
      <c r="X936" t="s">
        <v>9899</v>
      </c>
      <c r="Y936" t="s">
        <v>9900</v>
      </c>
      <c r="Z936" t="s">
        <v>9898</v>
      </c>
      <c r="AD936">
        <f t="shared" si="29"/>
        <v>7</v>
      </c>
    </row>
    <row r="937" spans="1:30" x14ac:dyDescent="0.25">
      <c r="A937" t="s">
        <v>961</v>
      </c>
      <c r="B937" s="2">
        <v>44939</v>
      </c>
      <c r="C937" s="2">
        <v>44943</v>
      </c>
      <c r="D937" t="s">
        <v>5036</v>
      </c>
      <c r="E937" t="s">
        <v>5536</v>
      </c>
      <c r="F937" t="s">
        <v>6028</v>
      </c>
      <c r="G937" t="s">
        <v>6030</v>
      </c>
      <c r="H937" t="s">
        <v>6038</v>
      </c>
      <c r="I937" t="s">
        <v>6047</v>
      </c>
      <c r="J937" t="s">
        <v>6055</v>
      </c>
      <c r="K937" t="s">
        <v>6061</v>
      </c>
      <c r="L937" t="s">
        <v>6954</v>
      </c>
      <c r="M937">
        <v>1775.99</v>
      </c>
      <c r="N937">
        <v>3</v>
      </c>
      <c r="O937">
        <v>0.05</v>
      </c>
      <c r="P937">
        <v>283.68</v>
      </c>
      <c r="Q937" t="s">
        <v>9896</v>
      </c>
      <c r="R937">
        <v>4</v>
      </c>
      <c r="S937" s="5">
        <f t="shared" si="28"/>
        <v>0.15973062911390268</v>
      </c>
      <c r="T937">
        <v>591.99666666666667</v>
      </c>
      <c r="U937">
        <v>1</v>
      </c>
      <c r="V937">
        <v>2023</v>
      </c>
      <c r="W937">
        <v>1</v>
      </c>
      <c r="X937" t="s">
        <v>9899</v>
      </c>
      <c r="Y937" t="s">
        <v>9901</v>
      </c>
      <c r="Z937" t="s">
        <v>9898</v>
      </c>
      <c r="AD937">
        <f t="shared" si="29"/>
        <v>4</v>
      </c>
    </row>
    <row r="938" spans="1:30" x14ac:dyDescent="0.25">
      <c r="A938" t="s">
        <v>962</v>
      </c>
      <c r="B938" s="2">
        <v>44622</v>
      </c>
      <c r="C938" s="2">
        <v>44628</v>
      </c>
      <c r="D938" t="s">
        <v>5344</v>
      </c>
      <c r="E938" t="s">
        <v>5844</v>
      </c>
      <c r="F938" t="s">
        <v>6028</v>
      </c>
      <c r="G938" t="s">
        <v>6029</v>
      </c>
      <c r="H938" t="s">
        <v>6045</v>
      </c>
      <c r="I938" t="s">
        <v>6050</v>
      </c>
      <c r="J938" t="s">
        <v>6053</v>
      </c>
      <c r="K938" t="s">
        <v>6058</v>
      </c>
      <c r="L938" t="s">
        <v>6788</v>
      </c>
      <c r="M938">
        <v>298.58</v>
      </c>
      <c r="N938">
        <v>7</v>
      </c>
      <c r="O938">
        <v>0.32</v>
      </c>
      <c r="P938">
        <v>-59.82</v>
      </c>
      <c r="Q938" t="s">
        <v>9897</v>
      </c>
      <c r="R938">
        <v>6</v>
      </c>
      <c r="S938" s="5">
        <f t="shared" si="28"/>
        <v>-0.20034831535936767</v>
      </c>
      <c r="T938">
        <v>42.654285714285713</v>
      </c>
      <c r="U938">
        <v>3</v>
      </c>
      <c r="V938">
        <v>2022</v>
      </c>
      <c r="W938">
        <v>1</v>
      </c>
      <c r="X938" t="s">
        <v>9898</v>
      </c>
      <c r="Y938" t="s">
        <v>9902</v>
      </c>
      <c r="Z938" t="s">
        <v>9899</v>
      </c>
      <c r="AD938">
        <f t="shared" si="29"/>
        <v>6</v>
      </c>
    </row>
    <row r="939" spans="1:30" x14ac:dyDescent="0.25">
      <c r="A939" t="s">
        <v>963</v>
      </c>
      <c r="B939" s="2">
        <v>45440</v>
      </c>
      <c r="C939" s="2">
        <v>45443</v>
      </c>
      <c r="D939" t="s">
        <v>5452</v>
      </c>
      <c r="E939" t="s">
        <v>5952</v>
      </c>
      <c r="F939" t="s">
        <v>6028</v>
      </c>
      <c r="G939" t="s">
        <v>6029</v>
      </c>
      <c r="H939" t="s">
        <v>6041</v>
      </c>
      <c r="I939" t="s">
        <v>6050</v>
      </c>
      <c r="J939" t="s">
        <v>6053</v>
      </c>
      <c r="K939" t="s">
        <v>6058</v>
      </c>
      <c r="L939" t="s">
        <v>6955</v>
      </c>
      <c r="M939">
        <v>1297.03</v>
      </c>
      <c r="N939">
        <v>7</v>
      </c>
      <c r="O939">
        <v>0.2</v>
      </c>
      <c r="P939">
        <v>122.53</v>
      </c>
      <c r="Q939" t="s">
        <v>9896</v>
      </c>
      <c r="R939">
        <v>3</v>
      </c>
      <c r="S939" s="5">
        <f t="shared" si="28"/>
        <v>9.4469673022212292E-2</v>
      </c>
      <c r="T939">
        <v>185.29</v>
      </c>
      <c r="U939">
        <v>5</v>
      </c>
      <c r="V939">
        <v>2024</v>
      </c>
      <c r="W939">
        <v>2</v>
      </c>
      <c r="X939" t="s">
        <v>9899</v>
      </c>
      <c r="Y939" t="s">
        <v>9900</v>
      </c>
      <c r="Z939" t="s">
        <v>9898</v>
      </c>
      <c r="AD939">
        <f t="shared" si="29"/>
        <v>3</v>
      </c>
    </row>
    <row r="940" spans="1:30" x14ac:dyDescent="0.25">
      <c r="A940" t="s">
        <v>964</v>
      </c>
      <c r="B940" s="2">
        <v>45230</v>
      </c>
      <c r="C940" s="2">
        <v>45231</v>
      </c>
      <c r="D940" t="s">
        <v>5305</v>
      </c>
      <c r="E940" t="s">
        <v>5805</v>
      </c>
      <c r="F940" t="s">
        <v>6027</v>
      </c>
      <c r="G940" t="s">
        <v>6030</v>
      </c>
      <c r="H940" t="s">
        <v>6035</v>
      </c>
      <c r="I940" t="s">
        <v>6047</v>
      </c>
      <c r="J940" t="s">
        <v>6053</v>
      </c>
      <c r="K940" t="s">
        <v>6058</v>
      </c>
      <c r="L940" t="s">
        <v>6956</v>
      </c>
      <c r="M940">
        <v>1814.97</v>
      </c>
      <c r="N940">
        <v>5</v>
      </c>
      <c r="O940">
        <v>7.0000000000000007E-2</v>
      </c>
      <c r="P940">
        <v>328.84</v>
      </c>
      <c r="Q940" t="s">
        <v>9895</v>
      </c>
      <c r="R940">
        <v>1</v>
      </c>
      <c r="S940" s="5">
        <f t="shared" si="28"/>
        <v>0.18118205810564361</v>
      </c>
      <c r="T940">
        <v>362.99400000000003</v>
      </c>
      <c r="U940">
        <v>10</v>
      </c>
      <c r="V940">
        <v>2023</v>
      </c>
      <c r="W940">
        <v>4</v>
      </c>
      <c r="X940" t="s">
        <v>9899</v>
      </c>
      <c r="Y940" t="s">
        <v>9901</v>
      </c>
      <c r="Z940" t="s">
        <v>9898</v>
      </c>
      <c r="AD940">
        <f t="shared" si="29"/>
        <v>1</v>
      </c>
    </row>
    <row r="941" spans="1:30" x14ac:dyDescent="0.25">
      <c r="A941" t="s">
        <v>965</v>
      </c>
      <c r="B941" s="2">
        <v>45093</v>
      </c>
      <c r="C941" s="2">
        <v>45095</v>
      </c>
      <c r="D941" t="s">
        <v>5181</v>
      </c>
      <c r="E941" t="s">
        <v>5681</v>
      </c>
      <c r="F941" t="s">
        <v>6027</v>
      </c>
      <c r="G941" t="s">
        <v>6030</v>
      </c>
      <c r="H941" t="s">
        <v>6033</v>
      </c>
      <c r="I941" t="s">
        <v>6051</v>
      </c>
      <c r="J941" t="s">
        <v>6055</v>
      </c>
      <c r="K941" t="s">
        <v>6061</v>
      </c>
      <c r="L941" t="s">
        <v>6957</v>
      </c>
      <c r="M941">
        <v>935.9</v>
      </c>
      <c r="N941">
        <v>4</v>
      </c>
      <c r="O941">
        <v>0.15</v>
      </c>
      <c r="P941">
        <v>77.180000000000007</v>
      </c>
      <c r="Q941" t="s">
        <v>9897</v>
      </c>
      <c r="R941">
        <v>2</v>
      </c>
      <c r="S941" s="5">
        <f t="shared" si="28"/>
        <v>8.2466075435409777E-2</v>
      </c>
      <c r="T941">
        <v>233.97499999999999</v>
      </c>
      <c r="U941">
        <v>6</v>
      </c>
      <c r="V941">
        <v>2023</v>
      </c>
      <c r="W941">
        <v>2</v>
      </c>
      <c r="X941" t="s">
        <v>9899</v>
      </c>
      <c r="Y941" t="s">
        <v>9901</v>
      </c>
      <c r="Z941" t="s">
        <v>9899</v>
      </c>
      <c r="AD941">
        <f t="shared" si="29"/>
        <v>2</v>
      </c>
    </row>
    <row r="942" spans="1:30" x14ac:dyDescent="0.25">
      <c r="A942" t="s">
        <v>966</v>
      </c>
      <c r="B942" s="2">
        <v>45029</v>
      </c>
      <c r="C942" s="2">
        <v>45031</v>
      </c>
      <c r="D942" t="s">
        <v>5400</v>
      </c>
      <c r="E942" t="s">
        <v>5900</v>
      </c>
      <c r="F942" t="s">
        <v>6027</v>
      </c>
      <c r="G942" t="s">
        <v>6030</v>
      </c>
      <c r="H942" t="s">
        <v>6038</v>
      </c>
      <c r="I942" t="s">
        <v>6051</v>
      </c>
      <c r="J942" t="s">
        <v>6053</v>
      </c>
      <c r="K942" t="s">
        <v>6058</v>
      </c>
      <c r="L942" t="s">
        <v>6958</v>
      </c>
      <c r="M942">
        <v>527.87</v>
      </c>
      <c r="N942">
        <v>4</v>
      </c>
      <c r="O942">
        <v>0</v>
      </c>
      <c r="P942">
        <v>147.97</v>
      </c>
      <c r="Q942" t="s">
        <v>9894</v>
      </c>
      <c r="R942">
        <v>2</v>
      </c>
      <c r="S942" s="5">
        <f t="shared" si="28"/>
        <v>0.28031522912838386</v>
      </c>
      <c r="T942">
        <v>131.9675</v>
      </c>
      <c r="U942">
        <v>4</v>
      </c>
      <c r="V942">
        <v>2023</v>
      </c>
      <c r="W942">
        <v>2</v>
      </c>
      <c r="X942" t="s">
        <v>9899</v>
      </c>
      <c r="Y942" t="s">
        <v>9901</v>
      </c>
      <c r="Z942" t="s">
        <v>9899</v>
      </c>
      <c r="AD942">
        <f t="shared" si="29"/>
        <v>2</v>
      </c>
    </row>
    <row r="943" spans="1:30" x14ac:dyDescent="0.25">
      <c r="A943" t="s">
        <v>967</v>
      </c>
      <c r="B943" s="2">
        <v>45224</v>
      </c>
      <c r="C943" s="2">
        <v>45227</v>
      </c>
      <c r="D943" t="s">
        <v>5146</v>
      </c>
      <c r="E943" t="s">
        <v>5646</v>
      </c>
      <c r="F943" t="s">
        <v>6027</v>
      </c>
      <c r="G943" t="s">
        <v>6030</v>
      </c>
      <c r="H943" t="s">
        <v>6039</v>
      </c>
      <c r="I943" t="s">
        <v>6051</v>
      </c>
      <c r="J943" t="s">
        <v>6054</v>
      </c>
      <c r="K943" t="s">
        <v>6059</v>
      </c>
      <c r="L943" t="s">
        <v>6959</v>
      </c>
      <c r="M943">
        <v>468.64</v>
      </c>
      <c r="N943">
        <v>4</v>
      </c>
      <c r="O943">
        <v>0.31</v>
      </c>
      <c r="P943">
        <v>-16.27</v>
      </c>
      <c r="Q943" t="s">
        <v>9894</v>
      </c>
      <c r="R943">
        <v>3</v>
      </c>
      <c r="S943" s="5">
        <f t="shared" si="28"/>
        <v>-3.471748036872653E-2</v>
      </c>
      <c r="T943">
        <v>117.16</v>
      </c>
      <c r="U943">
        <v>10</v>
      </c>
      <c r="V943">
        <v>2023</v>
      </c>
      <c r="W943">
        <v>4</v>
      </c>
      <c r="X943" t="s">
        <v>9898</v>
      </c>
      <c r="Y943" t="s">
        <v>9902</v>
      </c>
      <c r="Z943" t="s">
        <v>9899</v>
      </c>
      <c r="AD943">
        <f t="shared" si="29"/>
        <v>3</v>
      </c>
    </row>
    <row r="944" spans="1:30" x14ac:dyDescent="0.25">
      <c r="A944" t="s">
        <v>968</v>
      </c>
      <c r="B944" s="2">
        <v>44933</v>
      </c>
      <c r="C944" s="2">
        <v>44940</v>
      </c>
      <c r="D944" t="s">
        <v>5222</v>
      </c>
      <c r="E944" t="s">
        <v>5722</v>
      </c>
      <c r="F944" t="s">
        <v>6028</v>
      </c>
      <c r="G944" t="s">
        <v>6030</v>
      </c>
      <c r="H944" t="s">
        <v>6033</v>
      </c>
      <c r="I944" t="s">
        <v>6051</v>
      </c>
      <c r="J944" t="s">
        <v>6055</v>
      </c>
      <c r="K944" t="s">
        <v>6063</v>
      </c>
      <c r="L944" t="s">
        <v>6960</v>
      </c>
      <c r="M944">
        <v>1965.84</v>
      </c>
      <c r="N944">
        <v>3</v>
      </c>
      <c r="O944">
        <v>0.23</v>
      </c>
      <c r="P944">
        <v>110.69</v>
      </c>
      <c r="Q944" t="s">
        <v>9895</v>
      </c>
      <c r="R944">
        <v>7</v>
      </c>
      <c r="S944" s="5">
        <f t="shared" si="28"/>
        <v>5.6306718756358606E-2</v>
      </c>
      <c r="T944">
        <v>655.28</v>
      </c>
      <c r="U944">
        <v>1</v>
      </c>
      <c r="V944">
        <v>2023</v>
      </c>
      <c r="W944">
        <v>1</v>
      </c>
      <c r="X944" t="s">
        <v>9899</v>
      </c>
      <c r="Y944" t="s">
        <v>9900</v>
      </c>
      <c r="Z944" t="s">
        <v>9898</v>
      </c>
      <c r="AD944">
        <f t="shared" si="29"/>
        <v>7</v>
      </c>
    </row>
    <row r="945" spans="1:30" x14ac:dyDescent="0.25">
      <c r="A945" t="s">
        <v>969</v>
      </c>
      <c r="B945" s="2">
        <v>45215</v>
      </c>
      <c r="C945" s="2">
        <v>45219</v>
      </c>
      <c r="D945" t="s">
        <v>5104</v>
      </c>
      <c r="E945" t="s">
        <v>5604</v>
      </c>
      <c r="F945" t="s">
        <v>6026</v>
      </c>
      <c r="G945" t="s">
        <v>6031</v>
      </c>
      <c r="H945" t="s">
        <v>6043</v>
      </c>
      <c r="I945" t="s">
        <v>6048</v>
      </c>
      <c r="J945" t="s">
        <v>6054</v>
      </c>
      <c r="K945" t="s">
        <v>6059</v>
      </c>
      <c r="L945" t="s">
        <v>6961</v>
      </c>
      <c r="M945">
        <v>1963.33</v>
      </c>
      <c r="N945">
        <v>7</v>
      </c>
      <c r="O945">
        <v>0.13</v>
      </c>
      <c r="P945">
        <v>140.47999999999999</v>
      </c>
      <c r="Q945" t="s">
        <v>9893</v>
      </c>
      <c r="R945">
        <v>4</v>
      </c>
      <c r="S945" s="5">
        <f t="shared" si="28"/>
        <v>7.1551904162825405E-2</v>
      </c>
      <c r="T945">
        <v>280.47571428571428</v>
      </c>
      <c r="U945">
        <v>10</v>
      </c>
      <c r="V945">
        <v>2023</v>
      </c>
      <c r="W945">
        <v>4</v>
      </c>
      <c r="X945" t="s">
        <v>9899</v>
      </c>
      <c r="Y945" t="s">
        <v>9901</v>
      </c>
      <c r="Z945" t="s">
        <v>9898</v>
      </c>
      <c r="AD945">
        <f t="shared" si="29"/>
        <v>4</v>
      </c>
    </row>
    <row r="946" spans="1:30" x14ac:dyDescent="0.25">
      <c r="A946" t="s">
        <v>970</v>
      </c>
      <c r="B946" s="2">
        <v>45230</v>
      </c>
      <c r="C946" s="2">
        <v>45232</v>
      </c>
      <c r="D946" t="s">
        <v>5261</v>
      </c>
      <c r="E946" t="s">
        <v>5761</v>
      </c>
      <c r="F946" t="s">
        <v>6027</v>
      </c>
      <c r="G946" t="s">
        <v>6030</v>
      </c>
      <c r="H946" t="s">
        <v>6035</v>
      </c>
      <c r="I946" t="s">
        <v>6047</v>
      </c>
      <c r="J946" t="s">
        <v>6055</v>
      </c>
      <c r="K946" t="s">
        <v>6061</v>
      </c>
      <c r="L946" t="s">
        <v>6962</v>
      </c>
      <c r="M946">
        <v>1261.1600000000001</v>
      </c>
      <c r="N946">
        <v>2</v>
      </c>
      <c r="O946">
        <v>0.27</v>
      </c>
      <c r="P946">
        <v>-76.489999999999995</v>
      </c>
      <c r="Q946" t="s">
        <v>9896</v>
      </c>
      <c r="R946">
        <v>2</v>
      </c>
      <c r="S946" s="5">
        <f t="shared" si="28"/>
        <v>-6.0650512226838774E-2</v>
      </c>
      <c r="T946">
        <v>630.58000000000004</v>
      </c>
      <c r="U946">
        <v>10</v>
      </c>
      <c r="V946">
        <v>2023</v>
      </c>
      <c r="W946">
        <v>4</v>
      </c>
      <c r="X946" t="s">
        <v>9898</v>
      </c>
      <c r="Y946" t="s">
        <v>9900</v>
      </c>
      <c r="Z946" t="s">
        <v>9898</v>
      </c>
      <c r="AD946">
        <f t="shared" si="29"/>
        <v>2</v>
      </c>
    </row>
    <row r="947" spans="1:30" x14ac:dyDescent="0.25">
      <c r="A947" t="s">
        <v>971</v>
      </c>
      <c r="B947" s="2">
        <v>45426</v>
      </c>
      <c r="C947" s="2">
        <v>45429</v>
      </c>
      <c r="D947" t="s">
        <v>5061</v>
      </c>
      <c r="E947" t="s">
        <v>5561</v>
      </c>
      <c r="F947" t="s">
        <v>6028</v>
      </c>
      <c r="G947" t="s">
        <v>6029</v>
      </c>
      <c r="H947" t="s">
        <v>6036</v>
      </c>
      <c r="I947" t="s">
        <v>6050</v>
      </c>
      <c r="J947" t="s">
        <v>6055</v>
      </c>
      <c r="K947" t="s">
        <v>6064</v>
      </c>
      <c r="L947" t="s">
        <v>6963</v>
      </c>
      <c r="M947">
        <v>1360.24</v>
      </c>
      <c r="N947">
        <v>2</v>
      </c>
      <c r="O947">
        <v>0.03</v>
      </c>
      <c r="P947">
        <v>113.68</v>
      </c>
      <c r="Q947" t="s">
        <v>9897</v>
      </c>
      <c r="R947">
        <v>3</v>
      </c>
      <c r="S947" s="5">
        <f t="shared" si="28"/>
        <v>8.3573487031700297E-2</v>
      </c>
      <c r="T947">
        <v>680.12</v>
      </c>
      <c r="U947">
        <v>5</v>
      </c>
      <c r="V947">
        <v>2024</v>
      </c>
      <c r="W947">
        <v>2</v>
      </c>
      <c r="X947" t="s">
        <v>9899</v>
      </c>
      <c r="Y947" t="s">
        <v>9901</v>
      </c>
      <c r="Z947" t="s">
        <v>9898</v>
      </c>
      <c r="AD947">
        <f t="shared" si="29"/>
        <v>3</v>
      </c>
    </row>
    <row r="948" spans="1:30" x14ac:dyDescent="0.25">
      <c r="A948" t="s">
        <v>972</v>
      </c>
      <c r="B948" s="2">
        <v>44971</v>
      </c>
      <c r="C948" s="2">
        <v>44978</v>
      </c>
      <c r="D948" t="s">
        <v>5384</v>
      </c>
      <c r="E948" t="s">
        <v>5884</v>
      </c>
      <c r="F948" t="s">
        <v>6028</v>
      </c>
      <c r="G948" t="s">
        <v>6030</v>
      </c>
      <c r="H948" t="s">
        <v>6033</v>
      </c>
      <c r="I948" t="s">
        <v>6047</v>
      </c>
      <c r="J948" t="s">
        <v>6055</v>
      </c>
      <c r="K948" t="s">
        <v>6061</v>
      </c>
      <c r="L948" t="s">
        <v>6964</v>
      </c>
      <c r="M948">
        <v>1509.39</v>
      </c>
      <c r="N948">
        <v>7</v>
      </c>
      <c r="O948">
        <v>0.34</v>
      </c>
      <c r="P948">
        <v>-187.5</v>
      </c>
      <c r="Q948" t="s">
        <v>9895</v>
      </c>
      <c r="R948">
        <v>7</v>
      </c>
      <c r="S948" s="5">
        <f t="shared" si="28"/>
        <v>-0.12422236797646731</v>
      </c>
      <c r="T948">
        <v>215.6271428571429</v>
      </c>
      <c r="U948">
        <v>2</v>
      </c>
      <c r="V948">
        <v>2023</v>
      </c>
      <c r="W948">
        <v>1</v>
      </c>
      <c r="X948" t="s">
        <v>9898</v>
      </c>
      <c r="Y948" t="s">
        <v>9902</v>
      </c>
      <c r="Z948" t="s">
        <v>9898</v>
      </c>
      <c r="AD948">
        <f t="shared" si="29"/>
        <v>7</v>
      </c>
    </row>
    <row r="949" spans="1:30" x14ac:dyDescent="0.25">
      <c r="A949" t="s">
        <v>973</v>
      </c>
      <c r="B949" s="2">
        <v>44755</v>
      </c>
      <c r="C949" s="2">
        <v>44759</v>
      </c>
      <c r="D949" t="s">
        <v>5159</v>
      </c>
      <c r="E949" t="s">
        <v>5659</v>
      </c>
      <c r="F949" t="s">
        <v>6028</v>
      </c>
      <c r="G949" t="s">
        <v>6029</v>
      </c>
      <c r="H949" t="s">
        <v>6045</v>
      </c>
      <c r="I949" t="s">
        <v>6046</v>
      </c>
      <c r="J949" t="s">
        <v>6054</v>
      </c>
      <c r="K949" t="s">
        <v>6059</v>
      </c>
      <c r="L949" t="s">
        <v>6965</v>
      </c>
      <c r="M949">
        <v>1578.25</v>
      </c>
      <c r="N949">
        <v>7</v>
      </c>
      <c r="O949">
        <v>0.13</v>
      </c>
      <c r="P949">
        <v>149.15</v>
      </c>
      <c r="Q949" t="s">
        <v>9894</v>
      </c>
      <c r="R949">
        <v>4</v>
      </c>
      <c r="S949" s="5">
        <f t="shared" si="28"/>
        <v>9.4503405670837953E-2</v>
      </c>
      <c r="T949">
        <v>225.46428571428569</v>
      </c>
      <c r="U949">
        <v>7</v>
      </c>
      <c r="V949">
        <v>2022</v>
      </c>
      <c r="W949">
        <v>3</v>
      </c>
      <c r="X949" t="s">
        <v>9899</v>
      </c>
      <c r="Y949" t="s">
        <v>9901</v>
      </c>
      <c r="Z949" t="s">
        <v>9898</v>
      </c>
      <c r="AD949">
        <f t="shared" si="29"/>
        <v>4</v>
      </c>
    </row>
    <row r="950" spans="1:30" x14ac:dyDescent="0.25">
      <c r="A950" t="s">
        <v>974</v>
      </c>
      <c r="B950" s="2">
        <v>44574</v>
      </c>
      <c r="C950" s="2">
        <v>44578</v>
      </c>
      <c r="D950" t="s">
        <v>5411</v>
      </c>
      <c r="E950" t="s">
        <v>5911</v>
      </c>
      <c r="F950" t="s">
        <v>6027</v>
      </c>
      <c r="G950" t="s">
        <v>6030</v>
      </c>
      <c r="H950" t="s">
        <v>6039</v>
      </c>
      <c r="I950" t="s">
        <v>6051</v>
      </c>
      <c r="J950" t="s">
        <v>6055</v>
      </c>
      <c r="K950" t="s">
        <v>6063</v>
      </c>
      <c r="L950" t="s">
        <v>6966</v>
      </c>
      <c r="M950">
        <v>1823.63</v>
      </c>
      <c r="N950">
        <v>2</v>
      </c>
      <c r="O950">
        <v>0.26</v>
      </c>
      <c r="P950">
        <v>36.08</v>
      </c>
      <c r="Q950" t="s">
        <v>9893</v>
      </c>
      <c r="R950">
        <v>4</v>
      </c>
      <c r="S950" s="5">
        <f t="shared" si="28"/>
        <v>1.9784715101199255E-2</v>
      </c>
      <c r="T950">
        <v>911.81500000000005</v>
      </c>
      <c r="U950">
        <v>1</v>
      </c>
      <c r="V950">
        <v>2022</v>
      </c>
      <c r="W950">
        <v>1</v>
      </c>
      <c r="X950" t="s">
        <v>9899</v>
      </c>
      <c r="Y950" t="s">
        <v>9900</v>
      </c>
      <c r="Z950" t="s">
        <v>9898</v>
      </c>
      <c r="AD950">
        <f t="shared" si="29"/>
        <v>4</v>
      </c>
    </row>
    <row r="951" spans="1:30" x14ac:dyDescent="0.25">
      <c r="A951" t="s">
        <v>975</v>
      </c>
      <c r="B951" s="2">
        <v>45287</v>
      </c>
      <c r="C951" s="2">
        <v>45292</v>
      </c>
      <c r="D951" t="s">
        <v>5145</v>
      </c>
      <c r="E951" t="s">
        <v>5645</v>
      </c>
      <c r="F951" t="s">
        <v>6026</v>
      </c>
      <c r="G951" t="s">
        <v>6029</v>
      </c>
      <c r="H951" t="s">
        <v>6036</v>
      </c>
      <c r="I951" t="s">
        <v>6049</v>
      </c>
      <c r="J951" t="s">
        <v>6055</v>
      </c>
      <c r="K951" t="s">
        <v>6064</v>
      </c>
      <c r="L951" t="s">
        <v>6967</v>
      </c>
      <c r="M951">
        <v>1741.25</v>
      </c>
      <c r="N951">
        <v>8</v>
      </c>
      <c r="O951">
        <v>0.04</v>
      </c>
      <c r="P951">
        <v>176.8</v>
      </c>
      <c r="Q951" t="s">
        <v>9895</v>
      </c>
      <c r="R951">
        <v>5</v>
      </c>
      <c r="S951" s="5">
        <f t="shared" si="28"/>
        <v>0.10153625269203159</v>
      </c>
      <c r="T951">
        <v>217.65625</v>
      </c>
      <c r="U951">
        <v>12</v>
      </c>
      <c r="V951">
        <v>2023</v>
      </c>
      <c r="W951">
        <v>4</v>
      </c>
      <c r="X951" t="s">
        <v>9899</v>
      </c>
      <c r="Y951" t="s">
        <v>9901</v>
      </c>
      <c r="Z951" t="s">
        <v>9898</v>
      </c>
      <c r="AD951">
        <f t="shared" si="29"/>
        <v>5</v>
      </c>
    </row>
    <row r="952" spans="1:30" x14ac:dyDescent="0.25">
      <c r="A952" t="s">
        <v>976</v>
      </c>
      <c r="B952" s="2">
        <v>45104</v>
      </c>
      <c r="C952" s="2">
        <v>45108</v>
      </c>
      <c r="D952" t="s">
        <v>5083</v>
      </c>
      <c r="E952" t="s">
        <v>5583</v>
      </c>
      <c r="F952" t="s">
        <v>6028</v>
      </c>
      <c r="G952" t="s">
        <v>6030</v>
      </c>
      <c r="H952" t="s">
        <v>6035</v>
      </c>
      <c r="I952" t="s">
        <v>6047</v>
      </c>
      <c r="J952" t="s">
        <v>6053</v>
      </c>
      <c r="K952" t="s">
        <v>6056</v>
      </c>
      <c r="L952" t="s">
        <v>6968</v>
      </c>
      <c r="M952">
        <v>107.07</v>
      </c>
      <c r="N952">
        <v>5</v>
      </c>
      <c r="O952">
        <v>0.27</v>
      </c>
      <c r="P952">
        <v>-7.42</v>
      </c>
      <c r="Q952" t="s">
        <v>9894</v>
      </c>
      <c r="R952">
        <v>4</v>
      </c>
      <c r="S952" s="5">
        <f t="shared" si="28"/>
        <v>-6.9300457644531618E-2</v>
      </c>
      <c r="T952">
        <v>21.414000000000001</v>
      </c>
      <c r="U952">
        <v>6</v>
      </c>
      <c r="V952">
        <v>2023</v>
      </c>
      <c r="W952">
        <v>2</v>
      </c>
      <c r="X952" t="s">
        <v>9898</v>
      </c>
      <c r="Y952" t="s">
        <v>9900</v>
      </c>
      <c r="Z952" t="s">
        <v>9899</v>
      </c>
      <c r="AD952">
        <f t="shared" si="29"/>
        <v>4</v>
      </c>
    </row>
    <row r="953" spans="1:30" x14ac:dyDescent="0.25">
      <c r="A953" t="s">
        <v>977</v>
      </c>
      <c r="B953" s="2">
        <v>44666</v>
      </c>
      <c r="C953" s="2">
        <v>44673</v>
      </c>
      <c r="D953" t="s">
        <v>5033</v>
      </c>
      <c r="E953" t="s">
        <v>5533</v>
      </c>
      <c r="F953" t="s">
        <v>6026</v>
      </c>
      <c r="G953" t="s">
        <v>6030</v>
      </c>
      <c r="H953" t="s">
        <v>6038</v>
      </c>
      <c r="I953" t="s">
        <v>6047</v>
      </c>
      <c r="J953" t="s">
        <v>6054</v>
      </c>
      <c r="K953" t="s">
        <v>6060</v>
      </c>
      <c r="L953" t="s">
        <v>6969</v>
      </c>
      <c r="M953">
        <v>1127.1500000000001</v>
      </c>
      <c r="N953">
        <v>5</v>
      </c>
      <c r="O953">
        <v>0.28000000000000003</v>
      </c>
      <c r="P953">
        <v>10.72</v>
      </c>
      <c r="Q953" t="s">
        <v>9896</v>
      </c>
      <c r="R953">
        <v>7</v>
      </c>
      <c r="S953" s="5">
        <f t="shared" si="28"/>
        <v>9.5107128598678082E-3</v>
      </c>
      <c r="T953">
        <v>225.43</v>
      </c>
      <c r="U953">
        <v>4</v>
      </c>
      <c r="V953">
        <v>2022</v>
      </c>
      <c r="W953">
        <v>2</v>
      </c>
      <c r="X953" t="s">
        <v>9899</v>
      </c>
      <c r="Y953" t="s">
        <v>9900</v>
      </c>
      <c r="Z953" t="s">
        <v>9898</v>
      </c>
      <c r="AD953">
        <f t="shared" si="29"/>
        <v>7</v>
      </c>
    </row>
    <row r="954" spans="1:30" x14ac:dyDescent="0.25">
      <c r="A954" t="s">
        <v>978</v>
      </c>
      <c r="B954" s="2">
        <v>45302</v>
      </c>
      <c r="C954" s="2">
        <v>45306</v>
      </c>
      <c r="D954" t="s">
        <v>5284</v>
      </c>
      <c r="E954" t="s">
        <v>5784</v>
      </c>
      <c r="F954" t="s">
        <v>6026</v>
      </c>
      <c r="G954" t="s">
        <v>6031</v>
      </c>
      <c r="H954" t="s">
        <v>6042</v>
      </c>
      <c r="I954" t="s">
        <v>6052</v>
      </c>
      <c r="J954" t="s">
        <v>6054</v>
      </c>
      <c r="K954" t="s">
        <v>6060</v>
      </c>
      <c r="L954" t="s">
        <v>6970</v>
      </c>
      <c r="M954">
        <v>1562.7</v>
      </c>
      <c r="N954">
        <v>4</v>
      </c>
      <c r="O954">
        <v>0.32</v>
      </c>
      <c r="P954">
        <v>-254.85</v>
      </c>
      <c r="Q954" t="s">
        <v>9896</v>
      </c>
      <c r="R954">
        <v>4</v>
      </c>
      <c r="S954" s="5">
        <f t="shared" si="28"/>
        <v>-0.16308312535995392</v>
      </c>
      <c r="T954">
        <v>390.67500000000001</v>
      </c>
      <c r="U954">
        <v>1</v>
      </c>
      <c r="V954">
        <v>2024</v>
      </c>
      <c r="W954">
        <v>1</v>
      </c>
      <c r="X954" t="s">
        <v>9898</v>
      </c>
      <c r="Y954" t="s">
        <v>9902</v>
      </c>
      <c r="Z954" t="s">
        <v>9898</v>
      </c>
      <c r="AD954">
        <f t="shared" si="29"/>
        <v>4</v>
      </c>
    </row>
    <row r="955" spans="1:30" x14ac:dyDescent="0.25">
      <c r="A955" t="s">
        <v>979</v>
      </c>
      <c r="B955" s="2">
        <v>45010</v>
      </c>
      <c r="C955" s="2">
        <v>45013</v>
      </c>
      <c r="D955" t="s">
        <v>5310</v>
      </c>
      <c r="E955" t="s">
        <v>5810</v>
      </c>
      <c r="F955" t="s">
        <v>6026</v>
      </c>
      <c r="G955" t="s">
        <v>6031</v>
      </c>
      <c r="H955" t="s">
        <v>6037</v>
      </c>
      <c r="I955" t="s">
        <v>6048</v>
      </c>
      <c r="J955" t="s">
        <v>6055</v>
      </c>
      <c r="K955" t="s">
        <v>6064</v>
      </c>
      <c r="L955" t="s">
        <v>6971</v>
      </c>
      <c r="M955">
        <v>1547.02</v>
      </c>
      <c r="N955">
        <v>2</v>
      </c>
      <c r="O955">
        <v>0.06</v>
      </c>
      <c r="P955">
        <v>94.24</v>
      </c>
      <c r="Q955" t="s">
        <v>9895</v>
      </c>
      <c r="R955">
        <v>3</v>
      </c>
      <c r="S955" s="5">
        <f t="shared" si="28"/>
        <v>6.0917118072164544E-2</v>
      </c>
      <c r="T955">
        <v>773.51</v>
      </c>
      <c r="U955">
        <v>3</v>
      </c>
      <c r="V955">
        <v>2023</v>
      </c>
      <c r="W955">
        <v>1</v>
      </c>
      <c r="X955" t="s">
        <v>9899</v>
      </c>
      <c r="Y955" t="s">
        <v>9901</v>
      </c>
      <c r="Z955" t="s">
        <v>9898</v>
      </c>
      <c r="AD955">
        <f t="shared" si="29"/>
        <v>3</v>
      </c>
    </row>
    <row r="956" spans="1:30" x14ac:dyDescent="0.25">
      <c r="A956" t="s">
        <v>980</v>
      </c>
      <c r="B956" s="2">
        <v>44726</v>
      </c>
      <c r="C956" s="2">
        <v>44730</v>
      </c>
      <c r="D956" t="s">
        <v>5037</v>
      </c>
      <c r="E956" t="s">
        <v>5537</v>
      </c>
      <c r="F956" t="s">
        <v>6028</v>
      </c>
      <c r="G956" t="s">
        <v>6029</v>
      </c>
      <c r="H956" t="s">
        <v>6044</v>
      </c>
      <c r="I956" t="s">
        <v>6049</v>
      </c>
      <c r="J956" t="s">
        <v>6054</v>
      </c>
      <c r="K956" t="s">
        <v>6060</v>
      </c>
      <c r="L956" t="s">
        <v>6972</v>
      </c>
      <c r="M956">
        <v>391.01</v>
      </c>
      <c r="N956">
        <v>7</v>
      </c>
      <c r="O956">
        <v>0.27</v>
      </c>
      <c r="P956">
        <v>-48.11</v>
      </c>
      <c r="Q956" t="s">
        <v>9894</v>
      </c>
      <c r="R956">
        <v>4</v>
      </c>
      <c r="S956" s="5">
        <f t="shared" si="28"/>
        <v>-0.12304033144932355</v>
      </c>
      <c r="T956">
        <v>55.85857142857143</v>
      </c>
      <c r="U956">
        <v>6</v>
      </c>
      <c r="V956">
        <v>2022</v>
      </c>
      <c r="W956">
        <v>2</v>
      </c>
      <c r="X956" t="s">
        <v>9898</v>
      </c>
      <c r="Y956" t="s">
        <v>9900</v>
      </c>
      <c r="Z956" t="s">
        <v>9899</v>
      </c>
      <c r="AD956">
        <f t="shared" si="29"/>
        <v>4</v>
      </c>
    </row>
    <row r="957" spans="1:30" x14ac:dyDescent="0.25">
      <c r="A957" t="s">
        <v>981</v>
      </c>
      <c r="B957" s="2">
        <v>45243</v>
      </c>
      <c r="C957" s="2">
        <v>45246</v>
      </c>
      <c r="D957" t="s">
        <v>5145</v>
      </c>
      <c r="E957" t="s">
        <v>5645</v>
      </c>
      <c r="F957" t="s">
        <v>6028</v>
      </c>
      <c r="G957" t="s">
        <v>6031</v>
      </c>
      <c r="H957" t="s">
        <v>6040</v>
      </c>
      <c r="I957" t="s">
        <v>6052</v>
      </c>
      <c r="J957" t="s">
        <v>6054</v>
      </c>
      <c r="K957" t="s">
        <v>6060</v>
      </c>
      <c r="L957" t="s">
        <v>6973</v>
      </c>
      <c r="M957">
        <v>721.66</v>
      </c>
      <c r="N957">
        <v>6</v>
      </c>
      <c r="O957">
        <v>0.34</v>
      </c>
      <c r="P957">
        <v>-99.07</v>
      </c>
      <c r="Q957" t="s">
        <v>9894</v>
      </c>
      <c r="R957">
        <v>3</v>
      </c>
      <c r="S957" s="5">
        <f t="shared" si="28"/>
        <v>-0.13728071390959731</v>
      </c>
      <c r="T957">
        <v>120.2766666666667</v>
      </c>
      <c r="U957">
        <v>11</v>
      </c>
      <c r="V957">
        <v>2023</v>
      </c>
      <c r="W957">
        <v>4</v>
      </c>
      <c r="X957" t="s">
        <v>9898</v>
      </c>
      <c r="Y957" t="s">
        <v>9902</v>
      </c>
      <c r="Z957" t="s">
        <v>9899</v>
      </c>
      <c r="AD957">
        <f t="shared" si="29"/>
        <v>3</v>
      </c>
    </row>
    <row r="958" spans="1:30" x14ac:dyDescent="0.25">
      <c r="A958" t="s">
        <v>982</v>
      </c>
      <c r="B958" s="2">
        <v>44974</v>
      </c>
      <c r="C958" s="2">
        <v>44977</v>
      </c>
      <c r="D958" t="s">
        <v>5279</v>
      </c>
      <c r="E958" t="s">
        <v>5779</v>
      </c>
      <c r="F958" t="s">
        <v>6027</v>
      </c>
      <c r="G958" t="s">
        <v>6031</v>
      </c>
      <c r="H958" t="s">
        <v>6042</v>
      </c>
      <c r="I958" t="s">
        <v>6050</v>
      </c>
      <c r="J958" t="s">
        <v>6054</v>
      </c>
      <c r="K958" t="s">
        <v>6062</v>
      </c>
      <c r="L958" t="s">
        <v>6974</v>
      </c>
      <c r="M958">
        <v>1083.53</v>
      </c>
      <c r="N958">
        <v>8</v>
      </c>
      <c r="O958">
        <v>0.04</v>
      </c>
      <c r="P958">
        <v>124.48</v>
      </c>
      <c r="Q958" t="s">
        <v>9897</v>
      </c>
      <c r="R958">
        <v>3</v>
      </c>
      <c r="S958" s="5">
        <f t="shared" si="28"/>
        <v>0.11488375956364845</v>
      </c>
      <c r="T958">
        <v>135.44125</v>
      </c>
      <c r="U958">
        <v>2</v>
      </c>
      <c r="V958">
        <v>2023</v>
      </c>
      <c r="W958">
        <v>1</v>
      </c>
      <c r="X958" t="s">
        <v>9899</v>
      </c>
      <c r="Y958" t="s">
        <v>9901</v>
      </c>
      <c r="Z958" t="s">
        <v>9898</v>
      </c>
      <c r="AD958">
        <f t="shared" si="29"/>
        <v>3</v>
      </c>
    </row>
    <row r="959" spans="1:30" x14ac:dyDescent="0.25">
      <c r="A959" t="s">
        <v>983</v>
      </c>
      <c r="B959" s="2">
        <v>44757</v>
      </c>
      <c r="C959" s="2">
        <v>44762</v>
      </c>
      <c r="D959" t="s">
        <v>5365</v>
      </c>
      <c r="E959" t="s">
        <v>5865</v>
      </c>
      <c r="F959" t="s">
        <v>6027</v>
      </c>
      <c r="G959" t="s">
        <v>6031</v>
      </c>
      <c r="H959" t="s">
        <v>6040</v>
      </c>
      <c r="I959" t="s">
        <v>6048</v>
      </c>
      <c r="J959" t="s">
        <v>6055</v>
      </c>
      <c r="K959" t="s">
        <v>6061</v>
      </c>
      <c r="L959" t="s">
        <v>6312</v>
      </c>
      <c r="M959">
        <v>1801.86</v>
      </c>
      <c r="N959">
        <v>4</v>
      </c>
      <c r="O959">
        <v>0.23</v>
      </c>
      <c r="P959">
        <v>51.53</v>
      </c>
      <c r="Q959" t="s">
        <v>9897</v>
      </c>
      <c r="R959">
        <v>5</v>
      </c>
      <c r="S959" s="5">
        <f t="shared" si="28"/>
        <v>2.8598226277291246E-2</v>
      </c>
      <c r="T959">
        <v>450.46499999999997</v>
      </c>
      <c r="U959">
        <v>7</v>
      </c>
      <c r="V959">
        <v>2022</v>
      </c>
      <c r="W959">
        <v>3</v>
      </c>
      <c r="X959" t="s">
        <v>9899</v>
      </c>
      <c r="Y959" t="s">
        <v>9900</v>
      </c>
      <c r="Z959" t="s">
        <v>9898</v>
      </c>
      <c r="AD959">
        <f t="shared" si="29"/>
        <v>5</v>
      </c>
    </row>
    <row r="960" spans="1:30" x14ac:dyDescent="0.25">
      <c r="A960" t="s">
        <v>984</v>
      </c>
      <c r="B960" s="2">
        <v>45453</v>
      </c>
      <c r="C960" s="2">
        <v>45460</v>
      </c>
      <c r="D960" t="s">
        <v>5265</v>
      </c>
      <c r="E960" t="s">
        <v>5765</v>
      </c>
      <c r="F960" t="s">
        <v>6027</v>
      </c>
      <c r="G960" t="s">
        <v>6030</v>
      </c>
      <c r="H960" t="s">
        <v>6035</v>
      </c>
      <c r="I960" t="s">
        <v>6051</v>
      </c>
      <c r="J960" t="s">
        <v>6055</v>
      </c>
      <c r="K960" t="s">
        <v>6064</v>
      </c>
      <c r="L960" t="s">
        <v>6975</v>
      </c>
      <c r="M960">
        <v>790.42</v>
      </c>
      <c r="N960">
        <v>8</v>
      </c>
      <c r="O960">
        <v>0.18</v>
      </c>
      <c r="P960">
        <v>-21.59</v>
      </c>
      <c r="Q960" t="s">
        <v>9894</v>
      </c>
      <c r="R960">
        <v>7</v>
      </c>
      <c r="S960" s="5">
        <f t="shared" si="28"/>
        <v>-2.7314592242099138E-2</v>
      </c>
      <c r="T960">
        <v>98.802499999999995</v>
      </c>
      <c r="U960">
        <v>6</v>
      </c>
      <c r="V960">
        <v>2024</v>
      </c>
      <c r="W960">
        <v>2</v>
      </c>
      <c r="X960" t="s">
        <v>9898</v>
      </c>
      <c r="Y960" t="s">
        <v>9900</v>
      </c>
      <c r="Z960" t="s">
        <v>9899</v>
      </c>
      <c r="AD960">
        <f t="shared" si="29"/>
        <v>7</v>
      </c>
    </row>
    <row r="961" spans="1:30" x14ac:dyDescent="0.25">
      <c r="A961" t="s">
        <v>985</v>
      </c>
      <c r="B961" s="2">
        <v>44595</v>
      </c>
      <c r="C961" s="2">
        <v>44602</v>
      </c>
      <c r="D961" t="s">
        <v>5364</v>
      </c>
      <c r="E961" t="s">
        <v>5864</v>
      </c>
      <c r="F961" t="s">
        <v>6027</v>
      </c>
      <c r="G961" t="s">
        <v>6030</v>
      </c>
      <c r="H961" t="s">
        <v>6039</v>
      </c>
      <c r="I961" t="s">
        <v>6047</v>
      </c>
      <c r="J961" t="s">
        <v>6055</v>
      </c>
      <c r="K961" t="s">
        <v>6061</v>
      </c>
      <c r="L961" t="s">
        <v>6976</v>
      </c>
      <c r="M961">
        <v>1603.24</v>
      </c>
      <c r="N961">
        <v>7</v>
      </c>
      <c r="O961">
        <v>0.1</v>
      </c>
      <c r="P961">
        <v>215.7</v>
      </c>
      <c r="Q961" t="s">
        <v>9896</v>
      </c>
      <c r="R961">
        <v>7</v>
      </c>
      <c r="S961" s="5">
        <f t="shared" si="28"/>
        <v>0.1345400563858187</v>
      </c>
      <c r="T961">
        <v>229.03428571428569</v>
      </c>
      <c r="U961">
        <v>2</v>
      </c>
      <c r="V961">
        <v>2022</v>
      </c>
      <c r="W961">
        <v>1</v>
      </c>
      <c r="X961" t="s">
        <v>9899</v>
      </c>
      <c r="Y961" t="s">
        <v>9901</v>
      </c>
      <c r="Z961" t="s">
        <v>9898</v>
      </c>
      <c r="AD961">
        <f t="shared" si="29"/>
        <v>7</v>
      </c>
    </row>
    <row r="962" spans="1:30" x14ac:dyDescent="0.25">
      <c r="A962" t="s">
        <v>986</v>
      </c>
      <c r="B962" s="2">
        <v>44563</v>
      </c>
      <c r="C962" s="2">
        <v>44568</v>
      </c>
      <c r="D962" t="s">
        <v>5117</v>
      </c>
      <c r="E962" t="s">
        <v>5617</v>
      </c>
      <c r="F962" t="s">
        <v>6027</v>
      </c>
      <c r="G962" t="s">
        <v>6029</v>
      </c>
      <c r="H962" t="s">
        <v>6036</v>
      </c>
      <c r="I962" t="s">
        <v>6049</v>
      </c>
      <c r="J962" t="s">
        <v>6053</v>
      </c>
      <c r="K962" t="s">
        <v>6057</v>
      </c>
      <c r="L962" t="s">
        <v>6977</v>
      </c>
      <c r="M962">
        <v>1030.5</v>
      </c>
      <c r="N962">
        <v>6</v>
      </c>
      <c r="O962">
        <v>0.04</v>
      </c>
      <c r="P962">
        <v>207.47</v>
      </c>
      <c r="Q962" t="s">
        <v>9896</v>
      </c>
      <c r="R962">
        <v>5</v>
      </c>
      <c r="S962" s="5">
        <f t="shared" si="28"/>
        <v>0.20132945172246483</v>
      </c>
      <c r="T962">
        <v>171.75</v>
      </c>
      <c r="U962">
        <v>1</v>
      </c>
      <c r="V962">
        <v>2022</v>
      </c>
      <c r="W962">
        <v>1</v>
      </c>
      <c r="X962" t="s">
        <v>9899</v>
      </c>
      <c r="Y962" t="s">
        <v>9901</v>
      </c>
      <c r="Z962" t="s">
        <v>9898</v>
      </c>
      <c r="AD962">
        <f t="shared" si="29"/>
        <v>5</v>
      </c>
    </row>
    <row r="963" spans="1:30" x14ac:dyDescent="0.25">
      <c r="A963" t="s">
        <v>987</v>
      </c>
      <c r="B963" s="2">
        <v>45163</v>
      </c>
      <c r="C963" s="2">
        <v>45164</v>
      </c>
      <c r="D963" t="s">
        <v>5418</v>
      </c>
      <c r="E963" t="s">
        <v>5918</v>
      </c>
      <c r="F963" t="s">
        <v>6028</v>
      </c>
      <c r="G963" t="s">
        <v>6031</v>
      </c>
      <c r="H963" t="s">
        <v>6040</v>
      </c>
      <c r="I963" t="s">
        <v>6050</v>
      </c>
      <c r="J963" t="s">
        <v>6054</v>
      </c>
      <c r="K963" t="s">
        <v>6059</v>
      </c>
      <c r="L963" t="s">
        <v>6978</v>
      </c>
      <c r="M963">
        <v>499.22</v>
      </c>
      <c r="N963">
        <v>3</v>
      </c>
      <c r="O963">
        <v>0.1</v>
      </c>
      <c r="P963">
        <v>84.76</v>
      </c>
      <c r="Q963" t="s">
        <v>9894</v>
      </c>
      <c r="R963">
        <v>1</v>
      </c>
      <c r="S963" s="5">
        <f t="shared" ref="S963:S1026" si="30">P963/M963</f>
        <v>0.16978486438844598</v>
      </c>
      <c r="T963">
        <v>166.40666666666669</v>
      </c>
      <c r="U963">
        <v>8</v>
      </c>
      <c r="V963">
        <v>2023</v>
      </c>
      <c r="W963">
        <v>3</v>
      </c>
      <c r="X963" t="s">
        <v>9899</v>
      </c>
      <c r="Y963" t="s">
        <v>9901</v>
      </c>
      <c r="Z963" t="s">
        <v>9899</v>
      </c>
      <c r="AD963">
        <f t="shared" ref="AD963:AD1026" si="31">C963-B963</f>
        <v>1</v>
      </c>
    </row>
    <row r="964" spans="1:30" x14ac:dyDescent="0.25">
      <c r="A964" t="s">
        <v>988</v>
      </c>
      <c r="B964" s="2">
        <v>45392</v>
      </c>
      <c r="C964" s="2">
        <v>45399</v>
      </c>
      <c r="D964" t="s">
        <v>5416</v>
      </c>
      <c r="E964" t="s">
        <v>5916</v>
      </c>
      <c r="F964" t="s">
        <v>6028</v>
      </c>
      <c r="G964" t="s">
        <v>6030</v>
      </c>
      <c r="H964" t="s">
        <v>6038</v>
      </c>
      <c r="I964" t="s">
        <v>6047</v>
      </c>
      <c r="J964" t="s">
        <v>6053</v>
      </c>
      <c r="K964" t="s">
        <v>6057</v>
      </c>
      <c r="L964" t="s">
        <v>6979</v>
      </c>
      <c r="M964">
        <v>1801.4</v>
      </c>
      <c r="N964">
        <v>4</v>
      </c>
      <c r="O964">
        <v>0.34</v>
      </c>
      <c r="P964">
        <v>-88.54</v>
      </c>
      <c r="Q964" t="s">
        <v>9896</v>
      </c>
      <c r="R964">
        <v>7</v>
      </c>
      <c r="S964" s="5">
        <f t="shared" si="30"/>
        <v>-4.9150660597313205E-2</v>
      </c>
      <c r="T964">
        <v>450.35</v>
      </c>
      <c r="U964">
        <v>4</v>
      </c>
      <c r="V964">
        <v>2024</v>
      </c>
      <c r="W964">
        <v>2</v>
      </c>
      <c r="X964" t="s">
        <v>9898</v>
      </c>
      <c r="Y964" t="s">
        <v>9902</v>
      </c>
      <c r="Z964" t="s">
        <v>9898</v>
      </c>
      <c r="AD964">
        <f t="shared" si="31"/>
        <v>7</v>
      </c>
    </row>
    <row r="965" spans="1:30" x14ac:dyDescent="0.25">
      <c r="A965" t="s">
        <v>989</v>
      </c>
      <c r="B965" s="2">
        <v>45379</v>
      </c>
      <c r="C965" s="2">
        <v>45381</v>
      </c>
      <c r="D965" t="s">
        <v>5325</v>
      </c>
      <c r="E965" t="s">
        <v>5825</v>
      </c>
      <c r="F965" t="s">
        <v>6026</v>
      </c>
      <c r="G965" t="s">
        <v>6029</v>
      </c>
      <c r="H965" t="s">
        <v>6044</v>
      </c>
      <c r="I965" t="s">
        <v>6046</v>
      </c>
      <c r="J965" t="s">
        <v>6055</v>
      </c>
      <c r="K965" t="s">
        <v>6064</v>
      </c>
      <c r="L965" t="s">
        <v>6980</v>
      </c>
      <c r="M965">
        <v>1583.31</v>
      </c>
      <c r="N965">
        <v>3</v>
      </c>
      <c r="O965">
        <v>0.25</v>
      </c>
      <c r="P965">
        <v>-24.65</v>
      </c>
      <c r="Q965" t="s">
        <v>9894</v>
      </c>
      <c r="R965">
        <v>2</v>
      </c>
      <c r="S965" s="5">
        <f t="shared" si="30"/>
        <v>-1.5568650485375573E-2</v>
      </c>
      <c r="T965">
        <v>527.77</v>
      </c>
      <c r="U965">
        <v>3</v>
      </c>
      <c r="V965">
        <v>2024</v>
      </c>
      <c r="W965">
        <v>1</v>
      </c>
      <c r="X965" t="s">
        <v>9898</v>
      </c>
      <c r="Y965" t="s">
        <v>9900</v>
      </c>
      <c r="Z965" t="s">
        <v>9898</v>
      </c>
      <c r="AD965">
        <f t="shared" si="31"/>
        <v>2</v>
      </c>
    </row>
    <row r="966" spans="1:30" x14ac:dyDescent="0.25">
      <c r="A966" t="s">
        <v>990</v>
      </c>
      <c r="B966" s="2">
        <v>45166</v>
      </c>
      <c r="C966" s="2">
        <v>45172</v>
      </c>
      <c r="D966" t="s">
        <v>5147</v>
      </c>
      <c r="E966" t="s">
        <v>5647</v>
      </c>
      <c r="F966" t="s">
        <v>6026</v>
      </c>
      <c r="G966" t="s">
        <v>6030</v>
      </c>
      <c r="H966" t="s">
        <v>6039</v>
      </c>
      <c r="I966" t="s">
        <v>6051</v>
      </c>
      <c r="J966" t="s">
        <v>6054</v>
      </c>
      <c r="K966" t="s">
        <v>6062</v>
      </c>
      <c r="L966" t="s">
        <v>6981</v>
      </c>
      <c r="M966">
        <v>858.29</v>
      </c>
      <c r="N966">
        <v>8</v>
      </c>
      <c r="O966">
        <v>0.24</v>
      </c>
      <c r="P966">
        <v>24.77</v>
      </c>
      <c r="Q966" t="s">
        <v>9895</v>
      </c>
      <c r="R966">
        <v>6</v>
      </c>
      <c r="S966" s="5">
        <f t="shared" si="30"/>
        <v>2.8859709422223257E-2</v>
      </c>
      <c r="T966">
        <v>107.28625</v>
      </c>
      <c r="U966">
        <v>8</v>
      </c>
      <c r="V966">
        <v>2023</v>
      </c>
      <c r="W966">
        <v>3</v>
      </c>
      <c r="X966" t="s">
        <v>9899</v>
      </c>
      <c r="Y966" t="s">
        <v>9900</v>
      </c>
      <c r="Z966" t="s">
        <v>9899</v>
      </c>
      <c r="AD966">
        <f t="shared" si="31"/>
        <v>6</v>
      </c>
    </row>
    <row r="967" spans="1:30" x14ac:dyDescent="0.25">
      <c r="A967" t="s">
        <v>991</v>
      </c>
      <c r="B967" s="2">
        <v>44818</v>
      </c>
      <c r="C967" s="2">
        <v>44819</v>
      </c>
      <c r="D967" t="s">
        <v>5453</v>
      </c>
      <c r="E967" t="s">
        <v>5953</v>
      </c>
      <c r="F967" t="s">
        <v>6028</v>
      </c>
      <c r="G967" t="s">
        <v>6031</v>
      </c>
      <c r="H967" t="s">
        <v>6037</v>
      </c>
      <c r="I967" t="s">
        <v>6052</v>
      </c>
      <c r="J967" t="s">
        <v>6054</v>
      </c>
      <c r="K967" t="s">
        <v>6060</v>
      </c>
      <c r="L967" t="s">
        <v>6982</v>
      </c>
      <c r="M967">
        <v>1217.1600000000001</v>
      </c>
      <c r="N967">
        <v>4</v>
      </c>
      <c r="O967">
        <v>0.25</v>
      </c>
      <c r="P967">
        <v>12.87</v>
      </c>
      <c r="Q967" t="s">
        <v>9895</v>
      </c>
      <c r="R967">
        <v>1</v>
      </c>
      <c r="S967" s="5">
        <f t="shared" si="30"/>
        <v>1.0573794735285417E-2</v>
      </c>
      <c r="T967">
        <v>304.29000000000002</v>
      </c>
      <c r="U967">
        <v>9</v>
      </c>
      <c r="V967">
        <v>2022</v>
      </c>
      <c r="W967">
        <v>3</v>
      </c>
      <c r="X967" t="s">
        <v>9899</v>
      </c>
      <c r="Y967" t="s">
        <v>9900</v>
      </c>
      <c r="Z967" t="s">
        <v>9898</v>
      </c>
      <c r="AD967">
        <f t="shared" si="31"/>
        <v>1</v>
      </c>
    </row>
    <row r="968" spans="1:30" x14ac:dyDescent="0.25">
      <c r="A968" t="s">
        <v>992</v>
      </c>
      <c r="B968" s="2">
        <v>44709</v>
      </c>
      <c r="C968" s="2">
        <v>44711</v>
      </c>
      <c r="D968" t="s">
        <v>5334</v>
      </c>
      <c r="E968" t="s">
        <v>5834</v>
      </c>
      <c r="F968" t="s">
        <v>6027</v>
      </c>
      <c r="G968" t="s">
        <v>6031</v>
      </c>
      <c r="H968" t="s">
        <v>6040</v>
      </c>
      <c r="I968" t="s">
        <v>6052</v>
      </c>
      <c r="J968" t="s">
        <v>6053</v>
      </c>
      <c r="K968" t="s">
        <v>6057</v>
      </c>
      <c r="L968" t="s">
        <v>6983</v>
      </c>
      <c r="M968">
        <v>1537.33</v>
      </c>
      <c r="N968">
        <v>6</v>
      </c>
      <c r="O968">
        <v>0.15</v>
      </c>
      <c r="P968">
        <v>34.5</v>
      </c>
      <c r="Q968" t="s">
        <v>9897</v>
      </c>
      <c r="R968">
        <v>2</v>
      </c>
      <c r="S968" s="5">
        <f t="shared" si="30"/>
        <v>2.2441505727462549E-2</v>
      </c>
      <c r="T968">
        <v>256.22166666666658</v>
      </c>
      <c r="U968">
        <v>5</v>
      </c>
      <c r="V968">
        <v>2022</v>
      </c>
      <c r="W968">
        <v>2</v>
      </c>
      <c r="X968" t="s">
        <v>9899</v>
      </c>
      <c r="Y968" t="s">
        <v>9901</v>
      </c>
      <c r="Z968" t="s">
        <v>9898</v>
      </c>
      <c r="AD968">
        <f t="shared" si="31"/>
        <v>2</v>
      </c>
    </row>
    <row r="969" spans="1:30" x14ac:dyDescent="0.25">
      <c r="A969" t="s">
        <v>993</v>
      </c>
      <c r="B969" s="2">
        <v>45453</v>
      </c>
      <c r="C969" s="2">
        <v>45457</v>
      </c>
      <c r="D969" t="s">
        <v>5205</v>
      </c>
      <c r="E969" t="s">
        <v>5705</v>
      </c>
      <c r="F969" t="s">
        <v>6028</v>
      </c>
      <c r="G969" t="s">
        <v>6030</v>
      </c>
      <c r="H969" t="s">
        <v>6033</v>
      </c>
      <c r="I969" t="s">
        <v>6047</v>
      </c>
      <c r="J969" t="s">
        <v>6053</v>
      </c>
      <c r="K969" t="s">
        <v>6056</v>
      </c>
      <c r="L969" t="s">
        <v>6586</v>
      </c>
      <c r="M969">
        <v>1395.62</v>
      </c>
      <c r="N969">
        <v>7</v>
      </c>
      <c r="O969">
        <v>0.21</v>
      </c>
      <c r="P969">
        <v>1.27</v>
      </c>
      <c r="Q969" t="s">
        <v>9897</v>
      </c>
      <c r="R969">
        <v>4</v>
      </c>
      <c r="S969" s="5">
        <f t="shared" si="30"/>
        <v>9.0998982531061471E-4</v>
      </c>
      <c r="T969">
        <v>199.37428571428569</v>
      </c>
      <c r="U969">
        <v>6</v>
      </c>
      <c r="V969">
        <v>2024</v>
      </c>
      <c r="W969">
        <v>2</v>
      </c>
      <c r="X969" t="s">
        <v>9899</v>
      </c>
      <c r="Y969" t="s">
        <v>9900</v>
      </c>
      <c r="Z969" t="s">
        <v>9898</v>
      </c>
      <c r="AD969">
        <f t="shared" si="31"/>
        <v>4</v>
      </c>
    </row>
    <row r="970" spans="1:30" x14ac:dyDescent="0.25">
      <c r="A970" t="s">
        <v>994</v>
      </c>
      <c r="B970" s="2">
        <v>44584</v>
      </c>
      <c r="C970" s="2">
        <v>44589</v>
      </c>
      <c r="D970" t="s">
        <v>5450</v>
      </c>
      <c r="E970" t="s">
        <v>5950</v>
      </c>
      <c r="F970" t="s">
        <v>6027</v>
      </c>
      <c r="G970" t="s">
        <v>6029</v>
      </c>
      <c r="H970" t="s">
        <v>6032</v>
      </c>
      <c r="I970" t="s">
        <v>6046</v>
      </c>
      <c r="J970" t="s">
        <v>6055</v>
      </c>
      <c r="K970" t="s">
        <v>6063</v>
      </c>
      <c r="L970" t="s">
        <v>6263</v>
      </c>
      <c r="M970">
        <v>1021.45</v>
      </c>
      <c r="N970">
        <v>6</v>
      </c>
      <c r="O970">
        <v>0.03</v>
      </c>
      <c r="P970">
        <v>246.12</v>
      </c>
      <c r="Q970" t="s">
        <v>9894</v>
      </c>
      <c r="R970">
        <v>5</v>
      </c>
      <c r="S970" s="5">
        <f t="shared" si="30"/>
        <v>0.24095158842821479</v>
      </c>
      <c r="T970">
        <v>170.2416666666667</v>
      </c>
      <c r="U970">
        <v>1</v>
      </c>
      <c r="V970">
        <v>2022</v>
      </c>
      <c r="W970">
        <v>1</v>
      </c>
      <c r="X970" t="s">
        <v>9899</v>
      </c>
      <c r="Y970" t="s">
        <v>9901</v>
      </c>
      <c r="Z970" t="s">
        <v>9898</v>
      </c>
      <c r="AD970">
        <f t="shared" si="31"/>
        <v>5</v>
      </c>
    </row>
    <row r="971" spans="1:30" x14ac:dyDescent="0.25">
      <c r="A971" t="s">
        <v>995</v>
      </c>
      <c r="B971" s="2">
        <v>44678</v>
      </c>
      <c r="C971" s="2">
        <v>44682</v>
      </c>
      <c r="D971" t="s">
        <v>5215</v>
      </c>
      <c r="E971" t="s">
        <v>5715</v>
      </c>
      <c r="F971" t="s">
        <v>6027</v>
      </c>
      <c r="G971" t="s">
        <v>6030</v>
      </c>
      <c r="H971" t="s">
        <v>6033</v>
      </c>
      <c r="I971" t="s">
        <v>6047</v>
      </c>
      <c r="J971" t="s">
        <v>6054</v>
      </c>
      <c r="K971" t="s">
        <v>6062</v>
      </c>
      <c r="L971" t="s">
        <v>6984</v>
      </c>
      <c r="M971">
        <v>217.35</v>
      </c>
      <c r="N971">
        <v>3</v>
      </c>
      <c r="O971">
        <v>0.11</v>
      </c>
      <c r="P971">
        <v>8.17</v>
      </c>
      <c r="Q971" t="s">
        <v>9893</v>
      </c>
      <c r="R971">
        <v>4</v>
      </c>
      <c r="S971" s="5">
        <f t="shared" si="30"/>
        <v>3.7589141936968024E-2</v>
      </c>
      <c r="T971">
        <v>72.45</v>
      </c>
      <c r="U971">
        <v>4</v>
      </c>
      <c r="V971">
        <v>2022</v>
      </c>
      <c r="W971">
        <v>2</v>
      </c>
      <c r="X971" t="s">
        <v>9899</v>
      </c>
      <c r="Y971" t="s">
        <v>9901</v>
      </c>
      <c r="Z971" t="s">
        <v>9899</v>
      </c>
      <c r="AD971">
        <f t="shared" si="31"/>
        <v>4</v>
      </c>
    </row>
    <row r="972" spans="1:30" x14ac:dyDescent="0.25">
      <c r="A972" t="s">
        <v>996</v>
      </c>
      <c r="B972" s="2">
        <v>45416</v>
      </c>
      <c r="C972" s="2">
        <v>45417</v>
      </c>
      <c r="D972" t="s">
        <v>5394</v>
      </c>
      <c r="E972" t="s">
        <v>5894</v>
      </c>
      <c r="F972" t="s">
        <v>6027</v>
      </c>
      <c r="G972" t="s">
        <v>6029</v>
      </c>
      <c r="H972" t="s">
        <v>6032</v>
      </c>
      <c r="I972" t="s">
        <v>6050</v>
      </c>
      <c r="J972" t="s">
        <v>6055</v>
      </c>
      <c r="K972" t="s">
        <v>6063</v>
      </c>
      <c r="L972" t="s">
        <v>6985</v>
      </c>
      <c r="M972">
        <v>1377.22</v>
      </c>
      <c r="N972">
        <v>6</v>
      </c>
      <c r="O972">
        <v>0.03</v>
      </c>
      <c r="P972">
        <v>248.21</v>
      </c>
      <c r="Q972" t="s">
        <v>9897</v>
      </c>
      <c r="R972">
        <v>1</v>
      </c>
      <c r="S972" s="5">
        <f t="shared" si="30"/>
        <v>0.18022538156576293</v>
      </c>
      <c r="T972">
        <v>229.53666666666669</v>
      </c>
      <c r="U972">
        <v>5</v>
      </c>
      <c r="V972">
        <v>2024</v>
      </c>
      <c r="W972">
        <v>2</v>
      </c>
      <c r="X972" t="s">
        <v>9899</v>
      </c>
      <c r="Y972" t="s">
        <v>9901</v>
      </c>
      <c r="Z972" t="s">
        <v>9898</v>
      </c>
      <c r="AD972">
        <f t="shared" si="31"/>
        <v>1</v>
      </c>
    </row>
    <row r="973" spans="1:30" x14ac:dyDescent="0.25">
      <c r="A973" t="s">
        <v>997</v>
      </c>
      <c r="B973" s="2">
        <v>44737</v>
      </c>
      <c r="C973" s="2">
        <v>44744</v>
      </c>
      <c r="D973" t="s">
        <v>5228</v>
      </c>
      <c r="E973" t="s">
        <v>5728</v>
      </c>
      <c r="F973" t="s">
        <v>6026</v>
      </c>
      <c r="G973" t="s">
        <v>6030</v>
      </c>
      <c r="H973" t="s">
        <v>6035</v>
      </c>
      <c r="I973" t="s">
        <v>6047</v>
      </c>
      <c r="J973" t="s">
        <v>6053</v>
      </c>
      <c r="K973" t="s">
        <v>6056</v>
      </c>
      <c r="L973" t="s">
        <v>6986</v>
      </c>
      <c r="M973">
        <v>1757.26</v>
      </c>
      <c r="N973">
        <v>3</v>
      </c>
      <c r="O973">
        <v>0.14000000000000001</v>
      </c>
      <c r="P973">
        <v>72.87</v>
      </c>
      <c r="Q973" t="s">
        <v>9895</v>
      </c>
      <c r="R973">
        <v>7</v>
      </c>
      <c r="S973" s="5">
        <f t="shared" si="30"/>
        <v>4.1467967176171995E-2</v>
      </c>
      <c r="T973">
        <v>585.75333333333333</v>
      </c>
      <c r="U973">
        <v>6</v>
      </c>
      <c r="V973">
        <v>2022</v>
      </c>
      <c r="W973">
        <v>2</v>
      </c>
      <c r="X973" t="s">
        <v>9899</v>
      </c>
      <c r="Y973" t="s">
        <v>9901</v>
      </c>
      <c r="Z973" t="s">
        <v>9898</v>
      </c>
      <c r="AD973">
        <f t="shared" si="31"/>
        <v>7</v>
      </c>
    </row>
    <row r="974" spans="1:30" x14ac:dyDescent="0.25">
      <c r="A974" t="s">
        <v>998</v>
      </c>
      <c r="B974" s="2">
        <v>45119</v>
      </c>
      <c r="C974" s="2">
        <v>45125</v>
      </c>
      <c r="D974" t="s">
        <v>5039</v>
      </c>
      <c r="E974" t="s">
        <v>5539</v>
      </c>
      <c r="F974" t="s">
        <v>6028</v>
      </c>
      <c r="G974" t="s">
        <v>6030</v>
      </c>
      <c r="H974" t="s">
        <v>6038</v>
      </c>
      <c r="I974" t="s">
        <v>6047</v>
      </c>
      <c r="J974" t="s">
        <v>6054</v>
      </c>
      <c r="K974" t="s">
        <v>6062</v>
      </c>
      <c r="L974" t="s">
        <v>6987</v>
      </c>
      <c r="M974">
        <v>1209.54</v>
      </c>
      <c r="N974">
        <v>7</v>
      </c>
      <c r="O974">
        <v>0.05</v>
      </c>
      <c r="P974">
        <v>169.87</v>
      </c>
      <c r="Q974" t="s">
        <v>9893</v>
      </c>
      <c r="R974">
        <v>6</v>
      </c>
      <c r="S974" s="5">
        <f t="shared" si="30"/>
        <v>0.14044182085751608</v>
      </c>
      <c r="T974">
        <v>172.79142857142861</v>
      </c>
      <c r="U974">
        <v>7</v>
      </c>
      <c r="V974">
        <v>2023</v>
      </c>
      <c r="W974">
        <v>3</v>
      </c>
      <c r="X974" t="s">
        <v>9899</v>
      </c>
      <c r="Y974" t="s">
        <v>9901</v>
      </c>
      <c r="Z974" t="s">
        <v>9898</v>
      </c>
      <c r="AD974">
        <f t="shared" si="31"/>
        <v>6</v>
      </c>
    </row>
    <row r="975" spans="1:30" x14ac:dyDescent="0.25">
      <c r="A975" t="s">
        <v>999</v>
      </c>
      <c r="B975" s="2">
        <v>45045</v>
      </c>
      <c r="C975" s="2">
        <v>45049</v>
      </c>
      <c r="D975" t="s">
        <v>5448</v>
      </c>
      <c r="E975" t="s">
        <v>5948</v>
      </c>
      <c r="F975" t="s">
        <v>6028</v>
      </c>
      <c r="G975" t="s">
        <v>6029</v>
      </c>
      <c r="H975" t="s">
        <v>6032</v>
      </c>
      <c r="I975" t="s">
        <v>6049</v>
      </c>
      <c r="J975" t="s">
        <v>6055</v>
      </c>
      <c r="K975" t="s">
        <v>6061</v>
      </c>
      <c r="L975" t="s">
        <v>6988</v>
      </c>
      <c r="M975">
        <v>1116.44</v>
      </c>
      <c r="N975">
        <v>3</v>
      </c>
      <c r="O975">
        <v>0.08</v>
      </c>
      <c r="P975">
        <v>230.25</v>
      </c>
      <c r="Q975" t="s">
        <v>9894</v>
      </c>
      <c r="R975">
        <v>4</v>
      </c>
      <c r="S975" s="5">
        <f t="shared" si="30"/>
        <v>0.20623589265880835</v>
      </c>
      <c r="T975">
        <v>372.1466666666667</v>
      </c>
      <c r="U975">
        <v>4</v>
      </c>
      <c r="V975">
        <v>2023</v>
      </c>
      <c r="W975">
        <v>2</v>
      </c>
      <c r="X975" t="s">
        <v>9899</v>
      </c>
      <c r="Y975" t="s">
        <v>9901</v>
      </c>
      <c r="Z975" t="s">
        <v>9898</v>
      </c>
      <c r="AD975">
        <f t="shared" si="31"/>
        <v>4</v>
      </c>
    </row>
    <row r="976" spans="1:30" x14ac:dyDescent="0.25">
      <c r="A976" t="s">
        <v>1000</v>
      </c>
      <c r="B976" s="2">
        <v>45110</v>
      </c>
      <c r="C976" s="2">
        <v>45117</v>
      </c>
      <c r="D976" t="s">
        <v>5098</v>
      </c>
      <c r="E976" t="s">
        <v>5598</v>
      </c>
      <c r="F976" t="s">
        <v>6028</v>
      </c>
      <c r="G976" t="s">
        <v>6029</v>
      </c>
      <c r="H976" t="s">
        <v>6036</v>
      </c>
      <c r="I976" t="s">
        <v>6049</v>
      </c>
      <c r="J976" t="s">
        <v>6055</v>
      </c>
      <c r="K976" t="s">
        <v>6061</v>
      </c>
      <c r="L976" t="s">
        <v>6989</v>
      </c>
      <c r="M976">
        <v>234.25</v>
      </c>
      <c r="N976">
        <v>7</v>
      </c>
      <c r="O976">
        <v>0.28999999999999998</v>
      </c>
      <c r="P976">
        <v>-23.45</v>
      </c>
      <c r="Q976" t="s">
        <v>9894</v>
      </c>
      <c r="R976">
        <v>7</v>
      </c>
      <c r="S976" s="5">
        <f t="shared" si="30"/>
        <v>-0.10010672358591248</v>
      </c>
      <c r="T976">
        <v>33.464285714285722</v>
      </c>
      <c r="U976">
        <v>7</v>
      </c>
      <c r="V976">
        <v>2023</v>
      </c>
      <c r="W976">
        <v>3</v>
      </c>
      <c r="X976" t="s">
        <v>9898</v>
      </c>
      <c r="Y976" t="s">
        <v>9900</v>
      </c>
      <c r="Z976" t="s">
        <v>9899</v>
      </c>
      <c r="AD976">
        <f t="shared" si="31"/>
        <v>7</v>
      </c>
    </row>
    <row r="977" spans="1:30" x14ac:dyDescent="0.25">
      <c r="A977" t="s">
        <v>1001</v>
      </c>
      <c r="B977" s="2">
        <v>44937</v>
      </c>
      <c r="C977" s="2">
        <v>44940</v>
      </c>
      <c r="D977" t="s">
        <v>5283</v>
      </c>
      <c r="E977" t="s">
        <v>5783</v>
      </c>
      <c r="F977" t="s">
        <v>6026</v>
      </c>
      <c r="G977" t="s">
        <v>6029</v>
      </c>
      <c r="H977" t="s">
        <v>6045</v>
      </c>
      <c r="I977" t="s">
        <v>6049</v>
      </c>
      <c r="J977" t="s">
        <v>6053</v>
      </c>
      <c r="K977" t="s">
        <v>6057</v>
      </c>
      <c r="L977" t="s">
        <v>6990</v>
      </c>
      <c r="M977">
        <v>1049.69</v>
      </c>
      <c r="N977">
        <v>7</v>
      </c>
      <c r="O977">
        <v>0.13</v>
      </c>
      <c r="P977">
        <v>75.97</v>
      </c>
      <c r="Q977" t="s">
        <v>9897</v>
      </c>
      <c r="R977">
        <v>3</v>
      </c>
      <c r="S977" s="5">
        <f t="shared" si="30"/>
        <v>7.2373748440015623E-2</v>
      </c>
      <c r="T977">
        <v>149.95571428571429</v>
      </c>
      <c r="U977">
        <v>1</v>
      </c>
      <c r="V977">
        <v>2023</v>
      </c>
      <c r="W977">
        <v>1</v>
      </c>
      <c r="X977" t="s">
        <v>9899</v>
      </c>
      <c r="Y977" t="s">
        <v>9901</v>
      </c>
      <c r="Z977" t="s">
        <v>9898</v>
      </c>
      <c r="AD977">
        <f t="shared" si="31"/>
        <v>3</v>
      </c>
    </row>
    <row r="978" spans="1:30" x14ac:dyDescent="0.25">
      <c r="A978" t="s">
        <v>1002</v>
      </c>
      <c r="B978" s="2">
        <v>44567</v>
      </c>
      <c r="C978" s="2">
        <v>44574</v>
      </c>
      <c r="D978" t="s">
        <v>5331</v>
      </c>
      <c r="E978" t="s">
        <v>5831</v>
      </c>
      <c r="F978" t="s">
        <v>6026</v>
      </c>
      <c r="G978" t="s">
        <v>6031</v>
      </c>
      <c r="H978" t="s">
        <v>6034</v>
      </c>
      <c r="I978" t="s">
        <v>6052</v>
      </c>
      <c r="J978" t="s">
        <v>6053</v>
      </c>
      <c r="K978" t="s">
        <v>6058</v>
      </c>
      <c r="L978" t="s">
        <v>6991</v>
      </c>
      <c r="M978">
        <v>902.92</v>
      </c>
      <c r="N978">
        <v>6</v>
      </c>
      <c r="O978">
        <v>0.26</v>
      </c>
      <c r="P978">
        <v>15.15</v>
      </c>
      <c r="Q978" t="s">
        <v>9893</v>
      </c>
      <c r="R978">
        <v>7</v>
      </c>
      <c r="S978" s="5">
        <f t="shared" si="30"/>
        <v>1.6778895140211757E-2</v>
      </c>
      <c r="T978">
        <v>150.48666666666671</v>
      </c>
      <c r="U978">
        <v>1</v>
      </c>
      <c r="V978">
        <v>2022</v>
      </c>
      <c r="W978">
        <v>1</v>
      </c>
      <c r="X978" t="s">
        <v>9899</v>
      </c>
      <c r="Y978" t="s">
        <v>9900</v>
      </c>
      <c r="Z978" t="s">
        <v>9899</v>
      </c>
      <c r="AD978">
        <f t="shared" si="31"/>
        <v>7</v>
      </c>
    </row>
    <row r="979" spans="1:30" x14ac:dyDescent="0.25">
      <c r="A979" t="s">
        <v>1003</v>
      </c>
      <c r="B979" s="2">
        <v>45390</v>
      </c>
      <c r="C979" s="2">
        <v>45395</v>
      </c>
      <c r="D979" t="s">
        <v>5319</v>
      </c>
      <c r="E979" t="s">
        <v>5819</v>
      </c>
      <c r="F979" t="s">
        <v>6027</v>
      </c>
      <c r="G979" t="s">
        <v>6029</v>
      </c>
      <c r="H979" t="s">
        <v>6036</v>
      </c>
      <c r="I979" t="s">
        <v>6049</v>
      </c>
      <c r="J979" t="s">
        <v>6053</v>
      </c>
      <c r="K979" t="s">
        <v>6057</v>
      </c>
      <c r="L979" t="s">
        <v>6992</v>
      </c>
      <c r="M979">
        <v>1234.25</v>
      </c>
      <c r="N979">
        <v>2</v>
      </c>
      <c r="O979">
        <v>0.3</v>
      </c>
      <c r="P979">
        <v>-97.82</v>
      </c>
      <c r="Q979" t="s">
        <v>9894</v>
      </c>
      <c r="R979">
        <v>5</v>
      </c>
      <c r="S979" s="5">
        <f t="shared" si="30"/>
        <v>-7.9254608061575846E-2</v>
      </c>
      <c r="T979">
        <v>617.125</v>
      </c>
      <c r="U979">
        <v>4</v>
      </c>
      <c r="V979">
        <v>2024</v>
      </c>
      <c r="W979">
        <v>2</v>
      </c>
      <c r="X979" t="s">
        <v>9898</v>
      </c>
      <c r="Y979" t="s">
        <v>9900</v>
      </c>
      <c r="Z979" t="s">
        <v>9898</v>
      </c>
      <c r="AD979">
        <f t="shared" si="31"/>
        <v>5</v>
      </c>
    </row>
    <row r="980" spans="1:30" x14ac:dyDescent="0.25">
      <c r="A980" t="s">
        <v>1004</v>
      </c>
      <c r="B980" s="2">
        <v>44829</v>
      </c>
      <c r="C980" s="2">
        <v>44833</v>
      </c>
      <c r="D980" t="s">
        <v>5451</v>
      </c>
      <c r="E980" t="s">
        <v>5951</v>
      </c>
      <c r="F980" t="s">
        <v>6027</v>
      </c>
      <c r="G980" t="s">
        <v>6031</v>
      </c>
      <c r="H980" t="s">
        <v>6034</v>
      </c>
      <c r="I980" t="s">
        <v>6048</v>
      </c>
      <c r="J980" t="s">
        <v>6054</v>
      </c>
      <c r="K980" t="s">
        <v>6060</v>
      </c>
      <c r="L980" t="s">
        <v>6993</v>
      </c>
      <c r="M980">
        <v>554.46</v>
      </c>
      <c r="N980">
        <v>3</v>
      </c>
      <c r="O980">
        <v>0.09</v>
      </c>
      <c r="P980">
        <v>68.430000000000007</v>
      </c>
      <c r="Q980" t="s">
        <v>9897</v>
      </c>
      <c r="R980">
        <v>4</v>
      </c>
      <c r="S980" s="5">
        <f t="shared" si="30"/>
        <v>0.12341737907152905</v>
      </c>
      <c r="T980">
        <v>184.82</v>
      </c>
      <c r="U980">
        <v>9</v>
      </c>
      <c r="V980">
        <v>2022</v>
      </c>
      <c r="W980">
        <v>3</v>
      </c>
      <c r="X980" t="s">
        <v>9899</v>
      </c>
      <c r="Y980" t="s">
        <v>9901</v>
      </c>
      <c r="Z980" t="s">
        <v>9899</v>
      </c>
      <c r="AD980">
        <f t="shared" si="31"/>
        <v>4</v>
      </c>
    </row>
    <row r="981" spans="1:30" x14ac:dyDescent="0.25">
      <c r="A981" t="s">
        <v>1005</v>
      </c>
      <c r="B981" s="2">
        <v>45136</v>
      </c>
      <c r="C981" s="2">
        <v>45137</v>
      </c>
      <c r="D981" t="s">
        <v>5333</v>
      </c>
      <c r="E981" t="s">
        <v>5833</v>
      </c>
      <c r="F981" t="s">
        <v>6026</v>
      </c>
      <c r="G981" t="s">
        <v>6031</v>
      </c>
      <c r="H981" t="s">
        <v>6034</v>
      </c>
      <c r="I981" t="s">
        <v>6052</v>
      </c>
      <c r="J981" t="s">
        <v>6053</v>
      </c>
      <c r="K981" t="s">
        <v>6056</v>
      </c>
      <c r="L981" t="s">
        <v>6994</v>
      </c>
      <c r="M981">
        <v>594</v>
      </c>
      <c r="N981">
        <v>4</v>
      </c>
      <c r="O981">
        <v>0.04</v>
      </c>
      <c r="P981">
        <v>67.790000000000006</v>
      </c>
      <c r="Q981" t="s">
        <v>9897</v>
      </c>
      <c r="R981">
        <v>1</v>
      </c>
      <c r="S981" s="5">
        <f t="shared" si="30"/>
        <v>0.11412457912457913</v>
      </c>
      <c r="T981">
        <v>148.5</v>
      </c>
      <c r="U981">
        <v>7</v>
      </c>
      <c r="V981">
        <v>2023</v>
      </c>
      <c r="W981">
        <v>3</v>
      </c>
      <c r="X981" t="s">
        <v>9899</v>
      </c>
      <c r="Y981" t="s">
        <v>9901</v>
      </c>
      <c r="Z981" t="s">
        <v>9899</v>
      </c>
      <c r="AD981">
        <f t="shared" si="31"/>
        <v>1</v>
      </c>
    </row>
    <row r="982" spans="1:30" x14ac:dyDescent="0.25">
      <c r="A982" t="s">
        <v>1006</v>
      </c>
      <c r="B982" s="2">
        <v>44981</v>
      </c>
      <c r="C982" s="2">
        <v>44984</v>
      </c>
      <c r="D982" t="s">
        <v>5269</v>
      </c>
      <c r="E982" t="s">
        <v>5769</v>
      </c>
      <c r="F982" t="s">
        <v>6028</v>
      </c>
      <c r="G982" t="s">
        <v>6031</v>
      </c>
      <c r="H982" t="s">
        <v>6040</v>
      </c>
      <c r="I982" t="s">
        <v>6050</v>
      </c>
      <c r="J982" t="s">
        <v>6055</v>
      </c>
      <c r="K982" t="s">
        <v>6063</v>
      </c>
      <c r="L982" t="s">
        <v>6995</v>
      </c>
      <c r="M982">
        <v>1318.58</v>
      </c>
      <c r="N982">
        <v>1</v>
      </c>
      <c r="O982">
        <v>0.28000000000000003</v>
      </c>
      <c r="P982">
        <v>-62.16</v>
      </c>
      <c r="Q982" t="s">
        <v>9897</v>
      </c>
      <c r="R982">
        <v>3</v>
      </c>
      <c r="S982" s="5">
        <f t="shared" si="30"/>
        <v>-4.7141622047960685E-2</v>
      </c>
      <c r="T982">
        <v>1318.58</v>
      </c>
      <c r="U982">
        <v>2</v>
      </c>
      <c r="V982">
        <v>2023</v>
      </c>
      <c r="W982">
        <v>1</v>
      </c>
      <c r="X982" t="s">
        <v>9898</v>
      </c>
      <c r="Y982" t="s">
        <v>9900</v>
      </c>
      <c r="Z982" t="s">
        <v>9898</v>
      </c>
      <c r="AD982">
        <f t="shared" si="31"/>
        <v>3</v>
      </c>
    </row>
    <row r="983" spans="1:30" x14ac:dyDescent="0.25">
      <c r="A983" t="s">
        <v>1007</v>
      </c>
      <c r="B983" s="2">
        <v>45026</v>
      </c>
      <c r="C983" s="2">
        <v>45027</v>
      </c>
      <c r="D983" t="s">
        <v>5133</v>
      </c>
      <c r="E983" t="s">
        <v>5633</v>
      </c>
      <c r="F983" t="s">
        <v>6026</v>
      </c>
      <c r="G983" t="s">
        <v>6029</v>
      </c>
      <c r="H983" t="s">
        <v>6044</v>
      </c>
      <c r="I983" t="s">
        <v>6050</v>
      </c>
      <c r="J983" t="s">
        <v>6055</v>
      </c>
      <c r="K983" t="s">
        <v>6063</v>
      </c>
      <c r="L983" t="s">
        <v>6508</v>
      </c>
      <c r="M983">
        <v>552.63</v>
      </c>
      <c r="N983">
        <v>4</v>
      </c>
      <c r="O983">
        <v>0.08</v>
      </c>
      <c r="P983">
        <v>24.22</v>
      </c>
      <c r="Q983" t="s">
        <v>9893</v>
      </c>
      <c r="R983">
        <v>1</v>
      </c>
      <c r="S983" s="5">
        <f t="shared" si="30"/>
        <v>4.3826791886072053E-2</v>
      </c>
      <c r="T983">
        <v>138.1575</v>
      </c>
      <c r="U983">
        <v>4</v>
      </c>
      <c r="V983">
        <v>2023</v>
      </c>
      <c r="W983">
        <v>2</v>
      </c>
      <c r="X983" t="s">
        <v>9899</v>
      </c>
      <c r="Y983" t="s">
        <v>9901</v>
      </c>
      <c r="Z983" t="s">
        <v>9899</v>
      </c>
      <c r="AD983">
        <f t="shared" si="31"/>
        <v>1</v>
      </c>
    </row>
    <row r="984" spans="1:30" x14ac:dyDescent="0.25">
      <c r="A984" t="s">
        <v>1008</v>
      </c>
      <c r="B984" s="2">
        <v>45090</v>
      </c>
      <c r="C984" s="2">
        <v>45091</v>
      </c>
      <c r="D984" t="s">
        <v>5365</v>
      </c>
      <c r="E984" t="s">
        <v>5865</v>
      </c>
      <c r="F984" t="s">
        <v>6026</v>
      </c>
      <c r="G984" t="s">
        <v>6030</v>
      </c>
      <c r="H984" t="s">
        <v>6033</v>
      </c>
      <c r="I984" t="s">
        <v>6051</v>
      </c>
      <c r="J984" t="s">
        <v>6053</v>
      </c>
      <c r="K984" t="s">
        <v>6058</v>
      </c>
      <c r="L984" t="s">
        <v>6996</v>
      </c>
      <c r="M984">
        <v>491.22</v>
      </c>
      <c r="N984">
        <v>3</v>
      </c>
      <c r="O984">
        <v>0.11</v>
      </c>
      <c r="P984">
        <v>6.96</v>
      </c>
      <c r="Q984" t="s">
        <v>9897</v>
      </c>
      <c r="R984">
        <v>1</v>
      </c>
      <c r="S984" s="5">
        <f t="shared" si="30"/>
        <v>1.4168804201783314E-2</v>
      </c>
      <c r="T984">
        <v>163.74</v>
      </c>
      <c r="U984">
        <v>6</v>
      </c>
      <c r="V984">
        <v>2023</v>
      </c>
      <c r="W984">
        <v>2</v>
      </c>
      <c r="X984" t="s">
        <v>9899</v>
      </c>
      <c r="Y984" t="s">
        <v>9901</v>
      </c>
      <c r="Z984" t="s">
        <v>9899</v>
      </c>
      <c r="AD984">
        <f t="shared" si="31"/>
        <v>1</v>
      </c>
    </row>
    <row r="985" spans="1:30" x14ac:dyDescent="0.25">
      <c r="A985" t="s">
        <v>1009</v>
      </c>
      <c r="B985" s="2">
        <v>45000</v>
      </c>
      <c r="C985" s="2">
        <v>45005</v>
      </c>
      <c r="D985" t="s">
        <v>5323</v>
      </c>
      <c r="E985" t="s">
        <v>5823</v>
      </c>
      <c r="F985" t="s">
        <v>6027</v>
      </c>
      <c r="G985" t="s">
        <v>6029</v>
      </c>
      <c r="H985" t="s">
        <v>6036</v>
      </c>
      <c r="I985" t="s">
        <v>6046</v>
      </c>
      <c r="J985" t="s">
        <v>6053</v>
      </c>
      <c r="K985" t="s">
        <v>6057</v>
      </c>
      <c r="L985" t="s">
        <v>6217</v>
      </c>
      <c r="M985">
        <v>237.17</v>
      </c>
      <c r="N985">
        <v>8</v>
      </c>
      <c r="O985">
        <v>0.33</v>
      </c>
      <c r="P985">
        <v>-50.98</v>
      </c>
      <c r="Q985" t="s">
        <v>9896</v>
      </c>
      <c r="R985">
        <v>5</v>
      </c>
      <c r="S985" s="5">
        <f t="shared" si="30"/>
        <v>-0.2149513007547329</v>
      </c>
      <c r="T985">
        <v>29.646249999999998</v>
      </c>
      <c r="U985">
        <v>3</v>
      </c>
      <c r="V985">
        <v>2023</v>
      </c>
      <c r="W985">
        <v>1</v>
      </c>
      <c r="X985" t="s">
        <v>9898</v>
      </c>
      <c r="Y985" t="s">
        <v>9902</v>
      </c>
      <c r="Z985" t="s">
        <v>9899</v>
      </c>
      <c r="AD985">
        <f t="shared" si="31"/>
        <v>5</v>
      </c>
    </row>
    <row r="986" spans="1:30" x14ac:dyDescent="0.25">
      <c r="A986" t="s">
        <v>1010</v>
      </c>
      <c r="B986" s="2">
        <v>45322</v>
      </c>
      <c r="C986" s="2">
        <v>45325</v>
      </c>
      <c r="D986" t="s">
        <v>5047</v>
      </c>
      <c r="E986" t="s">
        <v>5547</v>
      </c>
      <c r="F986" t="s">
        <v>6026</v>
      </c>
      <c r="G986" t="s">
        <v>6031</v>
      </c>
      <c r="H986" t="s">
        <v>6037</v>
      </c>
      <c r="I986" t="s">
        <v>6048</v>
      </c>
      <c r="J986" t="s">
        <v>6054</v>
      </c>
      <c r="K986" t="s">
        <v>6060</v>
      </c>
      <c r="L986" t="s">
        <v>6997</v>
      </c>
      <c r="M986">
        <v>513.54</v>
      </c>
      <c r="N986">
        <v>6</v>
      </c>
      <c r="O986">
        <v>0.03</v>
      </c>
      <c r="P986">
        <v>114.66</v>
      </c>
      <c r="Q986" t="s">
        <v>9896</v>
      </c>
      <c r="R986">
        <v>3</v>
      </c>
      <c r="S986" s="5">
        <f t="shared" si="30"/>
        <v>0.22327374693305294</v>
      </c>
      <c r="T986">
        <v>85.589999999999989</v>
      </c>
      <c r="U986">
        <v>1</v>
      </c>
      <c r="V986">
        <v>2024</v>
      </c>
      <c r="W986">
        <v>1</v>
      </c>
      <c r="X986" t="s">
        <v>9899</v>
      </c>
      <c r="Y986" t="s">
        <v>9901</v>
      </c>
      <c r="Z986" t="s">
        <v>9899</v>
      </c>
      <c r="AD986">
        <f t="shared" si="31"/>
        <v>3</v>
      </c>
    </row>
    <row r="987" spans="1:30" x14ac:dyDescent="0.25">
      <c r="A987" t="s">
        <v>1011</v>
      </c>
      <c r="B987" s="2">
        <v>44617</v>
      </c>
      <c r="C987" s="2">
        <v>44620</v>
      </c>
      <c r="D987" t="s">
        <v>5454</v>
      </c>
      <c r="E987" t="s">
        <v>5954</v>
      </c>
      <c r="F987" t="s">
        <v>6028</v>
      </c>
      <c r="G987" t="s">
        <v>6031</v>
      </c>
      <c r="H987" t="s">
        <v>6043</v>
      </c>
      <c r="I987" t="s">
        <v>6048</v>
      </c>
      <c r="J987" t="s">
        <v>6054</v>
      </c>
      <c r="K987" t="s">
        <v>6062</v>
      </c>
      <c r="L987" t="s">
        <v>6998</v>
      </c>
      <c r="M987">
        <v>1568.16</v>
      </c>
      <c r="N987">
        <v>2</v>
      </c>
      <c r="O987">
        <v>0.08</v>
      </c>
      <c r="P987">
        <v>96.45</v>
      </c>
      <c r="Q987" t="s">
        <v>9896</v>
      </c>
      <c r="R987">
        <v>3</v>
      </c>
      <c r="S987" s="5">
        <f t="shared" si="30"/>
        <v>6.1505203550658097E-2</v>
      </c>
      <c r="T987">
        <v>784.08</v>
      </c>
      <c r="U987">
        <v>2</v>
      </c>
      <c r="V987">
        <v>2022</v>
      </c>
      <c r="W987">
        <v>1</v>
      </c>
      <c r="X987" t="s">
        <v>9899</v>
      </c>
      <c r="Y987" t="s">
        <v>9901</v>
      </c>
      <c r="Z987" t="s">
        <v>9898</v>
      </c>
      <c r="AD987">
        <f t="shared" si="31"/>
        <v>3</v>
      </c>
    </row>
    <row r="988" spans="1:30" x14ac:dyDescent="0.25">
      <c r="A988" t="s">
        <v>1012</v>
      </c>
      <c r="B988" s="2">
        <v>45232</v>
      </c>
      <c r="C988" s="2">
        <v>45235</v>
      </c>
      <c r="D988" t="s">
        <v>5093</v>
      </c>
      <c r="E988" t="s">
        <v>5593</v>
      </c>
      <c r="F988" t="s">
        <v>6028</v>
      </c>
      <c r="G988" t="s">
        <v>6030</v>
      </c>
      <c r="H988" t="s">
        <v>6039</v>
      </c>
      <c r="I988" t="s">
        <v>6047</v>
      </c>
      <c r="J988" t="s">
        <v>6053</v>
      </c>
      <c r="K988" t="s">
        <v>6058</v>
      </c>
      <c r="L988" t="s">
        <v>6999</v>
      </c>
      <c r="M988">
        <v>543.72</v>
      </c>
      <c r="N988">
        <v>2</v>
      </c>
      <c r="O988">
        <v>0.22</v>
      </c>
      <c r="P988">
        <v>-39.729999999999997</v>
      </c>
      <c r="Q988" t="s">
        <v>9897</v>
      </c>
      <c r="R988">
        <v>3</v>
      </c>
      <c r="S988" s="5">
        <f t="shared" si="30"/>
        <v>-7.307069815346133E-2</v>
      </c>
      <c r="T988">
        <v>271.86</v>
      </c>
      <c r="U988">
        <v>11</v>
      </c>
      <c r="V988">
        <v>2023</v>
      </c>
      <c r="W988">
        <v>4</v>
      </c>
      <c r="X988" t="s">
        <v>9898</v>
      </c>
      <c r="Y988" t="s">
        <v>9900</v>
      </c>
      <c r="Z988" t="s">
        <v>9899</v>
      </c>
      <c r="AD988">
        <f t="shared" si="31"/>
        <v>3</v>
      </c>
    </row>
    <row r="989" spans="1:30" x14ac:dyDescent="0.25">
      <c r="A989" t="s">
        <v>1013</v>
      </c>
      <c r="B989" s="2">
        <v>45028</v>
      </c>
      <c r="C989" s="2">
        <v>45031</v>
      </c>
      <c r="D989" t="s">
        <v>5105</v>
      </c>
      <c r="E989" t="s">
        <v>5605</v>
      </c>
      <c r="F989" t="s">
        <v>6028</v>
      </c>
      <c r="G989" t="s">
        <v>6030</v>
      </c>
      <c r="H989" t="s">
        <v>6038</v>
      </c>
      <c r="I989" t="s">
        <v>6047</v>
      </c>
      <c r="J989" t="s">
        <v>6053</v>
      </c>
      <c r="K989" t="s">
        <v>6056</v>
      </c>
      <c r="L989" t="s">
        <v>7000</v>
      </c>
      <c r="M989">
        <v>691.34</v>
      </c>
      <c r="N989">
        <v>8</v>
      </c>
      <c r="O989">
        <v>0.05</v>
      </c>
      <c r="P989">
        <v>51.55</v>
      </c>
      <c r="Q989" t="s">
        <v>9895</v>
      </c>
      <c r="R989">
        <v>3</v>
      </c>
      <c r="S989" s="5">
        <f t="shared" si="30"/>
        <v>7.4565336881997277E-2</v>
      </c>
      <c r="T989">
        <v>86.417500000000004</v>
      </c>
      <c r="U989">
        <v>4</v>
      </c>
      <c r="V989">
        <v>2023</v>
      </c>
      <c r="W989">
        <v>2</v>
      </c>
      <c r="X989" t="s">
        <v>9899</v>
      </c>
      <c r="Y989" t="s">
        <v>9901</v>
      </c>
      <c r="Z989" t="s">
        <v>9899</v>
      </c>
      <c r="AD989">
        <f t="shared" si="31"/>
        <v>3</v>
      </c>
    </row>
    <row r="990" spans="1:30" x14ac:dyDescent="0.25">
      <c r="A990" t="s">
        <v>1014</v>
      </c>
      <c r="B990" s="2">
        <v>44628</v>
      </c>
      <c r="C990" s="2">
        <v>44629</v>
      </c>
      <c r="D990" t="s">
        <v>5222</v>
      </c>
      <c r="E990" t="s">
        <v>5722</v>
      </c>
      <c r="F990" t="s">
        <v>6027</v>
      </c>
      <c r="G990" t="s">
        <v>6031</v>
      </c>
      <c r="H990" t="s">
        <v>6040</v>
      </c>
      <c r="I990" t="s">
        <v>6048</v>
      </c>
      <c r="J990" t="s">
        <v>6054</v>
      </c>
      <c r="K990" t="s">
        <v>6062</v>
      </c>
      <c r="L990" t="s">
        <v>7001</v>
      </c>
      <c r="M990">
        <v>502.22</v>
      </c>
      <c r="N990">
        <v>2</v>
      </c>
      <c r="O990">
        <v>0.01</v>
      </c>
      <c r="P990">
        <v>76.89</v>
      </c>
      <c r="Q990" t="s">
        <v>9893</v>
      </c>
      <c r="R990">
        <v>1</v>
      </c>
      <c r="S990" s="5">
        <f t="shared" si="30"/>
        <v>0.15310023495679184</v>
      </c>
      <c r="T990">
        <v>251.11</v>
      </c>
      <c r="U990">
        <v>3</v>
      </c>
      <c r="V990">
        <v>2022</v>
      </c>
      <c r="W990">
        <v>1</v>
      </c>
      <c r="X990" t="s">
        <v>9899</v>
      </c>
      <c r="Y990" t="s">
        <v>9901</v>
      </c>
      <c r="Z990" t="s">
        <v>9899</v>
      </c>
      <c r="AD990">
        <f t="shared" si="31"/>
        <v>1</v>
      </c>
    </row>
    <row r="991" spans="1:30" x14ac:dyDescent="0.25">
      <c r="A991" t="s">
        <v>1015</v>
      </c>
      <c r="B991" s="2">
        <v>45135</v>
      </c>
      <c r="C991" s="2">
        <v>45141</v>
      </c>
      <c r="D991" t="s">
        <v>5303</v>
      </c>
      <c r="E991" t="s">
        <v>5803</v>
      </c>
      <c r="F991" t="s">
        <v>6028</v>
      </c>
      <c r="G991" t="s">
        <v>6031</v>
      </c>
      <c r="H991" t="s">
        <v>6043</v>
      </c>
      <c r="I991" t="s">
        <v>6050</v>
      </c>
      <c r="J991" t="s">
        <v>6053</v>
      </c>
      <c r="K991" t="s">
        <v>6058</v>
      </c>
      <c r="L991" t="s">
        <v>7002</v>
      </c>
      <c r="M991">
        <v>336.89</v>
      </c>
      <c r="N991">
        <v>3</v>
      </c>
      <c r="O991">
        <v>0.22</v>
      </c>
      <c r="P991">
        <v>-20.59</v>
      </c>
      <c r="Q991" t="s">
        <v>9895</v>
      </c>
      <c r="R991">
        <v>6</v>
      </c>
      <c r="S991" s="5">
        <f t="shared" si="30"/>
        <v>-6.1117872302531989E-2</v>
      </c>
      <c r="T991">
        <v>112.2966666666667</v>
      </c>
      <c r="U991">
        <v>7</v>
      </c>
      <c r="V991">
        <v>2023</v>
      </c>
      <c r="W991">
        <v>3</v>
      </c>
      <c r="X991" t="s">
        <v>9898</v>
      </c>
      <c r="Y991" t="s">
        <v>9900</v>
      </c>
      <c r="Z991" t="s">
        <v>9899</v>
      </c>
      <c r="AD991">
        <f t="shared" si="31"/>
        <v>6</v>
      </c>
    </row>
    <row r="992" spans="1:30" x14ac:dyDescent="0.25">
      <c r="A992" t="s">
        <v>1016</v>
      </c>
      <c r="B992" s="2">
        <v>45390</v>
      </c>
      <c r="C992" s="2">
        <v>45395</v>
      </c>
      <c r="D992" t="s">
        <v>5455</v>
      </c>
      <c r="E992" t="s">
        <v>5955</v>
      </c>
      <c r="F992" t="s">
        <v>6027</v>
      </c>
      <c r="G992" t="s">
        <v>6031</v>
      </c>
      <c r="H992" t="s">
        <v>6043</v>
      </c>
      <c r="I992" t="s">
        <v>6048</v>
      </c>
      <c r="J992" t="s">
        <v>6054</v>
      </c>
      <c r="K992" t="s">
        <v>6059</v>
      </c>
      <c r="L992" t="s">
        <v>7003</v>
      </c>
      <c r="M992">
        <v>535.92999999999995</v>
      </c>
      <c r="N992">
        <v>4</v>
      </c>
      <c r="O992">
        <v>0.15</v>
      </c>
      <c r="P992">
        <v>69.010000000000005</v>
      </c>
      <c r="Q992" t="s">
        <v>9894</v>
      </c>
      <c r="R992">
        <v>5</v>
      </c>
      <c r="S992" s="5">
        <f t="shared" si="30"/>
        <v>0.12876681656186445</v>
      </c>
      <c r="T992">
        <v>133.98249999999999</v>
      </c>
      <c r="U992">
        <v>4</v>
      </c>
      <c r="V992">
        <v>2024</v>
      </c>
      <c r="W992">
        <v>2</v>
      </c>
      <c r="X992" t="s">
        <v>9899</v>
      </c>
      <c r="Y992" t="s">
        <v>9901</v>
      </c>
      <c r="Z992" t="s">
        <v>9899</v>
      </c>
      <c r="AD992">
        <f t="shared" si="31"/>
        <v>5</v>
      </c>
    </row>
    <row r="993" spans="1:30" x14ac:dyDescent="0.25">
      <c r="A993" t="s">
        <v>1017</v>
      </c>
      <c r="B993" s="2">
        <v>44745</v>
      </c>
      <c r="C993" s="2">
        <v>44750</v>
      </c>
      <c r="D993" t="s">
        <v>5187</v>
      </c>
      <c r="E993" t="s">
        <v>5687</v>
      </c>
      <c r="F993" t="s">
        <v>6027</v>
      </c>
      <c r="G993" t="s">
        <v>6030</v>
      </c>
      <c r="H993" t="s">
        <v>6038</v>
      </c>
      <c r="I993" t="s">
        <v>6051</v>
      </c>
      <c r="J993" t="s">
        <v>6055</v>
      </c>
      <c r="K993" t="s">
        <v>6064</v>
      </c>
      <c r="L993" t="s">
        <v>7004</v>
      </c>
      <c r="M993">
        <v>370.23</v>
      </c>
      <c r="N993">
        <v>3</v>
      </c>
      <c r="O993">
        <v>0.24</v>
      </c>
      <c r="P993">
        <v>-15.65</v>
      </c>
      <c r="Q993" t="s">
        <v>9895</v>
      </c>
      <c r="R993">
        <v>5</v>
      </c>
      <c r="S993" s="5">
        <f t="shared" si="30"/>
        <v>-4.2271020716851689E-2</v>
      </c>
      <c r="T993">
        <v>123.41</v>
      </c>
      <c r="U993">
        <v>7</v>
      </c>
      <c r="V993">
        <v>2022</v>
      </c>
      <c r="W993">
        <v>3</v>
      </c>
      <c r="X993" t="s">
        <v>9898</v>
      </c>
      <c r="Y993" t="s">
        <v>9900</v>
      </c>
      <c r="Z993" t="s">
        <v>9899</v>
      </c>
      <c r="AD993">
        <f t="shared" si="31"/>
        <v>5</v>
      </c>
    </row>
    <row r="994" spans="1:30" x14ac:dyDescent="0.25">
      <c r="A994" t="s">
        <v>1018</v>
      </c>
      <c r="B994" s="2">
        <v>45417</v>
      </c>
      <c r="C994" s="2">
        <v>45419</v>
      </c>
      <c r="D994" t="s">
        <v>5105</v>
      </c>
      <c r="E994" t="s">
        <v>5605</v>
      </c>
      <c r="F994" t="s">
        <v>6028</v>
      </c>
      <c r="G994" t="s">
        <v>6031</v>
      </c>
      <c r="H994" t="s">
        <v>6042</v>
      </c>
      <c r="I994" t="s">
        <v>6052</v>
      </c>
      <c r="J994" t="s">
        <v>6054</v>
      </c>
      <c r="K994" t="s">
        <v>6060</v>
      </c>
      <c r="L994" t="s">
        <v>7005</v>
      </c>
      <c r="M994">
        <v>382.37</v>
      </c>
      <c r="N994">
        <v>3</v>
      </c>
      <c r="O994">
        <v>0.03</v>
      </c>
      <c r="P994">
        <v>85.25</v>
      </c>
      <c r="Q994" t="s">
        <v>9897</v>
      </c>
      <c r="R994">
        <v>2</v>
      </c>
      <c r="S994" s="5">
        <f t="shared" si="30"/>
        <v>0.22295159139053797</v>
      </c>
      <c r="T994">
        <v>127.45666666666671</v>
      </c>
      <c r="U994">
        <v>5</v>
      </c>
      <c r="V994">
        <v>2024</v>
      </c>
      <c r="W994">
        <v>2</v>
      </c>
      <c r="X994" t="s">
        <v>9899</v>
      </c>
      <c r="Y994" t="s">
        <v>9901</v>
      </c>
      <c r="Z994" t="s">
        <v>9899</v>
      </c>
      <c r="AD994">
        <f t="shared" si="31"/>
        <v>2</v>
      </c>
    </row>
    <row r="995" spans="1:30" x14ac:dyDescent="0.25">
      <c r="A995" t="s">
        <v>1019</v>
      </c>
      <c r="B995" s="2">
        <v>45390</v>
      </c>
      <c r="C995" s="2">
        <v>45392</v>
      </c>
      <c r="D995" t="s">
        <v>5259</v>
      </c>
      <c r="E995" t="s">
        <v>5759</v>
      </c>
      <c r="F995" t="s">
        <v>6028</v>
      </c>
      <c r="G995" t="s">
        <v>6029</v>
      </c>
      <c r="H995" t="s">
        <v>6036</v>
      </c>
      <c r="I995" t="s">
        <v>6050</v>
      </c>
      <c r="J995" t="s">
        <v>6054</v>
      </c>
      <c r="K995" t="s">
        <v>6059</v>
      </c>
      <c r="L995" t="s">
        <v>7006</v>
      </c>
      <c r="M995">
        <v>1329.32</v>
      </c>
      <c r="N995">
        <v>4</v>
      </c>
      <c r="O995">
        <v>0.33</v>
      </c>
      <c r="P995">
        <v>-256.93</v>
      </c>
      <c r="Q995" t="s">
        <v>9894</v>
      </c>
      <c r="R995">
        <v>2</v>
      </c>
      <c r="S995" s="5">
        <f t="shared" si="30"/>
        <v>-0.19327927060451963</v>
      </c>
      <c r="T995">
        <v>332.33</v>
      </c>
      <c r="U995">
        <v>4</v>
      </c>
      <c r="V995">
        <v>2024</v>
      </c>
      <c r="W995">
        <v>2</v>
      </c>
      <c r="X995" t="s">
        <v>9898</v>
      </c>
      <c r="Y995" t="s">
        <v>9902</v>
      </c>
      <c r="Z995" t="s">
        <v>9898</v>
      </c>
      <c r="AD995">
        <f t="shared" si="31"/>
        <v>2</v>
      </c>
    </row>
    <row r="996" spans="1:30" x14ac:dyDescent="0.25">
      <c r="A996" t="s">
        <v>1020</v>
      </c>
      <c r="B996" s="2">
        <v>44760</v>
      </c>
      <c r="C996" s="2">
        <v>44767</v>
      </c>
      <c r="D996" t="s">
        <v>5456</v>
      </c>
      <c r="E996" t="s">
        <v>5956</v>
      </c>
      <c r="F996" t="s">
        <v>6027</v>
      </c>
      <c r="G996" t="s">
        <v>6031</v>
      </c>
      <c r="H996" t="s">
        <v>6042</v>
      </c>
      <c r="I996" t="s">
        <v>6052</v>
      </c>
      <c r="J996" t="s">
        <v>6054</v>
      </c>
      <c r="K996" t="s">
        <v>6060</v>
      </c>
      <c r="L996" t="s">
        <v>7007</v>
      </c>
      <c r="M996">
        <v>298.42</v>
      </c>
      <c r="N996">
        <v>3</v>
      </c>
      <c r="O996">
        <v>0.24</v>
      </c>
      <c r="P996">
        <v>-17.47</v>
      </c>
      <c r="Q996" t="s">
        <v>9893</v>
      </c>
      <c r="R996">
        <v>7</v>
      </c>
      <c r="S996" s="5">
        <f t="shared" si="30"/>
        <v>-5.8541652704242338E-2</v>
      </c>
      <c r="T996">
        <v>99.473333333333343</v>
      </c>
      <c r="U996">
        <v>7</v>
      </c>
      <c r="V996">
        <v>2022</v>
      </c>
      <c r="W996">
        <v>3</v>
      </c>
      <c r="X996" t="s">
        <v>9898</v>
      </c>
      <c r="Y996" t="s">
        <v>9900</v>
      </c>
      <c r="Z996" t="s">
        <v>9899</v>
      </c>
      <c r="AD996">
        <f t="shared" si="31"/>
        <v>7</v>
      </c>
    </row>
    <row r="997" spans="1:30" x14ac:dyDescent="0.25">
      <c r="A997" t="s">
        <v>1021</v>
      </c>
      <c r="B997" s="2">
        <v>44668</v>
      </c>
      <c r="C997" s="2">
        <v>44670</v>
      </c>
      <c r="D997" t="s">
        <v>5100</v>
      </c>
      <c r="E997" t="s">
        <v>5600</v>
      </c>
      <c r="F997" t="s">
        <v>6027</v>
      </c>
      <c r="G997" t="s">
        <v>6030</v>
      </c>
      <c r="H997" t="s">
        <v>6038</v>
      </c>
      <c r="I997" t="s">
        <v>6047</v>
      </c>
      <c r="J997" t="s">
        <v>6053</v>
      </c>
      <c r="K997" t="s">
        <v>6058</v>
      </c>
      <c r="L997" t="s">
        <v>7008</v>
      </c>
      <c r="M997">
        <v>878.05</v>
      </c>
      <c r="N997">
        <v>1</v>
      </c>
      <c r="O997">
        <v>0.23</v>
      </c>
      <c r="P997">
        <v>3.7</v>
      </c>
      <c r="Q997" t="s">
        <v>9893</v>
      </c>
      <c r="R997">
        <v>2</v>
      </c>
      <c r="S997" s="5">
        <f t="shared" si="30"/>
        <v>4.2138830362735613E-3</v>
      </c>
      <c r="T997">
        <v>878.05</v>
      </c>
      <c r="U997">
        <v>4</v>
      </c>
      <c r="V997">
        <v>2022</v>
      </c>
      <c r="W997">
        <v>2</v>
      </c>
      <c r="X997" t="s">
        <v>9899</v>
      </c>
      <c r="Y997" t="s">
        <v>9900</v>
      </c>
      <c r="Z997" t="s">
        <v>9899</v>
      </c>
      <c r="AD997">
        <f t="shared" si="31"/>
        <v>2</v>
      </c>
    </row>
    <row r="998" spans="1:30" x14ac:dyDescent="0.25">
      <c r="A998" t="s">
        <v>1022</v>
      </c>
      <c r="B998" s="2">
        <v>44749</v>
      </c>
      <c r="C998" s="2">
        <v>44752</v>
      </c>
      <c r="D998" t="s">
        <v>5320</v>
      </c>
      <c r="E998" t="s">
        <v>5820</v>
      </c>
      <c r="F998" t="s">
        <v>6027</v>
      </c>
      <c r="G998" t="s">
        <v>6030</v>
      </c>
      <c r="H998" t="s">
        <v>6038</v>
      </c>
      <c r="I998" t="s">
        <v>6051</v>
      </c>
      <c r="J998" t="s">
        <v>6055</v>
      </c>
      <c r="K998" t="s">
        <v>6063</v>
      </c>
      <c r="L998" t="s">
        <v>7009</v>
      </c>
      <c r="M998">
        <v>924.77</v>
      </c>
      <c r="N998">
        <v>8</v>
      </c>
      <c r="O998">
        <v>0.28000000000000003</v>
      </c>
      <c r="P998">
        <v>-69.400000000000006</v>
      </c>
      <c r="Q998" t="s">
        <v>9896</v>
      </c>
      <c r="R998">
        <v>3</v>
      </c>
      <c r="S998" s="5">
        <f t="shared" si="30"/>
        <v>-7.5045687035695363E-2</v>
      </c>
      <c r="T998">
        <v>115.59625</v>
      </c>
      <c r="U998">
        <v>7</v>
      </c>
      <c r="V998">
        <v>2022</v>
      </c>
      <c r="W998">
        <v>3</v>
      </c>
      <c r="X998" t="s">
        <v>9898</v>
      </c>
      <c r="Y998" t="s">
        <v>9900</v>
      </c>
      <c r="Z998" t="s">
        <v>9899</v>
      </c>
      <c r="AD998">
        <f t="shared" si="31"/>
        <v>3</v>
      </c>
    </row>
    <row r="999" spans="1:30" x14ac:dyDescent="0.25">
      <c r="A999" t="s">
        <v>1023</v>
      </c>
      <c r="B999" s="2">
        <v>45117</v>
      </c>
      <c r="C999" s="2">
        <v>45123</v>
      </c>
      <c r="D999" t="s">
        <v>5305</v>
      </c>
      <c r="E999" t="s">
        <v>5805</v>
      </c>
      <c r="F999" t="s">
        <v>6027</v>
      </c>
      <c r="G999" t="s">
        <v>6030</v>
      </c>
      <c r="H999" t="s">
        <v>6038</v>
      </c>
      <c r="I999" t="s">
        <v>6047</v>
      </c>
      <c r="J999" t="s">
        <v>6055</v>
      </c>
      <c r="K999" t="s">
        <v>6064</v>
      </c>
      <c r="L999" t="s">
        <v>7010</v>
      </c>
      <c r="M999">
        <v>1633.37</v>
      </c>
      <c r="N999">
        <v>8</v>
      </c>
      <c r="O999">
        <v>0.34</v>
      </c>
      <c r="P999">
        <v>-317.54000000000002</v>
      </c>
      <c r="Q999" t="s">
        <v>9896</v>
      </c>
      <c r="R999">
        <v>6</v>
      </c>
      <c r="S999" s="5">
        <f t="shared" si="30"/>
        <v>-0.19440788063941425</v>
      </c>
      <c r="T999">
        <v>204.17124999999999</v>
      </c>
      <c r="U999">
        <v>7</v>
      </c>
      <c r="V999">
        <v>2023</v>
      </c>
      <c r="W999">
        <v>3</v>
      </c>
      <c r="X999" t="s">
        <v>9898</v>
      </c>
      <c r="Y999" t="s">
        <v>9902</v>
      </c>
      <c r="Z999" t="s">
        <v>9898</v>
      </c>
      <c r="AD999">
        <f t="shared" si="31"/>
        <v>6</v>
      </c>
    </row>
    <row r="1000" spans="1:30" x14ac:dyDescent="0.25">
      <c r="A1000" t="s">
        <v>1024</v>
      </c>
      <c r="B1000" s="2">
        <v>45095</v>
      </c>
      <c r="C1000" s="2">
        <v>45100</v>
      </c>
      <c r="D1000" t="s">
        <v>5196</v>
      </c>
      <c r="E1000" t="s">
        <v>5696</v>
      </c>
      <c r="F1000" t="s">
        <v>6028</v>
      </c>
      <c r="G1000" t="s">
        <v>6030</v>
      </c>
      <c r="H1000" t="s">
        <v>6035</v>
      </c>
      <c r="I1000" t="s">
        <v>6047</v>
      </c>
      <c r="J1000" t="s">
        <v>6053</v>
      </c>
      <c r="K1000" t="s">
        <v>6057</v>
      </c>
      <c r="L1000" t="s">
        <v>7011</v>
      </c>
      <c r="M1000">
        <v>1414.38</v>
      </c>
      <c r="N1000">
        <v>3</v>
      </c>
      <c r="O1000">
        <v>0.3</v>
      </c>
      <c r="P1000">
        <v>-122.6</v>
      </c>
      <c r="Q1000" t="s">
        <v>9896</v>
      </c>
      <c r="R1000">
        <v>5</v>
      </c>
      <c r="S1000" s="5">
        <f t="shared" si="30"/>
        <v>-8.6681089947538842E-2</v>
      </c>
      <c r="T1000">
        <v>471.46</v>
      </c>
      <c r="U1000">
        <v>6</v>
      </c>
      <c r="V1000">
        <v>2023</v>
      </c>
      <c r="W1000">
        <v>2</v>
      </c>
      <c r="X1000" t="s">
        <v>9898</v>
      </c>
      <c r="Y1000" t="s">
        <v>9900</v>
      </c>
      <c r="Z1000" t="s">
        <v>9898</v>
      </c>
      <c r="AD1000">
        <f t="shared" si="31"/>
        <v>5</v>
      </c>
    </row>
    <row r="1001" spans="1:30" x14ac:dyDescent="0.25">
      <c r="A1001" t="s">
        <v>1025</v>
      </c>
      <c r="B1001" s="2">
        <v>44976</v>
      </c>
      <c r="C1001" s="2">
        <v>44981</v>
      </c>
      <c r="D1001" t="s">
        <v>5036</v>
      </c>
      <c r="E1001" t="s">
        <v>5536</v>
      </c>
      <c r="F1001" t="s">
        <v>6028</v>
      </c>
      <c r="G1001" t="s">
        <v>6030</v>
      </c>
      <c r="H1001" t="s">
        <v>6039</v>
      </c>
      <c r="I1001" t="s">
        <v>6047</v>
      </c>
      <c r="J1001" t="s">
        <v>6054</v>
      </c>
      <c r="K1001" t="s">
        <v>6059</v>
      </c>
      <c r="L1001" t="s">
        <v>7012</v>
      </c>
      <c r="M1001">
        <v>355.34</v>
      </c>
      <c r="N1001">
        <v>3</v>
      </c>
      <c r="O1001">
        <v>0.12</v>
      </c>
      <c r="P1001">
        <v>32.840000000000003</v>
      </c>
      <c r="Q1001" t="s">
        <v>9894</v>
      </c>
      <c r="R1001">
        <v>5</v>
      </c>
      <c r="S1001" s="5">
        <f t="shared" si="30"/>
        <v>9.2418528733044431E-2</v>
      </c>
      <c r="T1001">
        <v>118.4466666666667</v>
      </c>
      <c r="U1001">
        <v>2</v>
      </c>
      <c r="V1001">
        <v>2023</v>
      </c>
      <c r="W1001">
        <v>1</v>
      </c>
      <c r="X1001" t="s">
        <v>9899</v>
      </c>
      <c r="Y1001" t="s">
        <v>9901</v>
      </c>
      <c r="Z1001" t="s">
        <v>9899</v>
      </c>
      <c r="AD1001">
        <f t="shared" si="31"/>
        <v>5</v>
      </c>
    </row>
    <row r="1002" spans="1:30" x14ac:dyDescent="0.25">
      <c r="A1002" t="s">
        <v>1026</v>
      </c>
      <c r="B1002" s="2">
        <v>45202</v>
      </c>
      <c r="C1002" s="2">
        <v>45203</v>
      </c>
      <c r="D1002" t="s">
        <v>5194</v>
      </c>
      <c r="E1002" t="s">
        <v>5694</v>
      </c>
      <c r="F1002" t="s">
        <v>6027</v>
      </c>
      <c r="G1002" t="s">
        <v>6030</v>
      </c>
      <c r="H1002" t="s">
        <v>6033</v>
      </c>
      <c r="I1002" t="s">
        <v>6051</v>
      </c>
      <c r="J1002" t="s">
        <v>6054</v>
      </c>
      <c r="K1002" t="s">
        <v>6059</v>
      </c>
      <c r="L1002" t="s">
        <v>7013</v>
      </c>
      <c r="M1002">
        <v>820.74</v>
      </c>
      <c r="N1002">
        <v>5</v>
      </c>
      <c r="O1002">
        <v>0.15</v>
      </c>
      <c r="P1002">
        <v>104.4</v>
      </c>
      <c r="Q1002" t="s">
        <v>9894</v>
      </c>
      <c r="R1002">
        <v>1</v>
      </c>
      <c r="S1002" s="5">
        <f t="shared" si="30"/>
        <v>0.12720228086848454</v>
      </c>
      <c r="T1002">
        <v>164.148</v>
      </c>
      <c r="U1002">
        <v>10</v>
      </c>
      <c r="V1002">
        <v>2023</v>
      </c>
      <c r="W1002">
        <v>4</v>
      </c>
      <c r="X1002" t="s">
        <v>9899</v>
      </c>
      <c r="Y1002" t="s">
        <v>9901</v>
      </c>
      <c r="Z1002" t="s">
        <v>9899</v>
      </c>
      <c r="AD1002">
        <f t="shared" si="31"/>
        <v>1</v>
      </c>
    </row>
    <row r="1003" spans="1:30" x14ac:dyDescent="0.25">
      <c r="A1003" t="s">
        <v>1027</v>
      </c>
      <c r="B1003" s="2">
        <v>44837</v>
      </c>
      <c r="C1003" s="2">
        <v>44844</v>
      </c>
      <c r="D1003" t="s">
        <v>5226</v>
      </c>
      <c r="E1003" t="s">
        <v>5726</v>
      </c>
      <c r="F1003" t="s">
        <v>6026</v>
      </c>
      <c r="G1003" t="s">
        <v>6031</v>
      </c>
      <c r="H1003" t="s">
        <v>6034</v>
      </c>
      <c r="I1003" t="s">
        <v>6050</v>
      </c>
      <c r="J1003" t="s">
        <v>6053</v>
      </c>
      <c r="K1003" t="s">
        <v>6057</v>
      </c>
      <c r="L1003" t="s">
        <v>7014</v>
      </c>
      <c r="M1003">
        <v>961.34</v>
      </c>
      <c r="N1003">
        <v>4</v>
      </c>
      <c r="O1003">
        <v>0.13</v>
      </c>
      <c r="P1003">
        <v>25.42</v>
      </c>
      <c r="Q1003" t="s">
        <v>9896</v>
      </c>
      <c r="R1003">
        <v>7</v>
      </c>
      <c r="S1003" s="5">
        <f t="shared" si="30"/>
        <v>2.6442257681985562E-2</v>
      </c>
      <c r="T1003">
        <v>240.33500000000001</v>
      </c>
      <c r="U1003">
        <v>10</v>
      </c>
      <c r="V1003">
        <v>2022</v>
      </c>
      <c r="W1003">
        <v>4</v>
      </c>
      <c r="X1003" t="s">
        <v>9899</v>
      </c>
      <c r="Y1003" t="s">
        <v>9901</v>
      </c>
      <c r="Z1003" t="s">
        <v>9899</v>
      </c>
      <c r="AD1003">
        <f t="shared" si="31"/>
        <v>7</v>
      </c>
    </row>
    <row r="1004" spans="1:30" x14ac:dyDescent="0.25">
      <c r="A1004" t="s">
        <v>1028</v>
      </c>
      <c r="B1004" s="2">
        <v>45311</v>
      </c>
      <c r="C1004" s="2">
        <v>45312</v>
      </c>
      <c r="D1004" t="s">
        <v>5284</v>
      </c>
      <c r="E1004" t="s">
        <v>5784</v>
      </c>
      <c r="F1004" t="s">
        <v>6028</v>
      </c>
      <c r="G1004" t="s">
        <v>6031</v>
      </c>
      <c r="H1004" t="s">
        <v>6042</v>
      </c>
      <c r="I1004" t="s">
        <v>6048</v>
      </c>
      <c r="J1004" t="s">
        <v>6055</v>
      </c>
      <c r="K1004" t="s">
        <v>6061</v>
      </c>
      <c r="L1004" t="s">
        <v>7015</v>
      </c>
      <c r="M1004">
        <v>183.55</v>
      </c>
      <c r="N1004">
        <v>2</v>
      </c>
      <c r="O1004">
        <v>0.22</v>
      </c>
      <c r="P1004">
        <v>2.81</v>
      </c>
      <c r="Q1004" t="s">
        <v>9897</v>
      </c>
      <c r="R1004">
        <v>1</v>
      </c>
      <c r="S1004" s="5">
        <f t="shared" si="30"/>
        <v>1.5309180059929173E-2</v>
      </c>
      <c r="T1004">
        <v>91.775000000000006</v>
      </c>
      <c r="U1004">
        <v>1</v>
      </c>
      <c r="V1004">
        <v>2024</v>
      </c>
      <c r="W1004">
        <v>1</v>
      </c>
      <c r="X1004" t="s">
        <v>9899</v>
      </c>
      <c r="Y1004" t="s">
        <v>9900</v>
      </c>
      <c r="Z1004" t="s">
        <v>9899</v>
      </c>
      <c r="AD1004">
        <f t="shared" si="31"/>
        <v>1</v>
      </c>
    </row>
    <row r="1005" spans="1:30" x14ac:dyDescent="0.25">
      <c r="A1005" t="s">
        <v>1029</v>
      </c>
      <c r="B1005" s="2">
        <v>44608</v>
      </c>
      <c r="C1005" s="2">
        <v>44614</v>
      </c>
      <c r="D1005" t="s">
        <v>5213</v>
      </c>
      <c r="E1005" t="s">
        <v>5713</v>
      </c>
      <c r="F1005" t="s">
        <v>6026</v>
      </c>
      <c r="G1005" t="s">
        <v>6031</v>
      </c>
      <c r="H1005" t="s">
        <v>6043</v>
      </c>
      <c r="I1005" t="s">
        <v>6050</v>
      </c>
      <c r="J1005" t="s">
        <v>6054</v>
      </c>
      <c r="K1005" t="s">
        <v>6059</v>
      </c>
      <c r="L1005" t="s">
        <v>7016</v>
      </c>
      <c r="M1005">
        <v>1801.32</v>
      </c>
      <c r="N1005">
        <v>4</v>
      </c>
      <c r="O1005">
        <v>0.06</v>
      </c>
      <c r="P1005">
        <v>76.97</v>
      </c>
      <c r="Q1005" t="s">
        <v>9893</v>
      </c>
      <c r="R1005">
        <v>6</v>
      </c>
      <c r="S1005" s="5">
        <f t="shared" si="30"/>
        <v>4.2729775942086913E-2</v>
      </c>
      <c r="T1005">
        <v>450.33</v>
      </c>
      <c r="U1005">
        <v>2</v>
      </c>
      <c r="V1005">
        <v>2022</v>
      </c>
      <c r="W1005">
        <v>1</v>
      </c>
      <c r="X1005" t="s">
        <v>9899</v>
      </c>
      <c r="Y1005" t="s">
        <v>9901</v>
      </c>
      <c r="Z1005" t="s">
        <v>9898</v>
      </c>
      <c r="AD1005">
        <f t="shared" si="31"/>
        <v>6</v>
      </c>
    </row>
    <row r="1006" spans="1:30" x14ac:dyDescent="0.25">
      <c r="A1006" t="s">
        <v>1030</v>
      </c>
      <c r="B1006" s="2">
        <v>45138</v>
      </c>
      <c r="C1006" s="2">
        <v>45140</v>
      </c>
      <c r="D1006" t="s">
        <v>5250</v>
      </c>
      <c r="E1006" t="s">
        <v>5750</v>
      </c>
      <c r="F1006" t="s">
        <v>6028</v>
      </c>
      <c r="G1006" t="s">
        <v>6030</v>
      </c>
      <c r="H1006" t="s">
        <v>6038</v>
      </c>
      <c r="I1006" t="s">
        <v>6047</v>
      </c>
      <c r="J1006" t="s">
        <v>6055</v>
      </c>
      <c r="K1006" t="s">
        <v>6064</v>
      </c>
      <c r="L1006" t="s">
        <v>7017</v>
      </c>
      <c r="M1006">
        <v>1783.02</v>
      </c>
      <c r="N1006">
        <v>4</v>
      </c>
      <c r="O1006">
        <v>0.12</v>
      </c>
      <c r="P1006">
        <v>41.88</v>
      </c>
      <c r="Q1006" t="s">
        <v>9893</v>
      </c>
      <c r="R1006">
        <v>2</v>
      </c>
      <c r="S1006" s="5">
        <f t="shared" si="30"/>
        <v>2.3488239055086315E-2</v>
      </c>
      <c r="T1006">
        <v>445.755</v>
      </c>
      <c r="U1006">
        <v>7</v>
      </c>
      <c r="V1006">
        <v>2023</v>
      </c>
      <c r="W1006">
        <v>3</v>
      </c>
      <c r="X1006" t="s">
        <v>9899</v>
      </c>
      <c r="Y1006" t="s">
        <v>9901</v>
      </c>
      <c r="Z1006" t="s">
        <v>9898</v>
      </c>
      <c r="AD1006">
        <f t="shared" si="31"/>
        <v>2</v>
      </c>
    </row>
    <row r="1007" spans="1:30" x14ac:dyDescent="0.25">
      <c r="A1007" t="s">
        <v>1031</v>
      </c>
      <c r="B1007" s="2">
        <v>44893</v>
      </c>
      <c r="C1007" s="2">
        <v>44900</v>
      </c>
      <c r="D1007" t="s">
        <v>5457</v>
      </c>
      <c r="E1007" t="s">
        <v>5957</v>
      </c>
      <c r="F1007" t="s">
        <v>6026</v>
      </c>
      <c r="G1007" t="s">
        <v>6030</v>
      </c>
      <c r="H1007" t="s">
        <v>6033</v>
      </c>
      <c r="I1007" t="s">
        <v>6051</v>
      </c>
      <c r="J1007" t="s">
        <v>6053</v>
      </c>
      <c r="K1007" t="s">
        <v>6057</v>
      </c>
      <c r="L1007" t="s">
        <v>7018</v>
      </c>
      <c r="M1007">
        <v>995.32</v>
      </c>
      <c r="N1007">
        <v>2</v>
      </c>
      <c r="O1007">
        <v>0.11</v>
      </c>
      <c r="P1007">
        <v>116.6</v>
      </c>
      <c r="Q1007" t="s">
        <v>9896</v>
      </c>
      <c r="R1007">
        <v>7</v>
      </c>
      <c r="S1007" s="5">
        <f t="shared" si="30"/>
        <v>0.11714825382791463</v>
      </c>
      <c r="T1007">
        <v>497.66</v>
      </c>
      <c r="U1007">
        <v>11</v>
      </c>
      <c r="V1007">
        <v>2022</v>
      </c>
      <c r="W1007">
        <v>4</v>
      </c>
      <c r="X1007" t="s">
        <v>9899</v>
      </c>
      <c r="Y1007" t="s">
        <v>9901</v>
      </c>
      <c r="Z1007" t="s">
        <v>9899</v>
      </c>
      <c r="AD1007">
        <f t="shared" si="31"/>
        <v>7</v>
      </c>
    </row>
    <row r="1008" spans="1:30" x14ac:dyDescent="0.25">
      <c r="A1008" t="s">
        <v>1032</v>
      </c>
      <c r="B1008" s="2">
        <v>45011</v>
      </c>
      <c r="C1008" s="2">
        <v>45016</v>
      </c>
      <c r="D1008" t="s">
        <v>5111</v>
      </c>
      <c r="E1008" t="s">
        <v>5611</v>
      </c>
      <c r="F1008" t="s">
        <v>6027</v>
      </c>
      <c r="G1008" t="s">
        <v>6030</v>
      </c>
      <c r="H1008" t="s">
        <v>6035</v>
      </c>
      <c r="I1008" t="s">
        <v>6047</v>
      </c>
      <c r="J1008" t="s">
        <v>6054</v>
      </c>
      <c r="K1008" t="s">
        <v>6059</v>
      </c>
      <c r="L1008" t="s">
        <v>7019</v>
      </c>
      <c r="M1008">
        <v>1900.69</v>
      </c>
      <c r="N1008">
        <v>4</v>
      </c>
      <c r="O1008">
        <v>0.01</v>
      </c>
      <c r="P1008">
        <v>317.88</v>
      </c>
      <c r="Q1008" t="s">
        <v>9895</v>
      </c>
      <c r="R1008">
        <v>5</v>
      </c>
      <c r="S1008" s="5">
        <f t="shared" si="30"/>
        <v>0.16724452698756767</v>
      </c>
      <c r="T1008">
        <v>475.17250000000001</v>
      </c>
      <c r="U1008">
        <v>3</v>
      </c>
      <c r="V1008">
        <v>2023</v>
      </c>
      <c r="W1008">
        <v>1</v>
      </c>
      <c r="X1008" t="s">
        <v>9899</v>
      </c>
      <c r="Y1008" t="s">
        <v>9901</v>
      </c>
      <c r="Z1008" t="s">
        <v>9898</v>
      </c>
      <c r="AD1008">
        <f t="shared" si="31"/>
        <v>5</v>
      </c>
    </row>
    <row r="1009" spans="1:30" x14ac:dyDescent="0.25">
      <c r="A1009" t="s">
        <v>1033</v>
      </c>
      <c r="B1009" s="2">
        <v>44761</v>
      </c>
      <c r="C1009" s="2">
        <v>44763</v>
      </c>
      <c r="D1009" t="s">
        <v>5208</v>
      </c>
      <c r="E1009" t="s">
        <v>5708</v>
      </c>
      <c r="F1009" t="s">
        <v>6027</v>
      </c>
      <c r="G1009" t="s">
        <v>6030</v>
      </c>
      <c r="H1009" t="s">
        <v>6033</v>
      </c>
      <c r="I1009" t="s">
        <v>6047</v>
      </c>
      <c r="J1009" t="s">
        <v>6053</v>
      </c>
      <c r="K1009" t="s">
        <v>6057</v>
      </c>
      <c r="L1009" t="s">
        <v>7020</v>
      </c>
      <c r="M1009">
        <v>203.41</v>
      </c>
      <c r="N1009">
        <v>4</v>
      </c>
      <c r="O1009">
        <v>0.3</v>
      </c>
      <c r="P1009">
        <v>-3.53</v>
      </c>
      <c r="Q1009" t="s">
        <v>9897</v>
      </c>
      <c r="R1009">
        <v>2</v>
      </c>
      <c r="S1009" s="5">
        <f t="shared" si="30"/>
        <v>-1.7354112383855268E-2</v>
      </c>
      <c r="T1009">
        <v>50.852499999999999</v>
      </c>
      <c r="U1009">
        <v>7</v>
      </c>
      <c r="V1009">
        <v>2022</v>
      </c>
      <c r="W1009">
        <v>3</v>
      </c>
      <c r="X1009" t="s">
        <v>9898</v>
      </c>
      <c r="Y1009" t="s">
        <v>9900</v>
      </c>
      <c r="Z1009" t="s">
        <v>9899</v>
      </c>
      <c r="AD1009">
        <f t="shared" si="31"/>
        <v>2</v>
      </c>
    </row>
    <row r="1010" spans="1:30" x14ac:dyDescent="0.25">
      <c r="A1010" t="s">
        <v>1034</v>
      </c>
      <c r="B1010" s="2">
        <v>45253</v>
      </c>
      <c r="C1010" s="2">
        <v>45256</v>
      </c>
      <c r="D1010" t="s">
        <v>5458</v>
      </c>
      <c r="E1010" t="s">
        <v>5958</v>
      </c>
      <c r="F1010" t="s">
        <v>6027</v>
      </c>
      <c r="G1010" t="s">
        <v>6031</v>
      </c>
      <c r="H1010" t="s">
        <v>6040</v>
      </c>
      <c r="I1010" t="s">
        <v>6052</v>
      </c>
      <c r="J1010" t="s">
        <v>6053</v>
      </c>
      <c r="K1010" t="s">
        <v>6057</v>
      </c>
      <c r="L1010" t="s">
        <v>7021</v>
      </c>
      <c r="M1010">
        <v>1870.64</v>
      </c>
      <c r="N1010">
        <v>2</v>
      </c>
      <c r="O1010">
        <v>0.31</v>
      </c>
      <c r="P1010">
        <v>-60.78</v>
      </c>
      <c r="Q1010" t="s">
        <v>9897</v>
      </c>
      <c r="R1010">
        <v>3</v>
      </c>
      <c r="S1010" s="5">
        <f t="shared" si="30"/>
        <v>-3.2491553692853781E-2</v>
      </c>
      <c r="T1010">
        <v>935.32</v>
      </c>
      <c r="U1010">
        <v>11</v>
      </c>
      <c r="V1010">
        <v>2023</v>
      </c>
      <c r="W1010">
        <v>4</v>
      </c>
      <c r="X1010" t="s">
        <v>9898</v>
      </c>
      <c r="Y1010" t="s">
        <v>9902</v>
      </c>
      <c r="Z1010" t="s">
        <v>9898</v>
      </c>
      <c r="AD1010">
        <f t="shared" si="31"/>
        <v>3</v>
      </c>
    </row>
    <row r="1011" spans="1:30" x14ac:dyDescent="0.25">
      <c r="A1011" t="s">
        <v>1035</v>
      </c>
      <c r="B1011" s="2">
        <v>45327</v>
      </c>
      <c r="C1011" s="2">
        <v>45331</v>
      </c>
      <c r="D1011" t="s">
        <v>5123</v>
      </c>
      <c r="E1011" t="s">
        <v>5623</v>
      </c>
      <c r="F1011" t="s">
        <v>6027</v>
      </c>
      <c r="G1011" t="s">
        <v>6031</v>
      </c>
      <c r="H1011" t="s">
        <v>6037</v>
      </c>
      <c r="I1011" t="s">
        <v>6052</v>
      </c>
      <c r="J1011" t="s">
        <v>6053</v>
      </c>
      <c r="K1011" t="s">
        <v>6056</v>
      </c>
      <c r="L1011" t="s">
        <v>7022</v>
      </c>
      <c r="M1011">
        <v>179.94</v>
      </c>
      <c r="N1011">
        <v>5</v>
      </c>
      <c r="O1011">
        <v>0.25</v>
      </c>
      <c r="P1011">
        <v>-22.76</v>
      </c>
      <c r="Q1011" t="s">
        <v>9893</v>
      </c>
      <c r="R1011">
        <v>4</v>
      </c>
      <c r="S1011" s="5">
        <f t="shared" si="30"/>
        <v>-0.12648660664666</v>
      </c>
      <c r="T1011">
        <v>35.988</v>
      </c>
      <c r="U1011">
        <v>2</v>
      </c>
      <c r="V1011">
        <v>2024</v>
      </c>
      <c r="W1011">
        <v>1</v>
      </c>
      <c r="X1011" t="s">
        <v>9898</v>
      </c>
      <c r="Y1011" t="s">
        <v>9900</v>
      </c>
      <c r="Z1011" t="s">
        <v>9899</v>
      </c>
      <c r="AD1011">
        <f t="shared" si="31"/>
        <v>4</v>
      </c>
    </row>
    <row r="1012" spans="1:30" x14ac:dyDescent="0.25">
      <c r="A1012" t="s">
        <v>1036</v>
      </c>
      <c r="B1012" s="2">
        <v>45400</v>
      </c>
      <c r="C1012" s="2">
        <v>45401</v>
      </c>
      <c r="D1012" t="s">
        <v>5322</v>
      </c>
      <c r="E1012" t="s">
        <v>5822</v>
      </c>
      <c r="F1012" t="s">
        <v>6027</v>
      </c>
      <c r="G1012" t="s">
        <v>6031</v>
      </c>
      <c r="H1012" t="s">
        <v>6043</v>
      </c>
      <c r="I1012" t="s">
        <v>6050</v>
      </c>
      <c r="J1012" t="s">
        <v>6053</v>
      </c>
      <c r="K1012" t="s">
        <v>6056</v>
      </c>
      <c r="L1012" t="s">
        <v>7023</v>
      </c>
      <c r="M1012">
        <v>1197.23</v>
      </c>
      <c r="N1012">
        <v>7</v>
      </c>
      <c r="O1012">
        <v>0.05</v>
      </c>
      <c r="P1012">
        <v>185.86</v>
      </c>
      <c r="Q1012" t="s">
        <v>9894</v>
      </c>
      <c r="R1012">
        <v>1</v>
      </c>
      <c r="S1012" s="5">
        <f t="shared" si="30"/>
        <v>0.15524168288465875</v>
      </c>
      <c r="T1012">
        <v>171.03285714285721</v>
      </c>
      <c r="U1012">
        <v>4</v>
      </c>
      <c r="V1012">
        <v>2024</v>
      </c>
      <c r="W1012">
        <v>2</v>
      </c>
      <c r="X1012" t="s">
        <v>9899</v>
      </c>
      <c r="Y1012" t="s">
        <v>9901</v>
      </c>
      <c r="Z1012" t="s">
        <v>9898</v>
      </c>
      <c r="AD1012">
        <f t="shared" si="31"/>
        <v>1</v>
      </c>
    </row>
    <row r="1013" spans="1:30" x14ac:dyDescent="0.25">
      <c r="A1013" t="s">
        <v>1037</v>
      </c>
      <c r="B1013" s="2">
        <v>45250</v>
      </c>
      <c r="C1013" s="2">
        <v>45251</v>
      </c>
      <c r="D1013" t="s">
        <v>5341</v>
      </c>
      <c r="E1013" t="s">
        <v>5841</v>
      </c>
      <c r="F1013" t="s">
        <v>6028</v>
      </c>
      <c r="G1013" t="s">
        <v>6030</v>
      </c>
      <c r="H1013" t="s">
        <v>6035</v>
      </c>
      <c r="I1013" t="s">
        <v>6047</v>
      </c>
      <c r="J1013" t="s">
        <v>6054</v>
      </c>
      <c r="K1013" t="s">
        <v>6059</v>
      </c>
      <c r="L1013" t="s">
        <v>7024</v>
      </c>
      <c r="M1013">
        <v>712.29</v>
      </c>
      <c r="N1013">
        <v>3</v>
      </c>
      <c r="O1013">
        <v>0.35</v>
      </c>
      <c r="P1013">
        <v>-116.69</v>
      </c>
      <c r="Q1013" t="s">
        <v>9897</v>
      </c>
      <c r="R1013">
        <v>1</v>
      </c>
      <c r="S1013" s="5">
        <f t="shared" si="30"/>
        <v>-0.16382372348341265</v>
      </c>
      <c r="T1013">
        <v>237.43</v>
      </c>
      <c r="U1013">
        <v>11</v>
      </c>
      <c r="V1013">
        <v>2023</v>
      </c>
      <c r="W1013">
        <v>4</v>
      </c>
      <c r="X1013" t="s">
        <v>9898</v>
      </c>
      <c r="Y1013" t="s">
        <v>9902</v>
      </c>
      <c r="Z1013" t="s">
        <v>9899</v>
      </c>
      <c r="AD1013">
        <f t="shared" si="31"/>
        <v>1</v>
      </c>
    </row>
    <row r="1014" spans="1:30" x14ac:dyDescent="0.25">
      <c r="A1014" t="s">
        <v>1038</v>
      </c>
      <c r="B1014" s="2">
        <v>44903</v>
      </c>
      <c r="C1014" s="2">
        <v>44908</v>
      </c>
      <c r="D1014" t="s">
        <v>5043</v>
      </c>
      <c r="E1014" t="s">
        <v>5543</v>
      </c>
      <c r="F1014" t="s">
        <v>6026</v>
      </c>
      <c r="G1014" t="s">
        <v>6029</v>
      </c>
      <c r="H1014" t="s">
        <v>6032</v>
      </c>
      <c r="I1014" t="s">
        <v>6050</v>
      </c>
      <c r="J1014" t="s">
        <v>6053</v>
      </c>
      <c r="K1014" t="s">
        <v>6057</v>
      </c>
      <c r="L1014" t="s">
        <v>7025</v>
      </c>
      <c r="M1014">
        <v>1677.5</v>
      </c>
      <c r="N1014">
        <v>6</v>
      </c>
      <c r="O1014">
        <v>0.25</v>
      </c>
      <c r="P1014">
        <v>-103.44</v>
      </c>
      <c r="Q1014" t="s">
        <v>9895</v>
      </c>
      <c r="R1014">
        <v>5</v>
      </c>
      <c r="S1014" s="5">
        <f t="shared" si="30"/>
        <v>-6.1663189269746649E-2</v>
      </c>
      <c r="T1014">
        <v>279.58333333333331</v>
      </c>
      <c r="U1014">
        <v>12</v>
      </c>
      <c r="V1014">
        <v>2022</v>
      </c>
      <c r="W1014">
        <v>4</v>
      </c>
      <c r="X1014" t="s">
        <v>9898</v>
      </c>
      <c r="Y1014" t="s">
        <v>9900</v>
      </c>
      <c r="Z1014" t="s">
        <v>9898</v>
      </c>
      <c r="AD1014">
        <f t="shared" si="31"/>
        <v>5</v>
      </c>
    </row>
    <row r="1015" spans="1:30" x14ac:dyDescent="0.25">
      <c r="A1015" t="s">
        <v>1039</v>
      </c>
      <c r="B1015" s="2">
        <v>45113</v>
      </c>
      <c r="C1015" s="2">
        <v>45114</v>
      </c>
      <c r="D1015" t="s">
        <v>5026</v>
      </c>
      <c r="E1015" t="s">
        <v>5526</v>
      </c>
      <c r="F1015" t="s">
        <v>6026</v>
      </c>
      <c r="G1015" t="s">
        <v>6031</v>
      </c>
      <c r="H1015" t="s">
        <v>6040</v>
      </c>
      <c r="I1015" t="s">
        <v>6048</v>
      </c>
      <c r="J1015" t="s">
        <v>6055</v>
      </c>
      <c r="K1015" t="s">
        <v>6064</v>
      </c>
      <c r="L1015" t="s">
        <v>7026</v>
      </c>
      <c r="M1015">
        <v>309.14</v>
      </c>
      <c r="N1015">
        <v>7</v>
      </c>
      <c r="O1015">
        <v>0.3</v>
      </c>
      <c r="P1015">
        <v>-22.99</v>
      </c>
      <c r="Q1015" t="s">
        <v>9895</v>
      </c>
      <c r="R1015">
        <v>1</v>
      </c>
      <c r="S1015" s="5">
        <f t="shared" si="30"/>
        <v>-7.4367600439930126E-2</v>
      </c>
      <c r="T1015">
        <v>44.162857142857142</v>
      </c>
      <c r="U1015">
        <v>7</v>
      </c>
      <c r="V1015">
        <v>2023</v>
      </c>
      <c r="W1015">
        <v>3</v>
      </c>
      <c r="X1015" t="s">
        <v>9898</v>
      </c>
      <c r="Y1015" t="s">
        <v>9900</v>
      </c>
      <c r="Z1015" t="s">
        <v>9899</v>
      </c>
      <c r="AD1015">
        <f t="shared" si="31"/>
        <v>1</v>
      </c>
    </row>
    <row r="1016" spans="1:30" x14ac:dyDescent="0.25">
      <c r="A1016" t="s">
        <v>1040</v>
      </c>
      <c r="B1016" s="2">
        <v>44742</v>
      </c>
      <c r="C1016" s="2">
        <v>44749</v>
      </c>
      <c r="D1016" t="s">
        <v>5431</v>
      </c>
      <c r="E1016" t="s">
        <v>5931</v>
      </c>
      <c r="F1016" t="s">
        <v>6026</v>
      </c>
      <c r="G1016" t="s">
        <v>6031</v>
      </c>
      <c r="H1016" t="s">
        <v>6034</v>
      </c>
      <c r="I1016" t="s">
        <v>6052</v>
      </c>
      <c r="J1016" t="s">
        <v>6055</v>
      </c>
      <c r="K1016" t="s">
        <v>6063</v>
      </c>
      <c r="L1016" t="s">
        <v>7027</v>
      </c>
      <c r="M1016">
        <v>1002.78</v>
      </c>
      <c r="N1016">
        <v>2</v>
      </c>
      <c r="O1016">
        <v>0.14000000000000001</v>
      </c>
      <c r="P1016">
        <v>20.260000000000002</v>
      </c>
      <c r="Q1016" t="s">
        <v>9894</v>
      </c>
      <c r="R1016">
        <v>7</v>
      </c>
      <c r="S1016" s="5">
        <f t="shared" si="30"/>
        <v>2.0203833343305614E-2</v>
      </c>
      <c r="T1016">
        <v>501.39</v>
      </c>
      <c r="U1016">
        <v>6</v>
      </c>
      <c r="V1016">
        <v>2022</v>
      </c>
      <c r="W1016">
        <v>2</v>
      </c>
      <c r="X1016" t="s">
        <v>9899</v>
      </c>
      <c r="Y1016" t="s">
        <v>9901</v>
      </c>
      <c r="Z1016" t="s">
        <v>9898</v>
      </c>
      <c r="AD1016">
        <f t="shared" si="31"/>
        <v>7</v>
      </c>
    </row>
    <row r="1017" spans="1:30" x14ac:dyDescent="0.25">
      <c r="A1017" t="s">
        <v>1041</v>
      </c>
      <c r="B1017" s="2">
        <v>44870</v>
      </c>
      <c r="C1017" s="2">
        <v>44872</v>
      </c>
      <c r="D1017" t="s">
        <v>5452</v>
      </c>
      <c r="E1017" t="s">
        <v>5952</v>
      </c>
      <c r="F1017" t="s">
        <v>6028</v>
      </c>
      <c r="G1017" t="s">
        <v>6030</v>
      </c>
      <c r="H1017" t="s">
        <v>6033</v>
      </c>
      <c r="I1017" t="s">
        <v>6047</v>
      </c>
      <c r="J1017" t="s">
        <v>6055</v>
      </c>
      <c r="K1017" t="s">
        <v>6063</v>
      </c>
      <c r="L1017" t="s">
        <v>7028</v>
      </c>
      <c r="M1017">
        <v>1177.77</v>
      </c>
      <c r="N1017">
        <v>6</v>
      </c>
      <c r="O1017">
        <v>0.11</v>
      </c>
      <c r="P1017">
        <v>124.28</v>
      </c>
      <c r="Q1017" t="s">
        <v>9893</v>
      </c>
      <c r="R1017">
        <v>2</v>
      </c>
      <c r="S1017" s="5">
        <f t="shared" si="30"/>
        <v>0.10552145155675556</v>
      </c>
      <c r="T1017">
        <v>196.29499999999999</v>
      </c>
      <c r="U1017">
        <v>11</v>
      </c>
      <c r="V1017">
        <v>2022</v>
      </c>
      <c r="W1017">
        <v>4</v>
      </c>
      <c r="X1017" t="s">
        <v>9899</v>
      </c>
      <c r="Y1017" t="s">
        <v>9901</v>
      </c>
      <c r="Z1017" t="s">
        <v>9898</v>
      </c>
      <c r="AD1017">
        <f t="shared" si="31"/>
        <v>2</v>
      </c>
    </row>
    <row r="1018" spans="1:30" x14ac:dyDescent="0.25">
      <c r="A1018" t="s">
        <v>1042</v>
      </c>
      <c r="B1018" s="2">
        <v>44992</v>
      </c>
      <c r="C1018" s="2">
        <v>44999</v>
      </c>
      <c r="D1018" t="s">
        <v>5459</v>
      </c>
      <c r="E1018" t="s">
        <v>5959</v>
      </c>
      <c r="F1018" t="s">
        <v>6028</v>
      </c>
      <c r="G1018" t="s">
        <v>6029</v>
      </c>
      <c r="H1018" t="s">
        <v>6041</v>
      </c>
      <c r="I1018" t="s">
        <v>6049</v>
      </c>
      <c r="J1018" t="s">
        <v>6053</v>
      </c>
      <c r="K1018" t="s">
        <v>6056</v>
      </c>
      <c r="L1018" t="s">
        <v>7029</v>
      </c>
      <c r="M1018">
        <v>1409.47</v>
      </c>
      <c r="N1018">
        <v>2</v>
      </c>
      <c r="O1018">
        <v>0.09</v>
      </c>
      <c r="P1018">
        <v>30.34</v>
      </c>
      <c r="Q1018" t="s">
        <v>9894</v>
      </c>
      <c r="R1018">
        <v>7</v>
      </c>
      <c r="S1018" s="5">
        <f t="shared" si="30"/>
        <v>2.1525821762790269E-2</v>
      </c>
      <c r="T1018">
        <v>704.73500000000001</v>
      </c>
      <c r="U1018">
        <v>3</v>
      </c>
      <c r="V1018">
        <v>2023</v>
      </c>
      <c r="W1018">
        <v>1</v>
      </c>
      <c r="X1018" t="s">
        <v>9899</v>
      </c>
      <c r="Y1018" t="s">
        <v>9901</v>
      </c>
      <c r="Z1018" t="s">
        <v>9898</v>
      </c>
      <c r="AD1018">
        <f t="shared" si="31"/>
        <v>7</v>
      </c>
    </row>
    <row r="1019" spans="1:30" x14ac:dyDescent="0.25">
      <c r="A1019" t="s">
        <v>1043</v>
      </c>
      <c r="B1019" s="2">
        <v>44669</v>
      </c>
      <c r="C1019" s="2">
        <v>44674</v>
      </c>
      <c r="D1019" t="s">
        <v>5460</v>
      </c>
      <c r="E1019" t="s">
        <v>5960</v>
      </c>
      <c r="F1019" t="s">
        <v>6026</v>
      </c>
      <c r="G1019" t="s">
        <v>6029</v>
      </c>
      <c r="H1019" t="s">
        <v>6041</v>
      </c>
      <c r="I1019" t="s">
        <v>6050</v>
      </c>
      <c r="J1019" t="s">
        <v>6055</v>
      </c>
      <c r="K1019" t="s">
        <v>6064</v>
      </c>
      <c r="L1019" t="s">
        <v>7030</v>
      </c>
      <c r="M1019">
        <v>734.11</v>
      </c>
      <c r="N1019">
        <v>7</v>
      </c>
      <c r="O1019">
        <v>0.25</v>
      </c>
      <c r="P1019">
        <v>-90.87</v>
      </c>
      <c r="Q1019" t="s">
        <v>9894</v>
      </c>
      <c r="R1019">
        <v>5</v>
      </c>
      <c r="S1019" s="5">
        <f t="shared" si="30"/>
        <v>-0.1237825394014521</v>
      </c>
      <c r="T1019">
        <v>104.8728571428571</v>
      </c>
      <c r="U1019">
        <v>4</v>
      </c>
      <c r="V1019">
        <v>2022</v>
      </c>
      <c r="W1019">
        <v>2</v>
      </c>
      <c r="X1019" t="s">
        <v>9898</v>
      </c>
      <c r="Y1019" t="s">
        <v>9900</v>
      </c>
      <c r="Z1019" t="s">
        <v>9899</v>
      </c>
      <c r="AD1019">
        <f t="shared" si="31"/>
        <v>5</v>
      </c>
    </row>
    <row r="1020" spans="1:30" x14ac:dyDescent="0.25">
      <c r="A1020" t="s">
        <v>1044</v>
      </c>
      <c r="B1020" s="2">
        <v>45281</v>
      </c>
      <c r="C1020" s="2">
        <v>45286</v>
      </c>
      <c r="D1020" t="s">
        <v>5119</v>
      </c>
      <c r="E1020" t="s">
        <v>5619</v>
      </c>
      <c r="F1020" t="s">
        <v>6028</v>
      </c>
      <c r="G1020" t="s">
        <v>6031</v>
      </c>
      <c r="H1020" t="s">
        <v>6040</v>
      </c>
      <c r="I1020" t="s">
        <v>6052</v>
      </c>
      <c r="J1020" t="s">
        <v>6053</v>
      </c>
      <c r="K1020" t="s">
        <v>6057</v>
      </c>
      <c r="L1020" t="s">
        <v>6783</v>
      </c>
      <c r="M1020">
        <v>948</v>
      </c>
      <c r="N1020">
        <v>4</v>
      </c>
      <c r="O1020">
        <v>0.17</v>
      </c>
      <c r="P1020">
        <v>-58.99</v>
      </c>
      <c r="Q1020" t="s">
        <v>9897</v>
      </c>
      <c r="R1020">
        <v>5</v>
      </c>
      <c r="S1020" s="5">
        <f t="shared" si="30"/>
        <v>-6.2225738396624472E-2</v>
      </c>
      <c r="T1020">
        <v>237</v>
      </c>
      <c r="U1020">
        <v>12</v>
      </c>
      <c r="V1020">
        <v>2023</v>
      </c>
      <c r="W1020">
        <v>4</v>
      </c>
      <c r="X1020" t="s">
        <v>9898</v>
      </c>
      <c r="Y1020" t="s">
        <v>9900</v>
      </c>
      <c r="Z1020" t="s">
        <v>9899</v>
      </c>
      <c r="AD1020">
        <f t="shared" si="31"/>
        <v>5</v>
      </c>
    </row>
    <row r="1021" spans="1:30" x14ac:dyDescent="0.25">
      <c r="A1021" t="s">
        <v>1045</v>
      </c>
      <c r="B1021" s="2">
        <v>44887</v>
      </c>
      <c r="C1021" s="2">
        <v>44891</v>
      </c>
      <c r="D1021" t="s">
        <v>5163</v>
      </c>
      <c r="E1021" t="s">
        <v>5663</v>
      </c>
      <c r="F1021" t="s">
        <v>6026</v>
      </c>
      <c r="G1021" t="s">
        <v>6031</v>
      </c>
      <c r="H1021" t="s">
        <v>6043</v>
      </c>
      <c r="I1021" t="s">
        <v>6050</v>
      </c>
      <c r="J1021" t="s">
        <v>6053</v>
      </c>
      <c r="K1021" t="s">
        <v>6057</v>
      </c>
      <c r="L1021" t="s">
        <v>7031</v>
      </c>
      <c r="M1021">
        <v>112.08</v>
      </c>
      <c r="N1021">
        <v>4</v>
      </c>
      <c r="O1021">
        <v>0.34</v>
      </c>
      <c r="P1021">
        <v>-9.74</v>
      </c>
      <c r="Q1021" t="s">
        <v>9894</v>
      </c>
      <c r="R1021">
        <v>4</v>
      </c>
      <c r="S1021" s="5">
        <f t="shared" si="30"/>
        <v>-8.6902212705210563E-2</v>
      </c>
      <c r="T1021">
        <v>28.02</v>
      </c>
      <c r="U1021">
        <v>11</v>
      </c>
      <c r="V1021">
        <v>2022</v>
      </c>
      <c r="W1021">
        <v>4</v>
      </c>
      <c r="X1021" t="s">
        <v>9898</v>
      </c>
      <c r="Y1021" t="s">
        <v>9902</v>
      </c>
      <c r="Z1021" t="s">
        <v>9899</v>
      </c>
      <c r="AD1021">
        <f t="shared" si="31"/>
        <v>4</v>
      </c>
    </row>
    <row r="1022" spans="1:30" x14ac:dyDescent="0.25">
      <c r="A1022" t="s">
        <v>1046</v>
      </c>
      <c r="B1022" s="2">
        <v>44728</v>
      </c>
      <c r="C1022" s="2">
        <v>44734</v>
      </c>
      <c r="D1022" t="s">
        <v>5338</v>
      </c>
      <c r="E1022" t="s">
        <v>5838</v>
      </c>
      <c r="F1022" t="s">
        <v>6028</v>
      </c>
      <c r="G1022" t="s">
        <v>6031</v>
      </c>
      <c r="H1022" t="s">
        <v>6043</v>
      </c>
      <c r="I1022" t="s">
        <v>6052</v>
      </c>
      <c r="J1022" t="s">
        <v>6054</v>
      </c>
      <c r="K1022" t="s">
        <v>6062</v>
      </c>
      <c r="L1022" t="s">
        <v>7032</v>
      </c>
      <c r="M1022">
        <v>1365.77</v>
      </c>
      <c r="N1022">
        <v>7</v>
      </c>
      <c r="O1022">
        <v>0.03</v>
      </c>
      <c r="P1022">
        <v>214.59</v>
      </c>
      <c r="Q1022" t="s">
        <v>9896</v>
      </c>
      <c r="R1022">
        <v>6</v>
      </c>
      <c r="S1022" s="5">
        <f t="shared" si="30"/>
        <v>0.15712015932404433</v>
      </c>
      <c r="T1022">
        <v>195.11</v>
      </c>
      <c r="U1022">
        <v>6</v>
      </c>
      <c r="V1022">
        <v>2022</v>
      </c>
      <c r="W1022">
        <v>2</v>
      </c>
      <c r="X1022" t="s">
        <v>9899</v>
      </c>
      <c r="Y1022" t="s">
        <v>9901</v>
      </c>
      <c r="Z1022" t="s">
        <v>9898</v>
      </c>
      <c r="AD1022">
        <f t="shared" si="31"/>
        <v>6</v>
      </c>
    </row>
    <row r="1023" spans="1:30" x14ac:dyDescent="0.25">
      <c r="A1023" t="s">
        <v>1047</v>
      </c>
      <c r="B1023" s="2">
        <v>44690</v>
      </c>
      <c r="C1023" s="2">
        <v>44694</v>
      </c>
      <c r="D1023" t="s">
        <v>5093</v>
      </c>
      <c r="E1023" t="s">
        <v>5593</v>
      </c>
      <c r="F1023" t="s">
        <v>6028</v>
      </c>
      <c r="G1023" t="s">
        <v>6030</v>
      </c>
      <c r="H1023" t="s">
        <v>6038</v>
      </c>
      <c r="I1023" t="s">
        <v>6051</v>
      </c>
      <c r="J1023" t="s">
        <v>6053</v>
      </c>
      <c r="K1023" t="s">
        <v>6057</v>
      </c>
      <c r="L1023" t="s">
        <v>7033</v>
      </c>
      <c r="M1023">
        <v>1466.87</v>
      </c>
      <c r="N1023">
        <v>8</v>
      </c>
      <c r="O1023">
        <v>0.26</v>
      </c>
      <c r="P1023">
        <v>-107.14</v>
      </c>
      <c r="Q1023" t="s">
        <v>9893</v>
      </c>
      <c r="R1023">
        <v>4</v>
      </c>
      <c r="S1023" s="5">
        <f t="shared" si="30"/>
        <v>-7.303987401746577E-2</v>
      </c>
      <c r="T1023">
        <v>183.35874999999999</v>
      </c>
      <c r="U1023">
        <v>5</v>
      </c>
      <c r="V1023">
        <v>2022</v>
      </c>
      <c r="W1023">
        <v>2</v>
      </c>
      <c r="X1023" t="s">
        <v>9898</v>
      </c>
      <c r="Y1023" t="s">
        <v>9900</v>
      </c>
      <c r="Z1023" t="s">
        <v>9898</v>
      </c>
      <c r="AD1023">
        <f t="shared" si="31"/>
        <v>4</v>
      </c>
    </row>
    <row r="1024" spans="1:30" x14ac:dyDescent="0.25">
      <c r="A1024" t="s">
        <v>1048</v>
      </c>
      <c r="B1024" s="2">
        <v>44832</v>
      </c>
      <c r="C1024" s="2">
        <v>44834</v>
      </c>
      <c r="D1024" t="s">
        <v>5461</v>
      </c>
      <c r="E1024" t="s">
        <v>5961</v>
      </c>
      <c r="F1024" t="s">
        <v>6027</v>
      </c>
      <c r="G1024" t="s">
        <v>6030</v>
      </c>
      <c r="H1024" t="s">
        <v>6038</v>
      </c>
      <c r="I1024" t="s">
        <v>6047</v>
      </c>
      <c r="J1024" t="s">
        <v>6054</v>
      </c>
      <c r="K1024" t="s">
        <v>6060</v>
      </c>
      <c r="L1024" t="s">
        <v>7034</v>
      </c>
      <c r="M1024">
        <v>1975.35</v>
      </c>
      <c r="N1024">
        <v>5</v>
      </c>
      <c r="O1024">
        <v>0.12</v>
      </c>
      <c r="P1024">
        <v>219.85</v>
      </c>
      <c r="Q1024" t="s">
        <v>9897</v>
      </c>
      <c r="R1024">
        <v>2</v>
      </c>
      <c r="S1024" s="5">
        <f t="shared" si="30"/>
        <v>0.11129673222466904</v>
      </c>
      <c r="T1024">
        <v>395.07</v>
      </c>
      <c r="U1024">
        <v>9</v>
      </c>
      <c r="V1024">
        <v>2022</v>
      </c>
      <c r="W1024">
        <v>3</v>
      </c>
      <c r="X1024" t="s">
        <v>9899</v>
      </c>
      <c r="Y1024" t="s">
        <v>9901</v>
      </c>
      <c r="Z1024" t="s">
        <v>9898</v>
      </c>
      <c r="AD1024">
        <f t="shared" si="31"/>
        <v>2</v>
      </c>
    </row>
    <row r="1025" spans="1:30" x14ac:dyDescent="0.25">
      <c r="A1025" t="s">
        <v>1049</v>
      </c>
      <c r="B1025" s="2">
        <v>44767</v>
      </c>
      <c r="C1025" s="2">
        <v>44774</v>
      </c>
      <c r="D1025" t="s">
        <v>5462</v>
      </c>
      <c r="E1025" t="s">
        <v>5962</v>
      </c>
      <c r="F1025" t="s">
        <v>6028</v>
      </c>
      <c r="G1025" t="s">
        <v>6030</v>
      </c>
      <c r="H1025" t="s">
        <v>6033</v>
      </c>
      <c r="I1025" t="s">
        <v>6051</v>
      </c>
      <c r="J1025" t="s">
        <v>6054</v>
      </c>
      <c r="K1025" t="s">
        <v>6060</v>
      </c>
      <c r="L1025" t="s">
        <v>7035</v>
      </c>
      <c r="M1025">
        <v>257.32</v>
      </c>
      <c r="N1025">
        <v>4</v>
      </c>
      <c r="O1025">
        <v>0.16</v>
      </c>
      <c r="P1025">
        <v>9.98</v>
      </c>
      <c r="Q1025" t="s">
        <v>9897</v>
      </c>
      <c r="R1025">
        <v>7</v>
      </c>
      <c r="S1025" s="5">
        <f t="shared" si="30"/>
        <v>3.8784392973729209E-2</v>
      </c>
      <c r="T1025">
        <v>64.33</v>
      </c>
      <c r="U1025">
        <v>7</v>
      </c>
      <c r="V1025">
        <v>2022</v>
      </c>
      <c r="W1025">
        <v>3</v>
      </c>
      <c r="X1025" t="s">
        <v>9899</v>
      </c>
      <c r="Y1025" t="s">
        <v>9900</v>
      </c>
      <c r="Z1025" t="s">
        <v>9899</v>
      </c>
      <c r="AD1025">
        <f t="shared" si="31"/>
        <v>7</v>
      </c>
    </row>
    <row r="1026" spans="1:30" x14ac:dyDescent="0.25">
      <c r="A1026" t="s">
        <v>1050</v>
      </c>
      <c r="B1026" s="2">
        <v>45349</v>
      </c>
      <c r="C1026" s="2">
        <v>45356</v>
      </c>
      <c r="D1026" t="s">
        <v>5463</v>
      </c>
      <c r="E1026" t="s">
        <v>5963</v>
      </c>
      <c r="F1026" t="s">
        <v>6026</v>
      </c>
      <c r="G1026" t="s">
        <v>6031</v>
      </c>
      <c r="H1026" t="s">
        <v>6043</v>
      </c>
      <c r="I1026" t="s">
        <v>6050</v>
      </c>
      <c r="J1026" t="s">
        <v>6055</v>
      </c>
      <c r="K1026" t="s">
        <v>6063</v>
      </c>
      <c r="L1026" t="s">
        <v>7036</v>
      </c>
      <c r="M1026">
        <v>707.74</v>
      </c>
      <c r="N1026">
        <v>1</v>
      </c>
      <c r="O1026">
        <v>0.04</v>
      </c>
      <c r="P1026">
        <v>76.58</v>
      </c>
      <c r="Q1026" t="s">
        <v>9895</v>
      </c>
      <c r="R1026">
        <v>7</v>
      </c>
      <c r="S1026" s="5">
        <f t="shared" si="30"/>
        <v>0.10820357758498883</v>
      </c>
      <c r="T1026">
        <v>707.74</v>
      </c>
      <c r="U1026">
        <v>2</v>
      </c>
      <c r="V1026">
        <v>2024</v>
      </c>
      <c r="W1026">
        <v>1</v>
      </c>
      <c r="X1026" t="s">
        <v>9899</v>
      </c>
      <c r="Y1026" t="s">
        <v>9901</v>
      </c>
      <c r="Z1026" t="s">
        <v>9899</v>
      </c>
      <c r="AD1026">
        <f t="shared" si="31"/>
        <v>7</v>
      </c>
    </row>
    <row r="1027" spans="1:30" x14ac:dyDescent="0.25">
      <c r="A1027" t="s">
        <v>1051</v>
      </c>
      <c r="B1027" s="2">
        <v>45338</v>
      </c>
      <c r="C1027" s="2">
        <v>45345</v>
      </c>
      <c r="D1027" t="s">
        <v>5464</v>
      </c>
      <c r="E1027" t="s">
        <v>5964</v>
      </c>
      <c r="F1027" t="s">
        <v>6026</v>
      </c>
      <c r="G1027" t="s">
        <v>6030</v>
      </c>
      <c r="H1027" t="s">
        <v>6038</v>
      </c>
      <c r="I1027" t="s">
        <v>6047</v>
      </c>
      <c r="J1027" t="s">
        <v>6055</v>
      </c>
      <c r="K1027" t="s">
        <v>6063</v>
      </c>
      <c r="L1027" t="s">
        <v>7037</v>
      </c>
      <c r="M1027">
        <v>1443.91</v>
      </c>
      <c r="N1027">
        <v>8</v>
      </c>
      <c r="O1027">
        <v>0.21</v>
      </c>
      <c r="P1027">
        <v>19.53</v>
      </c>
      <c r="Q1027" t="s">
        <v>9897</v>
      </c>
      <c r="R1027">
        <v>7</v>
      </c>
      <c r="S1027" s="5">
        <f t="shared" ref="S1027:S1090" si="32">P1027/M1027</f>
        <v>1.3525773767063045E-2</v>
      </c>
      <c r="T1027">
        <v>180.48875000000001</v>
      </c>
      <c r="U1027">
        <v>2</v>
      </c>
      <c r="V1027">
        <v>2024</v>
      </c>
      <c r="W1027">
        <v>1</v>
      </c>
      <c r="X1027" t="s">
        <v>9899</v>
      </c>
      <c r="Y1027" t="s">
        <v>9900</v>
      </c>
      <c r="Z1027" t="s">
        <v>9898</v>
      </c>
      <c r="AD1027">
        <f t="shared" ref="AD1027:AD1090" si="33">C1027-B1027</f>
        <v>7</v>
      </c>
    </row>
    <row r="1028" spans="1:30" x14ac:dyDescent="0.25">
      <c r="A1028" t="s">
        <v>1052</v>
      </c>
      <c r="B1028" s="2">
        <v>45383</v>
      </c>
      <c r="C1028" s="2">
        <v>45389</v>
      </c>
      <c r="D1028" t="s">
        <v>5191</v>
      </c>
      <c r="E1028" t="s">
        <v>5691</v>
      </c>
      <c r="F1028" t="s">
        <v>6026</v>
      </c>
      <c r="G1028" t="s">
        <v>6031</v>
      </c>
      <c r="H1028" t="s">
        <v>6037</v>
      </c>
      <c r="I1028" t="s">
        <v>6052</v>
      </c>
      <c r="J1028" t="s">
        <v>6053</v>
      </c>
      <c r="K1028" t="s">
        <v>6057</v>
      </c>
      <c r="L1028" t="s">
        <v>7038</v>
      </c>
      <c r="M1028">
        <v>650.82000000000005</v>
      </c>
      <c r="N1028">
        <v>5</v>
      </c>
      <c r="O1028">
        <v>0.25</v>
      </c>
      <c r="P1028">
        <v>-79.61</v>
      </c>
      <c r="Q1028" t="s">
        <v>9893</v>
      </c>
      <c r="R1028">
        <v>6</v>
      </c>
      <c r="S1028" s="5">
        <f t="shared" si="32"/>
        <v>-0.12232260840170861</v>
      </c>
      <c r="T1028">
        <v>130.16399999999999</v>
      </c>
      <c r="U1028">
        <v>4</v>
      </c>
      <c r="V1028">
        <v>2024</v>
      </c>
      <c r="W1028">
        <v>2</v>
      </c>
      <c r="X1028" t="s">
        <v>9898</v>
      </c>
      <c r="Y1028" t="s">
        <v>9900</v>
      </c>
      <c r="Z1028" t="s">
        <v>9899</v>
      </c>
      <c r="AD1028">
        <f t="shared" si="33"/>
        <v>6</v>
      </c>
    </row>
    <row r="1029" spans="1:30" x14ac:dyDescent="0.25">
      <c r="A1029" t="s">
        <v>1053</v>
      </c>
      <c r="B1029" s="2">
        <v>45215</v>
      </c>
      <c r="C1029" s="2">
        <v>45220</v>
      </c>
      <c r="D1029" t="s">
        <v>5269</v>
      </c>
      <c r="E1029" t="s">
        <v>5769</v>
      </c>
      <c r="F1029" t="s">
        <v>6026</v>
      </c>
      <c r="G1029" t="s">
        <v>6029</v>
      </c>
      <c r="H1029" t="s">
        <v>6041</v>
      </c>
      <c r="I1029" t="s">
        <v>6049</v>
      </c>
      <c r="J1029" t="s">
        <v>6055</v>
      </c>
      <c r="K1029" t="s">
        <v>6064</v>
      </c>
      <c r="L1029" t="s">
        <v>7039</v>
      </c>
      <c r="M1029">
        <v>744.85</v>
      </c>
      <c r="N1029">
        <v>8</v>
      </c>
      <c r="O1029">
        <v>0.3</v>
      </c>
      <c r="P1029">
        <v>-103.04</v>
      </c>
      <c r="Q1029" t="s">
        <v>9895</v>
      </c>
      <c r="R1029">
        <v>5</v>
      </c>
      <c r="S1029" s="5">
        <f t="shared" si="32"/>
        <v>-0.13833657783446332</v>
      </c>
      <c r="T1029">
        <v>93.106250000000003</v>
      </c>
      <c r="U1029">
        <v>10</v>
      </c>
      <c r="V1029">
        <v>2023</v>
      </c>
      <c r="W1029">
        <v>4</v>
      </c>
      <c r="X1029" t="s">
        <v>9898</v>
      </c>
      <c r="Y1029" t="s">
        <v>9900</v>
      </c>
      <c r="Z1029" t="s">
        <v>9899</v>
      </c>
      <c r="AD1029">
        <f t="shared" si="33"/>
        <v>5</v>
      </c>
    </row>
    <row r="1030" spans="1:30" x14ac:dyDescent="0.25">
      <c r="A1030" t="s">
        <v>1054</v>
      </c>
      <c r="B1030" s="2">
        <v>45161</v>
      </c>
      <c r="C1030" s="2">
        <v>45163</v>
      </c>
      <c r="D1030" t="s">
        <v>5411</v>
      </c>
      <c r="E1030" t="s">
        <v>5911</v>
      </c>
      <c r="F1030" t="s">
        <v>6028</v>
      </c>
      <c r="G1030" t="s">
        <v>6031</v>
      </c>
      <c r="H1030" t="s">
        <v>6034</v>
      </c>
      <c r="I1030" t="s">
        <v>6048</v>
      </c>
      <c r="J1030" t="s">
        <v>6054</v>
      </c>
      <c r="K1030" t="s">
        <v>6059</v>
      </c>
      <c r="L1030" t="s">
        <v>7040</v>
      </c>
      <c r="M1030">
        <v>385.06</v>
      </c>
      <c r="N1030">
        <v>2</v>
      </c>
      <c r="O1030">
        <v>0.13</v>
      </c>
      <c r="P1030">
        <v>53.52</v>
      </c>
      <c r="Q1030" t="s">
        <v>9896</v>
      </c>
      <c r="R1030">
        <v>2</v>
      </c>
      <c r="S1030" s="5">
        <f t="shared" si="32"/>
        <v>0.13899132602711267</v>
      </c>
      <c r="T1030">
        <v>192.53</v>
      </c>
      <c r="U1030">
        <v>8</v>
      </c>
      <c r="V1030">
        <v>2023</v>
      </c>
      <c r="W1030">
        <v>3</v>
      </c>
      <c r="X1030" t="s">
        <v>9899</v>
      </c>
      <c r="Y1030" t="s">
        <v>9901</v>
      </c>
      <c r="Z1030" t="s">
        <v>9899</v>
      </c>
      <c r="AD1030">
        <f t="shared" si="33"/>
        <v>2</v>
      </c>
    </row>
    <row r="1031" spans="1:30" x14ac:dyDescent="0.25">
      <c r="A1031" t="s">
        <v>1055</v>
      </c>
      <c r="B1031" s="2">
        <v>44975</v>
      </c>
      <c r="C1031" s="2">
        <v>44976</v>
      </c>
      <c r="D1031" t="s">
        <v>5146</v>
      </c>
      <c r="E1031" t="s">
        <v>5646</v>
      </c>
      <c r="F1031" t="s">
        <v>6026</v>
      </c>
      <c r="G1031" t="s">
        <v>6030</v>
      </c>
      <c r="H1031" t="s">
        <v>6033</v>
      </c>
      <c r="I1031" t="s">
        <v>6051</v>
      </c>
      <c r="J1031" t="s">
        <v>6055</v>
      </c>
      <c r="K1031" t="s">
        <v>6064</v>
      </c>
      <c r="L1031" t="s">
        <v>6318</v>
      </c>
      <c r="M1031">
        <v>1012.12</v>
      </c>
      <c r="N1031">
        <v>1</v>
      </c>
      <c r="O1031">
        <v>0.33</v>
      </c>
      <c r="P1031">
        <v>-139.16999999999999</v>
      </c>
      <c r="Q1031" t="s">
        <v>9894</v>
      </c>
      <c r="R1031">
        <v>1</v>
      </c>
      <c r="S1031" s="5">
        <f t="shared" si="32"/>
        <v>-0.13750345808797373</v>
      </c>
      <c r="T1031">
        <v>1012.12</v>
      </c>
      <c r="U1031">
        <v>2</v>
      </c>
      <c r="V1031">
        <v>2023</v>
      </c>
      <c r="W1031">
        <v>1</v>
      </c>
      <c r="X1031" t="s">
        <v>9898</v>
      </c>
      <c r="Y1031" t="s">
        <v>9902</v>
      </c>
      <c r="Z1031" t="s">
        <v>9898</v>
      </c>
      <c r="AD1031">
        <f t="shared" si="33"/>
        <v>1</v>
      </c>
    </row>
    <row r="1032" spans="1:30" x14ac:dyDescent="0.25">
      <c r="A1032" t="s">
        <v>1056</v>
      </c>
      <c r="B1032" s="2">
        <v>45197</v>
      </c>
      <c r="C1032" s="2">
        <v>45200</v>
      </c>
      <c r="D1032" t="s">
        <v>5465</v>
      </c>
      <c r="E1032" t="s">
        <v>5965</v>
      </c>
      <c r="F1032" t="s">
        <v>6028</v>
      </c>
      <c r="G1032" t="s">
        <v>6030</v>
      </c>
      <c r="H1032" t="s">
        <v>6038</v>
      </c>
      <c r="I1032" t="s">
        <v>6047</v>
      </c>
      <c r="J1032" t="s">
        <v>6054</v>
      </c>
      <c r="K1032" t="s">
        <v>6060</v>
      </c>
      <c r="L1032" t="s">
        <v>6381</v>
      </c>
      <c r="M1032">
        <v>177.59</v>
      </c>
      <c r="N1032">
        <v>4</v>
      </c>
      <c r="O1032">
        <v>0.04</v>
      </c>
      <c r="P1032">
        <v>22.23</v>
      </c>
      <c r="Q1032" t="s">
        <v>9897</v>
      </c>
      <c r="R1032">
        <v>3</v>
      </c>
      <c r="S1032" s="5">
        <f t="shared" si="32"/>
        <v>0.12517596711526549</v>
      </c>
      <c r="T1032">
        <v>44.397500000000001</v>
      </c>
      <c r="U1032">
        <v>9</v>
      </c>
      <c r="V1032">
        <v>2023</v>
      </c>
      <c r="W1032">
        <v>3</v>
      </c>
      <c r="X1032" t="s">
        <v>9899</v>
      </c>
      <c r="Y1032" t="s">
        <v>9901</v>
      </c>
      <c r="Z1032" t="s">
        <v>9899</v>
      </c>
      <c r="AD1032">
        <f t="shared" si="33"/>
        <v>3</v>
      </c>
    </row>
    <row r="1033" spans="1:30" x14ac:dyDescent="0.25">
      <c r="A1033" t="s">
        <v>1057</v>
      </c>
      <c r="B1033" s="2">
        <v>44801</v>
      </c>
      <c r="C1033" s="2">
        <v>44804</v>
      </c>
      <c r="D1033" t="s">
        <v>5287</v>
      </c>
      <c r="E1033" t="s">
        <v>5787</v>
      </c>
      <c r="F1033" t="s">
        <v>6026</v>
      </c>
      <c r="G1033" t="s">
        <v>6031</v>
      </c>
      <c r="H1033" t="s">
        <v>6034</v>
      </c>
      <c r="I1033" t="s">
        <v>6050</v>
      </c>
      <c r="J1033" t="s">
        <v>6054</v>
      </c>
      <c r="K1033" t="s">
        <v>6060</v>
      </c>
      <c r="L1033" t="s">
        <v>7041</v>
      </c>
      <c r="M1033">
        <v>200.95</v>
      </c>
      <c r="N1033">
        <v>6</v>
      </c>
      <c r="O1033">
        <v>0.05</v>
      </c>
      <c r="P1033">
        <v>14.19</v>
      </c>
      <c r="Q1033" t="s">
        <v>9896</v>
      </c>
      <c r="R1033">
        <v>3</v>
      </c>
      <c r="S1033" s="5">
        <f t="shared" si="32"/>
        <v>7.0614580741477986E-2</v>
      </c>
      <c r="T1033">
        <v>33.491666666666667</v>
      </c>
      <c r="U1033">
        <v>8</v>
      </c>
      <c r="V1033">
        <v>2022</v>
      </c>
      <c r="W1033">
        <v>3</v>
      </c>
      <c r="X1033" t="s">
        <v>9899</v>
      </c>
      <c r="Y1033" t="s">
        <v>9901</v>
      </c>
      <c r="Z1033" t="s">
        <v>9899</v>
      </c>
      <c r="AD1033">
        <f t="shared" si="33"/>
        <v>3</v>
      </c>
    </row>
    <row r="1034" spans="1:30" x14ac:dyDescent="0.25">
      <c r="A1034" t="s">
        <v>1058</v>
      </c>
      <c r="B1034" s="2">
        <v>44774</v>
      </c>
      <c r="C1034" s="2">
        <v>44781</v>
      </c>
      <c r="D1034" t="s">
        <v>5448</v>
      </c>
      <c r="E1034" t="s">
        <v>5948</v>
      </c>
      <c r="F1034" t="s">
        <v>6027</v>
      </c>
      <c r="G1034" t="s">
        <v>6029</v>
      </c>
      <c r="H1034" t="s">
        <v>6036</v>
      </c>
      <c r="I1034" t="s">
        <v>6046</v>
      </c>
      <c r="J1034" t="s">
        <v>6053</v>
      </c>
      <c r="K1034" t="s">
        <v>6058</v>
      </c>
      <c r="L1034" t="s">
        <v>6238</v>
      </c>
      <c r="M1034">
        <v>1975.13</v>
      </c>
      <c r="N1034">
        <v>6</v>
      </c>
      <c r="O1034">
        <v>0.31</v>
      </c>
      <c r="P1034">
        <v>-159.4</v>
      </c>
      <c r="Q1034" t="s">
        <v>9895</v>
      </c>
      <c r="R1034">
        <v>7</v>
      </c>
      <c r="S1034" s="5">
        <f t="shared" si="32"/>
        <v>-8.0703548627178975E-2</v>
      </c>
      <c r="T1034">
        <v>329.18833333333328</v>
      </c>
      <c r="U1034">
        <v>8</v>
      </c>
      <c r="V1034">
        <v>2022</v>
      </c>
      <c r="W1034">
        <v>3</v>
      </c>
      <c r="X1034" t="s">
        <v>9898</v>
      </c>
      <c r="Y1034" t="s">
        <v>9902</v>
      </c>
      <c r="Z1034" t="s">
        <v>9898</v>
      </c>
      <c r="AD1034">
        <f t="shared" si="33"/>
        <v>7</v>
      </c>
    </row>
    <row r="1035" spans="1:30" x14ac:dyDescent="0.25">
      <c r="A1035" t="s">
        <v>1059</v>
      </c>
      <c r="B1035" s="2">
        <v>44990</v>
      </c>
      <c r="C1035" s="2">
        <v>44991</v>
      </c>
      <c r="D1035" t="s">
        <v>5319</v>
      </c>
      <c r="E1035" t="s">
        <v>5819</v>
      </c>
      <c r="F1035" t="s">
        <v>6027</v>
      </c>
      <c r="G1035" t="s">
        <v>6030</v>
      </c>
      <c r="H1035" t="s">
        <v>6039</v>
      </c>
      <c r="I1035" t="s">
        <v>6047</v>
      </c>
      <c r="J1035" t="s">
        <v>6053</v>
      </c>
      <c r="K1035" t="s">
        <v>6058</v>
      </c>
      <c r="L1035" t="s">
        <v>7042</v>
      </c>
      <c r="M1035">
        <v>1392.44</v>
      </c>
      <c r="N1035">
        <v>3</v>
      </c>
      <c r="O1035">
        <v>0.12</v>
      </c>
      <c r="P1035">
        <v>3.64</v>
      </c>
      <c r="Q1035" t="s">
        <v>9896</v>
      </c>
      <c r="R1035">
        <v>1</v>
      </c>
      <c r="S1035" s="5">
        <f t="shared" si="32"/>
        <v>2.6141162276291977E-3</v>
      </c>
      <c r="T1035">
        <v>464.1466666666667</v>
      </c>
      <c r="U1035">
        <v>3</v>
      </c>
      <c r="V1035">
        <v>2023</v>
      </c>
      <c r="W1035">
        <v>1</v>
      </c>
      <c r="X1035" t="s">
        <v>9899</v>
      </c>
      <c r="Y1035" t="s">
        <v>9901</v>
      </c>
      <c r="Z1035" t="s">
        <v>9898</v>
      </c>
      <c r="AD1035">
        <f t="shared" si="33"/>
        <v>1</v>
      </c>
    </row>
    <row r="1036" spans="1:30" x14ac:dyDescent="0.25">
      <c r="A1036" t="s">
        <v>1060</v>
      </c>
      <c r="B1036" s="2">
        <v>45345</v>
      </c>
      <c r="C1036" s="2">
        <v>45347</v>
      </c>
      <c r="D1036" t="s">
        <v>5462</v>
      </c>
      <c r="E1036" t="s">
        <v>5962</v>
      </c>
      <c r="F1036" t="s">
        <v>6026</v>
      </c>
      <c r="G1036" t="s">
        <v>6031</v>
      </c>
      <c r="H1036" t="s">
        <v>6037</v>
      </c>
      <c r="I1036" t="s">
        <v>6052</v>
      </c>
      <c r="J1036" t="s">
        <v>6053</v>
      </c>
      <c r="K1036" t="s">
        <v>6058</v>
      </c>
      <c r="L1036" t="s">
        <v>7043</v>
      </c>
      <c r="M1036">
        <v>774.96</v>
      </c>
      <c r="N1036">
        <v>7</v>
      </c>
      <c r="O1036">
        <v>0.28000000000000003</v>
      </c>
      <c r="P1036">
        <v>4.8499999999999996</v>
      </c>
      <c r="Q1036" t="s">
        <v>9896</v>
      </c>
      <c r="R1036">
        <v>2</v>
      </c>
      <c r="S1036" s="5">
        <f t="shared" si="32"/>
        <v>6.2583875296789507E-3</v>
      </c>
      <c r="T1036">
        <v>110.7085714285714</v>
      </c>
      <c r="U1036">
        <v>2</v>
      </c>
      <c r="V1036">
        <v>2024</v>
      </c>
      <c r="W1036">
        <v>1</v>
      </c>
      <c r="X1036" t="s">
        <v>9899</v>
      </c>
      <c r="Y1036" t="s">
        <v>9900</v>
      </c>
      <c r="Z1036" t="s">
        <v>9899</v>
      </c>
      <c r="AD1036">
        <f t="shared" si="33"/>
        <v>2</v>
      </c>
    </row>
    <row r="1037" spans="1:30" x14ac:dyDescent="0.25">
      <c r="A1037" t="s">
        <v>1061</v>
      </c>
      <c r="B1037" s="2">
        <v>44864</v>
      </c>
      <c r="C1037" s="2">
        <v>44871</v>
      </c>
      <c r="D1037" t="s">
        <v>5173</v>
      </c>
      <c r="E1037" t="s">
        <v>5673</v>
      </c>
      <c r="F1037" t="s">
        <v>6027</v>
      </c>
      <c r="G1037" t="s">
        <v>6029</v>
      </c>
      <c r="H1037" t="s">
        <v>6044</v>
      </c>
      <c r="I1037" t="s">
        <v>6046</v>
      </c>
      <c r="J1037" t="s">
        <v>6053</v>
      </c>
      <c r="K1037" t="s">
        <v>6058</v>
      </c>
      <c r="L1037" t="s">
        <v>7044</v>
      </c>
      <c r="M1037">
        <v>1532.08</v>
      </c>
      <c r="N1037">
        <v>2</v>
      </c>
      <c r="O1037">
        <v>0.19</v>
      </c>
      <c r="P1037">
        <v>-100.91</v>
      </c>
      <c r="Q1037" t="s">
        <v>9893</v>
      </c>
      <c r="R1037">
        <v>7</v>
      </c>
      <c r="S1037" s="5">
        <f t="shared" si="32"/>
        <v>-6.5864706803822254E-2</v>
      </c>
      <c r="T1037">
        <v>766.04</v>
      </c>
      <c r="U1037">
        <v>10</v>
      </c>
      <c r="V1037">
        <v>2022</v>
      </c>
      <c r="W1037">
        <v>4</v>
      </c>
      <c r="X1037" t="s">
        <v>9898</v>
      </c>
      <c r="Y1037" t="s">
        <v>9900</v>
      </c>
      <c r="Z1037" t="s">
        <v>9898</v>
      </c>
      <c r="AD1037">
        <f t="shared" si="33"/>
        <v>7</v>
      </c>
    </row>
    <row r="1038" spans="1:30" x14ac:dyDescent="0.25">
      <c r="A1038" t="s">
        <v>1062</v>
      </c>
      <c r="B1038" s="2">
        <v>44852</v>
      </c>
      <c r="C1038" s="2">
        <v>44855</v>
      </c>
      <c r="D1038" t="s">
        <v>5338</v>
      </c>
      <c r="E1038" t="s">
        <v>5838</v>
      </c>
      <c r="F1038" t="s">
        <v>6028</v>
      </c>
      <c r="G1038" t="s">
        <v>6030</v>
      </c>
      <c r="H1038" t="s">
        <v>6038</v>
      </c>
      <c r="I1038" t="s">
        <v>6051</v>
      </c>
      <c r="J1038" t="s">
        <v>6054</v>
      </c>
      <c r="K1038" t="s">
        <v>6059</v>
      </c>
      <c r="L1038" t="s">
        <v>6203</v>
      </c>
      <c r="M1038">
        <v>1823.34</v>
      </c>
      <c r="N1038">
        <v>7</v>
      </c>
      <c r="O1038">
        <v>0.12</v>
      </c>
      <c r="P1038">
        <v>262.94</v>
      </c>
      <c r="Q1038" t="s">
        <v>9895</v>
      </c>
      <c r="R1038">
        <v>3</v>
      </c>
      <c r="S1038" s="5">
        <f t="shared" si="32"/>
        <v>0.14420788223809053</v>
      </c>
      <c r="T1038">
        <v>260.47714285714278</v>
      </c>
      <c r="U1038">
        <v>10</v>
      </c>
      <c r="V1038">
        <v>2022</v>
      </c>
      <c r="W1038">
        <v>4</v>
      </c>
      <c r="X1038" t="s">
        <v>9899</v>
      </c>
      <c r="Y1038" t="s">
        <v>9901</v>
      </c>
      <c r="Z1038" t="s">
        <v>9898</v>
      </c>
      <c r="AD1038">
        <f t="shared" si="33"/>
        <v>3</v>
      </c>
    </row>
    <row r="1039" spans="1:30" x14ac:dyDescent="0.25">
      <c r="A1039" t="s">
        <v>1063</v>
      </c>
      <c r="B1039" s="2">
        <v>45204</v>
      </c>
      <c r="C1039" s="2">
        <v>45209</v>
      </c>
      <c r="D1039" t="s">
        <v>5466</v>
      </c>
      <c r="E1039" t="s">
        <v>5966</v>
      </c>
      <c r="F1039" t="s">
        <v>6027</v>
      </c>
      <c r="G1039" t="s">
        <v>6029</v>
      </c>
      <c r="H1039" t="s">
        <v>6044</v>
      </c>
      <c r="I1039" t="s">
        <v>6046</v>
      </c>
      <c r="J1039" t="s">
        <v>6053</v>
      </c>
      <c r="K1039" t="s">
        <v>6058</v>
      </c>
      <c r="L1039" t="s">
        <v>7045</v>
      </c>
      <c r="M1039">
        <v>245.89</v>
      </c>
      <c r="N1039">
        <v>1</v>
      </c>
      <c r="O1039">
        <v>0.16</v>
      </c>
      <c r="P1039">
        <v>7.06</v>
      </c>
      <c r="Q1039" t="s">
        <v>9896</v>
      </c>
      <c r="R1039">
        <v>5</v>
      </c>
      <c r="S1039" s="5">
        <f t="shared" si="32"/>
        <v>2.871202570254992E-2</v>
      </c>
      <c r="T1039">
        <v>245.89</v>
      </c>
      <c r="U1039">
        <v>10</v>
      </c>
      <c r="V1039">
        <v>2023</v>
      </c>
      <c r="W1039">
        <v>4</v>
      </c>
      <c r="X1039" t="s">
        <v>9899</v>
      </c>
      <c r="Y1039" t="s">
        <v>9900</v>
      </c>
      <c r="Z1039" t="s">
        <v>9899</v>
      </c>
      <c r="AD1039">
        <f t="shared" si="33"/>
        <v>5</v>
      </c>
    </row>
    <row r="1040" spans="1:30" x14ac:dyDescent="0.25">
      <c r="A1040" t="s">
        <v>1064</v>
      </c>
      <c r="B1040" s="2">
        <v>45038</v>
      </c>
      <c r="C1040" s="2">
        <v>45039</v>
      </c>
      <c r="D1040" t="s">
        <v>5285</v>
      </c>
      <c r="E1040" t="s">
        <v>5785</v>
      </c>
      <c r="F1040" t="s">
        <v>6027</v>
      </c>
      <c r="G1040" t="s">
        <v>6029</v>
      </c>
      <c r="H1040" t="s">
        <v>6032</v>
      </c>
      <c r="I1040" t="s">
        <v>6050</v>
      </c>
      <c r="J1040" t="s">
        <v>6055</v>
      </c>
      <c r="K1040" t="s">
        <v>6063</v>
      </c>
      <c r="L1040" t="s">
        <v>7046</v>
      </c>
      <c r="M1040">
        <v>328.62</v>
      </c>
      <c r="N1040">
        <v>4</v>
      </c>
      <c r="O1040">
        <v>0.3</v>
      </c>
      <c r="P1040">
        <v>-32.64</v>
      </c>
      <c r="Q1040" t="s">
        <v>9897</v>
      </c>
      <c r="R1040">
        <v>1</v>
      </c>
      <c r="S1040" s="5">
        <f t="shared" si="32"/>
        <v>-9.9324447690341433E-2</v>
      </c>
      <c r="T1040">
        <v>82.155000000000001</v>
      </c>
      <c r="U1040">
        <v>4</v>
      </c>
      <c r="V1040">
        <v>2023</v>
      </c>
      <c r="W1040">
        <v>2</v>
      </c>
      <c r="X1040" t="s">
        <v>9898</v>
      </c>
      <c r="Y1040" t="s">
        <v>9900</v>
      </c>
      <c r="Z1040" t="s">
        <v>9899</v>
      </c>
      <c r="AD1040">
        <f t="shared" si="33"/>
        <v>1</v>
      </c>
    </row>
    <row r="1041" spans="1:30" x14ac:dyDescent="0.25">
      <c r="A1041" t="s">
        <v>1065</v>
      </c>
      <c r="B1041" s="2">
        <v>44618</v>
      </c>
      <c r="C1041" s="2">
        <v>44619</v>
      </c>
      <c r="D1041" t="s">
        <v>5413</v>
      </c>
      <c r="E1041" t="s">
        <v>5913</v>
      </c>
      <c r="F1041" t="s">
        <v>6027</v>
      </c>
      <c r="G1041" t="s">
        <v>6029</v>
      </c>
      <c r="H1041" t="s">
        <v>6041</v>
      </c>
      <c r="I1041" t="s">
        <v>6050</v>
      </c>
      <c r="J1041" t="s">
        <v>6054</v>
      </c>
      <c r="K1041" t="s">
        <v>6059</v>
      </c>
      <c r="L1041" t="s">
        <v>7047</v>
      </c>
      <c r="M1041">
        <v>716.45</v>
      </c>
      <c r="N1041">
        <v>4</v>
      </c>
      <c r="O1041">
        <v>0.18</v>
      </c>
      <c r="P1041">
        <v>19.91</v>
      </c>
      <c r="Q1041" t="s">
        <v>9897</v>
      </c>
      <c r="R1041">
        <v>1</v>
      </c>
      <c r="S1041" s="5">
        <f t="shared" si="32"/>
        <v>2.7789796915346499E-2</v>
      </c>
      <c r="T1041">
        <v>179.11250000000001</v>
      </c>
      <c r="U1041">
        <v>2</v>
      </c>
      <c r="V1041">
        <v>2022</v>
      </c>
      <c r="W1041">
        <v>1</v>
      </c>
      <c r="X1041" t="s">
        <v>9899</v>
      </c>
      <c r="Y1041" t="s">
        <v>9900</v>
      </c>
      <c r="Z1041" t="s">
        <v>9899</v>
      </c>
      <c r="AD1041">
        <f t="shared" si="33"/>
        <v>1</v>
      </c>
    </row>
    <row r="1042" spans="1:30" x14ac:dyDescent="0.25">
      <c r="A1042" t="s">
        <v>1066</v>
      </c>
      <c r="B1042" s="2">
        <v>44836</v>
      </c>
      <c r="C1042" s="2">
        <v>44838</v>
      </c>
      <c r="D1042" t="s">
        <v>5116</v>
      </c>
      <c r="E1042" t="s">
        <v>5616</v>
      </c>
      <c r="F1042" t="s">
        <v>6026</v>
      </c>
      <c r="G1042" t="s">
        <v>6031</v>
      </c>
      <c r="H1042" t="s">
        <v>6042</v>
      </c>
      <c r="I1042" t="s">
        <v>6052</v>
      </c>
      <c r="J1042" t="s">
        <v>6055</v>
      </c>
      <c r="K1042" t="s">
        <v>6061</v>
      </c>
      <c r="L1042" t="s">
        <v>7048</v>
      </c>
      <c r="M1042">
        <v>1575.85</v>
      </c>
      <c r="N1042">
        <v>8</v>
      </c>
      <c r="O1042">
        <v>0.19</v>
      </c>
      <c r="P1042">
        <v>-107.63</v>
      </c>
      <c r="Q1042" t="s">
        <v>9893</v>
      </c>
      <c r="R1042">
        <v>2</v>
      </c>
      <c r="S1042" s="5">
        <f t="shared" si="32"/>
        <v>-6.8299647809118888E-2</v>
      </c>
      <c r="T1042">
        <v>196.98124999999999</v>
      </c>
      <c r="U1042">
        <v>10</v>
      </c>
      <c r="V1042">
        <v>2022</v>
      </c>
      <c r="W1042">
        <v>4</v>
      </c>
      <c r="X1042" t="s">
        <v>9898</v>
      </c>
      <c r="Y1042" t="s">
        <v>9900</v>
      </c>
      <c r="Z1042" t="s">
        <v>9898</v>
      </c>
      <c r="AD1042">
        <f t="shared" si="33"/>
        <v>2</v>
      </c>
    </row>
    <row r="1043" spans="1:30" x14ac:dyDescent="0.25">
      <c r="A1043" t="s">
        <v>1067</v>
      </c>
      <c r="B1043" s="2">
        <v>45342</v>
      </c>
      <c r="C1043" s="2">
        <v>45344</v>
      </c>
      <c r="D1043" t="s">
        <v>5027</v>
      </c>
      <c r="E1043" t="s">
        <v>5527</v>
      </c>
      <c r="F1043" t="s">
        <v>6028</v>
      </c>
      <c r="G1043" t="s">
        <v>6029</v>
      </c>
      <c r="H1043" t="s">
        <v>6036</v>
      </c>
      <c r="I1043" t="s">
        <v>6046</v>
      </c>
      <c r="J1043" t="s">
        <v>6055</v>
      </c>
      <c r="K1043" t="s">
        <v>6064</v>
      </c>
      <c r="L1043" t="s">
        <v>6096</v>
      </c>
      <c r="M1043">
        <v>690.78</v>
      </c>
      <c r="N1043">
        <v>6</v>
      </c>
      <c r="O1043">
        <v>0.08</v>
      </c>
      <c r="P1043">
        <v>149.47999999999999</v>
      </c>
      <c r="Q1043" t="s">
        <v>9896</v>
      </c>
      <c r="R1043">
        <v>2</v>
      </c>
      <c r="S1043" s="5">
        <f t="shared" si="32"/>
        <v>0.21639306291438662</v>
      </c>
      <c r="T1043">
        <v>115.13</v>
      </c>
      <c r="U1043">
        <v>2</v>
      </c>
      <c r="V1043">
        <v>2024</v>
      </c>
      <c r="W1043">
        <v>1</v>
      </c>
      <c r="X1043" t="s">
        <v>9899</v>
      </c>
      <c r="Y1043" t="s">
        <v>9901</v>
      </c>
      <c r="Z1043" t="s">
        <v>9899</v>
      </c>
      <c r="AD1043">
        <f t="shared" si="33"/>
        <v>2</v>
      </c>
    </row>
    <row r="1044" spans="1:30" x14ac:dyDescent="0.25">
      <c r="A1044" t="s">
        <v>1068</v>
      </c>
      <c r="B1044" s="2">
        <v>45375</v>
      </c>
      <c r="C1044" s="2">
        <v>45377</v>
      </c>
      <c r="D1044" t="s">
        <v>5403</v>
      </c>
      <c r="E1044" t="s">
        <v>5903</v>
      </c>
      <c r="F1044" t="s">
        <v>6027</v>
      </c>
      <c r="G1044" t="s">
        <v>6029</v>
      </c>
      <c r="H1044" t="s">
        <v>6044</v>
      </c>
      <c r="I1044" t="s">
        <v>6049</v>
      </c>
      <c r="J1044" t="s">
        <v>6055</v>
      </c>
      <c r="K1044" t="s">
        <v>6064</v>
      </c>
      <c r="L1044" t="s">
        <v>7049</v>
      </c>
      <c r="M1044">
        <v>1573.11</v>
      </c>
      <c r="N1044">
        <v>8</v>
      </c>
      <c r="O1044">
        <v>0.28000000000000003</v>
      </c>
      <c r="P1044">
        <v>18.79</v>
      </c>
      <c r="Q1044" t="s">
        <v>9894</v>
      </c>
      <c r="R1044">
        <v>2</v>
      </c>
      <c r="S1044" s="5">
        <f t="shared" si="32"/>
        <v>1.1944492120703575E-2</v>
      </c>
      <c r="T1044">
        <v>196.63874999999999</v>
      </c>
      <c r="U1044">
        <v>3</v>
      </c>
      <c r="V1044">
        <v>2024</v>
      </c>
      <c r="W1044">
        <v>1</v>
      </c>
      <c r="X1044" t="s">
        <v>9899</v>
      </c>
      <c r="Y1044" t="s">
        <v>9900</v>
      </c>
      <c r="Z1044" t="s">
        <v>9898</v>
      </c>
      <c r="AD1044">
        <f t="shared" si="33"/>
        <v>2</v>
      </c>
    </row>
    <row r="1045" spans="1:30" x14ac:dyDescent="0.25">
      <c r="A1045" t="s">
        <v>1069</v>
      </c>
      <c r="B1045" s="2">
        <v>45167</v>
      </c>
      <c r="C1045" s="2">
        <v>45173</v>
      </c>
      <c r="D1045" t="s">
        <v>5094</v>
      </c>
      <c r="E1045" t="s">
        <v>5594</v>
      </c>
      <c r="F1045" t="s">
        <v>6026</v>
      </c>
      <c r="G1045" t="s">
        <v>6031</v>
      </c>
      <c r="H1045" t="s">
        <v>6034</v>
      </c>
      <c r="I1045" t="s">
        <v>6048</v>
      </c>
      <c r="J1045" t="s">
        <v>6053</v>
      </c>
      <c r="K1045" t="s">
        <v>6058</v>
      </c>
      <c r="L1045" t="s">
        <v>7050</v>
      </c>
      <c r="M1045">
        <v>899.06</v>
      </c>
      <c r="N1045">
        <v>4</v>
      </c>
      <c r="O1045">
        <v>0.06</v>
      </c>
      <c r="P1045">
        <v>189.99</v>
      </c>
      <c r="Q1045" t="s">
        <v>9895</v>
      </c>
      <c r="R1045">
        <v>6</v>
      </c>
      <c r="S1045" s="5">
        <f t="shared" si="32"/>
        <v>0.21132071274442196</v>
      </c>
      <c r="T1045">
        <v>224.76499999999999</v>
      </c>
      <c r="U1045">
        <v>8</v>
      </c>
      <c r="V1045">
        <v>2023</v>
      </c>
      <c r="W1045">
        <v>3</v>
      </c>
      <c r="X1045" t="s">
        <v>9899</v>
      </c>
      <c r="Y1045" t="s">
        <v>9901</v>
      </c>
      <c r="Z1045" t="s">
        <v>9899</v>
      </c>
      <c r="AD1045">
        <f t="shared" si="33"/>
        <v>6</v>
      </c>
    </row>
    <row r="1046" spans="1:30" x14ac:dyDescent="0.25">
      <c r="A1046" t="s">
        <v>1070</v>
      </c>
      <c r="B1046" s="2">
        <v>45449</v>
      </c>
      <c r="C1046" s="2">
        <v>45453</v>
      </c>
      <c r="D1046" t="s">
        <v>5403</v>
      </c>
      <c r="E1046" t="s">
        <v>5903</v>
      </c>
      <c r="F1046" t="s">
        <v>6026</v>
      </c>
      <c r="G1046" t="s">
        <v>6030</v>
      </c>
      <c r="H1046" t="s">
        <v>6039</v>
      </c>
      <c r="I1046" t="s">
        <v>6047</v>
      </c>
      <c r="J1046" t="s">
        <v>6054</v>
      </c>
      <c r="K1046" t="s">
        <v>6060</v>
      </c>
      <c r="L1046" t="s">
        <v>7051</v>
      </c>
      <c r="M1046">
        <v>1374.8</v>
      </c>
      <c r="N1046">
        <v>2</v>
      </c>
      <c r="O1046">
        <v>0.23</v>
      </c>
      <c r="P1046">
        <v>-62.69</v>
      </c>
      <c r="Q1046" t="s">
        <v>9895</v>
      </c>
      <c r="R1046">
        <v>4</v>
      </c>
      <c r="S1046" s="5">
        <f t="shared" si="32"/>
        <v>-4.5599359906895551E-2</v>
      </c>
      <c r="T1046">
        <v>687.4</v>
      </c>
      <c r="U1046">
        <v>6</v>
      </c>
      <c r="V1046">
        <v>2024</v>
      </c>
      <c r="W1046">
        <v>2</v>
      </c>
      <c r="X1046" t="s">
        <v>9898</v>
      </c>
      <c r="Y1046" t="s">
        <v>9900</v>
      </c>
      <c r="Z1046" t="s">
        <v>9898</v>
      </c>
      <c r="AD1046">
        <f t="shared" si="33"/>
        <v>4</v>
      </c>
    </row>
    <row r="1047" spans="1:30" x14ac:dyDescent="0.25">
      <c r="A1047" t="s">
        <v>1071</v>
      </c>
      <c r="B1047" s="2">
        <v>44586</v>
      </c>
      <c r="C1047" s="2">
        <v>44587</v>
      </c>
      <c r="D1047" t="s">
        <v>5040</v>
      </c>
      <c r="E1047" t="s">
        <v>5540</v>
      </c>
      <c r="F1047" t="s">
        <v>6028</v>
      </c>
      <c r="G1047" t="s">
        <v>6030</v>
      </c>
      <c r="H1047" t="s">
        <v>6038</v>
      </c>
      <c r="I1047" t="s">
        <v>6047</v>
      </c>
      <c r="J1047" t="s">
        <v>6055</v>
      </c>
      <c r="K1047" t="s">
        <v>6063</v>
      </c>
      <c r="L1047" t="s">
        <v>7052</v>
      </c>
      <c r="M1047">
        <v>1038.03</v>
      </c>
      <c r="N1047">
        <v>1</v>
      </c>
      <c r="O1047">
        <v>0.27</v>
      </c>
      <c r="P1047">
        <v>-2.72</v>
      </c>
      <c r="Q1047" t="s">
        <v>9896</v>
      </c>
      <c r="R1047">
        <v>1</v>
      </c>
      <c r="S1047" s="5">
        <f t="shared" si="32"/>
        <v>-2.620348159494427E-3</v>
      </c>
      <c r="T1047">
        <v>1038.03</v>
      </c>
      <c r="U1047">
        <v>1</v>
      </c>
      <c r="V1047">
        <v>2022</v>
      </c>
      <c r="W1047">
        <v>1</v>
      </c>
      <c r="X1047" t="s">
        <v>9898</v>
      </c>
      <c r="Y1047" t="s">
        <v>9900</v>
      </c>
      <c r="Z1047" t="s">
        <v>9898</v>
      </c>
      <c r="AD1047">
        <f t="shared" si="33"/>
        <v>1</v>
      </c>
    </row>
    <row r="1048" spans="1:30" x14ac:dyDescent="0.25">
      <c r="A1048" t="s">
        <v>1072</v>
      </c>
      <c r="B1048" s="2">
        <v>45339</v>
      </c>
      <c r="C1048" s="2">
        <v>45341</v>
      </c>
      <c r="D1048" t="s">
        <v>5225</v>
      </c>
      <c r="E1048" t="s">
        <v>5725</v>
      </c>
      <c r="F1048" t="s">
        <v>6028</v>
      </c>
      <c r="G1048" t="s">
        <v>6030</v>
      </c>
      <c r="H1048" t="s">
        <v>6035</v>
      </c>
      <c r="I1048" t="s">
        <v>6047</v>
      </c>
      <c r="J1048" t="s">
        <v>6054</v>
      </c>
      <c r="K1048" t="s">
        <v>6059</v>
      </c>
      <c r="L1048" t="s">
        <v>7053</v>
      </c>
      <c r="M1048">
        <v>528.54</v>
      </c>
      <c r="N1048">
        <v>7</v>
      </c>
      <c r="O1048">
        <v>7.0000000000000007E-2</v>
      </c>
      <c r="P1048">
        <v>71.209999999999994</v>
      </c>
      <c r="Q1048" t="s">
        <v>9894</v>
      </c>
      <c r="R1048">
        <v>2</v>
      </c>
      <c r="S1048" s="5">
        <f t="shared" si="32"/>
        <v>0.13472963257274756</v>
      </c>
      <c r="T1048">
        <v>75.505714285714276</v>
      </c>
      <c r="U1048">
        <v>2</v>
      </c>
      <c r="V1048">
        <v>2024</v>
      </c>
      <c r="W1048">
        <v>1</v>
      </c>
      <c r="X1048" t="s">
        <v>9899</v>
      </c>
      <c r="Y1048" t="s">
        <v>9901</v>
      </c>
      <c r="Z1048" t="s">
        <v>9899</v>
      </c>
      <c r="AD1048">
        <f t="shared" si="33"/>
        <v>2</v>
      </c>
    </row>
    <row r="1049" spans="1:30" x14ac:dyDescent="0.25">
      <c r="A1049" t="s">
        <v>1073</v>
      </c>
      <c r="B1049" s="2">
        <v>44779</v>
      </c>
      <c r="C1049" s="2">
        <v>44785</v>
      </c>
      <c r="D1049" t="s">
        <v>5130</v>
      </c>
      <c r="E1049" t="s">
        <v>5630</v>
      </c>
      <c r="F1049" t="s">
        <v>6026</v>
      </c>
      <c r="G1049" t="s">
        <v>6031</v>
      </c>
      <c r="H1049" t="s">
        <v>6040</v>
      </c>
      <c r="I1049" t="s">
        <v>6048</v>
      </c>
      <c r="J1049" t="s">
        <v>6053</v>
      </c>
      <c r="K1049" t="s">
        <v>6056</v>
      </c>
      <c r="L1049" t="s">
        <v>7054</v>
      </c>
      <c r="M1049">
        <v>1444.18</v>
      </c>
      <c r="N1049">
        <v>8</v>
      </c>
      <c r="O1049">
        <v>0.28999999999999998</v>
      </c>
      <c r="P1049">
        <v>-26.77</v>
      </c>
      <c r="Q1049" t="s">
        <v>9895</v>
      </c>
      <c r="R1049">
        <v>6</v>
      </c>
      <c r="S1049" s="5">
        <f t="shared" si="32"/>
        <v>-1.853647052306499E-2</v>
      </c>
      <c r="T1049">
        <v>180.52250000000001</v>
      </c>
      <c r="U1049">
        <v>8</v>
      </c>
      <c r="V1049">
        <v>2022</v>
      </c>
      <c r="W1049">
        <v>3</v>
      </c>
      <c r="X1049" t="s">
        <v>9898</v>
      </c>
      <c r="Y1049" t="s">
        <v>9900</v>
      </c>
      <c r="Z1049" t="s">
        <v>9898</v>
      </c>
      <c r="AD1049">
        <f t="shared" si="33"/>
        <v>6</v>
      </c>
    </row>
    <row r="1050" spans="1:30" x14ac:dyDescent="0.25">
      <c r="A1050" t="s">
        <v>1074</v>
      </c>
      <c r="B1050" s="2">
        <v>44932</v>
      </c>
      <c r="C1050" s="2">
        <v>44933</v>
      </c>
      <c r="D1050" t="s">
        <v>5096</v>
      </c>
      <c r="E1050" t="s">
        <v>5596</v>
      </c>
      <c r="F1050" t="s">
        <v>6026</v>
      </c>
      <c r="G1050" t="s">
        <v>6029</v>
      </c>
      <c r="H1050" t="s">
        <v>6036</v>
      </c>
      <c r="I1050" t="s">
        <v>6049</v>
      </c>
      <c r="J1050" t="s">
        <v>6054</v>
      </c>
      <c r="K1050" t="s">
        <v>6062</v>
      </c>
      <c r="L1050" t="s">
        <v>7055</v>
      </c>
      <c r="M1050">
        <v>973.36</v>
      </c>
      <c r="N1050">
        <v>5</v>
      </c>
      <c r="O1050">
        <v>0.16</v>
      </c>
      <c r="P1050">
        <v>4.33</v>
      </c>
      <c r="Q1050" t="s">
        <v>9893</v>
      </c>
      <c r="R1050">
        <v>1</v>
      </c>
      <c r="S1050" s="5">
        <f t="shared" si="32"/>
        <v>4.4485082600476704E-3</v>
      </c>
      <c r="T1050">
        <v>194.672</v>
      </c>
      <c r="U1050">
        <v>1</v>
      </c>
      <c r="V1050">
        <v>2023</v>
      </c>
      <c r="W1050">
        <v>1</v>
      </c>
      <c r="X1050" t="s">
        <v>9899</v>
      </c>
      <c r="Y1050" t="s">
        <v>9900</v>
      </c>
      <c r="Z1050" t="s">
        <v>9899</v>
      </c>
      <c r="AD1050">
        <f t="shared" si="33"/>
        <v>1</v>
      </c>
    </row>
    <row r="1051" spans="1:30" x14ac:dyDescent="0.25">
      <c r="A1051" t="s">
        <v>1075</v>
      </c>
      <c r="B1051" s="2">
        <v>44746</v>
      </c>
      <c r="C1051" s="2">
        <v>44753</v>
      </c>
      <c r="D1051" t="s">
        <v>5063</v>
      </c>
      <c r="E1051" t="s">
        <v>5563</v>
      </c>
      <c r="F1051" t="s">
        <v>6028</v>
      </c>
      <c r="G1051" t="s">
        <v>6031</v>
      </c>
      <c r="H1051" t="s">
        <v>6042</v>
      </c>
      <c r="I1051" t="s">
        <v>6048</v>
      </c>
      <c r="J1051" t="s">
        <v>6053</v>
      </c>
      <c r="K1051" t="s">
        <v>6058</v>
      </c>
      <c r="L1051" t="s">
        <v>7056</v>
      </c>
      <c r="M1051">
        <v>918.58</v>
      </c>
      <c r="N1051">
        <v>4</v>
      </c>
      <c r="O1051">
        <v>0.21</v>
      </c>
      <c r="P1051">
        <v>-44.84</v>
      </c>
      <c r="Q1051" t="s">
        <v>9896</v>
      </c>
      <c r="R1051">
        <v>7</v>
      </c>
      <c r="S1051" s="5">
        <f t="shared" si="32"/>
        <v>-4.88144745150123E-2</v>
      </c>
      <c r="T1051">
        <v>229.64500000000001</v>
      </c>
      <c r="U1051">
        <v>7</v>
      </c>
      <c r="V1051">
        <v>2022</v>
      </c>
      <c r="W1051">
        <v>3</v>
      </c>
      <c r="X1051" t="s">
        <v>9898</v>
      </c>
      <c r="Y1051" t="s">
        <v>9900</v>
      </c>
      <c r="Z1051" t="s">
        <v>9899</v>
      </c>
      <c r="AD1051">
        <f t="shared" si="33"/>
        <v>7</v>
      </c>
    </row>
    <row r="1052" spans="1:30" x14ac:dyDescent="0.25">
      <c r="A1052" t="s">
        <v>1076</v>
      </c>
      <c r="B1052" s="2">
        <v>44728</v>
      </c>
      <c r="C1052" s="2">
        <v>44733</v>
      </c>
      <c r="D1052" t="s">
        <v>5203</v>
      </c>
      <c r="E1052" t="s">
        <v>5703</v>
      </c>
      <c r="F1052" t="s">
        <v>6028</v>
      </c>
      <c r="G1052" t="s">
        <v>6029</v>
      </c>
      <c r="H1052" t="s">
        <v>6044</v>
      </c>
      <c r="I1052" t="s">
        <v>6046</v>
      </c>
      <c r="J1052" t="s">
        <v>6053</v>
      </c>
      <c r="K1052" t="s">
        <v>6058</v>
      </c>
      <c r="L1052" t="s">
        <v>7057</v>
      </c>
      <c r="M1052">
        <v>1661.41</v>
      </c>
      <c r="N1052">
        <v>6</v>
      </c>
      <c r="O1052">
        <v>0.05</v>
      </c>
      <c r="P1052">
        <v>335.47</v>
      </c>
      <c r="Q1052" t="s">
        <v>9893</v>
      </c>
      <c r="R1052">
        <v>5</v>
      </c>
      <c r="S1052" s="5">
        <f t="shared" si="32"/>
        <v>0.20191885205939533</v>
      </c>
      <c r="T1052">
        <v>276.9016666666667</v>
      </c>
      <c r="U1052">
        <v>6</v>
      </c>
      <c r="V1052">
        <v>2022</v>
      </c>
      <c r="W1052">
        <v>2</v>
      </c>
      <c r="X1052" t="s">
        <v>9899</v>
      </c>
      <c r="Y1052" t="s">
        <v>9901</v>
      </c>
      <c r="Z1052" t="s">
        <v>9898</v>
      </c>
      <c r="AD1052">
        <f t="shared" si="33"/>
        <v>5</v>
      </c>
    </row>
    <row r="1053" spans="1:30" x14ac:dyDescent="0.25">
      <c r="A1053" t="s">
        <v>1077</v>
      </c>
      <c r="B1053" s="2">
        <v>44632</v>
      </c>
      <c r="C1053" s="2">
        <v>44634</v>
      </c>
      <c r="D1053" t="s">
        <v>5332</v>
      </c>
      <c r="E1053" t="s">
        <v>5832</v>
      </c>
      <c r="F1053" t="s">
        <v>6028</v>
      </c>
      <c r="G1053" t="s">
        <v>6030</v>
      </c>
      <c r="H1053" t="s">
        <v>6038</v>
      </c>
      <c r="I1053" t="s">
        <v>6051</v>
      </c>
      <c r="J1053" t="s">
        <v>6053</v>
      </c>
      <c r="K1053" t="s">
        <v>6058</v>
      </c>
      <c r="L1053" t="s">
        <v>7058</v>
      </c>
      <c r="M1053">
        <v>1804.29</v>
      </c>
      <c r="N1053">
        <v>3</v>
      </c>
      <c r="O1053">
        <v>0.01</v>
      </c>
      <c r="P1053">
        <v>310.44</v>
      </c>
      <c r="Q1053" t="s">
        <v>9896</v>
      </c>
      <c r="R1053">
        <v>2</v>
      </c>
      <c r="S1053" s="5">
        <f t="shared" si="32"/>
        <v>0.17205659844038376</v>
      </c>
      <c r="T1053">
        <v>601.42999999999995</v>
      </c>
      <c r="U1053">
        <v>3</v>
      </c>
      <c r="V1053">
        <v>2022</v>
      </c>
      <c r="W1053">
        <v>1</v>
      </c>
      <c r="X1053" t="s">
        <v>9899</v>
      </c>
      <c r="Y1053" t="s">
        <v>9901</v>
      </c>
      <c r="Z1053" t="s">
        <v>9898</v>
      </c>
      <c r="AD1053">
        <f t="shared" si="33"/>
        <v>2</v>
      </c>
    </row>
    <row r="1054" spans="1:30" x14ac:dyDescent="0.25">
      <c r="A1054" t="s">
        <v>1078</v>
      </c>
      <c r="B1054" s="2">
        <v>44654</v>
      </c>
      <c r="C1054" s="2">
        <v>44655</v>
      </c>
      <c r="D1054" t="s">
        <v>5213</v>
      </c>
      <c r="E1054" t="s">
        <v>5713</v>
      </c>
      <c r="F1054" t="s">
        <v>6026</v>
      </c>
      <c r="G1054" t="s">
        <v>6031</v>
      </c>
      <c r="H1054" t="s">
        <v>6043</v>
      </c>
      <c r="I1054" t="s">
        <v>6052</v>
      </c>
      <c r="J1054" t="s">
        <v>6055</v>
      </c>
      <c r="K1054" t="s">
        <v>6064</v>
      </c>
      <c r="L1054" t="s">
        <v>7059</v>
      </c>
      <c r="M1054">
        <v>1064.8</v>
      </c>
      <c r="N1054">
        <v>7</v>
      </c>
      <c r="O1054">
        <v>0.01</v>
      </c>
      <c r="P1054">
        <v>197.69</v>
      </c>
      <c r="Q1054" t="s">
        <v>9897</v>
      </c>
      <c r="R1054">
        <v>1</v>
      </c>
      <c r="S1054" s="5">
        <f t="shared" si="32"/>
        <v>0.18565927873779114</v>
      </c>
      <c r="T1054">
        <v>152.1142857142857</v>
      </c>
      <c r="U1054">
        <v>4</v>
      </c>
      <c r="V1054">
        <v>2022</v>
      </c>
      <c r="W1054">
        <v>2</v>
      </c>
      <c r="X1054" t="s">
        <v>9899</v>
      </c>
      <c r="Y1054" t="s">
        <v>9901</v>
      </c>
      <c r="Z1054" t="s">
        <v>9898</v>
      </c>
      <c r="AD1054">
        <f t="shared" si="33"/>
        <v>1</v>
      </c>
    </row>
    <row r="1055" spans="1:30" x14ac:dyDescent="0.25">
      <c r="A1055" t="s">
        <v>1079</v>
      </c>
      <c r="B1055" s="2">
        <v>45036</v>
      </c>
      <c r="C1055" s="2">
        <v>45037</v>
      </c>
      <c r="D1055" t="s">
        <v>5043</v>
      </c>
      <c r="E1055" t="s">
        <v>5543</v>
      </c>
      <c r="F1055" t="s">
        <v>6027</v>
      </c>
      <c r="G1055" t="s">
        <v>6029</v>
      </c>
      <c r="H1055" t="s">
        <v>6041</v>
      </c>
      <c r="I1055" t="s">
        <v>6046</v>
      </c>
      <c r="J1055" t="s">
        <v>6054</v>
      </c>
      <c r="K1055" t="s">
        <v>6062</v>
      </c>
      <c r="L1055" t="s">
        <v>7060</v>
      </c>
      <c r="M1055">
        <v>1384.57</v>
      </c>
      <c r="N1055">
        <v>3</v>
      </c>
      <c r="O1055">
        <v>0.26</v>
      </c>
      <c r="P1055">
        <v>-62.7</v>
      </c>
      <c r="Q1055" t="s">
        <v>9893</v>
      </c>
      <c r="R1055">
        <v>1</v>
      </c>
      <c r="S1055" s="5">
        <f t="shared" si="32"/>
        <v>-4.5284817669023598E-2</v>
      </c>
      <c r="T1055">
        <v>461.52333333333331</v>
      </c>
      <c r="U1055">
        <v>4</v>
      </c>
      <c r="V1055">
        <v>2023</v>
      </c>
      <c r="W1055">
        <v>2</v>
      </c>
      <c r="X1055" t="s">
        <v>9898</v>
      </c>
      <c r="Y1055" t="s">
        <v>9900</v>
      </c>
      <c r="Z1055" t="s">
        <v>9898</v>
      </c>
      <c r="AD1055">
        <f t="shared" si="33"/>
        <v>1</v>
      </c>
    </row>
    <row r="1056" spans="1:30" x14ac:dyDescent="0.25">
      <c r="A1056" t="s">
        <v>1080</v>
      </c>
      <c r="B1056" s="2">
        <v>44974</v>
      </c>
      <c r="C1056" s="2">
        <v>44978</v>
      </c>
      <c r="D1056" t="s">
        <v>5060</v>
      </c>
      <c r="E1056" t="s">
        <v>5560</v>
      </c>
      <c r="F1056" t="s">
        <v>6028</v>
      </c>
      <c r="G1056" t="s">
        <v>6031</v>
      </c>
      <c r="H1056" t="s">
        <v>6034</v>
      </c>
      <c r="I1056" t="s">
        <v>6050</v>
      </c>
      <c r="J1056" t="s">
        <v>6054</v>
      </c>
      <c r="K1056" t="s">
        <v>6059</v>
      </c>
      <c r="L1056" t="s">
        <v>7061</v>
      </c>
      <c r="M1056">
        <v>223.8</v>
      </c>
      <c r="N1056">
        <v>3</v>
      </c>
      <c r="O1056">
        <v>0.33</v>
      </c>
      <c r="P1056">
        <v>-14.42</v>
      </c>
      <c r="Q1056" t="s">
        <v>9895</v>
      </c>
      <c r="R1056">
        <v>4</v>
      </c>
      <c r="S1056" s="5">
        <f t="shared" si="32"/>
        <v>-6.44325290437891E-2</v>
      </c>
      <c r="T1056">
        <v>74.600000000000009</v>
      </c>
      <c r="U1056">
        <v>2</v>
      </c>
      <c r="V1056">
        <v>2023</v>
      </c>
      <c r="W1056">
        <v>1</v>
      </c>
      <c r="X1056" t="s">
        <v>9898</v>
      </c>
      <c r="Y1056" t="s">
        <v>9902</v>
      </c>
      <c r="Z1056" t="s">
        <v>9899</v>
      </c>
      <c r="AD1056">
        <f t="shared" si="33"/>
        <v>4</v>
      </c>
    </row>
    <row r="1057" spans="1:30" x14ac:dyDescent="0.25">
      <c r="A1057" t="s">
        <v>1081</v>
      </c>
      <c r="B1057" s="2">
        <v>44586</v>
      </c>
      <c r="C1057" s="2">
        <v>44589</v>
      </c>
      <c r="D1057" t="s">
        <v>5105</v>
      </c>
      <c r="E1057" t="s">
        <v>5605</v>
      </c>
      <c r="F1057" t="s">
        <v>6027</v>
      </c>
      <c r="G1057" t="s">
        <v>6031</v>
      </c>
      <c r="H1057" t="s">
        <v>6042</v>
      </c>
      <c r="I1057" t="s">
        <v>6052</v>
      </c>
      <c r="J1057" t="s">
        <v>6054</v>
      </c>
      <c r="K1057" t="s">
        <v>6060</v>
      </c>
      <c r="L1057" t="s">
        <v>7062</v>
      </c>
      <c r="M1057">
        <v>234.38</v>
      </c>
      <c r="N1057">
        <v>2</v>
      </c>
      <c r="O1057">
        <v>0.3</v>
      </c>
      <c r="P1057">
        <v>-22.11</v>
      </c>
      <c r="Q1057" t="s">
        <v>9897</v>
      </c>
      <c r="R1057">
        <v>3</v>
      </c>
      <c r="S1057" s="5">
        <f t="shared" si="32"/>
        <v>-9.4333987541599107E-2</v>
      </c>
      <c r="T1057">
        <v>117.19</v>
      </c>
      <c r="U1057">
        <v>1</v>
      </c>
      <c r="V1057">
        <v>2022</v>
      </c>
      <c r="W1057">
        <v>1</v>
      </c>
      <c r="X1057" t="s">
        <v>9898</v>
      </c>
      <c r="Y1057" t="s">
        <v>9900</v>
      </c>
      <c r="Z1057" t="s">
        <v>9899</v>
      </c>
      <c r="AD1057">
        <f t="shared" si="33"/>
        <v>3</v>
      </c>
    </row>
    <row r="1058" spans="1:30" x14ac:dyDescent="0.25">
      <c r="A1058" t="s">
        <v>1082</v>
      </c>
      <c r="B1058" s="2">
        <v>44743</v>
      </c>
      <c r="C1058" s="2">
        <v>44744</v>
      </c>
      <c r="D1058" t="s">
        <v>5067</v>
      </c>
      <c r="E1058" t="s">
        <v>5567</v>
      </c>
      <c r="F1058" t="s">
        <v>6028</v>
      </c>
      <c r="G1058" t="s">
        <v>6031</v>
      </c>
      <c r="H1058" t="s">
        <v>6034</v>
      </c>
      <c r="I1058" t="s">
        <v>6050</v>
      </c>
      <c r="J1058" t="s">
        <v>6055</v>
      </c>
      <c r="K1058" t="s">
        <v>6064</v>
      </c>
      <c r="L1058" t="s">
        <v>7063</v>
      </c>
      <c r="M1058">
        <v>537.59</v>
      </c>
      <c r="N1058">
        <v>4</v>
      </c>
      <c r="O1058">
        <v>0.17</v>
      </c>
      <c r="P1058">
        <v>-9.69</v>
      </c>
      <c r="Q1058" t="s">
        <v>9894</v>
      </c>
      <c r="R1058">
        <v>1</v>
      </c>
      <c r="S1058" s="5">
        <f t="shared" si="32"/>
        <v>-1.8024888855819488E-2</v>
      </c>
      <c r="T1058">
        <v>134.39750000000001</v>
      </c>
      <c r="U1058">
        <v>7</v>
      </c>
      <c r="V1058">
        <v>2022</v>
      </c>
      <c r="W1058">
        <v>3</v>
      </c>
      <c r="X1058" t="s">
        <v>9898</v>
      </c>
      <c r="Y1058" t="s">
        <v>9900</v>
      </c>
      <c r="Z1058" t="s">
        <v>9899</v>
      </c>
      <c r="AD1058">
        <f t="shared" si="33"/>
        <v>1</v>
      </c>
    </row>
    <row r="1059" spans="1:30" x14ac:dyDescent="0.25">
      <c r="A1059" t="s">
        <v>1083</v>
      </c>
      <c r="B1059" s="2">
        <v>45047</v>
      </c>
      <c r="C1059" s="2">
        <v>45051</v>
      </c>
      <c r="D1059" t="s">
        <v>5154</v>
      </c>
      <c r="E1059" t="s">
        <v>5654</v>
      </c>
      <c r="F1059" t="s">
        <v>6027</v>
      </c>
      <c r="G1059" t="s">
        <v>6030</v>
      </c>
      <c r="H1059" t="s">
        <v>6035</v>
      </c>
      <c r="I1059" t="s">
        <v>6051</v>
      </c>
      <c r="J1059" t="s">
        <v>6055</v>
      </c>
      <c r="K1059" t="s">
        <v>6064</v>
      </c>
      <c r="L1059" t="s">
        <v>7064</v>
      </c>
      <c r="M1059">
        <v>1744.88</v>
      </c>
      <c r="N1059">
        <v>7</v>
      </c>
      <c r="O1059">
        <v>0.15</v>
      </c>
      <c r="P1059">
        <v>42.42</v>
      </c>
      <c r="Q1059" t="s">
        <v>9893</v>
      </c>
      <c r="R1059">
        <v>4</v>
      </c>
      <c r="S1059" s="5">
        <f t="shared" si="32"/>
        <v>2.4311127412773369E-2</v>
      </c>
      <c r="T1059">
        <v>249.26857142857139</v>
      </c>
      <c r="U1059">
        <v>5</v>
      </c>
      <c r="V1059">
        <v>2023</v>
      </c>
      <c r="W1059">
        <v>2</v>
      </c>
      <c r="X1059" t="s">
        <v>9899</v>
      </c>
      <c r="Y1059" t="s">
        <v>9901</v>
      </c>
      <c r="Z1059" t="s">
        <v>9898</v>
      </c>
      <c r="AD1059">
        <f t="shared" si="33"/>
        <v>4</v>
      </c>
    </row>
    <row r="1060" spans="1:30" x14ac:dyDescent="0.25">
      <c r="A1060" t="s">
        <v>1084</v>
      </c>
      <c r="B1060" s="2">
        <v>45271</v>
      </c>
      <c r="C1060" s="2">
        <v>45274</v>
      </c>
      <c r="D1060" t="s">
        <v>5362</v>
      </c>
      <c r="E1060" t="s">
        <v>5862</v>
      </c>
      <c r="F1060" t="s">
        <v>6028</v>
      </c>
      <c r="G1060" t="s">
        <v>6030</v>
      </c>
      <c r="H1060" t="s">
        <v>6038</v>
      </c>
      <c r="I1060" t="s">
        <v>6047</v>
      </c>
      <c r="J1060" t="s">
        <v>6053</v>
      </c>
      <c r="K1060" t="s">
        <v>6057</v>
      </c>
      <c r="L1060" t="s">
        <v>7065</v>
      </c>
      <c r="M1060">
        <v>1368.43</v>
      </c>
      <c r="N1060">
        <v>1</v>
      </c>
      <c r="O1060">
        <v>0.17</v>
      </c>
      <c r="P1060">
        <v>47.45</v>
      </c>
      <c r="Q1060" t="s">
        <v>9897</v>
      </c>
      <c r="R1060">
        <v>3</v>
      </c>
      <c r="S1060" s="5">
        <f t="shared" si="32"/>
        <v>3.4674773280328551E-2</v>
      </c>
      <c r="T1060">
        <v>1368.43</v>
      </c>
      <c r="U1060">
        <v>12</v>
      </c>
      <c r="V1060">
        <v>2023</v>
      </c>
      <c r="W1060">
        <v>4</v>
      </c>
      <c r="X1060" t="s">
        <v>9899</v>
      </c>
      <c r="Y1060" t="s">
        <v>9900</v>
      </c>
      <c r="Z1060" t="s">
        <v>9898</v>
      </c>
      <c r="AD1060">
        <f t="shared" si="33"/>
        <v>3</v>
      </c>
    </row>
    <row r="1061" spans="1:30" x14ac:dyDescent="0.25">
      <c r="A1061" t="s">
        <v>1085</v>
      </c>
      <c r="B1061" s="2">
        <v>45343</v>
      </c>
      <c r="C1061" s="2">
        <v>45349</v>
      </c>
      <c r="D1061" t="s">
        <v>5397</v>
      </c>
      <c r="E1061" t="s">
        <v>5897</v>
      </c>
      <c r="F1061" t="s">
        <v>6027</v>
      </c>
      <c r="G1061" t="s">
        <v>6031</v>
      </c>
      <c r="H1061" t="s">
        <v>6037</v>
      </c>
      <c r="I1061" t="s">
        <v>6050</v>
      </c>
      <c r="J1061" t="s">
        <v>6055</v>
      </c>
      <c r="K1061" t="s">
        <v>6064</v>
      </c>
      <c r="L1061" t="s">
        <v>6889</v>
      </c>
      <c r="M1061">
        <v>865.63</v>
      </c>
      <c r="N1061">
        <v>7</v>
      </c>
      <c r="O1061">
        <v>0.09</v>
      </c>
      <c r="P1061">
        <v>151.78</v>
      </c>
      <c r="Q1061" t="s">
        <v>9893</v>
      </c>
      <c r="R1061">
        <v>6</v>
      </c>
      <c r="S1061" s="5">
        <f t="shared" si="32"/>
        <v>0.17534050344835553</v>
      </c>
      <c r="T1061">
        <v>123.6614285714286</v>
      </c>
      <c r="U1061">
        <v>2</v>
      </c>
      <c r="V1061">
        <v>2024</v>
      </c>
      <c r="W1061">
        <v>1</v>
      </c>
      <c r="X1061" t="s">
        <v>9899</v>
      </c>
      <c r="Y1061" t="s">
        <v>9901</v>
      </c>
      <c r="Z1061" t="s">
        <v>9899</v>
      </c>
      <c r="AD1061">
        <f t="shared" si="33"/>
        <v>6</v>
      </c>
    </row>
    <row r="1062" spans="1:30" x14ac:dyDescent="0.25">
      <c r="A1062" t="s">
        <v>1086</v>
      </c>
      <c r="B1062" s="2">
        <v>44645</v>
      </c>
      <c r="C1062" s="2">
        <v>44652</v>
      </c>
      <c r="D1062" t="s">
        <v>5364</v>
      </c>
      <c r="E1062" t="s">
        <v>5864</v>
      </c>
      <c r="F1062" t="s">
        <v>6028</v>
      </c>
      <c r="G1062" t="s">
        <v>6031</v>
      </c>
      <c r="H1062" t="s">
        <v>6043</v>
      </c>
      <c r="I1062" t="s">
        <v>6050</v>
      </c>
      <c r="J1062" t="s">
        <v>6053</v>
      </c>
      <c r="K1062" t="s">
        <v>6057</v>
      </c>
      <c r="L1062" t="s">
        <v>7066</v>
      </c>
      <c r="M1062">
        <v>412.22</v>
      </c>
      <c r="N1062">
        <v>6</v>
      </c>
      <c r="O1062">
        <v>0.25</v>
      </c>
      <c r="P1062">
        <v>0.52</v>
      </c>
      <c r="Q1062" t="s">
        <v>9895</v>
      </c>
      <c r="R1062">
        <v>7</v>
      </c>
      <c r="S1062" s="5">
        <f t="shared" si="32"/>
        <v>1.2614623259424578E-3</v>
      </c>
      <c r="T1062">
        <v>68.703333333333333</v>
      </c>
      <c r="U1062">
        <v>3</v>
      </c>
      <c r="V1062">
        <v>2022</v>
      </c>
      <c r="W1062">
        <v>1</v>
      </c>
      <c r="X1062" t="s">
        <v>9899</v>
      </c>
      <c r="Y1062" t="s">
        <v>9900</v>
      </c>
      <c r="Z1062" t="s">
        <v>9899</v>
      </c>
      <c r="AD1062">
        <f t="shared" si="33"/>
        <v>7</v>
      </c>
    </row>
    <row r="1063" spans="1:30" x14ac:dyDescent="0.25">
      <c r="A1063" t="s">
        <v>1087</v>
      </c>
      <c r="B1063" s="2">
        <v>45144</v>
      </c>
      <c r="C1063" s="2">
        <v>45145</v>
      </c>
      <c r="D1063" t="s">
        <v>5080</v>
      </c>
      <c r="E1063" t="s">
        <v>5580</v>
      </c>
      <c r="F1063" t="s">
        <v>6028</v>
      </c>
      <c r="G1063" t="s">
        <v>6029</v>
      </c>
      <c r="H1063" t="s">
        <v>6032</v>
      </c>
      <c r="I1063" t="s">
        <v>6050</v>
      </c>
      <c r="J1063" t="s">
        <v>6055</v>
      </c>
      <c r="K1063" t="s">
        <v>6063</v>
      </c>
      <c r="L1063" t="s">
        <v>7067</v>
      </c>
      <c r="M1063">
        <v>1401.9</v>
      </c>
      <c r="N1063">
        <v>4</v>
      </c>
      <c r="O1063">
        <v>0.34</v>
      </c>
      <c r="P1063">
        <v>-289.02</v>
      </c>
      <c r="Q1063" t="s">
        <v>9897</v>
      </c>
      <c r="R1063">
        <v>1</v>
      </c>
      <c r="S1063" s="5">
        <f t="shared" si="32"/>
        <v>-0.20616306441258289</v>
      </c>
      <c r="T1063">
        <v>350.47500000000002</v>
      </c>
      <c r="U1063">
        <v>8</v>
      </c>
      <c r="V1063">
        <v>2023</v>
      </c>
      <c r="W1063">
        <v>3</v>
      </c>
      <c r="X1063" t="s">
        <v>9898</v>
      </c>
      <c r="Y1063" t="s">
        <v>9902</v>
      </c>
      <c r="Z1063" t="s">
        <v>9898</v>
      </c>
      <c r="AD1063">
        <f t="shared" si="33"/>
        <v>1</v>
      </c>
    </row>
    <row r="1064" spans="1:30" x14ac:dyDescent="0.25">
      <c r="A1064" t="s">
        <v>1088</v>
      </c>
      <c r="B1064" s="2">
        <v>45228</v>
      </c>
      <c r="C1064" s="2">
        <v>45230</v>
      </c>
      <c r="D1064" t="s">
        <v>5467</v>
      </c>
      <c r="E1064" t="s">
        <v>5967</v>
      </c>
      <c r="F1064" t="s">
        <v>6027</v>
      </c>
      <c r="G1064" t="s">
        <v>6030</v>
      </c>
      <c r="H1064" t="s">
        <v>6033</v>
      </c>
      <c r="I1064" t="s">
        <v>6051</v>
      </c>
      <c r="J1064" t="s">
        <v>6053</v>
      </c>
      <c r="K1064" t="s">
        <v>6056</v>
      </c>
      <c r="L1064" t="s">
        <v>7068</v>
      </c>
      <c r="M1064">
        <v>1058.8399999999999</v>
      </c>
      <c r="N1064">
        <v>3</v>
      </c>
      <c r="O1064">
        <v>0.17</v>
      </c>
      <c r="P1064">
        <v>-25.02</v>
      </c>
      <c r="Q1064" t="s">
        <v>9897</v>
      </c>
      <c r="R1064">
        <v>2</v>
      </c>
      <c r="S1064" s="5">
        <f t="shared" si="32"/>
        <v>-2.3629632427940011E-2</v>
      </c>
      <c r="T1064">
        <v>352.94666666666672</v>
      </c>
      <c r="U1064">
        <v>10</v>
      </c>
      <c r="V1064">
        <v>2023</v>
      </c>
      <c r="W1064">
        <v>4</v>
      </c>
      <c r="X1064" t="s">
        <v>9898</v>
      </c>
      <c r="Y1064" t="s">
        <v>9900</v>
      </c>
      <c r="Z1064" t="s">
        <v>9898</v>
      </c>
      <c r="AD1064">
        <f t="shared" si="33"/>
        <v>2</v>
      </c>
    </row>
    <row r="1065" spans="1:30" x14ac:dyDescent="0.25">
      <c r="A1065" t="s">
        <v>1089</v>
      </c>
      <c r="B1065" s="2">
        <v>44943</v>
      </c>
      <c r="C1065" s="2">
        <v>44946</v>
      </c>
      <c r="D1065" t="s">
        <v>5468</v>
      </c>
      <c r="E1065" t="s">
        <v>5968</v>
      </c>
      <c r="F1065" t="s">
        <v>6027</v>
      </c>
      <c r="G1065" t="s">
        <v>6031</v>
      </c>
      <c r="H1065" t="s">
        <v>6037</v>
      </c>
      <c r="I1065" t="s">
        <v>6052</v>
      </c>
      <c r="J1065" t="s">
        <v>6055</v>
      </c>
      <c r="K1065" t="s">
        <v>6064</v>
      </c>
      <c r="L1065" t="s">
        <v>7069</v>
      </c>
      <c r="M1065">
        <v>835.51</v>
      </c>
      <c r="N1065">
        <v>6</v>
      </c>
      <c r="O1065">
        <v>0.23</v>
      </c>
      <c r="P1065">
        <v>8.67</v>
      </c>
      <c r="Q1065" t="s">
        <v>9894</v>
      </c>
      <c r="R1065">
        <v>3</v>
      </c>
      <c r="S1065" s="5">
        <f t="shared" si="32"/>
        <v>1.0376895548826466E-2</v>
      </c>
      <c r="T1065">
        <v>139.25166666666669</v>
      </c>
      <c r="U1065">
        <v>1</v>
      </c>
      <c r="V1065">
        <v>2023</v>
      </c>
      <c r="W1065">
        <v>1</v>
      </c>
      <c r="X1065" t="s">
        <v>9899</v>
      </c>
      <c r="Y1065" t="s">
        <v>9900</v>
      </c>
      <c r="Z1065" t="s">
        <v>9899</v>
      </c>
      <c r="AD1065">
        <f t="shared" si="33"/>
        <v>3</v>
      </c>
    </row>
    <row r="1066" spans="1:30" x14ac:dyDescent="0.25">
      <c r="A1066" t="s">
        <v>1090</v>
      </c>
      <c r="B1066" s="2">
        <v>45350</v>
      </c>
      <c r="C1066" s="2">
        <v>45352</v>
      </c>
      <c r="D1066" t="s">
        <v>5422</v>
      </c>
      <c r="E1066" t="s">
        <v>5922</v>
      </c>
      <c r="F1066" t="s">
        <v>6028</v>
      </c>
      <c r="G1066" t="s">
        <v>6030</v>
      </c>
      <c r="H1066" t="s">
        <v>6038</v>
      </c>
      <c r="I1066" t="s">
        <v>6051</v>
      </c>
      <c r="J1066" t="s">
        <v>6054</v>
      </c>
      <c r="K1066" t="s">
        <v>6060</v>
      </c>
      <c r="L1066" t="s">
        <v>6541</v>
      </c>
      <c r="M1066">
        <v>1051.33</v>
      </c>
      <c r="N1066">
        <v>7</v>
      </c>
      <c r="O1066">
        <v>0.11</v>
      </c>
      <c r="P1066">
        <v>110.83</v>
      </c>
      <c r="Q1066" t="s">
        <v>9896</v>
      </c>
      <c r="R1066">
        <v>2</v>
      </c>
      <c r="S1066" s="5">
        <f t="shared" si="32"/>
        <v>0.10541885040853015</v>
      </c>
      <c r="T1066">
        <v>150.19</v>
      </c>
      <c r="U1066">
        <v>2</v>
      </c>
      <c r="V1066">
        <v>2024</v>
      </c>
      <c r="W1066">
        <v>1</v>
      </c>
      <c r="X1066" t="s">
        <v>9899</v>
      </c>
      <c r="Y1066" t="s">
        <v>9901</v>
      </c>
      <c r="Z1066" t="s">
        <v>9898</v>
      </c>
      <c r="AD1066">
        <f t="shared" si="33"/>
        <v>2</v>
      </c>
    </row>
    <row r="1067" spans="1:30" x14ac:dyDescent="0.25">
      <c r="A1067" t="s">
        <v>1091</v>
      </c>
      <c r="B1067" s="2">
        <v>45425</v>
      </c>
      <c r="C1067" s="2">
        <v>45431</v>
      </c>
      <c r="D1067" t="s">
        <v>5230</v>
      </c>
      <c r="E1067" t="s">
        <v>5730</v>
      </c>
      <c r="F1067" t="s">
        <v>6027</v>
      </c>
      <c r="G1067" t="s">
        <v>6029</v>
      </c>
      <c r="H1067" t="s">
        <v>6036</v>
      </c>
      <c r="I1067" t="s">
        <v>6046</v>
      </c>
      <c r="J1067" t="s">
        <v>6054</v>
      </c>
      <c r="K1067" t="s">
        <v>6059</v>
      </c>
      <c r="L1067" t="s">
        <v>7070</v>
      </c>
      <c r="M1067">
        <v>519.01</v>
      </c>
      <c r="N1067">
        <v>4</v>
      </c>
      <c r="O1067">
        <v>0.04</v>
      </c>
      <c r="P1067">
        <v>128.43</v>
      </c>
      <c r="Q1067" t="s">
        <v>9893</v>
      </c>
      <c r="R1067">
        <v>6</v>
      </c>
      <c r="S1067" s="5">
        <f t="shared" si="32"/>
        <v>0.24745187953989328</v>
      </c>
      <c r="T1067">
        <v>129.7525</v>
      </c>
      <c r="U1067">
        <v>5</v>
      </c>
      <c r="V1067">
        <v>2024</v>
      </c>
      <c r="W1067">
        <v>2</v>
      </c>
      <c r="X1067" t="s">
        <v>9899</v>
      </c>
      <c r="Y1067" t="s">
        <v>9901</v>
      </c>
      <c r="Z1067" t="s">
        <v>9899</v>
      </c>
      <c r="AD1067">
        <f t="shared" si="33"/>
        <v>6</v>
      </c>
    </row>
    <row r="1068" spans="1:30" x14ac:dyDescent="0.25">
      <c r="A1068" t="s">
        <v>1092</v>
      </c>
      <c r="B1068" s="2">
        <v>45008</v>
      </c>
      <c r="C1068" s="2">
        <v>45012</v>
      </c>
      <c r="D1068" t="s">
        <v>5464</v>
      </c>
      <c r="E1068" t="s">
        <v>5964</v>
      </c>
      <c r="F1068" t="s">
        <v>6028</v>
      </c>
      <c r="G1068" t="s">
        <v>6031</v>
      </c>
      <c r="H1068" t="s">
        <v>6043</v>
      </c>
      <c r="I1068" t="s">
        <v>6052</v>
      </c>
      <c r="J1068" t="s">
        <v>6054</v>
      </c>
      <c r="K1068" t="s">
        <v>6060</v>
      </c>
      <c r="L1068" t="s">
        <v>7071</v>
      </c>
      <c r="M1068">
        <v>1842.84</v>
      </c>
      <c r="N1068">
        <v>8</v>
      </c>
      <c r="O1068">
        <v>0.2</v>
      </c>
      <c r="P1068">
        <v>-52.74</v>
      </c>
      <c r="Q1068" t="s">
        <v>9893</v>
      </c>
      <c r="R1068">
        <v>4</v>
      </c>
      <c r="S1068" s="5">
        <f t="shared" si="32"/>
        <v>-2.8618870873217427E-2</v>
      </c>
      <c r="T1068">
        <v>230.35499999999999</v>
      </c>
      <c r="U1068">
        <v>3</v>
      </c>
      <c r="V1068">
        <v>2023</v>
      </c>
      <c r="W1068">
        <v>1</v>
      </c>
      <c r="X1068" t="s">
        <v>9898</v>
      </c>
      <c r="Y1068" t="s">
        <v>9900</v>
      </c>
      <c r="Z1068" t="s">
        <v>9898</v>
      </c>
      <c r="AD1068">
        <f t="shared" si="33"/>
        <v>4</v>
      </c>
    </row>
    <row r="1069" spans="1:30" x14ac:dyDescent="0.25">
      <c r="A1069" t="s">
        <v>1093</v>
      </c>
      <c r="B1069" s="2">
        <v>45080</v>
      </c>
      <c r="C1069" s="2">
        <v>45084</v>
      </c>
      <c r="D1069" t="s">
        <v>5419</v>
      </c>
      <c r="E1069" t="s">
        <v>5919</v>
      </c>
      <c r="F1069" t="s">
        <v>6028</v>
      </c>
      <c r="G1069" t="s">
        <v>6030</v>
      </c>
      <c r="H1069" t="s">
        <v>6038</v>
      </c>
      <c r="I1069" t="s">
        <v>6047</v>
      </c>
      <c r="J1069" t="s">
        <v>6053</v>
      </c>
      <c r="K1069" t="s">
        <v>6056</v>
      </c>
      <c r="L1069" t="s">
        <v>7072</v>
      </c>
      <c r="M1069">
        <v>1522.73</v>
      </c>
      <c r="N1069">
        <v>5</v>
      </c>
      <c r="O1069">
        <v>0.2</v>
      </c>
      <c r="P1069">
        <v>-26.27</v>
      </c>
      <c r="Q1069" t="s">
        <v>9896</v>
      </c>
      <c r="R1069">
        <v>4</v>
      </c>
      <c r="S1069" s="5">
        <f t="shared" si="32"/>
        <v>-1.7251909399565255E-2</v>
      </c>
      <c r="T1069">
        <v>304.54599999999999</v>
      </c>
      <c r="U1069">
        <v>6</v>
      </c>
      <c r="V1069">
        <v>2023</v>
      </c>
      <c r="W1069">
        <v>2</v>
      </c>
      <c r="X1069" t="s">
        <v>9898</v>
      </c>
      <c r="Y1069" t="s">
        <v>9900</v>
      </c>
      <c r="Z1069" t="s">
        <v>9898</v>
      </c>
      <c r="AD1069">
        <f t="shared" si="33"/>
        <v>4</v>
      </c>
    </row>
    <row r="1070" spans="1:30" x14ac:dyDescent="0.25">
      <c r="A1070" t="s">
        <v>1094</v>
      </c>
      <c r="B1070" s="2">
        <v>45436</v>
      </c>
      <c r="C1070" s="2">
        <v>45440</v>
      </c>
      <c r="D1070" t="s">
        <v>5063</v>
      </c>
      <c r="E1070" t="s">
        <v>5563</v>
      </c>
      <c r="F1070" t="s">
        <v>6026</v>
      </c>
      <c r="G1070" t="s">
        <v>6030</v>
      </c>
      <c r="H1070" t="s">
        <v>6035</v>
      </c>
      <c r="I1070" t="s">
        <v>6047</v>
      </c>
      <c r="J1070" t="s">
        <v>6055</v>
      </c>
      <c r="K1070" t="s">
        <v>6061</v>
      </c>
      <c r="L1070" t="s">
        <v>7073</v>
      </c>
      <c r="M1070">
        <v>1253.77</v>
      </c>
      <c r="N1070">
        <v>2</v>
      </c>
      <c r="O1070">
        <v>0.27</v>
      </c>
      <c r="P1070">
        <v>-184.2</v>
      </c>
      <c r="Q1070" t="s">
        <v>9895</v>
      </c>
      <c r="R1070">
        <v>4</v>
      </c>
      <c r="S1070" s="5">
        <f t="shared" si="32"/>
        <v>-0.14691689863372071</v>
      </c>
      <c r="T1070">
        <v>626.88499999999999</v>
      </c>
      <c r="U1070">
        <v>5</v>
      </c>
      <c r="V1070">
        <v>2024</v>
      </c>
      <c r="W1070">
        <v>2</v>
      </c>
      <c r="X1070" t="s">
        <v>9898</v>
      </c>
      <c r="Y1070" t="s">
        <v>9900</v>
      </c>
      <c r="Z1070" t="s">
        <v>9898</v>
      </c>
      <c r="AD1070">
        <f t="shared" si="33"/>
        <v>4</v>
      </c>
    </row>
    <row r="1071" spans="1:30" x14ac:dyDescent="0.25">
      <c r="A1071" t="s">
        <v>1095</v>
      </c>
      <c r="B1071" s="2">
        <v>45403</v>
      </c>
      <c r="C1071" s="2">
        <v>45406</v>
      </c>
      <c r="D1071" t="s">
        <v>5212</v>
      </c>
      <c r="E1071" t="s">
        <v>5712</v>
      </c>
      <c r="F1071" t="s">
        <v>6027</v>
      </c>
      <c r="G1071" t="s">
        <v>6029</v>
      </c>
      <c r="H1071" t="s">
        <v>6032</v>
      </c>
      <c r="I1071" t="s">
        <v>6050</v>
      </c>
      <c r="J1071" t="s">
        <v>6055</v>
      </c>
      <c r="K1071" t="s">
        <v>6063</v>
      </c>
      <c r="L1071" t="s">
        <v>7074</v>
      </c>
      <c r="M1071">
        <v>657.87</v>
      </c>
      <c r="N1071">
        <v>3</v>
      </c>
      <c r="O1071">
        <v>0.06</v>
      </c>
      <c r="P1071">
        <v>33.909999999999997</v>
      </c>
      <c r="Q1071" t="s">
        <v>9895</v>
      </c>
      <c r="R1071">
        <v>3</v>
      </c>
      <c r="S1071" s="5">
        <f t="shared" si="32"/>
        <v>5.1545138097192446E-2</v>
      </c>
      <c r="T1071">
        <v>219.29</v>
      </c>
      <c r="U1071">
        <v>4</v>
      </c>
      <c r="V1071">
        <v>2024</v>
      </c>
      <c r="W1071">
        <v>2</v>
      </c>
      <c r="X1071" t="s">
        <v>9899</v>
      </c>
      <c r="Y1071" t="s">
        <v>9901</v>
      </c>
      <c r="Z1071" t="s">
        <v>9899</v>
      </c>
      <c r="AD1071">
        <f t="shared" si="33"/>
        <v>3</v>
      </c>
    </row>
    <row r="1072" spans="1:30" x14ac:dyDescent="0.25">
      <c r="A1072" t="s">
        <v>1096</v>
      </c>
      <c r="B1072" s="2">
        <v>45147</v>
      </c>
      <c r="C1072" s="2">
        <v>45153</v>
      </c>
      <c r="D1072" t="s">
        <v>5192</v>
      </c>
      <c r="E1072" t="s">
        <v>5692</v>
      </c>
      <c r="F1072" t="s">
        <v>6027</v>
      </c>
      <c r="G1072" t="s">
        <v>6031</v>
      </c>
      <c r="H1072" t="s">
        <v>6040</v>
      </c>
      <c r="I1072" t="s">
        <v>6050</v>
      </c>
      <c r="J1072" t="s">
        <v>6055</v>
      </c>
      <c r="K1072" t="s">
        <v>6064</v>
      </c>
      <c r="L1072" t="s">
        <v>7075</v>
      </c>
      <c r="M1072">
        <v>1729.13</v>
      </c>
      <c r="N1072">
        <v>7</v>
      </c>
      <c r="O1072">
        <v>0.34</v>
      </c>
      <c r="P1072">
        <v>-167.96</v>
      </c>
      <c r="Q1072" t="s">
        <v>9894</v>
      </c>
      <c r="R1072">
        <v>6</v>
      </c>
      <c r="S1072" s="5">
        <f t="shared" si="32"/>
        <v>-9.7135553717765583E-2</v>
      </c>
      <c r="T1072">
        <v>247.01857142857139</v>
      </c>
      <c r="U1072">
        <v>8</v>
      </c>
      <c r="V1072">
        <v>2023</v>
      </c>
      <c r="W1072">
        <v>3</v>
      </c>
      <c r="X1072" t="s">
        <v>9898</v>
      </c>
      <c r="Y1072" t="s">
        <v>9902</v>
      </c>
      <c r="Z1072" t="s">
        <v>9898</v>
      </c>
      <c r="AD1072">
        <f t="shared" si="33"/>
        <v>6</v>
      </c>
    </row>
    <row r="1073" spans="1:30" x14ac:dyDescent="0.25">
      <c r="A1073" t="s">
        <v>1097</v>
      </c>
      <c r="B1073" s="2">
        <v>45291</v>
      </c>
      <c r="C1073" s="2">
        <v>45297</v>
      </c>
      <c r="D1073" t="s">
        <v>5028</v>
      </c>
      <c r="E1073" t="s">
        <v>5528</v>
      </c>
      <c r="F1073" t="s">
        <v>6028</v>
      </c>
      <c r="G1073" t="s">
        <v>6030</v>
      </c>
      <c r="H1073" t="s">
        <v>6038</v>
      </c>
      <c r="I1073" t="s">
        <v>6047</v>
      </c>
      <c r="J1073" t="s">
        <v>6053</v>
      </c>
      <c r="K1073" t="s">
        <v>6057</v>
      </c>
      <c r="L1073" t="s">
        <v>7076</v>
      </c>
      <c r="M1073">
        <v>1449.12</v>
      </c>
      <c r="N1073">
        <v>2</v>
      </c>
      <c r="O1073">
        <v>0.15</v>
      </c>
      <c r="P1073">
        <v>159.94999999999999</v>
      </c>
      <c r="Q1073" t="s">
        <v>9895</v>
      </c>
      <c r="R1073">
        <v>6</v>
      </c>
      <c r="S1073" s="5">
        <f t="shared" si="32"/>
        <v>0.11037733245003864</v>
      </c>
      <c r="T1073">
        <v>724.56</v>
      </c>
      <c r="U1073">
        <v>12</v>
      </c>
      <c r="V1073">
        <v>2023</v>
      </c>
      <c r="W1073">
        <v>4</v>
      </c>
      <c r="X1073" t="s">
        <v>9899</v>
      </c>
      <c r="Y1073" t="s">
        <v>9901</v>
      </c>
      <c r="Z1073" t="s">
        <v>9898</v>
      </c>
      <c r="AD1073">
        <f t="shared" si="33"/>
        <v>6</v>
      </c>
    </row>
    <row r="1074" spans="1:30" x14ac:dyDescent="0.25">
      <c r="A1074" t="s">
        <v>1098</v>
      </c>
      <c r="B1074" s="2">
        <v>44937</v>
      </c>
      <c r="C1074" s="2">
        <v>44938</v>
      </c>
      <c r="D1074" t="s">
        <v>5469</v>
      </c>
      <c r="E1074" t="s">
        <v>5969</v>
      </c>
      <c r="F1074" t="s">
        <v>6028</v>
      </c>
      <c r="G1074" t="s">
        <v>6031</v>
      </c>
      <c r="H1074" t="s">
        <v>6042</v>
      </c>
      <c r="I1074" t="s">
        <v>6052</v>
      </c>
      <c r="J1074" t="s">
        <v>6054</v>
      </c>
      <c r="K1074" t="s">
        <v>6059</v>
      </c>
      <c r="L1074" t="s">
        <v>7077</v>
      </c>
      <c r="M1074">
        <v>1706.23</v>
      </c>
      <c r="N1074">
        <v>2</v>
      </c>
      <c r="O1074">
        <v>0.2</v>
      </c>
      <c r="P1074">
        <v>-88.72</v>
      </c>
      <c r="Q1074" t="s">
        <v>9893</v>
      </c>
      <c r="R1074">
        <v>1</v>
      </c>
      <c r="S1074" s="5">
        <f t="shared" si="32"/>
        <v>-5.1997679093674358E-2</v>
      </c>
      <c r="T1074">
        <v>853.11500000000001</v>
      </c>
      <c r="U1074">
        <v>1</v>
      </c>
      <c r="V1074">
        <v>2023</v>
      </c>
      <c r="W1074">
        <v>1</v>
      </c>
      <c r="X1074" t="s">
        <v>9898</v>
      </c>
      <c r="Y1074" t="s">
        <v>9900</v>
      </c>
      <c r="Z1074" t="s">
        <v>9898</v>
      </c>
      <c r="AD1074">
        <f t="shared" si="33"/>
        <v>1</v>
      </c>
    </row>
    <row r="1075" spans="1:30" x14ac:dyDescent="0.25">
      <c r="A1075" t="s">
        <v>1099</v>
      </c>
      <c r="B1075" s="2">
        <v>44980</v>
      </c>
      <c r="C1075" s="2">
        <v>44983</v>
      </c>
      <c r="D1075" t="s">
        <v>5470</v>
      </c>
      <c r="E1075" t="s">
        <v>5970</v>
      </c>
      <c r="F1075" t="s">
        <v>6026</v>
      </c>
      <c r="G1075" t="s">
        <v>6030</v>
      </c>
      <c r="H1075" t="s">
        <v>6035</v>
      </c>
      <c r="I1075" t="s">
        <v>6047</v>
      </c>
      <c r="J1075" t="s">
        <v>6054</v>
      </c>
      <c r="K1075" t="s">
        <v>6060</v>
      </c>
      <c r="L1075" t="s">
        <v>7078</v>
      </c>
      <c r="M1075">
        <v>1103.5899999999999</v>
      </c>
      <c r="N1075">
        <v>5</v>
      </c>
      <c r="O1075">
        <v>0.14000000000000001</v>
      </c>
      <c r="P1075">
        <v>-10.54</v>
      </c>
      <c r="Q1075" t="s">
        <v>9894</v>
      </c>
      <c r="R1075">
        <v>3</v>
      </c>
      <c r="S1075" s="5">
        <f t="shared" si="32"/>
        <v>-9.5506483386040113E-3</v>
      </c>
      <c r="T1075">
        <v>220.71799999999999</v>
      </c>
      <c r="U1075">
        <v>2</v>
      </c>
      <c r="V1075">
        <v>2023</v>
      </c>
      <c r="W1075">
        <v>1</v>
      </c>
      <c r="X1075" t="s">
        <v>9898</v>
      </c>
      <c r="Y1075" t="s">
        <v>9901</v>
      </c>
      <c r="Z1075" t="s">
        <v>9898</v>
      </c>
      <c r="AD1075">
        <f t="shared" si="33"/>
        <v>3</v>
      </c>
    </row>
    <row r="1076" spans="1:30" x14ac:dyDescent="0.25">
      <c r="A1076" t="s">
        <v>1100</v>
      </c>
      <c r="B1076" s="2">
        <v>44780</v>
      </c>
      <c r="C1076" s="2">
        <v>44787</v>
      </c>
      <c r="D1076" t="s">
        <v>5379</v>
      </c>
      <c r="E1076" t="s">
        <v>5879</v>
      </c>
      <c r="F1076" t="s">
        <v>6028</v>
      </c>
      <c r="G1076" t="s">
        <v>6030</v>
      </c>
      <c r="H1076" t="s">
        <v>6035</v>
      </c>
      <c r="I1076" t="s">
        <v>6051</v>
      </c>
      <c r="J1076" t="s">
        <v>6055</v>
      </c>
      <c r="K1076" t="s">
        <v>6063</v>
      </c>
      <c r="L1076" t="s">
        <v>7079</v>
      </c>
      <c r="M1076">
        <v>1460.38</v>
      </c>
      <c r="N1076">
        <v>1</v>
      </c>
      <c r="O1076">
        <v>0.02</v>
      </c>
      <c r="P1076">
        <v>140.57</v>
      </c>
      <c r="Q1076" t="s">
        <v>9894</v>
      </c>
      <c r="R1076">
        <v>7</v>
      </c>
      <c r="S1076" s="5">
        <f t="shared" si="32"/>
        <v>9.6255769046412559E-2</v>
      </c>
      <c r="T1076">
        <v>1460.38</v>
      </c>
      <c r="U1076">
        <v>8</v>
      </c>
      <c r="V1076">
        <v>2022</v>
      </c>
      <c r="W1076">
        <v>3</v>
      </c>
      <c r="X1076" t="s">
        <v>9899</v>
      </c>
      <c r="Y1076" t="s">
        <v>9901</v>
      </c>
      <c r="Z1076" t="s">
        <v>9898</v>
      </c>
      <c r="AD1076">
        <f t="shared" si="33"/>
        <v>7</v>
      </c>
    </row>
    <row r="1077" spans="1:30" x14ac:dyDescent="0.25">
      <c r="A1077" t="s">
        <v>1101</v>
      </c>
      <c r="B1077" s="2">
        <v>45303</v>
      </c>
      <c r="C1077" s="2">
        <v>45304</v>
      </c>
      <c r="D1077" t="s">
        <v>5376</v>
      </c>
      <c r="E1077" t="s">
        <v>5876</v>
      </c>
      <c r="F1077" t="s">
        <v>6026</v>
      </c>
      <c r="G1077" t="s">
        <v>6030</v>
      </c>
      <c r="H1077" t="s">
        <v>6038</v>
      </c>
      <c r="I1077" t="s">
        <v>6047</v>
      </c>
      <c r="J1077" t="s">
        <v>6053</v>
      </c>
      <c r="K1077" t="s">
        <v>6056</v>
      </c>
      <c r="L1077" t="s">
        <v>7080</v>
      </c>
      <c r="M1077">
        <v>1413.49</v>
      </c>
      <c r="N1077">
        <v>2</v>
      </c>
      <c r="O1077">
        <v>0.26</v>
      </c>
      <c r="P1077">
        <v>-173.31</v>
      </c>
      <c r="Q1077" t="s">
        <v>9893</v>
      </c>
      <c r="R1077">
        <v>1</v>
      </c>
      <c r="S1077" s="5">
        <f t="shared" si="32"/>
        <v>-0.12261140864102328</v>
      </c>
      <c r="T1077">
        <v>706.745</v>
      </c>
      <c r="U1077">
        <v>1</v>
      </c>
      <c r="V1077">
        <v>2024</v>
      </c>
      <c r="W1077">
        <v>1</v>
      </c>
      <c r="X1077" t="s">
        <v>9898</v>
      </c>
      <c r="Y1077" t="s">
        <v>9900</v>
      </c>
      <c r="Z1077" t="s">
        <v>9898</v>
      </c>
      <c r="AD1077">
        <f t="shared" si="33"/>
        <v>1</v>
      </c>
    </row>
    <row r="1078" spans="1:30" x14ac:dyDescent="0.25">
      <c r="A1078" t="s">
        <v>1102</v>
      </c>
      <c r="B1078" s="2">
        <v>45290</v>
      </c>
      <c r="C1078" s="2">
        <v>45291</v>
      </c>
      <c r="D1078" t="s">
        <v>5279</v>
      </c>
      <c r="E1078" t="s">
        <v>5779</v>
      </c>
      <c r="F1078" t="s">
        <v>6026</v>
      </c>
      <c r="G1078" t="s">
        <v>6030</v>
      </c>
      <c r="H1078" t="s">
        <v>6033</v>
      </c>
      <c r="I1078" t="s">
        <v>6047</v>
      </c>
      <c r="J1078" t="s">
        <v>6055</v>
      </c>
      <c r="K1078" t="s">
        <v>6064</v>
      </c>
      <c r="L1078" t="s">
        <v>7081</v>
      </c>
      <c r="M1078">
        <v>1420.63</v>
      </c>
      <c r="N1078">
        <v>3</v>
      </c>
      <c r="O1078">
        <v>0.34</v>
      </c>
      <c r="P1078">
        <v>-63.17</v>
      </c>
      <c r="Q1078" t="s">
        <v>9897</v>
      </c>
      <c r="R1078">
        <v>1</v>
      </c>
      <c r="S1078" s="5">
        <f t="shared" si="32"/>
        <v>-4.4466187536515489E-2</v>
      </c>
      <c r="T1078">
        <v>473.54333333333341</v>
      </c>
      <c r="U1078">
        <v>12</v>
      </c>
      <c r="V1078">
        <v>2023</v>
      </c>
      <c r="W1078">
        <v>4</v>
      </c>
      <c r="X1078" t="s">
        <v>9898</v>
      </c>
      <c r="Y1078" t="s">
        <v>9902</v>
      </c>
      <c r="Z1078" t="s">
        <v>9898</v>
      </c>
      <c r="AD1078">
        <f t="shared" si="33"/>
        <v>1</v>
      </c>
    </row>
    <row r="1079" spans="1:30" x14ac:dyDescent="0.25">
      <c r="A1079" t="s">
        <v>1103</v>
      </c>
      <c r="B1079" s="2">
        <v>44805</v>
      </c>
      <c r="C1079" s="2">
        <v>44811</v>
      </c>
      <c r="D1079" t="s">
        <v>5405</v>
      </c>
      <c r="E1079" t="s">
        <v>5905</v>
      </c>
      <c r="F1079" t="s">
        <v>6026</v>
      </c>
      <c r="G1079" t="s">
        <v>6029</v>
      </c>
      <c r="H1079" t="s">
        <v>6045</v>
      </c>
      <c r="I1079" t="s">
        <v>6046</v>
      </c>
      <c r="J1079" t="s">
        <v>6053</v>
      </c>
      <c r="K1079" t="s">
        <v>6058</v>
      </c>
      <c r="L1079" t="s">
        <v>7082</v>
      </c>
      <c r="M1079">
        <v>1499.75</v>
      </c>
      <c r="N1079">
        <v>6</v>
      </c>
      <c r="O1079">
        <v>0.04</v>
      </c>
      <c r="P1079">
        <v>289.32</v>
      </c>
      <c r="Q1079" t="s">
        <v>9897</v>
      </c>
      <c r="R1079">
        <v>6</v>
      </c>
      <c r="S1079" s="5">
        <f t="shared" si="32"/>
        <v>0.19291215202533754</v>
      </c>
      <c r="T1079">
        <v>249.95833333333329</v>
      </c>
      <c r="U1079">
        <v>9</v>
      </c>
      <c r="V1079">
        <v>2022</v>
      </c>
      <c r="W1079">
        <v>3</v>
      </c>
      <c r="X1079" t="s">
        <v>9899</v>
      </c>
      <c r="Y1079" t="s">
        <v>9901</v>
      </c>
      <c r="Z1079" t="s">
        <v>9898</v>
      </c>
      <c r="AD1079">
        <f t="shared" si="33"/>
        <v>6</v>
      </c>
    </row>
    <row r="1080" spans="1:30" x14ac:dyDescent="0.25">
      <c r="A1080" t="s">
        <v>1104</v>
      </c>
      <c r="B1080" s="2">
        <v>44654</v>
      </c>
      <c r="C1080" s="2">
        <v>44659</v>
      </c>
      <c r="D1080" t="s">
        <v>5079</v>
      </c>
      <c r="E1080" t="s">
        <v>5579</v>
      </c>
      <c r="F1080" t="s">
        <v>6027</v>
      </c>
      <c r="G1080" t="s">
        <v>6030</v>
      </c>
      <c r="H1080" t="s">
        <v>6033</v>
      </c>
      <c r="I1080" t="s">
        <v>6051</v>
      </c>
      <c r="J1080" t="s">
        <v>6053</v>
      </c>
      <c r="K1080" t="s">
        <v>6058</v>
      </c>
      <c r="L1080" t="s">
        <v>7083</v>
      </c>
      <c r="M1080">
        <v>1890.26</v>
      </c>
      <c r="N1080">
        <v>7</v>
      </c>
      <c r="O1080">
        <v>0.03</v>
      </c>
      <c r="P1080">
        <v>206.72</v>
      </c>
      <c r="Q1080" t="s">
        <v>9895</v>
      </c>
      <c r="R1080">
        <v>5</v>
      </c>
      <c r="S1080" s="5">
        <f t="shared" si="32"/>
        <v>0.10936061705797086</v>
      </c>
      <c r="T1080">
        <v>270.03714285714278</v>
      </c>
      <c r="U1080">
        <v>4</v>
      </c>
      <c r="V1080">
        <v>2022</v>
      </c>
      <c r="W1080">
        <v>2</v>
      </c>
      <c r="X1080" t="s">
        <v>9899</v>
      </c>
      <c r="Y1080" t="s">
        <v>9901</v>
      </c>
      <c r="Z1080" t="s">
        <v>9898</v>
      </c>
      <c r="AD1080">
        <f t="shared" si="33"/>
        <v>5</v>
      </c>
    </row>
    <row r="1081" spans="1:30" x14ac:dyDescent="0.25">
      <c r="A1081" t="s">
        <v>1105</v>
      </c>
      <c r="B1081" s="2">
        <v>44666</v>
      </c>
      <c r="C1081" s="2">
        <v>44668</v>
      </c>
      <c r="D1081" t="s">
        <v>5189</v>
      </c>
      <c r="E1081" t="s">
        <v>5689</v>
      </c>
      <c r="F1081" t="s">
        <v>6026</v>
      </c>
      <c r="G1081" t="s">
        <v>6031</v>
      </c>
      <c r="H1081" t="s">
        <v>6042</v>
      </c>
      <c r="I1081" t="s">
        <v>6050</v>
      </c>
      <c r="J1081" t="s">
        <v>6053</v>
      </c>
      <c r="K1081" t="s">
        <v>6057</v>
      </c>
      <c r="L1081" t="s">
        <v>7084</v>
      </c>
      <c r="M1081">
        <v>1835.25</v>
      </c>
      <c r="N1081">
        <v>4</v>
      </c>
      <c r="O1081">
        <v>0.06</v>
      </c>
      <c r="P1081">
        <v>175.22</v>
      </c>
      <c r="Q1081" t="s">
        <v>9897</v>
      </c>
      <c r="R1081">
        <v>2</v>
      </c>
      <c r="S1081" s="5">
        <f t="shared" si="32"/>
        <v>9.5474730963084051E-2</v>
      </c>
      <c r="T1081">
        <v>458.8125</v>
      </c>
      <c r="U1081">
        <v>4</v>
      </c>
      <c r="V1081">
        <v>2022</v>
      </c>
      <c r="W1081">
        <v>2</v>
      </c>
      <c r="X1081" t="s">
        <v>9899</v>
      </c>
      <c r="Y1081" t="s">
        <v>9901</v>
      </c>
      <c r="Z1081" t="s">
        <v>9898</v>
      </c>
      <c r="AD1081">
        <f t="shared" si="33"/>
        <v>2</v>
      </c>
    </row>
    <row r="1082" spans="1:30" x14ac:dyDescent="0.25">
      <c r="A1082" t="s">
        <v>1106</v>
      </c>
      <c r="B1082" s="2">
        <v>44621</v>
      </c>
      <c r="C1082" s="2">
        <v>44622</v>
      </c>
      <c r="D1082" t="s">
        <v>5471</v>
      </c>
      <c r="E1082" t="s">
        <v>5971</v>
      </c>
      <c r="F1082" t="s">
        <v>6028</v>
      </c>
      <c r="G1082" t="s">
        <v>6030</v>
      </c>
      <c r="H1082" t="s">
        <v>6035</v>
      </c>
      <c r="I1082" t="s">
        <v>6051</v>
      </c>
      <c r="J1082" t="s">
        <v>6054</v>
      </c>
      <c r="K1082" t="s">
        <v>6059</v>
      </c>
      <c r="L1082" t="s">
        <v>7085</v>
      </c>
      <c r="M1082">
        <v>1538.13</v>
      </c>
      <c r="N1082">
        <v>1</v>
      </c>
      <c r="O1082">
        <v>0.14000000000000001</v>
      </c>
      <c r="P1082">
        <v>179.08</v>
      </c>
      <c r="Q1082" t="s">
        <v>9896</v>
      </c>
      <c r="R1082">
        <v>1</v>
      </c>
      <c r="S1082" s="5">
        <f t="shared" si="32"/>
        <v>0.11642709003790316</v>
      </c>
      <c r="T1082">
        <v>1538.13</v>
      </c>
      <c r="U1082">
        <v>3</v>
      </c>
      <c r="V1082">
        <v>2022</v>
      </c>
      <c r="W1082">
        <v>1</v>
      </c>
      <c r="X1082" t="s">
        <v>9899</v>
      </c>
      <c r="Y1082" t="s">
        <v>9901</v>
      </c>
      <c r="Z1082" t="s">
        <v>9898</v>
      </c>
      <c r="AD1082">
        <f t="shared" si="33"/>
        <v>1</v>
      </c>
    </row>
    <row r="1083" spans="1:30" x14ac:dyDescent="0.25">
      <c r="A1083" t="s">
        <v>1107</v>
      </c>
      <c r="B1083" s="2">
        <v>45199</v>
      </c>
      <c r="C1083" s="2">
        <v>45203</v>
      </c>
      <c r="D1083" t="s">
        <v>5450</v>
      </c>
      <c r="E1083" t="s">
        <v>5950</v>
      </c>
      <c r="F1083" t="s">
        <v>6028</v>
      </c>
      <c r="G1083" t="s">
        <v>6029</v>
      </c>
      <c r="H1083" t="s">
        <v>6032</v>
      </c>
      <c r="I1083" t="s">
        <v>6046</v>
      </c>
      <c r="J1083" t="s">
        <v>6055</v>
      </c>
      <c r="K1083" t="s">
        <v>6061</v>
      </c>
      <c r="L1083" t="s">
        <v>7086</v>
      </c>
      <c r="M1083">
        <v>853.82</v>
      </c>
      <c r="N1083">
        <v>5</v>
      </c>
      <c r="O1083">
        <v>0.04</v>
      </c>
      <c r="P1083">
        <v>168.25</v>
      </c>
      <c r="Q1083" t="s">
        <v>9895</v>
      </c>
      <c r="R1083">
        <v>4</v>
      </c>
      <c r="S1083" s="5">
        <f t="shared" si="32"/>
        <v>0.19705558548640228</v>
      </c>
      <c r="T1083">
        <v>170.76400000000001</v>
      </c>
      <c r="U1083">
        <v>9</v>
      </c>
      <c r="V1083">
        <v>2023</v>
      </c>
      <c r="W1083">
        <v>3</v>
      </c>
      <c r="X1083" t="s">
        <v>9899</v>
      </c>
      <c r="Y1083" t="s">
        <v>9901</v>
      </c>
      <c r="Z1083" t="s">
        <v>9899</v>
      </c>
      <c r="AD1083">
        <f t="shared" si="33"/>
        <v>4</v>
      </c>
    </row>
    <row r="1084" spans="1:30" x14ac:dyDescent="0.25">
      <c r="A1084" t="s">
        <v>1108</v>
      </c>
      <c r="B1084" s="2">
        <v>44711</v>
      </c>
      <c r="C1084" s="2">
        <v>44718</v>
      </c>
      <c r="D1084" t="s">
        <v>5219</v>
      </c>
      <c r="E1084" t="s">
        <v>5719</v>
      </c>
      <c r="F1084" t="s">
        <v>6026</v>
      </c>
      <c r="G1084" t="s">
        <v>6030</v>
      </c>
      <c r="H1084" t="s">
        <v>6035</v>
      </c>
      <c r="I1084" t="s">
        <v>6047</v>
      </c>
      <c r="J1084" t="s">
        <v>6055</v>
      </c>
      <c r="K1084" t="s">
        <v>6063</v>
      </c>
      <c r="L1084" t="s">
        <v>7087</v>
      </c>
      <c r="M1084">
        <v>795.33</v>
      </c>
      <c r="N1084">
        <v>5</v>
      </c>
      <c r="O1084">
        <v>0.21</v>
      </c>
      <c r="P1084">
        <v>-42.7</v>
      </c>
      <c r="Q1084" t="s">
        <v>9897</v>
      </c>
      <c r="R1084">
        <v>7</v>
      </c>
      <c r="S1084" s="5">
        <f t="shared" si="32"/>
        <v>-5.3688406070436172E-2</v>
      </c>
      <c r="T1084">
        <v>159.066</v>
      </c>
      <c r="U1084">
        <v>5</v>
      </c>
      <c r="V1084">
        <v>2022</v>
      </c>
      <c r="W1084">
        <v>2</v>
      </c>
      <c r="X1084" t="s">
        <v>9898</v>
      </c>
      <c r="Y1084" t="s">
        <v>9900</v>
      </c>
      <c r="Z1084" t="s">
        <v>9899</v>
      </c>
      <c r="AD1084">
        <f t="shared" si="33"/>
        <v>7</v>
      </c>
    </row>
    <row r="1085" spans="1:30" x14ac:dyDescent="0.25">
      <c r="A1085" t="s">
        <v>1109</v>
      </c>
      <c r="B1085" s="2">
        <v>44723</v>
      </c>
      <c r="C1085" s="2">
        <v>44729</v>
      </c>
      <c r="D1085" t="s">
        <v>5335</v>
      </c>
      <c r="E1085" t="s">
        <v>5835</v>
      </c>
      <c r="F1085" t="s">
        <v>6026</v>
      </c>
      <c r="G1085" t="s">
        <v>6029</v>
      </c>
      <c r="H1085" t="s">
        <v>6041</v>
      </c>
      <c r="I1085" t="s">
        <v>6050</v>
      </c>
      <c r="J1085" t="s">
        <v>6055</v>
      </c>
      <c r="K1085" t="s">
        <v>6061</v>
      </c>
      <c r="L1085" t="s">
        <v>7088</v>
      </c>
      <c r="M1085">
        <v>809.87</v>
      </c>
      <c r="N1085">
        <v>5</v>
      </c>
      <c r="O1085">
        <v>0.33</v>
      </c>
      <c r="P1085">
        <v>-45.89</v>
      </c>
      <c r="Q1085" t="s">
        <v>9896</v>
      </c>
      <c r="R1085">
        <v>6</v>
      </c>
      <c r="S1085" s="5">
        <f t="shared" si="32"/>
        <v>-5.6663415116006276E-2</v>
      </c>
      <c r="T1085">
        <v>161.97399999999999</v>
      </c>
      <c r="U1085">
        <v>6</v>
      </c>
      <c r="V1085">
        <v>2022</v>
      </c>
      <c r="W1085">
        <v>2</v>
      </c>
      <c r="X1085" t="s">
        <v>9898</v>
      </c>
      <c r="Y1085" t="s">
        <v>9902</v>
      </c>
      <c r="Z1085" t="s">
        <v>9899</v>
      </c>
      <c r="AD1085">
        <f t="shared" si="33"/>
        <v>6</v>
      </c>
    </row>
    <row r="1086" spans="1:30" x14ac:dyDescent="0.25">
      <c r="A1086" t="s">
        <v>1110</v>
      </c>
      <c r="B1086" s="2">
        <v>44970</v>
      </c>
      <c r="C1086" s="2">
        <v>44974</v>
      </c>
      <c r="D1086" t="s">
        <v>5184</v>
      </c>
      <c r="E1086" t="s">
        <v>5684</v>
      </c>
      <c r="F1086" t="s">
        <v>6027</v>
      </c>
      <c r="G1086" t="s">
        <v>6029</v>
      </c>
      <c r="H1086" t="s">
        <v>6041</v>
      </c>
      <c r="I1086" t="s">
        <v>6046</v>
      </c>
      <c r="J1086" t="s">
        <v>6053</v>
      </c>
      <c r="K1086" t="s">
        <v>6056</v>
      </c>
      <c r="L1086" t="s">
        <v>7089</v>
      </c>
      <c r="M1086">
        <v>1996.97</v>
      </c>
      <c r="N1086">
        <v>7</v>
      </c>
      <c r="O1086">
        <v>0.34</v>
      </c>
      <c r="P1086">
        <v>-111.27</v>
      </c>
      <c r="Q1086" t="s">
        <v>9894</v>
      </c>
      <c r="R1086">
        <v>4</v>
      </c>
      <c r="S1086" s="5">
        <f t="shared" si="32"/>
        <v>-5.5719414913594091E-2</v>
      </c>
      <c r="T1086">
        <v>285.28142857142859</v>
      </c>
      <c r="U1086">
        <v>2</v>
      </c>
      <c r="V1086">
        <v>2023</v>
      </c>
      <c r="W1086">
        <v>1</v>
      </c>
      <c r="X1086" t="s">
        <v>9898</v>
      </c>
      <c r="Y1086" t="s">
        <v>9902</v>
      </c>
      <c r="Z1086" t="s">
        <v>9898</v>
      </c>
      <c r="AD1086">
        <f t="shared" si="33"/>
        <v>4</v>
      </c>
    </row>
    <row r="1087" spans="1:30" x14ac:dyDescent="0.25">
      <c r="A1087" t="s">
        <v>1111</v>
      </c>
      <c r="B1087" s="2">
        <v>44878</v>
      </c>
      <c r="C1087" s="2">
        <v>44885</v>
      </c>
      <c r="D1087" t="s">
        <v>5407</v>
      </c>
      <c r="E1087" t="s">
        <v>5907</v>
      </c>
      <c r="F1087" t="s">
        <v>6026</v>
      </c>
      <c r="G1087" t="s">
        <v>6031</v>
      </c>
      <c r="H1087" t="s">
        <v>6040</v>
      </c>
      <c r="I1087" t="s">
        <v>6050</v>
      </c>
      <c r="J1087" t="s">
        <v>6055</v>
      </c>
      <c r="K1087" t="s">
        <v>6061</v>
      </c>
      <c r="L1087" t="s">
        <v>7090</v>
      </c>
      <c r="M1087">
        <v>700.77</v>
      </c>
      <c r="N1087">
        <v>8</v>
      </c>
      <c r="O1087">
        <v>0.1</v>
      </c>
      <c r="P1087">
        <v>122.06</v>
      </c>
      <c r="Q1087" t="s">
        <v>9896</v>
      </c>
      <c r="R1087">
        <v>7</v>
      </c>
      <c r="S1087" s="5">
        <f t="shared" si="32"/>
        <v>0.17417983075759522</v>
      </c>
      <c r="T1087">
        <v>87.596249999999998</v>
      </c>
      <c r="U1087">
        <v>11</v>
      </c>
      <c r="V1087">
        <v>2022</v>
      </c>
      <c r="W1087">
        <v>4</v>
      </c>
      <c r="X1087" t="s">
        <v>9899</v>
      </c>
      <c r="Y1087" t="s">
        <v>9901</v>
      </c>
      <c r="Z1087" t="s">
        <v>9899</v>
      </c>
      <c r="AD1087">
        <f t="shared" si="33"/>
        <v>7</v>
      </c>
    </row>
    <row r="1088" spans="1:30" x14ac:dyDescent="0.25">
      <c r="A1088" t="s">
        <v>1112</v>
      </c>
      <c r="B1088" s="2">
        <v>45345</v>
      </c>
      <c r="C1088" s="2">
        <v>45348</v>
      </c>
      <c r="D1088" t="s">
        <v>5149</v>
      </c>
      <c r="E1088" t="s">
        <v>5649</v>
      </c>
      <c r="F1088" t="s">
        <v>6027</v>
      </c>
      <c r="G1088" t="s">
        <v>6031</v>
      </c>
      <c r="H1088" t="s">
        <v>6043</v>
      </c>
      <c r="I1088" t="s">
        <v>6048</v>
      </c>
      <c r="J1088" t="s">
        <v>6055</v>
      </c>
      <c r="K1088" t="s">
        <v>6063</v>
      </c>
      <c r="L1088" t="s">
        <v>6457</v>
      </c>
      <c r="M1088">
        <v>627.75</v>
      </c>
      <c r="N1088">
        <v>5</v>
      </c>
      <c r="O1088">
        <v>0.13</v>
      </c>
      <c r="P1088">
        <v>46.96</v>
      </c>
      <c r="Q1088" t="s">
        <v>9897</v>
      </c>
      <c r="R1088">
        <v>3</v>
      </c>
      <c r="S1088" s="5">
        <f t="shared" si="32"/>
        <v>7.4806849860613298E-2</v>
      </c>
      <c r="T1088">
        <v>125.55</v>
      </c>
      <c r="U1088">
        <v>2</v>
      </c>
      <c r="V1088">
        <v>2024</v>
      </c>
      <c r="W1088">
        <v>1</v>
      </c>
      <c r="X1088" t="s">
        <v>9899</v>
      </c>
      <c r="Y1088" t="s">
        <v>9901</v>
      </c>
      <c r="Z1088" t="s">
        <v>9899</v>
      </c>
      <c r="AD1088">
        <f t="shared" si="33"/>
        <v>3</v>
      </c>
    </row>
    <row r="1089" spans="1:30" x14ac:dyDescent="0.25">
      <c r="A1089" t="s">
        <v>1113</v>
      </c>
      <c r="B1089" s="2">
        <v>44927</v>
      </c>
      <c r="C1089" s="2">
        <v>44932</v>
      </c>
      <c r="D1089" t="s">
        <v>5393</v>
      </c>
      <c r="E1089" t="s">
        <v>5893</v>
      </c>
      <c r="F1089" t="s">
        <v>6027</v>
      </c>
      <c r="G1089" t="s">
        <v>6029</v>
      </c>
      <c r="H1089" t="s">
        <v>6032</v>
      </c>
      <c r="I1089" t="s">
        <v>6046</v>
      </c>
      <c r="J1089" t="s">
        <v>6053</v>
      </c>
      <c r="K1089" t="s">
        <v>6058</v>
      </c>
      <c r="L1089" t="s">
        <v>7091</v>
      </c>
      <c r="M1089">
        <v>499.8</v>
      </c>
      <c r="N1089">
        <v>1</v>
      </c>
      <c r="O1089">
        <v>0.33</v>
      </c>
      <c r="P1089">
        <v>-98.16</v>
      </c>
      <c r="Q1089" t="s">
        <v>9896</v>
      </c>
      <c r="R1089">
        <v>5</v>
      </c>
      <c r="S1089" s="5">
        <f t="shared" si="32"/>
        <v>-0.19639855942376949</v>
      </c>
      <c r="T1089">
        <v>499.8</v>
      </c>
      <c r="U1089">
        <v>1</v>
      </c>
      <c r="V1089">
        <v>2023</v>
      </c>
      <c r="W1089">
        <v>1</v>
      </c>
      <c r="X1089" t="s">
        <v>9898</v>
      </c>
      <c r="Y1089" t="s">
        <v>9902</v>
      </c>
      <c r="Z1089" t="s">
        <v>9899</v>
      </c>
      <c r="AD1089">
        <f t="shared" si="33"/>
        <v>5</v>
      </c>
    </row>
    <row r="1090" spans="1:30" x14ac:dyDescent="0.25">
      <c r="A1090" t="s">
        <v>1114</v>
      </c>
      <c r="B1090" s="2">
        <v>45242</v>
      </c>
      <c r="C1090" s="2">
        <v>45249</v>
      </c>
      <c r="D1090" t="s">
        <v>5163</v>
      </c>
      <c r="E1090" t="s">
        <v>5663</v>
      </c>
      <c r="F1090" t="s">
        <v>6028</v>
      </c>
      <c r="G1090" t="s">
        <v>6031</v>
      </c>
      <c r="H1090" t="s">
        <v>6037</v>
      </c>
      <c r="I1090" t="s">
        <v>6048</v>
      </c>
      <c r="J1090" t="s">
        <v>6053</v>
      </c>
      <c r="K1090" t="s">
        <v>6058</v>
      </c>
      <c r="L1090" t="s">
        <v>7092</v>
      </c>
      <c r="M1090">
        <v>642.55999999999995</v>
      </c>
      <c r="N1090">
        <v>7</v>
      </c>
      <c r="O1090">
        <v>0.03</v>
      </c>
      <c r="P1090">
        <v>51.68</v>
      </c>
      <c r="Q1090" t="s">
        <v>9894</v>
      </c>
      <c r="R1090">
        <v>7</v>
      </c>
      <c r="S1090" s="5">
        <f t="shared" si="32"/>
        <v>8.0428286852589653E-2</v>
      </c>
      <c r="T1090">
        <v>91.794285714285706</v>
      </c>
      <c r="U1090">
        <v>11</v>
      </c>
      <c r="V1090">
        <v>2023</v>
      </c>
      <c r="W1090">
        <v>4</v>
      </c>
      <c r="X1090" t="s">
        <v>9899</v>
      </c>
      <c r="Y1090" t="s">
        <v>9901</v>
      </c>
      <c r="Z1090" t="s">
        <v>9899</v>
      </c>
      <c r="AD1090">
        <f t="shared" si="33"/>
        <v>7</v>
      </c>
    </row>
    <row r="1091" spans="1:30" x14ac:dyDescent="0.25">
      <c r="A1091" t="s">
        <v>1115</v>
      </c>
      <c r="B1091" s="2">
        <v>44833</v>
      </c>
      <c r="C1091" s="2">
        <v>44839</v>
      </c>
      <c r="D1091" t="s">
        <v>5440</v>
      </c>
      <c r="E1091" t="s">
        <v>5940</v>
      </c>
      <c r="F1091" t="s">
        <v>6027</v>
      </c>
      <c r="G1091" t="s">
        <v>6030</v>
      </c>
      <c r="H1091" t="s">
        <v>6033</v>
      </c>
      <c r="I1091" t="s">
        <v>6051</v>
      </c>
      <c r="J1091" t="s">
        <v>6055</v>
      </c>
      <c r="K1091" t="s">
        <v>6064</v>
      </c>
      <c r="L1091" t="s">
        <v>7093</v>
      </c>
      <c r="M1091">
        <v>244.65</v>
      </c>
      <c r="N1091">
        <v>4</v>
      </c>
      <c r="O1091">
        <v>0.08</v>
      </c>
      <c r="P1091">
        <v>23.36</v>
      </c>
      <c r="Q1091" t="s">
        <v>9897</v>
      </c>
      <c r="R1091">
        <v>6</v>
      </c>
      <c r="S1091" s="5">
        <f t="shared" ref="S1091:S1154" si="34">P1091/M1091</f>
        <v>9.5483343552013072E-2</v>
      </c>
      <c r="T1091">
        <v>61.162500000000001</v>
      </c>
      <c r="U1091">
        <v>9</v>
      </c>
      <c r="V1091">
        <v>2022</v>
      </c>
      <c r="W1091">
        <v>3</v>
      </c>
      <c r="X1091" t="s">
        <v>9899</v>
      </c>
      <c r="Y1091" t="s">
        <v>9901</v>
      </c>
      <c r="Z1091" t="s">
        <v>9899</v>
      </c>
      <c r="AD1091">
        <f t="shared" ref="AD1091:AD1154" si="35">C1091-B1091</f>
        <v>6</v>
      </c>
    </row>
    <row r="1092" spans="1:30" x14ac:dyDescent="0.25">
      <c r="A1092" t="s">
        <v>1116</v>
      </c>
      <c r="B1092" s="2">
        <v>45006</v>
      </c>
      <c r="C1092" s="2">
        <v>45010</v>
      </c>
      <c r="D1092" t="s">
        <v>5358</v>
      </c>
      <c r="E1092" t="s">
        <v>5858</v>
      </c>
      <c r="F1092" t="s">
        <v>6028</v>
      </c>
      <c r="G1092" t="s">
        <v>6030</v>
      </c>
      <c r="H1092" t="s">
        <v>6033</v>
      </c>
      <c r="I1092" t="s">
        <v>6051</v>
      </c>
      <c r="J1092" t="s">
        <v>6053</v>
      </c>
      <c r="K1092" t="s">
        <v>6057</v>
      </c>
      <c r="L1092" t="s">
        <v>7011</v>
      </c>
      <c r="M1092">
        <v>1394.8</v>
      </c>
      <c r="N1092">
        <v>1</v>
      </c>
      <c r="O1092">
        <v>0.26</v>
      </c>
      <c r="P1092">
        <v>-189.76</v>
      </c>
      <c r="Q1092" t="s">
        <v>9895</v>
      </c>
      <c r="R1092">
        <v>4</v>
      </c>
      <c r="S1092" s="5">
        <f t="shared" si="34"/>
        <v>-0.13604817895038715</v>
      </c>
      <c r="T1092">
        <v>1394.8</v>
      </c>
      <c r="U1092">
        <v>3</v>
      </c>
      <c r="V1092">
        <v>2023</v>
      </c>
      <c r="W1092">
        <v>1</v>
      </c>
      <c r="X1092" t="s">
        <v>9898</v>
      </c>
      <c r="Y1092" t="s">
        <v>9900</v>
      </c>
      <c r="Z1092" t="s">
        <v>9898</v>
      </c>
      <c r="AD1092">
        <f t="shared" si="35"/>
        <v>4</v>
      </c>
    </row>
    <row r="1093" spans="1:30" x14ac:dyDescent="0.25">
      <c r="A1093" t="s">
        <v>1117</v>
      </c>
      <c r="B1093" s="2">
        <v>45416</v>
      </c>
      <c r="C1093" s="2">
        <v>45421</v>
      </c>
      <c r="D1093" t="s">
        <v>5071</v>
      </c>
      <c r="E1093" t="s">
        <v>5571</v>
      </c>
      <c r="F1093" t="s">
        <v>6027</v>
      </c>
      <c r="G1093" t="s">
        <v>6029</v>
      </c>
      <c r="H1093" t="s">
        <v>6041</v>
      </c>
      <c r="I1093" t="s">
        <v>6046</v>
      </c>
      <c r="J1093" t="s">
        <v>6055</v>
      </c>
      <c r="K1093" t="s">
        <v>6061</v>
      </c>
      <c r="L1093" t="s">
        <v>7094</v>
      </c>
      <c r="M1093">
        <v>429.23</v>
      </c>
      <c r="N1093">
        <v>3</v>
      </c>
      <c r="O1093">
        <v>0.28000000000000003</v>
      </c>
      <c r="P1093">
        <v>-43.91</v>
      </c>
      <c r="Q1093" t="s">
        <v>9897</v>
      </c>
      <c r="R1093">
        <v>5</v>
      </c>
      <c r="S1093" s="5">
        <f t="shared" si="34"/>
        <v>-0.10229946648649907</v>
      </c>
      <c r="T1093">
        <v>143.07666666666671</v>
      </c>
      <c r="U1093">
        <v>5</v>
      </c>
      <c r="V1093">
        <v>2024</v>
      </c>
      <c r="W1093">
        <v>2</v>
      </c>
      <c r="X1093" t="s">
        <v>9898</v>
      </c>
      <c r="Y1093" t="s">
        <v>9900</v>
      </c>
      <c r="Z1093" t="s">
        <v>9899</v>
      </c>
      <c r="AD1093">
        <f t="shared" si="35"/>
        <v>5</v>
      </c>
    </row>
    <row r="1094" spans="1:30" x14ac:dyDescent="0.25">
      <c r="A1094" t="s">
        <v>1118</v>
      </c>
      <c r="B1094" s="2">
        <v>45380</v>
      </c>
      <c r="C1094" s="2">
        <v>45382</v>
      </c>
      <c r="D1094" t="s">
        <v>5200</v>
      </c>
      <c r="E1094" t="s">
        <v>5700</v>
      </c>
      <c r="F1094" t="s">
        <v>6027</v>
      </c>
      <c r="G1094" t="s">
        <v>6031</v>
      </c>
      <c r="H1094" t="s">
        <v>6040</v>
      </c>
      <c r="I1094" t="s">
        <v>6050</v>
      </c>
      <c r="J1094" t="s">
        <v>6054</v>
      </c>
      <c r="K1094" t="s">
        <v>6059</v>
      </c>
      <c r="L1094" t="s">
        <v>7095</v>
      </c>
      <c r="M1094">
        <v>359.53</v>
      </c>
      <c r="N1094">
        <v>6</v>
      </c>
      <c r="O1094">
        <v>0.2</v>
      </c>
      <c r="P1094">
        <v>2.29</v>
      </c>
      <c r="Q1094" t="s">
        <v>9897</v>
      </c>
      <c r="R1094">
        <v>2</v>
      </c>
      <c r="S1094" s="5">
        <f t="shared" si="34"/>
        <v>6.369426751592357E-3</v>
      </c>
      <c r="T1094">
        <v>59.92166666666666</v>
      </c>
      <c r="U1094">
        <v>3</v>
      </c>
      <c r="V1094">
        <v>2024</v>
      </c>
      <c r="W1094">
        <v>1</v>
      </c>
      <c r="X1094" t="s">
        <v>9899</v>
      </c>
      <c r="Y1094" t="s">
        <v>9900</v>
      </c>
      <c r="Z1094" t="s">
        <v>9899</v>
      </c>
      <c r="AD1094">
        <f t="shared" si="35"/>
        <v>2</v>
      </c>
    </row>
    <row r="1095" spans="1:30" x14ac:dyDescent="0.25">
      <c r="A1095" t="s">
        <v>1119</v>
      </c>
      <c r="B1095" s="2">
        <v>45315</v>
      </c>
      <c r="C1095" s="2">
        <v>45319</v>
      </c>
      <c r="D1095" t="s">
        <v>5443</v>
      </c>
      <c r="E1095" t="s">
        <v>5943</v>
      </c>
      <c r="F1095" t="s">
        <v>6027</v>
      </c>
      <c r="G1095" t="s">
        <v>6031</v>
      </c>
      <c r="H1095" t="s">
        <v>6042</v>
      </c>
      <c r="I1095" t="s">
        <v>6050</v>
      </c>
      <c r="J1095" t="s">
        <v>6054</v>
      </c>
      <c r="K1095" t="s">
        <v>6060</v>
      </c>
      <c r="L1095" t="s">
        <v>7096</v>
      </c>
      <c r="M1095">
        <v>1533.31</v>
      </c>
      <c r="N1095">
        <v>7</v>
      </c>
      <c r="O1095">
        <v>0.19</v>
      </c>
      <c r="P1095">
        <v>-27.02</v>
      </c>
      <c r="Q1095" t="s">
        <v>9895</v>
      </c>
      <c r="R1095">
        <v>4</v>
      </c>
      <c r="S1095" s="5">
        <f t="shared" si="34"/>
        <v>-1.7622007291415304E-2</v>
      </c>
      <c r="T1095">
        <v>219.04428571428571</v>
      </c>
      <c r="U1095">
        <v>1</v>
      </c>
      <c r="V1095">
        <v>2024</v>
      </c>
      <c r="W1095">
        <v>1</v>
      </c>
      <c r="X1095" t="s">
        <v>9898</v>
      </c>
      <c r="Y1095" t="s">
        <v>9900</v>
      </c>
      <c r="Z1095" t="s">
        <v>9898</v>
      </c>
      <c r="AD1095">
        <f t="shared" si="35"/>
        <v>4</v>
      </c>
    </row>
    <row r="1096" spans="1:30" x14ac:dyDescent="0.25">
      <c r="A1096" t="s">
        <v>1120</v>
      </c>
      <c r="B1096" s="2">
        <v>44806</v>
      </c>
      <c r="C1096" s="2">
        <v>44812</v>
      </c>
      <c r="D1096" t="s">
        <v>5214</v>
      </c>
      <c r="E1096" t="s">
        <v>5714</v>
      </c>
      <c r="F1096" t="s">
        <v>6028</v>
      </c>
      <c r="G1096" t="s">
        <v>6030</v>
      </c>
      <c r="H1096" t="s">
        <v>6033</v>
      </c>
      <c r="I1096" t="s">
        <v>6051</v>
      </c>
      <c r="J1096" t="s">
        <v>6054</v>
      </c>
      <c r="K1096" t="s">
        <v>6059</v>
      </c>
      <c r="L1096" t="s">
        <v>7077</v>
      </c>
      <c r="M1096">
        <v>1626.15</v>
      </c>
      <c r="N1096">
        <v>6</v>
      </c>
      <c r="O1096">
        <v>0.32</v>
      </c>
      <c r="P1096">
        <v>-142.25</v>
      </c>
      <c r="Q1096" t="s">
        <v>9894</v>
      </c>
      <c r="R1096">
        <v>6</v>
      </c>
      <c r="S1096" s="5">
        <f t="shared" si="34"/>
        <v>-8.7476555053346852E-2</v>
      </c>
      <c r="T1096">
        <v>271.02499999999998</v>
      </c>
      <c r="U1096">
        <v>9</v>
      </c>
      <c r="V1096">
        <v>2022</v>
      </c>
      <c r="W1096">
        <v>3</v>
      </c>
      <c r="X1096" t="s">
        <v>9898</v>
      </c>
      <c r="Y1096" t="s">
        <v>9902</v>
      </c>
      <c r="Z1096" t="s">
        <v>9898</v>
      </c>
      <c r="AD1096">
        <f t="shared" si="35"/>
        <v>6</v>
      </c>
    </row>
    <row r="1097" spans="1:30" x14ac:dyDescent="0.25">
      <c r="A1097" t="s">
        <v>1121</v>
      </c>
      <c r="B1097" s="2">
        <v>44674</v>
      </c>
      <c r="C1097" s="2">
        <v>44675</v>
      </c>
      <c r="D1097" t="s">
        <v>5176</v>
      </c>
      <c r="E1097" t="s">
        <v>5676</v>
      </c>
      <c r="F1097" t="s">
        <v>6027</v>
      </c>
      <c r="G1097" t="s">
        <v>6030</v>
      </c>
      <c r="H1097" t="s">
        <v>6038</v>
      </c>
      <c r="I1097" t="s">
        <v>6047</v>
      </c>
      <c r="J1097" t="s">
        <v>6053</v>
      </c>
      <c r="K1097" t="s">
        <v>6056</v>
      </c>
      <c r="L1097" t="s">
        <v>7097</v>
      </c>
      <c r="M1097">
        <v>226.44</v>
      </c>
      <c r="N1097">
        <v>1</v>
      </c>
      <c r="O1097">
        <v>0.16</v>
      </c>
      <c r="P1097">
        <v>11.69</v>
      </c>
      <c r="Q1097" t="s">
        <v>9893</v>
      </c>
      <c r="R1097">
        <v>1</v>
      </c>
      <c r="S1097" s="5">
        <f t="shared" si="34"/>
        <v>5.1625154566331037E-2</v>
      </c>
      <c r="T1097">
        <v>226.44</v>
      </c>
      <c r="U1097">
        <v>4</v>
      </c>
      <c r="V1097">
        <v>2022</v>
      </c>
      <c r="W1097">
        <v>2</v>
      </c>
      <c r="X1097" t="s">
        <v>9899</v>
      </c>
      <c r="Y1097" t="s">
        <v>9900</v>
      </c>
      <c r="Z1097" t="s">
        <v>9899</v>
      </c>
      <c r="AD1097">
        <f t="shared" si="35"/>
        <v>1</v>
      </c>
    </row>
    <row r="1098" spans="1:30" x14ac:dyDescent="0.25">
      <c r="A1098" t="s">
        <v>1122</v>
      </c>
      <c r="B1098" s="2">
        <v>44900</v>
      </c>
      <c r="C1098" s="2">
        <v>44903</v>
      </c>
      <c r="D1098" t="s">
        <v>5411</v>
      </c>
      <c r="E1098" t="s">
        <v>5911</v>
      </c>
      <c r="F1098" t="s">
        <v>6026</v>
      </c>
      <c r="G1098" t="s">
        <v>6030</v>
      </c>
      <c r="H1098" t="s">
        <v>6033</v>
      </c>
      <c r="I1098" t="s">
        <v>6047</v>
      </c>
      <c r="J1098" t="s">
        <v>6054</v>
      </c>
      <c r="K1098" t="s">
        <v>6060</v>
      </c>
      <c r="L1098" t="s">
        <v>7098</v>
      </c>
      <c r="M1098">
        <v>184.11</v>
      </c>
      <c r="N1098">
        <v>3</v>
      </c>
      <c r="O1098">
        <v>0.28999999999999998</v>
      </c>
      <c r="P1098">
        <v>-27.43</v>
      </c>
      <c r="Q1098" t="s">
        <v>9894</v>
      </c>
      <c r="R1098">
        <v>3</v>
      </c>
      <c r="S1098" s="5">
        <f t="shared" si="34"/>
        <v>-0.14898701863016672</v>
      </c>
      <c r="T1098">
        <v>61.37</v>
      </c>
      <c r="U1098">
        <v>12</v>
      </c>
      <c r="V1098">
        <v>2022</v>
      </c>
      <c r="W1098">
        <v>4</v>
      </c>
      <c r="X1098" t="s">
        <v>9898</v>
      </c>
      <c r="Y1098" t="s">
        <v>9900</v>
      </c>
      <c r="Z1098" t="s">
        <v>9899</v>
      </c>
      <c r="AD1098">
        <f t="shared" si="35"/>
        <v>3</v>
      </c>
    </row>
    <row r="1099" spans="1:30" x14ac:dyDescent="0.25">
      <c r="A1099" t="s">
        <v>1123</v>
      </c>
      <c r="B1099" s="2">
        <v>45100</v>
      </c>
      <c r="C1099" s="2">
        <v>45101</v>
      </c>
      <c r="D1099" t="s">
        <v>5167</v>
      </c>
      <c r="E1099" t="s">
        <v>5667</v>
      </c>
      <c r="F1099" t="s">
        <v>6026</v>
      </c>
      <c r="G1099" t="s">
        <v>6029</v>
      </c>
      <c r="H1099" t="s">
        <v>6032</v>
      </c>
      <c r="I1099" t="s">
        <v>6046</v>
      </c>
      <c r="J1099" t="s">
        <v>6055</v>
      </c>
      <c r="K1099" t="s">
        <v>6063</v>
      </c>
      <c r="L1099" t="s">
        <v>6848</v>
      </c>
      <c r="M1099">
        <v>1549.22</v>
      </c>
      <c r="N1099">
        <v>2</v>
      </c>
      <c r="O1099">
        <v>0.32</v>
      </c>
      <c r="P1099">
        <v>-84.23</v>
      </c>
      <c r="Q1099" t="s">
        <v>9895</v>
      </c>
      <c r="R1099">
        <v>1</v>
      </c>
      <c r="S1099" s="5">
        <f t="shared" si="34"/>
        <v>-5.4369295516453441E-2</v>
      </c>
      <c r="T1099">
        <v>774.61</v>
      </c>
      <c r="U1099">
        <v>6</v>
      </c>
      <c r="V1099">
        <v>2023</v>
      </c>
      <c r="W1099">
        <v>2</v>
      </c>
      <c r="X1099" t="s">
        <v>9898</v>
      </c>
      <c r="Y1099" t="s">
        <v>9902</v>
      </c>
      <c r="Z1099" t="s">
        <v>9898</v>
      </c>
      <c r="AD1099">
        <f t="shared" si="35"/>
        <v>1</v>
      </c>
    </row>
    <row r="1100" spans="1:30" x14ac:dyDescent="0.25">
      <c r="A1100" t="s">
        <v>1124</v>
      </c>
      <c r="B1100" s="2">
        <v>44867</v>
      </c>
      <c r="C1100" s="2">
        <v>44871</v>
      </c>
      <c r="D1100" t="s">
        <v>5055</v>
      </c>
      <c r="E1100" t="s">
        <v>5555</v>
      </c>
      <c r="F1100" t="s">
        <v>6027</v>
      </c>
      <c r="G1100" t="s">
        <v>6029</v>
      </c>
      <c r="H1100" t="s">
        <v>6045</v>
      </c>
      <c r="I1100" t="s">
        <v>6050</v>
      </c>
      <c r="J1100" t="s">
        <v>6053</v>
      </c>
      <c r="K1100" t="s">
        <v>6057</v>
      </c>
      <c r="L1100" t="s">
        <v>7099</v>
      </c>
      <c r="M1100">
        <v>1548.19</v>
      </c>
      <c r="N1100">
        <v>5</v>
      </c>
      <c r="O1100">
        <v>0.15</v>
      </c>
      <c r="P1100">
        <v>11.31</v>
      </c>
      <c r="Q1100" t="s">
        <v>9894</v>
      </c>
      <c r="R1100">
        <v>4</v>
      </c>
      <c r="S1100" s="5">
        <f t="shared" si="34"/>
        <v>7.305304904436794E-3</v>
      </c>
      <c r="T1100">
        <v>309.63799999999998</v>
      </c>
      <c r="U1100">
        <v>11</v>
      </c>
      <c r="V1100">
        <v>2022</v>
      </c>
      <c r="W1100">
        <v>4</v>
      </c>
      <c r="X1100" t="s">
        <v>9899</v>
      </c>
      <c r="Y1100" t="s">
        <v>9901</v>
      </c>
      <c r="Z1100" t="s">
        <v>9898</v>
      </c>
      <c r="AD1100">
        <f t="shared" si="35"/>
        <v>4</v>
      </c>
    </row>
    <row r="1101" spans="1:30" x14ac:dyDescent="0.25">
      <c r="A1101" t="s">
        <v>1125</v>
      </c>
      <c r="B1101" s="2">
        <v>44664</v>
      </c>
      <c r="C1101" s="2">
        <v>44671</v>
      </c>
      <c r="D1101" t="s">
        <v>5184</v>
      </c>
      <c r="E1101" t="s">
        <v>5684</v>
      </c>
      <c r="F1101" t="s">
        <v>6027</v>
      </c>
      <c r="G1101" t="s">
        <v>6030</v>
      </c>
      <c r="H1101" t="s">
        <v>6035</v>
      </c>
      <c r="I1101" t="s">
        <v>6051</v>
      </c>
      <c r="J1101" t="s">
        <v>6055</v>
      </c>
      <c r="K1101" t="s">
        <v>6063</v>
      </c>
      <c r="L1101" t="s">
        <v>7100</v>
      </c>
      <c r="M1101">
        <v>230.42</v>
      </c>
      <c r="N1101">
        <v>3</v>
      </c>
      <c r="O1101">
        <v>0.04</v>
      </c>
      <c r="P1101">
        <v>48.93</v>
      </c>
      <c r="Q1101" t="s">
        <v>9895</v>
      </c>
      <c r="R1101">
        <v>7</v>
      </c>
      <c r="S1101" s="5">
        <f t="shared" si="34"/>
        <v>0.21235135838902874</v>
      </c>
      <c r="T1101">
        <v>76.806666666666658</v>
      </c>
      <c r="U1101">
        <v>4</v>
      </c>
      <c r="V1101">
        <v>2022</v>
      </c>
      <c r="W1101">
        <v>2</v>
      </c>
      <c r="X1101" t="s">
        <v>9899</v>
      </c>
      <c r="Y1101" t="s">
        <v>9901</v>
      </c>
      <c r="Z1101" t="s">
        <v>9899</v>
      </c>
      <c r="AD1101">
        <f t="shared" si="35"/>
        <v>7</v>
      </c>
    </row>
    <row r="1102" spans="1:30" x14ac:dyDescent="0.25">
      <c r="A1102" t="s">
        <v>1126</v>
      </c>
      <c r="B1102" s="2">
        <v>45188</v>
      </c>
      <c r="C1102" s="2">
        <v>45191</v>
      </c>
      <c r="D1102" t="s">
        <v>5343</v>
      </c>
      <c r="E1102" t="s">
        <v>5843</v>
      </c>
      <c r="F1102" t="s">
        <v>6028</v>
      </c>
      <c r="G1102" t="s">
        <v>6031</v>
      </c>
      <c r="H1102" t="s">
        <v>6034</v>
      </c>
      <c r="I1102" t="s">
        <v>6050</v>
      </c>
      <c r="J1102" t="s">
        <v>6054</v>
      </c>
      <c r="K1102" t="s">
        <v>6059</v>
      </c>
      <c r="L1102" t="s">
        <v>6069</v>
      </c>
      <c r="M1102">
        <v>1659.83</v>
      </c>
      <c r="N1102">
        <v>2</v>
      </c>
      <c r="O1102">
        <v>0.21</v>
      </c>
      <c r="P1102">
        <v>70.41</v>
      </c>
      <c r="Q1102" t="s">
        <v>9895</v>
      </c>
      <c r="R1102">
        <v>3</v>
      </c>
      <c r="S1102" s="5">
        <f t="shared" si="34"/>
        <v>4.2420006868173245E-2</v>
      </c>
      <c r="T1102">
        <v>829.91499999999996</v>
      </c>
      <c r="U1102">
        <v>9</v>
      </c>
      <c r="V1102">
        <v>2023</v>
      </c>
      <c r="W1102">
        <v>3</v>
      </c>
      <c r="X1102" t="s">
        <v>9899</v>
      </c>
      <c r="Y1102" t="s">
        <v>9900</v>
      </c>
      <c r="Z1102" t="s">
        <v>9898</v>
      </c>
      <c r="AD1102">
        <f t="shared" si="35"/>
        <v>3</v>
      </c>
    </row>
    <row r="1103" spans="1:30" x14ac:dyDescent="0.25">
      <c r="A1103" t="s">
        <v>1127</v>
      </c>
      <c r="B1103" s="2">
        <v>44802</v>
      </c>
      <c r="C1103" s="2">
        <v>44806</v>
      </c>
      <c r="D1103" t="s">
        <v>5472</v>
      </c>
      <c r="E1103" t="s">
        <v>5972</v>
      </c>
      <c r="F1103" t="s">
        <v>6028</v>
      </c>
      <c r="G1103" t="s">
        <v>6031</v>
      </c>
      <c r="H1103" t="s">
        <v>6034</v>
      </c>
      <c r="I1103" t="s">
        <v>6050</v>
      </c>
      <c r="J1103" t="s">
        <v>6054</v>
      </c>
      <c r="K1103" t="s">
        <v>6059</v>
      </c>
      <c r="L1103" t="s">
        <v>7101</v>
      </c>
      <c r="M1103">
        <v>493.27</v>
      </c>
      <c r="N1103">
        <v>5</v>
      </c>
      <c r="O1103">
        <v>0.15</v>
      </c>
      <c r="P1103">
        <v>45.85</v>
      </c>
      <c r="Q1103" t="s">
        <v>9896</v>
      </c>
      <c r="R1103">
        <v>4</v>
      </c>
      <c r="S1103" s="5">
        <f t="shared" si="34"/>
        <v>9.2951122103513292E-2</v>
      </c>
      <c r="T1103">
        <v>98.653999999999996</v>
      </c>
      <c r="U1103">
        <v>8</v>
      </c>
      <c r="V1103">
        <v>2022</v>
      </c>
      <c r="W1103">
        <v>3</v>
      </c>
      <c r="X1103" t="s">
        <v>9899</v>
      </c>
      <c r="Y1103" t="s">
        <v>9901</v>
      </c>
      <c r="Z1103" t="s">
        <v>9899</v>
      </c>
      <c r="AD1103">
        <f t="shared" si="35"/>
        <v>4</v>
      </c>
    </row>
    <row r="1104" spans="1:30" x14ac:dyDescent="0.25">
      <c r="A1104" t="s">
        <v>1128</v>
      </c>
      <c r="B1104" s="2">
        <v>45156</v>
      </c>
      <c r="C1104" s="2">
        <v>45158</v>
      </c>
      <c r="D1104" t="s">
        <v>5471</v>
      </c>
      <c r="E1104" t="s">
        <v>5971</v>
      </c>
      <c r="F1104" t="s">
        <v>6028</v>
      </c>
      <c r="G1104" t="s">
        <v>6031</v>
      </c>
      <c r="H1104" t="s">
        <v>6040</v>
      </c>
      <c r="I1104" t="s">
        <v>6050</v>
      </c>
      <c r="J1104" t="s">
        <v>6053</v>
      </c>
      <c r="K1104" t="s">
        <v>6058</v>
      </c>
      <c r="L1104" t="s">
        <v>6928</v>
      </c>
      <c r="M1104">
        <v>858.72</v>
      </c>
      <c r="N1104">
        <v>4</v>
      </c>
      <c r="O1104">
        <v>0.17</v>
      </c>
      <c r="P1104">
        <v>-32.03</v>
      </c>
      <c r="Q1104" t="s">
        <v>9896</v>
      </c>
      <c r="R1104">
        <v>2</v>
      </c>
      <c r="S1104" s="5">
        <f t="shared" si="34"/>
        <v>-3.7299701881870692E-2</v>
      </c>
      <c r="T1104">
        <v>214.68</v>
      </c>
      <c r="U1104">
        <v>8</v>
      </c>
      <c r="V1104">
        <v>2023</v>
      </c>
      <c r="W1104">
        <v>3</v>
      </c>
      <c r="X1104" t="s">
        <v>9898</v>
      </c>
      <c r="Y1104" t="s">
        <v>9900</v>
      </c>
      <c r="Z1104" t="s">
        <v>9899</v>
      </c>
      <c r="AD1104">
        <f t="shared" si="35"/>
        <v>2</v>
      </c>
    </row>
    <row r="1105" spans="1:30" x14ac:dyDescent="0.25">
      <c r="A1105" t="s">
        <v>1129</v>
      </c>
      <c r="B1105" s="2">
        <v>45099</v>
      </c>
      <c r="C1105" s="2">
        <v>45103</v>
      </c>
      <c r="D1105" t="s">
        <v>5307</v>
      </c>
      <c r="E1105" t="s">
        <v>5807</v>
      </c>
      <c r="F1105" t="s">
        <v>6027</v>
      </c>
      <c r="G1105" t="s">
        <v>6031</v>
      </c>
      <c r="H1105" t="s">
        <v>6042</v>
      </c>
      <c r="I1105" t="s">
        <v>6052</v>
      </c>
      <c r="J1105" t="s">
        <v>6053</v>
      </c>
      <c r="K1105" t="s">
        <v>6056</v>
      </c>
      <c r="L1105" t="s">
        <v>7102</v>
      </c>
      <c r="M1105">
        <v>968.65</v>
      </c>
      <c r="N1105">
        <v>6</v>
      </c>
      <c r="O1105">
        <v>0.04</v>
      </c>
      <c r="P1105">
        <v>159.82</v>
      </c>
      <c r="Q1105" t="s">
        <v>9893</v>
      </c>
      <c r="R1105">
        <v>4</v>
      </c>
      <c r="S1105" s="5">
        <f t="shared" si="34"/>
        <v>0.1649925153564239</v>
      </c>
      <c r="T1105">
        <v>161.44166666666669</v>
      </c>
      <c r="U1105">
        <v>6</v>
      </c>
      <c r="V1105">
        <v>2023</v>
      </c>
      <c r="W1105">
        <v>2</v>
      </c>
      <c r="X1105" t="s">
        <v>9899</v>
      </c>
      <c r="Y1105" t="s">
        <v>9901</v>
      </c>
      <c r="Z1105" t="s">
        <v>9899</v>
      </c>
      <c r="AD1105">
        <f t="shared" si="35"/>
        <v>4</v>
      </c>
    </row>
    <row r="1106" spans="1:30" x14ac:dyDescent="0.25">
      <c r="A1106" t="s">
        <v>1130</v>
      </c>
      <c r="B1106" s="2">
        <v>44563</v>
      </c>
      <c r="C1106" s="2">
        <v>44565</v>
      </c>
      <c r="D1106" t="s">
        <v>5326</v>
      </c>
      <c r="E1106" t="s">
        <v>5826</v>
      </c>
      <c r="F1106" t="s">
        <v>6027</v>
      </c>
      <c r="G1106" t="s">
        <v>6029</v>
      </c>
      <c r="H1106" t="s">
        <v>6045</v>
      </c>
      <c r="I1106" t="s">
        <v>6046</v>
      </c>
      <c r="J1106" t="s">
        <v>6054</v>
      </c>
      <c r="K1106" t="s">
        <v>6062</v>
      </c>
      <c r="L1106" t="s">
        <v>7103</v>
      </c>
      <c r="M1106">
        <v>186.43</v>
      </c>
      <c r="N1106">
        <v>5</v>
      </c>
      <c r="O1106">
        <v>0.17</v>
      </c>
      <c r="P1106">
        <v>20.09</v>
      </c>
      <c r="Q1106" t="s">
        <v>9893</v>
      </c>
      <c r="R1106">
        <v>2</v>
      </c>
      <c r="S1106" s="5">
        <f t="shared" si="34"/>
        <v>0.10776162634769082</v>
      </c>
      <c r="T1106">
        <v>37.286000000000001</v>
      </c>
      <c r="U1106">
        <v>1</v>
      </c>
      <c r="V1106">
        <v>2022</v>
      </c>
      <c r="W1106">
        <v>1</v>
      </c>
      <c r="X1106" t="s">
        <v>9899</v>
      </c>
      <c r="Y1106" t="s">
        <v>9900</v>
      </c>
      <c r="Z1106" t="s">
        <v>9899</v>
      </c>
      <c r="AD1106">
        <f t="shared" si="35"/>
        <v>2</v>
      </c>
    </row>
    <row r="1107" spans="1:30" x14ac:dyDescent="0.25">
      <c r="A1107" t="s">
        <v>1131</v>
      </c>
      <c r="B1107" s="2">
        <v>45397</v>
      </c>
      <c r="C1107" s="2">
        <v>45401</v>
      </c>
      <c r="D1107" t="s">
        <v>5165</v>
      </c>
      <c r="E1107" t="s">
        <v>5665</v>
      </c>
      <c r="F1107" t="s">
        <v>6027</v>
      </c>
      <c r="G1107" t="s">
        <v>6029</v>
      </c>
      <c r="H1107" t="s">
        <v>6036</v>
      </c>
      <c r="I1107" t="s">
        <v>6046</v>
      </c>
      <c r="J1107" t="s">
        <v>6053</v>
      </c>
      <c r="K1107" t="s">
        <v>6057</v>
      </c>
      <c r="L1107" t="s">
        <v>7104</v>
      </c>
      <c r="M1107">
        <v>995.2</v>
      </c>
      <c r="N1107">
        <v>4</v>
      </c>
      <c r="O1107">
        <v>0.13</v>
      </c>
      <c r="P1107">
        <v>14.08</v>
      </c>
      <c r="Q1107" t="s">
        <v>9893</v>
      </c>
      <c r="R1107">
        <v>4</v>
      </c>
      <c r="S1107" s="5">
        <f t="shared" si="34"/>
        <v>1.4147909967845658E-2</v>
      </c>
      <c r="T1107">
        <v>248.8</v>
      </c>
      <c r="U1107">
        <v>4</v>
      </c>
      <c r="V1107">
        <v>2024</v>
      </c>
      <c r="W1107">
        <v>2</v>
      </c>
      <c r="X1107" t="s">
        <v>9899</v>
      </c>
      <c r="Y1107" t="s">
        <v>9901</v>
      </c>
      <c r="Z1107" t="s">
        <v>9899</v>
      </c>
      <c r="AD1107">
        <f t="shared" si="35"/>
        <v>4</v>
      </c>
    </row>
    <row r="1108" spans="1:30" x14ac:dyDescent="0.25">
      <c r="A1108" t="s">
        <v>1132</v>
      </c>
      <c r="B1108" s="2">
        <v>44714</v>
      </c>
      <c r="C1108" s="2">
        <v>44716</v>
      </c>
      <c r="D1108" t="s">
        <v>5250</v>
      </c>
      <c r="E1108" t="s">
        <v>5750</v>
      </c>
      <c r="F1108" t="s">
        <v>6027</v>
      </c>
      <c r="G1108" t="s">
        <v>6030</v>
      </c>
      <c r="H1108" t="s">
        <v>6033</v>
      </c>
      <c r="I1108" t="s">
        <v>6051</v>
      </c>
      <c r="J1108" t="s">
        <v>6054</v>
      </c>
      <c r="K1108" t="s">
        <v>6062</v>
      </c>
      <c r="L1108" t="s">
        <v>7105</v>
      </c>
      <c r="M1108">
        <v>361.93</v>
      </c>
      <c r="N1108">
        <v>4</v>
      </c>
      <c r="O1108">
        <v>0.19</v>
      </c>
      <c r="P1108">
        <v>-20.54</v>
      </c>
      <c r="Q1108" t="s">
        <v>9895</v>
      </c>
      <c r="R1108">
        <v>2</v>
      </c>
      <c r="S1108" s="5">
        <f t="shared" si="34"/>
        <v>-5.6751305501063741E-2</v>
      </c>
      <c r="T1108">
        <v>90.482500000000002</v>
      </c>
      <c r="U1108">
        <v>6</v>
      </c>
      <c r="V1108">
        <v>2022</v>
      </c>
      <c r="W1108">
        <v>2</v>
      </c>
      <c r="X1108" t="s">
        <v>9898</v>
      </c>
      <c r="Y1108" t="s">
        <v>9900</v>
      </c>
      <c r="Z1108" t="s">
        <v>9899</v>
      </c>
      <c r="AD1108">
        <f t="shared" si="35"/>
        <v>2</v>
      </c>
    </row>
    <row r="1109" spans="1:30" x14ac:dyDescent="0.25">
      <c r="A1109" t="s">
        <v>1133</v>
      </c>
      <c r="B1109" s="2">
        <v>44620</v>
      </c>
      <c r="C1109" s="2">
        <v>44627</v>
      </c>
      <c r="D1109" t="s">
        <v>5300</v>
      </c>
      <c r="E1109" t="s">
        <v>5800</v>
      </c>
      <c r="F1109" t="s">
        <v>6027</v>
      </c>
      <c r="G1109" t="s">
        <v>6030</v>
      </c>
      <c r="H1109" t="s">
        <v>6038</v>
      </c>
      <c r="I1109" t="s">
        <v>6051</v>
      </c>
      <c r="J1109" t="s">
        <v>6054</v>
      </c>
      <c r="K1109" t="s">
        <v>6059</v>
      </c>
      <c r="L1109" t="s">
        <v>6915</v>
      </c>
      <c r="M1109">
        <v>384.91</v>
      </c>
      <c r="N1109">
        <v>3</v>
      </c>
      <c r="O1109">
        <v>0.27</v>
      </c>
      <c r="P1109">
        <v>-16.96</v>
      </c>
      <c r="Q1109" t="s">
        <v>9894</v>
      </c>
      <c r="R1109">
        <v>7</v>
      </c>
      <c r="S1109" s="5">
        <f t="shared" si="34"/>
        <v>-4.4062248317788572E-2</v>
      </c>
      <c r="T1109">
        <v>128.30333333333331</v>
      </c>
      <c r="U1109">
        <v>2</v>
      </c>
      <c r="V1109">
        <v>2022</v>
      </c>
      <c r="W1109">
        <v>1</v>
      </c>
      <c r="X1109" t="s">
        <v>9898</v>
      </c>
      <c r="Y1109" t="s">
        <v>9900</v>
      </c>
      <c r="Z1109" t="s">
        <v>9899</v>
      </c>
      <c r="AD1109">
        <f t="shared" si="35"/>
        <v>7</v>
      </c>
    </row>
    <row r="1110" spans="1:30" x14ac:dyDescent="0.25">
      <c r="A1110" t="s">
        <v>1134</v>
      </c>
      <c r="B1110" s="2">
        <v>44851</v>
      </c>
      <c r="C1110" s="2">
        <v>44855</v>
      </c>
      <c r="D1110" t="s">
        <v>5472</v>
      </c>
      <c r="E1110" t="s">
        <v>5972</v>
      </c>
      <c r="F1110" t="s">
        <v>6026</v>
      </c>
      <c r="G1110" t="s">
        <v>6029</v>
      </c>
      <c r="H1110" t="s">
        <v>6044</v>
      </c>
      <c r="I1110" t="s">
        <v>6049</v>
      </c>
      <c r="J1110" t="s">
        <v>6054</v>
      </c>
      <c r="K1110" t="s">
        <v>6062</v>
      </c>
      <c r="L1110" t="s">
        <v>6651</v>
      </c>
      <c r="M1110">
        <v>1140.68</v>
      </c>
      <c r="N1110">
        <v>8</v>
      </c>
      <c r="O1110">
        <v>0.21</v>
      </c>
      <c r="P1110">
        <v>-28.54</v>
      </c>
      <c r="Q1110" t="s">
        <v>9897</v>
      </c>
      <c r="R1110">
        <v>4</v>
      </c>
      <c r="S1110" s="5">
        <f t="shared" si="34"/>
        <v>-2.5020163411298521E-2</v>
      </c>
      <c r="T1110">
        <v>142.58500000000001</v>
      </c>
      <c r="U1110">
        <v>10</v>
      </c>
      <c r="V1110">
        <v>2022</v>
      </c>
      <c r="W1110">
        <v>4</v>
      </c>
      <c r="X1110" t="s">
        <v>9898</v>
      </c>
      <c r="Y1110" t="s">
        <v>9900</v>
      </c>
      <c r="Z1110" t="s">
        <v>9898</v>
      </c>
      <c r="AD1110">
        <f t="shared" si="35"/>
        <v>4</v>
      </c>
    </row>
    <row r="1111" spans="1:30" x14ac:dyDescent="0.25">
      <c r="A1111" t="s">
        <v>1135</v>
      </c>
      <c r="B1111" s="2">
        <v>45129</v>
      </c>
      <c r="C1111" s="2">
        <v>45135</v>
      </c>
      <c r="D1111" t="s">
        <v>5473</v>
      </c>
      <c r="E1111" t="s">
        <v>5973</v>
      </c>
      <c r="F1111" t="s">
        <v>6027</v>
      </c>
      <c r="G1111" t="s">
        <v>6030</v>
      </c>
      <c r="H1111" t="s">
        <v>6035</v>
      </c>
      <c r="I1111" t="s">
        <v>6047</v>
      </c>
      <c r="J1111" t="s">
        <v>6053</v>
      </c>
      <c r="K1111" t="s">
        <v>6056</v>
      </c>
      <c r="L1111" t="s">
        <v>6317</v>
      </c>
      <c r="M1111">
        <v>444.04</v>
      </c>
      <c r="N1111">
        <v>6</v>
      </c>
      <c r="O1111">
        <v>0.17</v>
      </c>
      <c r="P1111">
        <v>8.1199999999999992</v>
      </c>
      <c r="Q1111" t="s">
        <v>9895</v>
      </c>
      <c r="R1111">
        <v>6</v>
      </c>
      <c r="S1111" s="5">
        <f t="shared" si="34"/>
        <v>1.8286640843167279E-2</v>
      </c>
      <c r="T1111">
        <v>74.006666666666675</v>
      </c>
      <c r="U1111">
        <v>7</v>
      </c>
      <c r="V1111">
        <v>2023</v>
      </c>
      <c r="W1111">
        <v>3</v>
      </c>
      <c r="X1111" t="s">
        <v>9899</v>
      </c>
      <c r="Y1111" t="s">
        <v>9900</v>
      </c>
      <c r="Z1111" t="s">
        <v>9899</v>
      </c>
      <c r="AD1111">
        <f t="shared" si="35"/>
        <v>6</v>
      </c>
    </row>
    <row r="1112" spans="1:30" x14ac:dyDescent="0.25">
      <c r="A1112" t="s">
        <v>1136</v>
      </c>
      <c r="B1112" s="2">
        <v>45226</v>
      </c>
      <c r="C1112" s="2">
        <v>45233</v>
      </c>
      <c r="D1112" t="s">
        <v>5474</v>
      </c>
      <c r="E1112" t="s">
        <v>5974</v>
      </c>
      <c r="F1112" t="s">
        <v>6026</v>
      </c>
      <c r="G1112" t="s">
        <v>6031</v>
      </c>
      <c r="H1112" t="s">
        <v>6037</v>
      </c>
      <c r="I1112" t="s">
        <v>6050</v>
      </c>
      <c r="J1112" t="s">
        <v>6053</v>
      </c>
      <c r="K1112" t="s">
        <v>6057</v>
      </c>
      <c r="L1112" t="s">
        <v>7106</v>
      </c>
      <c r="M1112">
        <v>1530.6</v>
      </c>
      <c r="N1112">
        <v>7</v>
      </c>
      <c r="O1112">
        <v>0.18</v>
      </c>
      <c r="P1112">
        <v>117.92</v>
      </c>
      <c r="Q1112" t="s">
        <v>9895</v>
      </c>
      <c r="R1112">
        <v>7</v>
      </c>
      <c r="S1112" s="5">
        <f t="shared" si="34"/>
        <v>7.7041683000130673E-2</v>
      </c>
      <c r="T1112">
        <v>218.65714285714279</v>
      </c>
      <c r="U1112">
        <v>10</v>
      </c>
      <c r="V1112">
        <v>2023</v>
      </c>
      <c r="W1112">
        <v>4</v>
      </c>
      <c r="X1112" t="s">
        <v>9899</v>
      </c>
      <c r="Y1112" t="s">
        <v>9900</v>
      </c>
      <c r="Z1112" t="s">
        <v>9898</v>
      </c>
      <c r="AD1112">
        <f t="shared" si="35"/>
        <v>7</v>
      </c>
    </row>
    <row r="1113" spans="1:30" x14ac:dyDescent="0.25">
      <c r="A1113" t="s">
        <v>1137</v>
      </c>
      <c r="B1113" s="2">
        <v>45404</v>
      </c>
      <c r="C1113" s="2">
        <v>45405</v>
      </c>
      <c r="D1113" t="s">
        <v>5384</v>
      </c>
      <c r="E1113" t="s">
        <v>5884</v>
      </c>
      <c r="F1113" t="s">
        <v>6026</v>
      </c>
      <c r="G1113" t="s">
        <v>6029</v>
      </c>
      <c r="H1113" t="s">
        <v>6041</v>
      </c>
      <c r="I1113" t="s">
        <v>6050</v>
      </c>
      <c r="J1113" t="s">
        <v>6054</v>
      </c>
      <c r="K1113" t="s">
        <v>6062</v>
      </c>
      <c r="L1113" t="s">
        <v>7107</v>
      </c>
      <c r="M1113">
        <v>828.18</v>
      </c>
      <c r="N1113">
        <v>7</v>
      </c>
      <c r="O1113">
        <v>0.34</v>
      </c>
      <c r="P1113">
        <v>-96.8</v>
      </c>
      <c r="Q1113" t="s">
        <v>9894</v>
      </c>
      <c r="R1113">
        <v>1</v>
      </c>
      <c r="S1113" s="5">
        <f t="shared" si="34"/>
        <v>-0.11688280325533097</v>
      </c>
      <c r="T1113">
        <v>118.31142857142861</v>
      </c>
      <c r="U1113">
        <v>4</v>
      </c>
      <c r="V1113">
        <v>2024</v>
      </c>
      <c r="W1113">
        <v>2</v>
      </c>
      <c r="X1113" t="s">
        <v>9898</v>
      </c>
      <c r="Y1113" t="s">
        <v>9902</v>
      </c>
      <c r="Z1113" t="s">
        <v>9899</v>
      </c>
      <c r="AD1113">
        <f t="shared" si="35"/>
        <v>1</v>
      </c>
    </row>
    <row r="1114" spans="1:30" x14ac:dyDescent="0.25">
      <c r="A1114" t="s">
        <v>1138</v>
      </c>
      <c r="B1114" s="2">
        <v>44643</v>
      </c>
      <c r="C1114" s="2">
        <v>44646</v>
      </c>
      <c r="D1114" t="s">
        <v>5475</v>
      </c>
      <c r="E1114" t="s">
        <v>5975</v>
      </c>
      <c r="F1114" t="s">
        <v>6028</v>
      </c>
      <c r="G1114" t="s">
        <v>6031</v>
      </c>
      <c r="H1114" t="s">
        <v>6034</v>
      </c>
      <c r="I1114" t="s">
        <v>6050</v>
      </c>
      <c r="J1114" t="s">
        <v>6053</v>
      </c>
      <c r="K1114" t="s">
        <v>6057</v>
      </c>
      <c r="L1114" t="s">
        <v>6633</v>
      </c>
      <c r="M1114">
        <v>1486.42</v>
      </c>
      <c r="N1114">
        <v>5</v>
      </c>
      <c r="O1114">
        <v>0.21</v>
      </c>
      <c r="P1114">
        <v>-106.79</v>
      </c>
      <c r="Q1114" t="s">
        <v>9895</v>
      </c>
      <c r="R1114">
        <v>3</v>
      </c>
      <c r="S1114" s="5">
        <f t="shared" si="34"/>
        <v>-7.1843758829940388E-2</v>
      </c>
      <c r="T1114">
        <v>297.28399999999999</v>
      </c>
      <c r="U1114">
        <v>3</v>
      </c>
      <c r="V1114">
        <v>2022</v>
      </c>
      <c r="W1114">
        <v>1</v>
      </c>
      <c r="X1114" t="s">
        <v>9898</v>
      </c>
      <c r="Y1114" t="s">
        <v>9900</v>
      </c>
      <c r="Z1114" t="s">
        <v>9898</v>
      </c>
      <c r="AD1114">
        <f t="shared" si="35"/>
        <v>3</v>
      </c>
    </row>
    <row r="1115" spans="1:30" x14ac:dyDescent="0.25">
      <c r="A1115" t="s">
        <v>1139</v>
      </c>
      <c r="B1115" s="2">
        <v>45269</v>
      </c>
      <c r="C1115" s="2">
        <v>45275</v>
      </c>
      <c r="D1115" t="s">
        <v>5349</v>
      </c>
      <c r="E1115" t="s">
        <v>5849</v>
      </c>
      <c r="F1115" t="s">
        <v>6027</v>
      </c>
      <c r="G1115" t="s">
        <v>6029</v>
      </c>
      <c r="H1115" t="s">
        <v>6044</v>
      </c>
      <c r="I1115" t="s">
        <v>6046</v>
      </c>
      <c r="J1115" t="s">
        <v>6053</v>
      </c>
      <c r="K1115" t="s">
        <v>6056</v>
      </c>
      <c r="L1115" t="s">
        <v>7108</v>
      </c>
      <c r="M1115">
        <v>1966.17</v>
      </c>
      <c r="N1115">
        <v>8</v>
      </c>
      <c r="O1115">
        <v>0.28999999999999998</v>
      </c>
      <c r="P1115">
        <v>-281.17</v>
      </c>
      <c r="Q1115" t="s">
        <v>9895</v>
      </c>
      <c r="R1115">
        <v>6</v>
      </c>
      <c r="S1115" s="5">
        <f t="shared" si="34"/>
        <v>-0.14300391115722447</v>
      </c>
      <c r="T1115">
        <v>245.77125000000001</v>
      </c>
      <c r="U1115">
        <v>12</v>
      </c>
      <c r="V1115">
        <v>2023</v>
      </c>
      <c r="W1115">
        <v>4</v>
      </c>
      <c r="X1115" t="s">
        <v>9898</v>
      </c>
      <c r="Y1115" t="s">
        <v>9900</v>
      </c>
      <c r="Z1115" t="s">
        <v>9898</v>
      </c>
      <c r="AD1115">
        <f t="shared" si="35"/>
        <v>6</v>
      </c>
    </row>
    <row r="1116" spans="1:30" x14ac:dyDescent="0.25">
      <c r="A1116" t="s">
        <v>1140</v>
      </c>
      <c r="B1116" s="2">
        <v>44867</v>
      </c>
      <c r="C1116" s="2">
        <v>44872</v>
      </c>
      <c r="D1116" t="s">
        <v>5449</v>
      </c>
      <c r="E1116" t="s">
        <v>5949</v>
      </c>
      <c r="F1116" t="s">
        <v>6028</v>
      </c>
      <c r="G1116" t="s">
        <v>6031</v>
      </c>
      <c r="H1116" t="s">
        <v>6034</v>
      </c>
      <c r="I1116" t="s">
        <v>6050</v>
      </c>
      <c r="J1116" t="s">
        <v>6055</v>
      </c>
      <c r="K1116" t="s">
        <v>6064</v>
      </c>
      <c r="L1116" t="s">
        <v>7109</v>
      </c>
      <c r="M1116">
        <v>962.35</v>
      </c>
      <c r="N1116">
        <v>6</v>
      </c>
      <c r="O1116">
        <v>0.04</v>
      </c>
      <c r="P1116">
        <v>163.71</v>
      </c>
      <c r="Q1116" t="s">
        <v>9895</v>
      </c>
      <c r="R1116">
        <v>5</v>
      </c>
      <c r="S1116" s="5">
        <f t="shared" si="34"/>
        <v>0.17011482308931261</v>
      </c>
      <c r="T1116">
        <v>160.39166666666671</v>
      </c>
      <c r="U1116">
        <v>11</v>
      </c>
      <c r="V1116">
        <v>2022</v>
      </c>
      <c r="W1116">
        <v>4</v>
      </c>
      <c r="X1116" t="s">
        <v>9899</v>
      </c>
      <c r="Y1116" t="s">
        <v>9901</v>
      </c>
      <c r="Z1116" t="s">
        <v>9899</v>
      </c>
      <c r="AD1116">
        <f t="shared" si="35"/>
        <v>5</v>
      </c>
    </row>
    <row r="1117" spans="1:30" x14ac:dyDescent="0.25">
      <c r="A1117" t="s">
        <v>1141</v>
      </c>
      <c r="B1117" s="2">
        <v>44789</v>
      </c>
      <c r="C1117" s="2">
        <v>44791</v>
      </c>
      <c r="D1117" t="s">
        <v>5476</v>
      </c>
      <c r="E1117" t="s">
        <v>5976</v>
      </c>
      <c r="F1117" t="s">
        <v>6028</v>
      </c>
      <c r="G1117" t="s">
        <v>6030</v>
      </c>
      <c r="H1117" t="s">
        <v>6039</v>
      </c>
      <c r="I1117" t="s">
        <v>6051</v>
      </c>
      <c r="J1117" t="s">
        <v>6053</v>
      </c>
      <c r="K1117" t="s">
        <v>6057</v>
      </c>
      <c r="L1117" t="s">
        <v>6854</v>
      </c>
      <c r="M1117">
        <v>1067.27</v>
      </c>
      <c r="N1117">
        <v>4</v>
      </c>
      <c r="O1117">
        <v>0.14000000000000001</v>
      </c>
      <c r="P1117">
        <v>-33.76</v>
      </c>
      <c r="Q1117" t="s">
        <v>9894</v>
      </c>
      <c r="R1117">
        <v>2</v>
      </c>
      <c r="S1117" s="5">
        <f t="shared" si="34"/>
        <v>-3.1632108088862236E-2</v>
      </c>
      <c r="T1117">
        <v>266.8175</v>
      </c>
      <c r="U1117">
        <v>8</v>
      </c>
      <c r="V1117">
        <v>2022</v>
      </c>
      <c r="W1117">
        <v>3</v>
      </c>
      <c r="X1117" t="s">
        <v>9898</v>
      </c>
      <c r="Y1117" t="s">
        <v>9901</v>
      </c>
      <c r="Z1117" t="s">
        <v>9898</v>
      </c>
      <c r="AD1117">
        <f t="shared" si="35"/>
        <v>2</v>
      </c>
    </row>
    <row r="1118" spans="1:30" x14ac:dyDescent="0.25">
      <c r="A1118" t="s">
        <v>1142</v>
      </c>
      <c r="B1118" s="2">
        <v>44788</v>
      </c>
      <c r="C1118" s="2">
        <v>44792</v>
      </c>
      <c r="D1118" t="s">
        <v>5397</v>
      </c>
      <c r="E1118" t="s">
        <v>5897</v>
      </c>
      <c r="F1118" t="s">
        <v>6028</v>
      </c>
      <c r="G1118" t="s">
        <v>6029</v>
      </c>
      <c r="H1118" t="s">
        <v>6032</v>
      </c>
      <c r="I1118" t="s">
        <v>6049</v>
      </c>
      <c r="J1118" t="s">
        <v>6054</v>
      </c>
      <c r="K1118" t="s">
        <v>6060</v>
      </c>
      <c r="L1118" t="s">
        <v>7110</v>
      </c>
      <c r="M1118">
        <v>1821.92</v>
      </c>
      <c r="N1118">
        <v>5</v>
      </c>
      <c r="O1118">
        <v>0.01</v>
      </c>
      <c r="P1118">
        <v>501.66</v>
      </c>
      <c r="Q1118" t="s">
        <v>9897</v>
      </c>
      <c r="R1118">
        <v>4</v>
      </c>
      <c r="S1118" s="5">
        <f t="shared" si="34"/>
        <v>0.27534688680073771</v>
      </c>
      <c r="T1118">
        <v>364.38400000000001</v>
      </c>
      <c r="U1118">
        <v>8</v>
      </c>
      <c r="V1118">
        <v>2022</v>
      </c>
      <c r="W1118">
        <v>3</v>
      </c>
      <c r="X1118" t="s">
        <v>9899</v>
      </c>
      <c r="Y1118" t="s">
        <v>9901</v>
      </c>
      <c r="Z1118" t="s">
        <v>9898</v>
      </c>
      <c r="AD1118">
        <f t="shared" si="35"/>
        <v>4</v>
      </c>
    </row>
    <row r="1119" spans="1:30" x14ac:dyDescent="0.25">
      <c r="A1119" t="s">
        <v>1143</v>
      </c>
      <c r="B1119" s="2">
        <v>45025</v>
      </c>
      <c r="C1119" s="2">
        <v>45026</v>
      </c>
      <c r="D1119" t="s">
        <v>5400</v>
      </c>
      <c r="E1119" t="s">
        <v>5900</v>
      </c>
      <c r="F1119" t="s">
        <v>6026</v>
      </c>
      <c r="G1119" t="s">
        <v>6030</v>
      </c>
      <c r="H1119" t="s">
        <v>6035</v>
      </c>
      <c r="I1119" t="s">
        <v>6047</v>
      </c>
      <c r="J1119" t="s">
        <v>6054</v>
      </c>
      <c r="K1119" t="s">
        <v>6060</v>
      </c>
      <c r="L1119" t="s">
        <v>6430</v>
      </c>
      <c r="M1119">
        <v>306.19</v>
      </c>
      <c r="N1119">
        <v>4</v>
      </c>
      <c r="O1119">
        <v>0.3</v>
      </c>
      <c r="P1119">
        <v>-41.76</v>
      </c>
      <c r="Q1119" t="s">
        <v>9893</v>
      </c>
      <c r="R1119">
        <v>1</v>
      </c>
      <c r="S1119" s="5">
        <f t="shared" si="34"/>
        <v>-0.13638590417714491</v>
      </c>
      <c r="T1119">
        <v>76.547499999999999</v>
      </c>
      <c r="U1119">
        <v>4</v>
      </c>
      <c r="V1119">
        <v>2023</v>
      </c>
      <c r="W1119">
        <v>2</v>
      </c>
      <c r="X1119" t="s">
        <v>9898</v>
      </c>
      <c r="Y1119" t="s">
        <v>9900</v>
      </c>
      <c r="Z1119" t="s">
        <v>9899</v>
      </c>
      <c r="AD1119">
        <f t="shared" si="35"/>
        <v>1</v>
      </c>
    </row>
    <row r="1120" spans="1:30" x14ac:dyDescent="0.25">
      <c r="A1120" t="s">
        <v>1144</v>
      </c>
      <c r="B1120" s="2">
        <v>45348</v>
      </c>
      <c r="C1120" s="2">
        <v>45349</v>
      </c>
      <c r="D1120" t="s">
        <v>5256</v>
      </c>
      <c r="E1120" t="s">
        <v>5756</v>
      </c>
      <c r="F1120" t="s">
        <v>6026</v>
      </c>
      <c r="G1120" t="s">
        <v>6030</v>
      </c>
      <c r="H1120" t="s">
        <v>6033</v>
      </c>
      <c r="I1120" t="s">
        <v>6047</v>
      </c>
      <c r="J1120" t="s">
        <v>6053</v>
      </c>
      <c r="K1120" t="s">
        <v>6056</v>
      </c>
      <c r="L1120" t="s">
        <v>7111</v>
      </c>
      <c r="M1120">
        <v>1768.79</v>
      </c>
      <c r="N1120">
        <v>3</v>
      </c>
      <c r="O1120">
        <v>0.04</v>
      </c>
      <c r="P1120">
        <v>128.41999999999999</v>
      </c>
      <c r="Q1120" t="s">
        <v>9893</v>
      </c>
      <c r="R1120">
        <v>1</v>
      </c>
      <c r="S1120" s="5">
        <f t="shared" si="34"/>
        <v>7.2603305084266642E-2</v>
      </c>
      <c r="T1120">
        <v>589.59666666666669</v>
      </c>
      <c r="U1120">
        <v>2</v>
      </c>
      <c r="V1120">
        <v>2024</v>
      </c>
      <c r="W1120">
        <v>1</v>
      </c>
      <c r="X1120" t="s">
        <v>9899</v>
      </c>
      <c r="Y1120" t="s">
        <v>9901</v>
      </c>
      <c r="Z1120" t="s">
        <v>9898</v>
      </c>
      <c r="AD1120">
        <f t="shared" si="35"/>
        <v>1</v>
      </c>
    </row>
    <row r="1121" spans="1:30" x14ac:dyDescent="0.25">
      <c r="A1121" t="s">
        <v>1145</v>
      </c>
      <c r="B1121" s="2">
        <v>45262</v>
      </c>
      <c r="C1121" s="2">
        <v>45263</v>
      </c>
      <c r="D1121" t="s">
        <v>5436</v>
      </c>
      <c r="E1121" t="s">
        <v>5936</v>
      </c>
      <c r="F1121" t="s">
        <v>6028</v>
      </c>
      <c r="G1121" t="s">
        <v>6030</v>
      </c>
      <c r="H1121" t="s">
        <v>6033</v>
      </c>
      <c r="I1121" t="s">
        <v>6047</v>
      </c>
      <c r="J1121" t="s">
        <v>6055</v>
      </c>
      <c r="K1121" t="s">
        <v>6064</v>
      </c>
      <c r="L1121" t="s">
        <v>7112</v>
      </c>
      <c r="M1121">
        <v>1095.76</v>
      </c>
      <c r="N1121">
        <v>8</v>
      </c>
      <c r="O1121">
        <v>0.01</v>
      </c>
      <c r="P1121">
        <v>259.43</v>
      </c>
      <c r="Q1121" t="s">
        <v>9897</v>
      </c>
      <c r="R1121">
        <v>1</v>
      </c>
      <c r="S1121" s="5">
        <f t="shared" si="34"/>
        <v>0.23675804920785573</v>
      </c>
      <c r="T1121">
        <v>136.97</v>
      </c>
      <c r="U1121">
        <v>12</v>
      </c>
      <c r="V1121">
        <v>2023</v>
      </c>
      <c r="W1121">
        <v>4</v>
      </c>
      <c r="X1121" t="s">
        <v>9899</v>
      </c>
      <c r="Y1121" t="s">
        <v>9901</v>
      </c>
      <c r="Z1121" t="s">
        <v>9898</v>
      </c>
      <c r="AD1121">
        <f t="shared" si="35"/>
        <v>1</v>
      </c>
    </row>
    <row r="1122" spans="1:30" x14ac:dyDescent="0.25">
      <c r="A1122" t="s">
        <v>1146</v>
      </c>
      <c r="B1122" s="2">
        <v>44698</v>
      </c>
      <c r="C1122" s="2">
        <v>44702</v>
      </c>
      <c r="D1122" t="s">
        <v>5111</v>
      </c>
      <c r="E1122" t="s">
        <v>5611</v>
      </c>
      <c r="F1122" t="s">
        <v>6027</v>
      </c>
      <c r="G1122" t="s">
        <v>6030</v>
      </c>
      <c r="H1122" t="s">
        <v>6039</v>
      </c>
      <c r="I1122" t="s">
        <v>6051</v>
      </c>
      <c r="J1122" t="s">
        <v>6055</v>
      </c>
      <c r="K1122" t="s">
        <v>6063</v>
      </c>
      <c r="L1122" t="s">
        <v>7113</v>
      </c>
      <c r="M1122">
        <v>1985.64</v>
      </c>
      <c r="N1122">
        <v>7</v>
      </c>
      <c r="O1122">
        <v>0.06</v>
      </c>
      <c r="P1122">
        <v>185.13</v>
      </c>
      <c r="Q1122" t="s">
        <v>9896</v>
      </c>
      <c r="R1122">
        <v>4</v>
      </c>
      <c r="S1122" s="5">
        <f t="shared" si="34"/>
        <v>9.3234423158276417E-2</v>
      </c>
      <c r="T1122">
        <v>283.66285714285709</v>
      </c>
      <c r="U1122">
        <v>5</v>
      </c>
      <c r="V1122">
        <v>2022</v>
      </c>
      <c r="W1122">
        <v>2</v>
      </c>
      <c r="X1122" t="s">
        <v>9899</v>
      </c>
      <c r="Y1122" t="s">
        <v>9901</v>
      </c>
      <c r="Z1122" t="s">
        <v>9898</v>
      </c>
      <c r="AD1122">
        <f t="shared" si="35"/>
        <v>4</v>
      </c>
    </row>
    <row r="1123" spans="1:30" x14ac:dyDescent="0.25">
      <c r="A1123" t="s">
        <v>1147</v>
      </c>
      <c r="B1123" s="2">
        <v>45237</v>
      </c>
      <c r="C1123" s="2">
        <v>45238</v>
      </c>
      <c r="D1123" t="s">
        <v>5176</v>
      </c>
      <c r="E1123" t="s">
        <v>5676</v>
      </c>
      <c r="F1123" t="s">
        <v>6027</v>
      </c>
      <c r="G1123" t="s">
        <v>6029</v>
      </c>
      <c r="H1123" t="s">
        <v>6044</v>
      </c>
      <c r="I1123" t="s">
        <v>6046</v>
      </c>
      <c r="J1123" t="s">
        <v>6054</v>
      </c>
      <c r="K1123" t="s">
        <v>6060</v>
      </c>
      <c r="L1123" t="s">
        <v>7114</v>
      </c>
      <c r="M1123">
        <v>1864.59</v>
      </c>
      <c r="N1123">
        <v>8</v>
      </c>
      <c r="O1123">
        <v>0.23</v>
      </c>
      <c r="P1123">
        <v>45.61</v>
      </c>
      <c r="Q1123" t="s">
        <v>9894</v>
      </c>
      <c r="R1123">
        <v>1</v>
      </c>
      <c r="S1123" s="5">
        <f t="shared" si="34"/>
        <v>2.4461141591449059E-2</v>
      </c>
      <c r="T1123">
        <v>233.07374999999999</v>
      </c>
      <c r="U1123">
        <v>11</v>
      </c>
      <c r="V1123">
        <v>2023</v>
      </c>
      <c r="W1123">
        <v>4</v>
      </c>
      <c r="X1123" t="s">
        <v>9899</v>
      </c>
      <c r="Y1123" t="s">
        <v>9900</v>
      </c>
      <c r="Z1123" t="s">
        <v>9898</v>
      </c>
      <c r="AD1123">
        <f t="shared" si="35"/>
        <v>1</v>
      </c>
    </row>
    <row r="1124" spans="1:30" x14ac:dyDescent="0.25">
      <c r="A1124" t="s">
        <v>1148</v>
      </c>
      <c r="B1124" s="2">
        <v>44782</v>
      </c>
      <c r="C1124" s="2">
        <v>44784</v>
      </c>
      <c r="D1124" t="s">
        <v>5477</v>
      </c>
      <c r="E1124" t="s">
        <v>5977</v>
      </c>
      <c r="F1124" t="s">
        <v>6027</v>
      </c>
      <c r="G1124" t="s">
        <v>6029</v>
      </c>
      <c r="H1124" t="s">
        <v>6044</v>
      </c>
      <c r="I1124" t="s">
        <v>6049</v>
      </c>
      <c r="J1124" t="s">
        <v>6053</v>
      </c>
      <c r="K1124" t="s">
        <v>6056</v>
      </c>
      <c r="L1124" t="s">
        <v>7115</v>
      </c>
      <c r="M1124">
        <v>728.54</v>
      </c>
      <c r="N1124">
        <v>7</v>
      </c>
      <c r="O1124">
        <v>0.21</v>
      </c>
      <c r="P1124">
        <v>58.28</v>
      </c>
      <c r="Q1124" t="s">
        <v>9896</v>
      </c>
      <c r="R1124">
        <v>2</v>
      </c>
      <c r="S1124" s="5">
        <f t="shared" si="34"/>
        <v>7.9995607653663495E-2</v>
      </c>
      <c r="T1124">
        <v>104.0771428571428</v>
      </c>
      <c r="U1124">
        <v>8</v>
      </c>
      <c r="V1124">
        <v>2022</v>
      </c>
      <c r="W1124">
        <v>3</v>
      </c>
      <c r="X1124" t="s">
        <v>9899</v>
      </c>
      <c r="Y1124" t="s">
        <v>9900</v>
      </c>
      <c r="Z1124" t="s">
        <v>9899</v>
      </c>
      <c r="AD1124">
        <f t="shared" si="35"/>
        <v>2</v>
      </c>
    </row>
    <row r="1125" spans="1:30" x14ac:dyDescent="0.25">
      <c r="A1125" t="s">
        <v>1149</v>
      </c>
      <c r="B1125" s="2">
        <v>45429</v>
      </c>
      <c r="C1125" s="2">
        <v>45432</v>
      </c>
      <c r="D1125" t="s">
        <v>5430</v>
      </c>
      <c r="E1125" t="s">
        <v>5930</v>
      </c>
      <c r="F1125" t="s">
        <v>6027</v>
      </c>
      <c r="G1125" t="s">
        <v>6030</v>
      </c>
      <c r="H1125" t="s">
        <v>6035</v>
      </c>
      <c r="I1125" t="s">
        <v>6051</v>
      </c>
      <c r="J1125" t="s">
        <v>6053</v>
      </c>
      <c r="K1125" t="s">
        <v>6058</v>
      </c>
      <c r="L1125" t="s">
        <v>7116</v>
      </c>
      <c r="M1125">
        <v>1671.29</v>
      </c>
      <c r="N1125">
        <v>4</v>
      </c>
      <c r="O1125">
        <v>0.11</v>
      </c>
      <c r="P1125">
        <v>258.74</v>
      </c>
      <c r="Q1125" t="s">
        <v>9897</v>
      </c>
      <c r="R1125">
        <v>3</v>
      </c>
      <c r="S1125" s="5">
        <f t="shared" si="34"/>
        <v>0.15481454445368548</v>
      </c>
      <c r="T1125">
        <v>417.82249999999999</v>
      </c>
      <c r="U1125">
        <v>5</v>
      </c>
      <c r="V1125">
        <v>2024</v>
      </c>
      <c r="W1125">
        <v>2</v>
      </c>
      <c r="X1125" t="s">
        <v>9899</v>
      </c>
      <c r="Y1125" t="s">
        <v>9901</v>
      </c>
      <c r="Z1125" t="s">
        <v>9898</v>
      </c>
      <c r="AD1125">
        <f t="shared" si="35"/>
        <v>3</v>
      </c>
    </row>
    <row r="1126" spans="1:30" x14ac:dyDescent="0.25">
      <c r="A1126" t="s">
        <v>1150</v>
      </c>
      <c r="B1126" s="2">
        <v>44677</v>
      </c>
      <c r="C1126" s="2">
        <v>44678</v>
      </c>
      <c r="D1126" t="s">
        <v>5088</v>
      </c>
      <c r="E1126" t="s">
        <v>5588</v>
      </c>
      <c r="F1126" t="s">
        <v>6027</v>
      </c>
      <c r="G1126" t="s">
        <v>6031</v>
      </c>
      <c r="H1126" t="s">
        <v>6037</v>
      </c>
      <c r="I1126" t="s">
        <v>6050</v>
      </c>
      <c r="J1126" t="s">
        <v>6054</v>
      </c>
      <c r="K1126" t="s">
        <v>6060</v>
      </c>
      <c r="L1126" t="s">
        <v>7117</v>
      </c>
      <c r="M1126">
        <v>1344.55</v>
      </c>
      <c r="N1126">
        <v>4</v>
      </c>
      <c r="O1126">
        <v>0.1</v>
      </c>
      <c r="P1126">
        <v>57.46</v>
      </c>
      <c r="Q1126" t="s">
        <v>9894</v>
      </c>
      <c r="R1126">
        <v>1</v>
      </c>
      <c r="S1126" s="5">
        <f t="shared" si="34"/>
        <v>4.2735487709642632E-2</v>
      </c>
      <c r="T1126">
        <v>336.13749999999999</v>
      </c>
      <c r="U1126">
        <v>4</v>
      </c>
      <c r="V1126">
        <v>2022</v>
      </c>
      <c r="W1126">
        <v>2</v>
      </c>
      <c r="X1126" t="s">
        <v>9899</v>
      </c>
      <c r="Y1126" t="s">
        <v>9901</v>
      </c>
      <c r="Z1126" t="s">
        <v>9898</v>
      </c>
      <c r="AD1126">
        <f t="shared" si="35"/>
        <v>1</v>
      </c>
    </row>
    <row r="1127" spans="1:30" x14ac:dyDescent="0.25">
      <c r="A1127" t="s">
        <v>1151</v>
      </c>
      <c r="B1127" s="2">
        <v>44788</v>
      </c>
      <c r="C1127" s="2">
        <v>44794</v>
      </c>
      <c r="D1127" t="s">
        <v>5445</v>
      </c>
      <c r="E1127" t="s">
        <v>5945</v>
      </c>
      <c r="F1127" t="s">
        <v>6027</v>
      </c>
      <c r="G1127" t="s">
        <v>6031</v>
      </c>
      <c r="H1127" t="s">
        <v>6034</v>
      </c>
      <c r="I1127" t="s">
        <v>6052</v>
      </c>
      <c r="J1127" t="s">
        <v>6055</v>
      </c>
      <c r="K1127" t="s">
        <v>6064</v>
      </c>
      <c r="L1127" t="s">
        <v>6925</v>
      </c>
      <c r="M1127">
        <v>685.88</v>
      </c>
      <c r="N1127">
        <v>6</v>
      </c>
      <c r="O1127">
        <v>0.24</v>
      </c>
      <c r="P1127">
        <v>-30.87</v>
      </c>
      <c r="Q1127" t="s">
        <v>9893</v>
      </c>
      <c r="R1127">
        <v>6</v>
      </c>
      <c r="S1127" s="5">
        <f t="shared" si="34"/>
        <v>-4.5007873097334811E-2</v>
      </c>
      <c r="T1127">
        <v>114.3133333333333</v>
      </c>
      <c r="U1127">
        <v>8</v>
      </c>
      <c r="V1127">
        <v>2022</v>
      </c>
      <c r="W1127">
        <v>3</v>
      </c>
      <c r="X1127" t="s">
        <v>9898</v>
      </c>
      <c r="Y1127" t="s">
        <v>9900</v>
      </c>
      <c r="Z1127" t="s">
        <v>9899</v>
      </c>
      <c r="AD1127">
        <f t="shared" si="35"/>
        <v>6</v>
      </c>
    </row>
    <row r="1128" spans="1:30" x14ac:dyDescent="0.25">
      <c r="A1128" t="s">
        <v>1152</v>
      </c>
      <c r="B1128" s="2">
        <v>45307</v>
      </c>
      <c r="C1128" s="2">
        <v>45308</v>
      </c>
      <c r="D1128" t="s">
        <v>5187</v>
      </c>
      <c r="E1128" t="s">
        <v>5687</v>
      </c>
      <c r="F1128" t="s">
        <v>6027</v>
      </c>
      <c r="G1128" t="s">
        <v>6030</v>
      </c>
      <c r="H1128" t="s">
        <v>6035</v>
      </c>
      <c r="I1128" t="s">
        <v>6051</v>
      </c>
      <c r="J1128" t="s">
        <v>6053</v>
      </c>
      <c r="K1128" t="s">
        <v>6058</v>
      </c>
      <c r="L1128" t="s">
        <v>6094</v>
      </c>
      <c r="M1128">
        <v>1529.61</v>
      </c>
      <c r="N1128">
        <v>8</v>
      </c>
      <c r="O1128">
        <v>0.04</v>
      </c>
      <c r="P1128">
        <v>160.35</v>
      </c>
      <c r="Q1128" t="s">
        <v>9897</v>
      </c>
      <c r="R1128">
        <v>1</v>
      </c>
      <c r="S1128" s="5">
        <f t="shared" si="34"/>
        <v>0.10483064310510523</v>
      </c>
      <c r="T1128">
        <v>191.20124999999999</v>
      </c>
      <c r="U1128">
        <v>1</v>
      </c>
      <c r="V1128">
        <v>2024</v>
      </c>
      <c r="W1128">
        <v>1</v>
      </c>
      <c r="X1128" t="s">
        <v>9899</v>
      </c>
      <c r="Y1128" t="s">
        <v>9901</v>
      </c>
      <c r="Z1128" t="s">
        <v>9898</v>
      </c>
      <c r="AD1128">
        <f t="shared" si="35"/>
        <v>1</v>
      </c>
    </row>
    <row r="1129" spans="1:30" x14ac:dyDescent="0.25">
      <c r="A1129" t="s">
        <v>1153</v>
      </c>
      <c r="B1129" s="2">
        <v>45269</v>
      </c>
      <c r="C1129" s="2">
        <v>45271</v>
      </c>
      <c r="D1129" t="s">
        <v>5220</v>
      </c>
      <c r="E1129" t="s">
        <v>5720</v>
      </c>
      <c r="F1129" t="s">
        <v>6027</v>
      </c>
      <c r="G1129" t="s">
        <v>6029</v>
      </c>
      <c r="H1129" t="s">
        <v>6041</v>
      </c>
      <c r="I1129" t="s">
        <v>6050</v>
      </c>
      <c r="J1129" t="s">
        <v>6055</v>
      </c>
      <c r="K1129" t="s">
        <v>6063</v>
      </c>
      <c r="L1129" t="s">
        <v>7118</v>
      </c>
      <c r="M1129">
        <v>1894.64</v>
      </c>
      <c r="N1129">
        <v>3</v>
      </c>
      <c r="O1129">
        <v>0.17</v>
      </c>
      <c r="P1129">
        <v>-82.66</v>
      </c>
      <c r="Q1129" t="s">
        <v>9894</v>
      </c>
      <c r="R1129">
        <v>2</v>
      </c>
      <c r="S1129" s="5">
        <f t="shared" si="34"/>
        <v>-4.3628341004095759E-2</v>
      </c>
      <c r="T1129">
        <v>631.54666666666674</v>
      </c>
      <c r="U1129">
        <v>12</v>
      </c>
      <c r="V1129">
        <v>2023</v>
      </c>
      <c r="W1129">
        <v>4</v>
      </c>
      <c r="X1129" t="s">
        <v>9898</v>
      </c>
      <c r="Y1129" t="s">
        <v>9900</v>
      </c>
      <c r="Z1129" t="s">
        <v>9898</v>
      </c>
      <c r="AD1129">
        <f t="shared" si="35"/>
        <v>2</v>
      </c>
    </row>
    <row r="1130" spans="1:30" x14ac:dyDescent="0.25">
      <c r="A1130" t="s">
        <v>1154</v>
      </c>
      <c r="B1130" s="2">
        <v>44653</v>
      </c>
      <c r="C1130" s="2">
        <v>44658</v>
      </c>
      <c r="D1130" t="s">
        <v>5336</v>
      </c>
      <c r="E1130" t="s">
        <v>5836</v>
      </c>
      <c r="F1130" t="s">
        <v>6028</v>
      </c>
      <c r="G1130" t="s">
        <v>6031</v>
      </c>
      <c r="H1130" t="s">
        <v>6037</v>
      </c>
      <c r="I1130" t="s">
        <v>6050</v>
      </c>
      <c r="J1130" t="s">
        <v>6055</v>
      </c>
      <c r="K1130" t="s">
        <v>6064</v>
      </c>
      <c r="L1130" t="s">
        <v>7119</v>
      </c>
      <c r="M1130">
        <v>1312.44</v>
      </c>
      <c r="N1130">
        <v>2</v>
      </c>
      <c r="O1130">
        <v>0.02</v>
      </c>
      <c r="P1130">
        <v>255.21</v>
      </c>
      <c r="Q1130" t="s">
        <v>9894</v>
      </c>
      <c r="R1130">
        <v>5</v>
      </c>
      <c r="S1130" s="5">
        <f t="shared" si="34"/>
        <v>0.1944546036390235</v>
      </c>
      <c r="T1130">
        <v>656.22</v>
      </c>
      <c r="U1130">
        <v>4</v>
      </c>
      <c r="V1130">
        <v>2022</v>
      </c>
      <c r="W1130">
        <v>2</v>
      </c>
      <c r="X1130" t="s">
        <v>9899</v>
      </c>
      <c r="Y1130" t="s">
        <v>9901</v>
      </c>
      <c r="Z1130" t="s">
        <v>9898</v>
      </c>
      <c r="AD1130">
        <f t="shared" si="35"/>
        <v>5</v>
      </c>
    </row>
    <row r="1131" spans="1:30" x14ac:dyDescent="0.25">
      <c r="A1131" t="s">
        <v>1155</v>
      </c>
      <c r="B1131" s="2">
        <v>45281</v>
      </c>
      <c r="C1131" s="2">
        <v>45284</v>
      </c>
      <c r="D1131" t="s">
        <v>5112</v>
      </c>
      <c r="E1131" t="s">
        <v>5612</v>
      </c>
      <c r="F1131" t="s">
        <v>6026</v>
      </c>
      <c r="G1131" t="s">
        <v>6029</v>
      </c>
      <c r="H1131" t="s">
        <v>6041</v>
      </c>
      <c r="I1131" t="s">
        <v>6049</v>
      </c>
      <c r="J1131" t="s">
        <v>6053</v>
      </c>
      <c r="K1131" t="s">
        <v>6057</v>
      </c>
      <c r="L1131" t="s">
        <v>7120</v>
      </c>
      <c r="M1131">
        <v>1879.08</v>
      </c>
      <c r="N1131">
        <v>8</v>
      </c>
      <c r="O1131">
        <v>0.14000000000000001</v>
      </c>
      <c r="P1131">
        <v>98.73</v>
      </c>
      <c r="Q1131" t="s">
        <v>9894</v>
      </c>
      <c r="R1131">
        <v>3</v>
      </c>
      <c r="S1131" s="5">
        <f t="shared" si="34"/>
        <v>5.2541669327543269E-2</v>
      </c>
      <c r="T1131">
        <v>234.88499999999999</v>
      </c>
      <c r="U1131">
        <v>12</v>
      </c>
      <c r="V1131">
        <v>2023</v>
      </c>
      <c r="W1131">
        <v>4</v>
      </c>
      <c r="X1131" t="s">
        <v>9899</v>
      </c>
      <c r="Y1131" t="s">
        <v>9901</v>
      </c>
      <c r="Z1131" t="s">
        <v>9898</v>
      </c>
      <c r="AD1131">
        <f t="shared" si="35"/>
        <v>3</v>
      </c>
    </row>
    <row r="1132" spans="1:30" x14ac:dyDescent="0.25">
      <c r="A1132" t="s">
        <v>1156</v>
      </c>
      <c r="B1132" s="2">
        <v>45026</v>
      </c>
      <c r="C1132" s="2">
        <v>45033</v>
      </c>
      <c r="D1132" t="s">
        <v>5467</v>
      </c>
      <c r="E1132" t="s">
        <v>5967</v>
      </c>
      <c r="F1132" t="s">
        <v>6027</v>
      </c>
      <c r="G1132" t="s">
        <v>6029</v>
      </c>
      <c r="H1132" t="s">
        <v>6036</v>
      </c>
      <c r="I1132" t="s">
        <v>6050</v>
      </c>
      <c r="J1132" t="s">
        <v>6054</v>
      </c>
      <c r="K1132" t="s">
        <v>6062</v>
      </c>
      <c r="L1132" t="s">
        <v>7121</v>
      </c>
      <c r="M1132">
        <v>1647.07</v>
      </c>
      <c r="N1132">
        <v>8</v>
      </c>
      <c r="O1132">
        <v>0.02</v>
      </c>
      <c r="P1132">
        <v>205.19</v>
      </c>
      <c r="Q1132" t="s">
        <v>9897</v>
      </c>
      <c r="R1132">
        <v>7</v>
      </c>
      <c r="S1132" s="5">
        <f t="shared" si="34"/>
        <v>0.12457879750101696</v>
      </c>
      <c r="T1132">
        <v>205.88374999999999</v>
      </c>
      <c r="U1132">
        <v>4</v>
      </c>
      <c r="V1132">
        <v>2023</v>
      </c>
      <c r="W1132">
        <v>2</v>
      </c>
      <c r="X1132" t="s">
        <v>9899</v>
      </c>
      <c r="Y1132" t="s">
        <v>9901</v>
      </c>
      <c r="Z1132" t="s">
        <v>9898</v>
      </c>
      <c r="AD1132">
        <f t="shared" si="35"/>
        <v>7</v>
      </c>
    </row>
    <row r="1133" spans="1:30" x14ac:dyDescent="0.25">
      <c r="A1133" t="s">
        <v>1157</v>
      </c>
      <c r="B1133" s="2">
        <v>45173</v>
      </c>
      <c r="C1133" s="2">
        <v>45179</v>
      </c>
      <c r="D1133" t="s">
        <v>5426</v>
      </c>
      <c r="E1133" t="s">
        <v>5926</v>
      </c>
      <c r="F1133" t="s">
        <v>6028</v>
      </c>
      <c r="G1133" t="s">
        <v>6030</v>
      </c>
      <c r="H1133" t="s">
        <v>6035</v>
      </c>
      <c r="I1133" t="s">
        <v>6051</v>
      </c>
      <c r="J1133" t="s">
        <v>6055</v>
      </c>
      <c r="K1133" t="s">
        <v>6061</v>
      </c>
      <c r="L1133" t="s">
        <v>7122</v>
      </c>
      <c r="M1133">
        <v>704.26</v>
      </c>
      <c r="N1133">
        <v>4</v>
      </c>
      <c r="O1133">
        <v>0.2</v>
      </c>
      <c r="P1133">
        <v>39.4</v>
      </c>
      <c r="Q1133" t="s">
        <v>9894</v>
      </c>
      <c r="R1133">
        <v>6</v>
      </c>
      <c r="S1133" s="5">
        <f t="shared" si="34"/>
        <v>5.5945247493823305E-2</v>
      </c>
      <c r="T1133">
        <v>176.065</v>
      </c>
      <c r="U1133">
        <v>9</v>
      </c>
      <c r="V1133">
        <v>2023</v>
      </c>
      <c r="W1133">
        <v>3</v>
      </c>
      <c r="X1133" t="s">
        <v>9899</v>
      </c>
      <c r="Y1133" t="s">
        <v>9900</v>
      </c>
      <c r="Z1133" t="s">
        <v>9899</v>
      </c>
      <c r="AD1133">
        <f t="shared" si="35"/>
        <v>6</v>
      </c>
    </row>
    <row r="1134" spans="1:30" x14ac:dyDescent="0.25">
      <c r="A1134" t="s">
        <v>1158</v>
      </c>
      <c r="B1134" s="2">
        <v>45281</v>
      </c>
      <c r="C1134" s="2">
        <v>45286</v>
      </c>
      <c r="D1134" t="s">
        <v>5035</v>
      </c>
      <c r="E1134" t="s">
        <v>5535</v>
      </c>
      <c r="F1134" t="s">
        <v>6028</v>
      </c>
      <c r="G1134" t="s">
        <v>6030</v>
      </c>
      <c r="H1134" t="s">
        <v>6033</v>
      </c>
      <c r="I1134" t="s">
        <v>6047</v>
      </c>
      <c r="J1134" t="s">
        <v>6054</v>
      </c>
      <c r="K1134" t="s">
        <v>6060</v>
      </c>
      <c r="L1134" t="s">
        <v>7123</v>
      </c>
      <c r="M1134">
        <v>131.69</v>
      </c>
      <c r="N1134">
        <v>6</v>
      </c>
      <c r="O1134">
        <v>0.23</v>
      </c>
      <c r="P1134">
        <v>-1.9</v>
      </c>
      <c r="Q1134" t="s">
        <v>9895</v>
      </c>
      <c r="R1134">
        <v>5</v>
      </c>
      <c r="S1134" s="5">
        <f t="shared" si="34"/>
        <v>-1.4427822917457665E-2</v>
      </c>
      <c r="T1134">
        <v>21.948333333333331</v>
      </c>
      <c r="U1134">
        <v>12</v>
      </c>
      <c r="V1134">
        <v>2023</v>
      </c>
      <c r="W1134">
        <v>4</v>
      </c>
      <c r="X1134" t="s">
        <v>9898</v>
      </c>
      <c r="Y1134" t="s">
        <v>9900</v>
      </c>
      <c r="Z1134" t="s">
        <v>9899</v>
      </c>
      <c r="AD1134">
        <f t="shared" si="35"/>
        <v>5</v>
      </c>
    </row>
    <row r="1135" spans="1:30" x14ac:dyDescent="0.25">
      <c r="A1135" t="s">
        <v>1159</v>
      </c>
      <c r="B1135" s="2">
        <v>45125</v>
      </c>
      <c r="C1135" s="2">
        <v>45128</v>
      </c>
      <c r="D1135" t="s">
        <v>5451</v>
      </c>
      <c r="E1135" t="s">
        <v>5951</v>
      </c>
      <c r="F1135" t="s">
        <v>6028</v>
      </c>
      <c r="G1135" t="s">
        <v>6030</v>
      </c>
      <c r="H1135" t="s">
        <v>6039</v>
      </c>
      <c r="I1135" t="s">
        <v>6047</v>
      </c>
      <c r="J1135" t="s">
        <v>6054</v>
      </c>
      <c r="K1135" t="s">
        <v>6062</v>
      </c>
      <c r="L1135" t="s">
        <v>7124</v>
      </c>
      <c r="M1135">
        <v>1771.92</v>
      </c>
      <c r="N1135">
        <v>7</v>
      </c>
      <c r="O1135">
        <v>0.23</v>
      </c>
      <c r="P1135">
        <v>-53.87</v>
      </c>
      <c r="Q1135" t="s">
        <v>9895</v>
      </c>
      <c r="R1135">
        <v>3</v>
      </c>
      <c r="S1135" s="5">
        <f t="shared" si="34"/>
        <v>-3.0402049753939227E-2</v>
      </c>
      <c r="T1135">
        <v>253.13142857142859</v>
      </c>
      <c r="U1135">
        <v>7</v>
      </c>
      <c r="V1135">
        <v>2023</v>
      </c>
      <c r="W1135">
        <v>3</v>
      </c>
      <c r="X1135" t="s">
        <v>9898</v>
      </c>
      <c r="Y1135" t="s">
        <v>9900</v>
      </c>
      <c r="Z1135" t="s">
        <v>9898</v>
      </c>
      <c r="AD1135">
        <f t="shared" si="35"/>
        <v>3</v>
      </c>
    </row>
    <row r="1136" spans="1:30" x14ac:dyDescent="0.25">
      <c r="A1136" t="s">
        <v>1160</v>
      </c>
      <c r="B1136" s="2">
        <v>45400</v>
      </c>
      <c r="C1136" s="2">
        <v>45404</v>
      </c>
      <c r="D1136" t="s">
        <v>5173</v>
      </c>
      <c r="E1136" t="s">
        <v>5673</v>
      </c>
      <c r="F1136" t="s">
        <v>6026</v>
      </c>
      <c r="G1136" t="s">
        <v>6030</v>
      </c>
      <c r="H1136" t="s">
        <v>6033</v>
      </c>
      <c r="I1136" t="s">
        <v>6047</v>
      </c>
      <c r="J1136" t="s">
        <v>6054</v>
      </c>
      <c r="K1136" t="s">
        <v>6062</v>
      </c>
      <c r="L1136" t="s">
        <v>7125</v>
      </c>
      <c r="M1136">
        <v>118</v>
      </c>
      <c r="N1136">
        <v>6</v>
      </c>
      <c r="O1136">
        <v>0.3</v>
      </c>
      <c r="P1136">
        <v>-12.63</v>
      </c>
      <c r="Q1136" t="s">
        <v>9894</v>
      </c>
      <c r="R1136">
        <v>4</v>
      </c>
      <c r="S1136" s="5">
        <f t="shared" si="34"/>
        <v>-0.10703389830508475</v>
      </c>
      <c r="T1136">
        <v>19.666666666666671</v>
      </c>
      <c r="U1136">
        <v>4</v>
      </c>
      <c r="V1136">
        <v>2024</v>
      </c>
      <c r="W1136">
        <v>2</v>
      </c>
      <c r="X1136" t="s">
        <v>9898</v>
      </c>
      <c r="Y1136" t="s">
        <v>9900</v>
      </c>
      <c r="Z1136" t="s">
        <v>9899</v>
      </c>
      <c r="AD1136">
        <f t="shared" si="35"/>
        <v>4</v>
      </c>
    </row>
    <row r="1137" spans="1:30" x14ac:dyDescent="0.25">
      <c r="A1137" t="s">
        <v>1161</v>
      </c>
      <c r="B1137" s="2">
        <v>45237</v>
      </c>
      <c r="C1137" s="2">
        <v>45244</v>
      </c>
      <c r="D1137" t="s">
        <v>5373</v>
      </c>
      <c r="E1137" t="s">
        <v>5873</v>
      </c>
      <c r="F1137" t="s">
        <v>6026</v>
      </c>
      <c r="G1137" t="s">
        <v>6031</v>
      </c>
      <c r="H1137" t="s">
        <v>6042</v>
      </c>
      <c r="I1137" t="s">
        <v>6050</v>
      </c>
      <c r="J1137" t="s">
        <v>6055</v>
      </c>
      <c r="K1137" t="s">
        <v>6064</v>
      </c>
      <c r="L1137" t="s">
        <v>6252</v>
      </c>
      <c r="M1137">
        <v>1733.31</v>
      </c>
      <c r="N1137">
        <v>8</v>
      </c>
      <c r="O1137">
        <v>0.06</v>
      </c>
      <c r="P1137">
        <v>244.39</v>
      </c>
      <c r="Q1137" t="s">
        <v>9896</v>
      </c>
      <c r="R1137">
        <v>7</v>
      </c>
      <c r="S1137" s="5">
        <f t="shared" si="34"/>
        <v>0.14099612879404144</v>
      </c>
      <c r="T1137">
        <v>216.66374999999999</v>
      </c>
      <c r="U1137">
        <v>11</v>
      </c>
      <c r="V1137">
        <v>2023</v>
      </c>
      <c r="W1137">
        <v>4</v>
      </c>
      <c r="X1137" t="s">
        <v>9899</v>
      </c>
      <c r="Y1137" t="s">
        <v>9901</v>
      </c>
      <c r="Z1137" t="s">
        <v>9898</v>
      </c>
      <c r="AD1137">
        <f t="shared" si="35"/>
        <v>7</v>
      </c>
    </row>
    <row r="1138" spans="1:30" x14ac:dyDescent="0.25">
      <c r="A1138" t="s">
        <v>1162</v>
      </c>
      <c r="B1138" s="2">
        <v>44889</v>
      </c>
      <c r="C1138" s="2">
        <v>44890</v>
      </c>
      <c r="D1138" t="s">
        <v>5297</v>
      </c>
      <c r="E1138" t="s">
        <v>5797</v>
      </c>
      <c r="F1138" t="s">
        <v>6028</v>
      </c>
      <c r="G1138" t="s">
        <v>6030</v>
      </c>
      <c r="H1138" t="s">
        <v>6039</v>
      </c>
      <c r="I1138" t="s">
        <v>6047</v>
      </c>
      <c r="J1138" t="s">
        <v>6054</v>
      </c>
      <c r="K1138" t="s">
        <v>6059</v>
      </c>
      <c r="L1138" t="s">
        <v>7126</v>
      </c>
      <c r="M1138">
        <v>280.64999999999998</v>
      </c>
      <c r="N1138">
        <v>3</v>
      </c>
      <c r="O1138">
        <v>0.09</v>
      </c>
      <c r="P1138">
        <v>37.86</v>
      </c>
      <c r="Q1138" t="s">
        <v>9893</v>
      </c>
      <c r="R1138">
        <v>1</v>
      </c>
      <c r="S1138" s="5">
        <f t="shared" si="34"/>
        <v>0.13490112239444149</v>
      </c>
      <c r="T1138">
        <v>93.55</v>
      </c>
      <c r="U1138">
        <v>11</v>
      </c>
      <c r="V1138">
        <v>2022</v>
      </c>
      <c r="W1138">
        <v>4</v>
      </c>
      <c r="X1138" t="s">
        <v>9899</v>
      </c>
      <c r="Y1138" t="s">
        <v>9901</v>
      </c>
      <c r="Z1138" t="s">
        <v>9899</v>
      </c>
      <c r="AD1138">
        <f t="shared" si="35"/>
        <v>1</v>
      </c>
    </row>
    <row r="1139" spans="1:30" x14ac:dyDescent="0.25">
      <c r="A1139" t="s">
        <v>1163</v>
      </c>
      <c r="B1139" s="2">
        <v>45299</v>
      </c>
      <c r="C1139" s="2">
        <v>45301</v>
      </c>
      <c r="D1139" t="s">
        <v>5130</v>
      </c>
      <c r="E1139" t="s">
        <v>5630</v>
      </c>
      <c r="F1139" t="s">
        <v>6028</v>
      </c>
      <c r="G1139" t="s">
        <v>6030</v>
      </c>
      <c r="H1139" t="s">
        <v>6039</v>
      </c>
      <c r="I1139" t="s">
        <v>6047</v>
      </c>
      <c r="J1139" t="s">
        <v>6053</v>
      </c>
      <c r="K1139" t="s">
        <v>6056</v>
      </c>
      <c r="L1139" t="s">
        <v>7127</v>
      </c>
      <c r="M1139">
        <v>649.51</v>
      </c>
      <c r="N1139">
        <v>4</v>
      </c>
      <c r="O1139">
        <v>0.25</v>
      </c>
      <c r="P1139">
        <v>-28.76</v>
      </c>
      <c r="Q1139" t="s">
        <v>9893</v>
      </c>
      <c r="R1139">
        <v>2</v>
      </c>
      <c r="S1139" s="5">
        <f t="shared" si="34"/>
        <v>-4.4279533802404895E-2</v>
      </c>
      <c r="T1139">
        <v>162.3775</v>
      </c>
      <c r="U1139">
        <v>1</v>
      </c>
      <c r="V1139">
        <v>2024</v>
      </c>
      <c r="W1139">
        <v>1</v>
      </c>
      <c r="X1139" t="s">
        <v>9898</v>
      </c>
      <c r="Y1139" t="s">
        <v>9900</v>
      </c>
      <c r="Z1139" t="s">
        <v>9899</v>
      </c>
      <c r="AD1139">
        <f t="shared" si="35"/>
        <v>2</v>
      </c>
    </row>
    <row r="1140" spans="1:30" x14ac:dyDescent="0.25">
      <c r="A1140" t="s">
        <v>1164</v>
      </c>
      <c r="B1140" s="2">
        <v>45145</v>
      </c>
      <c r="C1140" s="2">
        <v>45149</v>
      </c>
      <c r="D1140" t="s">
        <v>5167</v>
      </c>
      <c r="E1140" t="s">
        <v>5667</v>
      </c>
      <c r="F1140" t="s">
        <v>6028</v>
      </c>
      <c r="G1140" t="s">
        <v>6031</v>
      </c>
      <c r="H1140" t="s">
        <v>6043</v>
      </c>
      <c r="I1140" t="s">
        <v>6048</v>
      </c>
      <c r="J1140" t="s">
        <v>6053</v>
      </c>
      <c r="K1140" t="s">
        <v>6056</v>
      </c>
      <c r="L1140" t="s">
        <v>7128</v>
      </c>
      <c r="M1140">
        <v>1974.47</v>
      </c>
      <c r="N1140">
        <v>8</v>
      </c>
      <c r="O1140">
        <v>0.26</v>
      </c>
      <c r="P1140">
        <v>-92.42</v>
      </c>
      <c r="Q1140" t="s">
        <v>9896</v>
      </c>
      <c r="R1140">
        <v>4</v>
      </c>
      <c r="S1140" s="5">
        <f t="shared" si="34"/>
        <v>-4.6807497708245757E-2</v>
      </c>
      <c r="T1140">
        <v>246.80875</v>
      </c>
      <c r="U1140">
        <v>8</v>
      </c>
      <c r="V1140">
        <v>2023</v>
      </c>
      <c r="W1140">
        <v>3</v>
      </c>
      <c r="X1140" t="s">
        <v>9898</v>
      </c>
      <c r="Y1140" t="s">
        <v>9900</v>
      </c>
      <c r="Z1140" t="s">
        <v>9898</v>
      </c>
      <c r="AD1140">
        <f t="shared" si="35"/>
        <v>4</v>
      </c>
    </row>
    <row r="1141" spans="1:30" x14ac:dyDescent="0.25">
      <c r="A1141" t="s">
        <v>1165</v>
      </c>
      <c r="B1141" s="2">
        <v>44692</v>
      </c>
      <c r="C1141" s="2">
        <v>44693</v>
      </c>
      <c r="D1141" t="s">
        <v>5402</v>
      </c>
      <c r="E1141" t="s">
        <v>5902</v>
      </c>
      <c r="F1141" t="s">
        <v>6026</v>
      </c>
      <c r="G1141" t="s">
        <v>6030</v>
      </c>
      <c r="H1141" t="s">
        <v>6035</v>
      </c>
      <c r="I1141" t="s">
        <v>6047</v>
      </c>
      <c r="J1141" t="s">
        <v>6053</v>
      </c>
      <c r="K1141" t="s">
        <v>6057</v>
      </c>
      <c r="L1141" t="s">
        <v>7129</v>
      </c>
      <c r="M1141">
        <v>844.67</v>
      </c>
      <c r="N1141">
        <v>1</v>
      </c>
      <c r="O1141">
        <v>0.02</v>
      </c>
      <c r="P1141">
        <v>93.79</v>
      </c>
      <c r="Q1141" t="s">
        <v>9893</v>
      </c>
      <c r="R1141">
        <v>1</v>
      </c>
      <c r="S1141" s="5">
        <f t="shared" si="34"/>
        <v>0.11103744657676964</v>
      </c>
      <c r="T1141">
        <v>844.67</v>
      </c>
      <c r="U1141">
        <v>5</v>
      </c>
      <c r="V1141">
        <v>2022</v>
      </c>
      <c r="W1141">
        <v>2</v>
      </c>
      <c r="X1141" t="s">
        <v>9899</v>
      </c>
      <c r="Y1141" t="s">
        <v>9901</v>
      </c>
      <c r="Z1141" t="s">
        <v>9899</v>
      </c>
      <c r="AD1141">
        <f t="shared" si="35"/>
        <v>1</v>
      </c>
    </row>
    <row r="1142" spans="1:30" x14ac:dyDescent="0.25">
      <c r="A1142" t="s">
        <v>1166</v>
      </c>
      <c r="B1142" s="2">
        <v>45411</v>
      </c>
      <c r="C1142" s="2">
        <v>45416</v>
      </c>
      <c r="D1142" t="s">
        <v>5478</v>
      </c>
      <c r="E1142" t="s">
        <v>5978</v>
      </c>
      <c r="F1142" t="s">
        <v>6027</v>
      </c>
      <c r="G1142" t="s">
        <v>6029</v>
      </c>
      <c r="H1142" t="s">
        <v>6032</v>
      </c>
      <c r="I1142" t="s">
        <v>6046</v>
      </c>
      <c r="J1142" t="s">
        <v>6055</v>
      </c>
      <c r="K1142" t="s">
        <v>6061</v>
      </c>
      <c r="L1142" t="s">
        <v>7130</v>
      </c>
      <c r="M1142">
        <v>1957.61</v>
      </c>
      <c r="N1142">
        <v>1</v>
      </c>
      <c r="O1142">
        <v>0.32</v>
      </c>
      <c r="P1142">
        <v>-362.51</v>
      </c>
      <c r="Q1142" t="s">
        <v>9894</v>
      </c>
      <c r="R1142">
        <v>5</v>
      </c>
      <c r="S1142" s="5">
        <f t="shared" si="34"/>
        <v>-0.18517988772023028</v>
      </c>
      <c r="T1142">
        <v>1957.61</v>
      </c>
      <c r="U1142">
        <v>4</v>
      </c>
      <c r="V1142">
        <v>2024</v>
      </c>
      <c r="W1142">
        <v>2</v>
      </c>
      <c r="X1142" t="s">
        <v>9898</v>
      </c>
      <c r="Y1142" t="s">
        <v>9902</v>
      </c>
      <c r="Z1142" t="s">
        <v>9898</v>
      </c>
      <c r="AD1142">
        <f t="shared" si="35"/>
        <v>5</v>
      </c>
    </row>
    <row r="1143" spans="1:30" x14ac:dyDescent="0.25">
      <c r="A1143" t="s">
        <v>1167</v>
      </c>
      <c r="B1143" s="2">
        <v>45040</v>
      </c>
      <c r="C1143" s="2">
        <v>45047</v>
      </c>
      <c r="D1143" t="s">
        <v>5284</v>
      </c>
      <c r="E1143" t="s">
        <v>5784</v>
      </c>
      <c r="F1143" t="s">
        <v>6027</v>
      </c>
      <c r="G1143" t="s">
        <v>6029</v>
      </c>
      <c r="H1143" t="s">
        <v>6045</v>
      </c>
      <c r="I1143" t="s">
        <v>6050</v>
      </c>
      <c r="J1143" t="s">
        <v>6054</v>
      </c>
      <c r="K1143" t="s">
        <v>6059</v>
      </c>
      <c r="L1143" t="s">
        <v>7131</v>
      </c>
      <c r="M1143">
        <v>638.35</v>
      </c>
      <c r="N1143">
        <v>5</v>
      </c>
      <c r="O1143">
        <v>0.1</v>
      </c>
      <c r="P1143">
        <v>38.99</v>
      </c>
      <c r="Q1143" t="s">
        <v>9895</v>
      </c>
      <c r="R1143">
        <v>7</v>
      </c>
      <c r="S1143" s="5">
        <f t="shared" si="34"/>
        <v>6.1079345186809741E-2</v>
      </c>
      <c r="T1143">
        <v>127.67</v>
      </c>
      <c r="U1143">
        <v>4</v>
      </c>
      <c r="V1143">
        <v>2023</v>
      </c>
      <c r="W1143">
        <v>2</v>
      </c>
      <c r="X1143" t="s">
        <v>9899</v>
      </c>
      <c r="Y1143" t="s">
        <v>9901</v>
      </c>
      <c r="Z1143" t="s">
        <v>9899</v>
      </c>
      <c r="AD1143">
        <f t="shared" si="35"/>
        <v>7</v>
      </c>
    </row>
    <row r="1144" spans="1:30" x14ac:dyDescent="0.25">
      <c r="A1144" t="s">
        <v>1168</v>
      </c>
      <c r="B1144" s="2">
        <v>44872</v>
      </c>
      <c r="C1144" s="2">
        <v>44877</v>
      </c>
      <c r="D1144" t="s">
        <v>5081</v>
      </c>
      <c r="E1144" t="s">
        <v>5581</v>
      </c>
      <c r="F1144" t="s">
        <v>6028</v>
      </c>
      <c r="G1144" t="s">
        <v>6029</v>
      </c>
      <c r="H1144" t="s">
        <v>6044</v>
      </c>
      <c r="I1144" t="s">
        <v>6049</v>
      </c>
      <c r="J1144" t="s">
        <v>6055</v>
      </c>
      <c r="K1144" t="s">
        <v>6061</v>
      </c>
      <c r="L1144" t="s">
        <v>7132</v>
      </c>
      <c r="M1144">
        <v>1353.49</v>
      </c>
      <c r="N1144">
        <v>1</v>
      </c>
      <c r="O1144">
        <v>0.22</v>
      </c>
      <c r="P1144">
        <v>-135.61000000000001</v>
      </c>
      <c r="Q1144" t="s">
        <v>9896</v>
      </c>
      <c r="R1144">
        <v>5</v>
      </c>
      <c r="S1144" s="5">
        <f t="shared" si="34"/>
        <v>-0.10019283481961448</v>
      </c>
      <c r="T1144">
        <v>1353.49</v>
      </c>
      <c r="U1144">
        <v>11</v>
      </c>
      <c r="V1144">
        <v>2022</v>
      </c>
      <c r="W1144">
        <v>4</v>
      </c>
      <c r="X1144" t="s">
        <v>9898</v>
      </c>
      <c r="Y1144" t="s">
        <v>9900</v>
      </c>
      <c r="Z1144" t="s">
        <v>9898</v>
      </c>
      <c r="AD1144">
        <f t="shared" si="35"/>
        <v>5</v>
      </c>
    </row>
    <row r="1145" spans="1:30" x14ac:dyDescent="0.25">
      <c r="A1145" t="s">
        <v>1169</v>
      </c>
      <c r="B1145" s="2">
        <v>44945</v>
      </c>
      <c r="C1145" s="2">
        <v>44946</v>
      </c>
      <c r="D1145" t="s">
        <v>5300</v>
      </c>
      <c r="E1145" t="s">
        <v>5800</v>
      </c>
      <c r="F1145" t="s">
        <v>6028</v>
      </c>
      <c r="G1145" t="s">
        <v>6030</v>
      </c>
      <c r="H1145" t="s">
        <v>6038</v>
      </c>
      <c r="I1145" t="s">
        <v>6051</v>
      </c>
      <c r="J1145" t="s">
        <v>6054</v>
      </c>
      <c r="K1145" t="s">
        <v>6062</v>
      </c>
      <c r="L1145" t="s">
        <v>7133</v>
      </c>
      <c r="M1145">
        <v>856.74</v>
      </c>
      <c r="N1145">
        <v>4</v>
      </c>
      <c r="O1145">
        <v>0.16</v>
      </c>
      <c r="P1145">
        <v>115.59</v>
      </c>
      <c r="Q1145" t="s">
        <v>9893</v>
      </c>
      <c r="R1145">
        <v>1</v>
      </c>
      <c r="S1145" s="5">
        <f t="shared" si="34"/>
        <v>0.13491841165347715</v>
      </c>
      <c r="T1145">
        <v>214.185</v>
      </c>
      <c r="U1145">
        <v>1</v>
      </c>
      <c r="V1145">
        <v>2023</v>
      </c>
      <c r="W1145">
        <v>1</v>
      </c>
      <c r="X1145" t="s">
        <v>9899</v>
      </c>
      <c r="Y1145" t="s">
        <v>9900</v>
      </c>
      <c r="Z1145" t="s">
        <v>9899</v>
      </c>
      <c r="AD1145">
        <f t="shared" si="35"/>
        <v>1</v>
      </c>
    </row>
    <row r="1146" spans="1:30" x14ac:dyDescent="0.25">
      <c r="A1146" t="s">
        <v>1170</v>
      </c>
      <c r="B1146" s="2">
        <v>45096</v>
      </c>
      <c r="C1146" s="2">
        <v>45101</v>
      </c>
      <c r="D1146" t="s">
        <v>5044</v>
      </c>
      <c r="E1146" t="s">
        <v>5544</v>
      </c>
      <c r="F1146" t="s">
        <v>6026</v>
      </c>
      <c r="G1146" t="s">
        <v>6030</v>
      </c>
      <c r="H1146" t="s">
        <v>6033</v>
      </c>
      <c r="I1146" t="s">
        <v>6051</v>
      </c>
      <c r="J1146" t="s">
        <v>6055</v>
      </c>
      <c r="K1146" t="s">
        <v>6063</v>
      </c>
      <c r="L1146" t="s">
        <v>7134</v>
      </c>
      <c r="M1146">
        <v>1925.37</v>
      </c>
      <c r="N1146">
        <v>8</v>
      </c>
      <c r="O1146">
        <v>0.26</v>
      </c>
      <c r="P1146">
        <v>-265.19</v>
      </c>
      <c r="Q1146" t="s">
        <v>9896</v>
      </c>
      <c r="R1146">
        <v>5</v>
      </c>
      <c r="S1146" s="5">
        <f t="shared" si="34"/>
        <v>-0.13773456530433112</v>
      </c>
      <c r="T1146">
        <v>240.67124999999999</v>
      </c>
      <c r="U1146">
        <v>6</v>
      </c>
      <c r="V1146">
        <v>2023</v>
      </c>
      <c r="W1146">
        <v>2</v>
      </c>
      <c r="X1146" t="s">
        <v>9898</v>
      </c>
      <c r="Y1146" t="s">
        <v>9900</v>
      </c>
      <c r="Z1146" t="s">
        <v>9898</v>
      </c>
      <c r="AD1146">
        <f t="shared" si="35"/>
        <v>5</v>
      </c>
    </row>
    <row r="1147" spans="1:30" x14ac:dyDescent="0.25">
      <c r="A1147" t="s">
        <v>1171</v>
      </c>
      <c r="B1147" s="2">
        <v>45103</v>
      </c>
      <c r="C1147" s="2">
        <v>45107</v>
      </c>
      <c r="D1147" t="s">
        <v>5030</v>
      </c>
      <c r="E1147" t="s">
        <v>5530</v>
      </c>
      <c r="F1147" t="s">
        <v>6026</v>
      </c>
      <c r="G1147" t="s">
        <v>6031</v>
      </c>
      <c r="H1147" t="s">
        <v>6040</v>
      </c>
      <c r="I1147" t="s">
        <v>6050</v>
      </c>
      <c r="J1147" t="s">
        <v>6055</v>
      </c>
      <c r="K1147" t="s">
        <v>6064</v>
      </c>
      <c r="L1147" t="s">
        <v>7135</v>
      </c>
      <c r="M1147">
        <v>641.47</v>
      </c>
      <c r="N1147">
        <v>1</v>
      </c>
      <c r="O1147">
        <v>0.34</v>
      </c>
      <c r="P1147">
        <v>-136.62</v>
      </c>
      <c r="Q1147" t="s">
        <v>9895</v>
      </c>
      <c r="R1147">
        <v>4</v>
      </c>
      <c r="S1147" s="5">
        <f t="shared" si="34"/>
        <v>-0.21297956256722839</v>
      </c>
      <c r="T1147">
        <v>641.47</v>
      </c>
      <c r="U1147">
        <v>6</v>
      </c>
      <c r="V1147">
        <v>2023</v>
      </c>
      <c r="W1147">
        <v>2</v>
      </c>
      <c r="X1147" t="s">
        <v>9898</v>
      </c>
      <c r="Y1147" t="s">
        <v>9902</v>
      </c>
      <c r="Z1147" t="s">
        <v>9899</v>
      </c>
      <c r="AD1147">
        <f t="shared" si="35"/>
        <v>4</v>
      </c>
    </row>
    <row r="1148" spans="1:30" x14ac:dyDescent="0.25">
      <c r="A1148" t="s">
        <v>1172</v>
      </c>
      <c r="B1148" s="2">
        <v>45434</v>
      </c>
      <c r="C1148" s="2">
        <v>45440</v>
      </c>
      <c r="D1148" t="s">
        <v>5479</v>
      </c>
      <c r="E1148" t="s">
        <v>5979</v>
      </c>
      <c r="F1148" t="s">
        <v>6028</v>
      </c>
      <c r="G1148" t="s">
        <v>6030</v>
      </c>
      <c r="H1148" t="s">
        <v>6035</v>
      </c>
      <c r="I1148" t="s">
        <v>6047</v>
      </c>
      <c r="J1148" t="s">
        <v>6053</v>
      </c>
      <c r="K1148" t="s">
        <v>6058</v>
      </c>
      <c r="L1148" t="s">
        <v>6505</v>
      </c>
      <c r="M1148">
        <v>880.97</v>
      </c>
      <c r="N1148">
        <v>8</v>
      </c>
      <c r="O1148">
        <v>0.28000000000000003</v>
      </c>
      <c r="P1148">
        <v>-75.91</v>
      </c>
      <c r="Q1148" t="s">
        <v>9894</v>
      </c>
      <c r="R1148">
        <v>6</v>
      </c>
      <c r="S1148" s="5">
        <f t="shared" si="34"/>
        <v>-8.6166384780412497E-2</v>
      </c>
      <c r="T1148">
        <v>110.12125</v>
      </c>
      <c r="U1148">
        <v>5</v>
      </c>
      <c r="V1148">
        <v>2024</v>
      </c>
      <c r="W1148">
        <v>2</v>
      </c>
      <c r="X1148" t="s">
        <v>9898</v>
      </c>
      <c r="Y1148" t="s">
        <v>9900</v>
      </c>
      <c r="Z1148" t="s">
        <v>9899</v>
      </c>
      <c r="AD1148">
        <f t="shared" si="35"/>
        <v>6</v>
      </c>
    </row>
    <row r="1149" spans="1:30" x14ac:dyDescent="0.25">
      <c r="A1149" t="s">
        <v>1173</v>
      </c>
      <c r="B1149" s="2">
        <v>45224</v>
      </c>
      <c r="C1149" s="2">
        <v>45228</v>
      </c>
      <c r="D1149" t="s">
        <v>5290</v>
      </c>
      <c r="E1149" t="s">
        <v>5790</v>
      </c>
      <c r="F1149" t="s">
        <v>6027</v>
      </c>
      <c r="G1149" t="s">
        <v>6029</v>
      </c>
      <c r="H1149" t="s">
        <v>6032</v>
      </c>
      <c r="I1149" t="s">
        <v>6046</v>
      </c>
      <c r="J1149" t="s">
        <v>6055</v>
      </c>
      <c r="K1149" t="s">
        <v>6061</v>
      </c>
      <c r="L1149" t="s">
        <v>6429</v>
      </c>
      <c r="M1149">
        <v>1067.8</v>
      </c>
      <c r="N1149">
        <v>3</v>
      </c>
      <c r="O1149">
        <v>0.14000000000000001</v>
      </c>
      <c r="P1149">
        <v>169.14</v>
      </c>
      <c r="Q1149" t="s">
        <v>9893</v>
      </c>
      <c r="R1149">
        <v>4</v>
      </c>
      <c r="S1149" s="5">
        <f t="shared" si="34"/>
        <v>0.15840044952238247</v>
      </c>
      <c r="T1149">
        <v>355.93333333333328</v>
      </c>
      <c r="U1149">
        <v>10</v>
      </c>
      <c r="V1149">
        <v>2023</v>
      </c>
      <c r="W1149">
        <v>4</v>
      </c>
      <c r="X1149" t="s">
        <v>9899</v>
      </c>
      <c r="Y1149" t="s">
        <v>9901</v>
      </c>
      <c r="Z1149" t="s">
        <v>9898</v>
      </c>
      <c r="AD1149">
        <f t="shared" si="35"/>
        <v>4</v>
      </c>
    </row>
    <row r="1150" spans="1:30" x14ac:dyDescent="0.25">
      <c r="A1150" t="s">
        <v>1174</v>
      </c>
      <c r="B1150" s="2">
        <v>45190</v>
      </c>
      <c r="C1150" s="2">
        <v>45196</v>
      </c>
      <c r="D1150" t="s">
        <v>5480</v>
      </c>
      <c r="E1150" t="s">
        <v>5980</v>
      </c>
      <c r="F1150" t="s">
        <v>6027</v>
      </c>
      <c r="G1150" t="s">
        <v>6031</v>
      </c>
      <c r="H1150" t="s">
        <v>6034</v>
      </c>
      <c r="I1150" t="s">
        <v>6050</v>
      </c>
      <c r="J1150" t="s">
        <v>6055</v>
      </c>
      <c r="K1150" t="s">
        <v>6063</v>
      </c>
      <c r="L1150" t="s">
        <v>7136</v>
      </c>
      <c r="M1150">
        <v>644.54</v>
      </c>
      <c r="N1150">
        <v>2</v>
      </c>
      <c r="O1150">
        <v>0.15</v>
      </c>
      <c r="P1150">
        <v>95.95</v>
      </c>
      <c r="Q1150" t="s">
        <v>9897</v>
      </c>
      <c r="R1150">
        <v>6</v>
      </c>
      <c r="S1150" s="5">
        <f t="shared" si="34"/>
        <v>0.14886585782108172</v>
      </c>
      <c r="T1150">
        <v>322.27</v>
      </c>
      <c r="U1150">
        <v>9</v>
      </c>
      <c r="V1150">
        <v>2023</v>
      </c>
      <c r="W1150">
        <v>3</v>
      </c>
      <c r="X1150" t="s">
        <v>9899</v>
      </c>
      <c r="Y1150" t="s">
        <v>9901</v>
      </c>
      <c r="Z1150" t="s">
        <v>9899</v>
      </c>
      <c r="AD1150">
        <f t="shared" si="35"/>
        <v>6</v>
      </c>
    </row>
    <row r="1151" spans="1:30" x14ac:dyDescent="0.25">
      <c r="A1151" t="s">
        <v>1175</v>
      </c>
      <c r="B1151" s="2">
        <v>45192</v>
      </c>
      <c r="C1151" s="2">
        <v>45196</v>
      </c>
      <c r="D1151" t="s">
        <v>5404</v>
      </c>
      <c r="E1151" t="s">
        <v>5904</v>
      </c>
      <c r="F1151" t="s">
        <v>6026</v>
      </c>
      <c r="G1151" t="s">
        <v>6029</v>
      </c>
      <c r="H1151" t="s">
        <v>6032</v>
      </c>
      <c r="I1151" t="s">
        <v>6050</v>
      </c>
      <c r="J1151" t="s">
        <v>6055</v>
      </c>
      <c r="K1151" t="s">
        <v>6063</v>
      </c>
      <c r="L1151" t="s">
        <v>7137</v>
      </c>
      <c r="M1151">
        <v>1397.35</v>
      </c>
      <c r="N1151">
        <v>2</v>
      </c>
      <c r="O1151">
        <v>0.28999999999999998</v>
      </c>
      <c r="P1151">
        <v>-65.760000000000005</v>
      </c>
      <c r="Q1151" t="s">
        <v>9895</v>
      </c>
      <c r="R1151">
        <v>4</v>
      </c>
      <c r="S1151" s="5">
        <f t="shared" si="34"/>
        <v>-4.7060507388986303E-2</v>
      </c>
      <c r="T1151">
        <v>698.67499999999995</v>
      </c>
      <c r="U1151">
        <v>9</v>
      </c>
      <c r="V1151">
        <v>2023</v>
      </c>
      <c r="W1151">
        <v>3</v>
      </c>
      <c r="X1151" t="s">
        <v>9898</v>
      </c>
      <c r="Y1151" t="s">
        <v>9900</v>
      </c>
      <c r="Z1151" t="s">
        <v>9898</v>
      </c>
      <c r="AD1151">
        <f t="shared" si="35"/>
        <v>4</v>
      </c>
    </row>
    <row r="1152" spans="1:30" x14ac:dyDescent="0.25">
      <c r="A1152" t="s">
        <v>1176</v>
      </c>
      <c r="B1152" s="2">
        <v>44915</v>
      </c>
      <c r="C1152" s="2">
        <v>44918</v>
      </c>
      <c r="D1152" t="s">
        <v>5481</v>
      </c>
      <c r="E1152" t="s">
        <v>5981</v>
      </c>
      <c r="F1152" t="s">
        <v>6026</v>
      </c>
      <c r="G1152" t="s">
        <v>6031</v>
      </c>
      <c r="H1152" t="s">
        <v>6042</v>
      </c>
      <c r="I1152" t="s">
        <v>6052</v>
      </c>
      <c r="J1152" t="s">
        <v>6055</v>
      </c>
      <c r="K1152" t="s">
        <v>6064</v>
      </c>
      <c r="L1152" t="s">
        <v>7138</v>
      </c>
      <c r="M1152">
        <v>703.16</v>
      </c>
      <c r="N1152">
        <v>6</v>
      </c>
      <c r="O1152">
        <v>0.34</v>
      </c>
      <c r="P1152">
        <v>-36.53</v>
      </c>
      <c r="Q1152" t="s">
        <v>9897</v>
      </c>
      <c r="R1152">
        <v>3</v>
      </c>
      <c r="S1152" s="5">
        <f t="shared" si="34"/>
        <v>-5.1951191762898918E-2</v>
      </c>
      <c r="T1152">
        <v>117.1933333333333</v>
      </c>
      <c r="U1152">
        <v>12</v>
      </c>
      <c r="V1152">
        <v>2022</v>
      </c>
      <c r="W1152">
        <v>4</v>
      </c>
      <c r="X1152" t="s">
        <v>9898</v>
      </c>
      <c r="Y1152" t="s">
        <v>9902</v>
      </c>
      <c r="Z1152" t="s">
        <v>9899</v>
      </c>
      <c r="AD1152">
        <f t="shared" si="35"/>
        <v>3</v>
      </c>
    </row>
    <row r="1153" spans="1:30" x14ac:dyDescent="0.25">
      <c r="A1153" t="s">
        <v>1177</v>
      </c>
      <c r="B1153" s="2">
        <v>45087</v>
      </c>
      <c r="C1153" s="2">
        <v>45094</v>
      </c>
      <c r="D1153" t="s">
        <v>5204</v>
      </c>
      <c r="E1153" t="s">
        <v>5704</v>
      </c>
      <c r="F1153" t="s">
        <v>6028</v>
      </c>
      <c r="G1153" t="s">
        <v>6031</v>
      </c>
      <c r="H1153" t="s">
        <v>6042</v>
      </c>
      <c r="I1153" t="s">
        <v>6050</v>
      </c>
      <c r="J1153" t="s">
        <v>6053</v>
      </c>
      <c r="K1153" t="s">
        <v>6056</v>
      </c>
      <c r="L1153" t="s">
        <v>7139</v>
      </c>
      <c r="M1153">
        <v>1119.5</v>
      </c>
      <c r="N1153">
        <v>8</v>
      </c>
      <c r="O1153">
        <v>0.25</v>
      </c>
      <c r="P1153">
        <v>-58.24</v>
      </c>
      <c r="Q1153" t="s">
        <v>9894</v>
      </c>
      <c r="R1153">
        <v>7</v>
      </c>
      <c r="S1153" s="5">
        <f t="shared" si="34"/>
        <v>-5.2023224653863331E-2</v>
      </c>
      <c r="T1153">
        <v>139.9375</v>
      </c>
      <c r="U1153">
        <v>6</v>
      </c>
      <c r="V1153">
        <v>2023</v>
      </c>
      <c r="W1153">
        <v>2</v>
      </c>
      <c r="X1153" t="s">
        <v>9898</v>
      </c>
      <c r="Y1153" t="s">
        <v>9900</v>
      </c>
      <c r="Z1153" t="s">
        <v>9898</v>
      </c>
      <c r="AD1153">
        <f t="shared" si="35"/>
        <v>7</v>
      </c>
    </row>
    <row r="1154" spans="1:30" x14ac:dyDescent="0.25">
      <c r="A1154" t="s">
        <v>1178</v>
      </c>
      <c r="B1154" s="2">
        <v>44831</v>
      </c>
      <c r="C1154" s="2">
        <v>44832</v>
      </c>
      <c r="D1154" t="s">
        <v>5168</v>
      </c>
      <c r="E1154" t="s">
        <v>5668</v>
      </c>
      <c r="F1154" t="s">
        <v>6028</v>
      </c>
      <c r="G1154" t="s">
        <v>6029</v>
      </c>
      <c r="H1154" t="s">
        <v>6041</v>
      </c>
      <c r="I1154" t="s">
        <v>6046</v>
      </c>
      <c r="J1154" t="s">
        <v>6055</v>
      </c>
      <c r="K1154" t="s">
        <v>6063</v>
      </c>
      <c r="L1154" t="s">
        <v>7140</v>
      </c>
      <c r="M1154">
        <v>612.87</v>
      </c>
      <c r="N1154">
        <v>4</v>
      </c>
      <c r="O1154">
        <v>0.25</v>
      </c>
      <c r="P1154">
        <v>17.43</v>
      </c>
      <c r="Q1154" t="s">
        <v>9896</v>
      </c>
      <c r="R1154">
        <v>1</v>
      </c>
      <c r="S1154" s="5">
        <f t="shared" si="34"/>
        <v>2.8439962797983259E-2</v>
      </c>
      <c r="T1154">
        <v>153.2175</v>
      </c>
      <c r="U1154">
        <v>9</v>
      </c>
      <c r="V1154">
        <v>2022</v>
      </c>
      <c r="W1154">
        <v>3</v>
      </c>
      <c r="X1154" t="s">
        <v>9899</v>
      </c>
      <c r="Y1154" t="s">
        <v>9900</v>
      </c>
      <c r="Z1154" t="s">
        <v>9899</v>
      </c>
      <c r="AD1154">
        <f t="shared" si="35"/>
        <v>1</v>
      </c>
    </row>
    <row r="1155" spans="1:30" x14ac:dyDescent="0.25">
      <c r="A1155" t="s">
        <v>1179</v>
      </c>
      <c r="B1155" s="2">
        <v>45432</v>
      </c>
      <c r="C1155" s="2">
        <v>45433</v>
      </c>
      <c r="D1155" t="s">
        <v>5373</v>
      </c>
      <c r="E1155" t="s">
        <v>5873</v>
      </c>
      <c r="F1155" t="s">
        <v>6026</v>
      </c>
      <c r="G1155" t="s">
        <v>6029</v>
      </c>
      <c r="H1155" t="s">
        <v>6036</v>
      </c>
      <c r="I1155" t="s">
        <v>6050</v>
      </c>
      <c r="J1155" t="s">
        <v>6055</v>
      </c>
      <c r="K1155" t="s">
        <v>6063</v>
      </c>
      <c r="L1155" t="s">
        <v>7141</v>
      </c>
      <c r="M1155">
        <v>1347.85</v>
      </c>
      <c r="N1155">
        <v>5</v>
      </c>
      <c r="O1155">
        <v>0.15</v>
      </c>
      <c r="P1155">
        <v>126.54</v>
      </c>
      <c r="Q1155" t="s">
        <v>9896</v>
      </c>
      <c r="R1155">
        <v>1</v>
      </c>
      <c r="S1155" s="5">
        <f t="shared" ref="S1155:S1218" si="36">P1155/M1155</f>
        <v>9.3882850465556264E-2</v>
      </c>
      <c r="T1155">
        <v>269.57</v>
      </c>
      <c r="U1155">
        <v>5</v>
      </c>
      <c r="V1155">
        <v>2024</v>
      </c>
      <c r="W1155">
        <v>2</v>
      </c>
      <c r="X1155" t="s">
        <v>9899</v>
      </c>
      <c r="Y1155" t="s">
        <v>9901</v>
      </c>
      <c r="Z1155" t="s">
        <v>9898</v>
      </c>
      <c r="AD1155">
        <f t="shared" ref="AD1155:AD1218" si="37">C1155-B1155</f>
        <v>1</v>
      </c>
    </row>
    <row r="1156" spans="1:30" x14ac:dyDescent="0.25">
      <c r="A1156" t="s">
        <v>1180</v>
      </c>
      <c r="B1156" s="2">
        <v>45186</v>
      </c>
      <c r="C1156" s="2">
        <v>45188</v>
      </c>
      <c r="D1156" t="s">
        <v>5443</v>
      </c>
      <c r="E1156" t="s">
        <v>5943</v>
      </c>
      <c r="F1156" t="s">
        <v>6028</v>
      </c>
      <c r="G1156" t="s">
        <v>6029</v>
      </c>
      <c r="H1156" t="s">
        <v>6044</v>
      </c>
      <c r="I1156" t="s">
        <v>6046</v>
      </c>
      <c r="J1156" t="s">
        <v>6053</v>
      </c>
      <c r="K1156" t="s">
        <v>6056</v>
      </c>
      <c r="L1156" t="s">
        <v>7142</v>
      </c>
      <c r="M1156">
        <v>1611.21</v>
      </c>
      <c r="N1156">
        <v>7</v>
      </c>
      <c r="O1156">
        <v>0.14000000000000001</v>
      </c>
      <c r="P1156">
        <v>42.09</v>
      </c>
      <c r="Q1156" t="s">
        <v>9895</v>
      </c>
      <c r="R1156">
        <v>2</v>
      </c>
      <c r="S1156" s="5">
        <f t="shared" si="36"/>
        <v>2.6123224160723931E-2</v>
      </c>
      <c r="T1156">
        <v>230.17285714285711</v>
      </c>
      <c r="U1156">
        <v>9</v>
      </c>
      <c r="V1156">
        <v>2023</v>
      </c>
      <c r="W1156">
        <v>3</v>
      </c>
      <c r="X1156" t="s">
        <v>9899</v>
      </c>
      <c r="Y1156" t="s">
        <v>9901</v>
      </c>
      <c r="Z1156" t="s">
        <v>9898</v>
      </c>
      <c r="AD1156">
        <f t="shared" si="37"/>
        <v>2</v>
      </c>
    </row>
    <row r="1157" spans="1:30" x14ac:dyDescent="0.25">
      <c r="A1157" t="s">
        <v>1181</v>
      </c>
      <c r="B1157" s="2">
        <v>44869</v>
      </c>
      <c r="C1157" s="2">
        <v>44874</v>
      </c>
      <c r="D1157" t="s">
        <v>5063</v>
      </c>
      <c r="E1157" t="s">
        <v>5563</v>
      </c>
      <c r="F1157" t="s">
        <v>6027</v>
      </c>
      <c r="G1157" t="s">
        <v>6031</v>
      </c>
      <c r="H1157" t="s">
        <v>6037</v>
      </c>
      <c r="I1157" t="s">
        <v>6048</v>
      </c>
      <c r="J1157" t="s">
        <v>6055</v>
      </c>
      <c r="K1157" t="s">
        <v>6064</v>
      </c>
      <c r="L1157" t="s">
        <v>7143</v>
      </c>
      <c r="M1157">
        <v>1286</v>
      </c>
      <c r="N1157">
        <v>3</v>
      </c>
      <c r="O1157">
        <v>0.22</v>
      </c>
      <c r="P1157">
        <v>-66.989999999999995</v>
      </c>
      <c r="Q1157" t="s">
        <v>9894</v>
      </c>
      <c r="R1157">
        <v>5</v>
      </c>
      <c r="S1157" s="5">
        <f t="shared" si="36"/>
        <v>-5.2091757387247271E-2</v>
      </c>
      <c r="T1157">
        <v>428.66666666666669</v>
      </c>
      <c r="U1157">
        <v>11</v>
      </c>
      <c r="V1157">
        <v>2022</v>
      </c>
      <c r="W1157">
        <v>4</v>
      </c>
      <c r="X1157" t="s">
        <v>9898</v>
      </c>
      <c r="Y1157" t="s">
        <v>9900</v>
      </c>
      <c r="Z1157" t="s">
        <v>9898</v>
      </c>
      <c r="AD1157">
        <f t="shared" si="37"/>
        <v>5</v>
      </c>
    </row>
    <row r="1158" spans="1:30" x14ac:dyDescent="0.25">
      <c r="A1158" t="s">
        <v>1182</v>
      </c>
      <c r="B1158" s="2">
        <v>44761</v>
      </c>
      <c r="C1158" s="2">
        <v>44766</v>
      </c>
      <c r="D1158" t="s">
        <v>5038</v>
      </c>
      <c r="E1158" t="s">
        <v>5538</v>
      </c>
      <c r="F1158" t="s">
        <v>6028</v>
      </c>
      <c r="G1158" t="s">
        <v>6029</v>
      </c>
      <c r="H1158" t="s">
        <v>6036</v>
      </c>
      <c r="I1158" t="s">
        <v>6050</v>
      </c>
      <c r="J1158" t="s">
        <v>6053</v>
      </c>
      <c r="K1158" t="s">
        <v>6056</v>
      </c>
      <c r="L1158" t="s">
        <v>7144</v>
      </c>
      <c r="M1158">
        <v>1578.11</v>
      </c>
      <c r="N1158">
        <v>3</v>
      </c>
      <c r="O1158">
        <v>0.28000000000000003</v>
      </c>
      <c r="P1158">
        <v>-38.31</v>
      </c>
      <c r="Q1158" t="s">
        <v>9893</v>
      </c>
      <c r="R1158">
        <v>5</v>
      </c>
      <c r="S1158" s="5">
        <f t="shared" si="36"/>
        <v>-2.4275874305339933E-2</v>
      </c>
      <c r="T1158">
        <v>526.03666666666663</v>
      </c>
      <c r="U1158">
        <v>7</v>
      </c>
      <c r="V1158">
        <v>2022</v>
      </c>
      <c r="W1158">
        <v>3</v>
      </c>
      <c r="X1158" t="s">
        <v>9898</v>
      </c>
      <c r="Y1158" t="s">
        <v>9900</v>
      </c>
      <c r="Z1158" t="s">
        <v>9898</v>
      </c>
      <c r="AD1158">
        <f t="shared" si="37"/>
        <v>5</v>
      </c>
    </row>
    <row r="1159" spans="1:30" x14ac:dyDescent="0.25">
      <c r="A1159" t="s">
        <v>1183</v>
      </c>
      <c r="B1159" s="2">
        <v>45072</v>
      </c>
      <c r="C1159" s="2">
        <v>45074</v>
      </c>
      <c r="D1159" t="s">
        <v>5032</v>
      </c>
      <c r="E1159" t="s">
        <v>5532</v>
      </c>
      <c r="F1159" t="s">
        <v>6027</v>
      </c>
      <c r="G1159" t="s">
        <v>6029</v>
      </c>
      <c r="H1159" t="s">
        <v>6036</v>
      </c>
      <c r="I1159" t="s">
        <v>6046</v>
      </c>
      <c r="J1159" t="s">
        <v>6055</v>
      </c>
      <c r="K1159" t="s">
        <v>6061</v>
      </c>
      <c r="L1159" t="s">
        <v>7145</v>
      </c>
      <c r="M1159">
        <v>656.93</v>
      </c>
      <c r="N1159">
        <v>1</v>
      </c>
      <c r="O1159">
        <v>0</v>
      </c>
      <c r="P1159">
        <v>176.78</v>
      </c>
      <c r="Q1159" t="s">
        <v>9893</v>
      </c>
      <c r="R1159">
        <v>2</v>
      </c>
      <c r="S1159" s="5">
        <f t="shared" si="36"/>
        <v>0.26910020854581163</v>
      </c>
      <c r="T1159">
        <v>656.93</v>
      </c>
      <c r="U1159">
        <v>5</v>
      </c>
      <c r="V1159">
        <v>2023</v>
      </c>
      <c r="W1159">
        <v>2</v>
      </c>
      <c r="X1159" t="s">
        <v>9899</v>
      </c>
      <c r="Y1159" t="s">
        <v>9901</v>
      </c>
      <c r="Z1159" t="s">
        <v>9899</v>
      </c>
      <c r="AD1159">
        <f t="shared" si="37"/>
        <v>2</v>
      </c>
    </row>
    <row r="1160" spans="1:30" x14ac:dyDescent="0.25">
      <c r="A1160" t="s">
        <v>1184</v>
      </c>
      <c r="B1160" s="2">
        <v>45418</v>
      </c>
      <c r="C1160" s="2">
        <v>45420</v>
      </c>
      <c r="D1160" t="s">
        <v>5375</v>
      </c>
      <c r="E1160" t="s">
        <v>5875</v>
      </c>
      <c r="F1160" t="s">
        <v>6026</v>
      </c>
      <c r="G1160" t="s">
        <v>6029</v>
      </c>
      <c r="H1160" t="s">
        <v>6045</v>
      </c>
      <c r="I1160" t="s">
        <v>6046</v>
      </c>
      <c r="J1160" t="s">
        <v>6054</v>
      </c>
      <c r="K1160" t="s">
        <v>6062</v>
      </c>
      <c r="L1160" t="s">
        <v>6774</v>
      </c>
      <c r="M1160">
        <v>1339.57</v>
      </c>
      <c r="N1160">
        <v>4</v>
      </c>
      <c r="O1160">
        <v>0.19</v>
      </c>
      <c r="P1160">
        <v>35.479999999999997</v>
      </c>
      <c r="Q1160" t="s">
        <v>9893</v>
      </c>
      <c r="R1160">
        <v>2</v>
      </c>
      <c r="S1160" s="5">
        <f t="shared" si="36"/>
        <v>2.6486111214792805E-2</v>
      </c>
      <c r="T1160">
        <v>334.89249999999998</v>
      </c>
      <c r="U1160">
        <v>5</v>
      </c>
      <c r="V1160">
        <v>2024</v>
      </c>
      <c r="W1160">
        <v>2</v>
      </c>
      <c r="X1160" t="s">
        <v>9899</v>
      </c>
      <c r="Y1160" t="s">
        <v>9900</v>
      </c>
      <c r="Z1160" t="s">
        <v>9898</v>
      </c>
      <c r="AD1160">
        <f t="shared" si="37"/>
        <v>2</v>
      </c>
    </row>
    <row r="1161" spans="1:30" x14ac:dyDescent="0.25">
      <c r="A1161" t="s">
        <v>1185</v>
      </c>
      <c r="B1161" s="2">
        <v>45338</v>
      </c>
      <c r="C1161" s="2">
        <v>45342</v>
      </c>
      <c r="D1161" t="s">
        <v>5458</v>
      </c>
      <c r="E1161" t="s">
        <v>5958</v>
      </c>
      <c r="F1161" t="s">
        <v>6028</v>
      </c>
      <c r="G1161" t="s">
        <v>6029</v>
      </c>
      <c r="H1161" t="s">
        <v>6044</v>
      </c>
      <c r="I1161" t="s">
        <v>6046</v>
      </c>
      <c r="J1161" t="s">
        <v>6053</v>
      </c>
      <c r="K1161" t="s">
        <v>6057</v>
      </c>
      <c r="L1161" t="s">
        <v>7146</v>
      </c>
      <c r="M1161">
        <v>1426.77</v>
      </c>
      <c r="N1161">
        <v>5</v>
      </c>
      <c r="O1161">
        <v>0.27</v>
      </c>
      <c r="P1161">
        <v>-188.35</v>
      </c>
      <c r="Q1161" t="s">
        <v>9896</v>
      </c>
      <c r="R1161">
        <v>4</v>
      </c>
      <c r="S1161" s="5">
        <f t="shared" si="36"/>
        <v>-0.13201146645920506</v>
      </c>
      <c r="T1161">
        <v>285.35399999999998</v>
      </c>
      <c r="U1161">
        <v>2</v>
      </c>
      <c r="V1161">
        <v>2024</v>
      </c>
      <c r="W1161">
        <v>1</v>
      </c>
      <c r="X1161" t="s">
        <v>9898</v>
      </c>
      <c r="Y1161" t="s">
        <v>9900</v>
      </c>
      <c r="Z1161" t="s">
        <v>9898</v>
      </c>
      <c r="AD1161">
        <f t="shared" si="37"/>
        <v>4</v>
      </c>
    </row>
    <row r="1162" spans="1:30" x14ac:dyDescent="0.25">
      <c r="A1162" t="s">
        <v>1186</v>
      </c>
      <c r="B1162" s="2">
        <v>44790</v>
      </c>
      <c r="C1162" s="2">
        <v>44795</v>
      </c>
      <c r="D1162" t="s">
        <v>5073</v>
      </c>
      <c r="E1162" t="s">
        <v>5573</v>
      </c>
      <c r="F1162" t="s">
        <v>6026</v>
      </c>
      <c r="G1162" t="s">
        <v>6031</v>
      </c>
      <c r="H1162" t="s">
        <v>6043</v>
      </c>
      <c r="I1162" t="s">
        <v>6052</v>
      </c>
      <c r="J1162" t="s">
        <v>6054</v>
      </c>
      <c r="K1162" t="s">
        <v>6062</v>
      </c>
      <c r="L1162" t="s">
        <v>7147</v>
      </c>
      <c r="M1162">
        <v>1923.17</v>
      </c>
      <c r="N1162">
        <v>4</v>
      </c>
      <c r="O1162">
        <v>0.25</v>
      </c>
      <c r="P1162">
        <v>-256.44</v>
      </c>
      <c r="Q1162" t="s">
        <v>9897</v>
      </c>
      <c r="R1162">
        <v>5</v>
      </c>
      <c r="S1162" s="5">
        <f t="shared" si="36"/>
        <v>-0.13334234623044244</v>
      </c>
      <c r="T1162">
        <v>480.79250000000002</v>
      </c>
      <c r="U1162">
        <v>8</v>
      </c>
      <c r="V1162">
        <v>2022</v>
      </c>
      <c r="W1162">
        <v>3</v>
      </c>
      <c r="X1162" t="s">
        <v>9898</v>
      </c>
      <c r="Y1162" t="s">
        <v>9900</v>
      </c>
      <c r="Z1162" t="s">
        <v>9898</v>
      </c>
      <c r="AD1162">
        <f t="shared" si="37"/>
        <v>5</v>
      </c>
    </row>
    <row r="1163" spans="1:30" x14ac:dyDescent="0.25">
      <c r="A1163" t="s">
        <v>1187</v>
      </c>
      <c r="B1163" s="2">
        <v>45457</v>
      </c>
      <c r="C1163" s="2">
        <v>45461</v>
      </c>
      <c r="D1163" t="s">
        <v>5220</v>
      </c>
      <c r="E1163" t="s">
        <v>5720</v>
      </c>
      <c r="F1163" t="s">
        <v>6028</v>
      </c>
      <c r="G1163" t="s">
        <v>6030</v>
      </c>
      <c r="H1163" t="s">
        <v>6033</v>
      </c>
      <c r="I1163" t="s">
        <v>6051</v>
      </c>
      <c r="J1163" t="s">
        <v>6054</v>
      </c>
      <c r="K1163" t="s">
        <v>6059</v>
      </c>
      <c r="L1163" t="s">
        <v>7148</v>
      </c>
      <c r="M1163">
        <v>1182.82</v>
      </c>
      <c r="N1163">
        <v>3</v>
      </c>
      <c r="O1163">
        <v>0.03</v>
      </c>
      <c r="P1163">
        <v>93.87</v>
      </c>
      <c r="Q1163" t="s">
        <v>9897</v>
      </c>
      <c r="R1163">
        <v>4</v>
      </c>
      <c r="S1163" s="5">
        <f t="shared" si="36"/>
        <v>7.9361187670144245E-2</v>
      </c>
      <c r="T1163">
        <v>394.27333333333331</v>
      </c>
      <c r="U1163">
        <v>6</v>
      </c>
      <c r="V1163">
        <v>2024</v>
      </c>
      <c r="W1163">
        <v>2</v>
      </c>
      <c r="X1163" t="s">
        <v>9899</v>
      </c>
      <c r="Y1163" t="s">
        <v>9901</v>
      </c>
      <c r="Z1163" t="s">
        <v>9898</v>
      </c>
      <c r="AD1163">
        <f t="shared" si="37"/>
        <v>4</v>
      </c>
    </row>
    <row r="1164" spans="1:30" x14ac:dyDescent="0.25">
      <c r="A1164" t="s">
        <v>1188</v>
      </c>
      <c r="B1164" s="2">
        <v>44591</v>
      </c>
      <c r="C1164" s="2">
        <v>44598</v>
      </c>
      <c r="D1164" t="s">
        <v>5257</v>
      </c>
      <c r="E1164" t="s">
        <v>5757</v>
      </c>
      <c r="F1164" t="s">
        <v>6027</v>
      </c>
      <c r="G1164" t="s">
        <v>6031</v>
      </c>
      <c r="H1164" t="s">
        <v>6042</v>
      </c>
      <c r="I1164" t="s">
        <v>6050</v>
      </c>
      <c r="J1164" t="s">
        <v>6054</v>
      </c>
      <c r="K1164" t="s">
        <v>6062</v>
      </c>
      <c r="L1164" t="s">
        <v>7149</v>
      </c>
      <c r="M1164">
        <v>1721.31</v>
      </c>
      <c r="N1164">
        <v>2</v>
      </c>
      <c r="O1164">
        <v>0.14000000000000001</v>
      </c>
      <c r="P1164">
        <v>127.29</v>
      </c>
      <c r="Q1164" t="s">
        <v>9896</v>
      </c>
      <c r="R1164">
        <v>7</v>
      </c>
      <c r="S1164" s="5">
        <f t="shared" si="36"/>
        <v>7.39494919567074E-2</v>
      </c>
      <c r="T1164">
        <v>860.65499999999997</v>
      </c>
      <c r="U1164">
        <v>1</v>
      </c>
      <c r="V1164">
        <v>2022</v>
      </c>
      <c r="W1164">
        <v>1</v>
      </c>
      <c r="X1164" t="s">
        <v>9899</v>
      </c>
      <c r="Y1164" t="s">
        <v>9901</v>
      </c>
      <c r="Z1164" t="s">
        <v>9898</v>
      </c>
      <c r="AD1164">
        <f t="shared" si="37"/>
        <v>7</v>
      </c>
    </row>
    <row r="1165" spans="1:30" x14ac:dyDescent="0.25">
      <c r="A1165" t="s">
        <v>1189</v>
      </c>
      <c r="B1165" s="2">
        <v>45384</v>
      </c>
      <c r="C1165" s="2">
        <v>45387</v>
      </c>
      <c r="D1165" t="s">
        <v>5383</v>
      </c>
      <c r="E1165" t="s">
        <v>5883</v>
      </c>
      <c r="F1165" t="s">
        <v>6028</v>
      </c>
      <c r="G1165" t="s">
        <v>6029</v>
      </c>
      <c r="H1165" t="s">
        <v>6044</v>
      </c>
      <c r="I1165" t="s">
        <v>6046</v>
      </c>
      <c r="J1165" t="s">
        <v>6055</v>
      </c>
      <c r="K1165" t="s">
        <v>6064</v>
      </c>
      <c r="L1165" t="s">
        <v>7150</v>
      </c>
      <c r="M1165">
        <v>513</v>
      </c>
      <c r="N1165">
        <v>3</v>
      </c>
      <c r="O1165">
        <v>0.06</v>
      </c>
      <c r="P1165">
        <v>107.67</v>
      </c>
      <c r="Q1165" t="s">
        <v>9896</v>
      </c>
      <c r="R1165">
        <v>3</v>
      </c>
      <c r="S1165" s="5">
        <f t="shared" si="36"/>
        <v>0.2098830409356725</v>
      </c>
      <c r="T1165">
        <v>171</v>
      </c>
      <c r="U1165">
        <v>4</v>
      </c>
      <c r="V1165">
        <v>2024</v>
      </c>
      <c r="W1165">
        <v>2</v>
      </c>
      <c r="X1165" t="s">
        <v>9899</v>
      </c>
      <c r="Y1165" t="s">
        <v>9901</v>
      </c>
      <c r="Z1165" t="s">
        <v>9899</v>
      </c>
      <c r="AD1165">
        <f t="shared" si="37"/>
        <v>3</v>
      </c>
    </row>
    <row r="1166" spans="1:30" x14ac:dyDescent="0.25">
      <c r="A1166" t="s">
        <v>1190</v>
      </c>
      <c r="B1166" s="2">
        <v>44667</v>
      </c>
      <c r="C1166" s="2">
        <v>44670</v>
      </c>
      <c r="D1166" t="s">
        <v>5227</v>
      </c>
      <c r="E1166" t="s">
        <v>5727</v>
      </c>
      <c r="F1166" t="s">
        <v>6026</v>
      </c>
      <c r="G1166" t="s">
        <v>6031</v>
      </c>
      <c r="H1166" t="s">
        <v>6040</v>
      </c>
      <c r="I1166" t="s">
        <v>6050</v>
      </c>
      <c r="J1166" t="s">
        <v>6055</v>
      </c>
      <c r="K1166" t="s">
        <v>6063</v>
      </c>
      <c r="L1166" t="s">
        <v>7151</v>
      </c>
      <c r="M1166">
        <v>876.73</v>
      </c>
      <c r="N1166">
        <v>7</v>
      </c>
      <c r="O1166">
        <v>0.33</v>
      </c>
      <c r="P1166">
        <v>-130.52000000000001</v>
      </c>
      <c r="Q1166" t="s">
        <v>9895</v>
      </c>
      <c r="R1166">
        <v>3</v>
      </c>
      <c r="S1166" s="5">
        <f t="shared" si="36"/>
        <v>-0.14887137431136155</v>
      </c>
      <c r="T1166">
        <v>125.2471428571429</v>
      </c>
      <c r="U1166">
        <v>4</v>
      </c>
      <c r="V1166">
        <v>2022</v>
      </c>
      <c r="W1166">
        <v>2</v>
      </c>
      <c r="X1166" t="s">
        <v>9898</v>
      </c>
      <c r="Y1166" t="s">
        <v>9902</v>
      </c>
      <c r="Z1166" t="s">
        <v>9899</v>
      </c>
      <c r="AD1166">
        <f t="shared" si="37"/>
        <v>3</v>
      </c>
    </row>
    <row r="1167" spans="1:30" x14ac:dyDescent="0.25">
      <c r="A1167" t="s">
        <v>1191</v>
      </c>
      <c r="B1167" s="2">
        <v>45289</v>
      </c>
      <c r="C1167" s="2">
        <v>45296</v>
      </c>
      <c r="D1167" t="s">
        <v>5085</v>
      </c>
      <c r="E1167" t="s">
        <v>5585</v>
      </c>
      <c r="F1167" t="s">
        <v>6027</v>
      </c>
      <c r="G1167" t="s">
        <v>6029</v>
      </c>
      <c r="H1167" t="s">
        <v>6036</v>
      </c>
      <c r="I1167" t="s">
        <v>6049</v>
      </c>
      <c r="J1167" t="s">
        <v>6053</v>
      </c>
      <c r="K1167" t="s">
        <v>6056</v>
      </c>
      <c r="L1167" t="s">
        <v>7152</v>
      </c>
      <c r="M1167">
        <v>1098.9000000000001</v>
      </c>
      <c r="N1167">
        <v>8</v>
      </c>
      <c r="O1167">
        <v>0.2</v>
      </c>
      <c r="P1167">
        <v>-39.51</v>
      </c>
      <c r="Q1167" t="s">
        <v>9896</v>
      </c>
      <c r="R1167">
        <v>7</v>
      </c>
      <c r="S1167" s="5">
        <f t="shared" si="36"/>
        <v>-3.5954135954135949E-2</v>
      </c>
      <c r="T1167">
        <v>137.36250000000001</v>
      </c>
      <c r="U1167">
        <v>12</v>
      </c>
      <c r="V1167">
        <v>2023</v>
      </c>
      <c r="W1167">
        <v>4</v>
      </c>
      <c r="X1167" t="s">
        <v>9898</v>
      </c>
      <c r="Y1167" t="s">
        <v>9900</v>
      </c>
      <c r="Z1167" t="s">
        <v>9898</v>
      </c>
      <c r="AD1167">
        <f t="shared" si="37"/>
        <v>7</v>
      </c>
    </row>
    <row r="1168" spans="1:30" x14ac:dyDescent="0.25">
      <c r="A1168" t="s">
        <v>1192</v>
      </c>
      <c r="B1168" s="2">
        <v>45270</v>
      </c>
      <c r="C1168" s="2">
        <v>45272</v>
      </c>
      <c r="D1168" t="s">
        <v>5482</v>
      </c>
      <c r="E1168" t="s">
        <v>5982</v>
      </c>
      <c r="F1168" t="s">
        <v>6027</v>
      </c>
      <c r="G1168" t="s">
        <v>6031</v>
      </c>
      <c r="H1168" t="s">
        <v>6034</v>
      </c>
      <c r="I1168" t="s">
        <v>6048</v>
      </c>
      <c r="J1168" t="s">
        <v>6055</v>
      </c>
      <c r="K1168" t="s">
        <v>6064</v>
      </c>
      <c r="L1168" t="s">
        <v>7153</v>
      </c>
      <c r="M1168">
        <v>1563.84</v>
      </c>
      <c r="N1168">
        <v>4</v>
      </c>
      <c r="O1168">
        <v>0.32</v>
      </c>
      <c r="P1168">
        <v>-308.19</v>
      </c>
      <c r="Q1168" t="s">
        <v>9895</v>
      </c>
      <c r="R1168">
        <v>2</v>
      </c>
      <c r="S1168" s="5">
        <f t="shared" si="36"/>
        <v>-0.19707259054634746</v>
      </c>
      <c r="T1168">
        <v>390.96</v>
      </c>
      <c r="U1168">
        <v>12</v>
      </c>
      <c r="V1168">
        <v>2023</v>
      </c>
      <c r="W1168">
        <v>4</v>
      </c>
      <c r="X1168" t="s">
        <v>9898</v>
      </c>
      <c r="Y1168" t="s">
        <v>9902</v>
      </c>
      <c r="Z1168" t="s">
        <v>9898</v>
      </c>
      <c r="AD1168">
        <f t="shared" si="37"/>
        <v>2</v>
      </c>
    </row>
    <row r="1169" spans="1:30" x14ac:dyDescent="0.25">
      <c r="A1169" t="s">
        <v>1193</v>
      </c>
      <c r="B1169" s="2">
        <v>44707</v>
      </c>
      <c r="C1169" s="2">
        <v>44712</v>
      </c>
      <c r="D1169" t="s">
        <v>5060</v>
      </c>
      <c r="E1169" t="s">
        <v>5560</v>
      </c>
      <c r="F1169" t="s">
        <v>6026</v>
      </c>
      <c r="G1169" t="s">
        <v>6030</v>
      </c>
      <c r="H1169" t="s">
        <v>6035</v>
      </c>
      <c r="I1169" t="s">
        <v>6051</v>
      </c>
      <c r="J1169" t="s">
        <v>6053</v>
      </c>
      <c r="K1169" t="s">
        <v>6056</v>
      </c>
      <c r="L1169" t="s">
        <v>7154</v>
      </c>
      <c r="M1169">
        <v>1545.66</v>
      </c>
      <c r="N1169">
        <v>4</v>
      </c>
      <c r="O1169">
        <v>0.08</v>
      </c>
      <c r="P1169">
        <v>289.56</v>
      </c>
      <c r="Q1169" t="s">
        <v>9895</v>
      </c>
      <c r="R1169">
        <v>5</v>
      </c>
      <c r="S1169" s="5">
        <f t="shared" si="36"/>
        <v>0.18733744808043165</v>
      </c>
      <c r="T1169">
        <v>386.41500000000002</v>
      </c>
      <c r="U1169">
        <v>5</v>
      </c>
      <c r="V1169">
        <v>2022</v>
      </c>
      <c r="W1169">
        <v>2</v>
      </c>
      <c r="X1169" t="s">
        <v>9899</v>
      </c>
      <c r="Y1169" t="s">
        <v>9901</v>
      </c>
      <c r="Z1169" t="s">
        <v>9898</v>
      </c>
      <c r="AD1169">
        <f t="shared" si="37"/>
        <v>5</v>
      </c>
    </row>
    <row r="1170" spans="1:30" x14ac:dyDescent="0.25">
      <c r="A1170" t="s">
        <v>1194</v>
      </c>
      <c r="B1170" s="2">
        <v>44872</v>
      </c>
      <c r="C1170" s="2">
        <v>44879</v>
      </c>
      <c r="D1170" t="s">
        <v>5198</v>
      </c>
      <c r="E1170" t="s">
        <v>5698</v>
      </c>
      <c r="F1170" t="s">
        <v>6026</v>
      </c>
      <c r="G1170" t="s">
        <v>6030</v>
      </c>
      <c r="H1170" t="s">
        <v>6035</v>
      </c>
      <c r="I1170" t="s">
        <v>6051</v>
      </c>
      <c r="J1170" t="s">
        <v>6053</v>
      </c>
      <c r="K1170" t="s">
        <v>6058</v>
      </c>
      <c r="L1170" t="s">
        <v>7155</v>
      </c>
      <c r="M1170">
        <v>369.72</v>
      </c>
      <c r="N1170">
        <v>4</v>
      </c>
      <c r="O1170">
        <v>0.18</v>
      </c>
      <c r="P1170">
        <v>28.57</v>
      </c>
      <c r="Q1170" t="s">
        <v>9897</v>
      </c>
      <c r="R1170">
        <v>7</v>
      </c>
      <c r="S1170" s="5">
        <f t="shared" si="36"/>
        <v>7.7274694363301949E-2</v>
      </c>
      <c r="T1170">
        <v>92.43</v>
      </c>
      <c r="U1170">
        <v>11</v>
      </c>
      <c r="V1170">
        <v>2022</v>
      </c>
      <c r="W1170">
        <v>4</v>
      </c>
      <c r="X1170" t="s">
        <v>9899</v>
      </c>
      <c r="Y1170" t="s">
        <v>9900</v>
      </c>
      <c r="Z1170" t="s">
        <v>9899</v>
      </c>
      <c r="AD1170">
        <f t="shared" si="37"/>
        <v>7</v>
      </c>
    </row>
    <row r="1171" spans="1:30" x14ac:dyDescent="0.25">
      <c r="A1171" t="s">
        <v>1195</v>
      </c>
      <c r="B1171" s="2">
        <v>45141</v>
      </c>
      <c r="C1171" s="2">
        <v>45145</v>
      </c>
      <c r="D1171" t="s">
        <v>5382</v>
      </c>
      <c r="E1171" t="s">
        <v>5882</v>
      </c>
      <c r="F1171" t="s">
        <v>6027</v>
      </c>
      <c r="G1171" t="s">
        <v>6031</v>
      </c>
      <c r="H1171" t="s">
        <v>6037</v>
      </c>
      <c r="I1171" t="s">
        <v>6052</v>
      </c>
      <c r="J1171" t="s">
        <v>6053</v>
      </c>
      <c r="K1171" t="s">
        <v>6056</v>
      </c>
      <c r="L1171" t="s">
        <v>6187</v>
      </c>
      <c r="M1171">
        <v>785.52</v>
      </c>
      <c r="N1171">
        <v>2</v>
      </c>
      <c r="O1171">
        <v>0.08</v>
      </c>
      <c r="P1171">
        <v>120.63</v>
      </c>
      <c r="Q1171" t="s">
        <v>9893</v>
      </c>
      <c r="R1171">
        <v>4</v>
      </c>
      <c r="S1171" s="5">
        <f t="shared" si="36"/>
        <v>0.1535670638557898</v>
      </c>
      <c r="T1171">
        <v>392.76</v>
      </c>
      <c r="U1171">
        <v>8</v>
      </c>
      <c r="V1171">
        <v>2023</v>
      </c>
      <c r="W1171">
        <v>3</v>
      </c>
      <c r="X1171" t="s">
        <v>9899</v>
      </c>
      <c r="Y1171" t="s">
        <v>9901</v>
      </c>
      <c r="Z1171" t="s">
        <v>9899</v>
      </c>
      <c r="AD1171">
        <f t="shared" si="37"/>
        <v>4</v>
      </c>
    </row>
    <row r="1172" spans="1:30" x14ac:dyDescent="0.25">
      <c r="A1172" t="s">
        <v>1196</v>
      </c>
      <c r="B1172" s="2">
        <v>44640</v>
      </c>
      <c r="C1172" s="2">
        <v>44642</v>
      </c>
      <c r="D1172" t="s">
        <v>5241</v>
      </c>
      <c r="E1172" t="s">
        <v>5741</v>
      </c>
      <c r="F1172" t="s">
        <v>6027</v>
      </c>
      <c r="G1172" t="s">
        <v>6030</v>
      </c>
      <c r="H1172" t="s">
        <v>6038</v>
      </c>
      <c r="I1172" t="s">
        <v>6051</v>
      </c>
      <c r="J1172" t="s">
        <v>6054</v>
      </c>
      <c r="K1172" t="s">
        <v>6060</v>
      </c>
      <c r="L1172" t="s">
        <v>6759</v>
      </c>
      <c r="M1172">
        <v>927.13</v>
      </c>
      <c r="N1172">
        <v>8</v>
      </c>
      <c r="O1172">
        <v>0.01</v>
      </c>
      <c r="P1172">
        <v>203.97</v>
      </c>
      <c r="Q1172" t="s">
        <v>9893</v>
      </c>
      <c r="R1172">
        <v>2</v>
      </c>
      <c r="S1172" s="5">
        <f t="shared" si="36"/>
        <v>0.22000151003634874</v>
      </c>
      <c r="T1172">
        <v>115.89125</v>
      </c>
      <c r="U1172">
        <v>3</v>
      </c>
      <c r="V1172">
        <v>2022</v>
      </c>
      <c r="W1172">
        <v>1</v>
      </c>
      <c r="X1172" t="s">
        <v>9899</v>
      </c>
      <c r="Y1172" t="s">
        <v>9901</v>
      </c>
      <c r="Z1172" t="s">
        <v>9899</v>
      </c>
      <c r="AD1172">
        <f t="shared" si="37"/>
        <v>2</v>
      </c>
    </row>
    <row r="1173" spans="1:30" x14ac:dyDescent="0.25">
      <c r="A1173" t="s">
        <v>1197</v>
      </c>
      <c r="B1173" s="2">
        <v>45107</v>
      </c>
      <c r="C1173" s="2">
        <v>45111</v>
      </c>
      <c r="D1173" t="s">
        <v>5438</v>
      </c>
      <c r="E1173" t="s">
        <v>5938</v>
      </c>
      <c r="F1173" t="s">
        <v>6026</v>
      </c>
      <c r="G1173" t="s">
        <v>6030</v>
      </c>
      <c r="H1173" t="s">
        <v>6038</v>
      </c>
      <c r="I1173" t="s">
        <v>6047</v>
      </c>
      <c r="J1173" t="s">
        <v>6053</v>
      </c>
      <c r="K1173" t="s">
        <v>6056</v>
      </c>
      <c r="L1173" t="s">
        <v>7156</v>
      </c>
      <c r="M1173">
        <v>214.92</v>
      </c>
      <c r="N1173">
        <v>7</v>
      </c>
      <c r="O1173">
        <v>0.2</v>
      </c>
      <c r="P1173">
        <v>6.09</v>
      </c>
      <c r="Q1173" t="s">
        <v>9895</v>
      </c>
      <c r="R1173">
        <v>4</v>
      </c>
      <c r="S1173" s="5">
        <f t="shared" si="36"/>
        <v>2.8336125069793411E-2</v>
      </c>
      <c r="T1173">
        <v>30.702857142857141</v>
      </c>
      <c r="U1173">
        <v>6</v>
      </c>
      <c r="V1173">
        <v>2023</v>
      </c>
      <c r="W1173">
        <v>2</v>
      </c>
      <c r="X1173" t="s">
        <v>9899</v>
      </c>
      <c r="Y1173" t="s">
        <v>9900</v>
      </c>
      <c r="Z1173" t="s">
        <v>9899</v>
      </c>
      <c r="AD1173">
        <f t="shared" si="37"/>
        <v>4</v>
      </c>
    </row>
    <row r="1174" spans="1:30" x14ac:dyDescent="0.25">
      <c r="A1174" t="s">
        <v>1198</v>
      </c>
      <c r="B1174" s="2">
        <v>44950</v>
      </c>
      <c r="C1174" s="2">
        <v>44952</v>
      </c>
      <c r="D1174" t="s">
        <v>5045</v>
      </c>
      <c r="E1174" t="s">
        <v>5545</v>
      </c>
      <c r="F1174" t="s">
        <v>6026</v>
      </c>
      <c r="G1174" t="s">
        <v>6031</v>
      </c>
      <c r="H1174" t="s">
        <v>6043</v>
      </c>
      <c r="I1174" t="s">
        <v>6050</v>
      </c>
      <c r="J1174" t="s">
        <v>6054</v>
      </c>
      <c r="K1174" t="s">
        <v>6059</v>
      </c>
      <c r="L1174" t="s">
        <v>7157</v>
      </c>
      <c r="M1174">
        <v>1117.3399999999999</v>
      </c>
      <c r="N1174">
        <v>4</v>
      </c>
      <c r="O1174">
        <v>0.24</v>
      </c>
      <c r="P1174">
        <v>-104.03</v>
      </c>
      <c r="Q1174" t="s">
        <v>9893</v>
      </c>
      <c r="R1174">
        <v>2</v>
      </c>
      <c r="S1174" s="5">
        <f t="shared" si="36"/>
        <v>-9.3105053072475713E-2</v>
      </c>
      <c r="T1174">
        <v>279.33499999999998</v>
      </c>
      <c r="U1174">
        <v>1</v>
      </c>
      <c r="V1174">
        <v>2023</v>
      </c>
      <c r="W1174">
        <v>1</v>
      </c>
      <c r="X1174" t="s">
        <v>9898</v>
      </c>
      <c r="Y1174" t="s">
        <v>9900</v>
      </c>
      <c r="Z1174" t="s">
        <v>9898</v>
      </c>
      <c r="AD1174">
        <f t="shared" si="37"/>
        <v>2</v>
      </c>
    </row>
    <row r="1175" spans="1:30" x14ac:dyDescent="0.25">
      <c r="A1175" t="s">
        <v>1199</v>
      </c>
      <c r="B1175" s="2">
        <v>45389</v>
      </c>
      <c r="C1175" s="2">
        <v>45392</v>
      </c>
      <c r="D1175" t="s">
        <v>5138</v>
      </c>
      <c r="E1175" t="s">
        <v>5638</v>
      </c>
      <c r="F1175" t="s">
        <v>6026</v>
      </c>
      <c r="G1175" t="s">
        <v>6031</v>
      </c>
      <c r="H1175" t="s">
        <v>6037</v>
      </c>
      <c r="I1175" t="s">
        <v>6052</v>
      </c>
      <c r="J1175" t="s">
        <v>6055</v>
      </c>
      <c r="K1175" t="s">
        <v>6061</v>
      </c>
      <c r="L1175" t="s">
        <v>7158</v>
      </c>
      <c r="M1175">
        <v>787.54</v>
      </c>
      <c r="N1175">
        <v>7</v>
      </c>
      <c r="O1175">
        <v>0.27</v>
      </c>
      <c r="P1175">
        <v>-36.909999999999997</v>
      </c>
      <c r="Q1175" t="s">
        <v>9897</v>
      </c>
      <c r="R1175">
        <v>3</v>
      </c>
      <c r="S1175" s="5">
        <f t="shared" si="36"/>
        <v>-4.6867460700408863E-2</v>
      </c>
      <c r="T1175">
        <v>112.5057142857143</v>
      </c>
      <c r="U1175">
        <v>4</v>
      </c>
      <c r="V1175">
        <v>2024</v>
      </c>
      <c r="W1175">
        <v>2</v>
      </c>
      <c r="X1175" t="s">
        <v>9898</v>
      </c>
      <c r="Y1175" t="s">
        <v>9900</v>
      </c>
      <c r="Z1175" t="s">
        <v>9899</v>
      </c>
      <c r="AD1175">
        <f t="shared" si="37"/>
        <v>3</v>
      </c>
    </row>
    <row r="1176" spans="1:30" x14ac:dyDescent="0.25">
      <c r="A1176" t="s">
        <v>1200</v>
      </c>
      <c r="B1176" s="2">
        <v>45307</v>
      </c>
      <c r="C1176" s="2">
        <v>45310</v>
      </c>
      <c r="D1176" t="s">
        <v>5450</v>
      </c>
      <c r="E1176" t="s">
        <v>5950</v>
      </c>
      <c r="F1176" t="s">
        <v>6028</v>
      </c>
      <c r="G1176" t="s">
        <v>6031</v>
      </c>
      <c r="H1176" t="s">
        <v>6037</v>
      </c>
      <c r="I1176" t="s">
        <v>6050</v>
      </c>
      <c r="J1176" t="s">
        <v>6053</v>
      </c>
      <c r="K1176" t="s">
        <v>6058</v>
      </c>
      <c r="L1176" t="s">
        <v>7159</v>
      </c>
      <c r="M1176">
        <v>1809.18</v>
      </c>
      <c r="N1176">
        <v>3</v>
      </c>
      <c r="O1176">
        <v>0.06</v>
      </c>
      <c r="P1176">
        <v>82.81</v>
      </c>
      <c r="Q1176" t="s">
        <v>9896</v>
      </c>
      <c r="R1176">
        <v>3</v>
      </c>
      <c r="S1176" s="5">
        <f t="shared" si="36"/>
        <v>4.5772117755005032E-2</v>
      </c>
      <c r="T1176">
        <v>603.06000000000006</v>
      </c>
      <c r="U1176">
        <v>1</v>
      </c>
      <c r="V1176">
        <v>2024</v>
      </c>
      <c r="W1176">
        <v>1</v>
      </c>
      <c r="X1176" t="s">
        <v>9899</v>
      </c>
      <c r="Y1176" t="s">
        <v>9901</v>
      </c>
      <c r="Z1176" t="s">
        <v>9898</v>
      </c>
      <c r="AD1176">
        <f t="shared" si="37"/>
        <v>3</v>
      </c>
    </row>
    <row r="1177" spans="1:30" x14ac:dyDescent="0.25">
      <c r="A1177" t="s">
        <v>1201</v>
      </c>
      <c r="B1177" s="2">
        <v>44895</v>
      </c>
      <c r="C1177" s="2">
        <v>44899</v>
      </c>
      <c r="D1177" t="s">
        <v>5450</v>
      </c>
      <c r="E1177" t="s">
        <v>5950</v>
      </c>
      <c r="F1177" t="s">
        <v>6027</v>
      </c>
      <c r="G1177" t="s">
        <v>6031</v>
      </c>
      <c r="H1177" t="s">
        <v>6037</v>
      </c>
      <c r="I1177" t="s">
        <v>6050</v>
      </c>
      <c r="J1177" t="s">
        <v>6054</v>
      </c>
      <c r="K1177" t="s">
        <v>6060</v>
      </c>
      <c r="L1177" t="s">
        <v>7160</v>
      </c>
      <c r="M1177">
        <v>1126.4100000000001</v>
      </c>
      <c r="N1177">
        <v>6</v>
      </c>
      <c r="O1177">
        <v>0.16</v>
      </c>
      <c r="P1177">
        <v>-50.01</v>
      </c>
      <c r="Q1177" t="s">
        <v>9895</v>
      </c>
      <c r="R1177">
        <v>4</v>
      </c>
      <c r="S1177" s="5">
        <f t="shared" si="36"/>
        <v>-4.4397688230750784E-2</v>
      </c>
      <c r="T1177">
        <v>187.73500000000001</v>
      </c>
      <c r="U1177">
        <v>11</v>
      </c>
      <c r="V1177">
        <v>2022</v>
      </c>
      <c r="W1177">
        <v>4</v>
      </c>
      <c r="X1177" t="s">
        <v>9898</v>
      </c>
      <c r="Y1177" t="s">
        <v>9900</v>
      </c>
      <c r="Z1177" t="s">
        <v>9898</v>
      </c>
      <c r="AD1177">
        <f t="shared" si="37"/>
        <v>4</v>
      </c>
    </row>
    <row r="1178" spans="1:30" x14ac:dyDescent="0.25">
      <c r="A1178" t="s">
        <v>1202</v>
      </c>
      <c r="B1178" s="2">
        <v>45334</v>
      </c>
      <c r="C1178" s="2">
        <v>45341</v>
      </c>
      <c r="D1178" t="s">
        <v>5368</v>
      </c>
      <c r="E1178" t="s">
        <v>5868</v>
      </c>
      <c r="F1178" t="s">
        <v>6027</v>
      </c>
      <c r="G1178" t="s">
        <v>6029</v>
      </c>
      <c r="H1178" t="s">
        <v>6044</v>
      </c>
      <c r="I1178" t="s">
        <v>6050</v>
      </c>
      <c r="J1178" t="s">
        <v>6053</v>
      </c>
      <c r="K1178" t="s">
        <v>6056</v>
      </c>
      <c r="L1178" t="s">
        <v>7161</v>
      </c>
      <c r="M1178">
        <v>672.51</v>
      </c>
      <c r="N1178">
        <v>1</v>
      </c>
      <c r="O1178">
        <v>0.28999999999999998</v>
      </c>
      <c r="P1178">
        <v>-104.81</v>
      </c>
      <c r="Q1178" t="s">
        <v>9895</v>
      </c>
      <c r="R1178">
        <v>7</v>
      </c>
      <c r="S1178" s="5">
        <f t="shared" si="36"/>
        <v>-0.15584898365823557</v>
      </c>
      <c r="T1178">
        <v>672.51</v>
      </c>
      <c r="U1178">
        <v>2</v>
      </c>
      <c r="V1178">
        <v>2024</v>
      </c>
      <c r="W1178">
        <v>1</v>
      </c>
      <c r="X1178" t="s">
        <v>9898</v>
      </c>
      <c r="Y1178" t="s">
        <v>9900</v>
      </c>
      <c r="Z1178" t="s">
        <v>9899</v>
      </c>
      <c r="AD1178">
        <f t="shared" si="37"/>
        <v>7</v>
      </c>
    </row>
    <row r="1179" spans="1:30" x14ac:dyDescent="0.25">
      <c r="A1179" t="s">
        <v>1203</v>
      </c>
      <c r="B1179" s="2">
        <v>44666</v>
      </c>
      <c r="C1179" s="2">
        <v>44670</v>
      </c>
      <c r="D1179" t="s">
        <v>5483</v>
      </c>
      <c r="E1179" t="s">
        <v>5983</v>
      </c>
      <c r="F1179" t="s">
        <v>6027</v>
      </c>
      <c r="G1179" t="s">
        <v>6031</v>
      </c>
      <c r="H1179" t="s">
        <v>6042</v>
      </c>
      <c r="I1179" t="s">
        <v>6050</v>
      </c>
      <c r="J1179" t="s">
        <v>6053</v>
      </c>
      <c r="K1179" t="s">
        <v>6056</v>
      </c>
      <c r="L1179" t="s">
        <v>7162</v>
      </c>
      <c r="M1179">
        <v>1491.74</v>
      </c>
      <c r="N1179">
        <v>2</v>
      </c>
      <c r="O1179">
        <v>0.19</v>
      </c>
      <c r="P1179">
        <v>-70.45</v>
      </c>
      <c r="Q1179" t="s">
        <v>9897</v>
      </c>
      <c r="R1179">
        <v>4</v>
      </c>
      <c r="S1179" s="5">
        <f t="shared" si="36"/>
        <v>-4.7226728518374519E-2</v>
      </c>
      <c r="T1179">
        <v>745.87</v>
      </c>
      <c r="U1179">
        <v>4</v>
      </c>
      <c r="V1179">
        <v>2022</v>
      </c>
      <c r="W1179">
        <v>2</v>
      </c>
      <c r="X1179" t="s">
        <v>9898</v>
      </c>
      <c r="Y1179" t="s">
        <v>9900</v>
      </c>
      <c r="Z1179" t="s">
        <v>9898</v>
      </c>
      <c r="AD1179">
        <f t="shared" si="37"/>
        <v>4</v>
      </c>
    </row>
    <row r="1180" spans="1:30" x14ac:dyDescent="0.25">
      <c r="A1180" t="s">
        <v>1204</v>
      </c>
      <c r="B1180" s="2">
        <v>45024</v>
      </c>
      <c r="C1180" s="2">
        <v>45027</v>
      </c>
      <c r="D1180" t="s">
        <v>5375</v>
      </c>
      <c r="E1180" t="s">
        <v>5875</v>
      </c>
      <c r="F1180" t="s">
        <v>6027</v>
      </c>
      <c r="G1180" t="s">
        <v>6030</v>
      </c>
      <c r="H1180" t="s">
        <v>6035</v>
      </c>
      <c r="I1180" t="s">
        <v>6047</v>
      </c>
      <c r="J1180" t="s">
        <v>6055</v>
      </c>
      <c r="K1180" t="s">
        <v>6063</v>
      </c>
      <c r="L1180" t="s">
        <v>7163</v>
      </c>
      <c r="M1180">
        <v>1271.17</v>
      </c>
      <c r="N1180">
        <v>5</v>
      </c>
      <c r="O1180">
        <v>7.0000000000000007E-2</v>
      </c>
      <c r="P1180">
        <v>160.38</v>
      </c>
      <c r="Q1180" t="s">
        <v>9896</v>
      </c>
      <c r="R1180">
        <v>3</v>
      </c>
      <c r="S1180" s="5">
        <f t="shared" si="36"/>
        <v>0.12616723176286412</v>
      </c>
      <c r="T1180">
        <v>254.23400000000001</v>
      </c>
      <c r="U1180">
        <v>4</v>
      </c>
      <c r="V1180">
        <v>2023</v>
      </c>
      <c r="W1180">
        <v>2</v>
      </c>
      <c r="X1180" t="s">
        <v>9899</v>
      </c>
      <c r="Y1180" t="s">
        <v>9901</v>
      </c>
      <c r="Z1180" t="s">
        <v>9898</v>
      </c>
      <c r="AD1180">
        <f t="shared" si="37"/>
        <v>3</v>
      </c>
    </row>
    <row r="1181" spans="1:30" x14ac:dyDescent="0.25">
      <c r="A1181" t="s">
        <v>1205</v>
      </c>
      <c r="B1181" s="2">
        <v>44995</v>
      </c>
      <c r="C1181" s="2">
        <v>44997</v>
      </c>
      <c r="D1181" t="s">
        <v>5180</v>
      </c>
      <c r="E1181" t="s">
        <v>5680</v>
      </c>
      <c r="F1181" t="s">
        <v>6026</v>
      </c>
      <c r="G1181" t="s">
        <v>6029</v>
      </c>
      <c r="H1181" t="s">
        <v>6045</v>
      </c>
      <c r="I1181" t="s">
        <v>6050</v>
      </c>
      <c r="J1181" t="s">
        <v>6053</v>
      </c>
      <c r="K1181" t="s">
        <v>6058</v>
      </c>
      <c r="L1181" t="s">
        <v>7164</v>
      </c>
      <c r="M1181">
        <v>929.23</v>
      </c>
      <c r="N1181">
        <v>3</v>
      </c>
      <c r="O1181">
        <v>0.14000000000000001</v>
      </c>
      <c r="P1181">
        <v>-7.02</v>
      </c>
      <c r="Q1181" t="s">
        <v>9893</v>
      </c>
      <c r="R1181">
        <v>2</v>
      </c>
      <c r="S1181" s="5">
        <f t="shared" si="36"/>
        <v>-7.5546420154321316E-3</v>
      </c>
      <c r="T1181">
        <v>309.74333333333328</v>
      </c>
      <c r="U1181">
        <v>3</v>
      </c>
      <c r="V1181">
        <v>2023</v>
      </c>
      <c r="W1181">
        <v>1</v>
      </c>
      <c r="X1181" t="s">
        <v>9898</v>
      </c>
      <c r="Y1181" t="s">
        <v>9901</v>
      </c>
      <c r="Z1181" t="s">
        <v>9899</v>
      </c>
      <c r="AD1181">
        <f t="shared" si="37"/>
        <v>2</v>
      </c>
    </row>
    <row r="1182" spans="1:30" x14ac:dyDescent="0.25">
      <c r="A1182" t="s">
        <v>1206</v>
      </c>
      <c r="B1182" s="2">
        <v>44992</v>
      </c>
      <c r="C1182" s="2">
        <v>44997</v>
      </c>
      <c r="D1182" t="s">
        <v>5208</v>
      </c>
      <c r="E1182" t="s">
        <v>5708</v>
      </c>
      <c r="F1182" t="s">
        <v>6028</v>
      </c>
      <c r="G1182" t="s">
        <v>6029</v>
      </c>
      <c r="H1182" t="s">
        <v>6032</v>
      </c>
      <c r="I1182" t="s">
        <v>6050</v>
      </c>
      <c r="J1182" t="s">
        <v>6054</v>
      </c>
      <c r="K1182" t="s">
        <v>6060</v>
      </c>
      <c r="L1182" t="s">
        <v>7165</v>
      </c>
      <c r="M1182">
        <v>1260.17</v>
      </c>
      <c r="N1182">
        <v>7</v>
      </c>
      <c r="O1182">
        <v>7.0000000000000007E-2</v>
      </c>
      <c r="P1182">
        <v>242.72</v>
      </c>
      <c r="Q1182" t="s">
        <v>9895</v>
      </c>
      <c r="R1182">
        <v>5</v>
      </c>
      <c r="S1182" s="5">
        <f t="shared" si="36"/>
        <v>0.19260893371529236</v>
      </c>
      <c r="T1182">
        <v>180.0242857142857</v>
      </c>
      <c r="U1182">
        <v>3</v>
      </c>
      <c r="V1182">
        <v>2023</v>
      </c>
      <c r="W1182">
        <v>1</v>
      </c>
      <c r="X1182" t="s">
        <v>9899</v>
      </c>
      <c r="Y1182" t="s">
        <v>9901</v>
      </c>
      <c r="Z1182" t="s">
        <v>9898</v>
      </c>
      <c r="AD1182">
        <f t="shared" si="37"/>
        <v>5</v>
      </c>
    </row>
    <row r="1183" spans="1:30" x14ac:dyDescent="0.25">
      <c r="A1183" t="s">
        <v>1207</v>
      </c>
      <c r="B1183" s="2">
        <v>44771</v>
      </c>
      <c r="C1183" s="2">
        <v>44772</v>
      </c>
      <c r="D1183" t="s">
        <v>5149</v>
      </c>
      <c r="E1183" t="s">
        <v>5649</v>
      </c>
      <c r="F1183" t="s">
        <v>6026</v>
      </c>
      <c r="G1183" t="s">
        <v>6031</v>
      </c>
      <c r="H1183" t="s">
        <v>6043</v>
      </c>
      <c r="I1183" t="s">
        <v>6048</v>
      </c>
      <c r="J1183" t="s">
        <v>6054</v>
      </c>
      <c r="K1183" t="s">
        <v>6062</v>
      </c>
      <c r="L1183" t="s">
        <v>7166</v>
      </c>
      <c r="M1183">
        <v>1434.52</v>
      </c>
      <c r="N1183">
        <v>4</v>
      </c>
      <c r="O1183">
        <v>0.21</v>
      </c>
      <c r="P1183">
        <v>-126.73</v>
      </c>
      <c r="Q1183" t="s">
        <v>9895</v>
      </c>
      <c r="R1183">
        <v>1</v>
      </c>
      <c r="S1183" s="5">
        <f t="shared" si="36"/>
        <v>-8.8343139168502366E-2</v>
      </c>
      <c r="T1183">
        <v>358.63</v>
      </c>
      <c r="U1183">
        <v>7</v>
      </c>
      <c r="V1183">
        <v>2022</v>
      </c>
      <c r="W1183">
        <v>3</v>
      </c>
      <c r="X1183" t="s">
        <v>9898</v>
      </c>
      <c r="Y1183" t="s">
        <v>9900</v>
      </c>
      <c r="Z1183" t="s">
        <v>9898</v>
      </c>
      <c r="AD1183">
        <f t="shared" si="37"/>
        <v>1</v>
      </c>
    </row>
    <row r="1184" spans="1:30" x14ac:dyDescent="0.25">
      <c r="A1184" t="s">
        <v>1208</v>
      </c>
      <c r="B1184" s="2">
        <v>45077</v>
      </c>
      <c r="C1184" s="2">
        <v>45083</v>
      </c>
      <c r="D1184" t="s">
        <v>5077</v>
      </c>
      <c r="E1184" t="s">
        <v>5577</v>
      </c>
      <c r="F1184" t="s">
        <v>6026</v>
      </c>
      <c r="G1184" t="s">
        <v>6030</v>
      </c>
      <c r="H1184" t="s">
        <v>6039</v>
      </c>
      <c r="I1184" t="s">
        <v>6051</v>
      </c>
      <c r="J1184" t="s">
        <v>6053</v>
      </c>
      <c r="K1184" t="s">
        <v>6058</v>
      </c>
      <c r="L1184" t="s">
        <v>7167</v>
      </c>
      <c r="M1184">
        <v>493.66</v>
      </c>
      <c r="N1184">
        <v>5</v>
      </c>
      <c r="O1184">
        <v>0.33</v>
      </c>
      <c r="P1184">
        <v>-95.16</v>
      </c>
      <c r="Q1184" t="s">
        <v>9894</v>
      </c>
      <c r="R1184">
        <v>6</v>
      </c>
      <c r="S1184" s="5">
        <f t="shared" si="36"/>
        <v>-0.19276425069886155</v>
      </c>
      <c r="T1184">
        <v>98.731999999999999</v>
      </c>
      <c r="U1184">
        <v>5</v>
      </c>
      <c r="V1184">
        <v>2023</v>
      </c>
      <c r="W1184">
        <v>2</v>
      </c>
      <c r="X1184" t="s">
        <v>9898</v>
      </c>
      <c r="Y1184" t="s">
        <v>9902</v>
      </c>
      <c r="Z1184" t="s">
        <v>9899</v>
      </c>
      <c r="AD1184">
        <f t="shared" si="37"/>
        <v>6</v>
      </c>
    </row>
    <row r="1185" spans="1:30" x14ac:dyDescent="0.25">
      <c r="A1185" t="s">
        <v>1209</v>
      </c>
      <c r="B1185" s="2">
        <v>45256</v>
      </c>
      <c r="C1185" s="2">
        <v>45259</v>
      </c>
      <c r="D1185" t="s">
        <v>5484</v>
      </c>
      <c r="E1185" t="s">
        <v>5984</v>
      </c>
      <c r="F1185" t="s">
        <v>6026</v>
      </c>
      <c r="G1185" t="s">
        <v>6029</v>
      </c>
      <c r="H1185" t="s">
        <v>6044</v>
      </c>
      <c r="I1185" t="s">
        <v>6050</v>
      </c>
      <c r="J1185" t="s">
        <v>6053</v>
      </c>
      <c r="K1185" t="s">
        <v>6058</v>
      </c>
      <c r="L1185" t="s">
        <v>7168</v>
      </c>
      <c r="M1185">
        <v>678.1</v>
      </c>
      <c r="N1185">
        <v>6</v>
      </c>
      <c r="O1185">
        <v>0.11</v>
      </c>
      <c r="P1185">
        <v>11.34</v>
      </c>
      <c r="Q1185" t="s">
        <v>9893</v>
      </c>
      <c r="R1185">
        <v>3</v>
      </c>
      <c r="S1185" s="5">
        <f t="shared" si="36"/>
        <v>1.672319716855921E-2</v>
      </c>
      <c r="T1185">
        <v>113.01666666666669</v>
      </c>
      <c r="U1185">
        <v>11</v>
      </c>
      <c r="V1185">
        <v>2023</v>
      </c>
      <c r="W1185">
        <v>4</v>
      </c>
      <c r="X1185" t="s">
        <v>9899</v>
      </c>
      <c r="Y1185" t="s">
        <v>9901</v>
      </c>
      <c r="Z1185" t="s">
        <v>9899</v>
      </c>
      <c r="AD1185">
        <f t="shared" si="37"/>
        <v>3</v>
      </c>
    </row>
    <row r="1186" spans="1:30" x14ac:dyDescent="0.25">
      <c r="A1186" t="s">
        <v>1210</v>
      </c>
      <c r="B1186" s="2">
        <v>44617</v>
      </c>
      <c r="C1186" s="2">
        <v>44622</v>
      </c>
      <c r="D1186" t="s">
        <v>5120</v>
      </c>
      <c r="E1186" t="s">
        <v>5620</v>
      </c>
      <c r="F1186" t="s">
        <v>6027</v>
      </c>
      <c r="G1186" t="s">
        <v>6030</v>
      </c>
      <c r="H1186" t="s">
        <v>6033</v>
      </c>
      <c r="I1186" t="s">
        <v>6051</v>
      </c>
      <c r="J1186" t="s">
        <v>6054</v>
      </c>
      <c r="K1186" t="s">
        <v>6059</v>
      </c>
      <c r="L1186" t="s">
        <v>7169</v>
      </c>
      <c r="M1186">
        <v>1238.0999999999999</v>
      </c>
      <c r="N1186">
        <v>1</v>
      </c>
      <c r="O1186">
        <v>0.05</v>
      </c>
      <c r="P1186">
        <v>257.7</v>
      </c>
      <c r="Q1186" t="s">
        <v>9897</v>
      </c>
      <c r="R1186">
        <v>5</v>
      </c>
      <c r="S1186" s="5">
        <f t="shared" si="36"/>
        <v>0.20814150714804944</v>
      </c>
      <c r="T1186">
        <v>1238.0999999999999</v>
      </c>
      <c r="U1186">
        <v>2</v>
      </c>
      <c r="V1186">
        <v>2022</v>
      </c>
      <c r="W1186">
        <v>1</v>
      </c>
      <c r="X1186" t="s">
        <v>9899</v>
      </c>
      <c r="Y1186" t="s">
        <v>9901</v>
      </c>
      <c r="Z1186" t="s">
        <v>9898</v>
      </c>
      <c r="AD1186">
        <f t="shared" si="37"/>
        <v>5</v>
      </c>
    </row>
    <row r="1187" spans="1:30" x14ac:dyDescent="0.25">
      <c r="A1187" t="s">
        <v>1211</v>
      </c>
      <c r="B1187" s="2">
        <v>45382</v>
      </c>
      <c r="C1187" s="2">
        <v>45387</v>
      </c>
      <c r="D1187" t="s">
        <v>5160</v>
      </c>
      <c r="E1187" t="s">
        <v>5660</v>
      </c>
      <c r="F1187" t="s">
        <v>6028</v>
      </c>
      <c r="G1187" t="s">
        <v>6030</v>
      </c>
      <c r="H1187" t="s">
        <v>6033</v>
      </c>
      <c r="I1187" t="s">
        <v>6051</v>
      </c>
      <c r="J1187" t="s">
        <v>6054</v>
      </c>
      <c r="K1187" t="s">
        <v>6062</v>
      </c>
      <c r="L1187" t="s">
        <v>7170</v>
      </c>
      <c r="M1187">
        <v>753.5</v>
      </c>
      <c r="N1187">
        <v>4</v>
      </c>
      <c r="O1187">
        <v>0.2</v>
      </c>
      <c r="P1187">
        <v>38.65</v>
      </c>
      <c r="Q1187" t="s">
        <v>9893</v>
      </c>
      <c r="R1187">
        <v>5</v>
      </c>
      <c r="S1187" s="5">
        <f t="shared" si="36"/>
        <v>5.1293961512939613E-2</v>
      </c>
      <c r="T1187">
        <v>188.375</v>
      </c>
      <c r="U1187">
        <v>3</v>
      </c>
      <c r="V1187">
        <v>2024</v>
      </c>
      <c r="W1187">
        <v>1</v>
      </c>
      <c r="X1187" t="s">
        <v>9899</v>
      </c>
      <c r="Y1187" t="s">
        <v>9900</v>
      </c>
      <c r="Z1187" t="s">
        <v>9899</v>
      </c>
      <c r="AD1187">
        <f t="shared" si="37"/>
        <v>5</v>
      </c>
    </row>
    <row r="1188" spans="1:30" x14ac:dyDescent="0.25">
      <c r="A1188" t="s">
        <v>1212</v>
      </c>
      <c r="B1188" s="2">
        <v>45015</v>
      </c>
      <c r="C1188" s="2">
        <v>45016</v>
      </c>
      <c r="D1188" t="s">
        <v>5099</v>
      </c>
      <c r="E1188" t="s">
        <v>5599</v>
      </c>
      <c r="F1188" t="s">
        <v>6027</v>
      </c>
      <c r="G1188" t="s">
        <v>6030</v>
      </c>
      <c r="H1188" t="s">
        <v>6035</v>
      </c>
      <c r="I1188" t="s">
        <v>6047</v>
      </c>
      <c r="J1188" t="s">
        <v>6054</v>
      </c>
      <c r="K1188" t="s">
        <v>6060</v>
      </c>
      <c r="L1188" t="s">
        <v>7171</v>
      </c>
      <c r="M1188">
        <v>1757.86</v>
      </c>
      <c r="N1188">
        <v>8</v>
      </c>
      <c r="O1188">
        <v>0.17</v>
      </c>
      <c r="P1188">
        <v>59.47</v>
      </c>
      <c r="Q1188" t="s">
        <v>9895</v>
      </c>
      <c r="R1188">
        <v>1</v>
      </c>
      <c r="S1188" s="5">
        <f t="shared" si="36"/>
        <v>3.3830908035907298E-2</v>
      </c>
      <c r="T1188">
        <v>219.73249999999999</v>
      </c>
      <c r="U1188">
        <v>3</v>
      </c>
      <c r="V1188">
        <v>2023</v>
      </c>
      <c r="W1188">
        <v>1</v>
      </c>
      <c r="X1188" t="s">
        <v>9899</v>
      </c>
      <c r="Y1188" t="s">
        <v>9900</v>
      </c>
      <c r="Z1188" t="s">
        <v>9898</v>
      </c>
      <c r="AD1188">
        <f t="shared" si="37"/>
        <v>1</v>
      </c>
    </row>
    <row r="1189" spans="1:30" x14ac:dyDescent="0.25">
      <c r="A1189" t="s">
        <v>1213</v>
      </c>
      <c r="B1189" s="2">
        <v>44682</v>
      </c>
      <c r="C1189" s="2">
        <v>44685</v>
      </c>
      <c r="D1189" t="s">
        <v>5438</v>
      </c>
      <c r="E1189" t="s">
        <v>5938</v>
      </c>
      <c r="F1189" t="s">
        <v>6027</v>
      </c>
      <c r="G1189" t="s">
        <v>6031</v>
      </c>
      <c r="H1189" t="s">
        <v>6042</v>
      </c>
      <c r="I1189" t="s">
        <v>6048</v>
      </c>
      <c r="J1189" t="s">
        <v>6053</v>
      </c>
      <c r="K1189" t="s">
        <v>6056</v>
      </c>
      <c r="L1189" t="s">
        <v>7172</v>
      </c>
      <c r="M1189">
        <v>329.48</v>
      </c>
      <c r="N1189">
        <v>2</v>
      </c>
      <c r="O1189">
        <v>0.08</v>
      </c>
      <c r="P1189">
        <v>38.909999999999997</v>
      </c>
      <c r="Q1189" t="s">
        <v>9893</v>
      </c>
      <c r="R1189">
        <v>3</v>
      </c>
      <c r="S1189" s="5">
        <f t="shared" si="36"/>
        <v>0.118095180284084</v>
      </c>
      <c r="T1189">
        <v>164.74</v>
      </c>
      <c r="U1189">
        <v>5</v>
      </c>
      <c r="V1189">
        <v>2022</v>
      </c>
      <c r="W1189">
        <v>2</v>
      </c>
      <c r="X1189" t="s">
        <v>9899</v>
      </c>
      <c r="Y1189" t="s">
        <v>9901</v>
      </c>
      <c r="Z1189" t="s">
        <v>9899</v>
      </c>
      <c r="AD1189">
        <f t="shared" si="37"/>
        <v>3</v>
      </c>
    </row>
    <row r="1190" spans="1:30" x14ac:dyDescent="0.25">
      <c r="A1190" t="s">
        <v>1214</v>
      </c>
      <c r="B1190" s="2">
        <v>44625</v>
      </c>
      <c r="C1190" s="2">
        <v>44631</v>
      </c>
      <c r="D1190" t="s">
        <v>5114</v>
      </c>
      <c r="E1190" t="s">
        <v>5614</v>
      </c>
      <c r="F1190" t="s">
        <v>6026</v>
      </c>
      <c r="G1190" t="s">
        <v>6030</v>
      </c>
      <c r="H1190" t="s">
        <v>6035</v>
      </c>
      <c r="I1190" t="s">
        <v>6051</v>
      </c>
      <c r="J1190" t="s">
        <v>6053</v>
      </c>
      <c r="K1190" t="s">
        <v>6056</v>
      </c>
      <c r="L1190" t="s">
        <v>7173</v>
      </c>
      <c r="M1190">
        <v>380.71</v>
      </c>
      <c r="N1190">
        <v>8</v>
      </c>
      <c r="O1190">
        <v>0.26</v>
      </c>
      <c r="P1190">
        <v>-13.74</v>
      </c>
      <c r="Q1190" t="s">
        <v>9896</v>
      </c>
      <c r="R1190">
        <v>6</v>
      </c>
      <c r="S1190" s="5">
        <f t="shared" si="36"/>
        <v>-3.6090462556801768E-2</v>
      </c>
      <c r="T1190">
        <v>47.588749999999997</v>
      </c>
      <c r="U1190">
        <v>3</v>
      </c>
      <c r="V1190">
        <v>2022</v>
      </c>
      <c r="W1190">
        <v>1</v>
      </c>
      <c r="X1190" t="s">
        <v>9898</v>
      </c>
      <c r="Y1190" t="s">
        <v>9900</v>
      </c>
      <c r="Z1190" t="s">
        <v>9899</v>
      </c>
      <c r="AD1190">
        <f t="shared" si="37"/>
        <v>6</v>
      </c>
    </row>
    <row r="1191" spans="1:30" x14ac:dyDescent="0.25">
      <c r="A1191" t="s">
        <v>1215</v>
      </c>
      <c r="B1191" s="2">
        <v>44603</v>
      </c>
      <c r="C1191" s="2">
        <v>44605</v>
      </c>
      <c r="D1191" t="s">
        <v>5242</v>
      </c>
      <c r="E1191" t="s">
        <v>5742</v>
      </c>
      <c r="F1191" t="s">
        <v>6027</v>
      </c>
      <c r="G1191" t="s">
        <v>6029</v>
      </c>
      <c r="H1191" t="s">
        <v>6036</v>
      </c>
      <c r="I1191" t="s">
        <v>6046</v>
      </c>
      <c r="J1191" t="s">
        <v>6055</v>
      </c>
      <c r="K1191" t="s">
        <v>6064</v>
      </c>
      <c r="L1191" t="s">
        <v>7174</v>
      </c>
      <c r="M1191">
        <v>145.36000000000001</v>
      </c>
      <c r="N1191">
        <v>5</v>
      </c>
      <c r="O1191">
        <v>0.14000000000000001</v>
      </c>
      <c r="P1191">
        <v>16.079999999999998</v>
      </c>
      <c r="Q1191" t="s">
        <v>9893</v>
      </c>
      <c r="R1191">
        <v>2</v>
      </c>
      <c r="S1191" s="5">
        <f t="shared" si="36"/>
        <v>0.11062190423775452</v>
      </c>
      <c r="T1191">
        <v>29.071999999999999</v>
      </c>
      <c r="U1191">
        <v>2</v>
      </c>
      <c r="V1191">
        <v>2022</v>
      </c>
      <c r="W1191">
        <v>1</v>
      </c>
      <c r="X1191" t="s">
        <v>9899</v>
      </c>
      <c r="Y1191" t="s">
        <v>9901</v>
      </c>
      <c r="Z1191" t="s">
        <v>9899</v>
      </c>
      <c r="AD1191">
        <f t="shared" si="37"/>
        <v>2</v>
      </c>
    </row>
    <row r="1192" spans="1:30" x14ac:dyDescent="0.25">
      <c r="A1192" t="s">
        <v>1216</v>
      </c>
      <c r="B1192" s="2">
        <v>45025</v>
      </c>
      <c r="C1192" s="2">
        <v>45027</v>
      </c>
      <c r="D1192" t="s">
        <v>5447</v>
      </c>
      <c r="E1192" t="s">
        <v>5947</v>
      </c>
      <c r="F1192" t="s">
        <v>6028</v>
      </c>
      <c r="G1192" t="s">
        <v>6030</v>
      </c>
      <c r="H1192" t="s">
        <v>6038</v>
      </c>
      <c r="I1192" t="s">
        <v>6047</v>
      </c>
      <c r="J1192" t="s">
        <v>6054</v>
      </c>
      <c r="K1192" t="s">
        <v>6059</v>
      </c>
      <c r="L1192" t="s">
        <v>7040</v>
      </c>
      <c r="M1192">
        <v>1384.33</v>
      </c>
      <c r="N1192">
        <v>6</v>
      </c>
      <c r="O1192">
        <v>0.02</v>
      </c>
      <c r="P1192">
        <v>205.9</v>
      </c>
      <c r="Q1192" t="s">
        <v>9897</v>
      </c>
      <c r="R1192">
        <v>2</v>
      </c>
      <c r="S1192" s="5">
        <f t="shared" si="36"/>
        <v>0.14873621174142004</v>
      </c>
      <c r="T1192">
        <v>230.72166666666669</v>
      </c>
      <c r="U1192">
        <v>4</v>
      </c>
      <c r="V1192">
        <v>2023</v>
      </c>
      <c r="W1192">
        <v>2</v>
      </c>
      <c r="X1192" t="s">
        <v>9899</v>
      </c>
      <c r="Y1192" t="s">
        <v>9901</v>
      </c>
      <c r="Z1192" t="s">
        <v>9898</v>
      </c>
      <c r="AD1192">
        <f t="shared" si="37"/>
        <v>2</v>
      </c>
    </row>
    <row r="1193" spans="1:30" x14ac:dyDescent="0.25">
      <c r="A1193" t="s">
        <v>1217</v>
      </c>
      <c r="B1193" s="2">
        <v>45316</v>
      </c>
      <c r="C1193" s="2">
        <v>45321</v>
      </c>
      <c r="D1193" t="s">
        <v>5104</v>
      </c>
      <c r="E1193" t="s">
        <v>5604</v>
      </c>
      <c r="F1193" t="s">
        <v>6027</v>
      </c>
      <c r="G1193" t="s">
        <v>6031</v>
      </c>
      <c r="H1193" t="s">
        <v>6043</v>
      </c>
      <c r="I1193" t="s">
        <v>6048</v>
      </c>
      <c r="J1193" t="s">
        <v>6053</v>
      </c>
      <c r="K1193" t="s">
        <v>6057</v>
      </c>
      <c r="L1193" t="s">
        <v>7175</v>
      </c>
      <c r="M1193">
        <v>125.52</v>
      </c>
      <c r="N1193">
        <v>2</v>
      </c>
      <c r="O1193">
        <v>0.12</v>
      </c>
      <c r="P1193">
        <v>0.42</v>
      </c>
      <c r="Q1193" t="s">
        <v>9893</v>
      </c>
      <c r="R1193">
        <v>5</v>
      </c>
      <c r="S1193" s="5">
        <f t="shared" si="36"/>
        <v>3.346080305927342E-3</v>
      </c>
      <c r="T1193">
        <v>62.76</v>
      </c>
      <c r="U1193">
        <v>1</v>
      </c>
      <c r="V1193">
        <v>2024</v>
      </c>
      <c r="W1193">
        <v>1</v>
      </c>
      <c r="X1193" t="s">
        <v>9899</v>
      </c>
      <c r="Y1193" t="s">
        <v>9901</v>
      </c>
      <c r="Z1193" t="s">
        <v>9899</v>
      </c>
      <c r="AD1193">
        <f t="shared" si="37"/>
        <v>5</v>
      </c>
    </row>
    <row r="1194" spans="1:30" x14ac:dyDescent="0.25">
      <c r="A1194" t="s">
        <v>1218</v>
      </c>
      <c r="B1194" s="2">
        <v>44808</v>
      </c>
      <c r="C1194" s="2">
        <v>44812</v>
      </c>
      <c r="D1194" t="s">
        <v>5111</v>
      </c>
      <c r="E1194" t="s">
        <v>5611</v>
      </c>
      <c r="F1194" t="s">
        <v>6027</v>
      </c>
      <c r="G1194" t="s">
        <v>6031</v>
      </c>
      <c r="H1194" t="s">
        <v>6037</v>
      </c>
      <c r="I1194" t="s">
        <v>6048</v>
      </c>
      <c r="J1194" t="s">
        <v>6055</v>
      </c>
      <c r="K1194" t="s">
        <v>6063</v>
      </c>
      <c r="L1194" t="s">
        <v>6112</v>
      </c>
      <c r="M1194">
        <v>319.26</v>
      </c>
      <c r="N1194">
        <v>7</v>
      </c>
      <c r="O1194">
        <v>0.21</v>
      </c>
      <c r="P1194">
        <v>-24.13</v>
      </c>
      <c r="Q1194" t="s">
        <v>9896</v>
      </c>
      <c r="R1194">
        <v>4</v>
      </c>
      <c r="S1194" s="5">
        <f t="shared" si="36"/>
        <v>-7.558103113449853E-2</v>
      </c>
      <c r="T1194">
        <v>45.60857142857143</v>
      </c>
      <c r="U1194">
        <v>9</v>
      </c>
      <c r="V1194">
        <v>2022</v>
      </c>
      <c r="W1194">
        <v>3</v>
      </c>
      <c r="X1194" t="s">
        <v>9898</v>
      </c>
      <c r="Y1194" t="s">
        <v>9900</v>
      </c>
      <c r="Z1194" t="s">
        <v>9899</v>
      </c>
      <c r="AD1194">
        <f t="shared" si="37"/>
        <v>4</v>
      </c>
    </row>
    <row r="1195" spans="1:30" x14ac:dyDescent="0.25">
      <c r="A1195" t="s">
        <v>1219</v>
      </c>
      <c r="B1195" s="2">
        <v>45421</v>
      </c>
      <c r="C1195" s="2">
        <v>45422</v>
      </c>
      <c r="D1195" t="s">
        <v>5065</v>
      </c>
      <c r="E1195" t="s">
        <v>5565</v>
      </c>
      <c r="F1195" t="s">
        <v>6027</v>
      </c>
      <c r="G1195" t="s">
        <v>6031</v>
      </c>
      <c r="H1195" t="s">
        <v>6040</v>
      </c>
      <c r="I1195" t="s">
        <v>6052</v>
      </c>
      <c r="J1195" t="s">
        <v>6055</v>
      </c>
      <c r="K1195" t="s">
        <v>6061</v>
      </c>
      <c r="L1195" t="s">
        <v>7176</v>
      </c>
      <c r="M1195">
        <v>1302.98</v>
      </c>
      <c r="N1195">
        <v>7</v>
      </c>
      <c r="O1195">
        <v>0.21</v>
      </c>
      <c r="P1195">
        <v>-45.71</v>
      </c>
      <c r="Q1195" t="s">
        <v>9896</v>
      </c>
      <c r="R1195">
        <v>1</v>
      </c>
      <c r="S1195" s="5">
        <f t="shared" si="36"/>
        <v>-3.5081121736327499E-2</v>
      </c>
      <c r="T1195">
        <v>186.14</v>
      </c>
      <c r="U1195">
        <v>5</v>
      </c>
      <c r="V1195">
        <v>2024</v>
      </c>
      <c r="W1195">
        <v>2</v>
      </c>
      <c r="X1195" t="s">
        <v>9898</v>
      </c>
      <c r="Y1195" t="s">
        <v>9900</v>
      </c>
      <c r="Z1195" t="s">
        <v>9898</v>
      </c>
      <c r="AD1195">
        <f t="shared" si="37"/>
        <v>1</v>
      </c>
    </row>
    <row r="1196" spans="1:30" x14ac:dyDescent="0.25">
      <c r="A1196" t="s">
        <v>1220</v>
      </c>
      <c r="B1196" s="2">
        <v>45452</v>
      </c>
      <c r="C1196" s="2">
        <v>45457</v>
      </c>
      <c r="D1196" t="s">
        <v>5047</v>
      </c>
      <c r="E1196" t="s">
        <v>5547</v>
      </c>
      <c r="F1196" t="s">
        <v>6027</v>
      </c>
      <c r="G1196" t="s">
        <v>6031</v>
      </c>
      <c r="H1196" t="s">
        <v>6034</v>
      </c>
      <c r="I1196" t="s">
        <v>6048</v>
      </c>
      <c r="J1196" t="s">
        <v>6053</v>
      </c>
      <c r="K1196" t="s">
        <v>6058</v>
      </c>
      <c r="L1196" t="s">
        <v>7177</v>
      </c>
      <c r="M1196">
        <v>1686.3</v>
      </c>
      <c r="N1196">
        <v>5</v>
      </c>
      <c r="O1196">
        <v>0.26</v>
      </c>
      <c r="P1196">
        <v>-199.52</v>
      </c>
      <c r="Q1196" t="s">
        <v>9893</v>
      </c>
      <c r="R1196">
        <v>5</v>
      </c>
      <c r="S1196" s="5">
        <f t="shared" si="36"/>
        <v>-0.11831821146889641</v>
      </c>
      <c r="T1196">
        <v>337.26</v>
      </c>
      <c r="U1196">
        <v>6</v>
      </c>
      <c r="V1196">
        <v>2024</v>
      </c>
      <c r="W1196">
        <v>2</v>
      </c>
      <c r="X1196" t="s">
        <v>9898</v>
      </c>
      <c r="Y1196" t="s">
        <v>9900</v>
      </c>
      <c r="Z1196" t="s">
        <v>9898</v>
      </c>
      <c r="AD1196">
        <f t="shared" si="37"/>
        <v>5</v>
      </c>
    </row>
    <row r="1197" spans="1:30" x14ac:dyDescent="0.25">
      <c r="A1197" t="s">
        <v>1221</v>
      </c>
      <c r="B1197" s="2">
        <v>44899</v>
      </c>
      <c r="C1197" s="2">
        <v>44901</v>
      </c>
      <c r="D1197" t="s">
        <v>5104</v>
      </c>
      <c r="E1197" t="s">
        <v>5604</v>
      </c>
      <c r="F1197" t="s">
        <v>6028</v>
      </c>
      <c r="G1197" t="s">
        <v>6029</v>
      </c>
      <c r="H1197" t="s">
        <v>6045</v>
      </c>
      <c r="I1197" t="s">
        <v>6046</v>
      </c>
      <c r="J1197" t="s">
        <v>6053</v>
      </c>
      <c r="K1197" t="s">
        <v>6056</v>
      </c>
      <c r="L1197" t="s">
        <v>7178</v>
      </c>
      <c r="M1197">
        <v>296.63</v>
      </c>
      <c r="N1197">
        <v>4</v>
      </c>
      <c r="O1197">
        <v>0.15</v>
      </c>
      <c r="P1197">
        <v>20.3</v>
      </c>
      <c r="Q1197" t="s">
        <v>9896</v>
      </c>
      <c r="R1197">
        <v>2</v>
      </c>
      <c r="S1197" s="5">
        <f t="shared" si="36"/>
        <v>6.8435424603040834E-2</v>
      </c>
      <c r="T1197">
        <v>74.157499999999999</v>
      </c>
      <c r="U1197">
        <v>12</v>
      </c>
      <c r="V1197">
        <v>2022</v>
      </c>
      <c r="W1197">
        <v>4</v>
      </c>
      <c r="X1197" t="s">
        <v>9899</v>
      </c>
      <c r="Y1197" t="s">
        <v>9901</v>
      </c>
      <c r="Z1197" t="s">
        <v>9899</v>
      </c>
      <c r="AD1197">
        <f t="shared" si="37"/>
        <v>2</v>
      </c>
    </row>
    <row r="1198" spans="1:30" x14ac:dyDescent="0.25">
      <c r="A1198" t="s">
        <v>1222</v>
      </c>
      <c r="B1198" s="2">
        <v>45421</v>
      </c>
      <c r="C1198" s="2">
        <v>45425</v>
      </c>
      <c r="D1198" t="s">
        <v>5193</v>
      </c>
      <c r="E1198" t="s">
        <v>5693</v>
      </c>
      <c r="F1198" t="s">
        <v>6026</v>
      </c>
      <c r="G1198" t="s">
        <v>6031</v>
      </c>
      <c r="H1198" t="s">
        <v>6040</v>
      </c>
      <c r="I1198" t="s">
        <v>6048</v>
      </c>
      <c r="J1198" t="s">
        <v>6053</v>
      </c>
      <c r="K1198" t="s">
        <v>6056</v>
      </c>
      <c r="L1198" t="s">
        <v>7179</v>
      </c>
      <c r="M1198">
        <v>612.87</v>
      </c>
      <c r="N1198">
        <v>8</v>
      </c>
      <c r="O1198">
        <v>0.02</v>
      </c>
      <c r="P1198">
        <v>99.43</v>
      </c>
      <c r="Q1198" t="s">
        <v>9893</v>
      </c>
      <c r="R1198">
        <v>4</v>
      </c>
      <c r="S1198" s="5">
        <f t="shared" si="36"/>
        <v>0.16223668967317703</v>
      </c>
      <c r="T1198">
        <v>76.608750000000001</v>
      </c>
      <c r="U1198">
        <v>5</v>
      </c>
      <c r="V1198">
        <v>2024</v>
      </c>
      <c r="W1198">
        <v>2</v>
      </c>
      <c r="X1198" t="s">
        <v>9899</v>
      </c>
      <c r="Y1198" t="s">
        <v>9901</v>
      </c>
      <c r="Z1198" t="s">
        <v>9899</v>
      </c>
      <c r="AD1198">
        <f t="shared" si="37"/>
        <v>4</v>
      </c>
    </row>
    <row r="1199" spans="1:30" x14ac:dyDescent="0.25">
      <c r="A1199" t="s">
        <v>1223</v>
      </c>
      <c r="B1199" s="2">
        <v>45221</v>
      </c>
      <c r="C1199" s="2">
        <v>45227</v>
      </c>
      <c r="D1199" t="s">
        <v>5077</v>
      </c>
      <c r="E1199" t="s">
        <v>5577</v>
      </c>
      <c r="F1199" t="s">
        <v>6027</v>
      </c>
      <c r="G1199" t="s">
        <v>6029</v>
      </c>
      <c r="H1199" t="s">
        <v>6041</v>
      </c>
      <c r="I1199" t="s">
        <v>6049</v>
      </c>
      <c r="J1199" t="s">
        <v>6053</v>
      </c>
      <c r="K1199" t="s">
        <v>6057</v>
      </c>
      <c r="L1199" t="s">
        <v>7180</v>
      </c>
      <c r="M1199">
        <v>1736.6</v>
      </c>
      <c r="N1199">
        <v>5</v>
      </c>
      <c r="O1199">
        <v>0.04</v>
      </c>
      <c r="P1199">
        <v>299.24</v>
      </c>
      <c r="Q1199" t="s">
        <v>9893</v>
      </c>
      <c r="R1199">
        <v>6</v>
      </c>
      <c r="S1199" s="5">
        <f t="shared" si="36"/>
        <v>0.17231371645744559</v>
      </c>
      <c r="T1199">
        <v>347.32</v>
      </c>
      <c r="U1199">
        <v>10</v>
      </c>
      <c r="V1199">
        <v>2023</v>
      </c>
      <c r="W1199">
        <v>4</v>
      </c>
      <c r="X1199" t="s">
        <v>9899</v>
      </c>
      <c r="Y1199" t="s">
        <v>9901</v>
      </c>
      <c r="Z1199" t="s">
        <v>9898</v>
      </c>
      <c r="AD1199">
        <f t="shared" si="37"/>
        <v>6</v>
      </c>
    </row>
    <row r="1200" spans="1:30" x14ac:dyDescent="0.25">
      <c r="A1200" t="s">
        <v>1224</v>
      </c>
      <c r="B1200" s="2">
        <v>45365</v>
      </c>
      <c r="C1200" s="2">
        <v>45369</v>
      </c>
      <c r="D1200" t="s">
        <v>5093</v>
      </c>
      <c r="E1200" t="s">
        <v>5593</v>
      </c>
      <c r="F1200" t="s">
        <v>6027</v>
      </c>
      <c r="G1200" t="s">
        <v>6031</v>
      </c>
      <c r="H1200" t="s">
        <v>6043</v>
      </c>
      <c r="I1200" t="s">
        <v>6050</v>
      </c>
      <c r="J1200" t="s">
        <v>6054</v>
      </c>
      <c r="K1200" t="s">
        <v>6060</v>
      </c>
      <c r="L1200" t="s">
        <v>7007</v>
      </c>
      <c r="M1200">
        <v>1873.11</v>
      </c>
      <c r="N1200">
        <v>6</v>
      </c>
      <c r="O1200">
        <v>0.3</v>
      </c>
      <c r="P1200">
        <v>-279.44</v>
      </c>
      <c r="Q1200" t="s">
        <v>9896</v>
      </c>
      <c r="R1200">
        <v>4</v>
      </c>
      <c r="S1200" s="5">
        <f t="shared" si="36"/>
        <v>-0.14918504519222042</v>
      </c>
      <c r="T1200">
        <v>312.185</v>
      </c>
      <c r="U1200">
        <v>3</v>
      </c>
      <c r="V1200">
        <v>2024</v>
      </c>
      <c r="W1200">
        <v>1</v>
      </c>
      <c r="X1200" t="s">
        <v>9898</v>
      </c>
      <c r="Y1200" t="s">
        <v>9900</v>
      </c>
      <c r="Z1200" t="s">
        <v>9898</v>
      </c>
      <c r="AD1200">
        <f t="shared" si="37"/>
        <v>4</v>
      </c>
    </row>
    <row r="1201" spans="1:30" x14ac:dyDescent="0.25">
      <c r="A1201" t="s">
        <v>1225</v>
      </c>
      <c r="B1201" s="2">
        <v>44607</v>
      </c>
      <c r="C1201" s="2">
        <v>44611</v>
      </c>
      <c r="D1201" t="s">
        <v>5238</v>
      </c>
      <c r="E1201" t="s">
        <v>5738</v>
      </c>
      <c r="F1201" t="s">
        <v>6027</v>
      </c>
      <c r="G1201" t="s">
        <v>6030</v>
      </c>
      <c r="H1201" t="s">
        <v>6035</v>
      </c>
      <c r="I1201" t="s">
        <v>6051</v>
      </c>
      <c r="J1201" t="s">
        <v>6055</v>
      </c>
      <c r="K1201" t="s">
        <v>6063</v>
      </c>
      <c r="L1201" t="s">
        <v>7181</v>
      </c>
      <c r="M1201">
        <v>1812.93</v>
      </c>
      <c r="N1201">
        <v>3</v>
      </c>
      <c r="O1201">
        <v>0.34</v>
      </c>
      <c r="P1201">
        <v>-258.54000000000002</v>
      </c>
      <c r="Q1201" t="s">
        <v>9894</v>
      </c>
      <c r="R1201">
        <v>4</v>
      </c>
      <c r="S1201" s="5">
        <f t="shared" si="36"/>
        <v>-0.14260892588241136</v>
      </c>
      <c r="T1201">
        <v>604.31000000000006</v>
      </c>
      <c r="U1201">
        <v>2</v>
      </c>
      <c r="V1201">
        <v>2022</v>
      </c>
      <c r="W1201">
        <v>1</v>
      </c>
      <c r="X1201" t="s">
        <v>9898</v>
      </c>
      <c r="Y1201" t="s">
        <v>9902</v>
      </c>
      <c r="Z1201" t="s">
        <v>9898</v>
      </c>
      <c r="AD1201">
        <f t="shared" si="37"/>
        <v>4</v>
      </c>
    </row>
    <row r="1202" spans="1:30" x14ac:dyDescent="0.25">
      <c r="A1202" t="s">
        <v>1226</v>
      </c>
      <c r="B1202" s="2">
        <v>45254</v>
      </c>
      <c r="C1202" s="2">
        <v>45258</v>
      </c>
      <c r="D1202" t="s">
        <v>5216</v>
      </c>
      <c r="E1202" t="s">
        <v>5716</v>
      </c>
      <c r="F1202" t="s">
        <v>6026</v>
      </c>
      <c r="G1202" t="s">
        <v>6031</v>
      </c>
      <c r="H1202" t="s">
        <v>6043</v>
      </c>
      <c r="I1202" t="s">
        <v>6052</v>
      </c>
      <c r="J1202" t="s">
        <v>6055</v>
      </c>
      <c r="K1202" t="s">
        <v>6063</v>
      </c>
      <c r="L1202" t="s">
        <v>6611</v>
      </c>
      <c r="M1202">
        <v>1975.03</v>
      </c>
      <c r="N1202">
        <v>2</v>
      </c>
      <c r="O1202">
        <v>0.04</v>
      </c>
      <c r="P1202">
        <v>501.8</v>
      </c>
      <c r="Q1202" t="s">
        <v>9894</v>
      </c>
      <c r="R1202">
        <v>4</v>
      </c>
      <c r="S1202" s="5">
        <f t="shared" si="36"/>
        <v>0.25407209004420189</v>
      </c>
      <c r="T1202">
        <v>987.51499999999999</v>
      </c>
      <c r="U1202">
        <v>11</v>
      </c>
      <c r="V1202">
        <v>2023</v>
      </c>
      <c r="W1202">
        <v>4</v>
      </c>
      <c r="X1202" t="s">
        <v>9899</v>
      </c>
      <c r="Y1202" t="s">
        <v>9901</v>
      </c>
      <c r="Z1202" t="s">
        <v>9898</v>
      </c>
      <c r="AD1202">
        <f t="shared" si="37"/>
        <v>4</v>
      </c>
    </row>
    <row r="1203" spans="1:30" x14ac:dyDescent="0.25">
      <c r="A1203" t="s">
        <v>1227</v>
      </c>
      <c r="B1203" s="2">
        <v>44901</v>
      </c>
      <c r="C1203" s="2">
        <v>44906</v>
      </c>
      <c r="D1203" t="s">
        <v>5168</v>
      </c>
      <c r="E1203" t="s">
        <v>5668</v>
      </c>
      <c r="F1203" t="s">
        <v>6026</v>
      </c>
      <c r="G1203" t="s">
        <v>6031</v>
      </c>
      <c r="H1203" t="s">
        <v>6034</v>
      </c>
      <c r="I1203" t="s">
        <v>6048</v>
      </c>
      <c r="J1203" t="s">
        <v>6054</v>
      </c>
      <c r="K1203" t="s">
        <v>6060</v>
      </c>
      <c r="L1203" t="s">
        <v>7182</v>
      </c>
      <c r="M1203">
        <v>622.75</v>
      </c>
      <c r="N1203">
        <v>1</v>
      </c>
      <c r="O1203">
        <v>0.1</v>
      </c>
      <c r="P1203">
        <v>76.42</v>
      </c>
      <c r="Q1203" t="s">
        <v>9894</v>
      </c>
      <c r="R1203">
        <v>5</v>
      </c>
      <c r="S1203" s="5">
        <f t="shared" si="36"/>
        <v>0.12271376957045363</v>
      </c>
      <c r="T1203">
        <v>622.75</v>
      </c>
      <c r="U1203">
        <v>12</v>
      </c>
      <c r="V1203">
        <v>2022</v>
      </c>
      <c r="W1203">
        <v>4</v>
      </c>
      <c r="X1203" t="s">
        <v>9899</v>
      </c>
      <c r="Y1203" t="s">
        <v>9901</v>
      </c>
      <c r="Z1203" t="s">
        <v>9899</v>
      </c>
      <c r="AD1203">
        <f t="shared" si="37"/>
        <v>5</v>
      </c>
    </row>
    <row r="1204" spans="1:30" x14ac:dyDescent="0.25">
      <c r="A1204" t="s">
        <v>1228</v>
      </c>
      <c r="B1204" s="2">
        <v>45352</v>
      </c>
      <c r="C1204" s="2">
        <v>45359</v>
      </c>
      <c r="D1204" t="s">
        <v>5336</v>
      </c>
      <c r="E1204" t="s">
        <v>5836</v>
      </c>
      <c r="F1204" t="s">
        <v>6028</v>
      </c>
      <c r="G1204" t="s">
        <v>6031</v>
      </c>
      <c r="H1204" t="s">
        <v>6040</v>
      </c>
      <c r="I1204" t="s">
        <v>6050</v>
      </c>
      <c r="J1204" t="s">
        <v>6054</v>
      </c>
      <c r="K1204" t="s">
        <v>6059</v>
      </c>
      <c r="L1204" t="s">
        <v>7183</v>
      </c>
      <c r="M1204">
        <v>1574.38</v>
      </c>
      <c r="N1204">
        <v>6</v>
      </c>
      <c r="O1204">
        <v>0.14000000000000001</v>
      </c>
      <c r="P1204">
        <v>13.5</v>
      </c>
      <c r="Q1204" t="s">
        <v>9897</v>
      </c>
      <c r="R1204">
        <v>7</v>
      </c>
      <c r="S1204" s="5">
        <f t="shared" si="36"/>
        <v>8.5748040498481934E-3</v>
      </c>
      <c r="T1204">
        <v>262.3966666666667</v>
      </c>
      <c r="U1204">
        <v>3</v>
      </c>
      <c r="V1204">
        <v>2024</v>
      </c>
      <c r="W1204">
        <v>1</v>
      </c>
      <c r="X1204" t="s">
        <v>9899</v>
      </c>
      <c r="Y1204" t="s">
        <v>9901</v>
      </c>
      <c r="Z1204" t="s">
        <v>9898</v>
      </c>
      <c r="AD1204">
        <f t="shared" si="37"/>
        <v>7</v>
      </c>
    </row>
    <row r="1205" spans="1:30" x14ac:dyDescent="0.25">
      <c r="A1205" t="s">
        <v>1229</v>
      </c>
      <c r="B1205" s="2">
        <v>45345</v>
      </c>
      <c r="C1205" s="2">
        <v>45346</v>
      </c>
      <c r="D1205" t="s">
        <v>5478</v>
      </c>
      <c r="E1205" t="s">
        <v>5978</v>
      </c>
      <c r="F1205" t="s">
        <v>6026</v>
      </c>
      <c r="G1205" t="s">
        <v>6029</v>
      </c>
      <c r="H1205" t="s">
        <v>6045</v>
      </c>
      <c r="I1205" t="s">
        <v>6046</v>
      </c>
      <c r="J1205" t="s">
        <v>6053</v>
      </c>
      <c r="K1205" t="s">
        <v>6056</v>
      </c>
      <c r="L1205" t="s">
        <v>6887</v>
      </c>
      <c r="M1205">
        <v>1731.68</v>
      </c>
      <c r="N1205">
        <v>5</v>
      </c>
      <c r="O1205">
        <v>0.17</v>
      </c>
      <c r="P1205">
        <v>110.16</v>
      </c>
      <c r="Q1205" t="s">
        <v>9895</v>
      </c>
      <c r="R1205">
        <v>1</v>
      </c>
      <c r="S1205" s="5">
        <f t="shared" si="36"/>
        <v>6.3614524623487018E-2</v>
      </c>
      <c r="T1205">
        <v>346.33600000000001</v>
      </c>
      <c r="U1205">
        <v>2</v>
      </c>
      <c r="V1205">
        <v>2024</v>
      </c>
      <c r="W1205">
        <v>1</v>
      </c>
      <c r="X1205" t="s">
        <v>9899</v>
      </c>
      <c r="Y1205" t="s">
        <v>9900</v>
      </c>
      <c r="Z1205" t="s">
        <v>9898</v>
      </c>
      <c r="AD1205">
        <f t="shared" si="37"/>
        <v>1</v>
      </c>
    </row>
    <row r="1206" spans="1:30" x14ac:dyDescent="0.25">
      <c r="A1206" t="s">
        <v>1230</v>
      </c>
      <c r="B1206" s="2">
        <v>44959</v>
      </c>
      <c r="C1206" s="2">
        <v>44963</v>
      </c>
      <c r="D1206" t="s">
        <v>5363</v>
      </c>
      <c r="E1206" t="s">
        <v>5863</v>
      </c>
      <c r="F1206" t="s">
        <v>6027</v>
      </c>
      <c r="G1206" t="s">
        <v>6029</v>
      </c>
      <c r="H1206" t="s">
        <v>6032</v>
      </c>
      <c r="I1206" t="s">
        <v>6046</v>
      </c>
      <c r="J1206" t="s">
        <v>6055</v>
      </c>
      <c r="K1206" t="s">
        <v>6064</v>
      </c>
      <c r="L1206" t="s">
        <v>7184</v>
      </c>
      <c r="M1206">
        <v>534.58000000000004</v>
      </c>
      <c r="N1206">
        <v>1</v>
      </c>
      <c r="O1206">
        <v>0.21</v>
      </c>
      <c r="P1206">
        <v>31.54</v>
      </c>
      <c r="Q1206" t="s">
        <v>9897</v>
      </c>
      <c r="R1206">
        <v>4</v>
      </c>
      <c r="S1206" s="5">
        <f t="shared" si="36"/>
        <v>5.8999588461970141E-2</v>
      </c>
      <c r="T1206">
        <v>534.58000000000004</v>
      </c>
      <c r="U1206">
        <v>2</v>
      </c>
      <c r="V1206">
        <v>2023</v>
      </c>
      <c r="W1206">
        <v>1</v>
      </c>
      <c r="X1206" t="s">
        <v>9899</v>
      </c>
      <c r="Y1206" t="s">
        <v>9900</v>
      </c>
      <c r="Z1206" t="s">
        <v>9899</v>
      </c>
      <c r="AD1206">
        <f t="shared" si="37"/>
        <v>4</v>
      </c>
    </row>
    <row r="1207" spans="1:30" x14ac:dyDescent="0.25">
      <c r="A1207" t="s">
        <v>1231</v>
      </c>
      <c r="B1207" s="2">
        <v>44809</v>
      </c>
      <c r="C1207" s="2">
        <v>44811</v>
      </c>
      <c r="D1207" t="s">
        <v>5211</v>
      </c>
      <c r="E1207" t="s">
        <v>5711</v>
      </c>
      <c r="F1207" t="s">
        <v>6026</v>
      </c>
      <c r="G1207" t="s">
        <v>6031</v>
      </c>
      <c r="H1207" t="s">
        <v>6034</v>
      </c>
      <c r="I1207" t="s">
        <v>6052</v>
      </c>
      <c r="J1207" t="s">
        <v>6053</v>
      </c>
      <c r="K1207" t="s">
        <v>6057</v>
      </c>
      <c r="L1207" t="s">
        <v>6952</v>
      </c>
      <c r="M1207">
        <v>1684.05</v>
      </c>
      <c r="N1207">
        <v>7</v>
      </c>
      <c r="O1207">
        <v>0.11</v>
      </c>
      <c r="P1207">
        <v>247.32</v>
      </c>
      <c r="Q1207" t="s">
        <v>9894</v>
      </c>
      <c r="R1207">
        <v>2</v>
      </c>
      <c r="S1207" s="5">
        <f t="shared" si="36"/>
        <v>0.14686024761735103</v>
      </c>
      <c r="T1207">
        <v>240.57857142857139</v>
      </c>
      <c r="U1207">
        <v>9</v>
      </c>
      <c r="V1207">
        <v>2022</v>
      </c>
      <c r="W1207">
        <v>3</v>
      </c>
      <c r="X1207" t="s">
        <v>9899</v>
      </c>
      <c r="Y1207" t="s">
        <v>9901</v>
      </c>
      <c r="Z1207" t="s">
        <v>9898</v>
      </c>
      <c r="AD1207">
        <f t="shared" si="37"/>
        <v>2</v>
      </c>
    </row>
    <row r="1208" spans="1:30" x14ac:dyDescent="0.25">
      <c r="A1208" t="s">
        <v>1232</v>
      </c>
      <c r="B1208" s="2">
        <v>44807</v>
      </c>
      <c r="C1208" s="2">
        <v>44811</v>
      </c>
      <c r="D1208" t="s">
        <v>5416</v>
      </c>
      <c r="E1208" t="s">
        <v>5916</v>
      </c>
      <c r="F1208" t="s">
        <v>6028</v>
      </c>
      <c r="G1208" t="s">
        <v>6030</v>
      </c>
      <c r="H1208" t="s">
        <v>6033</v>
      </c>
      <c r="I1208" t="s">
        <v>6047</v>
      </c>
      <c r="J1208" t="s">
        <v>6053</v>
      </c>
      <c r="K1208" t="s">
        <v>6057</v>
      </c>
      <c r="L1208" t="s">
        <v>7185</v>
      </c>
      <c r="M1208">
        <v>909.41</v>
      </c>
      <c r="N1208">
        <v>4</v>
      </c>
      <c r="O1208">
        <v>0.28000000000000003</v>
      </c>
      <c r="P1208">
        <v>-88.46</v>
      </c>
      <c r="Q1208" t="s">
        <v>9893</v>
      </c>
      <c r="R1208">
        <v>4</v>
      </c>
      <c r="S1208" s="5">
        <f t="shared" si="36"/>
        <v>-9.7271857577990117E-2</v>
      </c>
      <c r="T1208">
        <v>227.35249999999999</v>
      </c>
      <c r="U1208">
        <v>9</v>
      </c>
      <c r="V1208">
        <v>2022</v>
      </c>
      <c r="W1208">
        <v>3</v>
      </c>
      <c r="X1208" t="s">
        <v>9898</v>
      </c>
      <c r="Y1208" t="s">
        <v>9900</v>
      </c>
      <c r="Z1208" t="s">
        <v>9899</v>
      </c>
      <c r="AD1208">
        <f t="shared" si="37"/>
        <v>4</v>
      </c>
    </row>
    <row r="1209" spans="1:30" x14ac:dyDescent="0.25">
      <c r="A1209" t="s">
        <v>1233</v>
      </c>
      <c r="B1209" s="2">
        <v>45137</v>
      </c>
      <c r="C1209" s="2">
        <v>45142</v>
      </c>
      <c r="D1209" t="s">
        <v>5465</v>
      </c>
      <c r="E1209" t="s">
        <v>5965</v>
      </c>
      <c r="F1209" t="s">
        <v>6026</v>
      </c>
      <c r="G1209" t="s">
        <v>6031</v>
      </c>
      <c r="H1209" t="s">
        <v>6040</v>
      </c>
      <c r="I1209" t="s">
        <v>6048</v>
      </c>
      <c r="J1209" t="s">
        <v>6053</v>
      </c>
      <c r="K1209" t="s">
        <v>6058</v>
      </c>
      <c r="L1209" t="s">
        <v>7186</v>
      </c>
      <c r="M1209">
        <v>1701.35</v>
      </c>
      <c r="N1209">
        <v>3</v>
      </c>
      <c r="O1209">
        <v>0.04</v>
      </c>
      <c r="P1209">
        <v>314.89</v>
      </c>
      <c r="Q1209" t="s">
        <v>9894</v>
      </c>
      <c r="R1209">
        <v>5</v>
      </c>
      <c r="S1209" s="5">
        <f t="shared" si="36"/>
        <v>0.18508243453727921</v>
      </c>
      <c r="T1209">
        <v>567.11666666666667</v>
      </c>
      <c r="U1209">
        <v>7</v>
      </c>
      <c r="V1209">
        <v>2023</v>
      </c>
      <c r="W1209">
        <v>3</v>
      </c>
      <c r="X1209" t="s">
        <v>9899</v>
      </c>
      <c r="Y1209" t="s">
        <v>9901</v>
      </c>
      <c r="Z1209" t="s">
        <v>9898</v>
      </c>
      <c r="AD1209">
        <f t="shared" si="37"/>
        <v>5</v>
      </c>
    </row>
    <row r="1210" spans="1:30" x14ac:dyDescent="0.25">
      <c r="A1210" t="s">
        <v>1234</v>
      </c>
      <c r="B1210" s="2">
        <v>45339</v>
      </c>
      <c r="C1210" s="2">
        <v>45344</v>
      </c>
      <c r="D1210" t="s">
        <v>5078</v>
      </c>
      <c r="E1210" t="s">
        <v>5578</v>
      </c>
      <c r="F1210" t="s">
        <v>6026</v>
      </c>
      <c r="G1210" t="s">
        <v>6030</v>
      </c>
      <c r="H1210" t="s">
        <v>6038</v>
      </c>
      <c r="I1210" t="s">
        <v>6047</v>
      </c>
      <c r="J1210" t="s">
        <v>6055</v>
      </c>
      <c r="K1210" t="s">
        <v>6063</v>
      </c>
      <c r="L1210" t="s">
        <v>6210</v>
      </c>
      <c r="M1210">
        <v>549.22</v>
      </c>
      <c r="N1210">
        <v>2</v>
      </c>
      <c r="O1210">
        <v>0.24</v>
      </c>
      <c r="P1210">
        <v>-39.340000000000003</v>
      </c>
      <c r="Q1210" t="s">
        <v>9895</v>
      </c>
      <c r="R1210">
        <v>5</v>
      </c>
      <c r="S1210" s="5">
        <f t="shared" si="36"/>
        <v>-7.1628855467754271E-2</v>
      </c>
      <c r="T1210">
        <v>274.61</v>
      </c>
      <c r="U1210">
        <v>2</v>
      </c>
      <c r="V1210">
        <v>2024</v>
      </c>
      <c r="W1210">
        <v>1</v>
      </c>
      <c r="X1210" t="s">
        <v>9898</v>
      </c>
      <c r="Y1210" t="s">
        <v>9900</v>
      </c>
      <c r="Z1210" t="s">
        <v>9899</v>
      </c>
      <c r="AD1210">
        <f t="shared" si="37"/>
        <v>5</v>
      </c>
    </row>
    <row r="1211" spans="1:30" x14ac:dyDescent="0.25">
      <c r="A1211" t="s">
        <v>1235</v>
      </c>
      <c r="B1211" s="2">
        <v>45318</v>
      </c>
      <c r="C1211" s="2">
        <v>45319</v>
      </c>
      <c r="D1211" t="s">
        <v>5341</v>
      </c>
      <c r="E1211" t="s">
        <v>5841</v>
      </c>
      <c r="F1211" t="s">
        <v>6028</v>
      </c>
      <c r="G1211" t="s">
        <v>6031</v>
      </c>
      <c r="H1211" t="s">
        <v>6042</v>
      </c>
      <c r="I1211" t="s">
        <v>6048</v>
      </c>
      <c r="J1211" t="s">
        <v>6053</v>
      </c>
      <c r="K1211" t="s">
        <v>6058</v>
      </c>
      <c r="L1211" t="s">
        <v>7187</v>
      </c>
      <c r="M1211">
        <v>1631.43</v>
      </c>
      <c r="N1211">
        <v>3</v>
      </c>
      <c r="O1211">
        <v>0.17</v>
      </c>
      <c r="P1211">
        <v>-9.64</v>
      </c>
      <c r="Q1211" t="s">
        <v>9895</v>
      </c>
      <c r="R1211">
        <v>1</v>
      </c>
      <c r="S1211" s="5">
        <f t="shared" si="36"/>
        <v>-5.9089265245827281E-3</v>
      </c>
      <c r="T1211">
        <v>543.81000000000006</v>
      </c>
      <c r="U1211">
        <v>1</v>
      </c>
      <c r="V1211">
        <v>2024</v>
      </c>
      <c r="W1211">
        <v>1</v>
      </c>
      <c r="X1211" t="s">
        <v>9898</v>
      </c>
      <c r="Y1211" t="s">
        <v>9900</v>
      </c>
      <c r="Z1211" t="s">
        <v>9898</v>
      </c>
      <c r="AD1211">
        <f t="shared" si="37"/>
        <v>1</v>
      </c>
    </row>
    <row r="1212" spans="1:30" x14ac:dyDescent="0.25">
      <c r="A1212" t="s">
        <v>1236</v>
      </c>
      <c r="B1212" s="2">
        <v>45200</v>
      </c>
      <c r="C1212" s="2">
        <v>45205</v>
      </c>
      <c r="D1212" t="s">
        <v>5485</v>
      </c>
      <c r="E1212" t="s">
        <v>5985</v>
      </c>
      <c r="F1212" t="s">
        <v>6027</v>
      </c>
      <c r="G1212" t="s">
        <v>6031</v>
      </c>
      <c r="H1212" t="s">
        <v>6043</v>
      </c>
      <c r="I1212" t="s">
        <v>6052</v>
      </c>
      <c r="J1212" t="s">
        <v>6053</v>
      </c>
      <c r="K1212" t="s">
        <v>6056</v>
      </c>
      <c r="L1212" t="s">
        <v>7188</v>
      </c>
      <c r="M1212">
        <v>488.04</v>
      </c>
      <c r="N1212">
        <v>7</v>
      </c>
      <c r="O1212">
        <v>0.2</v>
      </c>
      <c r="P1212">
        <v>4.26</v>
      </c>
      <c r="Q1212" t="s">
        <v>9896</v>
      </c>
      <c r="R1212">
        <v>5</v>
      </c>
      <c r="S1212" s="5">
        <f t="shared" si="36"/>
        <v>8.7287927219080394E-3</v>
      </c>
      <c r="T1212">
        <v>69.72</v>
      </c>
      <c r="U1212">
        <v>10</v>
      </c>
      <c r="V1212">
        <v>2023</v>
      </c>
      <c r="W1212">
        <v>4</v>
      </c>
      <c r="X1212" t="s">
        <v>9899</v>
      </c>
      <c r="Y1212" t="s">
        <v>9900</v>
      </c>
      <c r="Z1212" t="s">
        <v>9899</v>
      </c>
      <c r="AD1212">
        <f t="shared" si="37"/>
        <v>5</v>
      </c>
    </row>
    <row r="1213" spans="1:30" x14ac:dyDescent="0.25">
      <c r="A1213" t="s">
        <v>1237</v>
      </c>
      <c r="B1213" s="2">
        <v>45054</v>
      </c>
      <c r="C1213" s="2">
        <v>45059</v>
      </c>
      <c r="D1213" t="s">
        <v>5350</v>
      </c>
      <c r="E1213" t="s">
        <v>5850</v>
      </c>
      <c r="F1213" t="s">
        <v>6028</v>
      </c>
      <c r="G1213" t="s">
        <v>6031</v>
      </c>
      <c r="H1213" t="s">
        <v>6034</v>
      </c>
      <c r="I1213" t="s">
        <v>6052</v>
      </c>
      <c r="J1213" t="s">
        <v>6053</v>
      </c>
      <c r="K1213" t="s">
        <v>6056</v>
      </c>
      <c r="L1213" t="s">
        <v>7189</v>
      </c>
      <c r="M1213">
        <v>1199.79</v>
      </c>
      <c r="N1213">
        <v>3</v>
      </c>
      <c r="O1213">
        <v>0.27</v>
      </c>
      <c r="P1213">
        <v>-174.63</v>
      </c>
      <c r="Q1213" t="s">
        <v>9895</v>
      </c>
      <c r="R1213">
        <v>5</v>
      </c>
      <c r="S1213" s="5">
        <f t="shared" si="36"/>
        <v>-0.14555047133248319</v>
      </c>
      <c r="T1213">
        <v>399.93</v>
      </c>
      <c r="U1213">
        <v>5</v>
      </c>
      <c r="V1213">
        <v>2023</v>
      </c>
      <c r="W1213">
        <v>2</v>
      </c>
      <c r="X1213" t="s">
        <v>9898</v>
      </c>
      <c r="Y1213" t="s">
        <v>9900</v>
      </c>
      <c r="Z1213" t="s">
        <v>9898</v>
      </c>
      <c r="AD1213">
        <f t="shared" si="37"/>
        <v>5</v>
      </c>
    </row>
    <row r="1214" spans="1:30" x14ac:dyDescent="0.25">
      <c r="A1214" t="s">
        <v>1238</v>
      </c>
      <c r="B1214" s="2">
        <v>45062</v>
      </c>
      <c r="C1214" s="2">
        <v>45067</v>
      </c>
      <c r="D1214" t="s">
        <v>5217</v>
      </c>
      <c r="E1214" t="s">
        <v>5717</v>
      </c>
      <c r="F1214" t="s">
        <v>6027</v>
      </c>
      <c r="G1214" t="s">
        <v>6031</v>
      </c>
      <c r="H1214" t="s">
        <v>6037</v>
      </c>
      <c r="I1214" t="s">
        <v>6048</v>
      </c>
      <c r="J1214" t="s">
        <v>6054</v>
      </c>
      <c r="K1214" t="s">
        <v>6062</v>
      </c>
      <c r="L1214" t="s">
        <v>7190</v>
      </c>
      <c r="M1214">
        <v>1828.87</v>
      </c>
      <c r="N1214">
        <v>7</v>
      </c>
      <c r="O1214">
        <v>0</v>
      </c>
      <c r="P1214">
        <v>435.41</v>
      </c>
      <c r="Q1214" t="s">
        <v>9897</v>
      </c>
      <c r="R1214">
        <v>5</v>
      </c>
      <c r="S1214" s="5">
        <f t="shared" si="36"/>
        <v>0.23807597040795686</v>
      </c>
      <c r="T1214">
        <v>261.26714285714291</v>
      </c>
      <c r="U1214">
        <v>5</v>
      </c>
      <c r="V1214">
        <v>2023</v>
      </c>
      <c r="W1214">
        <v>2</v>
      </c>
      <c r="X1214" t="s">
        <v>9899</v>
      </c>
      <c r="Y1214" t="s">
        <v>9901</v>
      </c>
      <c r="Z1214" t="s">
        <v>9898</v>
      </c>
      <c r="AD1214">
        <f t="shared" si="37"/>
        <v>5</v>
      </c>
    </row>
    <row r="1215" spans="1:30" x14ac:dyDescent="0.25">
      <c r="A1215" t="s">
        <v>1239</v>
      </c>
      <c r="B1215" s="2">
        <v>44881</v>
      </c>
      <c r="C1215" s="2">
        <v>44884</v>
      </c>
      <c r="D1215" t="s">
        <v>5254</v>
      </c>
      <c r="E1215" t="s">
        <v>5754</v>
      </c>
      <c r="F1215" t="s">
        <v>6028</v>
      </c>
      <c r="G1215" t="s">
        <v>6029</v>
      </c>
      <c r="H1215" t="s">
        <v>6041</v>
      </c>
      <c r="I1215" t="s">
        <v>6046</v>
      </c>
      <c r="J1215" t="s">
        <v>6053</v>
      </c>
      <c r="K1215" t="s">
        <v>6057</v>
      </c>
      <c r="L1215" t="s">
        <v>6122</v>
      </c>
      <c r="M1215">
        <v>997.31</v>
      </c>
      <c r="N1215">
        <v>3</v>
      </c>
      <c r="O1215">
        <v>0.31</v>
      </c>
      <c r="P1215">
        <v>-199.08</v>
      </c>
      <c r="Q1215" t="s">
        <v>9895</v>
      </c>
      <c r="R1215">
        <v>3</v>
      </c>
      <c r="S1215" s="5">
        <f t="shared" si="36"/>
        <v>-0.1996169696483541</v>
      </c>
      <c r="T1215">
        <v>332.43666666666672</v>
      </c>
      <c r="U1215">
        <v>11</v>
      </c>
      <c r="V1215">
        <v>2022</v>
      </c>
      <c r="W1215">
        <v>4</v>
      </c>
      <c r="X1215" t="s">
        <v>9898</v>
      </c>
      <c r="Y1215" t="s">
        <v>9902</v>
      </c>
      <c r="Z1215" t="s">
        <v>9899</v>
      </c>
      <c r="AD1215">
        <f t="shared" si="37"/>
        <v>3</v>
      </c>
    </row>
    <row r="1216" spans="1:30" x14ac:dyDescent="0.25">
      <c r="A1216" t="s">
        <v>1240</v>
      </c>
      <c r="B1216" s="2">
        <v>44992</v>
      </c>
      <c r="C1216" s="2">
        <v>44996</v>
      </c>
      <c r="D1216" t="s">
        <v>5036</v>
      </c>
      <c r="E1216" t="s">
        <v>5536</v>
      </c>
      <c r="F1216" t="s">
        <v>6028</v>
      </c>
      <c r="G1216" t="s">
        <v>6030</v>
      </c>
      <c r="H1216" t="s">
        <v>6033</v>
      </c>
      <c r="I1216" t="s">
        <v>6047</v>
      </c>
      <c r="J1216" t="s">
        <v>6055</v>
      </c>
      <c r="K1216" t="s">
        <v>6064</v>
      </c>
      <c r="L1216" t="s">
        <v>6332</v>
      </c>
      <c r="M1216">
        <v>407.72</v>
      </c>
      <c r="N1216">
        <v>1</v>
      </c>
      <c r="O1216">
        <v>0.05</v>
      </c>
      <c r="P1216">
        <v>51.77</v>
      </c>
      <c r="Q1216" t="s">
        <v>9897</v>
      </c>
      <c r="R1216">
        <v>4</v>
      </c>
      <c r="S1216" s="5">
        <f t="shared" si="36"/>
        <v>0.12697439419209261</v>
      </c>
      <c r="T1216">
        <v>407.72</v>
      </c>
      <c r="U1216">
        <v>3</v>
      </c>
      <c r="V1216">
        <v>2023</v>
      </c>
      <c r="W1216">
        <v>1</v>
      </c>
      <c r="X1216" t="s">
        <v>9899</v>
      </c>
      <c r="Y1216" t="s">
        <v>9901</v>
      </c>
      <c r="Z1216" t="s">
        <v>9899</v>
      </c>
      <c r="AD1216">
        <f t="shared" si="37"/>
        <v>4</v>
      </c>
    </row>
    <row r="1217" spans="1:30" x14ac:dyDescent="0.25">
      <c r="A1217" t="s">
        <v>1241</v>
      </c>
      <c r="B1217" s="2">
        <v>45101</v>
      </c>
      <c r="C1217" s="2">
        <v>45103</v>
      </c>
      <c r="D1217" t="s">
        <v>5055</v>
      </c>
      <c r="E1217" t="s">
        <v>5555</v>
      </c>
      <c r="F1217" t="s">
        <v>6028</v>
      </c>
      <c r="G1217" t="s">
        <v>6030</v>
      </c>
      <c r="H1217" t="s">
        <v>6039</v>
      </c>
      <c r="I1217" t="s">
        <v>6051</v>
      </c>
      <c r="J1217" t="s">
        <v>6053</v>
      </c>
      <c r="K1217" t="s">
        <v>6057</v>
      </c>
      <c r="L1217" t="s">
        <v>7191</v>
      </c>
      <c r="M1217">
        <v>974.63</v>
      </c>
      <c r="N1217">
        <v>4</v>
      </c>
      <c r="O1217">
        <v>0.17</v>
      </c>
      <c r="P1217">
        <v>26.07</v>
      </c>
      <c r="Q1217" t="s">
        <v>9896</v>
      </c>
      <c r="R1217">
        <v>2</v>
      </c>
      <c r="S1217" s="5">
        <f t="shared" si="36"/>
        <v>2.6748612293896145E-2</v>
      </c>
      <c r="T1217">
        <v>243.6575</v>
      </c>
      <c r="U1217">
        <v>6</v>
      </c>
      <c r="V1217">
        <v>2023</v>
      </c>
      <c r="W1217">
        <v>2</v>
      </c>
      <c r="X1217" t="s">
        <v>9899</v>
      </c>
      <c r="Y1217" t="s">
        <v>9900</v>
      </c>
      <c r="Z1217" t="s">
        <v>9899</v>
      </c>
      <c r="AD1217">
        <f t="shared" si="37"/>
        <v>2</v>
      </c>
    </row>
    <row r="1218" spans="1:30" x14ac:dyDescent="0.25">
      <c r="A1218" t="s">
        <v>1242</v>
      </c>
      <c r="B1218" s="2">
        <v>45301</v>
      </c>
      <c r="C1218" s="2">
        <v>45302</v>
      </c>
      <c r="D1218" t="s">
        <v>5486</v>
      </c>
      <c r="E1218" t="s">
        <v>5986</v>
      </c>
      <c r="F1218" t="s">
        <v>6026</v>
      </c>
      <c r="G1218" t="s">
        <v>6031</v>
      </c>
      <c r="H1218" t="s">
        <v>6040</v>
      </c>
      <c r="I1218" t="s">
        <v>6048</v>
      </c>
      <c r="J1218" t="s">
        <v>6054</v>
      </c>
      <c r="K1218" t="s">
        <v>6059</v>
      </c>
      <c r="L1218" t="s">
        <v>7192</v>
      </c>
      <c r="M1218">
        <v>618.52</v>
      </c>
      <c r="N1218">
        <v>7</v>
      </c>
      <c r="O1218">
        <v>0.32</v>
      </c>
      <c r="P1218">
        <v>-126.87</v>
      </c>
      <c r="Q1218" t="s">
        <v>9894</v>
      </c>
      <c r="R1218">
        <v>1</v>
      </c>
      <c r="S1218" s="5">
        <f t="shared" si="36"/>
        <v>-0.20511867037444223</v>
      </c>
      <c r="T1218">
        <v>88.36</v>
      </c>
      <c r="U1218">
        <v>1</v>
      </c>
      <c r="V1218">
        <v>2024</v>
      </c>
      <c r="W1218">
        <v>1</v>
      </c>
      <c r="X1218" t="s">
        <v>9898</v>
      </c>
      <c r="Y1218" t="s">
        <v>9902</v>
      </c>
      <c r="Z1218" t="s">
        <v>9899</v>
      </c>
      <c r="AD1218">
        <f t="shared" si="37"/>
        <v>1</v>
      </c>
    </row>
    <row r="1219" spans="1:30" x14ac:dyDescent="0.25">
      <c r="A1219" t="s">
        <v>1243</v>
      </c>
      <c r="B1219" s="2">
        <v>45409</v>
      </c>
      <c r="C1219" s="2">
        <v>45413</v>
      </c>
      <c r="D1219" t="s">
        <v>5487</v>
      </c>
      <c r="E1219" t="s">
        <v>5987</v>
      </c>
      <c r="F1219" t="s">
        <v>6028</v>
      </c>
      <c r="G1219" t="s">
        <v>6029</v>
      </c>
      <c r="H1219" t="s">
        <v>6036</v>
      </c>
      <c r="I1219" t="s">
        <v>6049</v>
      </c>
      <c r="J1219" t="s">
        <v>6055</v>
      </c>
      <c r="K1219" t="s">
        <v>6064</v>
      </c>
      <c r="L1219" t="s">
        <v>7193</v>
      </c>
      <c r="M1219">
        <v>307.49</v>
      </c>
      <c r="N1219">
        <v>5</v>
      </c>
      <c r="O1219">
        <v>0.15</v>
      </c>
      <c r="P1219">
        <v>36.020000000000003</v>
      </c>
      <c r="Q1219" t="s">
        <v>9895</v>
      </c>
      <c r="R1219">
        <v>4</v>
      </c>
      <c r="S1219" s="5">
        <f t="shared" ref="S1219:S1282" si="38">P1219/M1219</f>
        <v>0.11714202087872777</v>
      </c>
      <c r="T1219">
        <v>61.497999999999998</v>
      </c>
      <c r="U1219">
        <v>4</v>
      </c>
      <c r="V1219">
        <v>2024</v>
      </c>
      <c r="W1219">
        <v>2</v>
      </c>
      <c r="X1219" t="s">
        <v>9899</v>
      </c>
      <c r="Y1219" t="s">
        <v>9901</v>
      </c>
      <c r="Z1219" t="s">
        <v>9899</v>
      </c>
      <c r="AD1219">
        <f t="shared" ref="AD1219:AD1282" si="39">C1219-B1219</f>
        <v>4</v>
      </c>
    </row>
    <row r="1220" spans="1:30" x14ac:dyDescent="0.25">
      <c r="A1220" t="s">
        <v>1244</v>
      </c>
      <c r="B1220" s="2">
        <v>44655</v>
      </c>
      <c r="C1220" s="2">
        <v>44662</v>
      </c>
      <c r="D1220" t="s">
        <v>5214</v>
      </c>
      <c r="E1220" t="s">
        <v>5714</v>
      </c>
      <c r="F1220" t="s">
        <v>6027</v>
      </c>
      <c r="G1220" t="s">
        <v>6030</v>
      </c>
      <c r="H1220" t="s">
        <v>6039</v>
      </c>
      <c r="I1220" t="s">
        <v>6047</v>
      </c>
      <c r="J1220" t="s">
        <v>6055</v>
      </c>
      <c r="K1220" t="s">
        <v>6064</v>
      </c>
      <c r="L1220" t="s">
        <v>7193</v>
      </c>
      <c r="M1220">
        <v>1381.83</v>
      </c>
      <c r="N1220">
        <v>1</v>
      </c>
      <c r="O1220">
        <v>0</v>
      </c>
      <c r="P1220">
        <v>272.12</v>
      </c>
      <c r="Q1220" t="s">
        <v>9896</v>
      </c>
      <c r="R1220">
        <v>7</v>
      </c>
      <c r="S1220" s="5">
        <f t="shared" si="38"/>
        <v>0.19692726312209174</v>
      </c>
      <c r="T1220">
        <v>1381.83</v>
      </c>
      <c r="U1220">
        <v>4</v>
      </c>
      <c r="V1220">
        <v>2022</v>
      </c>
      <c r="W1220">
        <v>2</v>
      </c>
      <c r="X1220" t="s">
        <v>9899</v>
      </c>
      <c r="Y1220" t="s">
        <v>9901</v>
      </c>
      <c r="Z1220" t="s">
        <v>9898</v>
      </c>
      <c r="AD1220">
        <f t="shared" si="39"/>
        <v>7</v>
      </c>
    </row>
    <row r="1221" spans="1:30" x14ac:dyDescent="0.25">
      <c r="A1221" t="s">
        <v>1245</v>
      </c>
      <c r="B1221" s="2">
        <v>44622</v>
      </c>
      <c r="C1221" s="2">
        <v>44629</v>
      </c>
      <c r="D1221" t="s">
        <v>5174</v>
      </c>
      <c r="E1221" t="s">
        <v>5674</v>
      </c>
      <c r="F1221" t="s">
        <v>6027</v>
      </c>
      <c r="G1221" t="s">
        <v>6029</v>
      </c>
      <c r="H1221" t="s">
        <v>6032</v>
      </c>
      <c r="I1221" t="s">
        <v>6050</v>
      </c>
      <c r="J1221" t="s">
        <v>6055</v>
      </c>
      <c r="K1221" t="s">
        <v>6064</v>
      </c>
      <c r="L1221" t="s">
        <v>7194</v>
      </c>
      <c r="M1221">
        <v>1652</v>
      </c>
      <c r="N1221">
        <v>4</v>
      </c>
      <c r="O1221">
        <v>0.34</v>
      </c>
      <c r="P1221">
        <v>-388.13</v>
      </c>
      <c r="Q1221" t="s">
        <v>9896</v>
      </c>
      <c r="R1221">
        <v>7</v>
      </c>
      <c r="S1221" s="5">
        <f t="shared" si="38"/>
        <v>-0.23494552058111379</v>
      </c>
      <c r="T1221">
        <v>413</v>
      </c>
      <c r="U1221">
        <v>3</v>
      </c>
      <c r="V1221">
        <v>2022</v>
      </c>
      <c r="W1221">
        <v>1</v>
      </c>
      <c r="X1221" t="s">
        <v>9898</v>
      </c>
      <c r="Y1221" t="s">
        <v>9902</v>
      </c>
      <c r="Z1221" t="s">
        <v>9898</v>
      </c>
      <c r="AD1221">
        <f t="shared" si="39"/>
        <v>7</v>
      </c>
    </row>
    <row r="1222" spans="1:30" x14ac:dyDescent="0.25">
      <c r="A1222" t="s">
        <v>1246</v>
      </c>
      <c r="B1222" s="2">
        <v>44783</v>
      </c>
      <c r="C1222" s="2">
        <v>44789</v>
      </c>
      <c r="D1222" t="s">
        <v>5381</v>
      </c>
      <c r="E1222" t="s">
        <v>5881</v>
      </c>
      <c r="F1222" t="s">
        <v>6026</v>
      </c>
      <c r="G1222" t="s">
        <v>6031</v>
      </c>
      <c r="H1222" t="s">
        <v>6037</v>
      </c>
      <c r="I1222" t="s">
        <v>6050</v>
      </c>
      <c r="J1222" t="s">
        <v>6054</v>
      </c>
      <c r="K1222" t="s">
        <v>6060</v>
      </c>
      <c r="L1222" t="s">
        <v>7195</v>
      </c>
      <c r="M1222">
        <v>1973.6</v>
      </c>
      <c r="N1222">
        <v>1</v>
      </c>
      <c r="O1222">
        <v>0.21</v>
      </c>
      <c r="P1222">
        <v>76.66</v>
      </c>
      <c r="Q1222" t="s">
        <v>9897</v>
      </c>
      <c r="R1222">
        <v>6</v>
      </c>
      <c r="S1222" s="5">
        <f t="shared" si="38"/>
        <v>3.8842723956222132E-2</v>
      </c>
      <c r="T1222">
        <v>1973.6</v>
      </c>
      <c r="U1222">
        <v>8</v>
      </c>
      <c r="V1222">
        <v>2022</v>
      </c>
      <c r="W1222">
        <v>3</v>
      </c>
      <c r="X1222" t="s">
        <v>9899</v>
      </c>
      <c r="Y1222" t="s">
        <v>9900</v>
      </c>
      <c r="Z1222" t="s">
        <v>9898</v>
      </c>
      <c r="AD1222">
        <f t="shared" si="39"/>
        <v>6</v>
      </c>
    </row>
    <row r="1223" spans="1:30" x14ac:dyDescent="0.25">
      <c r="A1223" t="s">
        <v>1247</v>
      </c>
      <c r="B1223" s="2">
        <v>45190</v>
      </c>
      <c r="C1223" s="2">
        <v>45197</v>
      </c>
      <c r="D1223" t="s">
        <v>5443</v>
      </c>
      <c r="E1223" t="s">
        <v>5943</v>
      </c>
      <c r="F1223" t="s">
        <v>6026</v>
      </c>
      <c r="G1223" t="s">
        <v>6030</v>
      </c>
      <c r="H1223" t="s">
        <v>6035</v>
      </c>
      <c r="I1223" t="s">
        <v>6051</v>
      </c>
      <c r="J1223" t="s">
        <v>6055</v>
      </c>
      <c r="K1223" t="s">
        <v>6061</v>
      </c>
      <c r="L1223" t="s">
        <v>7196</v>
      </c>
      <c r="M1223">
        <v>1494.92</v>
      </c>
      <c r="N1223">
        <v>4</v>
      </c>
      <c r="O1223">
        <v>0.24</v>
      </c>
      <c r="P1223">
        <v>-58.52</v>
      </c>
      <c r="Q1223" t="s">
        <v>9896</v>
      </c>
      <c r="R1223">
        <v>7</v>
      </c>
      <c r="S1223" s="5">
        <f t="shared" si="38"/>
        <v>-3.9145907473309607E-2</v>
      </c>
      <c r="T1223">
        <v>373.73</v>
      </c>
      <c r="U1223">
        <v>9</v>
      </c>
      <c r="V1223">
        <v>2023</v>
      </c>
      <c r="W1223">
        <v>3</v>
      </c>
      <c r="X1223" t="s">
        <v>9898</v>
      </c>
      <c r="Y1223" t="s">
        <v>9900</v>
      </c>
      <c r="Z1223" t="s">
        <v>9898</v>
      </c>
      <c r="AD1223">
        <f t="shared" si="39"/>
        <v>7</v>
      </c>
    </row>
    <row r="1224" spans="1:30" x14ac:dyDescent="0.25">
      <c r="A1224" t="s">
        <v>1248</v>
      </c>
      <c r="B1224" s="2">
        <v>44577</v>
      </c>
      <c r="C1224" s="2">
        <v>44582</v>
      </c>
      <c r="D1224" t="s">
        <v>5488</v>
      </c>
      <c r="E1224" t="s">
        <v>5988</v>
      </c>
      <c r="F1224" t="s">
        <v>6028</v>
      </c>
      <c r="G1224" t="s">
        <v>6031</v>
      </c>
      <c r="H1224" t="s">
        <v>6034</v>
      </c>
      <c r="I1224" t="s">
        <v>6052</v>
      </c>
      <c r="J1224" t="s">
        <v>6053</v>
      </c>
      <c r="K1224" t="s">
        <v>6056</v>
      </c>
      <c r="L1224" t="s">
        <v>7197</v>
      </c>
      <c r="M1224">
        <v>1324.96</v>
      </c>
      <c r="N1224">
        <v>4</v>
      </c>
      <c r="O1224">
        <v>0.3</v>
      </c>
      <c r="P1224">
        <v>-95.36</v>
      </c>
      <c r="Q1224" t="s">
        <v>9897</v>
      </c>
      <c r="R1224">
        <v>5</v>
      </c>
      <c r="S1224" s="5">
        <f t="shared" si="38"/>
        <v>-7.1971984059896146E-2</v>
      </c>
      <c r="T1224">
        <v>331.24</v>
      </c>
      <c r="U1224">
        <v>1</v>
      </c>
      <c r="V1224">
        <v>2022</v>
      </c>
      <c r="W1224">
        <v>1</v>
      </c>
      <c r="X1224" t="s">
        <v>9898</v>
      </c>
      <c r="Y1224" t="s">
        <v>9900</v>
      </c>
      <c r="Z1224" t="s">
        <v>9898</v>
      </c>
      <c r="AD1224">
        <f t="shared" si="39"/>
        <v>5</v>
      </c>
    </row>
    <row r="1225" spans="1:30" x14ac:dyDescent="0.25">
      <c r="A1225" t="s">
        <v>1249</v>
      </c>
      <c r="B1225" s="2">
        <v>44701</v>
      </c>
      <c r="C1225" s="2">
        <v>44708</v>
      </c>
      <c r="D1225" t="s">
        <v>5103</v>
      </c>
      <c r="E1225" t="s">
        <v>5603</v>
      </c>
      <c r="F1225" t="s">
        <v>6026</v>
      </c>
      <c r="G1225" t="s">
        <v>6030</v>
      </c>
      <c r="H1225" t="s">
        <v>6035</v>
      </c>
      <c r="I1225" t="s">
        <v>6051</v>
      </c>
      <c r="J1225" t="s">
        <v>6053</v>
      </c>
      <c r="K1225" t="s">
        <v>6057</v>
      </c>
      <c r="L1225" t="s">
        <v>7198</v>
      </c>
      <c r="M1225">
        <v>914.32</v>
      </c>
      <c r="N1225">
        <v>3</v>
      </c>
      <c r="O1225">
        <v>0.19</v>
      </c>
      <c r="P1225">
        <v>23.17</v>
      </c>
      <c r="Q1225" t="s">
        <v>9893</v>
      </c>
      <c r="R1225">
        <v>7</v>
      </c>
      <c r="S1225" s="5">
        <f t="shared" si="38"/>
        <v>2.5341237203604865E-2</v>
      </c>
      <c r="T1225">
        <v>304.77333333333343</v>
      </c>
      <c r="U1225">
        <v>5</v>
      </c>
      <c r="V1225">
        <v>2022</v>
      </c>
      <c r="W1225">
        <v>2</v>
      </c>
      <c r="X1225" t="s">
        <v>9899</v>
      </c>
      <c r="Y1225" t="s">
        <v>9900</v>
      </c>
      <c r="Z1225" t="s">
        <v>9899</v>
      </c>
      <c r="AD1225">
        <f t="shared" si="39"/>
        <v>7</v>
      </c>
    </row>
    <row r="1226" spans="1:30" x14ac:dyDescent="0.25">
      <c r="A1226" t="s">
        <v>1250</v>
      </c>
      <c r="B1226" s="2">
        <v>45356</v>
      </c>
      <c r="C1226" s="2">
        <v>45363</v>
      </c>
      <c r="D1226" t="s">
        <v>5099</v>
      </c>
      <c r="E1226" t="s">
        <v>5599</v>
      </c>
      <c r="F1226" t="s">
        <v>6027</v>
      </c>
      <c r="G1226" t="s">
        <v>6031</v>
      </c>
      <c r="H1226" t="s">
        <v>6037</v>
      </c>
      <c r="I1226" t="s">
        <v>6048</v>
      </c>
      <c r="J1226" t="s">
        <v>6054</v>
      </c>
      <c r="K1226" t="s">
        <v>6059</v>
      </c>
      <c r="L1226" t="s">
        <v>7199</v>
      </c>
      <c r="M1226">
        <v>1663.96</v>
      </c>
      <c r="N1226">
        <v>1</v>
      </c>
      <c r="O1226">
        <v>7.0000000000000007E-2</v>
      </c>
      <c r="P1226">
        <v>341.98</v>
      </c>
      <c r="Q1226" t="s">
        <v>9894</v>
      </c>
      <c r="R1226">
        <v>7</v>
      </c>
      <c r="S1226" s="5">
        <f t="shared" si="38"/>
        <v>0.20552176735017669</v>
      </c>
      <c r="T1226">
        <v>1663.96</v>
      </c>
      <c r="U1226">
        <v>3</v>
      </c>
      <c r="V1226">
        <v>2024</v>
      </c>
      <c r="W1226">
        <v>1</v>
      </c>
      <c r="X1226" t="s">
        <v>9899</v>
      </c>
      <c r="Y1226" t="s">
        <v>9901</v>
      </c>
      <c r="Z1226" t="s">
        <v>9898</v>
      </c>
      <c r="AD1226">
        <f t="shared" si="39"/>
        <v>7</v>
      </c>
    </row>
    <row r="1227" spans="1:30" x14ac:dyDescent="0.25">
      <c r="A1227" t="s">
        <v>1251</v>
      </c>
      <c r="B1227" s="2">
        <v>44976</v>
      </c>
      <c r="C1227" s="2">
        <v>44978</v>
      </c>
      <c r="D1227" t="s">
        <v>5347</v>
      </c>
      <c r="E1227" t="s">
        <v>5847</v>
      </c>
      <c r="F1227" t="s">
        <v>6028</v>
      </c>
      <c r="G1227" t="s">
        <v>6029</v>
      </c>
      <c r="H1227" t="s">
        <v>6041</v>
      </c>
      <c r="I1227" t="s">
        <v>6046</v>
      </c>
      <c r="J1227" t="s">
        <v>6053</v>
      </c>
      <c r="K1227" t="s">
        <v>6057</v>
      </c>
      <c r="L1227" t="s">
        <v>7200</v>
      </c>
      <c r="M1227">
        <v>1899.61</v>
      </c>
      <c r="N1227">
        <v>8</v>
      </c>
      <c r="O1227">
        <v>0.18</v>
      </c>
      <c r="P1227">
        <v>113.42</v>
      </c>
      <c r="Q1227" t="s">
        <v>9896</v>
      </c>
      <c r="R1227">
        <v>2</v>
      </c>
      <c r="S1227" s="5">
        <f t="shared" si="38"/>
        <v>5.9706992487931737E-2</v>
      </c>
      <c r="T1227">
        <v>237.45124999999999</v>
      </c>
      <c r="U1227">
        <v>2</v>
      </c>
      <c r="V1227">
        <v>2023</v>
      </c>
      <c r="W1227">
        <v>1</v>
      </c>
      <c r="X1227" t="s">
        <v>9899</v>
      </c>
      <c r="Y1227" t="s">
        <v>9900</v>
      </c>
      <c r="Z1227" t="s">
        <v>9898</v>
      </c>
      <c r="AD1227">
        <f t="shared" si="39"/>
        <v>2</v>
      </c>
    </row>
    <row r="1228" spans="1:30" x14ac:dyDescent="0.25">
      <c r="A1228" t="s">
        <v>1252</v>
      </c>
      <c r="B1228" s="2">
        <v>45290</v>
      </c>
      <c r="C1228" s="2">
        <v>45297</v>
      </c>
      <c r="D1228" t="s">
        <v>5412</v>
      </c>
      <c r="E1228" t="s">
        <v>5912</v>
      </c>
      <c r="F1228" t="s">
        <v>6027</v>
      </c>
      <c r="G1228" t="s">
        <v>6030</v>
      </c>
      <c r="H1228" t="s">
        <v>6035</v>
      </c>
      <c r="I1228" t="s">
        <v>6051</v>
      </c>
      <c r="J1228" t="s">
        <v>6054</v>
      </c>
      <c r="K1228" t="s">
        <v>6062</v>
      </c>
      <c r="L1228" t="s">
        <v>6196</v>
      </c>
      <c r="M1228">
        <v>148.22</v>
      </c>
      <c r="N1228">
        <v>3</v>
      </c>
      <c r="O1228">
        <v>0.2</v>
      </c>
      <c r="P1228">
        <v>-11.79</v>
      </c>
      <c r="Q1228" t="s">
        <v>9894</v>
      </c>
      <c r="R1228">
        <v>7</v>
      </c>
      <c r="S1228" s="5">
        <f t="shared" si="38"/>
        <v>-7.9543921198218862E-2</v>
      </c>
      <c r="T1228">
        <v>49.406666666666673</v>
      </c>
      <c r="U1228">
        <v>12</v>
      </c>
      <c r="V1228">
        <v>2023</v>
      </c>
      <c r="W1228">
        <v>4</v>
      </c>
      <c r="X1228" t="s">
        <v>9898</v>
      </c>
      <c r="Y1228" t="s">
        <v>9900</v>
      </c>
      <c r="Z1228" t="s">
        <v>9899</v>
      </c>
      <c r="AD1228">
        <f t="shared" si="39"/>
        <v>7</v>
      </c>
    </row>
    <row r="1229" spans="1:30" x14ac:dyDescent="0.25">
      <c r="A1229" t="s">
        <v>1253</v>
      </c>
      <c r="B1229" s="2">
        <v>44927</v>
      </c>
      <c r="C1229" s="2">
        <v>44931</v>
      </c>
      <c r="D1229" t="s">
        <v>5173</v>
      </c>
      <c r="E1229" t="s">
        <v>5673</v>
      </c>
      <c r="F1229" t="s">
        <v>6026</v>
      </c>
      <c r="G1229" t="s">
        <v>6030</v>
      </c>
      <c r="H1229" t="s">
        <v>6038</v>
      </c>
      <c r="I1229" t="s">
        <v>6051</v>
      </c>
      <c r="J1229" t="s">
        <v>6055</v>
      </c>
      <c r="K1229" t="s">
        <v>6061</v>
      </c>
      <c r="L1229" t="s">
        <v>7201</v>
      </c>
      <c r="M1229">
        <v>509.95</v>
      </c>
      <c r="N1229">
        <v>5</v>
      </c>
      <c r="O1229">
        <v>0.2</v>
      </c>
      <c r="P1229">
        <v>-37.03</v>
      </c>
      <c r="Q1229" t="s">
        <v>9895</v>
      </c>
      <c r="R1229">
        <v>4</v>
      </c>
      <c r="S1229" s="5">
        <f t="shared" si="38"/>
        <v>-7.2614962251201107E-2</v>
      </c>
      <c r="T1229">
        <v>101.99</v>
      </c>
      <c r="U1229">
        <v>1</v>
      </c>
      <c r="V1229">
        <v>2023</v>
      </c>
      <c r="W1229">
        <v>1</v>
      </c>
      <c r="X1229" t="s">
        <v>9898</v>
      </c>
      <c r="Y1229" t="s">
        <v>9900</v>
      </c>
      <c r="Z1229" t="s">
        <v>9899</v>
      </c>
      <c r="AD1229">
        <f t="shared" si="39"/>
        <v>4</v>
      </c>
    </row>
    <row r="1230" spans="1:30" x14ac:dyDescent="0.25">
      <c r="A1230" t="s">
        <v>1254</v>
      </c>
      <c r="B1230" s="2">
        <v>45251</v>
      </c>
      <c r="C1230" s="2">
        <v>45254</v>
      </c>
      <c r="D1230" t="s">
        <v>5111</v>
      </c>
      <c r="E1230" t="s">
        <v>5611</v>
      </c>
      <c r="F1230" t="s">
        <v>6026</v>
      </c>
      <c r="G1230" t="s">
        <v>6029</v>
      </c>
      <c r="H1230" t="s">
        <v>6041</v>
      </c>
      <c r="I1230" t="s">
        <v>6049</v>
      </c>
      <c r="J1230" t="s">
        <v>6053</v>
      </c>
      <c r="K1230" t="s">
        <v>6058</v>
      </c>
      <c r="L1230" t="s">
        <v>6482</v>
      </c>
      <c r="M1230">
        <v>620.55999999999995</v>
      </c>
      <c r="N1230">
        <v>7</v>
      </c>
      <c r="O1230">
        <v>0.01</v>
      </c>
      <c r="P1230">
        <v>69.52</v>
      </c>
      <c r="Q1230" t="s">
        <v>9896</v>
      </c>
      <c r="R1230">
        <v>3</v>
      </c>
      <c r="S1230" s="5">
        <f t="shared" si="38"/>
        <v>0.11202784581668171</v>
      </c>
      <c r="T1230">
        <v>88.651428571428568</v>
      </c>
      <c r="U1230">
        <v>11</v>
      </c>
      <c r="V1230">
        <v>2023</v>
      </c>
      <c r="W1230">
        <v>4</v>
      </c>
      <c r="X1230" t="s">
        <v>9899</v>
      </c>
      <c r="Y1230" t="s">
        <v>9901</v>
      </c>
      <c r="Z1230" t="s">
        <v>9899</v>
      </c>
      <c r="AD1230">
        <f t="shared" si="39"/>
        <v>3</v>
      </c>
    </row>
    <row r="1231" spans="1:30" x14ac:dyDescent="0.25">
      <c r="A1231" t="s">
        <v>1255</v>
      </c>
      <c r="B1231" s="2">
        <v>45104</v>
      </c>
      <c r="C1231" s="2">
        <v>45111</v>
      </c>
      <c r="D1231" t="s">
        <v>5189</v>
      </c>
      <c r="E1231" t="s">
        <v>5689</v>
      </c>
      <c r="F1231" t="s">
        <v>6027</v>
      </c>
      <c r="G1231" t="s">
        <v>6030</v>
      </c>
      <c r="H1231" t="s">
        <v>6033</v>
      </c>
      <c r="I1231" t="s">
        <v>6047</v>
      </c>
      <c r="J1231" t="s">
        <v>6053</v>
      </c>
      <c r="K1231" t="s">
        <v>6058</v>
      </c>
      <c r="L1231" t="s">
        <v>7202</v>
      </c>
      <c r="M1231">
        <v>1397.78</v>
      </c>
      <c r="N1231">
        <v>3</v>
      </c>
      <c r="O1231">
        <v>0.08</v>
      </c>
      <c r="P1231">
        <v>158.22</v>
      </c>
      <c r="Q1231" t="s">
        <v>9894</v>
      </c>
      <c r="R1231">
        <v>7</v>
      </c>
      <c r="S1231" s="5">
        <f t="shared" si="38"/>
        <v>0.11319377870623418</v>
      </c>
      <c r="T1231">
        <v>465.92666666666668</v>
      </c>
      <c r="U1231">
        <v>6</v>
      </c>
      <c r="V1231">
        <v>2023</v>
      </c>
      <c r="W1231">
        <v>2</v>
      </c>
      <c r="X1231" t="s">
        <v>9899</v>
      </c>
      <c r="Y1231" t="s">
        <v>9901</v>
      </c>
      <c r="Z1231" t="s">
        <v>9898</v>
      </c>
      <c r="AD1231">
        <f t="shared" si="39"/>
        <v>7</v>
      </c>
    </row>
    <row r="1232" spans="1:30" x14ac:dyDescent="0.25">
      <c r="A1232" t="s">
        <v>1256</v>
      </c>
      <c r="B1232" s="2">
        <v>45084</v>
      </c>
      <c r="C1232" s="2">
        <v>45088</v>
      </c>
      <c r="D1232" t="s">
        <v>5114</v>
      </c>
      <c r="E1232" t="s">
        <v>5614</v>
      </c>
      <c r="F1232" t="s">
        <v>6026</v>
      </c>
      <c r="G1232" t="s">
        <v>6029</v>
      </c>
      <c r="H1232" t="s">
        <v>6044</v>
      </c>
      <c r="I1232" t="s">
        <v>6050</v>
      </c>
      <c r="J1232" t="s">
        <v>6053</v>
      </c>
      <c r="K1232" t="s">
        <v>6057</v>
      </c>
      <c r="L1232" t="s">
        <v>7203</v>
      </c>
      <c r="M1232">
        <v>1964.19</v>
      </c>
      <c r="N1232">
        <v>6</v>
      </c>
      <c r="O1232">
        <v>0.09</v>
      </c>
      <c r="P1232">
        <v>350.06</v>
      </c>
      <c r="Q1232" t="s">
        <v>9893</v>
      </c>
      <c r="R1232">
        <v>4</v>
      </c>
      <c r="S1232" s="5">
        <f t="shared" si="38"/>
        <v>0.17822104786196855</v>
      </c>
      <c r="T1232">
        <v>327.36500000000001</v>
      </c>
      <c r="U1232">
        <v>6</v>
      </c>
      <c r="V1232">
        <v>2023</v>
      </c>
      <c r="W1232">
        <v>2</v>
      </c>
      <c r="X1232" t="s">
        <v>9899</v>
      </c>
      <c r="Y1232" t="s">
        <v>9901</v>
      </c>
      <c r="Z1232" t="s">
        <v>9898</v>
      </c>
      <c r="AD1232">
        <f t="shared" si="39"/>
        <v>4</v>
      </c>
    </row>
    <row r="1233" spans="1:30" x14ac:dyDescent="0.25">
      <c r="A1233" t="s">
        <v>1257</v>
      </c>
      <c r="B1233" s="2">
        <v>45124</v>
      </c>
      <c r="C1233" s="2">
        <v>45130</v>
      </c>
      <c r="D1233" t="s">
        <v>5387</v>
      </c>
      <c r="E1233" t="s">
        <v>5887</v>
      </c>
      <c r="F1233" t="s">
        <v>6026</v>
      </c>
      <c r="G1233" t="s">
        <v>6030</v>
      </c>
      <c r="H1233" t="s">
        <v>6038</v>
      </c>
      <c r="I1233" t="s">
        <v>6051</v>
      </c>
      <c r="J1233" t="s">
        <v>6054</v>
      </c>
      <c r="K1233" t="s">
        <v>6060</v>
      </c>
      <c r="L1233" t="s">
        <v>6269</v>
      </c>
      <c r="M1233">
        <v>1754.19</v>
      </c>
      <c r="N1233">
        <v>4</v>
      </c>
      <c r="O1233">
        <v>0.04</v>
      </c>
      <c r="P1233">
        <v>289.45999999999998</v>
      </c>
      <c r="Q1233" t="s">
        <v>9895</v>
      </c>
      <c r="R1233">
        <v>6</v>
      </c>
      <c r="S1233" s="5">
        <f t="shared" si="38"/>
        <v>0.16501063168755947</v>
      </c>
      <c r="T1233">
        <v>438.54750000000001</v>
      </c>
      <c r="U1233">
        <v>7</v>
      </c>
      <c r="V1233">
        <v>2023</v>
      </c>
      <c r="W1233">
        <v>3</v>
      </c>
      <c r="X1233" t="s">
        <v>9899</v>
      </c>
      <c r="Y1233" t="s">
        <v>9901</v>
      </c>
      <c r="Z1233" t="s">
        <v>9898</v>
      </c>
      <c r="AD1233">
        <f t="shared" si="39"/>
        <v>6</v>
      </c>
    </row>
    <row r="1234" spans="1:30" x14ac:dyDescent="0.25">
      <c r="A1234" t="s">
        <v>1258</v>
      </c>
      <c r="B1234" s="2">
        <v>45286</v>
      </c>
      <c r="C1234" s="2">
        <v>45291</v>
      </c>
      <c r="D1234" t="s">
        <v>5159</v>
      </c>
      <c r="E1234" t="s">
        <v>5659</v>
      </c>
      <c r="F1234" t="s">
        <v>6026</v>
      </c>
      <c r="G1234" t="s">
        <v>6030</v>
      </c>
      <c r="H1234" t="s">
        <v>6039</v>
      </c>
      <c r="I1234" t="s">
        <v>6051</v>
      </c>
      <c r="J1234" t="s">
        <v>6054</v>
      </c>
      <c r="K1234" t="s">
        <v>6062</v>
      </c>
      <c r="L1234" t="s">
        <v>7204</v>
      </c>
      <c r="M1234">
        <v>1462.63</v>
      </c>
      <c r="N1234">
        <v>1</v>
      </c>
      <c r="O1234">
        <v>0.09</v>
      </c>
      <c r="P1234">
        <v>73.87</v>
      </c>
      <c r="Q1234" t="s">
        <v>9893</v>
      </c>
      <c r="R1234">
        <v>5</v>
      </c>
      <c r="S1234" s="5">
        <f t="shared" si="38"/>
        <v>5.050491238385648E-2</v>
      </c>
      <c r="T1234">
        <v>1462.63</v>
      </c>
      <c r="U1234">
        <v>12</v>
      </c>
      <c r="V1234">
        <v>2023</v>
      </c>
      <c r="W1234">
        <v>4</v>
      </c>
      <c r="X1234" t="s">
        <v>9899</v>
      </c>
      <c r="Y1234" t="s">
        <v>9901</v>
      </c>
      <c r="Z1234" t="s">
        <v>9898</v>
      </c>
      <c r="AD1234">
        <f t="shared" si="39"/>
        <v>5</v>
      </c>
    </row>
    <row r="1235" spans="1:30" x14ac:dyDescent="0.25">
      <c r="A1235" t="s">
        <v>1259</v>
      </c>
      <c r="B1235" s="2">
        <v>45234</v>
      </c>
      <c r="C1235" s="2">
        <v>45235</v>
      </c>
      <c r="D1235" t="s">
        <v>5489</v>
      </c>
      <c r="E1235" t="s">
        <v>5989</v>
      </c>
      <c r="F1235" t="s">
        <v>6027</v>
      </c>
      <c r="G1235" t="s">
        <v>6029</v>
      </c>
      <c r="H1235" t="s">
        <v>6036</v>
      </c>
      <c r="I1235" t="s">
        <v>6046</v>
      </c>
      <c r="J1235" t="s">
        <v>6053</v>
      </c>
      <c r="K1235" t="s">
        <v>6057</v>
      </c>
      <c r="L1235" t="s">
        <v>7205</v>
      </c>
      <c r="M1235">
        <v>125.45</v>
      </c>
      <c r="N1235">
        <v>5</v>
      </c>
      <c r="O1235">
        <v>0.27</v>
      </c>
      <c r="P1235">
        <v>-2.86</v>
      </c>
      <c r="Q1235" t="s">
        <v>9893</v>
      </c>
      <c r="R1235">
        <v>1</v>
      </c>
      <c r="S1235" s="5">
        <f t="shared" si="38"/>
        <v>-2.2797927461139896E-2</v>
      </c>
      <c r="T1235">
        <v>25.09</v>
      </c>
      <c r="U1235">
        <v>11</v>
      </c>
      <c r="V1235">
        <v>2023</v>
      </c>
      <c r="W1235">
        <v>4</v>
      </c>
      <c r="X1235" t="s">
        <v>9898</v>
      </c>
      <c r="Y1235" t="s">
        <v>9900</v>
      </c>
      <c r="Z1235" t="s">
        <v>9899</v>
      </c>
      <c r="AD1235">
        <f t="shared" si="39"/>
        <v>1</v>
      </c>
    </row>
    <row r="1236" spans="1:30" x14ac:dyDescent="0.25">
      <c r="A1236" t="s">
        <v>1260</v>
      </c>
      <c r="B1236" s="2">
        <v>45350</v>
      </c>
      <c r="C1236" s="2">
        <v>45351</v>
      </c>
      <c r="D1236" t="s">
        <v>5076</v>
      </c>
      <c r="E1236" t="s">
        <v>5576</v>
      </c>
      <c r="F1236" t="s">
        <v>6027</v>
      </c>
      <c r="G1236" t="s">
        <v>6031</v>
      </c>
      <c r="H1236" t="s">
        <v>6042</v>
      </c>
      <c r="I1236" t="s">
        <v>6052</v>
      </c>
      <c r="J1236" t="s">
        <v>6055</v>
      </c>
      <c r="K1236" t="s">
        <v>6063</v>
      </c>
      <c r="L1236" t="s">
        <v>7206</v>
      </c>
      <c r="M1236">
        <v>1641.31</v>
      </c>
      <c r="N1236">
        <v>6</v>
      </c>
      <c r="O1236">
        <v>0.2</v>
      </c>
      <c r="P1236">
        <v>-119.75</v>
      </c>
      <c r="Q1236" t="s">
        <v>9895</v>
      </c>
      <c r="R1236">
        <v>1</v>
      </c>
      <c r="S1236" s="5">
        <f t="shared" si="38"/>
        <v>-7.2960013647635116E-2</v>
      </c>
      <c r="T1236">
        <v>273.55166666666668</v>
      </c>
      <c r="U1236">
        <v>2</v>
      </c>
      <c r="V1236">
        <v>2024</v>
      </c>
      <c r="W1236">
        <v>1</v>
      </c>
      <c r="X1236" t="s">
        <v>9898</v>
      </c>
      <c r="Y1236" t="s">
        <v>9900</v>
      </c>
      <c r="Z1236" t="s">
        <v>9898</v>
      </c>
      <c r="AD1236">
        <f t="shared" si="39"/>
        <v>1</v>
      </c>
    </row>
    <row r="1237" spans="1:30" x14ac:dyDescent="0.25">
      <c r="A1237" t="s">
        <v>1261</v>
      </c>
      <c r="B1237" s="2">
        <v>45409</v>
      </c>
      <c r="C1237" s="2">
        <v>45416</v>
      </c>
      <c r="D1237" t="s">
        <v>5113</v>
      </c>
      <c r="E1237" t="s">
        <v>5613</v>
      </c>
      <c r="F1237" t="s">
        <v>6027</v>
      </c>
      <c r="G1237" t="s">
        <v>6029</v>
      </c>
      <c r="H1237" t="s">
        <v>6041</v>
      </c>
      <c r="I1237" t="s">
        <v>6049</v>
      </c>
      <c r="J1237" t="s">
        <v>6054</v>
      </c>
      <c r="K1237" t="s">
        <v>6060</v>
      </c>
      <c r="L1237" t="s">
        <v>7207</v>
      </c>
      <c r="M1237">
        <v>176.28</v>
      </c>
      <c r="N1237">
        <v>6</v>
      </c>
      <c r="O1237">
        <v>0.32</v>
      </c>
      <c r="P1237">
        <v>-14.56</v>
      </c>
      <c r="Q1237" t="s">
        <v>9897</v>
      </c>
      <c r="R1237">
        <v>7</v>
      </c>
      <c r="S1237" s="5">
        <f t="shared" si="38"/>
        <v>-8.2595870206489674E-2</v>
      </c>
      <c r="T1237">
        <v>29.38</v>
      </c>
      <c r="U1237">
        <v>4</v>
      </c>
      <c r="V1237">
        <v>2024</v>
      </c>
      <c r="W1237">
        <v>2</v>
      </c>
      <c r="X1237" t="s">
        <v>9898</v>
      </c>
      <c r="Y1237" t="s">
        <v>9902</v>
      </c>
      <c r="Z1237" t="s">
        <v>9899</v>
      </c>
      <c r="AD1237">
        <f t="shared" si="39"/>
        <v>7</v>
      </c>
    </row>
    <row r="1238" spans="1:30" x14ac:dyDescent="0.25">
      <c r="A1238" t="s">
        <v>1262</v>
      </c>
      <c r="B1238" s="2">
        <v>44734</v>
      </c>
      <c r="C1238" s="2">
        <v>44740</v>
      </c>
      <c r="D1238" t="s">
        <v>5324</v>
      </c>
      <c r="E1238" t="s">
        <v>5824</v>
      </c>
      <c r="F1238" t="s">
        <v>6026</v>
      </c>
      <c r="G1238" t="s">
        <v>6029</v>
      </c>
      <c r="H1238" t="s">
        <v>6044</v>
      </c>
      <c r="I1238" t="s">
        <v>6049</v>
      </c>
      <c r="J1238" t="s">
        <v>6054</v>
      </c>
      <c r="K1238" t="s">
        <v>6060</v>
      </c>
      <c r="L1238" t="s">
        <v>6590</v>
      </c>
      <c r="M1238">
        <v>691.66</v>
      </c>
      <c r="N1238">
        <v>6</v>
      </c>
      <c r="O1238">
        <v>0.12</v>
      </c>
      <c r="P1238">
        <v>14.58</v>
      </c>
      <c r="Q1238" t="s">
        <v>9895</v>
      </c>
      <c r="R1238">
        <v>6</v>
      </c>
      <c r="S1238" s="5">
        <f t="shared" si="38"/>
        <v>2.1079721250325305E-2</v>
      </c>
      <c r="T1238">
        <v>115.2766666666667</v>
      </c>
      <c r="U1238">
        <v>6</v>
      </c>
      <c r="V1238">
        <v>2022</v>
      </c>
      <c r="W1238">
        <v>2</v>
      </c>
      <c r="X1238" t="s">
        <v>9899</v>
      </c>
      <c r="Y1238" t="s">
        <v>9901</v>
      </c>
      <c r="Z1238" t="s">
        <v>9899</v>
      </c>
      <c r="AD1238">
        <f t="shared" si="39"/>
        <v>6</v>
      </c>
    </row>
    <row r="1239" spans="1:30" x14ac:dyDescent="0.25">
      <c r="A1239" t="s">
        <v>1263</v>
      </c>
      <c r="B1239" s="2">
        <v>44897</v>
      </c>
      <c r="C1239" s="2">
        <v>44899</v>
      </c>
      <c r="D1239" t="s">
        <v>5141</v>
      </c>
      <c r="E1239" t="s">
        <v>5641</v>
      </c>
      <c r="F1239" t="s">
        <v>6026</v>
      </c>
      <c r="G1239" t="s">
        <v>6029</v>
      </c>
      <c r="H1239" t="s">
        <v>6032</v>
      </c>
      <c r="I1239" t="s">
        <v>6046</v>
      </c>
      <c r="J1239" t="s">
        <v>6053</v>
      </c>
      <c r="K1239" t="s">
        <v>6058</v>
      </c>
      <c r="L1239" t="s">
        <v>7208</v>
      </c>
      <c r="M1239">
        <v>705.74</v>
      </c>
      <c r="N1239">
        <v>4</v>
      </c>
      <c r="O1239">
        <v>7.0000000000000007E-2</v>
      </c>
      <c r="P1239">
        <v>43.04</v>
      </c>
      <c r="Q1239" t="s">
        <v>9894</v>
      </c>
      <c r="R1239">
        <v>2</v>
      </c>
      <c r="S1239" s="5">
        <f t="shared" si="38"/>
        <v>6.0985632102473999E-2</v>
      </c>
      <c r="T1239">
        <v>176.435</v>
      </c>
      <c r="U1239">
        <v>12</v>
      </c>
      <c r="V1239">
        <v>2022</v>
      </c>
      <c r="W1239">
        <v>4</v>
      </c>
      <c r="X1239" t="s">
        <v>9899</v>
      </c>
      <c r="Y1239" t="s">
        <v>9901</v>
      </c>
      <c r="Z1239" t="s">
        <v>9899</v>
      </c>
      <c r="AD1239">
        <f t="shared" si="39"/>
        <v>2</v>
      </c>
    </row>
    <row r="1240" spans="1:30" x14ac:dyDescent="0.25">
      <c r="A1240" t="s">
        <v>1264</v>
      </c>
      <c r="B1240" s="2">
        <v>44971</v>
      </c>
      <c r="C1240" s="2">
        <v>44975</v>
      </c>
      <c r="D1240" t="s">
        <v>5331</v>
      </c>
      <c r="E1240" t="s">
        <v>5831</v>
      </c>
      <c r="F1240" t="s">
        <v>6028</v>
      </c>
      <c r="G1240" t="s">
        <v>6029</v>
      </c>
      <c r="H1240" t="s">
        <v>6036</v>
      </c>
      <c r="I1240" t="s">
        <v>6049</v>
      </c>
      <c r="J1240" t="s">
        <v>6055</v>
      </c>
      <c r="K1240" t="s">
        <v>6063</v>
      </c>
      <c r="L1240" t="s">
        <v>7209</v>
      </c>
      <c r="M1240">
        <v>1458.08</v>
      </c>
      <c r="N1240">
        <v>5</v>
      </c>
      <c r="O1240">
        <v>0.11</v>
      </c>
      <c r="P1240">
        <v>235</v>
      </c>
      <c r="Q1240" t="s">
        <v>9895</v>
      </c>
      <c r="R1240">
        <v>4</v>
      </c>
      <c r="S1240" s="5">
        <f t="shared" si="38"/>
        <v>0.16117085482278065</v>
      </c>
      <c r="T1240">
        <v>291.61599999999999</v>
      </c>
      <c r="U1240">
        <v>2</v>
      </c>
      <c r="V1240">
        <v>2023</v>
      </c>
      <c r="W1240">
        <v>1</v>
      </c>
      <c r="X1240" t="s">
        <v>9899</v>
      </c>
      <c r="Y1240" t="s">
        <v>9901</v>
      </c>
      <c r="Z1240" t="s">
        <v>9898</v>
      </c>
      <c r="AD1240">
        <f t="shared" si="39"/>
        <v>4</v>
      </c>
    </row>
    <row r="1241" spans="1:30" x14ac:dyDescent="0.25">
      <c r="A1241" t="s">
        <v>1265</v>
      </c>
      <c r="B1241" s="2">
        <v>44952</v>
      </c>
      <c r="C1241" s="2">
        <v>44958</v>
      </c>
      <c r="D1241" t="s">
        <v>5486</v>
      </c>
      <c r="E1241" t="s">
        <v>5986</v>
      </c>
      <c r="F1241" t="s">
        <v>6026</v>
      </c>
      <c r="G1241" t="s">
        <v>6031</v>
      </c>
      <c r="H1241" t="s">
        <v>6042</v>
      </c>
      <c r="I1241" t="s">
        <v>6050</v>
      </c>
      <c r="J1241" t="s">
        <v>6055</v>
      </c>
      <c r="K1241" t="s">
        <v>6063</v>
      </c>
      <c r="L1241" t="s">
        <v>7210</v>
      </c>
      <c r="M1241">
        <v>536.69000000000005</v>
      </c>
      <c r="N1241">
        <v>1</v>
      </c>
      <c r="O1241">
        <v>0.18</v>
      </c>
      <c r="P1241">
        <v>63.71</v>
      </c>
      <c r="Q1241" t="s">
        <v>9893</v>
      </c>
      <c r="R1241">
        <v>6</v>
      </c>
      <c r="S1241" s="5">
        <f t="shared" si="38"/>
        <v>0.11870912444800535</v>
      </c>
      <c r="T1241">
        <v>536.69000000000005</v>
      </c>
      <c r="U1241">
        <v>1</v>
      </c>
      <c r="V1241">
        <v>2023</v>
      </c>
      <c r="W1241">
        <v>1</v>
      </c>
      <c r="X1241" t="s">
        <v>9899</v>
      </c>
      <c r="Y1241" t="s">
        <v>9900</v>
      </c>
      <c r="Z1241" t="s">
        <v>9899</v>
      </c>
      <c r="AD1241">
        <f t="shared" si="39"/>
        <v>6</v>
      </c>
    </row>
    <row r="1242" spans="1:30" x14ac:dyDescent="0.25">
      <c r="A1242" t="s">
        <v>1266</v>
      </c>
      <c r="B1242" s="2">
        <v>44916</v>
      </c>
      <c r="C1242" s="2">
        <v>44921</v>
      </c>
      <c r="D1242" t="s">
        <v>5220</v>
      </c>
      <c r="E1242" t="s">
        <v>5720</v>
      </c>
      <c r="F1242" t="s">
        <v>6026</v>
      </c>
      <c r="G1242" t="s">
        <v>6030</v>
      </c>
      <c r="H1242" t="s">
        <v>6039</v>
      </c>
      <c r="I1242" t="s">
        <v>6051</v>
      </c>
      <c r="J1242" t="s">
        <v>6054</v>
      </c>
      <c r="K1242" t="s">
        <v>6062</v>
      </c>
      <c r="L1242" t="s">
        <v>7211</v>
      </c>
      <c r="M1242">
        <v>854.82</v>
      </c>
      <c r="N1242">
        <v>7</v>
      </c>
      <c r="O1242">
        <v>0.02</v>
      </c>
      <c r="P1242">
        <v>217.52</v>
      </c>
      <c r="Q1242" t="s">
        <v>9895</v>
      </c>
      <c r="R1242">
        <v>5</v>
      </c>
      <c r="S1242" s="5">
        <f t="shared" si="38"/>
        <v>0.25446292786785524</v>
      </c>
      <c r="T1242">
        <v>122.11714285714289</v>
      </c>
      <c r="U1242">
        <v>12</v>
      </c>
      <c r="V1242">
        <v>2022</v>
      </c>
      <c r="W1242">
        <v>4</v>
      </c>
      <c r="X1242" t="s">
        <v>9899</v>
      </c>
      <c r="Y1242" t="s">
        <v>9901</v>
      </c>
      <c r="Z1242" t="s">
        <v>9899</v>
      </c>
      <c r="AD1242">
        <f t="shared" si="39"/>
        <v>5</v>
      </c>
    </row>
    <row r="1243" spans="1:30" x14ac:dyDescent="0.25">
      <c r="A1243" t="s">
        <v>1267</v>
      </c>
      <c r="B1243" s="2">
        <v>44631</v>
      </c>
      <c r="C1243" s="2">
        <v>44638</v>
      </c>
      <c r="D1243" t="s">
        <v>5058</v>
      </c>
      <c r="E1243" t="s">
        <v>5558</v>
      </c>
      <c r="F1243" t="s">
        <v>6026</v>
      </c>
      <c r="G1243" t="s">
        <v>6030</v>
      </c>
      <c r="H1243" t="s">
        <v>6033</v>
      </c>
      <c r="I1243" t="s">
        <v>6047</v>
      </c>
      <c r="J1243" t="s">
        <v>6055</v>
      </c>
      <c r="K1243" t="s">
        <v>6064</v>
      </c>
      <c r="L1243" t="s">
        <v>7212</v>
      </c>
      <c r="M1243">
        <v>1506.93</v>
      </c>
      <c r="N1243">
        <v>2</v>
      </c>
      <c r="O1243">
        <v>0.13</v>
      </c>
      <c r="P1243">
        <v>211.51</v>
      </c>
      <c r="Q1243" t="s">
        <v>9896</v>
      </c>
      <c r="R1243">
        <v>7</v>
      </c>
      <c r="S1243" s="5">
        <f t="shared" si="38"/>
        <v>0.14035821172848106</v>
      </c>
      <c r="T1243">
        <v>753.46500000000003</v>
      </c>
      <c r="U1243">
        <v>3</v>
      </c>
      <c r="V1243">
        <v>2022</v>
      </c>
      <c r="W1243">
        <v>1</v>
      </c>
      <c r="X1243" t="s">
        <v>9899</v>
      </c>
      <c r="Y1243" t="s">
        <v>9901</v>
      </c>
      <c r="Z1243" t="s">
        <v>9898</v>
      </c>
      <c r="AD1243">
        <f t="shared" si="39"/>
        <v>7</v>
      </c>
    </row>
    <row r="1244" spans="1:30" x14ac:dyDescent="0.25">
      <c r="A1244" t="s">
        <v>1268</v>
      </c>
      <c r="B1244" s="2">
        <v>45255</v>
      </c>
      <c r="C1244" s="2">
        <v>45258</v>
      </c>
      <c r="D1244" t="s">
        <v>5411</v>
      </c>
      <c r="E1244" t="s">
        <v>5911</v>
      </c>
      <c r="F1244" t="s">
        <v>6027</v>
      </c>
      <c r="G1244" t="s">
        <v>6029</v>
      </c>
      <c r="H1244" t="s">
        <v>6032</v>
      </c>
      <c r="I1244" t="s">
        <v>6046</v>
      </c>
      <c r="J1244" t="s">
        <v>6053</v>
      </c>
      <c r="K1244" t="s">
        <v>6058</v>
      </c>
      <c r="L1244" t="s">
        <v>6540</v>
      </c>
      <c r="M1244">
        <v>789.59</v>
      </c>
      <c r="N1244">
        <v>1</v>
      </c>
      <c r="O1244">
        <v>0.27</v>
      </c>
      <c r="P1244">
        <v>-110.45</v>
      </c>
      <c r="Q1244" t="s">
        <v>9895</v>
      </c>
      <c r="R1244">
        <v>3</v>
      </c>
      <c r="S1244" s="5">
        <f t="shared" si="38"/>
        <v>-0.13988272394533871</v>
      </c>
      <c r="T1244">
        <v>789.59</v>
      </c>
      <c r="U1244">
        <v>11</v>
      </c>
      <c r="V1244">
        <v>2023</v>
      </c>
      <c r="W1244">
        <v>4</v>
      </c>
      <c r="X1244" t="s">
        <v>9898</v>
      </c>
      <c r="Y1244" t="s">
        <v>9900</v>
      </c>
      <c r="Z1244" t="s">
        <v>9899</v>
      </c>
      <c r="AD1244">
        <f t="shared" si="39"/>
        <v>3</v>
      </c>
    </row>
    <row r="1245" spans="1:30" x14ac:dyDescent="0.25">
      <c r="A1245" t="s">
        <v>1269</v>
      </c>
      <c r="B1245" s="2">
        <v>45006</v>
      </c>
      <c r="C1245" s="2">
        <v>45009</v>
      </c>
      <c r="D1245" t="s">
        <v>5360</v>
      </c>
      <c r="E1245" t="s">
        <v>5860</v>
      </c>
      <c r="F1245" t="s">
        <v>6026</v>
      </c>
      <c r="G1245" t="s">
        <v>6030</v>
      </c>
      <c r="H1245" t="s">
        <v>6038</v>
      </c>
      <c r="I1245" t="s">
        <v>6047</v>
      </c>
      <c r="J1245" t="s">
        <v>6053</v>
      </c>
      <c r="K1245" t="s">
        <v>6057</v>
      </c>
      <c r="L1245" t="s">
        <v>6167</v>
      </c>
      <c r="M1245">
        <v>1084.53</v>
      </c>
      <c r="N1245">
        <v>6</v>
      </c>
      <c r="O1245">
        <v>0</v>
      </c>
      <c r="P1245">
        <v>162.47999999999999</v>
      </c>
      <c r="Q1245" t="s">
        <v>9895</v>
      </c>
      <c r="R1245">
        <v>3</v>
      </c>
      <c r="S1245" s="5">
        <f t="shared" si="38"/>
        <v>0.14981604934856574</v>
      </c>
      <c r="T1245">
        <v>180.755</v>
      </c>
      <c r="U1245">
        <v>3</v>
      </c>
      <c r="V1245">
        <v>2023</v>
      </c>
      <c r="W1245">
        <v>1</v>
      </c>
      <c r="X1245" t="s">
        <v>9899</v>
      </c>
      <c r="Y1245" t="s">
        <v>9901</v>
      </c>
      <c r="Z1245" t="s">
        <v>9898</v>
      </c>
      <c r="AD1245">
        <f t="shared" si="39"/>
        <v>3</v>
      </c>
    </row>
    <row r="1246" spans="1:30" x14ac:dyDescent="0.25">
      <c r="A1246" t="s">
        <v>1270</v>
      </c>
      <c r="B1246" s="2">
        <v>45438</v>
      </c>
      <c r="C1246" s="2">
        <v>45444</v>
      </c>
      <c r="D1246" t="s">
        <v>5268</v>
      </c>
      <c r="E1246" t="s">
        <v>5768</v>
      </c>
      <c r="F1246" t="s">
        <v>6027</v>
      </c>
      <c r="G1246" t="s">
        <v>6031</v>
      </c>
      <c r="H1246" t="s">
        <v>6042</v>
      </c>
      <c r="I1246" t="s">
        <v>6048</v>
      </c>
      <c r="J1246" t="s">
        <v>6054</v>
      </c>
      <c r="K1246" t="s">
        <v>6062</v>
      </c>
      <c r="L1246" t="s">
        <v>7213</v>
      </c>
      <c r="M1246">
        <v>507.41</v>
      </c>
      <c r="N1246">
        <v>4</v>
      </c>
      <c r="O1246">
        <v>0.28000000000000003</v>
      </c>
      <c r="P1246">
        <v>-5.84</v>
      </c>
      <c r="Q1246" t="s">
        <v>9896</v>
      </c>
      <c r="R1246">
        <v>6</v>
      </c>
      <c r="S1246" s="5">
        <f t="shared" si="38"/>
        <v>-1.1509430243787075E-2</v>
      </c>
      <c r="T1246">
        <v>126.85250000000001</v>
      </c>
      <c r="U1246">
        <v>5</v>
      </c>
      <c r="V1246">
        <v>2024</v>
      </c>
      <c r="W1246">
        <v>2</v>
      </c>
      <c r="X1246" t="s">
        <v>9898</v>
      </c>
      <c r="Y1246" t="s">
        <v>9900</v>
      </c>
      <c r="Z1246" t="s">
        <v>9899</v>
      </c>
      <c r="AD1246">
        <f t="shared" si="39"/>
        <v>6</v>
      </c>
    </row>
    <row r="1247" spans="1:30" x14ac:dyDescent="0.25">
      <c r="A1247" t="s">
        <v>1271</v>
      </c>
      <c r="B1247" s="2">
        <v>45170</v>
      </c>
      <c r="C1247" s="2">
        <v>45173</v>
      </c>
      <c r="D1247" t="s">
        <v>5445</v>
      </c>
      <c r="E1247" t="s">
        <v>5945</v>
      </c>
      <c r="F1247" t="s">
        <v>6028</v>
      </c>
      <c r="G1247" t="s">
        <v>6030</v>
      </c>
      <c r="H1247" t="s">
        <v>6039</v>
      </c>
      <c r="I1247" t="s">
        <v>6051</v>
      </c>
      <c r="J1247" t="s">
        <v>6053</v>
      </c>
      <c r="K1247" t="s">
        <v>6057</v>
      </c>
      <c r="L1247" t="s">
        <v>7214</v>
      </c>
      <c r="M1247">
        <v>1747.42</v>
      </c>
      <c r="N1247">
        <v>4</v>
      </c>
      <c r="O1247">
        <v>0</v>
      </c>
      <c r="P1247">
        <v>177.06</v>
      </c>
      <c r="Q1247" t="s">
        <v>9895</v>
      </c>
      <c r="R1247">
        <v>3</v>
      </c>
      <c r="S1247" s="5">
        <f t="shared" si="38"/>
        <v>0.10132652710853715</v>
      </c>
      <c r="T1247">
        <v>436.85500000000002</v>
      </c>
      <c r="U1247">
        <v>9</v>
      </c>
      <c r="V1247">
        <v>2023</v>
      </c>
      <c r="W1247">
        <v>3</v>
      </c>
      <c r="X1247" t="s">
        <v>9899</v>
      </c>
      <c r="Y1247" t="s">
        <v>9901</v>
      </c>
      <c r="Z1247" t="s">
        <v>9898</v>
      </c>
      <c r="AD1247">
        <f t="shared" si="39"/>
        <v>3</v>
      </c>
    </row>
    <row r="1248" spans="1:30" x14ac:dyDescent="0.25">
      <c r="A1248" t="s">
        <v>1272</v>
      </c>
      <c r="B1248" s="2">
        <v>45436</v>
      </c>
      <c r="C1248" s="2">
        <v>45442</v>
      </c>
      <c r="D1248" t="s">
        <v>5036</v>
      </c>
      <c r="E1248" t="s">
        <v>5536</v>
      </c>
      <c r="F1248" t="s">
        <v>6027</v>
      </c>
      <c r="G1248" t="s">
        <v>6031</v>
      </c>
      <c r="H1248" t="s">
        <v>6042</v>
      </c>
      <c r="I1248" t="s">
        <v>6052</v>
      </c>
      <c r="J1248" t="s">
        <v>6054</v>
      </c>
      <c r="K1248" t="s">
        <v>6060</v>
      </c>
      <c r="L1248" t="s">
        <v>7215</v>
      </c>
      <c r="M1248">
        <v>919.95</v>
      </c>
      <c r="N1248">
        <v>2</v>
      </c>
      <c r="O1248">
        <v>0.1</v>
      </c>
      <c r="P1248">
        <v>94.5</v>
      </c>
      <c r="Q1248" t="s">
        <v>9893</v>
      </c>
      <c r="R1248">
        <v>6</v>
      </c>
      <c r="S1248" s="5">
        <f t="shared" si="38"/>
        <v>0.10272297407467797</v>
      </c>
      <c r="T1248">
        <v>459.97500000000002</v>
      </c>
      <c r="U1248">
        <v>5</v>
      </c>
      <c r="V1248">
        <v>2024</v>
      </c>
      <c r="W1248">
        <v>2</v>
      </c>
      <c r="X1248" t="s">
        <v>9899</v>
      </c>
      <c r="Y1248" t="s">
        <v>9901</v>
      </c>
      <c r="Z1248" t="s">
        <v>9899</v>
      </c>
      <c r="AD1248">
        <f t="shared" si="39"/>
        <v>6</v>
      </c>
    </row>
    <row r="1249" spans="1:30" x14ac:dyDescent="0.25">
      <c r="A1249" t="s">
        <v>1273</v>
      </c>
      <c r="B1249" s="2">
        <v>44910</v>
      </c>
      <c r="C1249" s="2">
        <v>44912</v>
      </c>
      <c r="D1249" t="s">
        <v>5368</v>
      </c>
      <c r="E1249" t="s">
        <v>5868</v>
      </c>
      <c r="F1249" t="s">
        <v>6027</v>
      </c>
      <c r="G1249" t="s">
        <v>6030</v>
      </c>
      <c r="H1249" t="s">
        <v>6035</v>
      </c>
      <c r="I1249" t="s">
        <v>6047</v>
      </c>
      <c r="J1249" t="s">
        <v>6054</v>
      </c>
      <c r="K1249" t="s">
        <v>6060</v>
      </c>
      <c r="L1249" t="s">
        <v>7216</v>
      </c>
      <c r="M1249">
        <v>1496.61</v>
      </c>
      <c r="N1249">
        <v>7</v>
      </c>
      <c r="O1249">
        <v>0.25</v>
      </c>
      <c r="P1249">
        <v>50.23</v>
      </c>
      <c r="Q1249" t="s">
        <v>9896</v>
      </c>
      <c r="R1249">
        <v>2</v>
      </c>
      <c r="S1249" s="5">
        <f t="shared" si="38"/>
        <v>3.356251795725005E-2</v>
      </c>
      <c r="T1249">
        <v>213.80142857142849</v>
      </c>
      <c r="U1249">
        <v>12</v>
      </c>
      <c r="V1249">
        <v>2022</v>
      </c>
      <c r="W1249">
        <v>4</v>
      </c>
      <c r="X1249" t="s">
        <v>9899</v>
      </c>
      <c r="Y1249" t="s">
        <v>9900</v>
      </c>
      <c r="Z1249" t="s">
        <v>9898</v>
      </c>
      <c r="AD1249">
        <f t="shared" si="39"/>
        <v>2</v>
      </c>
    </row>
    <row r="1250" spans="1:30" x14ac:dyDescent="0.25">
      <c r="A1250" t="s">
        <v>1274</v>
      </c>
      <c r="B1250" s="2">
        <v>44711</v>
      </c>
      <c r="C1250" s="2">
        <v>44716</v>
      </c>
      <c r="D1250" t="s">
        <v>5041</v>
      </c>
      <c r="E1250" t="s">
        <v>5541</v>
      </c>
      <c r="F1250" t="s">
        <v>6028</v>
      </c>
      <c r="G1250" t="s">
        <v>6031</v>
      </c>
      <c r="H1250" t="s">
        <v>6040</v>
      </c>
      <c r="I1250" t="s">
        <v>6050</v>
      </c>
      <c r="J1250" t="s">
        <v>6055</v>
      </c>
      <c r="K1250" t="s">
        <v>6061</v>
      </c>
      <c r="L1250" t="s">
        <v>7217</v>
      </c>
      <c r="M1250">
        <v>941.46</v>
      </c>
      <c r="N1250">
        <v>5</v>
      </c>
      <c r="O1250">
        <v>0.06</v>
      </c>
      <c r="P1250">
        <v>108.94</v>
      </c>
      <c r="Q1250" t="s">
        <v>9895</v>
      </c>
      <c r="R1250">
        <v>5</v>
      </c>
      <c r="S1250" s="5">
        <f t="shared" si="38"/>
        <v>0.11571389119027892</v>
      </c>
      <c r="T1250">
        <v>188.292</v>
      </c>
      <c r="U1250">
        <v>5</v>
      </c>
      <c r="V1250">
        <v>2022</v>
      </c>
      <c r="W1250">
        <v>2</v>
      </c>
      <c r="X1250" t="s">
        <v>9899</v>
      </c>
      <c r="Y1250" t="s">
        <v>9901</v>
      </c>
      <c r="Z1250" t="s">
        <v>9899</v>
      </c>
      <c r="AD1250">
        <f t="shared" si="39"/>
        <v>5</v>
      </c>
    </row>
    <row r="1251" spans="1:30" x14ac:dyDescent="0.25">
      <c r="A1251" t="s">
        <v>1275</v>
      </c>
      <c r="B1251" s="2">
        <v>44581</v>
      </c>
      <c r="C1251" s="2">
        <v>44588</v>
      </c>
      <c r="D1251" t="s">
        <v>5164</v>
      </c>
      <c r="E1251" t="s">
        <v>5664</v>
      </c>
      <c r="F1251" t="s">
        <v>6026</v>
      </c>
      <c r="G1251" t="s">
        <v>6029</v>
      </c>
      <c r="H1251" t="s">
        <v>6032</v>
      </c>
      <c r="I1251" t="s">
        <v>6050</v>
      </c>
      <c r="J1251" t="s">
        <v>6055</v>
      </c>
      <c r="K1251" t="s">
        <v>6064</v>
      </c>
      <c r="L1251" t="s">
        <v>7218</v>
      </c>
      <c r="M1251">
        <v>809.04</v>
      </c>
      <c r="N1251">
        <v>5</v>
      </c>
      <c r="O1251">
        <v>0.1</v>
      </c>
      <c r="P1251">
        <v>54.23</v>
      </c>
      <c r="Q1251" t="s">
        <v>9893</v>
      </c>
      <c r="R1251">
        <v>7</v>
      </c>
      <c r="S1251" s="5">
        <f t="shared" si="38"/>
        <v>6.7030060318402057E-2</v>
      </c>
      <c r="T1251">
        <v>161.80799999999999</v>
      </c>
      <c r="U1251">
        <v>1</v>
      </c>
      <c r="V1251">
        <v>2022</v>
      </c>
      <c r="W1251">
        <v>1</v>
      </c>
      <c r="X1251" t="s">
        <v>9899</v>
      </c>
      <c r="Y1251" t="s">
        <v>9901</v>
      </c>
      <c r="Z1251" t="s">
        <v>9899</v>
      </c>
      <c r="AD1251">
        <f t="shared" si="39"/>
        <v>7</v>
      </c>
    </row>
    <row r="1252" spans="1:30" x14ac:dyDescent="0.25">
      <c r="A1252" t="s">
        <v>1276</v>
      </c>
      <c r="B1252" s="2">
        <v>45123</v>
      </c>
      <c r="C1252" s="2">
        <v>45127</v>
      </c>
      <c r="D1252" t="s">
        <v>5128</v>
      </c>
      <c r="E1252" t="s">
        <v>5628</v>
      </c>
      <c r="F1252" t="s">
        <v>6027</v>
      </c>
      <c r="G1252" t="s">
        <v>6031</v>
      </c>
      <c r="H1252" t="s">
        <v>6040</v>
      </c>
      <c r="I1252" t="s">
        <v>6050</v>
      </c>
      <c r="J1252" t="s">
        <v>6054</v>
      </c>
      <c r="K1252" t="s">
        <v>6060</v>
      </c>
      <c r="L1252" t="s">
        <v>7219</v>
      </c>
      <c r="M1252">
        <v>514.22</v>
      </c>
      <c r="N1252">
        <v>3</v>
      </c>
      <c r="O1252">
        <v>0.03</v>
      </c>
      <c r="P1252">
        <v>130.63</v>
      </c>
      <c r="Q1252" t="s">
        <v>9896</v>
      </c>
      <c r="R1252">
        <v>4</v>
      </c>
      <c r="S1252" s="5">
        <f t="shared" si="38"/>
        <v>0.25403523783594567</v>
      </c>
      <c r="T1252">
        <v>171.40666666666669</v>
      </c>
      <c r="U1252">
        <v>7</v>
      </c>
      <c r="V1252">
        <v>2023</v>
      </c>
      <c r="W1252">
        <v>3</v>
      </c>
      <c r="X1252" t="s">
        <v>9899</v>
      </c>
      <c r="Y1252" t="s">
        <v>9901</v>
      </c>
      <c r="Z1252" t="s">
        <v>9899</v>
      </c>
      <c r="AD1252">
        <f t="shared" si="39"/>
        <v>4</v>
      </c>
    </row>
    <row r="1253" spans="1:30" x14ac:dyDescent="0.25">
      <c r="A1253" t="s">
        <v>1277</v>
      </c>
      <c r="B1253" s="2">
        <v>45356</v>
      </c>
      <c r="C1253" s="2">
        <v>45363</v>
      </c>
      <c r="D1253" t="s">
        <v>5326</v>
      </c>
      <c r="E1253" t="s">
        <v>5826</v>
      </c>
      <c r="F1253" t="s">
        <v>6027</v>
      </c>
      <c r="G1253" t="s">
        <v>6031</v>
      </c>
      <c r="H1253" t="s">
        <v>6037</v>
      </c>
      <c r="I1253" t="s">
        <v>6052</v>
      </c>
      <c r="J1253" t="s">
        <v>6054</v>
      </c>
      <c r="K1253" t="s">
        <v>6062</v>
      </c>
      <c r="L1253" t="s">
        <v>7220</v>
      </c>
      <c r="M1253">
        <v>1643.37</v>
      </c>
      <c r="N1253">
        <v>6</v>
      </c>
      <c r="O1253">
        <v>0.31</v>
      </c>
      <c r="P1253">
        <v>-265.47000000000003</v>
      </c>
      <c r="Q1253" t="s">
        <v>9895</v>
      </c>
      <c r="R1253">
        <v>7</v>
      </c>
      <c r="S1253" s="5">
        <f t="shared" si="38"/>
        <v>-0.1615400062067581</v>
      </c>
      <c r="T1253">
        <v>273.89499999999998</v>
      </c>
      <c r="U1253">
        <v>3</v>
      </c>
      <c r="V1253">
        <v>2024</v>
      </c>
      <c r="W1253">
        <v>1</v>
      </c>
      <c r="X1253" t="s">
        <v>9898</v>
      </c>
      <c r="Y1253" t="s">
        <v>9902</v>
      </c>
      <c r="Z1253" t="s">
        <v>9898</v>
      </c>
      <c r="AD1253">
        <f t="shared" si="39"/>
        <v>7</v>
      </c>
    </row>
    <row r="1254" spans="1:30" x14ac:dyDescent="0.25">
      <c r="A1254" t="s">
        <v>1278</v>
      </c>
      <c r="B1254" s="2">
        <v>45346</v>
      </c>
      <c r="C1254" s="2">
        <v>45353</v>
      </c>
      <c r="D1254" t="s">
        <v>5490</v>
      </c>
      <c r="E1254" t="s">
        <v>5990</v>
      </c>
      <c r="F1254" t="s">
        <v>6028</v>
      </c>
      <c r="G1254" t="s">
        <v>6030</v>
      </c>
      <c r="H1254" t="s">
        <v>6035</v>
      </c>
      <c r="I1254" t="s">
        <v>6047</v>
      </c>
      <c r="J1254" t="s">
        <v>6055</v>
      </c>
      <c r="K1254" t="s">
        <v>6064</v>
      </c>
      <c r="L1254" t="s">
        <v>7221</v>
      </c>
      <c r="M1254">
        <v>1750.14</v>
      </c>
      <c r="N1254">
        <v>4</v>
      </c>
      <c r="O1254">
        <v>0.33</v>
      </c>
      <c r="P1254">
        <v>-230.13</v>
      </c>
      <c r="Q1254" t="s">
        <v>9897</v>
      </c>
      <c r="R1254">
        <v>7</v>
      </c>
      <c r="S1254" s="5">
        <f t="shared" si="38"/>
        <v>-0.13149233775583666</v>
      </c>
      <c r="T1254">
        <v>437.53500000000003</v>
      </c>
      <c r="U1254">
        <v>2</v>
      </c>
      <c r="V1254">
        <v>2024</v>
      </c>
      <c r="W1254">
        <v>1</v>
      </c>
      <c r="X1254" t="s">
        <v>9898</v>
      </c>
      <c r="Y1254" t="s">
        <v>9902</v>
      </c>
      <c r="Z1254" t="s">
        <v>9898</v>
      </c>
      <c r="AD1254">
        <f t="shared" si="39"/>
        <v>7</v>
      </c>
    </row>
    <row r="1255" spans="1:30" x14ac:dyDescent="0.25">
      <c r="A1255" t="s">
        <v>1279</v>
      </c>
      <c r="B1255" s="2">
        <v>44839</v>
      </c>
      <c r="C1255" s="2">
        <v>44841</v>
      </c>
      <c r="D1255" t="s">
        <v>5327</v>
      </c>
      <c r="E1255" t="s">
        <v>5827</v>
      </c>
      <c r="F1255" t="s">
        <v>6026</v>
      </c>
      <c r="G1255" t="s">
        <v>6031</v>
      </c>
      <c r="H1255" t="s">
        <v>6043</v>
      </c>
      <c r="I1255" t="s">
        <v>6050</v>
      </c>
      <c r="J1255" t="s">
        <v>6055</v>
      </c>
      <c r="K1255" t="s">
        <v>6064</v>
      </c>
      <c r="L1255" t="s">
        <v>7222</v>
      </c>
      <c r="M1255">
        <v>741.31</v>
      </c>
      <c r="N1255">
        <v>8</v>
      </c>
      <c r="O1255">
        <v>0.2</v>
      </c>
      <c r="P1255">
        <v>9.48</v>
      </c>
      <c r="Q1255" t="s">
        <v>9895</v>
      </c>
      <c r="R1255">
        <v>2</v>
      </c>
      <c r="S1255" s="5">
        <f t="shared" si="38"/>
        <v>1.2788172289595447E-2</v>
      </c>
      <c r="T1255">
        <v>92.663749999999993</v>
      </c>
      <c r="U1255">
        <v>10</v>
      </c>
      <c r="V1255">
        <v>2022</v>
      </c>
      <c r="W1255">
        <v>4</v>
      </c>
      <c r="X1255" t="s">
        <v>9899</v>
      </c>
      <c r="Y1255" t="s">
        <v>9900</v>
      </c>
      <c r="Z1255" t="s">
        <v>9899</v>
      </c>
      <c r="AD1255">
        <f t="shared" si="39"/>
        <v>2</v>
      </c>
    </row>
    <row r="1256" spans="1:30" x14ac:dyDescent="0.25">
      <c r="A1256" t="s">
        <v>1280</v>
      </c>
      <c r="B1256" s="2">
        <v>45101</v>
      </c>
      <c r="C1256" s="2">
        <v>45105</v>
      </c>
      <c r="D1256" t="s">
        <v>5465</v>
      </c>
      <c r="E1256" t="s">
        <v>5965</v>
      </c>
      <c r="F1256" t="s">
        <v>6027</v>
      </c>
      <c r="G1256" t="s">
        <v>6031</v>
      </c>
      <c r="H1256" t="s">
        <v>6034</v>
      </c>
      <c r="I1256" t="s">
        <v>6048</v>
      </c>
      <c r="J1256" t="s">
        <v>6054</v>
      </c>
      <c r="K1256" t="s">
        <v>6059</v>
      </c>
      <c r="L1256" t="s">
        <v>7223</v>
      </c>
      <c r="M1256">
        <v>321.49</v>
      </c>
      <c r="N1256">
        <v>5</v>
      </c>
      <c r="O1256">
        <v>0.16</v>
      </c>
      <c r="P1256">
        <v>-6.49</v>
      </c>
      <c r="Q1256" t="s">
        <v>9893</v>
      </c>
      <c r="R1256">
        <v>4</v>
      </c>
      <c r="S1256" s="5">
        <f t="shared" si="38"/>
        <v>-2.0187253102740364E-2</v>
      </c>
      <c r="T1256">
        <v>64.298000000000002</v>
      </c>
      <c r="U1256">
        <v>6</v>
      </c>
      <c r="V1256">
        <v>2023</v>
      </c>
      <c r="W1256">
        <v>2</v>
      </c>
      <c r="X1256" t="s">
        <v>9898</v>
      </c>
      <c r="Y1256" t="s">
        <v>9900</v>
      </c>
      <c r="Z1256" t="s">
        <v>9899</v>
      </c>
      <c r="AD1256">
        <f t="shared" si="39"/>
        <v>4</v>
      </c>
    </row>
    <row r="1257" spans="1:30" x14ac:dyDescent="0.25">
      <c r="A1257" t="s">
        <v>1281</v>
      </c>
      <c r="B1257" s="2">
        <v>44764</v>
      </c>
      <c r="C1257" s="2">
        <v>44765</v>
      </c>
      <c r="D1257" t="s">
        <v>5241</v>
      </c>
      <c r="E1257" t="s">
        <v>5741</v>
      </c>
      <c r="F1257" t="s">
        <v>6028</v>
      </c>
      <c r="G1257" t="s">
        <v>6030</v>
      </c>
      <c r="H1257" t="s">
        <v>6035</v>
      </c>
      <c r="I1257" t="s">
        <v>6047</v>
      </c>
      <c r="J1257" t="s">
        <v>6055</v>
      </c>
      <c r="K1257" t="s">
        <v>6061</v>
      </c>
      <c r="L1257" t="s">
        <v>7224</v>
      </c>
      <c r="M1257">
        <v>1689.06</v>
      </c>
      <c r="N1257">
        <v>6</v>
      </c>
      <c r="O1257">
        <v>0.26</v>
      </c>
      <c r="P1257">
        <v>-227.39</v>
      </c>
      <c r="Q1257" t="s">
        <v>9896</v>
      </c>
      <c r="R1257">
        <v>1</v>
      </c>
      <c r="S1257" s="5">
        <f t="shared" si="38"/>
        <v>-0.13462517613347069</v>
      </c>
      <c r="T1257">
        <v>281.51</v>
      </c>
      <c r="U1257">
        <v>7</v>
      </c>
      <c r="V1257">
        <v>2022</v>
      </c>
      <c r="W1257">
        <v>3</v>
      </c>
      <c r="X1257" t="s">
        <v>9898</v>
      </c>
      <c r="Y1257" t="s">
        <v>9900</v>
      </c>
      <c r="Z1257" t="s">
        <v>9898</v>
      </c>
      <c r="AD1257">
        <f t="shared" si="39"/>
        <v>1</v>
      </c>
    </row>
    <row r="1258" spans="1:30" x14ac:dyDescent="0.25">
      <c r="A1258" t="s">
        <v>1282</v>
      </c>
      <c r="B1258" s="2">
        <v>45275</v>
      </c>
      <c r="C1258" s="2">
        <v>45282</v>
      </c>
      <c r="D1258" t="s">
        <v>5048</v>
      </c>
      <c r="E1258" t="s">
        <v>5548</v>
      </c>
      <c r="F1258" t="s">
        <v>6028</v>
      </c>
      <c r="G1258" t="s">
        <v>6029</v>
      </c>
      <c r="H1258" t="s">
        <v>6044</v>
      </c>
      <c r="I1258" t="s">
        <v>6050</v>
      </c>
      <c r="J1258" t="s">
        <v>6053</v>
      </c>
      <c r="K1258" t="s">
        <v>6058</v>
      </c>
      <c r="L1258" t="s">
        <v>7225</v>
      </c>
      <c r="M1258">
        <v>1689.43</v>
      </c>
      <c r="N1258">
        <v>8</v>
      </c>
      <c r="O1258">
        <v>0.14000000000000001</v>
      </c>
      <c r="P1258">
        <v>79.33</v>
      </c>
      <c r="Q1258" t="s">
        <v>9895</v>
      </c>
      <c r="R1258">
        <v>7</v>
      </c>
      <c r="S1258" s="5">
        <f t="shared" si="38"/>
        <v>4.6956665857715324E-2</v>
      </c>
      <c r="T1258">
        <v>211.17875000000001</v>
      </c>
      <c r="U1258">
        <v>12</v>
      </c>
      <c r="V1258">
        <v>2023</v>
      </c>
      <c r="W1258">
        <v>4</v>
      </c>
      <c r="X1258" t="s">
        <v>9899</v>
      </c>
      <c r="Y1258" t="s">
        <v>9901</v>
      </c>
      <c r="Z1258" t="s">
        <v>9898</v>
      </c>
      <c r="AD1258">
        <f t="shared" si="39"/>
        <v>7</v>
      </c>
    </row>
    <row r="1259" spans="1:30" x14ac:dyDescent="0.25">
      <c r="A1259" t="s">
        <v>1283</v>
      </c>
      <c r="B1259" s="2">
        <v>45007</v>
      </c>
      <c r="C1259" s="2">
        <v>45011</v>
      </c>
      <c r="D1259" t="s">
        <v>5223</v>
      </c>
      <c r="E1259" t="s">
        <v>5723</v>
      </c>
      <c r="F1259" t="s">
        <v>6027</v>
      </c>
      <c r="G1259" t="s">
        <v>6030</v>
      </c>
      <c r="H1259" t="s">
        <v>6038</v>
      </c>
      <c r="I1259" t="s">
        <v>6051</v>
      </c>
      <c r="J1259" t="s">
        <v>6054</v>
      </c>
      <c r="K1259" t="s">
        <v>6059</v>
      </c>
      <c r="L1259" t="s">
        <v>7226</v>
      </c>
      <c r="M1259">
        <v>1762.63</v>
      </c>
      <c r="N1259">
        <v>3</v>
      </c>
      <c r="O1259">
        <v>0.12</v>
      </c>
      <c r="P1259">
        <v>249.5</v>
      </c>
      <c r="Q1259" t="s">
        <v>9893</v>
      </c>
      <c r="R1259">
        <v>4</v>
      </c>
      <c r="S1259" s="5">
        <f t="shared" si="38"/>
        <v>0.14154984313213775</v>
      </c>
      <c r="T1259">
        <v>587.54333333333341</v>
      </c>
      <c r="U1259">
        <v>3</v>
      </c>
      <c r="V1259">
        <v>2023</v>
      </c>
      <c r="W1259">
        <v>1</v>
      </c>
      <c r="X1259" t="s">
        <v>9899</v>
      </c>
      <c r="Y1259" t="s">
        <v>9901</v>
      </c>
      <c r="Z1259" t="s">
        <v>9898</v>
      </c>
      <c r="AD1259">
        <f t="shared" si="39"/>
        <v>4</v>
      </c>
    </row>
    <row r="1260" spans="1:30" x14ac:dyDescent="0.25">
      <c r="A1260" t="s">
        <v>1284</v>
      </c>
      <c r="B1260" s="2">
        <v>45270</v>
      </c>
      <c r="C1260" s="2">
        <v>45271</v>
      </c>
      <c r="D1260" t="s">
        <v>5116</v>
      </c>
      <c r="E1260" t="s">
        <v>5616</v>
      </c>
      <c r="F1260" t="s">
        <v>6026</v>
      </c>
      <c r="G1260" t="s">
        <v>6030</v>
      </c>
      <c r="H1260" t="s">
        <v>6038</v>
      </c>
      <c r="I1260" t="s">
        <v>6047</v>
      </c>
      <c r="J1260" t="s">
        <v>6053</v>
      </c>
      <c r="K1260" t="s">
        <v>6058</v>
      </c>
      <c r="L1260" t="s">
        <v>7227</v>
      </c>
      <c r="M1260">
        <v>318.88</v>
      </c>
      <c r="N1260">
        <v>1</v>
      </c>
      <c r="O1260">
        <v>0.17</v>
      </c>
      <c r="P1260">
        <v>21.27</v>
      </c>
      <c r="Q1260" t="s">
        <v>9897</v>
      </c>
      <c r="R1260">
        <v>1</v>
      </c>
      <c r="S1260" s="5">
        <f t="shared" si="38"/>
        <v>6.670220772704466E-2</v>
      </c>
      <c r="T1260">
        <v>318.88</v>
      </c>
      <c r="U1260">
        <v>12</v>
      </c>
      <c r="V1260">
        <v>2023</v>
      </c>
      <c r="W1260">
        <v>4</v>
      </c>
      <c r="X1260" t="s">
        <v>9899</v>
      </c>
      <c r="Y1260" t="s">
        <v>9900</v>
      </c>
      <c r="Z1260" t="s">
        <v>9899</v>
      </c>
      <c r="AD1260">
        <f t="shared" si="39"/>
        <v>1</v>
      </c>
    </row>
    <row r="1261" spans="1:30" x14ac:dyDescent="0.25">
      <c r="A1261" t="s">
        <v>1285</v>
      </c>
      <c r="B1261" s="2">
        <v>44860</v>
      </c>
      <c r="C1261" s="2">
        <v>44865</v>
      </c>
      <c r="D1261" t="s">
        <v>5200</v>
      </c>
      <c r="E1261" t="s">
        <v>5700</v>
      </c>
      <c r="F1261" t="s">
        <v>6027</v>
      </c>
      <c r="G1261" t="s">
        <v>6030</v>
      </c>
      <c r="H1261" t="s">
        <v>6033</v>
      </c>
      <c r="I1261" t="s">
        <v>6051</v>
      </c>
      <c r="J1261" t="s">
        <v>6054</v>
      </c>
      <c r="K1261" t="s">
        <v>6060</v>
      </c>
      <c r="L1261" t="s">
        <v>7228</v>
      </c>
      <c r="M1261">
        <v>288.37</v>
      </c>
      <c r="N1261">
        <v>8</v>
      </c>
      <c r="O1261">
        <v>0.15</v>
      </c>
      <c r="P1261">
        <v>37.94</v>
      </c>
      <c r="Q1261" t="s">
        <v>9895</v>
      </c>
      <c r="R1261">
        <v>5</v>
      </c>
      <c r="S1261" s="5">
        <f t="shared" si="38"/>
        <v>0.13156708395464159</v>
      </c>
      <c r="T1261">
        <v>36.046250000000001</v>
      </c>
      <c r="U1261">
        <v>10</v>
      </c>
      <c r="V1261">
        <v>2022</v>
      </c>
      <c r="W1261">
        <v>4</v>
      </c>
      <c r="X1261" t="s">
        <v>9899</v>
      </c>
      <c r="Y1261" t="s">
        <v>9901</v>
      </c>
      <c r="Z1261" t="s">
        <v>9899</v>
      </c>
      <c r="AD1261">
        <f t="shared" si="39"/>
        <v>5</v>
      </c>
    </row>
    <row r="1262" spans="1:30" x14ac:dyDescent="0.25">
      <c r="A1262" t="s">
        <v>1286</v>
      </c>
      <c r="B1262" s="2">
        <v>44828</v>
      </c>
      <c r="C1262" s="2">
        <v>44834</v>
      </c>
      <c r="D1262" t="s">
        <v>5330</v>
      </c>
      <c r="E1262" t="s">
        <v>5830</v>
      </c>
      <c r="F1262" t="s">
        <v>6028</v>
      </c>
      <c r="G1262" t="s">
        <v>6029</v>
      </c>
      <c r="H1262" t="s">
        <v>6045</v>
      </c>
      <c r="I1262" t="s">
        <v>6050</v>
      </c>
      <c r="J1262" t="s">
        <v>6053</v>
      </c>
      <c r="K1262" t="s">
        <v>6056</v>
      </c>
      <c r="L1262" t="s">
        <v>7229</v>
      </c>
      <c r="M1262">
        <v>1716.79</v>
      </c>
      <c r="N1262">
        <v>3</v>
      </c>
      <c r="O1262">
        <v>0.2</v>
      </c>
      <c r="P1262">
        <v>-105.84</v>
      </c>
      <c r="Q1262" t="s">
        <v>9897</v>
      </c>
      <c r="R1262">
        <v>6</v>
      </c>
      <c r="S1262" s="5">
        <f t="shared" si="38"/>
        <v>-6.164993971306916E-2</v>
      </c>
      <c r="T1262">
        <v>572.26333333333332</v>
      </c>
      <c r="U1262">
        <v>9</v>
      </c>
      <c r="V1262">
        <v>2022</v>
      </c>
      <c r="W1262">
        <v>3</v>
      </c>
      <c r="X1262" t="s">
        <v>9898</v>
      </c>
      <c r="Y1262" t="s">
        <v>9900</v>
      </c>
      <c r="Z1262" t="s">
        <v>9898</v>
      </c>
      <c r="AD1262">
        <f t="shared" si="39"/>
        <v>6</v>
      </c>
    </row>
    <row r="1263" spans="1:30" x14ac:dyDescent="0.25">
      <c r="A1263" t="s">
        <v>1287</v>
      </c>
      <c r="B1263" s="2">
        <v>44687</v>
      </c>
      <c r="C1263" s="2">
        <v>44689</v>
      </c>
      <c r="D1263" t="s">
        <v>5491</v>
      </c>
      <c r="E1263" t="s">
        <v>5991</v>
      </c>
      <c r="F1263" t="s">
        <v>6026</v>
      </c>
      <c r="G1263" t="s">
        <v>6031</v>
      </c>
      <c r="H1263" t="s">
        <v>6043</v>
      </c>
      <c r="I1263" t="s">
        <v>6048</v>
      </c>
      <c r="J1263" t="s">
        <v>6055</v>
      </c>
      <c r="K1263" t="s">
        <v>6061</v>
      </c>
      <c r="L1263" t="s">
        <v>7230</v>
      </c>
      <c r="M1263">
        <v>1176.8399999999999</v>
      </c>
      <c r="N1263">
        <v>7</v>
      </c>
      <c r="O1263">
        <v>0.05</v>
      </c>
      <c r="P1263">
        <v>152.09</v>
      </c>
      <c r="Q1263" t="s">
        <v>9896</v>
      </c>
      <c r="R1263">
        <v>2</v>
      </c>
      <c r="S1263" s="5">
        <f t="shared" si="38"/>
        <v>0.12923591992114478</v>
      </c>
      <c r="T1263">
        <v>168.12</v>
      </c>
      <c r="U1263">
        <v>5</v>
      </c>
      <c r="V1263">
        <v>2022</v>
      </c>
      <c r="W1263">
        <v>2</v>
      </c>
      <c r="X1263" t="s">
        <v>9899</v>
      </c>
      <c r="Y1263" t="s">
        <v>9901</v>
      </c>
      <c r="Z1263" t="s">
        <v>9898</v>
      </c>
      <c r="AD1263">
        <f t="shared" si="39"/>
        <v>2</v>
      </c>
    </row>
    <row r="1264" spans="1:30" x14ac:dyDescent="0.25">
      <c r="A1264" t="s">
        <v>1288</v>
      </c>
      <c r="B1264" s="2">
        <v>44678</v>
      </c>
      <c r="C1264" s="2">
        <v>44685</v>
      </c>
      <c r="D1264" t="s">
        <v>5265</v>
      </c>
      <c r="E1264" t="s">
        <v>5765</v>
      </c>
      <c r="F1264" t="s">
        <v>6027</v>
      </c>
      <c r="G1264" t="s">
        <v>6031</v>
      </c>
      <c r="H1264" t="s">
        <v>6043</v>
      </c>
      <c r="I1264" t="s">
        <v>6048</v>
      </c>
      <c r="J1264" t="s">
        <v>6054</v>
      </c>
      <c r="K1264" t="s">
        <v>6060</v>
      </c>
      <c r="L1264" t="s">
        <v>7231</v>
      </c>
      <c r="M1264">
        <v>645.57000000000005</v>
      </c>
      <c r="N1264">
        <v>3</v>
      </c>
      <c r="O1264">
        <v>0.02</v>
      </c>
      <c r="P1264">
        <v>63.14</v>
      </c>
      <c r="Q1264" t="s">
        <v>9895</v>
      </c>
      <c r="R1264">
        <v>7</v>
      </c>
      <c r="S1264" s="5">
        <f t="shared" si="38"/>
        <v>9.7805040506838914E-2</v>
      </c>
      <c r="T1264">
        <v>215.19</v>
      </c>
      <c r="U1264">
        <v>4</v>
      </c>
      <c r="V1264">
        <v>2022</v>
      </c>
      <c r="W1264">
        <v>2</v>
      </c>
      <c r="X1264" t="s">
        <v>9899</v>
      </c>
      <c r="Y1264" t="s">
        <v>9901</v>
      </c>
      <c r="Z1264" t="s">
        <v>9899</v>
      </c>
      <c r="AD1264">
        <f t="shared" si="39"/>
        <v>7</v>
      </c>
    </row>
    <row r="1265" spans="1:30" x14ac:dyDescent="0.25">
      <c r="A1265" t="s">
        <v>1289</v>
      </c>
      <c r="B1265" s="2">
        <v>45447</v>
      </c>
      <c r="C1265" s="2">
        <v>45453</v>
      </c>
      <c r="D1265" t="s">
        <v>5326</v>
      </c>
      <c r="E1265" t="s">
        <v>5826</v>
      </c>
      <c r="F1265" t="s">
        <v>6027</v>
      </c>
      <c r="G1265" t="s">
        <v>6031</v>
      </c>
      <c r="H1265" t="s">
        <v>6042</v>
      </c>
      <c r="I1265" t="s">
        <v>6052</v>
      </c>
      <c r="J1265" t="s">
        <v>6055</v>
      </c>
      <c r="K1265" t="s">
        <v>6063</v>
      </c>
      <c r="L1265" t="s">
        <v>7232</v>
      </c>
      <c r="M1265">
        <v>1436.81</v>
      </c>
      <c r="N1265">
        <v>3</v>
      </c>
      <c r="O1265">
        <v>0.04</v>
      </c>
      <c r="P1265">
        <v>239.98</v>
      </c>
      <c r="Q1265" t="s">
        <v>9895</v>
      </c>
      <c r="R1265">
        <v>6</v>
      </c>
      <c r="S1265" s="5">
        <f t="shared" si="38"/>
        <v>0.16702277962987452</v>
      </c>
      <c r="T1265">
        <v>478.93666666666672</v>
      </c>
      <c r="U1265">
        <v>6</v>
      </c>
      <c r="V1265">
        <v>2024</v>
      </c>
      <c r="W1265">
        <v>2</v>
      </c>
      <c r="X1265" t="s">
        <v>9899</v>
      </c>
      <c r="Y1265" t="s">
        <v>9901</v>
      </c>
      <c r="Z1265" t="s">
        <v>9898</v>
      </c>
      <c r="AD1265">
        <f t="shared" si="39"/>
        <v>6</v>
      </c>
    </row>
    <row r="1266" spans="1:30" x14ac:dyDescent="0.25">
      <c r="A1266" t="s">
        <v>1290</v>
      </c>
      <c r="B1266" s="2">
        <v>44865</v>
      </c>
      <c r="C1266" s="2">
        <v>44868</v>
      </c>
      <c r="D1266" t="s">
        <v>5485</v>
      </c>
      <c r="E1266" t="s">
        <v>5985</v>
      </c>
      <c r="F1266" t="s">
        <v>6028</v>
      </c>
      <c r="G1266" t="s">
        <v>6031</v>
      </c>
      <c r="H1266" t="s">
        <v>6043</v>
      </c>
      <c r="I1266" t="s">
        <v>6052</v>
      </c>
      <c r="J1266" t="s">
        <v>6054</v>
      </c>
      <c r="K1266" t="s">
        <v>6059</v>
      </c>
      <c r="L1266" t="s">
        <v>7233</v>
      </c>
      <c r="M1266">
        <v>473.37</v>
      </c>
      <c r="N1266">
        <v>1</v>
      </c>
      <c r="O1266">
        <v>0.04</v>
      </c>
      <c r="P1266">
        <v>62.74</v>
      </c>
      <c r="Q1266" t="s">
        <v>9896</v>
      </c>
      <c r="R1266">
        <v>3</v>
      </c>
      <c r="S1266" s="5">
        <f t="shared" si="38"/>
        <v>0.13253902866679343</v>
      </c>
      <c r="T1266">
        <v>473.37</v>
      </c>
      <c r="U1266">
        <v>10</v>
      </c>
      <c r="V1266">
        <v>2022</v>
      </c>
      <c r="W1266">
        <v>4</v>
      </c>
      <c r="X1266" t="s">
        <v>9899</v>
      </c>
      <c r="Y1266" t="s">
        <v>9901</v>
      </c>
      <c r="Z1266" t="s">
        <v>9899</v>
      </c>
      <c r="AD1266">
        <f t="shared" si="39"/>
        <v>3</v>
      </c>
    </row>
    <row r="1267" spans="1:30" x14ac:dyDescent="0.25">
      <c r="A1267" t="s">
        <v>1291</v>
      </c>
      <c r="B1267" s="2">
        <v>45394</v>
      </c>
      <c r="C1267" s="2">
        <v>45395</v>
      </c>
      <c r="D1267" t="s">
        <v>5101</v>
      </c>
      <c r="E1267" t="s">
        <v>5601</v>
      </c>
      <c r="F1267" t="s">
        <v>6028</v>
      </c>
      <c r="G1267" t="s">
        <v>6029</v>
      </c>
      <c r="H1267" t="s">
        <v>6032</v>
      </c>
      <c r="I1267" t="s">
        <v>6049</v>
      </c>
      <c r="J1267" t="s">
        <v>6054</v>
      </c>
      <c r="K1267" t="s">
        <v>6059</v>
      </c>
      <c r="L1267" t="s">
        <v>7234</v>
      </c>
      <c r="M1267">
        <v>261.41000000000003</v>
      </c>
      <c r="N1267">
        <v>8</v>
      </c>
      <c r="O1267">
        <v>0.19</v>
      </c>
      <c r="P1267">
        <v>11.19</v>
      </c>
      <c r="Q1267" t="s">
        <v>9895</v>
      </c>
      <c r="R1267">
        <v>1</v>
      </c>
      <c r="S1267" s="5">
        <f t="shared" si="38"/>
        <v>4.2806319574614587E-2</v>
      </c>
      <c r="T1267">
        <v>32.676250000000003</v>
      </c>
      <c r="U1267">
        <v>4</v>
      </c>
      <c r="V1267">
        <v>2024</v>
      </c>
      <c r="W1267">
        <v>2</v>
      </c>
      <c r="X1267" t="s">
        <v>9899</v>
      </c>
      <c r="Y1267" t="s">
        <v>9900</v>
      </c>
      <c r="Z1267" t="s">
        <v>9899</v>
      </c>
      <c r="AD1267">
        <f t="shared" si="39"/>
        <v>1</v>
      </c>
    </row>
    <row r="1268" spans="1:30" x14ac:dyDescent="0.25">
      <c r="A1268" t="s">
        <v>1292</v>
      </c>
      <c r="B1268" s="2">
        <v>44910</v>
      </c>
      <c r="C1268" s="2">
        <v>44911</v>
      </c>
      <c r="D1268" t="s">
        <v>5492</v>
      </c>
      <c r="E1268" t="s">
        <v>5992</v>
      </c>
      <c r="F1268" t="s">
        <v>6028</v>
      </c>
      <c r="G1268" t="s">
        <v>6030</v>
      </c>
      <c r="H1268" t="s">
        <v>6035</v>
      </c>
      <c r="I1268" t="s">
        <v>6051</v>
      </c>
      <c r="J1268" t="s">
        <v>6054</v>
      </c>
      <c r="K1268" t="s">
        <v>6059</v>
      </c>
      <c r="L1268" t="s">
        <v>7235</v>
      </c>
      <c r="M1268">
        <v>1520.3</v>
      </c>
      <c r="N1268">
        <v>6</v>
      </c>
      <c r="O1268">
        <v>0.28999999999999998</v>
      </c>
      <c r="P1268">
        <v>-21.16</v>
      </c>
      <c r="Q1268" t="s">
        <v>9895</v>
      </c>
      <c r="R1268">
        <v>1</v>
      </c>
      <c r="S1268" s="5">
        <f t="shared" si="38"/>
        <v>-1.3918305597579426E-2</v>
      </c>
      <c r="T1268">
        <v>253.3833333333333</v>
      </c>
      <c r="U1268">
        <v>12</v>
      </c>
      <c r="V1268">
        <v>2022</v>
      </c>
      <c r="W1268">
        <v>4</v>
      </c>
      <c r="X1268" t="s">
        <v>9898</v>
      </c>
      <c r="Y1268" t="s">
        <v>9900</v>
      </c>
      <c r="Z1268" t="s">
        <v>9898</v>
      </c>
      <c r="AD1268">
        <f t="shared" si="39"/>
        <v>1</v>
      </c>
    </row>
    <row r="1269" spans="1:30" x14ac:dyDescent="0.25">
      <c r="A1269" t="s">
        <v>1293</v>
      </c>
      <c r="B1269" s="2">
        <v>44734</v>
      </c>
      <c r="C1269" s="2">
        <v>44736</v>
      </c>
      <c r="D1269" t="s">
        <v>5180</v>
      </c>
      <c r="E1269" t="s">
        <v>5680</v>
      </c>
      <c r="F1269" t="s">
        <v>6026</v>
      </c>
      <c r="G1269" t="s">
        <v>6031</v>
      </c>
      <c r="H1269" t="s">
        <v>6042</v>
      </c>
      <c r="I1269" t="s">
        <v>6048</v>
      </c>
      <c r="J1269" t="s">
        <v>6055</v>
      </c>
      <c r="K1269" t="s">
        <v>6064</v>
      </c>
      <c r="L1269" t="s">
        <v>7236</v>
      </c>
      <c r="M1269">
        <v>1370.67</v>
      </c>
      <c r="N1269">
        <v>2</v>
      </c>
      <c r="O1269">
        <v>0.25</v>
      </c>
      <c r="P1269">
        <v>-43.3</v>
      </c>
      <c r="Q1269" t="s">
        <v>9895</v>
      </c>
      <c r="R1269">
        <v>2</v>
      </c>
      <c r="S1269" s="5">
        <f t="shared" si="38"/>
        <v>-3.1590390101191385E-2</v>
      </c>
      <c r="T1269">
        <v>685.33500000000004</v>
      </c>
      <c r="U1269">
        <v>6</v>
      </c>
      <c r="V1269">
        <v>2022</v>
      </c>
      <c r="W1269">
        <v>2</v>
      </c>
      <c r="X1269" t="s">
        <v>9898</v>
      </c>
      <c r="Y1269" t="s">
        <v>9900</v>
      </c>
      <c r="Z1269" t="s">
        <v>9898</v>
      </c>
      <c r="AD1269">
        <f t="shared" si="39"/>
        <v>2</v>
      </c>
    </row>
    <row r="1270" spans="1:30" x14ac:dyDescent="0.25">
      <c r="A1270" t="s">
        <v>1294</v>
      </c>
      <c r="B1270" s="2">
        <v>45408</v>
      </c>
      <c r="C1270" s="2">
        <v>45413</v>
      </c>
      <c r="D1270" t="s">
        <v>5202</v>
      </c>
      <c r="E1270" t="s">
        <v>5702</v>
      </c>
      <c r="F1270" t="s">
        <v>6026</v>
      </c>
      <c r="G1270" t="s">
        <v>6031</v>
      </c>
      <c r="H1270" t="s">
        <v>6034</v>
      </c>
      <c r="I1270" t="s">
        <v>6052</v>
      </c>
      <c r="J1270" t="s">
        <v>6055</v>
      </c>
      <c r="K1270" t="s">
        <v>6061</v>
      </c>
      <c r="L1270" t="s">
        <v>7237</v>
      </c>
      <c r="M1270">
        <v>378.67</v>
      </c>
      <c r="N1270">
        <v>6</v>
      </c>
      <c r="O1270">
        <v>0.02</v>
      </c>
      <c r="P1270">
        <v>99.59</v>
      </c>
      <c r="Q1270" t="s">
        <v>9897</v>
      </c>
      <c r="R1270">
        <v>5</v>
      </c>
      <c r="S1270" s="5">
        <f t="shared" si="38"/>
        <v>0.26299944542741699</v>
      </c>
      <c r="T1270">
        <v>63.111666666666672</v>
      </c>
      <c r="U1270">
        <v>4</v>
      </c>
      <c r="V1270">
        <v>2024</v>
      </c>
      <c r="W1270">
        <v>2</v>
      </c>
      <c r="X1270" t="s">
        <v>9899</v>
      </c>
      <c r="Y1270" t="s">
        <v>9901</v>
      </c>
      <c r="Z1270" t="s">
        <v>9899</v>
      </c>
      <c r="AD1270">
        <f t="shared" si="39"/>
        <v>5</v>
      </c>
    </row>
    <row r="1271" spans="1:30" x14ac:dyDescent="0.25">
      <c r="A1271" t="s">
        <v>1295</v>
      </c>
      <c r="B1271" s="2">
        <v>45208</v>
      </c>
      <c r="C1271" s="2">
        <v>45212</v>
      </c>
      <c r="D1271" t="s">
        <v>5243</v>
      </c>
      <c r="E1271" t="s">
        <v>5743</v>
      </c>
      <c r="F1271" t="s">
        <v>6028</v>
      </c>
      <c r="G1271" t="s">
        <v>6029</v>
      </c>
      <c r="H1271" t="s">
        <v>6032</v>
      </c>
      <c r="I1271" t="s">
        <v>6050</v>
      </c>
      <c r="J1271" t="s">
        <v>6054</v>
      </c>
      <c r="K1271" t="s">
        <v>6062</v>
      </c>
      <c r="L1271" t="s">
        <v>7238</v>
      </c>
      <c r="M1271">
        <v>908.35</v>
      </c>
      <c r="N1271">
        <v>2</v>
      </c>
      <c r="O1271">
        <v>0.23</v>
      </c>
      <c r="P1271">
        <v>-46.64</v>
      </c>
      <c r="Q1271" t="s">
        <v>9897</v>
      </c>
      <c r="R1271">
        <v>4</v>
      </c>
      <c r="S1271" s="5">
        <f t="shared" si="38"/>
        <v>-5.1345846865195131E-2</v>
      </c>
      <c r="T1271">
        <v>454.17500000000001</v>
      </c>
      <c r="U1271">
        <v>10</v>
      </c>
      <c r="V1271">
        <v>2023</v>
      </c>
      <c r="W1271">
        <v>4</v>
      </c>
      <c r="X1271" t="s">
        <v>9898</v>
      </c>
      <c r="Y1271" t="s">
        <v>9900</v>
      </c>
      <c r="Z1271" t="s">
        <v>9899</v>
      </c>
      <c r="AD1271">
        <f t="shared" si="39"/>
        <v>4</v>
      </c>
    </row>
    <row r="1272" spans="1:30" x14ac:dyDescent="0.25">
      <c r="A1272" t="s">
        <v>1296</v>
      </c>
      <c r="B1272" s="2">
        <v>45442</v>
      </c>
      <c r="C1272" s="2">
        <v>45449</v>
      </c>
      <c r="D1272" t="s">
        <v>5166</v>
      </c>
      <c r="E1272" t="s">
        <v>5666</v>
      </c>
      <c r="F1272" t="s">
        <v>6026</v>
      </c>
      <c r="G1272" t="s">
        <v>6030</v>
      </c>
      <c r="H1272" t="s">
        <v>6033</v>
      </c>
      <c r="I1272" t="s">
        <v>6051</v>
      </c>
      <c r="J1272" t="s">
        <v>6053</v>
      </c>
      <c r="K1272" t="s">
        <v>6056</v>
      </c>
      <c r="L1272" t="s">
        <v>7239</v>
      </c>
      <c r="M1272">
        <v>342.3</v>
      </c>
      <c r="N1272">
        <v>2</v>
      </c>
      <c r="O1272">
        <v>0.35</v>
      </c>
      <c r="P1272">
        <v>-25.92</v>
      </c>
      <c r="Q1272" t="s">
        <v>9895</v>
      </c>
      <c r="R1272">
        <v>7</v>
      </c>
      <c r="S1272" s="5">
        <f t="shared" si="38"/>
        <v>-7.572304995617879E-2</v>
      </c>
      <c r="T1272">
        <v>171.15</v>
      </c>
      <c r="U1272">
        <v>5</v>
      </c>
      <c r="V1272">
        <v>2024</v>
      </c>
      <c r="W1272">
        <v>2</v>
      </c>
      <c r="X1272" t="s">
        <v>9898</v>
      </c>
      <c r="Y1272" t="s">
        <v>9902</v>
      </c>
      <c r="Z1272" t="s">
        <v>9899</v>
      </c>
      <c r="AD1272">
        <f t="shared" si="39"/>
        <v>7</v>
      </c>
    </row>
    <row r="1273" spans="1:30" x14ac:dyDescent="0.25">
      <c r="A1273" t="s">
        <v>1297</v>
      </c>
      <c r="B1273" s="2">
        <v>44848</v>
      </c>
      <c r="C1273" s="2">
        <v>44854</v>
      </c>
      <c r="D1273" t="s">
        <v>5131</v>
      </c>
      <c r="E1273" t="s">
        <v>5631</v>
      </c>
      <c r="F1273" t="s">
        <v>6028</v>
      </c>
      <c r="G1273" t="s">
        <v>6030</v>
      </c>
      <c r="H1273" t="s">
        <v>6039</v>
      </c>
      <c r="I1273" t="s">
        <v>6051</v>
      </c>
      <c r="J1273" t="s">
        <v>6055</v>
      </c>
      <c r="K1273" t="s">
        <v>6063</v>
      </c>
      <c r="L1273" t="s">
        <v>7240</v>
      </c>
      <c r="M1273">
        <v>1375.36</v>
      </c>
      <c r="N1273">
        <v>5</v>
      </c>
      <c r="O1273">
        <v>0.09</v>
      </c>
      <c r="P1273">
        <v>288.02999999999997</v>
      </c>
      <c r="Q1273" t="s">
        <v>9896</v>
      </c>
      <c r="R1273">
        <v>6</v>
      </c>
      <c r="S1273" s="5">
        <f t="shared" si="38"/>
        <v>0.20942153327128896</v>
      </c>
      <c r="T1273">
        <v>275.072</v>
      </c>
      <c r="U1273">
        <v>10</v>
      </c>
      <c r="V1273">
        <v>2022</v>
      </c>
      <c r="W1273">
        <v>4</v>
      </c>
      <c r="X1273" t="s">
        <v>9899</v>
      </c>
      <c r="Y1273" t="s">
        <v>9901</v>
      </c>
      <c r="Z1273" t="s">
        <v>9898</v>
      </c>
      <c r="AD1273">
        <f t="shared" si="39"/>
        <v>6</v>
      </c>
    </row>
    <row r="1274" spans="1:30" x14ac:dyDescent="0.25">
      <c r="A1274" t="s">
        <v>1298</v>
      </c>
      <c r="B1274" s="2">
        <v>45209</v>
      </c>
      <c r="C1274" s="2">
        <v>45212</v>
      </c>
      <c r="D1274" t="s">
        <v>5042</v>
      </c>
      <c r="E1274" t="s">
        <v>5542</v>
      </c>
      <c r="F1274" t="s">
        <v>6026</v>
      </c>
      <c r="G1274" t="s">
        <v>6031</v>
      </c>
      <c r="H1274" t="s">
        <v>6037</v>
      </c>
      <c r="I1274" t="s">
        <v>6048</v>
      </c>
      <c r="J1274" t="s">
        <v>6055</v>
      </c>
      <c r="K1274" t="s">
        <v>6064</v>
      </c>
      <c r="L1274" t="s">
        <v>7241</v>
      </c>
      <c r="M1274">
        <v>1999.55</v>
      </c>
      <c r="N1274">
        <v>7</v>
      </c>
      <c r="O1274">
        <v>0.31</v>
      </c>
      <c r="P1274">
        <v>-94.26</v>
      </c>
      <c r="Q1274" t="s">
        <v>9894</v>
      </c>
      <c r="R1274">
        <v>3</v>
      </c>
      <c r="S1274" s="5">
        <f t="shared" si="38"/>
        <v>-4.7140606636493214E-2</v>
      </c>
      <c r="T1274">
        <v>285.64999999999998</v>
      </c>
      <c r="U1274">
        <v>10</v>
      </c>
      <c r="V1274">
        <v>2023</v>
      </c>
      <c r="W1274">
        <v>4</v>
      </c>
      <c r="X1274" t="s">
        <v>9898</v>
      </c>
      <c r="Y1274" t="s">
        <v>9902</v>
      </c>
      <c r="Z1274" t="s">
        <v>9898</v>
      </c>
      <c r="AD1274">
        <f t="shared" si="39"/>
        <v>3</v>
      </c>
    </row>
    <row r="1275" spans="1:30" x14ac:dyDescent="0.25">
      <c r="A1275" t="s">
        <v>1299</v>
      </c>
      <c r="B1275" s="2">
        <v>45173</v>
      </c>
      <c r="C1275" s="2">
        <v>45180</v>
      </c>
      <c r="D1275" t="s">
        <v>5461</v>
      </c>
      <c r="E1275" t="s">
        <v>5961</v>
      </c>
      <c r="F1275" t="s">
        <v>6028</v>
      </c>
      <c r="G1275" t="s">
        <v>6030</v>
      </c>
      <c r="H1275" t="s">
        <v>6039</v>
      </c>
      <c r="I1275" t="s">
        <v>6047</v>
      </c>
      <c r="J1275" t="s">
        <v>6054</v>
      </c>
      <c r="K1275" t="s">
        <v>6062</v>
      </c>
      <c r="L1275" t="s">
        <v>7242</v>
      </c>
      <c r="M1275">
        <v>561.39</v>
      </c>
      <c r="N1275">
        <v>8</v>
      </c>
      <c r="O1275">
        <v>0.1</v>
      </c>
      <c r="P1275">
        <v>91.65</v>
      </c>
      <c r="Q1275" t="s">
        <v>9895</v>
      </c>
      <c r="R1275">
        <v>7</v>
      </c>
      <c r="S1275" s="5">
        <f t="shared" si="38"/>
        <v>0.16325549083524823</v>
      </c>
      <c r="T1275">
        <v>70.173749999999998</v>
      </c>
      <c r="U1275">
        <v>9</v>
      </c>
      <c r="V1275">
        <v>2023</v>
      </c>
      <c r="W1275">
        <v>3</v>
      </c>
      <c r="X1275" t="s">
        <v>9899</v>
      </c>
      <c r="Y1275" t="s">
        <v>9901</v>
      </c>
      <c r="Z1275" t="s">
        <v>9899</v>
      </c>
      <c r="AD1275">
        <f t="shared" si="39"/>
        <v>7</v>
      </c>
    </row>
    <row r="1276" spans="1:30" x14ac:dyDescent="0.25">
      <c r="A1276" t="s">
        <v>1300</v>
      </c>
      <c r="B1276" s="2">
        <v>45279</v>
      </c>
      <c r="C1276" s="2">
        <v>45283</v>
      </c>
      <c r="D1276" t="s">
        <v>5284</v>
      </c>
      <c r="E1276" t="s">
        <v>5784</v>
      </c>
      <c r="F1276" t="s">
        <v>6027</v>
      </c>
      <c r="G1276" t="s">
        <v>6030</v>
      </c>
      <c r="H1276" t="s">
        <v>6039</v>
      </c>
      <c r="I1276" t="s">
        <v>6051</v>
      </c>
      <c r="J1276" t="s">
        <v>6055</v>
      </c>
      <c r="K1276" t="s">
        <v>6061</v>
      </c>
      <c r="L1276" t="s">
        <v>7243</v>
      </c>
      <c r="M1276">
        <v>1315.59</v>
      </c>
      <c r="N1276">
        <v>2</v>
      </c>
      <c r="O1276">
        <v>0.22</v>
      </c>
      <c r="P1276">
        <v>21.28</v>
      </c>
      <c r="Q1276" t="s">
        <v>9894</v>
      </c>
      <c r="R1276">
        <v>4</v>
      </c>
      <c r="S1276" s="5">
        <f t="shared" si="38"/>
        <v>1.6175252168228706E-2</v>
      </c>
      <c r="T1276">
        <v>657.79499999999996</v>
      </c>
      <c r="U1276">
        <v>12</v>
      </c>
      <c r="V1276">
        <v>2023</v>
      </c>
      <c r="W1276">
        <v>4</v>
      </c>
      <c r="X1276" t="s">
        <v>9899</v>
      </c>
      <c r="Y1276" t="s">
        <v>9900</v>
      </c>
      <c r="Z1276" t="s">
        <v>9898</v>
      </c>
      <c r="AD1276">
        <f t="shared" si="39"/>
        <v>4</v>
      </c>
    </row>
    <row r="1277" spans="1:30" x14ac:dyDescent="0.25">
      <c r="A1277" t="s">
        <v>1301</v>
      </c>
      <c r="B1277" s="2">
        <v>45063</v>
      </c>
      <c r="C1277" s="2">
        <v>45068</v>
      </c>
      <c r="D1277" t="s">
        <v>5366</v>
      </c>
      <c r="E1277" t="s">
        <v>5866</v>
      </c>
      <c r="F1277" t="s">
        <v>6026</v>
      </c>
      <c r="G1277" t="s">
        <v>6029</v>
      </c>
      <c r="H1277" t="s">
        <v>6036</v>
      </c>
      <c r="I1277" t="s">
        <v>6050</v>
      </c>
      <c r="J1277" t="s">
        <v>6053</v>
      </c>
      <c r="K1277" t="s">
        <v>6058</v>
      </c>
      <c r="L1277" t="s">
        <v>7244</v>
      </c>
      <c r="M1277">
        <v>1197.69</v>
      </c>
      <c r="N1277">
        <v>3</v>
      </c>
      <c r="O1277">
        <v>0.33</v>
      </c>
      <c r="P1277">
        <v>-147.35</v>
      </c>
      <c r="Q1277" t="s">
        <v>9895</v>
      </c>
      <c r="R1277">
        <v>5</v>
      </c>
      <c r="S1277" s="5">
        <f t="shared" si="38"/>
        <v>-0.12302849652247241</v>
      </c>
      <c r="T1277">
        <v>399.23</v>
      </c>
      <c r="U1277">
        <v>5</v>
      </c>
      <c r="V1277">
        <v>2023</v>
      </c>
      <c r="W1277">
        <v>2</v>
      </c>
      <c r="X1277" t="s">
        <v>9898</v>
      </c>
      <c r="Y1277" t="s">
        <v>9902</v>
      </c>
      <c r="Z1277" t="s">
        <v>9898</v>
      </c>
      <c r="AD1277">
        <f t="shared" si="39"/>
        <v>5</v>
      </c>
    </row>
    <row r="1278" spans="1:30" x14ac:dyDescent="0.25">
      <c r="A1278" t="s">
        <v>1302</v>
      </c>
      <c r="B1278" s="2">
        <v>45407</v>
      </c>
      <c r="C1278" s="2">
        <v>45408</v>
      </c>
      <c r="D1278" t="s">
        <v>5191</v>
      </c>
      <c r="E1278" t="s">
        <v>5691</v>
      </c>
      <c r="F1278" t="s">
        <v>6028</v>
      </c>
      <c r="G1278" t="s">
        <v>6031</v>
      </c>
      <c r="H1278" t="s">
        <v>6040</v>
      </c>
      <c r="I1278" t="s">
        <v>6048</v>
      </c>
      <c r="J1278" t="s">
        <v>6053</v>
      </c>
      <c r="K1278" t="s">
        <v>6057</v>
      </c>
      <c r="L1278" t="s">
        <v>7245</v>
      </c>
      <c r="M1278">
        <v>323.44</v>
      </c>
      <c r="N1278">
        <v>4</v>
      </c>
      <c r="O1278">
        <v>0.31</v>
      </c>
      <c r="P1278">
        <v>-18.059999999999999</v>
      </c>
      <c r="Q1278" t="s">
        <v>9895</v>
      </c>
      <c r="R1278">
        <v>1</v>
      </c>
      <c r="S1278" s="5">
        <f t="shared" si="38"/>
        <v>-5.5837249567153101E-2</v>
      </c>
      <c r="T1278">
        <v>80.86</v>
      </c>
      <c r="U1278">
        <v>4</v>
      </c>
      <c r="V1278">
        <v>2024</v>
      </c>
      <c r="W1278">
        <v>2</v>
      </c>
      <c r="X1278" t="s">
        <v>9898</v>
      </c>
      <c r="Y1278" t="s">
        <v>9902</v>
      </c>
      <c r="Z1278" t="s">
        <v>9899</v>
      </c>
      <c r="AD1278">
        <f t="shared" si="39"/>
        <v>1</v>
      </c>
    </row>
    <row r="1279" spans="1:30" x14ac:dyDescent="0.25">
      <c r="A1279" t="s">
        <v>1303</v>
      </c>
      <c r="B1279" s="2">
        <v>45119</v>
      </c>
      <c r="C1279" s="2">
        <v>45122</v>
      </c>
      <c r="D1279" t="s">
        <v>5125</v>
      </c>
      <c r="E1279" t="s">
        <v>5625</v>
      </c>
      <c r="F1279" t="s">
        <v>6028</v>
      </c>
      <c r="G1279" t="s">
        <v>6031</v>
      </c>
      <c r="H1279" t="s">
        <v>6040</v>
      </c>
      <c r="I1279" t="s">
        <v>6048</v>
      </c>
      <c r="J1279" t="s">
        <v>6055</v>
      </c>
      <c r="K1279" t="s">
        <v>6063</v>
      </c>
      <c r="L1279" t="s">
        <v>7246</v>
      </c>
      <c r="M1279">
        <v>635.85</v>
      </c>
      <c r="N1279">
        <v>2</v>
      </c>
      <c r="O1279">
        <v>0.14000000000000001</v>
      </c>
      <c r="P1279">
        <v>45.91</v>
      </c>
      <c r="Q1279" t="s">
        <v>9895</v>
      </c>
      <c r="R1279">
        <v>3</v>
      </c>
      <c r="S1279" s="5">
        <f t="shared" si="38"/>
        <v>7.2202563497680269E-2</v>
      </c>
      <c r="T1279">
        <v>317.92500000000001</v>
      </c>
      <c r="U1279">
        <v>7</v>
      </c>
      <c r="V1279">
        <v>2023</v>
      </c>
      <c r="W1279">
        <v>3</v>
      </c>
      <c r="X1279" t="s">
        <v>9899</v>
      </c>
      <c r="Y1279" t="s">
        <v>9901</v>
      </c>
      <c r="Z1279" t="s">
        <v>9899</v>
      </c>
      <c r="AD1279">
        <f t="shared" si="39"/>
        <v>3</v>
      </c>
    </row>
    <row r="1280" spans="1:30" x14ac:dyDescent="0.25">
      <c r="A1280" t="s">
        <v>1304</v>
      </c>
      <c r="B1280" s="2">
        <v>44790</v>
      </c>
      <c r="C1280" s="2">
        <v>44796</v>
      </c>
      <c r="D1280" t="s">
        <v>5326</v>
      </c>
      <c r="E1280" t="s">
        <v>5826</v>
      </c>
      <c r="F1280" t="s">
        <v>6028</v>
      </c>
      <c r="G1280" t="s">
        <v>6029</v>
      </c>
      <c r="H1280" t="s">
        <v>6032</v>
      </c>
      <c r="I1280" t="s">
        <v>6049</v>
      </c>
      <c r="J1280" t="s">
        <v>6054</v>
      </c>
      <c r="K1280" t="s">
        <v>6059</v>
      </c>
      <c r="L1280" t="s">
        <v>7247</v>
      </c>
      <c r="M1280">
        <v>1964.08</v>
      </c>
      <c r="N1280">
        <v>3</v>
      </c>
      <c r="O1280">
        <v>0.23</v>
      </c>
      <c r="P1280">
        <v>31.99</v>
      </c>
      <c r="Q1280" t="s">
        <v>9893</v>
      </c>
      <c r="R1280">
        <v>6</v>
      </c>
      <c r="S1280" s="5">
        <f t="shared" si="38"/>
        <v>1.6287523929778829E-2</v>
      </c>
      <c r="T1280">
        <v>654.69333333333327</v>
      </c>
      <c r="U1280">
        <v>8</v>
      </c>
      <c r="V1280">
        <v>2022</v>
      </c>
      <c r="W1280">
        <v>3</v>
      </c>
      <c r="X1280" t="s">
        <v>9899</v>
      </c>
      <c r="Y1280" t="s">
        <v>9900</v>
      </c>
      <c r="Z1280" t="s">
        <v>9898</v>
      </c>
      <c r="AD1280">
        <f t="shared" si="39"/>
        <v>6</v>
      </c>
    </row>
    <row r="1281" spans="1:30" x14ac:dyDescent="0.25">
      <c r="A1281" t="s">
        <v>1305</v>
      </c>
      <c r="B1281" s="2">
        <v>44619</v>
      </c>
      <c r="C1281" s="2">
        <v>44623</v>
      </c>
      <c r="D1281" t="s">
        <v>5384</v>
      </c>
      <c r="E1281" t="s">
        <v>5884</v>
      </c>
      <c r="F1281" t="s">
        <v>6026</v>
      </c>
      <c r="G1281" t="s">
        <v>6029</v>
      </c>
      <c r="H1281" t="s">
        <v>6045</v>
      </c>
      <c r="I1281" t="s">
        <v>6046</v>
      </c>
      <c r="J1281" t="s">
        <v>6053</v>
      </c>
      <c r="K1281" t="s">
        <v>6058</v>
      </c>
      <c r="L1281" t="s">
        <v>7248</v>
      </c>
      <c r="M1281">
        <v>1258.06</v>
      </c>
      <c r="N1281">
        <v>3</v>
      </c>
      <c r="O1281">
        <v>0.19</v>
      </c>
      <c r="P1281">
        <v>-87.21</v>
      </c>
      <c r="Q1281" t="s">
        <v>9893</v>
      </c>
      <c r="R1281">
        <v>4</v>
      </c>
      <c r="S1281" s="5">
        <f t="shared" si="38"/>
        <v>-6.9321018075449506E-2</v>
      </c>
      <c r="T1281">
        <v>419.3533333333333</v>
      </c>
      <c r="U1281">
        <v>2</v>
      </c>
      <c r="V1281">
        <v>2022</v>
      </c>
      <c r="W1281">
        <v>1</v>
      </c>
      <c r="X1281" t="s">
        <v>9898</v>
      </c>
      <c r="Y1281" t="s">
        <v>9900</v>
      </c>
      <c r="Z1281" t="s">
        <v>9898</v>
      </c>
      <c r="AD1281">
        <f t="shared" si="39"/>
        <v>4</v>
      </c>
    </row>
    <row r="1282" spans="1:30" x14ac:dyDescent="0.25">
      <c r="A1282" t="s">
        <v>1306</v>
      </c>
      <c r="B1282" s="2">
        <v>44796</v>
      </c>
      <c r="C1282" s="2">
        <v>44798</v>
      </c>
      <c r="D1282" t="s">
        <v>5493</v>
      </c>
      <c r="E1282" t="s">
        <v>5993</v>
      </c>
      <c r="F1282" t="s">
        <v>6027</v>
      </c>
      <c r="G1282" t="s">
        <v>6030</v>
      </c>
      <c r="H1282" t="s">
        <v>6033</v>
      </c>
      <c r="I1282" t="s">
        <v>6047</v>
      </c>
      <c r="J1282" t="s">
        <v>6054</v>
      </c>
      <c r="K1282" t="s">
        <v>6060</v>
      </c>
      <c r="L1282" t="s">
        <v>6307</v>
      </c>
      <c r="M1282">
        <v>778.79</v>
      </c>
      <c r="N1282">
        <v>7</v>
      </c>
      <c r="O1282">
        <v>0.2</v>
      </c>
      <c r="P1282">
        <v>-56.6</v>
      </c>
      <c r="Q1282" t="s">
        <v>9897</v>
      </c>
      <c r="R1282">
        <v>2</v>
      </c>
      <c r="S1282" s="5">
        <f t="shared" si="38"/>
        <v>-7.2676844849060729E-2</v>
      </c>
      <c r="T1282">
        <v>111.2557142857143</v>
      </c>
      <c r="U1282">
        <v>8</v>
      </c>
      <c r="V1282">
        <v>2022</v>
      </c>
      <c r="W1282">
        <v>3</v>
      </c>
      <c r="X1282" t="s">
        <v>9898</v>
      </c>
      <c r="Y1282" t="s">
        <v>9900</v>
      </c>
      <c r="Z1282" t="s">
        <v>9899</v>
      </c>
      <c r="AD1282">
        <f t="shared" si="39"/>
        <v>2</v>
      </c>
    </row>
    <row r="1283" spans="1:30" x14ac:dyDescent="0.25">
      <c r="A1283" t="s">
        <v>1307</v>
      </c>
      <c r="B1283" s="2">
        <v>45134</v>
      </c>
      <c r="C1283" s="2">
        <v>45141</v>
      </c>
      <c r="D1283" t="s">
        <v>5494</v>
      </c>
      <c r="E1283" t="s">
        <v>5994</v>
      </c>
      <c r="F1283" t="s">
        <v>6028</v>
      </c>
      <c r="G1283" t="s">
        <v>6030</v>
      </c>
      <c r="H1283" t="s">
        <v>6039</v>
      </c>
      <c r="I1283" t="s">
        <v>6051</v>
      </c>
      <c r="J1283" t="s">
        <v>6054</v>
      </c>
      <c r="K1283" t="s">
        <v>6060</v>
      </c>
      <c r="L1283" t="s">
        <v>7249</v>
      </c>
      <c r="M1283">
        <v>531.69000000000005</v>
      </c>
      <c r="N1283">
        <v>2</v>
      </c>
      <c r="O1283">
        <v>0.14000000000000001</v>
      </c>
      <c r="P1283">
        <v>-19.79</v>
      </c>
      <c r="Q1283" t="s">
        <v>9894</v>
      </c>
      <c r="R1283">
        <v>7</v>
      </c>
      <c r="S1283" s="5">
        <f t="shared" ref="S1283:S1346" si="40">P1283/M1283</f>
        <v>-3.7220937012168741E-2</v>
      </c>
      <c r="T1283">
        <v>265.84500000000003</v>
      </c>
      <c r="U1283">
        <v>7</v>
      </c>
      <c r="V1283">
        <v>2023</v>
      </c>
      <c r="W1283">
        <v>3</v>
      </c>
      <c r="X1283" t="s">
        <v>9898</v>
      </c>
      <c r="Y1283" t="s">
        <v>9901</v>
      </c>
      <c r="Z1283" t="s">
        <v>9899</v>
      </c>
      <c r="AD1283">
        <f t="shared" ref="AD1283:AD1346" si="41">C1283-B1283</f>
        <v>7</v>
      </c>
    </row>
    <row r="1284" spans="1:30" x14ac:dyDescent="0.25">
      <c r="A1284" t="s">
        <v>1308</v>
      </c>
      <c r="B1284" s="2">
        <v>44701</v>
      </c>
      <c r="C1284" s="2">
        <v>44702</v>
      </c>
      <c r="D1284" t="s">
        <v>5480</v>
      </c>
      <c r="E1284" t="s">
        <v>5980</v>
      </c>
      <c r="F1284" t="s">
        <v>6027</v>
      </c>
      <c r="G1284" t="s">
        <v>6029</v>
      </c>
      <c r="H1284" t="s">
        <v>6032</v>
      </c>
      <c r="I1284" t="s">
        <v>6050</v>
      </c>
      <c r="J1284" t="s">
        <v>6054</v>
      </c>
      <c r="K1284" t="s">
        <v>6059</v>
      </c>
      <c r="L1284" t="s">
        <v>7250</v>
      </c>
      <c r="M1284">
        <v>925.7</v>
      </c>
      <c r="N1284">
        <v>1</v>
      </c>
      <c r="O1284">
        <v>0.05</v>
      </c>
      <c r="P1284">
        <v>92</v>
      </c>
      <c r="Q1284" t="s">
        <v>9894</v>
      </c>
      <c r="R1284">
        <v>1</v>
      </c>
      <c r="S1284" s="5">
        <f t="shared" si="40"/>
        <v>9.9384249756940685E-2</v>
      </c>
      <c r="T1284">
        <v>925.7</v>
      </c>
      <c r="U1284">
        <v>5</v>
      </c>
      <c r="V1284">
        <v>2022</v>
      </c>
      <c r="W1284">
        <v>2</v>
      </c>
      <c r="X1284" t="s">
        <v>9899</v>
      </c>
      <c r="Y1284" t="s">
        <v>9901</v>
      </c>
      <c r="Z1284" t="s">
        <v>9899</v>
      </c>
      <c r="AD1284">
        <f t="shared" si="41"/>
        <v>1</v>
      </c>
    </row>
    <row r="1285" spans="1:30" x14ac:dyDescent="0.25">
      <c r="A1285" t="s">
        <v>1309</v>
      </c>
      <c r="B1285" s="2">
        <v>44828</v>
      </c>
      <c r="C1285" s="2">
        <v>44829</v>
      </c>
      <c r="D1285" t="s">
        <v>5409</v>
      </c>
      <c r="E1285" t="s">
        <v>5909</v>
      </c>
      <c r="F1285" t="s">
        <v>6028</v>
      </c>
      <c r="G1285" t="s">
        <v>6030</v>
      </c>
      <c r="H1285" t="s">
        <v>6033</v>
      </c>
      <c r="I1285" t="s">
        <v>6047</v>
      </c>
      <c r="J1285" t="s">
        <v>6055</v>
      </c>
      <c r="K1285" t="s">
        <v>6064</v>
      </c>
      <c r="L1285" t="s">
        <v>7251</v>
      </c>
      <c r="M1285">
        <v>1045.76</v>
      </c>
      <c r="N1285">
        <v>1</v>
      </c>
      <c r="O1285">
        <v>0.01</v>
      </c>
      <c r="P1285">
        <v>277.06</v>
      </c>
      <c r="Q1285" t="s">
        <v>9893</v>
      </c>
      <c r="R1285">
        <v>1</v>
      </c>
      <c r="S1285" s="5">
        <f t="shared" si="40"/>
        <v>0.26493650550795594</v>
      </c>
      <c r="T1285">
        <v>1045.76</v>
      </c>
      <c r="U1285">
        <v>9</v>
      </c>
      <c r="V1285">
        <v>2022</v>
      </c>
      <c r="W1285">
        <v>3</v>
      </c>
      <c r="X1285" t="s">
        <v>9899</v>
      </c>
      <c r="Y1285" t="s">
        <v>9901</v>
      </c>
      <c r="Z1285" t="s">
        <v>9898</v>
      </c>
      <c r="AD1285">
        <f t="shared" si="41"/>
        <v>1</v>
      </c>
    </row>
    <row r="1286" spans="1:30" x14ac:dyDescent="0.25">
      <c r="A1286" t="s">
        <v>1310</v>
      </c>
      <c r="B1286" s="2">
        <v>45382</v>
      </c>
      <c r="C1286" s="2">
        <v>45386</v>
      </c>
      <c r="D1286" t="s">
        <v>5275</v>
      </c>
      <c r="E1286" t="s">
        <v>5775</v>
      </c>
      <c r="F1286" t="s">
        <v>6028</v>
      </c>
      <c r="G1286" t="s">
        <v>6030</v>
      </c>
      <c r="H1286" t="s">
        <v>6038</v>
      </c>
      <c r="I1286" t="s">
        <v>6051</v>
      </c>
      <c r="J1286" t="s">
        <v>6055</v>
      </c>
      <c r="K1286" t="s">
        <v>6061</v>
      </c>
      <c r="L1286" t="s">
        <v>7252</v>
      </c>
      <c r="M1286">
        <v>1864.49</v>
      </c>
      <c r="N1286">
        <v>8</v>
      </c>
      <c r="O1286">
        <v>0.21</v>
      </c>
      <c r="P1286">
        <v>-22.42</v>
      </c>
      <c r="Q1286" t="s">
        <v>9897</v>
      </c>
      <c r="R1286">
        <v>4</v>
      </c>
      <c r="S1286" s="5">
        <f t="shared" si="40"/>
        <v>-1.2024735986784591E-2</v>
      </c>
      <c r="T1286">
        <v>233.06125</v>
      </c>
      <c r="U1286">
        <v>3</v>
      </c>
      <c r="V1286">
        <v>2024</v>
      </c>
      <c r="W1286">
        <v>1</v>
      </c>
      <c r="X1286" t="s">
        <v>9898</v>
      </c>
      <c r="Y1286" t="s">
        <v>9900</v>
      </c>
      <c r="Z1286" t="s">
        <v>9898</v>
      </c>
      <c r="AD1286">
        <f t="shared" si="41"/>
        <v>4</v>
      </c>
    </row>
    <row r="1287" spans="1:30" x14ac:dyDescent="0.25">
      <c r="A1287" t="s">
        <v>1311</v>
      </c>
      <c r="B1287" s="2">
        <v>45141</v>
      </c>
      <c r="C1287" s="2">
        <v>45145</v>
      </c>
      <c r="D1287" t="s">
        <v>5419</v>
      </c>
      <c r="E1287" t="s">
        <v>5919</v>
      </c>
      <c r="F1287" t="s">
        <v>6027</v>
      </c>
      <c r="G1287" t="s">
        <v>6029</v>
      </c>
      <c r="H1287" t="s">
        <v>6036</v>
      </c>
      <c r="I1287" t="s">
        <v>6050</v>
      </c>
      <c r="J1287" t="s">
        <v>6054</v>
      </c>
      <c r="K1287" t="s">
        <v>6060</v>
      </c>
      <c r="L1287" t="s">
        <v>7253</v>
      </c>
      <c r="M1287">
        <v>1506.64</v>
      </c>
      <c r="N1287">
        <v>5</v>
      </c>
      <c r="O1287">
        <v>0.14000000000000001</v>
      </c>
      <c r="P1287">
        <v>140.61000000000001</v>
      </c>
      <c r="Q1287" t="s">
        <v>9893</v>
      </c>
      <c r="R1287">
        <v>4</v>
      </c>
      <c r="S1287" s="5">
        <f t="shared" si="40"/>
        <v>9.3326873042000741E-2</v>
      </c>
      <c r="T1287">
        <v>301.32799999999997</v>
      </c>
      <c r="U1287">
        <v>8</v>
      </c>
      <c r="V1287">
        <v>2023</v>
      </c>
      <c r="W1287">
        <v>3</v>
      </c>
      <c r="X1287" t="s">
        <v>9899</v>
      </c>
      <c r="Y1287" t="s">
        <v>9901</v>
      </c>
      <c r="Z1287" t="s">
        <v>9898</v>
      </c>
      <c r="AD1287">
        <f t="shared" si="41"/>
        <v>4</v>
      </c>
    </row>
    <row r="1288" spans="1:30" x14ac:dyDescent="0.25">
      <c r="A1288" t="s">
        <v>1312</v>
      </c>
      <c r="B1288" s="2">
        <v>45303</v>
      </c>
      <c r="C1288" s="2">
        <v>45306</v>
      </c>
      <c r="D1288" t="s">
        <v>5412</v>
      </c>
      <c r="E1288" t="s">
        <v>5912</v>
      </c>
      <c r="F1288" t="s">
        <v>6026</v>
      </c>
      <c r="G1288" t="s">
        <v>6029</v>
      </c>
      <c r="H1288" t="s">
        <v>6036</v>
      </c>
      <c r="I1288" t="s">
        <v>6046</v>
      </c>
      <c r="J1288" t="s">
        <v>6055</v>
      </c>
      <c r="K1288" t="s">
        <v>6064</v>
      </c>
      <c r="L1288" t="s">
        <v>7254</v>
      </c>
      <c r="M1288">
        <v>1304.82</v>
      </c>
      <c r="N1288">
        <v>5</v>
      </c>
      <c r="O1288">
        <v>0.23</v>
      </c>
      <c r="P1288">
        <v>-92.32</v>
      </c>
      <c r="Q1288" t="s">
        <v>9893</v>
      </c>
      <c r="R1288">
        <v>3</v>
      </c>
      <c r="S1288" s="5">
        <f t="shared" si="40"/>
        <v>-7.0753054061096554E-2</v>
      </c>
      <c r="T1288">
        <v>260.964</v>
      </c>
      <c r="U1288">
        <v>1</v>
      </c>
      <c r="V1288">
        <v>2024</v>
      </c>
      <c r="W1288">
        <v>1</v>
      </c>
      <c r="X1288" t="s">
        <v>9898</v>
      </c>
      <c r="Y1288" t="s">
        <v>9900</v>
      </c>
      <c r="Z1288" t="s">
        <v>9898</v>
      </c>
      <c r="AD1288">
        <f t="shared" si="41"/>
        <v>3</v>
      </c>
    </row>
    <row r="1289" spans="1:30" x14ac:dyDescent="0.25">
      <c r="A1289" t="s">
        <v>1313</v>
      </c>
      <c r="B1289" s="2">
        <v>44619</v>
      </c>
      <c r="C1289" s="2">
        <v>44625</v>
      </c>
      <c r="D1289" t="s">
        <v>5464</v>
      </c>
      <c r="E1289" t="s">
        <v>5964</v>
      </c>
      <c r="F1289" t="s">
        <v>6028</v>
      </c>
      <c r="G1289" t="s">
        <v>6029</v>
      </c>
      <c r="H1289" t="s">
        <v>6044</v>
      </c>
      <c r="I1289" t="s">
        <v>6049</v>
      </c>
      <c r="J1289" t="s">
        <v>6055</v>
      </c>
      <c r="K1289" t="s">
        <v>6064</v>
      </c>
      <c r="L1289" t="s">
        <v>7255</v>
      </c>
      <c r="M1289">
        <v>1497.72</v>
      </c>
      <c r="N1289">
        <v>8</v>
      </c>
      <c r="O1289">
        <v>0.23</v>
      </c>
      <c r="P1289">
        <v>-9.8800000000000008</v>
      </c>
      <c r="Q1289" t="s">
        <v>9896</v>
      </c>
      <c r="R1289">
        <v>6</v>
      </c>
      <c r="S1289" s="5">
        <f t="shared" si="40"/>
        <v>-6.5966936410009882E-3</v>
      </c>
      <c r="T1289">
        <v>187.215</v>
      </c>
      <c r="U1289">
        <v>2</v>
      </c>
      <c r="V1289">
        <v>2022</v>
      </c>
      <c r="W1289">
        <v>1</v>
      </c>
      <c r="X1289" t="s">
        <v>9898</v>
      </c>
      <c r="Y1289" t="s">
        <v>9900</v>
      </c>
      <c r="Z1289" t="s">
        <v>9898</v>
      </c>
      <c r="AD1289">
        <f t="shared" si="41"/>
        <v>6</v>
      </c>
    </row>
    <row r="1290" spans="1:30" x14ac:dyDescent="0.25">
      <c r="A1290" t="s">
        <v>1314</v>
      </c>
      <c r="B1290" s="2">
        <v>45099</v>
      </c>
      <c r="C1290" s="2">
        <v>45100</v>
      </c>
      <c r="D1290" t="s">
        <v>5285</v>
      </c>
      <c r="E1290" t="s">
        <v>5785</v>
      </c>
      <c r="F1290" t="s">
        <v>6026</v>
      </c>
      <c r="G1290" t="s">
        <v>6029</v>
      </c>
      <c r="H1290" t="s">
        <v>6036</v>
      </c>
      <c r="I1290" t="s">
        <v>6046</v>
      </c>
      <c r="J1290" t="s">
        <v>6055</v>
      </c>
      <c r="K1290" t="s">
        <v>6061</v>
      </c>
      <c r="L1290" t="s">
        <v>7256</v>
      </c>
      <c r="M1290">
        <v>494.5</v>
      </c>
      <c r="N1290">
        <v>2</v>
      </c>
      <c r="O1290">
        <v>0.35</v>
      </c>
      <c r="P1290">
        <v>-64.849999999999994</v>
      </c>
      <c r="Q1290" t="s">
        <v>9894</v>
      </c>
      <c r="R1290">
        <v>1</v>
      </c>
      <c r="S1290" s="5">
        <f t="shared" si="40"/>
        <v>-0.13114256825075832</v>
      </c>
      <c r="T1290">
        <v>247.25</v>
      </c>
      <c r="U1290">
        <v>6</v>
      </c>
      <c r="V1290">
        <v>2023</v>
      </c>
      <c r="W1290">
        <v>2</v>
      </c>
      <c r="X1290" t="s">
        <v>9898</v>
      </c>
      <c r="Y1290" t="s">
        <v>9902</v>
      </c>
      <c r="Z1290" t="s">
        <v>9899</v>
      </c>
      <c r="AD1290">
        <f t="shared" si="41"/>
        <v>1</v>
      </c>
    </row>
    <row r="1291" spans="1:30" x14ac:dyDescent="0.25">
      <c r="A1291" t="s">
        <v>1315</v>
      </c>
      <c r="B1291" s="2">
        <v>44853</v>
      </c>
      <c r="C1291" s="2">
        <v>44859</v>
      </c>
      <c r="D1291" t="s">
        <v>5125</v>
      </c>
      <c r="E1291" t="s">
        <v>5625</v>
      </c>
      <c r="F1291" t="s">
        <v>6027</v>
      </c>
      <c r="G1291" t="s">
        <v>6031</v>
      </c>
      <c r="H1291" t="s">
        <v>6037</v>
      </c>
      <c r="I1291" t="s">
        <v>6050</v>
      </c>
      <c r="J1291" t="s">
        <v>6055</v>
      </c>
      <c r="K1291" t="s">
        <v>6063</v>
      </c>
      <c r="L1291" t="s">
        <v>7257</v>
      </c>
      <c r="M1291">
        <v>603.37</v>
      </c>
      <c r="N1291">
        <v>8</v>
      </c>
      <c r="O1291">
        <v>0.03</v>
      </c>
      <c r="P1291">
        <v>129.88</v>
      </c>
      <c r="Q1291" t="s">
        <v>9894</v>
      </c>
      <c r="R1291">
        <v>6</v>
      </c>
      <c r="S1291" s="5">
        <f t="shared" si="40"/>
        <v>0.21525763627624839</v>
      </c>
      <c r="T1291">
        <v>75.421250000000001</v>
      </c>
      <c r="U1291">
        <v>10</v>
      </c>
      <c r="V1291">
        <v>2022</v>
      </c>
      <c r="W1291">
        <v>4</v>
      </c>
      <c r="X1291" t="s">
        <v>9899</v>
      </c>
      <c r="Y1291" t="s">
        <v>9901</v>
      </c>
      <c r="Z1291" t="s">
        <v>9899</v>
      </c>
      <c r="AD1291">
        <f t="shared" si="41"/>
        <v>6</v>
      </c>
    </row>
    <row r="1292" spans="1:30" x14ac:dyDescent="0.25">
      <c r="A1292" t="s">
        <v>1316</v>
      </c>
      <c r="B1292" s="2">
        <v>44666</v>
      </c>
      <c r="C1292" s="2">
        <v>44673</v>
      </c>
      <c r="D1292" t="s">
        <v>5349</v>
      </c>
      <c r="E1292" t="s">
        <v>5849</v>
      </c>
      <c r="F1292" t="s">
        <v>6027</v>
      </c>
      <c r="G1292" t="s">
        <v>6030</v>
      </c>
      <c r="H1292" t="s">
        <v>6035</v>
      </c>
      <c r="I1292" t="s">
        <v>6047</v>
      </c>
      <c r="J1292" t="s">
        <v>6055</v>
      </c>
      <c r="K1292" t="s">
        <v>6063</v>
      </c>
      <c r="L1292" t="s">
        <v>7258</v>
      </c>
      <c r="M1292">
        <v>134.65</v>
      </c>
      <c r="N1292">
        <v>4</v>
      </c>
      <c r="O1292">
        <v>0.03</v>
      </c>
      <c r="P1292">
        <v>11.28</v>
      </c>
      <c r="Q1292" t="s">
        <v>9895</v>
      </c>
      <c r="R1292">
        <v>7</v>
      </c>
      <c r="S1292" s="5">
        <f t="shared" si="40"/>
        <v>8.3772744151503889E-2</v>
      </c>
      <c r="T1292">
        <v>33.662500000000001</v>
      </c>
      <c r="U1292">
        <v>4</v>
      </c>
      <c r="V1292">
        <v>2022</v>
      </c>
      <c r="W1292">
        <v>2</v>
      </c>
      <c r="X1292" t="s">
        <v>9899</v>
      </c>
      <c r="Y1292" t="s">
        <v>9901</v>
      </c>
      <c r="Z1292" t="s">
        <v>9899</v>
      </c>
      <c r="AD1292">
        <f t="shared" si="41"/>
        <v>7</v>
      </c>
    </row>
    <row r="1293" spans="1:30" x14ac:dyDescent="0.25">
      <c r="A1293" t="s">
        <v>1317</v>
      </c>
      <c r="B1293" s="2">
        <v>44618</v>
      </c>
      <c r="C1293" s="2">
        <v>44622</v>
      </c>
      <c r="D1293" t="s">
        <v>5495</v>
      </c>
      <c r="E1293" t="s">
        <v>5995</v>
      </c>
      <c r="F1293" t="s">
        <v>6028</v>
      </c>
      <c r="G1293" t="s">
        <v>6029</v>
      </c>
      <c r="H1293" t="s">
        <v>6036</v>
      </c>
      <c r="I1293" t="s">
        <v>6046</v>
      </c>
      <c r="J1293" t="s">
        <v>6054</v>
      </c>
      <c r="K1293" t="s">
        <v>6062</v>
      </c>
      <c r="L1293" t="s">
        <v>7259</v>
      </c>
      <c r="M1293">
        <v>512.33000000000004</v>
      </c>
      <c r="N1293">
        <v>2</v>
      </c>
      <c r="O1293">
        <v>0.02</v>
      </c>
      <c r="P1293">
        <v>46.31</v>
      </c>
      <c r="Q1293" t="s">
        <v>9895</v>
      </c>
      <c r="R1293">
        <v>4</v>
      </c>
      <c r="S1293" s="5">
        <f t="shared" si="40"/>
        <v>9.039095895223781E-2</v>
      </c>
      <c r="T1293">
        <v>256.16500000000002</v>
      </c>
      <c r="U1293">
        <v>2</v>
      </c>
      <c r="V1293">
        <v>2022</v>
      </c>
      <c r="W1293">
        <v>1</v>
      </c>
      <c r="X1293" t="s">
        <v>9899</v>
      </c>
      <c r="Y1293" t="s">
        <v>9901</v>
      </c>
      <c r="Z1293" t="s">
        <v>9899</v>
      </c>
      <c r="AD1293">
        <f t="shared" si="41"/>
        <v>4</v>
      </c>
    </row>
    <row r="1294" spans="1:30" x14ac:dyDescent="0.25">
      <c r="A1294" t="s">
        <v>1318</v>
      </c>
      <c r="B1294" s="2">
        <v>45260</v>
      </c>
      <c r="C1294" s="2">
        <v>45264</v>
      </c>
      <c r="D1294" t="s">
        <v>5489</v>
      </c>
      <c r="E1294" t="s">
        <v>5989</v>
      </c>
      <c r="F1294" t="s">
        <v>6026</v>
      </c>
      <c r="G1294" t="s">
        <v>6029</v>
      </c>
      <c r="H1294" t="s">
        <v>6045</v>
      </c>
      <c r="I1294" t="s">
        <v>6050</v>
      </c>
      <c r="J1294" t="s">
        <v>6055</v>
      </c>
      <c r="K1294" t="s">
        <v>6063</v>
      </c>
      <c r="L1294" t="s">
        <v>7260</v>
      </c>
      <c r="M1294">
        <v>1323.02</v>
      </c>
      <c r="N1294">
        <v>6</v>
      </c>
      <c r="O1294">
        <v>0.14000000000000001</v>
      </c>
      <c r="P1294">
        <v>116.91</v>
      </c>
      <c r="Q1294" t="s">
        <v>9896</v>
      </c>
      <c r="R1294">
        <v>4</v>
      </c>
      <c r="S1294" s="5">
        <f t="shared" si="40"/>
        <v>8.8366011095826216E-2</v>
      </c>
      <c r="T1294">
        <v>220.5033333333333</v>
      </c>
      <c r="U1294">
        <v>11</v>
      </c>
      <c r="V1294">
        <v>2023</v>
      </c>
      <c r="W1294">
        <v>4</v>
      </c>
      <c r="X1294" t="s">
        <v>9899</v>
      </c>
      <c r="Y1294" t="s">
        <v>9901</v>
      </c>
      <c r="Z1294" t="s">
        <v>9898</v>
      </c>
      <c r="AD1294">
        <f t="shared" si="41"/>
        <v>4</v>
      </c>
    </row>
    <row r="1295" spans="1:30" x14ac:dyDescent="0.25">
      <c r="A1295" t="s">
        <v>1319</v>
      </c>
      <c r="B1295" s="2">
        <v>45169</v>
      </c>
      <c r="C1295" s="2">
        <v>45171</v>
      </c>
      <c r="D1295" t="s">
        <v>5383</v>
      </c>
      <c r="E1295" t="s">
        <v>5883</v>
      </c>
      <c r="F1295" t="s">
        <v>6027</v>
      </c>
      <c r="G1295" t="s">
        <v>6031</v>
      </c>
      <c r="H1295" t="s">
        <v>6034</v>
      </c>
      <c r="I1295" t="s">
        <v>6048</v>
      </c>
      <c r="J1295" t="s">
        <v>6055</v>
      </c>
      <c r="K1295" t="s">
        <v>6064</v>
      </c>
      <c r="L1295" t="s">
        <v>7261</v>
      </c>
      <c r="M1295">
        <v>1200.69</v>
      </c>
      <c r="N1295">
        <v>7</v>
      </c>
      <c r="O1295">
        <v>0.3</v>
      </c>
      <c r="P1295">
        <v>-72.62</v>
      </c>
      <c r="Q1295" t="s">
        <v>9897</v>
      </c>
      <c r="R1295">
        <v>2</v>
      </c>
      <c r="S1295" s="5">
        <f t="shared" si="40"/>
        <v>-6.0481889580158078E-2</v>
      </c>
      <c r="T1295">
        <v>171.52714285714291</v>
      </c>
      <c r="U1295">
        <v>8</v>
      </c>
      <c r="V1295">
        <v>2023</v>
      </c>
      <c r="W1295">
        <v>3</v>
      </c>
      <c r="X1295" t="s">
        <v>9898</v>
      </c>
      <c r="Y1295" t="s">
        <v>9900</v>
      </c>
      <c r="Z1295" t="s">
        <v>9898</v>
      </c>
      <c r="AD1295">
        <f t="shared" si="41"/>
        <v>2</v>
      </c>
    </row>
    <row r="1296" spans="1:30" x14ac:dyDescent="0.25">
      <c r="A1296" t="s">
        <v>1320</v>
      </c>
      <c r="B1296" s="2">
        <v>45257</v>
      </c>
      <c r="C1296" s="2">
        <v>45259</v>
      </c>
      <c r="D1296" t="s">
        <v>5496</v>
      </c>
      <c r="E1296" t="s">
        <v>5996</v>
      </c>
      <c r="F1296" t="s">
        <v>6027</v>
      </c>
      <c r="G1296" t="s">
        <v>6030</v>
      </c>
      <c r="H1296" t="s">
        <v>6035</v>
      </c>
      <c r="I1296" t="s">
        <v>6047</v>
      </c>
      <c r="J1296" t="s">
        <v>6053</v>
      </c>
      <c r="K1296" t="s">
        <v>6056</v>
      </c>
      <c r="L1296" t="s">
        <v>7262</v>
      </c>
      <c r="M1296">
        <v>1482.97</v>
      </c>
      <c r="N1296">
        <v>5</v>
      </c>
      <c r="O1296">
        <v>0.1</v>
      </c>
      <c r="P1296">
        <v>75.849999999999994</v>
      </c>
      <c r="Q1296" t="s">
        <v>9893</v>
      </c>
      <c r="R1296">
        <v>2</v>
      </c>
      <c r="S1296" s="5">
        <f t="shared" si="40"/>
        <v>5.1147359690351113E-2</v>
      </c>
      <c r="T1296">
        <v>296.59399999999999</v>
      </c>
      <c r="U1296">
        <v>11</v>
      </c>
      <c r="V1296">
        <v>2023</v>
      </c>
      <c r="W1296">
        <v>4</v>
      </c>
      <c r="X1296" t="s">
        <v>9899</v>
      </c>
      <c r="Y1296" t="s">
        <v>9901</v>
      </c>
      <c r="Z1296" t="s">
        <v>9898</v>
      </c>
      <c r="AD1296">
        <f t="shared" si="41"/>
        <v>2</v>
      </c>
    </row>
    <row r="1297" spans="1:30" x14ac:dyDescent="0.25">
      <c r="A1297" t="s">
        <v>1321</v>
      </c>
      <c r="B1297" s="2">
        <v>44926</v>
      </c>
      <c r="C1297" s="2">
        <v>44927</v>
      </c>
      <c r="D1297" t="s">
        <v>5262</v>
      </c>
      <c r="E1297" t="s">
        <v>5762</v>
      </c>
      <c r="F1297" t="s">
        <v>6028</v>
      </c>
      <c r="G1297" t="s">
        <v>6031</v>
      </c>
      <c r="H1297" t="s">
        <v>6037</v>
      </c>
      <c r="I1297" t="s">
        <v>6050</v>
      </c>
      <c r="J1297" t="s">
        <v>6054</v>
      </c>
      <c r="K1297" t="s">
        <v>6060</v>
      </c>
      <c r="L1297" t="s">
        <v>7263</v>
      </c>
      <c r="M1297">
        <v>1344.5</v>
      </c>
      <c r="N1297">
        <v>2</v>
      </c>
      <c r="O1297">
        <v>0.3</v>
      </c>
      <c r="P1297">
        <v>-157.19</v>
      </c>
      <c r="Q1297" t="s">
        <v>9897</v>
      </c>
      <c r="R1297">
        <v>1</v>
      </c>
      <c r="S1297" s="5">
        <f t="shared" si="40"/>
        <v>-0.1169133506879881</v>
      </c>
      <c r="T1297">
        <v>672.25</v>
      </c>
      <c r="U1297">
        <v>12</v>
      </c>
      <c r="V1297">
        <v>2022</v>
      </c>
      <c r="W1297">
        <v>4</v>
      </c>
      <c r="X1297" t="s">
        <v>9898</v>
      </c>
      <c r="Y1297" t="s">
        <v>9900</v>
      </c>
      <c r="Z1297" t="s">
        <v>9898</v>
      </c>
      <c r="AD1297">
        <f t="shared" si="41"/>
        <v>1</v>
      </c>
    </row>
    <row r="1298" spans="1:30" x14ac:dyDescent="0.25">
      <c r="A1298" t="s">
        <v>1322</v>
      </c>
      <c r="B1298" s="2">
        <v>45431</v>
      </c>
      <c r="C1298" s="2">
        <v>45434</v>
      </c>
      <c r="D1298" t="s">
        <v>5497</v>
      </c>
      <c r="E1298" t="s">
        <v>5997</v>
      </c>
      <c r="F1298" t="s">
        <v>6027</v>
      </c>
      <c r="G1298" t="s">
        <v>6030</v>
      </c>
      <c r="H1298" t="s">
        <v>6035</v>
      </c>
      <c r="I1298" t="s">
        <v>6051</v>
      </c>
      <c r="J1298" t="s">
        <v>6055</v>
      </c>
      <c r="K1298" t="s">
        <v>6063</v>
      </c>
      <c r="L1298" t="s">
        <v>7264</v>
      </c>
      <c r="M1298">
        <v>1135.2</v>
      </c>
      <c r="N1298">
        <v>8</v>
      </c>
      <c r="O1298">
        <v>0.09</v>
      </c>
      <c r="P1298">
        <v>146.9</v>
      </c>
      <c r="Q1298" t="s">
        <v>9893</v>
      </c>
      <c r="R1298">
        <v>3</v>
      </c>
      <c r="S1298" s="5">
        <f t="shared" si="40"/>
        <v>0.12940451021846372</v>
      </c>
      <c r="T1298">
        <v>141.9</v>
      </c>
      <c r="U1298">
        <v>5</v>
      </c>
      <c r="V1298">
        <v>2024</v>
      </c>
      <c r="W1298">
        <v>2</v>
      </c>
      <c r="X1298" t="s">
        <v>9899</v>
      </c>
      <c r="Y1298" t="s">
        <v>9901</v>
      </c>
      <c r="Z1298" t="s">
        <v>9898</v>
      </c>
      <c r="AD1298">
        <f t="shared" si="41"/>
        <v>3</v>
      </c>
    </row>
    <row r="1299" spans="1:30" x14ac:dyDescent="0.25">
      <c r="A1299" t="s">
        <v>1323</v>
      </c>
      <c r="B1299" s="2">
        <v>45261</v>
      </c>
      <c r="C1299" s="2">
        <v>45267</v>
      </c>
      <c r="D1299" t="s">
        <v>5448</v>
      </c>
      <c r="E1299" t="s">
        <v>5948</v>
      </c>
      <c r="F1299" t="s">
        <v>6028</v>
      </c>
      <c r="G1299" t="s">
        <v>6031</v>
      </c>
      <c r="H1299" t="s">
        <v>6042</v>
      </c>
      <c r="I1299" t="s">
        <v>6048</v>
      </c>
      <c r="J1299" t="s">
        <v>6053</v>
      </c>
      <c r="K1299" t="s">
        <v>6056</v>
      </c>
      <c r="L1299" t="s">
        <v>7265</v>
      </c>
      <c r="M1299">
        <v>806.66</v>
      </c>
      <c r="N1299">
        <v>8</v>
      </c>
      <c r="O1299">
        <v>0.28000000000000003</v>
      </c>
      <c r="P1299">
        <v>-0.87</v>
      </c>
      <c r="Q1299" t="s">
        <v>9895</v>
      </c>
      <c r="R1299">
        <v>6</v>
      </c>
      <c r="S1299" s="5">
        <f t="shared" si="40"/>
        <v>-1.078521310093472E-3</v>
      </c>
      <c r="T1299">
        <v>100.8325</v>
      </c>
      <c r="U1299">
        <v>12</v>
      </c>
      <c r="V1299">
        <v>2023</v>
      </c>
      <c r="W1299">
        <v>4</v>
      </c>
      <c r="X1299" t="s">
        <v>9898</v>
      </c>
      <c r="Y1299" t="s">
        <v>9900</v>
      </c>
      <c r="Z1299" t="s">
        <v>9899</v>
      </c>
      <c r="AD1299">
        <f t="shared" si="41"/>
        <v>6</v>
      </c>
    </row>
    <row r="1300" spans="1:30" x14ac:dyDescent="0.25">
      <c r="A1300" t="s">
        <v>1324</v>
      </c>
      <c r="B1300" s="2">
        <v>44822</v>
      </c>
      <c r="C1300" s="2">
        <v>44828</v>
      </c>
      <c r="D1300" t="s">
        <v>5214</v>
      </c>
      <c r="E1300" t="s">
        <v>5714</v>
      </c>
      <c r="F1300" t="s">
        <v>6028</v>
      </c>
      <c r="G1300" t="s">
        <v>6029</v>
      </c>
      <c r="H1300" t="s">
        <v>6036</v>
      </c>
      <c r="I1300" t="s">
        <v>6050</v>
      </c>
      <c r="J1300" t="s">
        <v>6055</v>
      </c>
      <c r="K1300" t="s">
        <v>6061</v>
      </c>
      <c r="L1300" t="s">
        <v>7266</v>
      </c>
      <c r="M1300">
        <v>847.56</v>
      </c>
      <c r="N1300">
        <v>7</v>
      </c>
      <c r="O1300">
        <v>0.25</v>
      </c>
      <c r="P1300">
        <v>-74.849999999999994</v>
      </c>
      <c r="Q1300" t="s">
        <v>9897</v>
      </c>
      <c r="R1300">
        <v>6</v>
      </c>
      <c r="S1300" s="5">
        <f t="shared" si="40"/>
        <v>-8.8312331870310068E-2</v>
      </c>
      <c r="T1300">
        <v>121.08</v>
      </c>
      <c r="U1300">
        <v>9</v>
      </c>
      <c r="V1300">
        <v>2022</v>
      </c>
      <c r="W1300">
        <v>3</v>
      </c>
      <c r="X1300" t="s">
        <v>9898</v>
      </c>
      <c r="Y1300" t="s">
        <v>9900</v>
      </c>
      <c r="Z1300" t="s">
        <v>9899</v>
      </c>
      <c r="AD1300">
        <f t="shared" si="41"/>
        <v>6</v>
      </c>
    </row>
    <row r="1301" spans="1:30" x14ac:dyDescent="0.25">
      <c r="A1301" t="s">
        <v>1325</v>
      </c>
      <c r="B1301" s="2">
        <v>44983</v>
      </c>
      <c r="C1301" s="2">
        <v>44987</v>
      </c>
      <c r="D1301" t="s">
        <v>5123</v>
      </c>
      <c r="E1301" t="s">
        <v>5623</v>
      </c>
      <c r="F1301" t="s">
        <v>6027</v>
      </c>
      <c r="G1301" t="s">
        <v>6031</v>
      </c>
      <c r="H1301" t="s">
        <v>6043</v>
      </c>
      <c r="I1301" t="s">
        <v>6052</v>
      </c>
      <c r="J1301" t="s">
        <v>6053</v>
      </c>
      <c r="K1301" t="s">
        <v>6056</v>
      </c>
      <c r="L1301" t="s">
        <v>7267</v>
      </c>
      <c r="M1301">
        <v>1297.07</v>
      </c>
      <c r="N1301">
        <v>6</v>
      </c>
      <c r="O1301">
        <v>0.31</v>
      </c>
      <c r="P1301">
        <v>-41.07</v>
      </c>
      <c r="Q1301" t="s">
        <v>9897</v>
      </c>
      <c r="R1301">
        <v>4</v>
      </c>
      <c r="S1301" s="5">
        <f t="shared" si="40"/>
        <v>-3.1663672739327874E-2</v>
      </c>
      <c r="T1301">
        <v>216.17833333333331</v>
      </c>
      <c r="U1301">
        <v>2</v>
      </c>
      <c r="V1301">
        <v>2023</v>
      </c>
      <c r="W1301">
        <v>1</v>
      </c>
      <c r="X1301" t="s">
        <v>9898</v>
      </c>
      <c r="Y1301" t="s">
        <v>9902</v>
      </c>
      <c r="Z1301" t="s">
        <v>9898</v>
      </c>
      <c r="AD1301">
        <f t="shared" si="41"/>
        <v>4</v>
      </c>
    </row>
    <row r="1302" spans="1:30" x14ac:dyDescent="0.25">
      <c r="A1302" t="s">
        <v>1326</v>
      </c>
      <c r="B1302" s="2">
        <v>45226</v>
      </c>
      <c r="C1302" s="2">
        <v>45229</v>
      </c>
      <c r="D1302" t="s">
        <v>5321</v>
      </c>
      <c r="E1302" t="s">
        <v>5821</v>
      </c>
      <c r="F1302" t="s">
        <v>6027</v>
      </c>
      <c r="G1302" t="s">
        <v>6029</v>
      </c>
      <c r="H1302" t="s">
        <v>6044</v>
      </c>
      <c r="I1302" t="s">
        <v>6046</v>
      </c>
      <c r="J1302" t="s">
        <v>6054</v>
      </c>
      <c r="K1302" t="s">
        <v>6060</v>
      </c>
      <c r="L1302" t="s">
        <v>7268</v>
      </c>
      <c r="M1302">
        <v>297.63</v>
      </c>
      <c r="N1302">
        <v>6</v>
      </c>
      <c r="O1302">
        <v>0.16</v>
      </c>
      <c r="P1302">
        <v>38.6</v>
      </c>
      <c r="Q1302" t="s">
        <v>9895</v>
      </c>
      <c r="R1302">
        <v>3</v>
      </c>
      <c r="S1302" s="5">
        <f t="shared" si="40"/>
        <v>0.12969122736283306</v>
      </c>
      <c r="T1302">
        <v>49.604999999999997</v>
      </c>
      <c r="U1302">
        <v>10</v>
      </c>
      <c r="V1302">
        <v>2023</v>
      </c>
      <c r="W1302">
        <v>4</v>
      </c>
      <c r="X1302" t="s">
        <v>9899</v>
      </c>
      <c r="Y1302" t="s">
        <v>9900</v>
      </c>
      <c r="Z1302" t="s">
        <v>9899</v>
      </c>
      <c r="AD1302">
        <f t="shared" si="41"/>
        <v>3</v>
      </c>
    </row>
    <row r="1303" spans="1:30" x14ac:dyDescent="0.25">
      <c r="A1303" t="s">
        <v>1327</v>
      </c>
      <c r="B1303" s="2">
        <v>45358</v>
      </c>
      <c r="C1303" s="2">
        <v>45359</v>
      </c>
      <c r="D1303" t="s">
        <v>5483</v>
      </c>
      <c r="E1303" t="s">
        <v>5983</v>
      </c>
      <c r="F1303" t="s">
        <v>6026</v>
      </c>
      <c r="G1303" t="s">
        <v>6030</v>
      </c>
      <c r="H1303" t="s">
        <v>6039</v>
      </c>
      <c r="I1303" t="s">
        <v>6047</v>
      </c>
      <c r="J1303" t="s">
        <v>6053</v>
      </c>
      <c r="K1303" t="s">
        <v>6058</v>
      </c>
      <c r="L1303" t="s">
        <v>7269</v>
      </c>
      <c r="M1303">
        <v>844.89</v>
      </c>
      <c r="N1303">
        <v>8</v>
      </c>
      <c r="O1303">
        <v>0.2</v>
      </c>
      <c r="P1303">
        <v>4.59</v>
      </c>
      <c r="Q1303" t="s">
        <v>9897</v>
      </c>
      <c r="R1303">
        <v>1</v>
      </c>
      <c r="S1303" s="5">
        <f t="shared" si="40"/>
        <v>5.43265987288286E-3</v>
      </c>
      <c r="T1303">
        <v>105.61125</v>
      </c>
      <c r="U1303">
        <v>3</v>
      </c>
      <c r="V1303">
        <v>2024</v>
      </c>
      <c r="W1303">
        <v>1</v>
      </c>
      <c r="X1303" t="s">
        <v>9899</v>
      </c>
      <c r="Y1303" t="s">
        <v>9900</v>
      </c>
      <c r="Z1303" t="s">
        <v>9899</v>
      </c>
      <c r="AD1303">
        <f t="shared" si="41"/>
        <v>1</v>
      </c>
    </row>
    <row r="1304" spans="1:30" x14ac:dyDescent="0.25">
      <c r="A1304" t="s">
        <v>1328</v>
      </c>
      <c r="B1304" s="2">
        <v>44643</v>
      </c>
      <c r="C1304" s="2">
        <v>44644</v>
      </c>
      <c r="D1304" t="s">
        <v>5103</v>
      </c>
      <c r="E1304" t="s">
        <v>5603</v>
      </c>
      <c r="F1304" t="s">
        <v>6027</v>
      </c>
      <c r="G1304" t="s">
        <v>6030</v>
      </c>
      <c r="H1304" t="s">
        <v>6039</v>
      </c>
      <c r="I1304" t="s">
        <v>6047</v>
      </c>
      <c r="J1304" t="s">
        <v>6054</v>
      </c>
      <c r="K1304" t="s">
        <v>6062</v>
      </c>
      <c r="L1304" t="s">
        <v>7270</v>
      </c>
      <c r="M1304">
        <v>1761.95</v>
      </c>
      <c r="N1304">
        <v>3</v>
      </c>
      <c r="O1304">
        <v>0</v>
      </c>
      <c r="P1304">
        <v>455.41</v>
      </c>
      <c r="Q1304" t="s">
        <v>9894</v>
      </c>
      <c r="R1304">
        <v>1</v>
      </c>
      <c r="S1304" s="5">
        <f t="shared" si="40"/>
        <v>0.25846930957178127</v>
      </c>
      <c r="T1304">
        <v>587.31666666666672</v>
      </c>
      <c r="U1304">
        <v>3</v>
      </c>
      <c r="V1304">
        <v>2022</v>
      </c>
      <c r="W1304">
        <v>1</v>
      </c>
      <c r="X1304" t="s">
        <v>9899</v>
      </c>
      <c r="Y1304" t="s">
        <v>9901</v>
      </c>
      <c r="Z1304" t="s">
        <v>9898</v>
      </c>
      <c r="AD1304">
        <f t="shared" si="41"/>
        <v>1</v>
      </c>
    </row>
    <row r="1305" spans="1:30" x14ac:dyDescent="0.25">
      <c r="A1305" t="s">
        <v>1329</v>
      </c>
      <c r="B1305" s="2">
        <v>44815</v>
      </c>
      <c r="C1305" s="2">
        <v>44821</v>
      </c>
      <c r="D1305" t="s">
        <v>5319</v>
      </c>
      <c r="E1305" t="s">
        <v>5819</v>
      </c>
      <c r="F1305" t="s">
        <v>6028</v>
      </c>
      <c r="G1305" t="s">
        <v>6030</v>
      </c>
      <c r="H1305" t="s">
        <v>6035</v>
      </c>
      <c r="I1305" t="s">
        <v>6051</v>
      </c>
      <c r="J1305" t="s">
        <v>6053</v>
      </c>
      <c r="K1305" t="s">
        <v>6058</v>
      </c>
      <c r="L1305" t="s">
        <v>7271</v>
      </c>
      <c r="M1305">
        <v>1561.69</v>
      </c>
      <c r="N1305">
        <v>6</v>
      </c>
      <c r="O1305">
        <v>0.01</v>
      </c>
      <c r="P1305">
        <v>291.19</v>
      </c>
      <c r="Q1305" t="s">
        <v>9893</v>
      </c>
      <c r="R1305">
        <v>6</v>
      </c>
      <c r="S1305" s="5">
        <f t="shared" si="40"/>
        <v>0.18645825996196427</v>
      </c>
      <c r="T1305">
        <v>260.28166666666669</v>
      </c>
      <c r="U1305">
        <v>9</v>
      </c>
      <c r="V1305">
        <v>2022</v>
      </c>
      <c r="W1305">
        <v>3</v>
      </c>
      <c r="X1305" t="s">
        <v>9899</v>
      </c>
      <c r="Y1305" t="s">
        <v>9901</v>
      </c>
      <c r="Z1305" t="s">
        <v>9898</v>
      </c>
      <c r="AD1305">
        <f t="shared" si="41"/>
        <v>6</v>
      </c>
    </row>
    <row r="1306" spans="1:30" x14ac:dyDescent="0.25">
      <c r="A1306" t="s">
        <v>1330</v>
      </c>
      <c r="B1306" s="2">
        <v>44988</v>
      </c>
      <c r="C1306" s="2">
        <v>44991</v>
      </c>
      <c r="D1306" t="s">
        <v>5203</v>
      </c>
      <c r="E1306" t="s">
        <v>5703</v>
      </c>
      <c r="F1306" t="s">
        <v>6026</v>
      </c>
      <c r="G1306" t="s">
        <v>6030</v>
      </c>
      <c r="H1306" t="s">
        <v>6035</v>
      </c>
      <c r="I1306" t="s">
        <v>6047</v>
      </c>
      <c r="J1306" t="s">
        <v>6054</v>
      </c>
      <c r="K1306" t="s">
        <v>6059</v>
      </c>
      <c r="L1306" t="s">
        <v>7272</v>
      </c>
      <c r="M1306">
        <v>1636.45</v>
      </c>
      <c r="N1306">
        <v>5</v>
      </c>
      <c r="O1306">
        <v>0.24</v>
      </c>
      <c r="P1306">
        <v>-166.17</v>
      </c>
      <c r="Q1306" t="s">
        <v>9893</v>
      </c>
      <c r="R1306">
        <v>3</v>
      </c>
      <c r="S1306" s="5">
        <f t="shared" si="40"/>
        <v>-0.10154297412081029</v>
      </c>
      <c r="T1306">
        <v>327.29000000000002</v>
      </c>
      <c r="U1306">
        <v>3</v>
      </c>
      <c r="V1306">
        <v>2023</v>
      </c>
      <c r="W1306">
        <v>1</v>
      </c>
      <c r="X1306" t="s">
        <v>9898</v>
      </c>
      <c r="Y1306" t="s">
        <v>9900</v>
      </c>
      <c r="Z1306" t="s">
        <v>9898</v>
      </c>
      <c r="AD1306">
        <f t="shared" si="41"/>
        <v>3</v>
      </c>
    </row>
    <row r="1307" spans="1:30" x14ac:dyDescent="0.25">
      <c r="A1307" t="s">
        <v>1331</v>
      </c>
      <c r="B1307" s="2">
        <v>45360</v>
      </c>
      <c r="C1307" s="2">
        <v>45366</v>
      </c>
      <c r="D1307" t="s">
        <v>5382</v>
      </c>
      <c r="E1307" t="s">
        <v>5882</v>
      </c>
      <c r="F1307" t="s">
        <v>6027</v>
      </c>
      <c r="G1307" t="s">
        <v>6030</v>
      </c>
      <c r="H1307" t="s">
        <v>6033</v>
      </c>
      <c r="I1307" t="s">
        <v>6047</v>
      </c>
      <c r="J1307" t="s">
        <v>6055</v>
      </c>
      <c r="K1307" t="s">
        <v>6064</v>
      </c>
      <c r="L1307" t="s">
        <v>7273</v>
      </c>
      <c r="M1307">
        <v>289.8</v>
      </c>
      <c r="N1307">
        <v>1</v>
      </c>
      <c r="O1307">
        <v>0.33</v>
      </c>
      <c r="P1307">
        <v>-49.6</v>
      </c>
      <c r="Q1307" t="s">
        <v>9893</v>
      </c>
      <c r="R1307">
        <v>6</v>
      </c>
      <c r="S1307" s="5">
        <f t="shared" si="40"/>
        <v>-0.17115251897860592</v>
      </c>
      <c r="T1307">
        <v>289.8</v>
      </c>
      <c r="U1307">
        <v>3</v>
      </c>
      <c r="V1307">
        <v>2024</v>
      </c>
      <c r="W1307">
        <v>1</v>
      </c>
      <c r="X1307" t="s">
        <v>9898</v>
      </c>
      <c r="Y1307" t="s">
        <v>9902</v>
      </c>
      <c r="Z1307" t="s">
        <v>9899</v>
      </c>
      <c r="AD1307">
        <f t="shared" si="41"/>
        <v>6</v>
      </c>
    </row>
    <row r="1308" spans="1:30" x14ac:dyDescent="0.25">
      <c r="A1308" t="s">
        <v>1332</v>
      </c>
      <c r="B1308" s="2">
        <v>45189</v>
      </c>
      <c r="C1308" s="2">
        <v>45193</v>
      </c>
      <c r="D1308" t="s">
        <v>5298</v>
      </c>
      <c r="E1308" t="s">
        <v>5798</v>
      </c>
      <c r="F1308" t="s">
        <v>6028</v>
      </c>
      <c r="G1308" t="s">
        <v>6031</v>
      </c>
      <c r="H1308" t="s">
        <v>6043</v>
      </c>
      <c r="I1308" t="s">
        <v>6052</v>
      </c>
      <c r="J1308" t="s">
        <v>6053</v>
      </c>
      <c r="K1308" t="s">
        <v>6058</v>
      </c>
      <c r="L1308" t="s">
        <v>7274</v>
      </c>
      <c r="M1308">
        <v>1342.67</v>
      </c>
      <c r="N1308">
        <v>3</v>
      </c>
      <c r="O1308">
        <v>0.11</v>
      </c>
      <c r="P1308">
        <v>4.33</v>
      </c>
      <c r="Q1308" t="s">
        <v>9893</v>
      </c>
      <c r="R1308">
        <v>4</v>
      </c>
      <c r="S1308" s="5">
        <f t="shared" si="40"/>
        <v>3.2249175151005086E-3</v>
      </c>
      <c r="T1308">
        <v>447.55666666666667</v>
      </c>
      <c r="U1308">
        <v>9</v>
      </c>
      <c r="V1308">
        <v>2023</v>
      </c>
      <c r="W1308">
        <v>3</v>
      </c>
      <c r="X1308" t="s">
        <v>9899</v>
      </c>
      <c r="Y1308" t="s">
        <v>9901</v>
      </c>
      <c r="Z1308" t="s">
        <v>9898</v>
      </c>
      <c r="AD1308">
        <f t="shared" si="41"/>
        <v>4</v>
      </c>
    </row>
    <row r="1309" spans="1:30" x14ac:dyDescent="0.25">
      <c r="A1309" t="s">
        <v>1333</v>
      </c>
      <c r="B1309" s="2">
        <v>44902</v>
      </c>
      <c r="C1309" s="2">
        <v>44909</v>
      </c>
      <c r="D1309" t="s">
        <v>5100</v>
      </c>
      <c r="E1309" t="s">
        <v>5600</v>
      </c>
      <c r="F1309" t="s">
        <v>6028</v>
      </c>
      <c r="G1309" t="s">
        <v>6030</v>
      </c>
      <c r="H1309" t="s">
        <v>6035</v>
      </c>
      <c r="I1309" t="s">
        <v>6047</v>
      </c>
      <c r="J1309" t="s">
        <v>6053</v>
      </c>
      <c r="K1309" t="s">
        <v>6057</v>
      </c>
      <c r="L1309" t="s">
        <v>7275</v>
      </c>
      <c r="M1309">
        <v>447.19</v>
      </c>
      <c r="N1309">
        <v>2</v>
      </c>
      <c r="O1309">
        <v>0.17</v>
      </c>
      <c r="P1309">
        <v>-1.78</v>
      </c>
      <c r="Q1309" t="s">
        <v>9893</v>
      </c>
      <c r="R1309">
        <v>7</v>
      </c>
      <c r="S1309" s="5">
        <f t="shared" si="40"/>
        <v>-3.9804110109796734E-3</v>
      </c>
      <c r="T1309">
        <v>223.595</v>
      </c>
      <c r="U1309">
        <v>12</v>
      </c>
      <c r="V1309">
        <v>2022</v>
      </c>
      <c r="W1309">
        <v>4</v>
      </c>
      <c r="X1309" t="s">
        <v>9898</v>
      </c>
      <c r="Y1309" t="s">
        <v>9900</v>
      </c>
      <c r="Z1309" t="s">
        <v>9899</v>
      </c>
      <c r="AD1309">
        <f t="shared" si="41"/>
        <v>7</v>
      </c>
    </row>
    <row r="1310" spans="1:30" x14ac:dyDescent="0.25">
      <c r="A1310" t="s">
        <v>1334</v>
      </c>
      <c r="B1310" s="2">
        <v>44736</v>
      </c>
      <c r="C1310" s="2">
        <v>44743</v>
      </c>
      <c r="D1310" t="s">
        <v>5034</v>
      </c>
      <c r="E1310" t="s">
        <v>5534</v>
      </c>
      <c r="F1310" t="s">
        <v>6028</v>
      </c>
      <c r="G1310" t="s">
        <v>6030</v>
      </c>
      <c r="H1310" t="s">
        <v>6038</v>
      </c>
      <c r="I1310" t="s">
        <v>6051</v>
      </c>
      <c r="J1310" t="s">
        <v>6055</v>
      </c>
      <c r="K1310" t="s">
        <v>6061</v>
      </c>
      <c r="L1310" t="s">
        <v>7276</v>
      </c>
      <c r="M1310">
        <v>1284.8399999999999</v>
      </c>
      <c r="N1310">
        <v>7</v>
      </c>
      <c r="O1310">
        <v>0.32</v>
      </c>
      <c r="P1310">
        <v>-137.52000000000001</v>
      </c>
      <c r="Q1310" t="s">
        <v>9897</v>
      </c>
      <c r="R1310">
        <v>7</v>
      </c>
      <c r="S1310" s="5">
        <f t="shared" si="40"/>
        <v>-0.10703278229195855</v>
      </c>
      <c r="T1310">
        <v>183.54857142857139</v>
      </c>
      <c r="U1310">
        <v>6</v>
      </c>
      <c r="V1310">
        <v>2022</v>
      </c>
      <c r="W1310">
        <v>2</v>
      </c>
      <c r="X1310" t="s">
        <v>9898</v>
      </c>
      <c r="Y1310" t="s">
        <v>9902</v>
      </c>
      <c r="Z1310" t="s">
        <v>9898</v>
      </c>
      <c r="AD1310">
        <f t="shared" si="41"/>
        <v>7</v>
      </c>
    </row>
    <row r="1311" spans="1:30" x14ac:dyDescent="0.25">
      <c r="A1311" t="s">
        <v>1335</v>
      </c>
      <c r="B1311" s="2">
        <v>44835</v>
      </c>
      <c r="C1311" s="2">
        <v>44837</v>
      </c>
      <c r="D1311" t="s">
        <v>5388</v>
      </c>
      <c r="E1311" t="s">
        <v>5888</v>
      </c>
      <c r="F1311" t="s">
        <v>6027</v>
      </c>
      <c r="G1311" t="s">
        <v>6031</v>
      </c>
      <c r="H1311" t="s">
        <v>6037</v>
      </c>
      <c r="I1311" t="s">
        <v>6050</v>
      </c>
      <c r="J1311" t="s">
        <v>6054</v>
      </c>
      <c r="K1311" t="s">
        <v>6060</v>
      </c>
      <c r="L1311" t="s">
        <v>7277</v>
      </c>
      <c r="M1311">
        <v>720.99</v>
      </c>
      <c r="N1311">
        <v>3</v>
      </c>
      <c r="O1311">
        <v>0.11</v>
      </c>
      <c r="P1311">
        <v>1.08</v>
      </c>
      <c r="Q1311" t="s">
        <v>9897</v>
      </c>
      <c r="R1311">
        <v>2</v>
      </c>
      <c r="S1311" s="5">
        <f t="shared" si="40"/>
        <v>1.4979403320434404E-3</v>
      </c>
      <c r="T1311">
        <v>240.33</v>
      </c>
      <c r="U1311">
        <v>10</v>
      </c>
      <c r="V1311">
        <v>2022</v>
      </c>
      <c r="W1311">
        <v>4</v>
      </c>
      <c r="X1311" t="s">
        <v>9899</v>
      </c>
      <c r="Y1311" t="s">
        <v>9901</v>
      </c>
      <c r="Z1311" t="s">
        <v>9899</v>
      </c>
      <c r="AD1311">
        <f t="shared" si="41"/>
        <v>2</v>
      </c>
    </row>
    <row r="1312" spans="1:30" x14ac:dyDescent="0.25">
      <c r="A1312" t="s">
        <v>1336</v>
      </c>
      <c r="B1312" s="2">
        <v>44687</v>
      </c>
      <c r="C1312" s="2">
        <v>44689</v>
      </c>
      <c r="D1312" t="s">
        <v>5134</v>
      </c>
      <c r="E1312" t="s">
        <v>5634</v>
      </c>
      <c r="F1312" t="s">
        <v>6026</v>
      </c>
      <c r="G1312" t="s">
        <v>6030</v>
      </c>
      <c r="H1312" t="s">
        <v>6033</v>
      </c>
      <c r="I1312" t="s">
        <v>6047</v>
      </c>
      <c r="J1312" t="s">
        <v>6053</v>
      </c>
      <c r="K1312" t="s">
        <v>6056</v>
      </c>
      <c r="L1312" t="s">
        <v>6107</v>
      </c>
      <c r="M1312">
        <v>186.87</v>
      </c>
      <c r="N1312">
        <v>2</v>
      </c>
      <c r="O1312">
        <v>0.14000000000000001</v>
      </c>
      <c r="P1312">
        <v>14.89</v>
      </c>
      <c r="Q1312" t="s">
        <v>9895</v>
      </c>
      <c r="R1312">
        <v>2</v>
      </c>
      <c r="S1312" s="5">
        <f t="shared" si="40"/>
        <v>7.968106170064751E-2</v>
      </c>
      <c r="T1312">
        <v>93.435000000000002</v>
      </c>
      <c r="U1312">
        <v>5</v>
      </c>
      <c r="V1312">
        <v>2022</v>
      </c>
      <c r="W1312">
        <v>2</v>
      </c>
      <c r="X1312" t="s">
        <v>9899</v>
      </c>
      <c r="Y1312" t="s">
        <v>9901</v>
      </c>
      <c r="Z1312" t="s">
        <v>9899</v>
      </c>
      <c r="AD1312">
        <f t="shared" si="41"/>
        <v>2</v>
      </c>
    </row>
    <row r="1313" spans="1:30" x14ac:dyDescent="0.25">
      <c r="A1313" t="s">
        <v>1337</v>
      </c>
      <c r="B1313" s="2">
        <v>44842</v>
      </c>
      <c r="C1313" s="2">
        <v>44845</v>
      </c>
      <c r="D1313" t="s">
        <v>5275</v>
      </c>
      <c r="E1313" t="s">
        <v>5775</v>
      </c>
      <c r="F1313" t="s">
        <v>6027</v>
      </c>
      <c r="G1313" t="s">
        <v>6029</v>
      </c>
      <c r="H1313" t="s">
        <v>6041</v>
      </c>
      <c r="I1313" t="s">
        <v>6050</v>
      </c>
      <c r="J1313" t="s">
        <v>6054</v>
      </c>
      <c r="K1313" t="s">
        <v>6059</v>
      </c>
      <c r="L1313" t="s">
        <v>7278</v>
      </c>
      <c r="M1313">
        <v>1338.36</v>
      </c>
      <c r="N1313">
        <v>1</v>
      </c>
      <c r="O1313">
        <v>0.25</v>
      </c>
      <c r="P1313">
        <v>-132.94999999999999</v>
      </c>
      <c r="Q1313" t="s">
        <v>9895</v>
      </c>
      <c r="R1313">
        <v>3</v>
      </c>
      <c r="S1313" s="5">
        <f t="shared" si="40"/>
        <v>-9.9337995755999886E-2</v>
      </c>
      <c r="T1313">
        <v>1338.36</v>
      </c>
      <c r="U1313">
        <v>10</v>
      </c>
      <c r="V1313">
        <v>2022</v>
      </c>
      <c r="W1313">
        <v>4</v>
      </c>
      <c r="X1313" t="s">
        <v>9898</v>
      </c>
      <c r="Y1313" t="s">
        <v>9900</v>
      </c>
      <c r="Z1313" t="s">
        <v>9898</v>
      </c>
      <c r="AD1313">
        <f t="shared" si="41"/>
        <v>3</v>
      </c>
    </row>
    <row r="1314" spans="1:30" x14ac:dyDescent="0.25">
      <c r="A1314" t="s">
        <v>1338</v>
      </c>
      <c r="B1314" s="2">
        <v>44637</v>
      </c>
      <c r="C1314" s="2">
        <v>44639</v>
      </c>
      <c r="D1314" t="s">
        <v>5480</v>
      </c>
      <c r="E1314" t="s">
        <v>5980</v>
      </c>
      <c r="F1314" t="s">
        <v>6028</v>
      </c>
      <c r="G1314" t="s">
        <v>6029</v>
      </c>
      <c r="H1314" t="s">
        <v>6044</v>
      </c>
      <c r="I1314" t="s">
        <v>6049</v>
      </c>
      <c r="J1314" t="s">
        <v>6055</v>
      </c>
      <c r="K1314" t="s">
        <v>6063</v>
      </c>
      <c r="L1314" t="s">
        <v>7279</v>
      </c>
      <c r="M1314">
        <v>1780.97</v>
      </c>
      <c r="N1314">
        <v>7</v>
      </c>
      <c r="O1314">
        <v>0.16</v>
      </c>
      <c r="P1314">
        <v>-100.01</v>
      </c>
      <c r="Q1314" t="s">
        <v>9894</v>
      </c>
      <c r="R1314">
        <v>2</v>
      </c>
      <c r="S1314" s="5">
        <f t="shared" si="40"/>
        <v>-5.615479205152249E-2</v>
      </c>
      <c r="T1314">
        <v>254.4242857142857</v>
      </c>
      <c r="U1314">
        <v>3</v>
      </c>
      <c r="V1314">
        <v>2022</v>
      </c>
      <c r="W1314">
        <v>1</v>
      </c>
      <c r="X1314" t="s">
        <v>9898</v>
      </c>
      <c r="Y1314" t="s">
        <v>9900</v>
      </c>
      <c r="Z1314" t="s">
        <v>9898</v>
      </c>
      <c r="AD1314">
        <f t="shared" si="41"/>
        <v>2</v>
      </c>
    </row>
    <row r="1315" spans="1:30" x14ac:dyDescent="0.25">
      <c r="A1315" t="s">
        <v>1339</v>
      </c>
      <c r="B1315" s="2">
        <v>44892</v>
      </c>
      <c r="C1315" s="2">
        <v>44895</v>
      </c>
      <c r="D1315" t="s">
        <v>5480</v>
      </c>
      <c r="E1315" t="s">
        <v>5980</v>
      </c>
      <c r="F1315" t="s">
        <v>6026</v>
      </c>
      <c r="G1315" t="s">
        <v>6030</v>
      </c>
      <c r="H1315" t="s">
        <v>6035</v>
      </c>
      <c r="I1315" t="s">
        <v>6047</v>
      </c>
      <c r="J1315" t="s">
        <v>6054</v>
      </c>
      <c r="K1315" t="s">
        <v>6060</v>
      </c>
      <c r="L1315" t="s">
        <v>7280</v>
      </c>
      <c r="M1315">
        <v>1894.14</v>
      </c>
      <c r="N1315">
        <v>5</v>
      </c>
      <c r="O1315">
        <v>0.11</v>
      </c>
      <c r="P1315">
        <v>131.21</v>
      </c>
      <c r="Q1315" t="s">
        <v>9893</v>
      </c>
      <c r="R1315">
        <v>3</v>
      </c>
      <c r="S1315" s="5">
        <f t="shared" si="40"/>
        <v>6.9271542758191057E-2</v>
      </c>
      <c r="T1315">
        <v>378.82799999999997</v>
      </c>
      <c r="U1315">
        <v>11</v>
      </c>
      <c r="V1315">
        <v>2022</v>
      </c>
      <c r="W1315">
        <v>4</v>
      </c>
      <c r="X1315" t="s">
        <v>9899</v>
      </c>
      <c r="Y1315" t="s">
        <v>9901</v>
      </c>
      <c r="Z1315" t="s">
        <v>9898</v>
      </c>
      <c r="AD1315">
        <f t="shared" si="41"/>
        <v>3</v>
      </c>
    </row>
    <row r="1316" spans="1:30" x14ac:dyDescent="0.25">
      <c r="A1316" t="s">
        <v>1340</v>
      </c>
      <c r="B1316" s="2">
        <v>45125</v>
      </c>
      <c r="C1316" s="2">
        <v>45129</v>
      </c>
      <c r="D1316" t="s">
        <v>5166</v>
      </c>
      <c r="E1316" t="s">
        <v>5666</v>
      </c>
      <c r="F1316" t="s">
        <v>6028</v>
      </c>
      <c r="G1316" t="s">
        <v>6031</v>
      </c>
      <c r="H1316" t="s">
        <v>6037</v>
      </c>
      <c r="I1316" t="s">
        <v>6052</v>
      </c>
      <c r="J1316" t="s">
        <v>6054</v>
      </c>
      <c r="K1316" t="s">
        <v>6060</v>
      </c>
      <c r="L1316" t="s">
        <v>6894</v>
      </c>
      <c r="M1316">
        <v>1390.9</v>
      </c>
      <c r="N1316">
        <v>7</v>
      </c>
      <c r="O1316">
        <v>0.14000000000000001</v>
      </c>
      <c r="P1316">
        <v>-2.83</v>
      </c>
      <c r="Q1316" t="s">
        <v>9895</v>
      </c>
      <c r="R1316">
        <v>4</v>
      </c>
      <c r="S1316" s="5">
        <f t="shared" si="40"/>
        <v>-2.0346538212668054E-3</v>
      </c>
      <c r="T1316">
        <v>198.7</v>
      </c>
      <c r="U1316">
        <v>7</v>
      </c>
      <c r="V1316">
        <v>2023</v>
      </c>
      <c r="W1316">
        <v>3</v>
      </c>
      <c r="X1316" t="s">
        <v>9898</v>
      </c>
      <c r="Y1316" t="s">
        <v>9901</v>
      </c>
      <c r="Z1316" t="s">
        <v>9898</v>
      </c>
      <c r="AD1316">
        <f t="shared" si="41"/>
        <v>4</v>
      </c>
    </row>
    <row r="1317" spans="1:30" x14ac:dyDescent="0.25">
      <c r="A1317" t="s">
        <v>1341</v>
      </c>
      <c r="B1317" s="2">
        <v>45289</v>
      </c>
      <c r="C1317" s="2">
        <v>45294</v>
      </c>
      <c r="D1317" t="s">
        <v>5436</v>
      </c>
      <c r="E1317" t="s">
        <v>5936</v>
      </c>
      <c r="F1317" t="s">
        <v>6026</v>
      </c>
      <c r="G1317" t="s">
        <v>6031</v>
      </c>
      <c r="H1317" t="s">
        <v>6034</v>
      </c>
      <c r="I1317" t="s">
        <v>6048</v>
      </c>
      <c r="J1317" t="s">
        <v>6055</v>
      </c>
      <c r="K1317" t="s">
        <v>6061</v>
      </c>
      <c r="L1317" t="s">
        <v>7281</v>
      </c>
      <c r="M1317">
        <v>1375.58</v>
      </c>
      <c r="N1317">
        <v>5</v>
      </c>
      <c r="O1317">
        <v>0.12</v>
      </c>
      <c r="P1317">
        <v>159.94999999999999</v>
      </c>
      <c r="Q1317" t="s">
        <v>9897</v>
      </c>
      <c r="R1317">
        <v>5</v>
      </c>
      <c r="S1317" s="5">
        <f t="shared" si="40"/>
        <v>0.11627822445804678</v>
      </c>
      <c r="T1317">
        <v>275.11599999999999</v>
      </c>
      <c r="U1317">
        <v>12</v>
      </c>
      <c r="V1317">
        <v>2023</v>
      </c>
      <c r="W1317">
        <v>4</v>
      </c>
      <c r="X1317" t="s">
        <v>9899</v>
      </c>
      <c r="Y1317" t="s">
        <v>9901</v>
      </c>
      <c r="Z1317" t="s">
        <v>9898</v>
      </c>
      <c r="AD1317">
        <f t="shared" si="41"/>
        <v>5</v>
      </c>
    </row>
    <row r="1318" spans="1:30" x14ac:dyDescent="0.25">
      <c r="A1318" t="s">
        <v>1342</v>
      </c>
      <c r="B1318" s="2">
        <v>45141</v>
      </c>
      <c r="C1318" s="2">
        <v>45147</v>
      </c>
      <c r="D1318" t="s">
        <v>5247</v>
      </c>
      <c r="E1318" t="s">
        <v>5747</v>
      </c>
      <c r="F1318" t="s">
        <v>6028</v>
      </c>
      <c r="G1318" t="s">
        <v>6029</v>
      </c>
      <c r="H1318" t="s">
        <v>6045</v>
      </c>
      <c r="I1318" t="s">
        <v>6046</v>
      </c>
      <c r="J1318" t="s">
        <v>6055</v>
      </c>
      <c r="K1318" t="s">
        <v>6064</v>
      </c>
      <c r="L1318" t="s">
        <v>7282</v>
      </c>
      <c r="M1318">
        <v>1040.5</v>
      </c>
      <c r="N1318">
        <v>5</v>
      </c>
      <c r="O1318">
        <v>0.12</v>
      </c>
      <c r="P1318">
        <v>96.14</v>
      </c>
      <c r="Q1318" t="s">
        <v>9893</v>
      </c>
      <c r="R1318">
        <v>6</v>
      </c>
      <c r="S1318" s="5">
        <f t="shared" si="40"/>
        <v>9.2397885631907734E-2</v>
      </c>
      <c r="T1318">
        <v>208.1</v>
      </c>
      <c r="U1318">
        <v>8</v>
      </c>
      <c r="V1318">
        <v>2023</v>
      </c>
      <c r="W1318">
        <v>3</v>
      </c>
      <c r="X1318" t="s">
        <v>9899</v>
      </c>
      <c r="Y1318" t="s">
        <v>9901</v>
      </c>
      <c r="Z1318" t="s">
        <v>9898</v>
      </c>
      <c r="AD1318">
        <f t="shared" si="41"/>
        <v>6</v>
      </c>
    </row>
    <row r="1319" spans="1:30" x14ac:dyDescent="0.25">
      <c r="A1319" t="s">
        <v>1343</v>
      </c>
      <c r="B1319" s="2">
        <v>45034</v>
      </c>
      <c r="C1319" s="2">
        <v>45038</v>
      </c>
      <c r="D1319" t="s">
        <v>5461</v>
      </c>
      <c r="E1319" t="s">
        <v>5961</v>
      </c>
      <c r="F1319" t="s">
        <v>6026</v>
      </c>
      <c r="G1319" t="s">
        <v>6031</v>
      </c>
      <c r="H1319" t="s">
        <v>6043</v>
      </c>
      <c r="I1319" t="s">
        <v>6048</v>
      </c>
      <c r="J1319" t="s">
        <v>6053</v>
      </c>
      <c r="K1319" t="s">
        <v>6058</v>
      </c>
      <c r="L1319" t="s">
        <v>7283</v>
      </c>
      <c r="M1319">
        <v>1441.94</v>
      </c>
      <c r="N1319">
        <v>3</v>
      </c>
      <c r="O1319">
        <v>0.12</v>
      </c>
      <c r="P1319">
        <v>19.32</v>
      </c>
      <c r="Q1319" t="s">
        <v>9896</v>
      </c>
      <c r="R1319">
        <v>4</v>
      </c>
      <c r="S1319" s="5">
        <f t="shared" si="40"/>
        <v>1.3398615753776162E-2</v>
      </c>
      <c r="T1319">
        <v>480.6466666666667</v>
      </c>
      <c r="U1319">
        <v>4</v>
      </c>
      <c r="V1319">
        <v>2023</v>
      </c>
      <c r="W1319">
        <v>2</v>
      </c>
      <c r="X1319" t="s">
        <v>9899</v>
      </c>
      <c r="Y1319" t="s">
        <v>9901</v>
      </c>
      <c r="Z1319" t="s">
        <v>9898</v>
      </c>
      <c r="AD1319">
        <f t="shared" si="41"/>
        <v>4</v>
      </c>
    </row>
    <row r="1320" spans="1:30" x14ac:dyDescent="0.25">
      <c r="A1320" t="s">
        <v>1344</v>
      </c>
      <c r="B1320" s="2">
        <v>45118</v>
      </c>
      <c r="C1320" s="2">
        <v>45119</v>
      </c>
      <c r="D1320" t="s">
        <v>5268</v>
      </c>
      <c r="E1320" t="s">
        <v>5768</v>
      </c>
      <c r="F1320" t="s">
        <v>6028</v>
      </c>
      <c r="G1320" t="s">
        <v>6030</v>
      </c>
      <c r="H1320" t="s">
        <v>6033</v>
      </c>
      <c r="I1320" t="s">
        <v>6047</v>
      </c>
      <c r="J1320" t="s">
        <v>6055</v>
      </c>
      <c r="K1320" t="s">
        <v>6063</v>
      </c>
      <c r="L1320" t="s">
        <v>6227</v>
      </c>
      <c r="M1320">
        <v>203.62</v>
      </c>
      <c r="N1320">
        <v>5</v>
      </c>
      <c r="O1320">
        <v>0.33</v>
      </c>
      <c r="P1320">
        <v>-11.57</v>
      </c>
      <c r="Q1320" t="s">
        <v>9897</v>
      </c>
      <c r="R1320">
        <v>1</v>
      </c>
      <c r="S1320" s="5">
        <f t="shared" si="40"/>
        <v>-5.6821530301542085E-2</v>
      </c>
      <c r="T1320">
        <v>40.723999999999997</v>
      </c>
      <c r="U1320">
        <v>7</v>
      </c>
      <c r="V1320">
        <v>2023</v>
      </c>
      <c r="W1320">
        <v>3</v>
      </c>
      <c r="X1320" t="s">
        <v>9898</v>
      </c>
      <c r="Y1320" t="s">
        <v>9902</v>
      </c>
      <c r="Z1320" t="s">
        <v>9899</v>
      </c>
      <c r="AD1320">
        <f t="shared" si="41"/>
        <v>1</v>
      </c>
    </row>
    <row r="1321" spans="1:30" x14ac:dyDescent="0.25">
      <c r="A1321" t="s">
        <v>1345</v>
      </c>
      <c r="B1321" s="2">
        <v>44642</v>
      </c>
      <c r="C1321" s="2">
        <v>44649</v>
      </c>
      <c r="D1321" t="s">
        <v>5364</v>
      </c>
      <c r="E1321" t="s">
        <v>5864</v>
      </c>
      <c r="F1321" t="s">
        <v>6028</v>
      </c>
      <c r="G1321" t="s">
        <v>6031</v>
      </c>
      <c r="H1321" t="s">
        <v>6043</v>
      </c>
      <c r="I1321" t="s">
        <v>6048</v>
      </c>
      <c r="J1321" t="s">
        <v>6053</v>
      </c>
      <c r="K1321" t="s">
        <v>6056</v>
      </c>
      <c r="L1321" t="s">
        <v>7284</v>
      </c>
      <c r="M1321">
        <v>1370.39</v>
      </c>
      <c r="N1321">
        <v>4</v>
      </c>
      <c r="O1321">
        <v>0.09</v>
      </c>
      <c r="P1321">
        <v>191.51</v>
      </c>
      <c r="Q1321" t="s">
        <v>9894</v>
      </c>
      <c r="R1321">
        <v>7</v>
      </c>
      <c r="S1321" s="5">
        <f t="shared" si="40"/>
        <v>0.13974853873714779</v>
      </c>
      <c r="T1321">
        <v>342.59750000000003</v>
      </c>
      <c r="U1321">
        <v>3</v>
      </c>
      <c r="V1321">
        <v>2022</v>
      </c>
      <c r="W1321">
        <v>1</v>
      </c>
      <c r="X1321" t="s">
        <v>9899</v>
      </c>
      <c r="Y1321" t="s">
        <v>9901</v>
      </c>
      <c r="Z1321" t="s">
        <v>9898</v>
      </c>
      <c r="AD1321">
        <f t="shared" si="41"/>
        <v>7</v>
      </c>
    </row>
    <row r="1322" spans="1:30" x14ac:dyDescent="0.25">
      <c r="A1322" t="s">
        <v>1346</v>
      </c>
      <c r="B1322" s="2">
        <v>44996</v>
      </c>
      <c r="C1322" s="2">
        <v>44998</v>
      </c>
      <c r="D1322" t="s">
        <v>5447</v>
      </c>
      <c r="E1322" t="s">
        <v>5947</v>
      </c>
      <c r="F1322" t="s">
        <v>6026</v>
      </c>
      <c r="G1322" t="s">
        <v>6030</v>
      </c>
      <c r="H1322" t="s">
        <v>6033</v>
      </c>
      <c r="I1322" t="s">
        <v>6047</v>
      </c>
      <c r="J1322" t="s">
        <v>6053</v>
      </c>
      <c r="K1322" t="s">
        <v>6056</v>
      </c>
      <c r="L1322" t="s">
        <v>6552</v>
      </c>
      <c r="M1322">
        <v>755.05</v>
      </c>
      <c r="N1322">
        <v>6</v>
      </c>
      <c r="O1322">
        <v>0.16</v>
      </c>
      <c r="P1322">
        <v>83.96</v>
      </c>
      <c r="Q1322" t="s">
        <v>9897</v>
      </c>
      <c r="R1322">
        <v>2</v>
      </c>
      <c r="S1322" s="5">
        <f t="shared" si="40"/>
        <v>0.11119793391166148</v>
      </c>
      <c r="T1322">
        <v>125.8416666666667</v>
      </c>
      <c r="U1322">
        <v>3</v>
      </c>
      <c r="V1322">
        <v>2023</v>
      </c>
      <c r="W1322">
        <v>1</v>
      </c>
      <c r="X1322" t="s">
        <v>9899</v>
      </c>
      <c r="Y1322" t="s">
        <v>9900</v>
      </c>
      <c r="Z1322" t="s">
        <v>9899</v>
      </c>
      <c r="AD1322">
        <f t="shared" si="41"/>
        <v>2</v>
      </c>
    </row>
    <row r="1323" spans="1:30" x14ac:dyDescent="0.25">
      <c r="A1323" t="s">
        <v>1347</v>
      </c>
      <c r="B1323" s="2">
        <v>45115</v>
      </c>
      <c r="C1323" s="2">
        <v>45119</v>
      </c>
      <c r="D1323" t="s">
        <v>5302</v>
      </c>
      <c r="E1323" t="s">
        <v>5802</v>
      </c>
      <c r="F1323" t="s">
        <v>6027</v>
      </c>
      <c r="G1323" t="s">
        <v>6029</v>
      </c>
      <c r="H1323" t="s">
        <v>6032</v>
      </c>
      <c r="I1323" t="s">
        <v>6046</v>
      </c>
      <c r="J1323" t="s">
        <v>6054</v>
      </c>
      <c r="K1323" t="s">
        <v>6062</v>
      </c>
      <c r="L1323" t="s">
        <v>7285</v>
      </c>
      <c r="M1323">
        <v>1003.91</v>
      </c>
      <c r="N1323">
        <v>4</v>
      </c>
      <c r="O1323">
        <v>0.03</v>
      </c>
      <c r="P1323">
        <v>181.83</v>
      </c>
      <c r="Q1323" t="s">
        <v>9896</v>
      </c>
      <c r="R1323">
        <v>4</v>
      </c>
      <c r="S1323" s="5">
        <f t="shared" si="40"/>
        <v>0.18112181370840016</v>
      </c>
      <c r="T1323">
        <v>250.97749999999999</v>
      </c>
      <c r="U1323">
        <v>7</v>
      </c>
      <c r="V1323">
        <v>2023</v>
      </c>
      <c r="W1323">
        <v>3</v>
      </c>
      <c r="X1323" t="s">
        <v>9899</v>
      </c>
      <c r="Y1323" t="s">
        <v>9901</v>
      </c>
      <c r="Z1323" t="s">
        <v>9898</v>
      </c>
      <c r="AD1323">
        <f t="shared" si="41"/>
        <v>4</v>
      </c>
    </row>
    <row r="1324" spans="1:30" x14ac:dyDescent="0.25">
      <c r="A1324" t="s">
        <v>1348</v>
      </c>
      <c r="B1324" s="2">
        <v>45288</v>
      </c>
      <c r="C1324" s="2">
        <v>45290</v>
      </c>
      <c r="D1324" t="s">
        <v>5409</v>
      </c>
      <c r="E1324" t="s">
        <v>5909</v>
      </c>
      <c r="F1324" t="s">
        <v>6027</v>
      </c>
      <c r="G1324" t="s">
        <v>6029</v>
      </c>
      <c r="H1324" t="s">
        <v>6045</v>
      </c>
      <c r="I1324" t="s">
        <v>6049</v>
      </c>
      <c r="J1324" t="s">
        <v>6054</v>
      </c>
      <c r="K1324" t="s">
        <v>6062</v>
      </c>
      <c r="L1324" t="s">
        <v>7286</v>
      </c>
      <c r="M1324">
        <v>1555.77</v>
      </c>
      <c r="N1324">
        <v>1</v>
      </c>
      <c r="O1324">
        <v>0.32</v>
      </c>
      <c r="P1324">
        <v>-311.54000000000002</v>
      </c>
      <c r="Q1324" t="s">
        <v>9894</v>
      </c>
      <c r="R1324">
        <v>2</v>
      </c>
      <c r="S1324" s="5">
        <f t="shared" si="40"/>
        <v>-0.20024810865359277</v>
      </c>
      <c r="T1324">
        <v>1555.77</v>
      </c>
      <c r="U1324">
        <v>12</v>
      </c>
      <c r="V1324">
        <v>2023</v>
      </c>
      <c r="W1324">
        <v>4</v>
      </c>
      <c r="X1324" t="s">
        <v>9898</v>
      </c>
      <c r="Y1324" t="s">
        <v>9902</v>
      </c>
      <c r="Z1324" t="s">
        <v>9898</v>
      </c>
      <c r="AD1324">
        <f t="shared" si="41"/>
        <v>2</v>
      </c>
    </row>
    <row r="1325" spans="1:30" x14ac:dyDescent="0.25">
      <c r="A1325" t="s">
        <v>1349</v>
      </c>
      <c r="B1325" s="2">
        <v>44867</v>
      </c>
      <c r="C1325" s="2">
        <v>44868</v>
      </c>
      <c r="D1325" t="s">
        <v>5492</v>
      </c>
      <c r="E1325" t="s">
        <v>5992</v>
      </c>
      <c r="F1325" t="s">
        <v>6028</v>
      </c>
      <c r="G1325" t="s">
        <v>6029</v>
      </c>
      <c r="H1325" t="s">
        <v>6044</v>
      </c>
      <c r="I1325" t="s">
        <v>6046</v>
      </c>
      <c r="J1325" t="s">
        <v>6055</v>
      </c>
      <c r="K1325" t="s">
        <v>6064</v>
      </c>
      <c r="L1325" t="s">
        <v>7287</v>
      </c>
      <c r="M1325">
        <v>1307.1199999999999</v>
      </c>
      <c r="N1325">
        <v>4</v>
      </c>
      <c r="O1325">
        <v>0.3</v>
      </c>
      <c r="P1325">
        <v>-256.55</v>
      </c>
      <c r="Q1325" t="s">
        <v>9894</v>
      </c>
      <c r="R1325">
        <v>1</v>
      </c>
      <c r="S1325" s="5">
        <f t="shared" si="40"/>
        <v>-0.19627119162739459</v>
      </c>
      <c r="T1325">
        <v>326.77999999999997</v>
      </c>
      <c r="U1325">
        <v>11</v>
      </c>
      <c r="V1325">
        <v>2022</v>
      </c>
      <c r="W1325">
        <v>4</v>
      </c>
      <c r="X1325" t="s">
        <v>9898</v>
      </c>
      <c r="Y1325" t="s">
        <v>9900</v>
      </c>
      <c r="Z1325" t="s">
        <v>9898</v>
      </c>
      <c r="AD1325">
        <f t="shared" si="41"/>
        <v>1</v>
      </c>
    </row>
    <row r="1326" spans="1:30" x14ac:dyDescent="0.25">
      <c r="A1326" t="s">
        <v>1350</v>
      </c>
      <c r="B1326" s="2">
        <v>45003</v>
      </c>
      <c r="C1326" s="2">
        <v>45010</v>
      </c>
      <c r="D1326" t="s">
        <v>5479</v>
      </c>
      <c r="E1326" t="s">
        <v>5979</v>
      </c>
      <c r="F1326" t="s">
        <v>6027</v>
      </c>
      <c r="G1326" t="s">
        <v>6031</v>
      </c>
      <c r="H1326" t="s">
        <v>6034</v>
      </c>
      <c r="I1326" t="s">
        <v>6048</v>
      </c>
      <c r="J1326" t="s">
        <v>6055</v>
      </c>
      <c r="K1326" t="s">
        <v>6063</v>
      </c>
      <c r="L1326" t="s">
        <v>7288</v>
      </c>
      <c r="M1326">
        <v>918.82</v>
      </c>
      <c r="N1326">
        <v>3</v>
      </c>
      <c r="O1326">
        <v>0.12</v>
      </c>
      <c r="P1326">
        <v>148.6</v>
      </c>
      <c r="Q1326" t="s">
        <v>9893</v>
      </c>
      <c r="R1326">
        <v>7</v>
      </c>
      <c r="S1326" s="5">
        <f t="shared" si="40"/>
        <v>0.16172917437582984</v>
      </c>
      <c r="T1326">
        <v>306.27333333333343</v>
      </c>
      <c r="U1326">
        <v>3</v>
      </c>
      <c r="V1326">
        <v>2023</v>
      </c>
      <c r="W1326">
        <v>1</v>
      </c>
      <c r="X1326" t="s">
        <v>9899</v>
      </c>
      <c r="Y1326" t="s">
        <v>9901</v>
      </c>
      <c r="Z1326" t="s">
        <v>9899</v>
      </c>
      <c r="AD1326">
        <f t="shared" si="41"/>
        <v>7</v>
      </c>
    </row>
    <row r="1327" spans="1:30" x14ac:dyDescent="0.25">
      <c r="A1327" t="s">
        <v>1351</v>
      </c>
      <c r="B1327" s="2">
        <v>44967</v>
      </c>
      <c r="C1327" s="2">
        <v>44972</v>
      </c>
      <c r="D1327" t="s">
        <v>5139</v>
      </c>
      <c r="E1327" t="s">
        <v>5639</v>
      </c>
      <c r="F1327" t="s">
        <v>6027</v>
      </c>
      <c r="G1327" t="s">
        <v>6031</v>
      </c>
      <c r="H1327" t="s">
        <v>6037</v>
      </c>
      <c r="I1327" t="s">
        <v>6048</v>
      </c>
      <c r="J1327" t="s">
        <v>6053</v>
      </c>
      <c r="K1327" t="s">
        <v>6056</v>
      </c>
      <c r="L1327" t="s">
        <v>7289</v>
      </c>
      <c r="M1327">
        <v>1946.94</v>
      </c>
      <c r="N1327">
        <v>3</v>
      </c>
      <c r="O1327">
        <v>0.04</v>
      </c>
      <c r="P1327">
        <v>404.1</v>
      </c>
      <c r="Q1327" t="s">
        <v>9896</v>
      </c>
      <c r="R1327">
        <v>5</v>
      </c>
      <c r="S1327" s="5">
        <f t="shared" si="40"/>
        <v>0.20755647323492249</v>
      </c>
      <c r="T1327">
        <v>648.98</v>
      </c>
      <c r="U1327">
        <v>2</v>
      </c>
      <c r="V1327">
        <v>2023</v>
      </c>
      <c r="W1327">
        <v>1</v>
      </c>
      <c r="X1327" t="s">
        <v>9899</v>
      </c>
      <c r="Y1327" t="s">
        <v>9901</v>
      </c>
      <c r="Z1327" t="s">
        <v>9898</v>
      </c>
      <c r="AD1327">
        <f t="shared" si="41"/>
        <v>5</v>
      </c>
    </row>
    <row r="1328" spans="1:30" x14ac:dyDescent="0.25">
      <c r="A1328" t="s">
        <v>1352</v>
      </c>
      <c r="B1328" s="2">
        <v>45046</v>
      </c>
      <c r="C1328" s="2">
        <v>45049</v>
      </c>
      <c r="D1328" t="s">
        <v>5285</v>
      </c>
      <c r="E1328" t="s">
        <v>5785</v>
      </c>
      <c r="F1328" t="s">
        <v>6027</v>
      </c>
      <c r="G1328" t="s">
        <v>6030</v>
      </c>
      <c r="H1328" t="s">
        <v>6038</v>
      </c>
      <c r="I1328" t="s">
        <v>6051</v>
      </c>
      <c r="J1328" t="s">
        <v>6053</v>
      </c>
      <c r="K1328" t="s">
        <v>6056</v>
      </c>
      <c r="L1328" t="s">
        <v>7290</v>
      </c>
      <c r="M1328">
        <v>1560.19</v>
      </c>
      <c r="N1328">
        <v>4</v>
      </c>
      <c r="O1328">
        <v>0.1</v>
      </c>
      <c r="P1328">
        <v>256.89</v>
      </c>
      <c r="Q1328" t="s">
        <v>9896</v>
      </c>
      <c r="R1328">
        <v>3</v>
      </c>
      <c r="S1328" s="5">
        <f t="shared" si="40"/>
        <v>0.16465302302924642</v>
      </c>
      <c r="T1328">
        <v>390.04750000000001</v>
      </c>
      <c r="U1328">
        <v>4</v>
      </c>
      <c r="V1328">
        <v>2023</v>
      </c>
      <c r="W1328">
        <v>2</v>
      </c>
      <c r="X1328" t="s">
        <v>9899</v>
      </c>
      <c r="Y1328" t="s">
        <v>9901</v>
      </c>
      <c r="Z1328" t="s">
        <v>9898</v>
      </c>
      <c r="AD1328">
        <f t="shared" si="41"/>
        <v>3</v>
      </c>
    </row>
    <row r="1329" spans="1:30" x14ac:dyDescent="0.25">
      <c r="A1329" t="s">
        <v>1353</v>
      </c>
      <c r="B1329" s="2">
        <v>44757</v>
      </c>
      <c r="C1329" s="2">
        <v>44760</v>
      </c>
      <c r="D1329" t="s">
        <v>5080</v>
      </c>
      <c r="E1329" t="s">
        <v>5580</v>
      </c>
      <c r="F1329" t="s">
        <v>6026</v>
      </c>
      <c r="G1329" t="s">
        <v>6031</v>
      </c>
      <c r="H1329" t="s">
        <v>6043</v>
      </c>
      <c r="I1329" t="s">
        <v>6050</v>
      </c>
      <c r="J1329" t="s">
        <v>6054</v>
      </c>
      <c r="K1329" t="s">
        <v>6059</v>
      </c>
      <c r="L1329" t="s">
        <v>7291</v>
      </c>
      <c r="M1329">
        <v>1348.38</v>
      </c>
      <c r="N1329">
        <v>4</v>
      </c>
      <c r="O1329">
        <v>0.08</v>
      </c>
      <c r="P1329">
        <v>205.38</v>
      </c>
      <c r="Q1329" t="s">
        <v>9897</v>
      </c>
      <c r="R1329">
        <v>3</v>
      </c>
      <c r="S1329" s="5">
        <f t="shared" si="40"/>
        <v>0.15231611266853556</v>
      </c>
      <c r="T1329">
        <v>337.09500000000003</v>
      </c>
      <c r="U1329">
        <v>7</v>
      </c>
      <c r="V1329">
        <v>2022</v>
      </c>
      <c r="W1329">
        <v>3</v>
      </c>
      <c r="X1329" t="s">
        <v>9899</v>
      </c>
      <c r="Y1329" t="s">
        <v>9901</v>
      </c>
      <c r="Z1329" t="s">
        <v>9898</v>
      </c>
      <c r="AD1329">
        <f t="shared" si="41"/>
        <v>3</v>
      </c>
    </row>
    <row r="1330" spans="1:30" x14ac:dyDescent="0.25">
      <c r="A1330" t="s">
        <v>1354</v>
      </c>
      <c r="B1330" s="2">
        <v>44741</v>
      </c>
      <c r="C1330" s="2">
        <v>44745</v>
      </c>
      <c r="D1330" t="s">
        <v>5430</v>
      </c>
      <c r="E1330" t="s">
        <v>5930</v>
      </c>
      <c r="F1330" t="s">
        <v>6027</v>
      </c>
      <c r="G1330" t="s">
        <v>6030</v>
      </c>
      <c r="H1330" t="s">
        <v>6039</v>
      </c>
      <c r="I1330" t="s">
        <v>6047</v>
      </c>
      <c r="J1330" t="s">
        <v>6054</v>
      </c>
      <c r="K1330" t="s">
        <v>6062</v>
      </c>
      <c r="L1330" t="s">
        <v>7292</v>
      </c>
      <c r="M1330">
        <v>145.82</v>
      </c>
      <c r="N1330">
        <v>7</v>
      </c>
      <c r="O1330">
        <v>0.06</v>
      </c>
      <c r="P1330">
        <v>8.86</v>
      </c>
      <c r="Q1330" t="s">
        <v>9895</v>
      </c>
      <c r="R1330">
        <v>4</v>
      </c>
      <c r="S1330" s="5">
        <f t="shared" si="40"/>
        <v>6.0759840899739403E-2</v>
      </c>
      <c r="T1330">
        <v>20.831428571428571</v>
      </c>
      <c r="U1330">
        <v>6</v>
      </c>
      <c r="V1330">
        <v>2022</v>
      </c>
      <c r="W1330">
        <v>2</v>
      </c>
      <c r="X1330" t="s">
        <v>9899</v>
      </c>
      <c r="Y1330" t="s">
        <v>9901</v>
      </c>
      <c r="Z1330" t="s">
        <v>9899</v>
      </c>
      <c r="AD1330">
        <f t="shared" si="41"/>
        <v>4</v>
      </c>
    </row>
    <row r="1331" spans="1:30" x14ac:dyDescent="0.25">
      <c r="A1331" t="s">
        <v>1355</v>
      </c>
      <c r="B1331" s="2">
        <v>44691</v>
      </c>
      <c r="C1331" s="2">
        <v>44696</v>
      </c>
      <c r="D1331" t="s">
        <v>5464</v>
      </c>
      <c r="E1331" t="s">
        <v>5964</v>
      </c>
      <c r="F1331" t="s">
        <v>6026</v>
      </c>
      <c r="G1331" t="s">
        <v>6030</v>
      </c>
      <c r="H1331" t="s">
        <v>6033</v>
      </c>
      <c r="I1331" t="s">
        <v>6047</v>
      </c>
      <c r="J1331" t="s">
        <v>6055</v>
      </c>
      <c r="K1331" t="s">
        <v>6061</v>
      </c>
      <c r="L1331" t="s">
        <v>7293</v>
      </c>
      <c r="M1331">
        <v>458.14</v>
      </c>
      <c r="N1331">
        <v>5</v>
      </c>
      <c r="O1331">
        <v>0.23</v>
      </c>
      <c r="P1331">
        <v>-6.04</v>
      </c>
      <c r="Q1331" t="s">
        <v>9896</v>
      </c>
      <c r="R1331">
        <v>5</v>
      </c>
      <c r="S1331" s="5">
        <f t="shared" si="40"/>
        <v>-1.3183742960667046E-2</v>
      </c>
      <c r="T1331">
        <v>91.628</v>
      </c>
      <c r="U1331">
        <v>5</v>
      </c>
      <c r="V1331">
        <v>2022</v>
      </c>
      <c r="W1331">
        <v>2</v>
      </c>
      <c r="X1331" t="s">
        <v>9898</v>
      </c>
      <c r="Y1331" t="s">
        <v>9900</v>
      </c>
      <c r="Z1331" t="s">
        <v>9899</v>
      </c>
      <c r="AD1331">
        <f t="shared" si="41"/>
        <v>5</v>
      </c>
    </row>
    <row r="1332" spans="1:30" x14ac:dyDescent="0.25">
      <c r="A1332" t="s">
        <v>1356</v>
      </c>
      <c r="B1332" s="2">
        <v>44597</v>
      </c>
      <c r="C1332" s="2">
        <v>44599</v>
      </c>
      <c r="D1332" t="s">
        <v>5459</v>
      </c>
      <c r="E1332" t="s">
        <v>5959</v>
      </c>
      <c r="F1332" t="s">
        <v>6026</v>
      </c>
      <c r="G1332" t="s">
        <v>6029</v>
      </c>
      <c r="H1332" t="s">
        <v>6041</v>
      </c>
      <c r="I1332" t="s">
        <v>6046</v>
      </c>
      <c r="J1332" t="s">
        <v>6054</v>
      </c>
      <c r="K1332" t="s">
        <v>6059</v>
      </c>
      <c r="L1332" t="s">
        <v>7294</v>
      </c>
      <c r="M1332">
        <v>1390.35</v>
      </c>
      <c r="N1332">
        <v>5</v>
      </c>
      <c r="O1332">
        <v>0.04</v>
      </c>
      <c r="P1332">
        <v>150.91999999999999</v>
      </c>
      <c r="Q1332" t="s">
        <v>9895</v>
      </c>
      <c r="R1332">
        <v>2</v>
      </c>
      <c r="S1332" s="5">
        <f t="shared" si="40"/>
        <v>0.1085482072859352</v>
      </c>
      <c r="T1332">
        <v>278.07</v>
      </c>
      <c r="U1332">
        <v>2</v>
      </c>
      <c r="V1332">
        <v>2022</v>
      </c>
      <c r="W1332">
        <v>1</v>
      </c>
      <c r="X1332" t="s">
        <v>9899</v>
      </c>
      <c r="Y1332" t="s">
        <v>9901</v>
      </c>
      <c r="Z1332" t="s">
        <v>9898</v>
      </c>
      <c r="AD1332">
        <f t="shared" si="41"/>
        <v>2</v>
      </c>
    </row>
    <row r="1333" spans="1:30" x14ac:dyDescent="0.25">
      <c r="A1333" t="s">
        <v>1357</v>
      </c>
      <c r="B1333" s="2">
        <v>44851</v>
      </c>
      <c r="C1333" s="2">
        <v>44854</v>
      </c>
      <c r="D1333" t="s">
        <v>5287</v>
      </c>
      <c r="E1333" t="s">
        <v>5787</v>
      </c>
      <c r="F1333" t="s">
        <v>6028</v>
      </c>
      <c r="G1333" t="s">
        <v>6029</v>
      </c>
      <c r="H1333" t="s">
        <v>6032</v>
      </c>
      <c r="I1333" t="s">
        <v>6046</v>
      </c>
      <c r="J1333" t="s">
        <v>6055</v>
      </c>
      <c r="K1333" t="s">
        <v>6064</v>
      </c>
      <c r="L1333" t="s">
        <v>7295</v>
      </c>
      <c r="M1333">
        <v>1891.78</v>
      </c>
      <c r="N1333">
        <v>8</v>
      </c>
      <c r="O1333">
        <v>0</v>
      </c>
      <c r="P1333">
        <v>457.25</v>
      </c>
      <c r="Q1333" t="s">
        <v>9897</v>
      </c>
      <c r="R1333">
        <v>3</v>
      </c>
      <c r="S1333" s="5">
        <f t="shared" si="40"/>
        <v>0.24170358075463322</v>
      </c>
      <c r="T1333">
        <v>236.4725</v>
      </c>
      <c r="U1333">
        <v>10</v>
      </c>
      <c r="V1333">
        <v>2022</v>
      </c>
      <c r="W1333">
        <v>4</v>
      </c>
      <c r="X1333" t="s">
        <v>9899</v>
      </c>
      <c r="Y1333" t="s">
        <v>9901</v>
      </c>
      <c r="Z1333" t="s">
        <v>9898</v>
      </c>
      <c r="AD1333">
        <f t="shared" si="41"/>
        <v>3</v>
      </c>
    </row>
    <row r="1334" spans="1:30" x14ac:dyDescent="0.25">
      <c r="A1334" t="s">
        <v>1358</v>
      </c>
      <c r="B1334" s="2">
        <v>45229</v>
      </c>
      <c r="C1334" s="2">
        <v>45236</v>
      </c>
      <c r="D1334" t="s">
        <v>5176</v>
      </c>
      <c r="E1334" t="s">
        <v>5676</v>
      </c>
      <c r="F1334" t="s">
        <v>6026</v>
      </c>
      <c r="G1334" t="s">
        <v>6029</v>
      </c>
      <c r="H1334" t="s">
        <v>6041</v>
      </c>
      <c r="I1334" t="s">
        <v>6046</v>
      </c>
      <c r="J1334" t="s">
        <v>6053</v>
      </c>
      <c r="K1334" t="s">
        <v>6057</v>
      </c>
      <c r="L1334" t="s">
        <v>7296</v>
      </c>
      <c r="M1334">
        <v>1332.31</v>
      </c>
      <c r="N1334">
        <v>5</v>
      </c>
      <c r="O1334">
        <v>0.04</v>
      </c>
      <c r="P1334">
        <v>182.51</v>
      </c>
      <c r="Q1334" t="s">
        <v>9895</v>
      </c>
      <c r="R1334">
        <v>7</v>
      </c>
      <c r="S1334" s="5">
        <f t="shared" si="40"/>
        <v>0.13698763801217434</v>
      </c>
      <c r="T1334">
        <v>266.46199999999999</v>
      </c>
      <c r="U1334">
        <v>10</v>
      </c>
      <c r="V1334">
        <v>2023</v>
      </c>
      <c r="W1334">
        <v>4</v>
      </c>
      <c r="X1334" t="s">
        <v>9899</v>
      </c>
      <c r="Y1334" t="s">
        <v>9901</v>
      </c>
      <c r="Z1334" t="s">
        <v>9898</v>
      </c>
      <c r="AD1334">
        <f t="shared" si="41"/>
        <v>7</v>
      </c>
    </row>
    <row r="1335" spans="1:30" x14ac:dyDescent="0.25">
      <c r="A1335" t="s">
        <v>1359</v>
      </c>
      <c r="B1335" s="2">
        <v>44989</v>
      </c>
      <c r="C1335" s="2">
        <v>44996</v>
      </c>
      <c r="D1335" t="s">
        <v>5475</v>
      </c>
      <c r="E1335" t="s">
        <v>5975</v>
      </c>
      <c r="F1335" t="s">
        <v>6027</v>
      </c>
      <c r="G1335" t="s">
        <v>6031</v>
      </c>
      <c r="H1335" t="s">
        <v>6037</v>
      </c>
      <c r="I1335" t="s">
        <v>6052</v>
      </c>
      <c r="J1335" t="s">
        <v>6055</v>
      </c>
      <c r="K1335" t="s">
        <v>6064</v>
      </c>
      <c r="L1335" t="s">
        <v>7297</v>
      </c>
      <c r="M1335">
        <v>1281.5899999999999</v>
      </c>
      <c r="N1335">
        <v>1</v>
      </c>
      <c r="O1335">
        <v>0.25</v>
      </c>
      <c r="P1335">
        <v>15.75</v>
      </c>
      <c r="Q1335" t="s">
        <v>9896</v>
      </c>
      <c r="R1335">
        <v>7</v>
      </c>
      <c r="S1335" s="5">
        <f t="shared" si="40"/>
        <v>1.2289421733939872E-2</v>
      </c>
      <c r="T1335">
        <v>1281.5899999999999</v>
      </c>
      <c r="U1335">
        <v>3</v>
      </c>
      <c r="V1335">
        <v>2023</v>
      </c>
      <c r="W1335">
        <v>1</v>
      </c>
      <c r="X1335" t="s">
        <v>9899</v>
      </c>
      <c r="Y1335" t="s">
        <v>9900</v>
      </c>
      <c r="Z1335" t="s">
        <v>9898</v>
      </c>
      <c r="AD1335">
        <f t="shared" si="41"/>
        <v>7</v>
      </c>
    </row>
    <row r="1336" spans="1:30" x14ac:dyDescent="0.25">
      <c r="A1336" t="s">
        <v>1360</v>
      </c>
      <c r="B1336" s="2">
        <v>44746</v>
      </c>
      <c r="C1336" s="2">
        <v>44747</v>
      </c>
      <c r="D1336" t="s">
        <v>5089</v>
      </c>
      <c r="E1336" t="s">
        <v>5589</v>
      </c>
      <c r="F1336" t="s">
        <v>6027</v>
      </c>
      <c r="G1336" t="s">
        <v>6029</v>
      </c>
      <c r="H1336" t="s">
        <v>6036</v>
      </c>
      <c r="I1336" t="s">
        <v>6049</v>
      </c>
      <c r="J1336" t="s">
        <v>6053</v>
      </c>
      <c r="K1336" t="s">
        <v>6056</v>
      </c>
      <c r="L1336" t="s">
        <v>6906</v>
      </c>
      <c r="M1336">
        <v>1837.79</v>
      </c>
      <c r="N1336">
        <v>6</v>
      </c>
      <c r="O1336">
        <v>0.33</v>
      </c>
      <c r="P1336">
        <v>-139.36000000000001</v>
      </c>
      <c r="Q1336" t="s">
        <v>9897</v>
      </c>
      <c r="R1336">
        <v>1</v>
      </c>
      <c r="S1336" s="5">
        <f t="shared" si="40"/>
        <v>-7.5830209109854774E-2</v>
      </c>
      <c r="T1336">
        <v>306.29833333333329</v>
      </c>
      <c r="U1336">
        <v>7</v>
      </c>
      <c r="V1336">
        <v>2022</v>
      </c>
      <c r="W1336">
        <v>3</v>
      </c>
      <c r="X1336" t="s">
        <v>9898</v>
      </c>
      <c r="Y1336" t="s">
        <v>9902</v>
      </c>
      <c r="Z1336" t="s">
        <v>9898</v>
      </c>
      <c r="AD1336">
        <f t="shared" si="41"/>
        <v>1</v>
      </c>
    </row>
    <row r="1337" spans="1:30" x14ac:dyDescent="0.25">
      <c r="A1337" t="s">
        <v>1361</v>
      </c>
      <c r="B1337" s="2">
        <v>45288</v>
      </c>
      <c r="C1337" s="2">
        <v>45292</v>
      </c>
      <c r="D1337" t="s">
        <v>5158</v>
      </c>
      <c r="E1337" t="s">
        <v>5658</v>
      </c>
      <c r="F1337" t="s">
        <v>6027</v>
      </c>
      <c r="G1337" t="s">
        <v>6031</v>
      </c>
      <c r="H1337" t="s">
        <v>6040</v>
      </c>
      <c r="I1337" t="s">
        <v>6052</v>
      </c>
      <c r="J1337" t="s">
        <v>6055</v>
      </c>
      <c r="K1337" t="s">
        <v>6061</v>
      </c>
      <c r="L1337" t="s">
        <v>7298</v>
      </c>
      <c r="M1337">
        <v>1503.93</v>
      </c>
      <c r="N1337">
        <v>4</v>
      </c>
      <c r="O1337">
        <v>7.0000000000000007E-2</v>
      </c>
      <c r="P1337">
        <v>157.02000000000001</v>
      </c>
      <c r="Q1337" t="s">
        <v>9897</v>
      </c>
      <c r="R1337">
        <v>4</v>
      </c>
      <c r="S1337" s="5">
        <f t="shared" si="40"/>
        <v>0.10440645508767031</v>
      </c>
      <c r="T1337">
        <v>375.98250000000002</v>
      </c>
      <c r="U1337">
        <v>12</v>
      </c>
      <c r="V1337">
        <v>2023</v>
      </c>
      <c r="W1337">
        <v>4</v>
      </c>
      <c r="X1337" t="s">
        <v>9899</v>
      </c>
      <c r="Y1337" t="s">
        <v>9901</v>
      </c>
      <c r="Z1337" t="s">
        <v>9898</v>
      </c>
      <c r="AD1337">
        <f t="shared" si="41"/>
        <v>4</v>
      </c>
    </row>
    <row r="1338" spans="1:30" x14ac:dyDescent="0.25">
      <c r="A1338" t="s">
        <v>1362</v>
      </c>
      <c r="B1338" s="2">
        <v>45197</v>
      </c>
      <c r="C1338" s="2">
        <v>45204</v>
      </c>
      <c r="D1338" t="s">
        <v>5315</v>
      </c>
      <c r="E1338" t="s">
        <v>5815</v>
      </c>
      <c r="F1338" t="s">
        <v>6026</v>
      </c>
      <c r="G1338" t="s">
        <v>6030</v>
      </c>
      <c r="H1338" t="s">
        <v>6035</v>
      </c>
      <c r="I1338" t="s">
        <v>6051</v>
      </c>
      <c r="J1338" t="s">
        <v>6053</v>
      </c>
      <c r="K1338" t="s">
        <v>6056</v>
      </c>
      <c r="L1338" t="s">
        <v>6500</v>
      </c>
      <c r="M1338">
        <v>1216.02</v>
      </c>
      <c r="N1338">
        <v>2</v>
      </c>
      <c r="O1338">
        <v>0.3</v>
      </c>
      <c r="P1338">
        <v>-193.07</v>
      </c>
      <c r="Q1338" t="s">
        <v>9894</v>
      </c>
      <c r="R1338">
        <v>7</v>
      </c>
      <c r="S1338" s="5">
        <f t="shared" si="40"/>
        <v>-0.15877205967007121</v>
      </c>
      <c r="T1338">
        <v>608.01</v>
      </c>
      <c r="U1338">
        <v>9</v>
      </c>
      <c r="V1338">
        <v>2023</v>
      </c>
      <c r="W1338">
        <v>3</v>
      </c>
      <c r="X1338" t="s">
        <v>9898</v>
      </c>
      <c r="Y1338" t="s">
        <v>9900</v>
      </c>
      <c r="Z1338" t="s">
        <v>9898</v>
      </c>
      <c r="AD1338">
        <f t="shared" si="41"/>
        <v>7</v>
      </c>
    </row>
    <row r="1339" spans="1:30" x14ac:dyDescent="0.25">
      <c r="A1339" t="s">
        <v>1363</v>
      </c>
      <c r="B1339" s="2">
        <v>45460</v>
      </c>
      <c r="C1339" s="2">
        <v>45465</v>
      </c>
      <c r="D1339" t="s">
        <v>5347</v>
      </c>
      <c r="E1339" t="s">
        <v>5847</v>
      </c>
      <c r="F1339" t="s">
        <v>6028</v>
      </c>
      <c r="G1339" t="s">
        <v>6029</v>
      </c>
      <c r="H1339" t="s">
        <v>6036</v>
      </c>
      <c r="I1339" t="s">
        <v>6050</v>
      </c>
      <c r="J1339" t="s">
        <v>6053</v>
      </c>
      <c r="K1339" t="s">
        <v>6058</v>
      </c>
      <c r="L1339" t="s">
        <v>7299</v>
      </c>
      <c r="M1339">
        <v>115.48</v>
      </c>
      <c r="N1339">
        <v>6</v>
      </c>
      <c r="O1339">
        <v>0.09</v>
      </c>
      <c r="P1339">
        <v>14.12</v>
      </c>
      <c r="Q1339" t="s">
        <v>9897</v>
      </c>
      <c r="R1339">
        <v>5</v>
      </c>
      <c r="S1339" s="5">
        <f t="shared" si="40"/>
        <v>0.12227225493591963</v>
      </c>
      <c r="T1339">
        <v>19.24666666666667</v>
      </c>
      <c r="U1339">
        <v>6</v>
      </c>
      <c r="V1339">
        <v>2024</v>
      </c>
      <c r="W1339">
        <v>2</v>
      </c>
      <c r="X1339" t="s">
        <v>9899</v>
      </c>
      <c r="Y1339" t="s">
        <v>9901</v>
      </c>
      <c r="Z1339" t="s">
        <v>9899</v>
      </c>
      <c r="AD1339">
        <f t="shared" si="41"/>
        <v>5</v>
      </c>
    </row>
    <row r="1340" spans="1:30" x14ac:dyDescent="0.25">
      <c r="A1340" t="s">
        <v>1364</v>
      </c>
      <c r="B1340" s="2">
        <v>44822</v>
      </c>
      <c r="C1340" s="2">
        <v>44825</v>
      </c>
      <c r="D1340" t="s">
        <v>5493</v>
      </c>
      <c r="E1340" t="s">
        <v>5993</v>
      </c>
      <c r="F1340" t="s">
        <v>6028</v>
      </c>
      <c r="G1340" t="s">
        <v>6029</v>
      </c>
      <c r="H1340" t="s">
        <v>6044</v>
      </c>
      <c r="I1340" t="s">
        <v>6046</v>
      </c>
      <c r="J1340" t="s">
        <v>6055</v>
      </c>
      <c r="K1340" t="s">
        <v>6063</v>
      </c>
      <c r="L1340" t="s">
        <v>7300</v>
      </c>
      <c r="M1340">
        <v>1141.32</v>
      </c>
      <c r="N1340">
        <v>1</v>
      </c>
      <c r="O1340">
        <v>0.26</v>
      </c>
      <c r="P1340">
        <v>-151.87</v>
      </c>
      <c r="Q1340" t="s">
        <v>9897</v>
      </c>
      <c r="R1340">
        <v>3</v>
      </c>
      <c r="S1340" s="5">
        <f t="shared" si="40"/>
        <v>-0.13306522272456456</v>
      </c>
      <c r="T1340">
        <v>1141.32</v>
      </c>
      <c r="U1340">
        <v>9</v>
      </c>
      <c r="V1340">
        <v>2022</v>
      </c>
      <c r="W1340">
        <v>3</v>
      </c>
      <c r="X1340" t="s">
        <v>9898</v>
      </c>
      <c r="Y1340" t="s">
        <v>9900</v>
      </c>
      <c r="Z1340" t="s">
        <v>9898</v>
      </c>
      <c r="AD1340">
        <f t="shared" si="41"/>
        <v>3</v>
      </c>
    </row>
    <row r="1341" spans="1:30" x14ac:dyDescent="0.25">
      <c r="A1341" t="s">
        <v>1365</v>
      </c>
      <c r="B1341" s="2">
        <v>45059</v>
      </c>
      <c r="C1341" s="2">
        <v>45064</v>
      </c>
      <c r="D1341" t="s">
        <v>5439</v>
      </c>
      <c r="E1341" t="s">
        <v>5939</v>
      </c>
      <c r="F1341" t="s">
        <v>6027</v>
      </c>
      <c r="G1341" t="s">
        <v>6029</v>
      </c>
      <c r="H1341" t="s">
        <v>6044</v>
      </c>
      <c r="I1341" t="s">
        <v>6049</v>
      </c>
      <c r="J1341" t="s">
        <v>6055</v>
      </c>
      <c r="K1341" t="s">
        <v>6061</v>
      </c>
      <c r="L1341" t="s">
        <v>7301</v>
      </c>
      <c r="M1341">
        <v>551.12</v>
      </c>
      <c r="N1341">
        <v>7</v>
      </c>
      <c r="O1341">
        <v>0.33</v>
      </c>
      <c r="P1341">
        <v>-125.42</v>
      </c>
      <c r="Q1341" t="s">
        <v>9897</v>
      </c>
      <c r="R1341">
        <v>5</v>
      </c>
      <c r="S1341" s="5">
        <f t="shared" si="40"/>
        <v>-0.22757294237189724</v>
      </c>
      <c r="T1341">
        <v>78.731428571428566</v>
      </c>
      <c r="U1341">
        <v>5</v>
      </c>
      <c r="V1341">
        <v>2023</v>
      </c>
      <c r="W1341">
        <v>2</v>
      </c>
      <c r="X1341" t="s">
        <v>9898</v>
      </c>
      <c r="Y1341" t="s">
        <v>9902</v>
      </c>
      <c r="Z1341" t="s">
        <v>9899</v>
      </c>
      <c r="AD1341">
        <f t="shared" si="41"/>
        <v>5</v>
      </c>
    </row>
    <row r="1342" spans="1:30" x14ac:dyDescent="0.25">
      <c r="A1342" t="s">
        <v>1366</v>
      </c>
      <c r="B1342" s="2">
        <v>44916</v>
      </c>
      <c r="C1342" s="2">
        <v>44921</v>
      </c>
      <c r="D1342" t="s">
        <v>5286</v>
      </c>
      <c r="E1342" t="s">
        <v>5786</v>
      </c>
      <c r="F1342" t="s">
        <v>6027</v>
      </c>
      <c r="G1342" t="s">
        <v>6031</v>
      </c>
      <c r="H1342" t="s">
        <v>6043</v>
      </c>
      <c r="I1342" t="s">
        <v>6048</v>
      </c>
      <c r="J1342" t="s">
        <v>6055</v>
      </c>
      <c r="K1342" t="s">
        <v>6061</v>
      </c>
      <c r="L1342" t="s">
        <v>7302</v>
      </c>
      <c r="M1342">
        <v>566.41999999999996</v>
      </c>
      <c r="N1342">
        <v>6</v>
      </c>
      <c r="O1342">
        <v>0.06</v>
      </c>
      <c r="P1342">
        <v>114.04</v>
      </c>
      <c r="Q1342" t="s">
        <v>9896</v>
      </c>
      <c r="R1342">
        <v>5</v>
      </c>
      <c r="S1342" s="5">
        <f t="shared" si="40"/>
        <v>0.20133469863352285</v>
      </c>
      <c r="T1342">
        <v>94.403333333333322</v>
      </c>
      <c r="U1342">
        <v>12</v>
      </c>
      <c r="V1342">
        <v>2022</v>
      </c>
      <c r="W1342">
        <v>4</v>
      </c>
      <c r="X1342" t="s">
        <v>9899</v>
      </c>
      <c r="Y1342" t="s">
        <v>9901</v>
      </c>
      <c r="Z1342" t="s">
        <v>9899</v>
      </c>
      <c r="AD1342">
        <f t="shared" si="41"/>
        <v>5</v>
      </c>
    </row>
    <row r="1343" spans="1:30" x14ac:dyDescent="0.25">
      <c r="A1343" t="s">
        <v>1367</v>
      </c>
      <c r="B1343" s="2">
        <v>44889</v>
      </c>
      <c r="C1343" s="2">
        <v>44891</v>
      </c>
      <c r="D1343" t="s">
        <v>5181</v>
      </c>
      <c r="E1343" t="s">
        <v>5681</v>
      </c>
      <c r="F1343" t="s">
        <v>6027</v>
      </c>
      <c r="G1343" t="s">
        <v>6030</v>
      </c>
      <c r="H1343" t="s">
        <v>6039</v>
      </c>
      <c r="I1343" t="s">
        <v>6047</v>
      </c>
      <c r="J1343" t="s">
        <v>6053</v>
      </c>
      <c r="K1343" t="s">
        <v>6056</v>
      </c>
      <c r="L1343" t="s">
        <v>7303</v>
      </c>
      <c r="M1343">
        <v>811.57</v>
      </c>
      <c r="N1343">
        <v>2</v>
      </c>
      <c r="O1343">
        <v>0.28999999999999998</v>
      </c>
      <c r="P1343">
        <v>-150.02000000000001</v>
      </c>
      <c r="Q1343" t="s">
        <v>9893</v>
      </c>
      <c r="R1343">
        <v>2</v>
      </c>
      <c r="S1343" s="5">
        <f t="shared" si="40"/>
        <v>-0.18485158396687901</v>
      </c>
      <c r="T1343">
        <v>405.78500000000003</v>
      </c>
      <c r="U1343">
        <v>11</v>
      </c>
      <c r="V1343">
        <v>2022</v>
      </c>
      <c r="W1343">
        <v>4</v>
      </c>
      <c r="X1343" t="s">
        <v>9898</v>
      </c>
      <c r="Y1343" t="s">
        <v>9900</v>
      </c>
      <c r="Z1343" t="s">
        <v>9899</v>
      </c>
      <c r="AD1343">
        <f t="shared" si="41"/>
        <v>2</v>
      </c>
    </row>
    <row r="1344" spans="1:30" x14ac:dyDescent="0.25">
      <c r="A1344" t="s">
        <v>1368</v>
      </c>
      <c r="B1344" s="2">
        <v>45012</v>
      </c>
      <c r="C1344" s="2">
        <v>45013</v>
      </c>
      <c r="D1344" t="s">
        <v>5229</v>
      </c>
      <c r="E1344" t="s">
        <v>5729</v>
      </c>
      <c r="F1344" t="s">
        <v>6028</v>
      </c>
      <c r="G1344" t="s">
        <v>6030</v>
      </c>
      <c r="H1344" t="s">
        <v>6035</v>
      </c>
      <c r="I1344" t="s">
        <v>6047</v>
      </c>
      <c r="J1344" t="s">
        <v>6054</v>
      </c>
      <c r="K1344" t="s">
        <v>6062</v>
      </c>
      <c r="L1344" t="s">
        <v>7304</v>
      </c>
      <c r="M1344">
        <v>708.55</v>
      </c>
      <c r="N1344">
        <v>8</v>
      </c>
      <c r="O1344">
        <v>0.04</v>
      </c>
      <c r="P1344">
        <v>112.23</v>
      </c>
      <c r="Q1344" t="s">
        <v>9893</v>
      </c>
      <c r="R1344">
        <v>1</v>
      </c>
      <c r="S1344" s="5">
        <f t="shared" si="40"/>
        <v>0.15839390304142265</v>
      </c>
      <c r="T1344">
        <v>88.568749999999994</v>
      </c>
      <c r="U1344">
        <v>3</v>
      </c>
      <c r="V1344">
        <v>2023</v>
      </c>
      <c r="W1344">
        <v>1</v>
      </c>
      <c r="X1344" t="s">
        <v>9899</v>
      </c>
      <c r="Y1344" t="s">
        <v>9901</v>
      </c>
      <c r="Z1344" t="s">
        <v>9899</v>
      </c>
      <c r="AD1344">
        <f t="shared" si="41"/>
        <v>1</v>
      </c>
    </row>
    <row r="1345" spans="1:30" x14ac:dyDescent="0.25">
      <c r="A1345" t="s">
        <v>1369</v>
      </c>
      <c r="B1345" s="2">
        <v>44601</v>
      </c>
      <c r="C1345" s="2">
        <v>44606</v>
      </c>
      <c r="D1345" t="s">
        <v>5115</v>
      </c>
      <c r="E1345" t="s">
        <v>5615</v>
      </c>
      <c r="F1345" t="s">
        <v>6028</v>
      </c>
      <c r="G1345" t="s">
        <v>6031</v>
      </c>
      <c r="H1345" t="s">
        <v>6040</v>
      </c>
      <c r="I1345" t="s">
        <v>6052</v>
      </c>
      <c r="J1345" t="s">
        <v>6054</v>
      </c>
      <c r="K1345" t="s">
        <v>6059</v>
      </c>
      <c r="L1345" t="s">
        <v>7305</v>
      </c>
      <c r="M1345">
        <v>581.89</v>
      </c>
      <c r="N1345">
        <v>2</v>
      </c>
      <c r="O1345">
        <v>0.04</v>
      </c>
      <c r="P1345">
        <v>36.28</v>
      </c>
      <c r="Q1345" t="s">
        <v>9896</v>
      </c>
      <c r="R1345">
        <v>5</v>
      </c>
      <c r="S1345" s="5">
        <f t="shared" si="40"/>
        <v>6.2348553850384097E-2</v>
      </c>
      <c r="T1345">
        <v>290.94499999999999</v>
      </c>
      <c r="U1345">
        <v>2</v>
      </c>
      <c r="V1345">
        <v>2022</v>
      </c>
      <c r="W1345">
        <v>1</v>
      </c>
      <c r="X1345" t="s">
        <v>9899</v>
      </c>
      <c r="Y1345" t="s">
        <v>9901</v>
      </c>
      <c r="Z1345" t="s">
        <v>9899</v>
      </c>
      <c r="AD1345">
        <f t="shared" si="41"/>
        <v>5</v>
      </c>
    </row>
    <row r="1346" spans="1:30" x14ac:dyDescent="0.25">
      <c r="A1346" t="s">
        <v>1370</v>
      </c>
      <c r="B1346" s="2">
        <v>45261</v>
      </c>
      <c r="C1346" s="2">
        <v>45264</v>
      </c>
      <c r="D1346" t="s">
        <v>5288</v>
      </c>
      <c r="E1346" t="s">
        <v>5788</v>
      </c>
      <c r="F1346" t="s">
        <v>6027</v>
      </c>
      <c r="G1346" t="s">
        <v>6029</v>
      </c>
      <c r="H1346" t="s">
        <v>6041</v>
      </c>
      <c r="I1346" t="s">
        <v>6049</v>
      </c>
      <c r="J1346" t="s">
        <v>6053</v>
      </c>
      <c r="K1346" t="s">
        <v>6057</v>
      </c>
      <c r="L1346" t="s">
        <v>6952</v>
      </c>
      <c r="M1346">
        <v>689.08</v>
      </c>
      <c r="N1346">
        <v>5</v>
      </c>
      <c r="O1346">
        <v>0.28999999999999998</v>
      </c>
      <c r="P1346">
        <v>-81.64</v>
      </c>
      <c r="Q1346" t="s">
        <v>9894</v>
      </c>
      <c r="R1346">
        <v>3</v>
      </c>
      <c r="S1346" s="5">
        <f t="shared" si="40"/>
        <v>-0.11847680965925582</v>
      </c>
      <c r="T1346">
        <v>137.816</v>
      </c>
      <c r="U1346">
        <v>12</v>
      </c>
      <c r="V1346">
        <v>2023</v>
      </c>
      <c r="W1346">
        <v>4</v>
      </c>
      <c r="X1346" t="s">
        <v>9898</v>
      </c>
      <c r="Y1346" t="s">
        <v>9900</v>
      </c>
      <c r="Z1346" t="s">
        <v>9899</v>
      </c>
      <c r="AD1346">
        <f t="shared" si="41"/>
        <v>3</v>
      </c>
    </row>
    <row r="1347" spans="1:30" x14ac:dyDescent="0.25">
      <c r="A1347" t="s">
        <v>1371</v>
      </c>
      <c r="B1347" s="2">
        <v>44962</v>
      </c>
      <c r="C1347" s="2">
        <v>44968</v>
      </c>
      <c r="D1347" t="s">
        <v>5039</v>
      </c>
      <c r="E1347" t="s">
        <v>5539</v>
      </c>
      <c r="F1347" t="s">
        <v>6027</v>
      </c>
      <c r="G1347" t="s">
        <v>6029</v>
      </c>
      <c r="H1347" t="s">
        <v>6041</v>
      </c>
      <c r="I1347" t="s">
        <v>6049</v>
      </c>
      <c r="J1347" t="s">
        <v>6054</v>
      </c>
      <c r="K1347" t="s">
        <v>6060</v>
      </c>
      <c r="L1347" t="s">
        <v>7306</v>
      </c>
      <c r="M1347">
        <v>1694.29</v>
      </c>
      <c r="N1347">
        <v>2</v>
      </c>
      <c r="O1347">
        <v>0.14000000000000001</v>
      </c>
      <c r="P1347">
        <v>-29.01</v>
      </c>
      <c r="Q1347" t="s">
        <v>9897</v>
      </c>
      <c r="R1347">
        <v>6</v>
      </c>
      <c r="S1347" s="5">
        <f t="shared" ref="S1347:S1410" si="42">P1347/M1347</f>
        <v>-1.712221638562466E-2</v>
      </c>
      <c r="T1347">
        <v>847.14499999999998</v>
      </c>
      <c r="U1347">
        <v>2</v>
      </c>
      <c r="V1347">
        <v>2023</v>
      </c>
      <c r="W1347">
        <v>1</v>
      </c>
      <c r="X1347" t="s">
        <v>9898</v>
      </c>
      <c r="Y1347" t="s">
        <v>9901</v>
      </c>
      <c r="Z1347" t="s">
        <v>9898</v>
      </c>
      <c r="AD1347">
        <f t="shared" ref="AD1347:AD1410" si="43">C1347-B1347</f>
        <v>6</v>
      </c>
    </row>
    <row r="1348" spans="1:30" x14ac:dyDescent="0.25">
      <c r="A1348" t="s">
        <v>1372</v>
      </c>
      <c r="B1348" s="2">
        <v>45173</v>
      </c>
      <c r="C1348" s="2">
        <v>45180</v>
      </c>
      <c r="D1348" t="s">
        <v>5214</v>
      </c>
      <c r="E1348" t="s">
        <v>5714</v>
      </c>
      <c r="F1348" t="s">
        <v>6028</v>
      </c>
      <c r="G1348" t="s">
        <v>6030</v>
      </c>
      <c r="H1348" t="s">
        <v>6038</v>
      </c>
      <c r="I1348" t="s">
        <v>6051</v>
      </c>
      <c r="J1348" t="s">
        <v>6053</v>
      </c>
      <c r="K1348" t="s">
        <v>6056</v>
      </c>
      <c r="L1348" t="s">
        <v>7307</v>
      </c>
      <c r="M1348">
        <v>642.70000000000005</v>
      </c>
      <c r="N1348">
        <v>2</v>
      </c>
      <c r="O1348">
        <v>0.06</v>
      </c>
      <c r="P1348">
        <v>42.5</v>
      </c>
      <c r="Q1348" t="s">
        <v>9895</v>
      </c>
      <c r="R1348">
        <v>7</v>
      </c>
      <c r="S1348" s="5">
        <f t="shared" si="42"/>
        <v>6.6127275556247075E-2</v>
      </c>
      <c r="T1348">
        <v>321.35000000000002</v>
      </c>
      <c r="U1348">
        <v>9</v>
      </c>
      <c r="V1348">
        <v>2023</v>
      </c>
      <c r="W1348">
        <v>3</v>
      </c>
      <c r="X1348" t="s">
        <v>9899</v>
      </c>
      <c r="Y1348" t="s">
        <v>9901</v>
      </c>
      <c r="Z1348" t="s">
        <v>9899</v>
      </c>
      <c r="AD1348">
        <f t="shared" si="43"/>
        <v>7</v>
      </c>
    </row>
    <row r="1349" spans="1:30" x14ac:dyDescent="0.25">
      <c r="A1349" t="s">
        <v>1373</v>
      </c>
      <c r="B1349" s="2">
        <v>44596</v>
      </c>
      <c r="C1349" s="2">
        <v>44600</v>
      </c>
      <c r="D1349" t="s">
        <v>5131</v>
      </c>
      <c r="E1349" t="s">
        <v>5631</v>
      </c>
      <c r="F1349" t="s">
        <v>6027</v>
      </c>
      <c r="G1349" t="s">
        <v>6029</v>
      </c>
      <c r="H1349" t="s">
        <v>6036</v>
      </c>
      <c r="I1349" t="s">
        <v>6046</v>
      </c>
      <c r="J1349" t="s">
        <v>6054</v>
      </c>
      <c r="K1349" t="s">
        <v>6060</v>
      </c>
      <c r="L1349" t="s">
        <v>7308</v>
      </c>
      <c r="M1349">
        <v>964.89</v>
      </c>
      <c r="N1349">
        <v>5</v>
      </c>
      <c r="O1349">
        <v>0.21</v>
      </c>
      <c r="P1349">
        <v>-87.22</v>
      </c>
      <c r="Q1349" t="s">
        <v>9896</v>
      </c>
      <c r="R1349">
        <v>4</v>
      </c>
      <c r="S1349" s="5">
        <f t="shared" si="42"/>
        <v>-9.0393723636891257E-2</v>
      </c>
      <c r="T1349">
        <v>192.97800000000001</v>
      </c>
      <c r="U1349">
        <v>2</v>
      </c>
      <c r="V1349">
        <v>2022</v>
      </c>
      <c r="W1349">
        <v>1</v>
      </c>
      <c r="X1349" t="s">
        <v>9898</v>
      </c>
      <c r="Y1349" t="s">
        <v>9900</v>
      </c>
      <c r="Z1349" t="s">
        <v>9899</v>
      </c>
      <c r="AD1349">
        <f t="shared" si="43"/>
        <v>4</v>
      </c>
    </row>
    <row r="1350" spans="1:30" x14ac:dyDescent="0.25">
      <c r="A1350" t="s">
        <v>1374</v>
      </c>
      <c r="B1350" s="2">
        <v>44934</v>
      </c>
      <c r="C1350" s="2">
        <v>44937</v>
      </c>
      <c r="D1350" t="s">
        <v>5332</v>
      </c>
      <c r="E1350" t="s">
        <v>5832</v>
      </c>
      <c r="F1350" t="s">
        <v>6028</v>
      </c>
      <c r="G1350" t="s">
        <v>6029</v>
      </c>
      <c r="H1350" t="s">
        <v>6036</v>
      </c>
      <c r="I1350" t="s">
        <v>6046</v>
      </c>
      <c r="J1350" t="s">
        <v>6055</v>
      </c>
      <c r="K1350" t="s">
        <v>6063</v>
      </c>
      <c r="L1350" t="s">
        <v>7309</v>
      </c>
      <c r="M1350">
        <v>1416.66</v>
      </c>
      <c r="N1350">
        <v>2</v>
      </c>
      <c r="O1350">
        <v>0.25</v>
      </c>
      <c r="P1350">
        <v>-156.51</v>
      </c>
      <c r="Q1350" t="s">
        <v>9896</v>
      </c>
      <c r="R1350">
        <v>3</v>
      </c>
      <c r="S1350" s="5">
        <f t="shared" si="42"/>
        <v>-0.11047816695607979</v>
      </c>
      <c r="T1350">
        <v>708.33</v>
      </c>
      <c r="U1350">
        <v>1</v>
      </c>
      <c r="V1350">
        <v>2023</v>
      </c>
      <c r="W1350">
        <v>1</v>
      </c>
      <c r="X1350" t="s">
        <v>9898</v>
      </c>
      <c r="Y1350" t="s">
        <v>9900</v>
      </c>
      <c r="Z1350" t="s">
        <v>9898</v>
      </c>
      <c r="AD1350">
        <f t="shared" si="43"/>
        <v>3</v>
      </c>
    </row>
    <row r="1351" spans="1:30" x14ac:dyDescent="0.25">
      <c r="A1351" t="s">
        <v>1375</v>
      </c>
      <c r="B1351" s="2">
        <v>44960</v>
      </c>
      <c r="C1351" s="2">
        <v>44961</v>
      </c>
      <c r="D1351" t="s">
        <v>5211</v>
      </c>
      <c r="E1351" t="s">
        <v>5711</v>
      </c>
      <c r="F1351" t="s">
        <v>6026</v>
      </c>
      <c r="G1351" t="s">
        <v>6031</v>
      </c>
      <c r="H1351" t="s">
        <v>6042</v>
      </c>
      <c r="I1351" t="s">
        <v>6050</v>
      </c>
      <c r="J1351" t="s">
        <v>6053</v>
      </c>
      <c r="K1351" t="s">
        <v>6056</v>
      </c>
      <c r="L1351" t="s">
        <v>7310</v>
      </c>
      <c r="M1351">
        <v>1800.72</v>
      </c>
      <c r="N1351">
        <v>4</v>
      </c>
      <c r="O1351">
        <v>0.25</v>
      </c>
      <c r="P1351">
        <v>52.45</v>
      </c>
      <c r="Q1351" t="s">
        <v>9896</v>
      </c>
      <c r="R1351">
        <v>1</v>
      </c>
      <c r="S1351" s="5">
        <f t="shared" si="42"/>
        <v>2.9127237993691414E-2</v>
      </c>
      <c r="T1351">
        <v>450.18</v>
      </c>
      <c r="U1351">
        <v>2</v>
      </c>
      <c r="V1351">
        <v>2023</v>
      </c>
      <c r="W1351">
        <v>1</v>
      </c>
      <c r="X1351" t="s">
        <v>9899</v>
      </c>
      <c r="Y1351" t="s">
        <v>9900</v>
      </c>
      <c r="Z1351" t="s">
        <v>9898</v>
      </c>
      <c r="AD1351">
        <f t="shared" si="43"/>
        <v>1</v>
      </c>
    </row>
    <row r="1352" spans="1:30" x14ac:dyDescent="0.25">
      <c r="A1352" t="s">
        <v>1376</v>
      </c>
      <c r="B1352" s="2">
        <v>45386</v>
      </c>
      <c r="C1352" s="2">
        <v>45390</v>
      </c>
      <c r="D1352" t="s">
        <v>5484</v>
      </c>
      <c r="E1352" t="s">
        <v>5984</v>
      </c>
      <c r="F1352" t="s">
        <v>6028</v>
      </c>
      <c r="G1352" t="s">
        <v>6031</v>
      </c>
      <c r="H1352" t="s">
        <v>6034</v>
      </c>
      <c r="I1352" t="s">
        <v>6048</v>
      </c>
      <c r="J1352" t="s">
        <v>6053</v>
      </c>
      <c r="K1352" t="s">
        <v>6058</v>
      </c>
      <c r="L1352" t="s">
        <v>7311</v>
      </c>
      <c r="M1352">
        <v>582.17999999999995</v>
      </c>
      <c r="N1352">
        <v>6</v>
      </c>
      <c r="O1352">
        <v>0.17</v>
      </c>
      <c r="P1352">
        <v>10.84</v>
      </c>
      <c r="Q1352" t="s">
        <v>9896</v>
      </c>
      <c r="R1352">
        <v>4</v>
      </c>
      <c r="S1352" s="5">
        <f t="shared" si="42"/>
        <v>1.8619670892163938E-2</v>
      </c>
      <c r="T1352">
        <v>97.029999999999987</v>
      </c>
      <c r="U1352">
        <v>4</v>
      </c>
      <c r="V1352">
        <v>2024</v>
      </c>
      <c r="W1352">
        <v>2</v>
      </c>
      <c r="X1352" t="s">
        <v>9899</v>
      </c>
      <c r="Y1352" t="s">
        <v>9900</v>
      </c>
      <c r="Z1352" t="s">
        <v>9899</v>
      </c>
      <c r="AD1352">
        <f t="shared" si="43"/>
        <v>4</v>
      </c>
    </row>
    <row r="1353" spans="1:30" x14ac:dyDescent="0.25">
      <c r="A1353" t="s">
        <v>1377</v>
      </c>
      <c r="B1353" s="2">
        <v>45363</v>
      </c>
      <c r="C1353" s="2">
        <v>45366</v>
      </c>
      <c r="D1353" t="s">
        <v>5082</v>
      </c>
      <c r="E1353" t="s">
        <v>5582</v>
      </c>
      <c r="F1353" t="s">
        <v>6027</v>
      </c>
      <c r="G1353" t="s">
        <v>6029</v>
      </c>
      <c r="H1353" t="s">
        <v>6041</v>
      </c>
      <c r="I1353" t="s">
        <v>6049</v>
      </c>
      <c r="J1353" t="s">
        <v>6054</v>
      </c>
      <c r="K1353" t="s">
        <v>6060</v>
      </c>
      <c r="L1353" t="s">
        <v>7312</v>
      </c>
      <c r="M1353">
        <v>243.31</v>
      </c>
      <c r="N1353">
        <v>4</v>
      </c>
      <c r="O1353">
        <v>0.27</v>
      </c>
      <c r="P1353">
        <v>-2.29</v>
      </c>
      <c r="Q1353" t="s">
        <v>9894</v>
      </c>
      <c r="R1353">
        <v>3</v>
      </c>
      <c r="S1353" s="5">
        <f t="shared" si="42"/>
        <v>-9.4118614113682126E-3</v>
      </c>
      <c r="T1353">
        <v>60.827500000000001</v>
      </c>
      <c r="U1353">
        <v>3</v>
      </c>
      <c r="V1353">
        <v>2024</v>
      </c>
      <c r="W1353">
        <v>1</v>
      </c>
      <c r="X1353" t="s">
        <v>9898</v>
      </c>
      <c r="Y1353" t="s">
        <v>9900</v>
      </c>
      <c r="Z1353" t="s">
        <v>9899</v>
      </c>
      <c r="AD1353">
        <f t="shared" si="43"/>
        <v>3</v>
      </c>
    </row>
    <row r="1354" spans="1:30" x14ac:dyDescent="0.25">
      <c r="A1354" t="s">
        <v>1378</v>
      </c>
      <c r="B1354" s="2">
        <v>44829</v>
      </c>
      <c r="C1354" s="2">
        <v>44834</v>
      </c>
      <c r="D1354" t="s">
        <v>5498</v>
      </c>
      <c r="E1354" t="s">
        <v>5998</v>
      </c>
      <c r="F1354" t="s">
        <v>6026</v>
      </c>
      <c r="G1354" t="s">
        <v>6030</v>
      </c>
      <c r="H1354" t="s">
        <v>6033</v>
      </c>
      <c r="I1354" t="s">
        <v>6047</v>
      </c>
      <c r="J1354" t="s">
        <v>6055</v>
      </c>
      <c r="K1354" t="s">
        <v>6061</v>
      </c>
      <c r="L1354" t="s">
        <v>7313</v>
      </c>
      <c r="M1354">
        <v>1373.28</v>
      </c>
      <c r="N1354">
        <v>8</v>
      </c>
      <c r="O1354">
        <v>0.31</v>
      </c>
      <c r="P1354">
        <v>-83.68</v>
      </c>
      <c r="Q1354" t="s">
        <v>9896</v>
      </c>
      <c r="R1354">
        <v>5</v>
      </c>
      <c r="S1354" s="5">
        <f t="shared" si="42"/>
        <v>-6.0934405219620187E-2</v>
      </c>
      <c r="T1354">
        <v>171.66</v>
      </c>
      <c r="U1354">
        <v>9</v>
      </c>
      <c r="V1354">
        <v>2022</v>
      </c>
      <c r="W1354">
        <v>3</v>
      </c>
      <c r="X1354" t="s">
        <v>9898</v>
      </c>
      <c r="Y1354" t="s">
        <v>9902</v>
      </c>
      <c r="Z1354" t="s">
        <v>9898</v>
      </c>
      <c r="AD1354">
        <f t="shared" si="43"/>
        <v>5</v>
      </c>
    </row>
    <row r="1355" spans="1:30" x14ac:dyDescent="0.25">
      <c r="A1355" t="s">
        <v>1379</v>
      </c>
      <c r="B1355" s="2">
        <v>45358</v>
      </c>
      <c r="C1355" s="2">
        <v>45364</v>
      </c>
      <c r="D1355" t="s">
        <v>5038</v>
      </c>
      <c r="E1355" t="s">
        <v>5538</v>
      </c>
      <c r="F1355" t="s">
        <v>6026</v>
      </c>
      <c r="G1355" t="s">
        <v>6029</v>
      </c>
      <c r="H1355" t="s">
        <v>6041</v>
      </c>
      <c r="I1355" t="s">
        <v>6046</v>
      </c>
      <c r="J1355" t="s">
        <v>6054</v>
      </c>
      <c r="K1355" t="s">
        <v>6060</v>
      </c>
      <c r="L1355" t="s">
        <v>7314</v>
      </c>
      <c r="M1355">
        <v>725.45</v>
      </c>
      <c r="N1355">
        <v>6</v>
      </c>
      <c r="O1355">
        <v>0.09</v>
      </c>
      <c r="P1355">
        <v>47.66</v>
      </c>
      <c r="Q1355" t="s">
        <v>9895</v>
      </c>
      <c r="R1355">
        <v>6</v>
      </c>
      <c r="S1355" s="5">
        <f t="shared" si="42"/>
        <v>6.5697153490936647E-2</v>
      </c>
      <c r="T1355">
        <v>120.9083333333333</v>
      </c>
      <c r="U1355">
        <v>3</v>
      </c>
      <c r="V1355">
        <v>2024</v>
      </c>
      <c r="W1355">
        <v>1</v>
      </c>
      <c r="X1355" t="s">
        <v>9899</v>
      </c>
      <c r="Y1355" t="s">
        <v>9901</v>
      </c>
      <c r="Z1355" t="s">
        <v>9899</v>
      </c>
      <c r="AD1355">
        <f t="shared" si="43"/>
        <v>6</v>
      </c>
    </row>
    <row r="1356" spans="1:30" x14ac:dyDescent="0.25">
      <c r="A1356" t="s">
        <v>1380</v>
      </c>
      <c r="B1356" s="2">
        <v>44808</v>
      </c>
      <c r="C1356" s="2">
        <v>44810</v>
      </c>
      <c r="D1356" t="s">
        <v>5195</v>
      </c>
      <c r="E1356" t="s">
        <v>5695</v>
      </c>
      <c r="F1356" t="s">
        <v>6028</v>
      </c>
      <c r="G1356" t="s">
        <v>6031</v>
      </c>
      <c r="H1356" t="s">
        <v>6037</v>
      </c>
      <c r="I1356" t="s">
        <v>6048</v>
      </c>
      <c r="J1356" t="s">
        <v>6053</v>
      </c>
      <c r="K1356" t="s">
        <v>6057</v>
      </c>
      <c r="L1356" t="s">
        <v>7315</v>
      </c>
      <c r="M1356">
        <v>1884.17</v>
      </c>
      <c r="N1356">
        <v>7</v>
      </c>
      <c r="O1356">
        <v>0.22</v>
      </c>
      <c r="P1356">
        <v>-133.9</v>
      </c>
      <c r="Q1356" t="s">
        <v>9895</v>
      </c>
      <c r="R1356">
        <v>2</v>
      </c>
      <c r="S1356" s="5">
        <f t="shared" si="42"/>
        <v>-7.1065774319726993E-2</v>
      </c>
      <c r="T1356">
        <v>269.16714285714289</v>
      </c>
      <c r="U1356">
        <v>9</v>
      </c>
      <c r="V1356">
        <v>2022</v>
      </c>
      <c r="W1356">
        <v>3</v>
      </c>
      <c r="X1356" t="s">
        <v>9898</v>
      </c>
      <c r="Y1356" t="s">
        <v>9900</v>
      </c>
      <c r="Z1356" t="s">
        <v>9898</v>
      </c>
      <c r="AD1356">
        <f t="shared" si="43"/>
        <v>2</v>
      </c>
    </row>
    <row r="1357" spans="1:30" x14ac:dyDescent="0.25">
      <c r="A1357" t="s">
        <v>1381</v>
      </c>
      <c r="B1357" s="2">
        <v>44709</v>
      </c>
      <c r="C1357" s="2">
        <v>44715</v>
      </c>
      <c r="D1357" t="s">
        <v>5362</v>
      </c>
      <c r="E1357" t="s">
        <v>5862</v>
      </c>
      <c r="F1357" t="s">
        <v>6026</v>
      </c>
      <c r="G1357" t="s">
        <v>6029</v>
      </c>
      <c r="H1357" t="s">
        <v>6036</v>
      </c>
      <c r="I1357" t="s">
        <v>6049</v>
      </c>
      <c r="J1357" t="s">
        <v>6054</v>
      </c>
      <c r="K1357" t="s">
        <v>6062</v>
      </c>
      <c r="L1357" t="s">
        <v>7316</v>
      </c>
      <c r="M1357">
        <v>1700.11</v>
      </c>
      <c r="N1357">
        <v>4</v>
      </c>
      <c r="O1357">
        <v>0.1</v>
      </c>
      <c r="P1357">
        <v>305.23</v>
      </c>
      <c r="Q1357" t="s">
        <v>9895</v>
      </c>
      <c r="R1357">
        <v>6</v>
      </c>
      <c r="S1357" s="5">
        <f t="shared" si="42"/>
        <v>0.17953544182435258</v>
      </c>
      <c r="T1357">
        <v>425.02749999999997</v>
      </c>
      <c r="U1357">
        <v>5</v>
      </c>
      <c r="V1357">
        <v>2022</v>
      </c>
      <c r="W1357">
        <v>2</v>
      </c>
      <c r="X1357" t="s">
        <v>9899</v>
      </c>
      <c r="Y1357" t="s">
        <v>9901</v>
      </c>
      <c r="Z1357" t="s">
        <v>9898</v>
      </c>
      <c r="AD1357">
        <f t="shared" si="43"/>
        <v>6</v>
      </c>
    </row>
    <row r="1358" spans="1:30" x14ac:dyDescent="0.25">
      <c r="A1358" t="s">
        <v>1382</v>
      </c>
      <c r="B1358" s="2">
        <v>45278</v>
      </c>
      <c r="C1358" s="2">
        <v>45282</v>
      </c>
      <c r="D1358" t="s">
        <v>5198</v>
      </c>
      <c r="E1358" t="s">
        <v>5698</v>
      </c>
      <c r="F1358" t="s">
        <v>6026</v>
      </c>
      <c r="G1358" t="s">
        <v>6030</v>
      </c>
      <c r="H1358" t="s">
        <v>6038</v>
      </c>
      <c r="I1358" t="s">
        <v>6047</v>
      </c>
      <c r="J1358" t="s">
        <v>6054</v>
      </c>
      <c r="K1358" t="s">
        <v>6059</v>
      </c>
      <c r="L1358" t="s">
        <v>7317</v>
      </c>
      <c r="M1358">
        <v>1293.33</v>
      </c>
      <c r="N1358">
        <v>8</v>
      </c>
      <c r="O1358">
        <v>0.33</v>
      </c>
      <c r="P1358">
        <v>-156.05000000000001</v>
      </c>
      <c r="Q1358" t="s">
        <v>9894</v>
      </c>
      <c r="R1358">
        <v>4</v>
      </c>
      <c r="S1358" s="5">
        <f t="shared" si="42"/>
        <v>-0.12065752746785431</v>
      </c>
      <c r="T1358">
        <v>161.66624999999999</v>
      </c>
      <c r="U1358">
        <v>12</v>
      </c>
      <c r="V1358">
        <v>2023</v>
      </c>
      <c r="W1358">
        <v>4</v>
      </c>
      <c r="X1358" t="s">
        <v>9898</v>
      </c>
      <c r="Y1358" t="s">
        <v>9902</v>
      </c>
      <c r="Z1358" t="s">
        <v>9898</v>
      </c>
      <c r="AD1358">
        <f t="shared" si="43"/>
        <v>4</v>
      </c>
    </row>
    <row r="1359" spans="1:30" x14ac:dyDescent="0.25">
      <c r="A1359" t="s">
        <v>1383</v>
      </c>
      <c r="B1359" s="2">
        <v>45090</v>
      </c>
      <c r="C1359" s="2">
        <v>45094</v>
      </c>
      <c r="D1359" t="s">
        <v>5287</v>
      </c>
      <c r="E1359" t="s">
        <v>5787</v>
      </c>
      <c r="F1359" t="s">
        <v>6027</v>
      </c>
      <c r="G1359" t="s">
        <v>6029</v>
      </c>
      <c r="H1359" t="s">
        <v>6032</v>
      </c>
      <c r="I1359" t="s">
        <v>6046</v>
      </c>
      <c r="J1359" t="s">
        <v>6055</v>
      </c>
      <c r="K1359" t="s">
        <v>6063</v>
      </c>
      <c r="L1359" t="s">
        <v>7318</v>
      </c>
      <c r="M1359">
        <v>1417.03</v>
      </c>
      <c r="N1359">
        <v>5</v>
      </c>
      <c r="O1359">
        <v>0.12</v>
      </c>
      <c r="P1359">
        <v>149.9</v>
      </c>
      <c r="Q1359" t="s">
        <v>9895</v>
      </c>
      <c r="R1359">
        <v>4</v>
      </c>
      <c r="S1359" s="5">
        <f t="shared" si="42"/>
        <v>0.1057846340585591</v>
      </c>
      <c r="T1359">
        <v>283.40600000000001</v>
      </c>
      <c r="U1359">
        <v>6</v>
      </c>
      <c r="V1359">
        <v>2023</v>
      </c>
      <c r="W1359">
        <v>2</v>
      </c>
      <c r="X1359" t="s">
        <v>9899</v>
      </c>
      <c r="Y1359" t="s">
        <v>9901</v>
      </c>
      <c r="Z1359" t="s">
        <v>9898</v>
      </c>
      <c r="AD1359">
        <f t="shared" si="43"/>
        <v>4</v>
      </c>
    </row>
    <row r="1360" spans="1:30" x14ac:dyDescent="0.25">
      <c r="A1360" t="s">
        <v>1384</v>
      </c>
      <c r="B1360" s="2">
        <v>44669</v>
      </c>
      <c r="C1360" s="2">
        <v>44675</v>
      </c>
      <c r="D1360" t="s">
        <v>5214</v>
      </c>
      <c r="E1360" t="s">
        <v>5714</v>
      </c>
      <c r="F1360" t="s">
        <v>6028</v>
      </c>
      <c r="G1360" t="s">
        <v>6030</v>
      </c>
      <c r="H1360" t="s">
        <v>6039</v>
      </c>
      <c r="I1360" t="s">
        <v>6047</v>
      </c>
      <c r="J1360" t="s">
        <v>6054</v>
      </c>
      <c r="K1360" t="s">
        <v>6062</v>
      </c>
      <c r="L1360" t="s">
        <v>7319</v>
      </c>
      <c r="M1360">
        <v>848.7</v>
      </c>
      <c r="N1360">
        <v>8</v>
      </c>
      <c r="O1360">
        <v>0.27</v>
      </c>
      <c r="P1360">
        <v>-143.31</v>
      </c>
      <c r="Q1360" t="s">
        <v>9893</v>
      </c>
      <c r="R1360">
        <v>6</v>
      </c>
      <c r="S1360" s="5">
        <f t="shared" si="42"/>
        <v>-0.1688582537999293</v>
      </c>
      <c r="T1360">
        <v>106.08750000000001</v>
      </c>
      <c r="U1360">
        <v>4</v>
      </c>
      <c r="V1360">
        <v>2022</v>
      </c>
      <c r="W1360">
        <v>2</v>
      </c>
      <c r="X1360" t="s">
        <v>9898</v>
      </c>
      <c r="Y1360" t="s">
        <v>9900</v>
      </c>
      <c r="Z1360" t="s">
        <v>9899</v>
      </c>
      <c r="AD1360">
        <f t="shared" si="43"/>
        <v>6</v>
      </c>
    </row>
    <row r="1361" spans="1:30" x14ac:dyDescent="0.25">
      <c r="A1361" t="s">
        <v>1385</v>
      </c>
      <c r="B1361" s="2">
        <v>44680</v>
      </c>
      <c r="C1361" s="2">
        <v>44684</v>
      </c>
      <c r="D1361" t="s">
        <v>5299</v>
      </c>
      <c r="E1361" t="s">
        <v>5799</v>
      </c>
      <c r="F1361" t="s">
        <v>6026</v>
      </c>
      <c r="G1361" t="s">
        <v>6031</v>
      </c>
      <c r="H1361" t="s">
        <v>6034</v>
      </c>
      <c r="I1361" t="s">
        <v>6048</v>
      </c>
      <c r="J1361" t="s">
        <v>6054</v>
      </c>
      <c r="K1361" t="s">
        <v>6059</v>
      </c>
      <c r="L1361" t="s">
        <v>6915</v>
      </c>
      <c r="M1361">
        <v>1507.87</v>
      </c>
      <c r="N1361">
        <v>3</v>
      </c>
      <c r="O1361">
        <v>0.25</v>
      </c>
      <c r="P1361">
        <v>-211.42</v>
      </c>
      <c r="Q1361" t="s">
        <v>9893</v>
      </c>
      <c r="R1361">
        <v>4</v>
      </c>
      <c r="S1361" s="5">
        <f t="shared" si="42"/>
        <v>-0.14021102614946912</v>
      </c>
      <c r="T1361">
        <v>502.62333333333328</v>
      </c>
      <c r="U1361">
        <v>4</v>
      </c>
      <c r="V1361">
        <v>2022</v>
      </c>
      <c r="W1361">
        <v>2</v>
      </c>
      <c r="X1361" t="s">
        <v>9898</v>
      </c>
      <c r="Y1361" t="s">
        <v>9900</v>
      </c>
      <c r="Z1361" t="s">
        <v>9898</v>
      </c>
      <c r="AD1361">
        <f t="shared" si="43"/>
        <v>4</v>
      </c>
    </row>
    <row r="1362" spans="1:30" x14ac:dyDescent="0.25">
      <c r="A1362" t="s">
        <v>1386</v>
      </c>
      <c r="B1362" s="2">
        <v>45208</v>
      </c>
      <c r="C1362" s="2">
        <v>45211</v>
      </c>
      <c r="D1362" t="s">
        <v>5099</v>
      </c>
      <c r="E1362" t="s">
        <v>5599</v>
      </c>
      <c r="F1362" t="s">
        <v>6026</v>
      </c>
      <c r="G1362" t="s">
        <v>6030</v>
      </c>
      <c r="H1362" t="s">
        <v>6035</v>
      </c>
      <c r="I1362" t="s">
        <v>6051</v>
      </c>
      <c r="J1362" t="s">
        <v>6053</v>
      </c>
      <c r="K1362" t="s">
        <v>6056</v>
      </c>
      <c r="L1362" t="s">
        <v>7320</v>
      </c>
      <c r="M1362">
        <v>1488.96</v>
      </c>
      <c r="N1362">
        <v>6</v>
      </c>
      <c r="O1362">
        <v>0</v>
      </c>
      <c r="P1362">
        <v>255.11</v>
      </c>
      <c r="Q1362" t="s">
        <v>9897</v>
      </c>
      <c r="R1362">
        <v>3</v>
      </c>
      <c r="S1362" s="5">
        <f t="shared" si="42"/>
        <v>0.17133435418009887</v>
      </c>
      <c r="T1362">
        <v>248.16</v>
      </c>
      <c r="U1362">
        <v>10</v>
      </c>
      <c r="V1362">
        <v>2023</v>
      </c>
      <c r="W1362">
        <v>4</v>
      </c>
      <c r="X1362" t="s">
        <v>9899</v>
      </c>
      <c r="Y1362" t="s">
        <v>9901</v>
      </c>
      <c r="Z1362" t="s">
        <v>9898</v>
      </c>
      <c r="AD1362">
        <f t="shared" si="43"/>
        <v>3</v>
      </c>
    </row>
    <row r="1363" spans="1:30" x14ac:dyDescent="0.25">
      <c r="A1363" t="s">
        <v>1387</v>
      </c>
      <c r="B1363" s="2">
        <v>44782</v>
      </c>
      <c r="C1363" s="2">
        <v>44788</v>
      </c>
      <c r="D1363" t="s">
        <v>5390</v>
      </c>
      <c r="E1363" t="s">
        <v>5890</v>
      </c>
      <c r="F1363" t="s">
        <v>6028</v>
      </c>
      <c r="G1363" t="s">
        <v>6031</v>
      </c>
      <c r="H1363" t="s">
        <v>6037</v>
      </c>
      <c r="I1363" t="s">
        <v>6050</v>
      </c>
      <c r="J1363" t="s">
        <v>6054</v>
      </c>
      <c r="K1363" t="s">
        <v>6060</v>
      </c>
      <c r="L1363" t="s">
        <v>7321</v>
      </c>
      <c r="M1363">
        <v>240.78</v>
      </c>
      <c r="N1363">
        <v>3</v>
      </c>
      <c r="O1363">
        <v>0.17</v>
      </c>
      <c r="P1363">
        <v>-2.69</v>
      </c>
      <c r="Q1363" t="s">
        <v>9896</v>
      </c>
      <c r="R1363">
        <v>6</v>
      </c>
      <c r="S1363" s="5">
        <f t="shared" si="42"/>
        <v>-1.1172024254506188E-2</v>
      </c>
      <c r="T1363">
        <v>80.260000000000005</v>
      </c>
      <c r="U1363">
        <v>8</v>
      </c>
      <c r="V1363">
        <v>2022</v>
      </c>
      <c r="W1363">
        <v>3</v>
      </c>
      <c r="X1363" t="s">
        <v>9898</v>
      </c>
      <c r="Y1363" t="s">
        <v>9900</v>
      </c>
      <c r="Z1363" t="s">
        <v>9899</v>
      </c>
      <c r="AD1363">
        <f t="shared" si="43"/>
        <v>6</v>
      </c>
    </row>
    <row r="1364" spans="1:30" x14ac:dyDescent="0.25">
      <c r="A1364" t="s">
        <v>1388</v>
      </c>
      <c r="B1364" s="2">
        <v>44761</v>
      </c>
      <c r="C1364" s="2">
        <v>44768</v>
      </c>
      <c r="D1364" t="s">
        <v>5398</v>
      </c>
      <c r="E1364" t="s">
        <v>5898</v>
      </c>
      <c r="F1364" t="s">
        <v>6027</v>
      </c>
      <c r="G1364" t="s">
        <v>6029</v>
      </c>
      <c r="H1364" t="s">
        <v>6044</v>
      </c>
      <c r="I1364" t="s">
        <v>6050</v>
      </c>
      <c r="J1364" t="s">
        <v>6055</v>
      </c>
      <c r="K1364" t="s">
        <v>6063</v>
      </c>
      <c r="L1364" t="s">
        <v>7322</v>
      </c>
      <c r="M1364">
        <v>1863.05</v>
      </c>
      <c r="N1364">
        <v>4</v>
      </c>
      <c r="O1364">
        <v>0.34</v>
      </c>
      <c r="P1364">
        <v>-169.56</v>
      </c>
      <c r="Q1364" t="s">
        <v>9895</v>
      </c>
      <c r="R1364">
        <v>7</v>
      </c>
      <c r="S1364" s="5">
        <f t="shared" si="42"/>
        <v>-9.1012050132846675E-2</v>
      </c>
      <c r="T1364">
        <v>465.76249999999999</v>
      </c>
      <c r="U1364">
        <v>7</v>
      </c>
      <c r="V1364">
        <v>2022</v>
      </c>
      <c r="W1364">
        <v>3</v>
      </c>
      <c r="X1364" t="s">
        <v>9898</v>
      </c>
      <c r="Y1364" t="s">
        <v>9902</v>
      </c>
      <c r="Z1364" t="s">
        <v>9898</v>
      </c>
      <c r="AD1364">
        <f t="shared" si="43"/>
        <v>7</v>
      </c>
    </row>
    <row r="1365" spans="1:30" x14ac:dyDescent="0.25">
      <c r="A1365" t="s">
        <v>1389</v>
      </c>
      <c r="B1365" s="2">
        <v>45390</v>
      </c>
      <c r="C1365" s="2">
        <v>45392</v>
      </c>
      <c r="D1365" t="s">
        <v>5128</v>
      </c>
      <c r="E1365" t="s">
        <v>5628</v>
      </c>
      <c r="F1365" t="s">
        <v>6028</v>
      </c>
      <c r="G1365" t="s">
        <v>6030</v>
      </c>
      <c r="H1365" t="s">
        <v>6033</v>
      </c>
      <c r="I1365" t="s">
        <v>6051</v>
      </c>
      <c r="J1365" t="s">
        <v>6055</v>
      </c>
      <c r="K1365" t="s">
        <v>6061</v>
      </c>
      <c r="L1365" t="s">
        <v>7323</v>
      </c>
      <c r="M1365">
        <v>1368.4</v>
      </c>
      <c r="N1365">
        <v>4</v>
      </c>
      <c r="O1365">
        <v>0.35</v>
      </c>
      <c r="P1365">
        <v>-118.18</v>
      </c>
      <c r="Q1365" t="s">
        <v>9894</v>
      </c>
      <c r="R1365">
        <v>2</v>
      </c>
      <c r="S1365" s="5">
        <f t="shared" si="42"/>
        <v>-8.6363636363636365E-2</v>
      </c>
      <c r="T1365">
        <v>342.1</v>
      </c>
      <c r="U1365">
        <v>4</v>
      </c>
      <c r="V1365">
        <v>2024</v>
      </c>
      <c r="W1365">
        <v>2</v>
      </c>
      <c r="X1365" t="s">
        <v>9898</v>
      </c>
      <c r="Y1365" t="s">
        <v>9902</v>
      </c>
      <c r="Z1365" t="s">
        <v>9898</v>
      </c>
      <c r="AD1365">
        <f t="shared" si="43"/>
        <v>2</v>
      </c>
    </row>
    <row r="1366" spans="1:30" x14ac:dyDescent="0.25">
      <c r="A1366" t="s">
        <v>1390</v>
      </c>
      <c r="B1366" s="2">
        <v>44789</v>
      </c>
      <c r="C1366" s="2">
        <v>44796</v>
      </c>
      <c r="D1366" t="s">
        <v>5303</v>
      </c>
      <c r="E1366" t="s">
        <v>5803</v>
      </c>
      <c r="F1366" t="s">
        <v>6027</v>
      </c>
      <c r="G1366" t="s">
        <v>6029</v>
      </c>
      <c r="H1366" t="s">
        <v>6036</v>
      </c>
      <c r="I1366" t="s">
        <v>6049</v>
      </c>
      <c r="J1366" t="s">
        <v>6055</v>
      </c>
      <c r="K1366" t="s">
        <v>6061</v>
      </c>
      <c r="L1366" t="s">
        <v>7324</v>
      </c>
      <c r="M1366">
        <v>1485.56</v>
      </c>
      <c r="N1366">
        <v>2</v>
      </c>
      <c r="O1366">
        <v>0.31</v>
      </c>
      <c r="P1366">
        <v>-129.66999999999999</v>
      </c>
      <c r="Q1366" t="s">
        <v>9895</v>
      </c>
      <c r="R1366">
        <v>7</v>
      </c>
      <c r="S1366" s="5">
        <f t="shared" si="42"/>
        <v>-8.7286949029322269E-2</v>
      </c>
      <c r="T1366">
        <v>742.78</v>
      </c>
      <c r="U1366">
        <v>8</v>
      </c>
      <c r="V1366">
        <v>2022</v>
      </c>
      <c r="W1366">
        <v>3</v>
      </c>
      <c r="X1366" t="s">
        <v>9898</v>
      </c>
      <c r="Y1366" t="s">
        <v>9902</v>
      </c>
      <c r="Z1366" t="s">
        <v>9898</v>
      </c>
      <c r="AD1366">
        <f t="shared" si="43"/>
        <v>7</v>
      </c>
    </row>
    <row r="1367" spans="1:30" x14ac:dyDescent="0.25">
      <c r="A1367" t="s">
        <v>1391</v>
      </c>
      <c r="B1367" s="2">
        <v>44701</v>
      </c>
      <c r="C1367" s="2">
        <v>44706</v>
      </c>
      <c r="D1367" t="s">
        <v>5061</v>
      </c>
      <c r="E1367" t="s">
        <v>5561</v>
      </c>
      <c r="F1367" t="s">
        <v>6027</v>
      </c>
      <c r="G1367" t="s">
        <v>6029</v>
      </c>
      <c r="H1367" t="s">
        <v>6041</v>
      </c>
      <c r="I1367" t="s">
        <v>6049</v>
      </c>
      <c r="J1367" t="s">
        <v>6053</v>
      </c>
      <c r="K1367" t="s">
        <v>6058</v>
      </c>
      <c r="L1367" t="s">
        <v>7325</v>
      </c>
      <c r="M1367">
        <v>179.46</v>
      </c>
      <c r="N1367">
        <v>8</v>
      </c>
      <c r="O1367">
        <v>0.23</v>
      </c>
      <c r="P1367">
        <v>-16.87</v>
      </c>
      <c r="Q1367" t="s">
        <v>9897</v>
      </c>
      <c r="R1367">
        <v>5</v>
      </c>
      <c r="S1367" s="5">
        <f t="shared" si="42"/>
        <v>-9.400423492700323E-2</v>
      </c>
      <c r="T1367">
        <v>22.432500000000001</v>
      </c>
      <c r="U1367">
        <v>5</v>
      </c>
      <c r="V1367">
        <v>2022</v>
      </c>
      <c r="W1367">
        <v>2</v>
      </c>
      <c r="X1367" t="s">
        <v>9898</v>
      </c>
      <c r="Y1367" t="s">
        <v>9900</v>
      </c>
      <c r="Z1367" t="s">
        <v>9899</v>
      </c>
      <c r="AD1367">
        <f t="shared" si="43"/>
        <v>5</v>
      </c>
    </row>
    <row r="1368" spans="1:30" x14ac:dyDescent="0.25">
      <c r="A1368" t="s">
        <v>1392</v>
      </c>
      <c r="B1368" s="2">
        <v>44623</v>
      </c>
      <c r="C1368" s="2">
        <v>44626</v>
      </c>
      <c r="D1368" t="s">
        <v>5283</v>
      </c>
      <c r="E1368" t="s">
        <v>5783</v>
      </c>
      <c r="F1368" t="s">
        <v>6027</v>
      </c>
      <c r="G1368" t="s">
        <v>6030</v>
      </c>
      <c r="H1368" t="s">
        <v>6035</v>
      </c>
      <c r="I1368" t="s">
        <v>6047</v>
      </c>
      <c r="J1368" t="s">
        <v>6053</v>
      </c>
      <c r="K1368" t="s">
        <v>6058</v>
      </c>
      <c r="L1368" t="s">
        <v>7326</v>
      </c>
      <c r="M1368">
        <v>723.56</v>
      </c>
      <c r="N1368">
        <v>4</v>
      </c>
      <c r="O1368">
        <v>0.19</v>
      </c>
      <c r="P1368">
        <v>49.04</v>
      </c>
      <c r="Q1368" t="s">
        <v>9896</v>
      </c>
      <c r="R1368">
        <v>3</v>
      </c>
      <c r="S1368" s="5">
        <f t="shared" si="42"/>
        <v>6.7775996461938201E-2</v>
      </c>
      <c r="T1368">
        <v>180.89</v>
      </c>
      <c r="U1368">
        <v>3</v>
      </c>
      <c r="V1368">
        <v>2022</v>
      </c>
      <c r="W1368">
        <v>1</v>
      </c>
      <c r="X1368" t="s">
        <v>9899</v>
      </c>
      <c r="Y1368" t="s">
        <v>9900</v>
      </c>
      <c r="Z1368" t="s">
        <v>9899</v>
      </c>
      <c r="AD1368">
        <f t="shared" si="43"/>
        <v>3</v>
      </c>
    </row>
    <row r="1369" spans="1:30" x14ac:dyDescent="0.25">
      <c r="A1369" t="s">
        <v>1393</v>
      </c>
      <c r="B1369" s="2">
        <v>44657</v>
      </c>
      <c r="C1369" s="2">
        <v>44660</v>
      </c>
      <c r="D1369" t="s">
        <v>5132</v>
      </c>
      <c r="E1369" t="s">
        <v>5632</v>
      </c>
      <c r="F1369" t="s">
        <v>6028</v>
      </c>
      <c r="G1369" t="s">
        <v>6029</v>
      </c>
      <c r="H1369" t="s">
        <v>6036</v>
      </c>
      <c r="I1369" t="s">
        <v>6050</v>
      </c>
      <c r="J1369" t="s">
        <v>6053</v>
      </c>
      <c r="K1369" t="s">
        <v>6057</v>
      </c>
      <c r="L1369" t="s">
        <v>7327</v>
      </c>
      <c r="M1369">
        <v>1602.87</v>
      </c>
      <c r="N1369">
        <v>3</v>
      </c>
      <c r="O1369">
        <v>0.26</v>
      </c>
      <c r="P1369">
        <v>56.83</v>
      </c>
      <c r="Q1369" t="s">
        <v>9895</v>
      </c>
      <c r="R1369">
        <v>3</v>
      </c>
      <c r="S1369" s="5">
        <f t="shared" si="42"/>
        <v>3.5455152320525062E-2</v>
      </c>
      <c r="T1369">
        <v>534.29</v>
      </c>
      <c r="U1369">
        <v>4</v>
      </c>
      <c r="V1369">
        <v>2022</v>
      </c>
      <c r="W1369">
        <v>2</v>
      </c>
      <c r="X1369" t="s">
        <v>9899</v>
      </c>
      <c r="Y1369" t="s">
        <v>9900</v>
      </c>
      <c r="Z1369" t="s">
        <v>9898</v>
      </c>
      <c r="AD1369">
        <f t="shared" si="43"/>
        <v>3</v>
      </c>
    </row>
    <row r="1370" spans="1:30" x14ac:dyDescent="0.25">
      <c r="A1370" t="s">
        <v>1394</v>
      </c>
      <c r="B1370" s="2">
        <v>44704</v>
      </c>
      <c r="C1370" s="2">
        <v>44711</v>
      </c>
      <c r="D1370" t="s">
        <v>5343</v>
      </c>
      <c r="E1370" t="s">
        <v>5843</v>
      </c>
      <c r="F1370" t="s">
        <v>6027</v>
      </c>
      <c r="G1370" t="s">
        <v>6029</v>
      </c>
      <c r="H1370" t="s">
        <v>6045</v>
      </c>
      <c r="I1370" t="s">
        <v>6050</v>
      </c>
      <c r="J1370" t="s">
        <v>6053</v>
      </c>
      <c r="K1370" t="s">
        <v>6058</v>
      </c>
      <c r="L1370" t="s">
        <v>7328</v>
      </c>
      <c r="M1370">
        <v>1495.26</v>
      </c>
      <c r="N1370">
        <v>6</v>
      </c>
      <c r="O1370">
        <v>0.22</v>
      </c>
      <c r="P1370">
        <v>-94.58</v>
      </c>
      <c r="Q1370" t="s">
        <v>9896</v>
      </c>
      <c r="R1370">
        <v>7</v>
      </c>
      <c r="S1370" s="5">
        <f t="shared" si="42"/>
        <v>-6.3253213487955276E-2</v>
      </c>
      <c r="T1370">
        <v>249.21</v>
      </c>
      <c r="U1370">
        <v>5</v>
      </c>
      <c r="V1370">
        <v>2022</v>
      </c>
      <c r="W1370">
        <v>2</v>
      </c>
      <c r="X1370" t="s">
        <v>9898</v>
      </c>
      <c r="Y1370" t="s">
        <v>9900</v>
      </c>
      <c r="Z1370" t="s">
        <v>9898</v>
      </c>
      <c r="AD1370">
        <f t="shared" si="43"/>
        <v>7</v>
      </c>
    </row>
    <row r="1371" spans="1:30" x14ac:dyDescent="0.25">
      <c r="A1371" t="s">
        <v>1395</v>
      </c>
      <c r="B1371" s="2">
        <v>44957</v>
      </c>
      <c r="C1371" s="2">
        <v>44960</v>
      </c>
      <c r="D1371" t="s">
        <v>5415</v>
      </c>
      <c r="E1371" t="s">
        <v>5915</v>
      </c>
      <c r="F1371" t="s">
        <v>6027</v>
      </c>
      <c r="G1371" t="s">
        <v>6031</v>
      </c>
      <c r="H1371" t="s">
        <v>6034</v>
      </c>
      <c r="I1371" t="s">
        <v>6048</v>
      </c>
      <c r="J1371" t="s">
        <v>6055</v>
      </c>
      <c r="K1371" t="s">
        <v>6061</v>
      </c>
      <c r="L1371" t="s">
        <v>7329</v>
      </c>
      <c r="M1371">
        <v>1730.24</v>
      </c>
      <c r="N1371">
        <v>7</v>
      </c>
      <c r="O1371">
        <v>0.31</v>
      </c>
      <c r="P1371">
        <v>-72.790000000000006</v>
      </c>
      <c r="Q1371" t="s">
        <v>9893</v>
      </c>
      <c r="R1371">
        <v>3</v>
      </c>
      <c r="S1371" s="5">
        <f t="shared" si="42"/>
        <v>-4.2069308304050305E-2</v>
      </c>
      <c r="T1371">
        <v>247.17714285714291</v>
      </c>
      <c r="U1371">
        <v>1</v>
      </c>
      <c r="V1371">
        <v>2023</v>
      </c>
      <c r="W1371">
        <v>1</v>
      </c>
      <c r="X1371" t="s">
        <v>9898</v>
      </c>
      <c r="Y1371" t="s">
        <v>9902</v>
      </c>
      <c r="Z1371" t="s">
        <v>9898</v>
      </c>
      <c r="AD1371">
        <f t="shared" si="43"/>
        <v>3</v>
      </c>
    </row>
    <row r="1372" spans="1:30" x14ac:dyDescent="0.25">
      <c r="A1372" t="s">
        <v>1396</v>
      </c>
      <c r="B1372" s="2">
        <v>44932</v>
      </c>
      <c r="C1372" s="2">
        <v>44936</v>
      </c>
      <c r="D1372" t="s">
        <v>5373</v>
      </c>
      <c r="E1372" t="s">
        <v>5873</v>
      </c>
      <c r="F1372" t="s">
        <v>6028</v>
      </c>
      <c r="G1372" t="s">
        <v>6031</v>
      </c>
      <c r="H1372" t="s">
        <v>6040</v>
      </c>
      <c r="I1372" t="s">
        <v>6050</v>
      </c>
      <c r="J1372" t="s">
        <v>6053</v>
      </c>
      <c r="K1372" t="s">
        <v>6058</v>
      </c>
      <c r="L1372" t="s">
        <v>7330</v>
      </c>
      <c r="M1372">
        <v>1190.2</v>
      </c>
      <c r="N1372">
        <v>8</v>
      </c>
      <c r="O1372">
        <v>0.15</v>
      </c>
      <c r="P1372">
        <v>136.63999999999999</v>
      </c>
      <c r="Q1372" t="s">
        <v>9895</v>
      </c>
      <c r="R1372">
        <v>4</v>
      </c>
      <c r="S1372" s="5">
        <f t="shared" si="42"/>
        <v>0.1148042345824231</v>
      </c>
      <c r="T1372">
        <v>148.77500000000001</v>
      </c>
      <c r="U1372">
        <v>1</v>
      </c>
      <c r="V1372">
        <v>2023</v>
      </c>
      <c r="W1372">
        <v>1</v>
      </c>
      <c r="X1372" t="s">
        <v>9899</v>
      </c>
      <c r="Y1372" t="s">
        <v>9901</v>
      </c>
      <c r="Z1372" t="s">
        <v>9898</v>
      </c>
      <c r="AD1372">
        <f t="shared" si="43"/>
        <v>4</v>
      </c>
    </row>
    <row r="1373" spans="1:30" x14ac:dyDescent="0.25">
      <c r="A1373" t="s">
        <v>1397</v>
      </c>
      <c r="B1373" s="2">
        <v>44860</v>
      </c>
      <c r="C1373" s="2">
        <v>44862</v>
      </c>
      <c r="D1373" t="s">
        <v>5090</v>
      </c>
      <c r="E1373" t="s">
        <v>5590</v>
      </c>
      <c r="F1373" t="s">
        <v>6026</v>
      </c>
      <c r="G1373" t="s">
        <v>6030</v>
      </c>
      <c r="H1373" t="s">
        <v>6035</v>
      </c>
      <c r="I1373" t="s">
        <v>6047</v>
      </c>
      <c r="J1373" t="s">
        <v>6055</v>
      </c>
      <c r="K1373" t="s">
        <v>6064</v>
      </c>
      <c r="L1373" t="s">
        <v>7331</v>
      </c>
      <c r="M1373">
        <v>907.77</v>
      </c>
      <c r="N1373">
        <v>8</v>
      </c>
      <c r="O1373">
        <v>0.1</v>
      </c>
      <c r="P1373">
        <v>108</v>
      </c>
      <c r="Q1373" t="s">
        <v>9896</v>
      </c>
      <c r="R1373">
        <v>2</v>
      </c>
      <c r="S1373" s="5">
        <f t="shared" si="42"/>
        <v>0.11897286757658879</v>
      </c>
      <c r="T1373">
        <v>113.47125</v>
      </c>
      <c r="U1373">
        <v>10</v>
      </c>
      <c r="V1373">
        <v>2022</v>
      </c>
      <c r="W1373">
        <v>4</v>
      </c>
      <c r="X1373" t="s">
        <v>9899</v>
      </c>
      <c r="Y1373" t="s">
        <v>9901</v>
      </c>
      <c r="Z1373" t="s">
        <v>9899</v>
      </c>
      <c r="AD1373">
        <f t="shared" si="43"/>
        <v>2</v>
      </c>
    </row>
    <row r="1374" spans="1:30" x14ac:dyDescent="0.25">
      <c r="A1374" t="s">
        <v>1398</v>
      </c>
      <c r="B1374" s="2">
        <v>44642</v>
      </c>
      <c r="C1374" s="2">
        <v>44647</v>
      </c>
      <c r="D1374" t="s">
        <v>5422</v>
      </c>
      <c r="E1374" t="s">
        <v>5922</v>
      </c>
      <c r="F1374" t="s">
        <v>6027</v>
      </c>
      <c r="G1374" t="s">
        <v>6031</v>
      </c>
      <c r="H1374" t="s">
        <v>6034</v>
      </c>
      <c r="I1374" t="s">
        <v>6052</v>
      </c>
      <c r="J1374" t="s">
        <v>6053</v>
      </c>
      <c r="K1374" t="s">
        <v>6056</v>
      </c>
      <c r="L1374" t="s">
        <v>7332</v>
      </c>
      <c r="M1374">
        <v>864.79</v>
      </c>
      <c r="N1374">
        <v>3</v>
      </c>
      <c r="O1374">
        <v>0.27</v>
      </c>
      <c r="P1374">
        <v>24.26</v>
      </c>
      <c r="Q1374" t="s">
        <v>9896</v>
      </c>
      <c r="R1374">
        <v>5</v>
      </c>
      <c r="S1374" s="5">
        <f t="shared" si="42"/>
        <v>2.8053053342429957E-2</v>
      </c>
      <c r="T1374">
        <v>288.26333333333332</v>
      </c>
      <c r="U1374">
        <v>3</v>
      </c>
      <c r="V1374">
        <v>2022</v>
      </c>
      <c r="W1374">
        <v>1</v>
      </c>
      <c r="X1374" t="s">
        <v>9899</v>
      </c>
      <c r="Y1374" t="s">
        <v>9900</v>
      </c>
      <c r="Z1374" t="s">
        <v>9899</v>
      </c>
      <c r="AD1374">
        <f t="shared" si="43"/>
        <v>5</v>
      </c>
    </row>
    <row r="1375" spans="1:30" x14ac:dyDescent="0.25">
      <c r="A1375" t="s">
        <v>1399</v>
      </c>
      <c r="B1375" s="2">
        <v>45185</v>
      </c>
      <c r="C1375" s="2">
        <v>45188</v>
      </c>
      <c r="D1375" t="s">
        <v>5446</v>
      </c>
      <c r="E1375" t="s">
        <v>5946</v>
      </c>
      <c r="F1375" t="s">
        <v>6026</v>
      </c>
      <c r="G1375" t="s">
        <v>6031</v>
      </c>
      <c r="H1375" t="s">
        <v>6034</v>
      </c>
      <c r="I1375" t="s">
        <v>6050</v>
      </c>
      <c r="J1375" t="s">
        <v>6053</v>
      </c>
      <c r="K1375" t="s">
        <v>6056</v>
      </c>
      <c r="L1375" t="s">
        <v>7333</v>
      </c>
      <c r="M1375">
        <v>1275.8499999999999</v>
      </c>
      <c r="N1375">
        <v>2</v>
      </c>
      <c r="O1375">
        <v>0.32</v>
      </c>
      <c r="P1375">
        <v>-188.43</v>
      </c>
      <c r="Q1375" t="s">
        <v>9894</v>
      </c>
      <c r="R1375">
        <v>3</v>
      </c>
      <c r="S1375" s="5">
        <f t="shared" si="42"/>
        <v>-0.14768977544382178</v>
      </c>
      <c r="T1375">
        <v>637.92499999999995</v>
      </c>
      <c r="U1375">
        <v>9</v>
      </c>
      <c r="V1375">
        <v>2023</v>
      </c>
      <c r="W1375">
        <v>3</v>
      </c>
      <c r="X1375" t="s">
        <v>9898</v>
      </c>
      <c r="Y1375" t="s">
        <v>9902</v>
      </c>
      <c r="Z1375" t="s">
        <v>9898</v>
      </c>
      <c r="AD1375">
        <f t="shared" si="43"/>
        <v>3</v>
      </c>
    </row>
    <row r="1376" spans="1:30" x14ac:dyDescent="0.25">
      <c r="A1376" t="s">
        <v>1400</v>
      </c>
      <c r="B1376" s="2">
        <v>45228</v>
      </c>
      <c r="C1376" s="2">
        <v>45235</v>
      </c>
      <c r="D1376" t="s">
        <v>5097</v>
      </c>
      <c r="E1376" t="s">
        <v>5597</v>
      </c>
      <c r="F1376" t="s">
        <v>6028</v>
      </c>
      <c r="G1376" t="s">
        <v>6030</v>
      </c>
      <c r="H1376" t="s">
        <v>6039</v>
      </c>
      <c r="I1376" t="s">
        <v>6051</v>
      </c>
      <c r="J1376" t="s">
        <v>6053</v>
      </c>
      <c r="K1376" t="s">
        <v>6058</v>
      </c>
      <c r="L1376" t="s">
        <v>7334</v>
      </c>
      <c r="M1376">
        <v>501.95</v>
      </c>
      <c r="N1376">
        <v>6</v>
      </c>
      <c r="O1376">
        <v>0.09</v>
      </c>
      <c r="P1376">
        <v>38.869999999999997</v>
      </c>
      <c r="Q1376" t="s">
        <v>9897</v>
      </c>
      <c r="R1376">
        <v>7</v>
      </c>
      <c r="S1376" s="5">
        <f t="shared" si="42"/>
        <v>7.7437991831855763E-2</v>
      </c>
      <c r="T1376">
        <v>83.658333333333331</v>
      </c>
      <c r="U1376">
        <v>10</v>
      </c>
      <c r="V1376">
        <v>2023</v>
      </c>
      <c r="W1376">
        <v>4</v>
      </c>
      <c r="X1376" t="s">
        <v>9899</v>
      </c>
      <c r="Y1376" t="s">
        <v>9901</v>
      </c>
      <c r="Z1376" t="s">
        <v>9899</v>
      </c>
      <c r="AD1376">
        <f t="shared" si="43"/>
        <v>7</v>
      </c>
    </row>
    <row r="1377" spans="1:30" x14ac:dyDescent="0.25">
      <c r="A1377" t="s">
        <v>1401</v>
      </c>
      <c r="B1377" s="2">
        <v>44883</v>
      </c>
      <c r="C1377" s="2">
        <v>44884</v>
      </c>
      <c r="D1377" t="s">
        <v>5072</v>
      </c>
      <c r="E1377" t="s">
        <v>5572</v>
      </c>
      <c r="F1377" t="s">
        <v>6028</v>
      </c>
      <c r="G1377" t="s">
        <v>6031</v>
      </c>
      <c r="H1377" t="s">
        <v>6043</v>
      </c>
      <c r="I1377" t="s">
        <v>6048</v>
      </c>
      <c r="J1377" t="s">
        <v>6054</v>
      </c>
      <c r="K1377" t="s">
        <v>6062</v>
      </c>
      <c r="L1377" t="s">
        <v>7335</v>
      </c>
      <c r="M1377">
        <v>1958.44</v>
      </c>
      <c r="N1377">
        <v>2</v>
      </c>
      <c r="O1377">
        <v>0.09</v>
      </c>
      <c r="P1377">
        <v>116.15</v>
      </c>
      <c r="Q1377" t="s">
        <v>9895</v>
      </c>
      <c r="R1377">
        <v>1</v>
      </c>
      <c r="S1377" s="5">
        <f t="shared" si="42"/>
        <v>5.9307407936929395E-2</v>
      </c>
      <c r="T1377">
        <v>979.22</v>
      </c>
      <c r="U1377">
        <v>11</v>
      </c>
      <c r="V1377">
        <v>2022</v>
      </c>
      <c r="W1377">
        <v>4</v>
      </c>
      <c r="X1377" t="s">
        <v>9899</v>
      </c>
      <c r="Y1377" t="s">
        <v>9901</v>
      </c>
      <c r="Z1377" t="s">
        <v>9898</v>
      </c>
      <c r="AD1377">
        <f t="shared" si="43"/>
        <v>1</v>
      </c>
    </row>
    <row r="1378" spans="1:30" x14ac:dyDescent="0.25">
      <c r="A1378" t="s">
        <v>1402</v>
      </c>
      <c r="B1378" s="2">
        <v>45004</v>
      </c>
      <c r="C1378" s="2">
        <v>45007</v>
      </c>
      <c r="D1378" t="s">
        <v>5299</v>
      </c>
      <c r="E1378" t="s">
        <v>5799</v>
      </c>
      <c r="F1378" t="s">
        <v>6026</v>
      </c>
      <c r="G1378" t="s">
        <v>6030</v>
      </c>
      <c r="H1378" t="s">
        <v>6035</v>
      </c>
      <c r="I1378" t="s">
        <v>6047</v>
      </c>
      <c r="J1378" t="s">
        <v>6055</v>
      </c>
      <c r="K1378" t="s">
        <v>6061</v>
      </c>
      <c r="L1378" t="s">
        <v>7336</v>
      </c>
      <c r="M1378">
        <v>1775.7</v>
      </c>
      <c r="N1378">
        <v>5</v>
      </c>
      <c r="O1378">
        <v>0.18</v>
      </c>
      <c r="P1378">
        <v>171.61</v>
      </c>
      <c r="Q1378" t="s">
        <v>9897</v>
      </c>
      <c r="R1378">
        <v>3</v>
      </c>
      <c r="S1378" s="5">
        <f t="shared" si="42"/>
        <v>9.6643577180830095E-2</v>
      </c>
      <c r="T1378">
        <v>355.14</v>
      </c>
      <c r="U1378">
        <v>3</v>
      </c>
      <c r="V1378">
        <v>2023</v>
      </c>
      <c r="W1378">
        <v>1</v>
      </c>
      <c r="X1378" t="s">
        <v>9899</v>
      </c>
      <c r="Y1378" t="s">
        <v>9900</v>
      </c>
      <c r="Z1378" t="s">
        <v>9898</v>
      </c>
      <c r="AD1378">
        <f t="shared" si="43"/>
        <v>3</v>
      </c>
    </row>
    <row r="1379" spans="1:30" x14ac:dyDescent="0.25">
      <c r="A1379" t="s">
        <v>1403</v>
      </c>
      <c r="B1379" s="2">
        <v>45085</v>
      </c>
      <c r="C1379" s="2">
        <v>45088</v>
      </c>
      <c r="D1379" t="s">
        <v>5057</v>
      </c>
      <c r="E1379" t="s">
        <v>5557</v>
      </c>
      <c r="F1379" t="s">
        <v>6026</v>
      </c>
      <c r="G1379" t="s">
        <v>6030</v>
      </c>
      <c r="H1379" t="s">
        <v>6033</v>
      </c>
      <c r="I1379" t="s">
        <v>6051</v>
      </c>
      <c r="J1379" t="s">
        <v>6055</v>
      </c>
      <c r="K1379" t="s">
        <v>6063</v>
      </c>
      <c r="L1379" t="s">
        <v>7337</v>
      </c>
      <c r="M1379">
        <v>756.6</v>
      </c>
      <c r="N1379">
        <v>2</v>
      </c>
      <c r="O1379">
        <v>0.13</v>
      </c>
      <c r="P1379">
        <v>66.459999999999994</v>
      </c>
      <c r="Q1379" t="s">
        <v>9897</v>
      </c>
      <c r="R1379">
        <v>3</v>
      </c>
      <c r="S1379" s="5">
        <f t="shared" si="42"/>
        <v>8.7840338355802267E-2</v>
      </c>
      <c r="T1379">
        <v>378.3</v>
      </c>
      <c r="U1379">
        <v>6</v>
      </c>
      <c r="V1379">
        <v>2023</v>
      </c>
      <c r="W1379">
        <v>2</v>
      </c>
      <c r="X1379" t="s">
        <v>9899</v>
      </c>
      <c r="Y1379" t="s">
        <v>9901</v>
      </c>
      <c r="Z1379" t="s">
        <v>9899</v>
      </c>
      <c r="AD1379">
        <f t="shared" si="43"/>
        <v>3</v>
      </c>
    </row>
    <row r="1380" spans="1:30" x14ac:dyDescent="0.25">
      <c r="A1380" t="s">
        <v>1404</v>
      </c>
      <c r="B1380" s="2">
        <v>45249</v>
      </c>
      <c r="C1380" s="2">
        <v>45251</v>
      </c>
      <c r="D1380" t="s">
        <v>5189</v>
      </c>
      <c r="E1380" t="s">
        <v>5689</v>
      </c>
      <c r="F1380" t="s">
        <v>6026</v>
      </c>
      <c r="G1380" t="s">
        <v>6030</v>
      </c>
      <c r="H1380" t="s">
        <v>6033</v>
      </c>
      <c r="I1380" t="s">
        <v>6047</v>
      </c>
      <c r="J1380" t="s">
        <v>6054</v>
      </c>
      <c r="K1380" t="s">
        <v>6059</v>
      </c>
      <c r="L1380" t="s">
        <v>7338</v>
      </c>
      <c r="M1380">
        <v>1948.49</v>
      </c>
      <c r="N1380">
        <v>5</v>
      </c>
      <c r="O1380">
        <v>0.19</v>
      </c>
      <c r="P1380">
        <v>-156.61000000000001</v>
      </c>
      <c r="Q1380" t="s">
        <v>9893</v>
      </c>
      <c r="R1380">
        <v>2</v>
      </c>
      <c r="S1380" s="5">
        <f t="shared" si="42"/>
        <v>-8.0375059661584106E-2</v>
      </c>
      <c r="T1380">
        <v>389.69799999999998</v>
      </c>
      <c r="U1380">
        <v>11</v>
      </c>
      <c r="V1380">
        <v>2023</v>
      </c>
      <c r="W1380">
        <v>4</v>
      </c>
      <c r="X1380" t="s">
        <v>9898</v>
      </c>
      <c r="Y1380" t="s">
        <v>9900</v>
      </c>
      <c r="Z1380" t="s">
        <v>9898</v>
      </c>
      <c r="AD1380">
        <f t="shared" si="43"/>
        <v>2</v>
      </c>
    </row>
    <row r="1381" spans="1:30" x14ac:dyDescent="0.25">
      <c r="A1381" t="s">
        <v>1405</v>
      </c>
      <c r="B1381" s="2">
        <v>44848</v>
      </c>
      <c r="C1381" s="2">
        <v>44853</v>
      </c>
      <c r="D1381" t="s">
        <v>5449</v>
      </c>
      <c r="E1381" t="s">
        <v>5949</v>
      </c>
      <c r="F1381" t="s">
        <v>6027</v>
      </c>
      <c r="G1381" t="s">
        <v>6031</v>
      </c>
      <c r="H1381" t="s">
        <v>6034</v>
      </c>
      <c r="I1381" t="s">
        <v>6050</v>
      </c>
      <c r="J1381" t="s">
        <v>6055</v>
      </c>
      <c r="K1381" t="s">
        <v>6061</v>
      </c>
      <c r="L1381" t="s">
        <v>7339</v>
      </c>
      <c r="M1381">
        <v>396.56</v>
      </c>
      <c r="N1381">
        <v>1</v>
      </c>
      <c r="O1381">
        <v>0.08</v>
      </c>
      <c r="P1381">
        <v>55.33</v>
      </c>
      <c r="Q1381" t="s">
        <v>9896</v>
      </c>
      <c r="R1381">
        <v>5</v>
      </c>
      <c r="S1381" s="5">
        <f t="shared" si="42"/>
        <v>0.13952491426265887</v>
      </c>
      <c r="T1381">
        <v>396.56</v>
      </c>
      <c r="U1381">
        <v>10</v>
      </c>
      <c r="V1381">
        <v>2022</v>
      </c>
      <c r="W1381">
        <v>4</v>
      </c>
      <c r="X1381" t="s">
        <v>9899</v>
      </c>
      <c r="Y1381" t="s">
        <v>9901</v>
      </c>
      <c r="Z1381" t="s">
        <v>9899</v>
      </c>
      <c r="AD1381">
        <f t="shared" si="43"/>
        <v>5</v>
      </c>
    </row>
    <row r="1382" spans="1:30" x14ac:dyDescent="0.25">
      <c r="A1382" t="s">
        <v>1406</v>
      </c>
      <c r="B1382" s="2">
        <v>45024</v>
      </c>
      <c r="C1382" s="2">
        <v>45031</v>
      </c>
      <c r="D1382" t="s">
        <v>5105</v>
      </c>
      <c r="E1382" t="s">
        <v>5605</v>
      </c>
      <c r="F1382" t="s">
        <v>6028</v>
      </c>
      <c r="G1382" t="s">
        <v>6029</v>
      </c>
      <c r="H1382" t="s">
        <v>6041</v>
      </c>
      <c r="I1382" t="s">
        <v>6046</v>
      </c>
      <c r="J1382" t="s">
        <v>6053</v>
      </c>
      <c r="K1382" t="s">
        <v>6056</v>
      </c>
      <c r="L1382" t="s">
        <v>7340</v>
      </c>
      <c r="M1382">
        <v>654.71</v>
      </c>
      <c r="N1382">
        <v>2</v>
      </c>
      <c r="O1382">
        <v>0.22</v>
      </c>
      <c r="P1382">
        <v>-5.85</v>
      </c>
      <c r="Q1382" t="s">
        <v>9896</v>
      </c>
      <c r="R1382">
        <v>7</v>
      </c>
      <c r="S1382" s="5">
        <f t="shared" si="42"/>
        <v>-8.935253776481189E-3</v>
      </c>
      <c r="T1382">
        <v>327.35500000000002</v>
      </c>
      <c r="U1382">
        <v>4</v>
      </c>
      <c r="V1382">
        <v>2023</v>
      </c>
      <c r="W1382">
        <v>2</v>
      </c>
      <c r="X1382" t="s">
        <v>9898</v>
      </c>
      <c r="Y1382" t="s">
        <v>9900</v>
      </c>
      <c r="Z1382" t="s">
        <v>9899</v>
      </c>
      <c r="AD1382">
        <f t="shared" si="43"/>
        <v>7</v>
      </c>
    </row>
    <row r="1383" spans="1:30" x14ac:dyDescent="0.25">
      <c r="A1383" t="s">
        <v>1407</v>
      </c>
      <c r="B1383" s="2">
        <v>44854</v>
      </c>
      <c r="C1383" s="2">
        <v>44860</v>
      </c>
      <c r="D1383" t="s">
        <v>5373</v>
      </c>
      <c r="E1383" t="s">
        <v>5873</v>
      </c>
      <c r="F1383" t="s">
        <v>6027</v>
      </c>
      <c r="G1383" t="s">
        <v>6030</v>
      </c>
      <c r="H1383" t="s">
        <v>6033</v>
      </c>
      <c r="I1383" t="s">
        <v>6051</v>
      </c>
      <c r="J1383" t="s">
        <v>6055</v>
      </c>
      <c r="K1383" t="s">
        <v>6063</v>
      </c>
      <c r="L1383" t="s">
        <v>7341</v>
      </c>
      <c r="M1383">
        <v>1953.54</v>
      </c>
      <c r="N1383">
        <v>6</v>
      </c>
      <c r="O1383">
        <v>0.24</v>
      </c>
      <c r="P1383">
        <v>-98.52</v>
      </c>
      <c r="Q1383" t="s">
        <v>9895</v>
      </c>
      <c r="R1383">
        <v>6</v>
      </c>
      <c r="S1383" s="5">
        <f t="shared" si="42"/>
        <v>-5.0431524309714669E-2</v>
      </c>
      <c r="T1383">
        <v>325.58999999999997</v>
      </c>
      <c r="U1383">
        <v>10</v>
      </c>
      <c r="V1383">
        <v>2022</v>
      </c>
      <c r="W1383">
        <v>4</v>
      </c>
      <c r="X1383" t="s">
        <v>9898</v>
      </c>
      <c r="Y1383" t="s">
        <v>9900</v>
      </c>
      <c r="Z1383" t="s">
        <v>9898</v>
      </c>
      <c r="AD1383">
        <f t="shared" si="43"/>
        <v>6</v>
      </c>
    </row>
    <row r="1384" spans="1:30" x14ac:dyDescent="0.25">
      <c r="A1384" t="s">
        <v>1408</v>
      </c>
      <c r="B1384" s="2">
        <v>44886</v>
      </c>
      <c r="C1384" s="2">
        <v>44887</v>
      </c>
      <c r="D1384" t="s">
        <v>5492</v>
      </c>
      <c r="E1384" t="s">
        <v>5992</v>
      </c>
      <c r="F1384" t="s">
        <v>6027</v>
      </c>
      <c r="G1384" t="s">
        <v>6029</v>
      </c>
      <c r="H1384" t="s">
        <v>6044</v>
      </c>
      <c r="I1384" t="s">
        <v>6050</v>
      </c>
      <c r="J1384" t="s">
        <v>6053</v>
      </c>
      <c r="K1384" t="s">
        <v>6056</v>
      </c>
      <c r="L1384" t="s">
        <v>7342</v>
      </c>
      <c r="M1384">
        <v>1235.3900000000001</v>
      </c>
      <c r="N1384">
        <v>1</v>
      </c>
      <c r="O1384">
        <v>0.27</v>
      </c>
      <c r="P1384">
        <v>-2.93</v>
      </c>
      <c r="Q1384" t="s">
        <v>9895</v>
      </c>
      <c r="R1384">
        <v>1</v>
      </c>
      <c r="S1384" s="5">
        <f t="shared" si="42"/>
        <v>-2.3717206712050446E-3</v>
      </c>
      <c r="T1384">
        <v>1235.3900000000001</v>
      </c>
      <c r="U1384">
        <v>11</v>
      </c>
      <c r="V1384">
        <v>2022</v>
      </c>
      <c r="W1384">
        <v>4</v>
      </c>
      <c r="X1384" t="s">
        <v>9898</v>
      </c>
      <c r="Y1384" t="s">
        <v>9900</v>
      </c>
      <c r="Z1384" t="s">
        <v>9898</v>
      </c>
      <c r="AD1384">
        <f t="shared" si="43"/>
        <v>1</v>
      </c>
    </row>
    <row r="1385" spans="1:30" x14ac:dyDescent="0.25">
      <c r="A1385" t="s">
        <v>1409</v>
      </c>
      <c r="B1385" s="2">
        <v>45261</v>
      </c>
      <c r="C1385" s="2">
        <v>45266</v>
      </c>
      <c r="D1385" t="s">
        <v>5254</v>
      </c>
      <c r="E1385" t="s">
        <v>5754</v>
      </c>
      <c r="F1385" t="s">
        <v>6027</v>
      </c>
      <c r="G1385" t="s">
        <v>6030</v>
      </c>
      <c r="H1385" t="s">
        <v>6039</v>
      </c>
      <c r="I1385" t="s">
        <v>6047</v>
      </c>
      <c r="J1385" t="s">
        <v>6053</v>
      </c>
      <c r="K1385" t="s">
        <v>6057</v>
      </c>
      <c r="L1385" t="s">
        <v>7343</v>
      </c>
      <c r="M1385">
        <v>1448.63</v>
      </c>
      <c r="N1385">
        <v>1</v>
      </c>
      <c r="O1385">
        <v>0.28999999999999998</v>
      </c>
      <c r="P1385">
        <v>-217.06</v>
      </c>
      <c r="Q1385" t="s">
        <v>9894</v>
      </c>
      <c r="R1385">
        <v>5</v>
      </c>
      <c r="S1385" s="5">
        <f t="shared" si="42"/>
        <v>-0.14983812291613455</v>
      </c>
      <c r="T1385">
        <v>1448.63</v>
      </c>
      <c r="U1385">
        <v>12</v>
      </c>
      <c r="V1385">
        <v>2023</v>
      </c>
      <c r="W1385">
        <v>4</v>
      </c>
      <c r="X1385" t="s">
        <v>9898</v>
      </c>
      <c r="Y1385" t="s">
        <v>9900</v>
      </c>
      <c r="Z1385" t="s">
        <v>9898</v>
      </c>
      <c r="AD1385">
        <f t="shared" si="43"/>
        <v>5</v>
      </c>
    </row>
    <row r="1386" spans="1:30" x14ac:dyDescent="0.25">
      <c r="A1386" t="s">
        <v>1410</v>
      </c>
      <c r="B1386" s="2">
        <v>44900</v>
      </c>
      <c r="C1386" s="2">
        <v>44905</v>
      </c>
      <c r="D1386" t="s">
        <v>5311</v>
      </c>
      <c r="E1386" t="s">
        <v>5811</v>
      </c>
      <c r="F1386" t="s">
        <v>6027</v>
      </c>
      <c r="G1386" t="s">
        <v>6029</v>
      </c>
      <c r="H1386" t="s">
        <v>6032</v>
      </c>
      <c r="I1386" t="s">
        <v>6050</v>
      </c>
      <c r="J1386" t="s">
        <v>6055</v>
      </c>
      <c r="K1386" t="s">
        <v>6064</v>
      </c>
      <c r="L1386" t="s">
        <v>6588</v>
      </c>
      <c r="M1386">
        <v>1013.51</v>
      </c>
      <c r="N1386">
        <v>4</v>
      </c>
      <c r="O1386">
        <v>0.24</v>
      </c>
      <c r="P1386">
        <v>7.35</v>
      </c>
      <c r="Q1386" t="s">
        <v>9896</v>
      </c>
      <c r="R1386">
        <v>5</v>
      </c>
      <c r="S1386" s="5">
        <f t="shared" si="42"/>
        <v>7.2520251403538193E-3</v>
      </c>
      <c r="T1386">
        <v>253.3775</v>
      </c>
      <c r="U1386">
        <v>12</v>
      </c>
      <c r="V1386">
        <v>2022</v>
      </c>
      <c r="W1386">
        <v>4</v>
      </c>
      <c r="X1386" t="s">
        <v>9899</v>
      </c>
      <c r="Y1386" t="s">
        <v>9900</v>
      </c>
      <c r="Z1386" t="s">
        <v>9898</v>
      </c>
      <c r="AD1386">
        <f t="shared" si="43"/>
        <v>5</v>
      </c>
    </row>
    <row r="1387" spans="1:30" x14ac:dyDescent="0.25">
      <c r="A1387" t="s">
        <v>1411</v>
      </c>
      <c r="B1387" s="2">
        <v>45048</v>
      </c>
      <c r="C1387" s="2">
        <v>45054</v>
      </c>
      <c r="D1387" t="s">
        <v>5478</v>
      </c>
      <c r="E1387" t="s">
        <v>5978</v>
      </c>
      <c r="F1387" t="s">
        <v>6028</v>
      </c>
      <c r="G1387" t="s">
        <v>6031</v>
      </c>
      <c r="H1387" t="s">
        <v>6042</v>
      </c>
      <c r="I1387" t="s">
        <v>6052</v>
      </c>
      <c r="J1387" t="s">
        <v>6055</v>
      </c>
      <c r="K1387" t="s">
        <v>6064</v>
      </c>
      <c r="L1387" t="s">
        <v>7344</v>
      </c>
      <c r="M1387">
        <v>1384.14</v>
      </c>
      <c r="N1387">
        <v>7</v>
      </c>
      <c r="O1387">
        <v>0.31</v>
      </c>
      <c r="P1387">
        <v>-252.85</v>
      </c>
      <c r="Q1387" t="s">
        <v>9894</v>
      </c>
      <c r="R1387">
        <v>6</v>
      </c>
      <c r="S1387" s="5">
        <f t="shared" si="42"/>
        <v>-0.18267660785758663</v>
      </c>
      <c r="T1387">
        <v>197.7342857142857</v>
      </c>
      <c r="U1387">
        <v>5</v>
      </c>
      <c r="V1387">
        <v>2023</v>
      </c>
      <c r="W1387">
        <v>2</v>
      </c>
      <c r="X1387" t="s">
        <v>9898</v>
      </c>
      <c r="Y1387" t="s">
        <v>9902</v>
      </c>
      <c r="Z1387" t="s">
        <v>9898</v>
      </c>
      <c r="AD1387">
        <f t="shared" si="43"/>
        <v>6</v>
      </c>
    </row>
    <row r="1388" spans="1:30" x14ac:dyDescent="0.25">
      <c r="A1388" t="s">
        <v>1412</v>
      </c>
      <c r="B1388" s="2">
        <v>45149</v>
      </c>
      <c r="C1388" s="2">
        <v>45152</v>
      </c>
      <c r="D1388" t="s">
        <v>5217</v>
      </c>
      <c r="E1388" t="s">
        <v>5717</v>
      </c>
      <c r="F1388" t="s">
        <v>6028</v>
      </c>
      <c r="G1388" t="s">
        <v>6031</v>
      </c>
      <c r="H1388" t="s">
        <v>6037</v>
      </c>
      <c r="I1388" t="s">
        <v>6048</v>
      </c>
      <c r="J1388" t="s">
        <v>6054</v>
      </c>
      <c r="K1388" t="s">
        <v>6062</v>
      </c>
      <c r="L1388" t="s">
        <v>7345</v>
      </c>
      <c r="M1388">
        <v>416.49</v>
      </c>
      <c r="N1388">
        <v>4</v>
      </c>
      <c r="O1388">
        <v>0.22</v>
      </c>
      <c r="P1388">
        <v>-46.76</v>
      </c>
      <c r="Q1388" t="s">
        <v>9896</v>
      </c>
      <c r="R1388">
        <v>3</v>
      </c>
      <c r="S1388" s="5">
        <f t="shared" si="42"/>
        <v>-0.11227160315973972</v>
      </c>
      <c r="T1388">
        <v>104.1225</v>
      </c>
      <c r="U1388">
        <v>8</v>
      </c>
      <c r="V1388">
        <v>2023</v>
      </c>
      <c r="W1388">
        <v>3</v>
      </c>
      <c r="X1388" t="s">
        <v>9898</v>
      </c>
      <c r="Y1388" t="s">
        <v>9900</v>
      </c>
      <c r="Z1388" t="s">
        <v>9899</v>
      </c>
      <c r="AD1388">
        <f t="shared" si="43"/>
        <v>3</v>
      </c>
    </row>
    <row r="1389" spans="1:30" x14ac:dyDescent="0.25">
      <c r="A1389" t="s">
        <v>1413</v>
      </c>
      <c r="B1389" s="2">
        <v>45214</v>
      </c>
      <c r="C1389" s="2">
        <v>45218</v>
      </c>
      <c r="D1389" t="s">
        <v>5268</v>
      </c>
      <c r="E1389" t="s">
        <v>5768</v>
      </c>
      <c r="F1389" t="s">
        <v>6027</v>
      </c>
      <c r="G1389" t="s">
        <v>6029</v>
      </c>
      <c r="H1389" t="s">
        <v>6041</v>
      </c>
      <c r="I1389" t="s">
        <v>6046</v>
      </c>
      <c r="J1389" t="s">
        <v>6053</v>
      </c>
      <c r="K1389" t="s">
        <v>6058</v>
      </c>
      <c r="L1389" t="s">
        <v>7346</v>
      </c>
      <c r="M1389">
        <v>747.83</v>
      </c>
      <c r="N1389">
        <v>2</v>
      </c>
      <c r="O1389">
        <v>0.25</v>
      </c>
      <c r="P1389">
        <v>-78.900000000000006</v>
      </c>
      <c r="Q1389" t="s">
        <v>9895</v>
      </c>
      <c r="R1389">
        <v>4</v>
      </c>
      <c r="S1389" s="5">
        <f t="shared" si="42"/>
        <v>-0.1055052618910715</v>
      </c>
      <c r="T1389">
        <v>373.91500000000002</v>
      </c>
      <c r="U1389">
        <v>10</v>
      </c>
      <c r="V1389">
        <v>2023</v>
      </c>
      <c r="W1389">
        <v>4</v>
      </c>
      <c r="X1389" t="s">
        <v>9898</v>
      </c>
      <c r="Y1389" t="s">
        <v>9900</v>
      </c>
      <c r="Z1389" t="s">
        <v>9899</v>
      </c>
      <c r="AD1389">
        <f t="shared" si="43"/>
        <v>4</v>
      </c>
    </row>
    <row r="1390" spans="1:30" x14ac:dyDescent="0.25">
      <c r="A1390" t="s">
        <v>1414</v>
      </c>
      <c r="B1390" s="2">
        <v>44783</v>
      </c>
      <c r="C1390" s="2">
        <v>44786</v>
      </c>
      <c r="D1390" t="s">
        <v>5499</v>
      </c>
      <c r="E1390" t="s">
        <v>5999</v>
      </c>
      <c r="F1390" t="s">
        <v>6027</v>
      </c>
      <c r="G1390" t="s">
        <v>6031</v>
      </c>
      <c r="H1390" t="s">
        <v>6034</v>
      </c>
      <c r="I1390" t="s">
        <v>6052</v>
      </c>
      <c r="J1390" t="s">
        <v>6055</v>
      </c>
      <c r="K1390" t="s">
        <v>6063</v>
      </c>
      <c r="L1390" t="s">
        <v>7347</v>
      </c>
      <c r="M1390">
        <v>812.61</v>
      </c>
      <c r="N1390">
        <v>2</v>
      </c>
      <c r="O1390">
        <v>0.01</v>
      </c>
      <c r="P1390">
        <v>177.38</v>
      </c>
      <c r="Q1390" t="s">
        <v>9893</v>
      </c>
      <c r="R1390">
        <v>3</v>
      </c>
      <c r="S1390" s="5">
        <f t="shared" si="42"/>
        <v>0.218284293818683</v>
      </c>
      <c r="T1390">
        <v>406.30500000000001</v>
      </c>
      <c r="U1390">
        <v>8</v>
      </c>
      <c r="V1390">
        <v>2022</v>
      </c>
      <c r="W1390">
        <v>3</v>
      </c>
      <c r="X1390" t="s">
        <v>9899</v>
      </c>
      <c r="Y1390" t="s">
        <v>9901</v>
      </c>
      <c r="Z1390" t="s">
        <v>9899</v>
      </c>
      <c r="AD1390">
        <f t="shared" si="43"/>
        <v>3</v>
      </c>
    </row>
    <row r="1391" spans="1:30" x14ac:dyDescent="0.25">
      <c r="A1391" t="s">
        <v>1415</v>
      </c>
      <c r="B1391" s="2">
        <v>44963</v>
      </c>
      <c r="C1391" s="2">
        <v>44966</v>
      </c>
      <c r="D1391" t="s">
        <v>5332</v>
      </c>
      <c r="E1391" t="s">
        <v>5832</v>
      </c>
      <c r="F1391" t="s">
        <v>6028</v>
      </c>
      <c r="G1391" t="s">
        <v>6029</v>
      </c>
      <c r="H1391" t="s">
        <v>6044</v>
      </c>
      <c r="I1391" t="s">
        <v>6046</v>
      </c>
      <c r="J1391" t="s">
        <v>6055</v>
      </c>
      <c r="K1391" t="s">
        <v>6061</v>
      </c>
      <c r="L1391" t="s">
        <v>7348</v>
      </c>
      <c r="M1391">
        <v>1533.16</v>
      </c>
      <c r="N1391">
        <v>8</v>
      </c>
      <c r="O1391">
        <v>0.03</v>
      </c>
      <c r="P1391">
        <v>199.63</v>
      </c>
      <c r="Q1391" t="s">
        <v>9895</v>
      </c>
      <c r="R1391">
        <v>3</v>
      </c>
      <c r="S1391" s="5">
        <f t="shared" si="42"/>
        <v>0.1302081974484072</v>
      </c>
      <c r="T1391">
        <v>191.64500000000001</v>
      </c>
      <c r="U1391">
        <v>2</v>
      </c>
      <c r="V1391">
        <v>2023</v>
      </c>
      <c r="W1391">
        <v>1</v>
      </c>
      <c r="X1391" t="s">
        <v>9899</v>
      </c>
      <c r="Y1391" t="s">
        <v>9901</v>
      </c>
      <c r="Z1391" t="s">
        <v>9898</v>
      </c>
      <c r="AD1391">
        <f t="shared" si="43"/>
        <v>3</v>
      </c>
    </row>
    <row r="1392" spans="1:30" x14ac:dyDescent="0.25">
      <c r="A1392" t="s">
        <v>1416</v>
      </c>
      <c r="B1392" s="2">
        <v>44897</v>
      </c>
      <c r="C1392" s="2">
        <v>44900</v>
      </c>
      <c r="D1392" t="s">
        <v>5110</v>
      </c>
      <c r="E1392" t="s">
        <v>5610</v>
      </c>
      <c r="F1392" t="s">
        <v>6026</v>
      </c>
      <c r="G1392" t="s">
        <v>6029</v>
      </c>
      <c r="H1392" t="s">
        <v>6032</v>
      </c>
      <c r="I1392" t="s">
        <v>6046</v>
      </c>
      <c r="J1392" t="s">
        <v>6054</v>
      </c>
      <c r="K1392" t="s">
        <v>6059</v>
      </c>
      <c r="L1392" t="s">
        <v>7349</v>
      </c>
      <c r="M1392">
        <v>1443.86</v>
      </c>
      <c r="N1392">
        <v>7</v>
      </c>
      <c r="O1392">
        <v>0.14000000000000001</v>
      </c>
      <c r="P1392">
        <v>211.16</v>
      </c>
      <c r="Q1392" t="s">
        <v>9896</v>
      </c>
      <c r="R1392">
        <v>3</v>
      </c>
      <c r="S1392" s="5">
        <f t="shared" si="42"/>
        <v>0.14624686603964374</v>
      </c>
      <c r="T1392">
        <v>206.2657142857143</v>
      </c>
      <c r="U1392">
        <v>12</v>
      </c>
      <c r="V1392">
        <v>2022</v>
      </c>
      <c r="W1392">
        <v>4</v>
      </c>
      <c r="X1392" t="s">
        <v>9899</v>
      </c>
      <c r="Y1392" t="s">
        <v>9901</v>
      </c>
      <c r="Z1392" t="s">
        <v>9898</v>
      </c>
      <c r="AD1392">
        <f t="shared" si="43"/>
        <v>3</v>
      </c>
    </row>
    <row r="1393" spans="1:30" x14ac:dyDescent="0.25">
      <c r="A1393" t="s">
        <v>1417</v>
      </c>
      <c r="B1393" s="2">
        <v>44742</v>
      </c>
      <c r="C1393" s="2">
        <v>44746</v>
      </c>
      <c r="D1393" t="s">
        <v>5300</v>
      </c>
      <c r="E1393" t="s">
        <v>5800</v>
      </c>
      <c r="F1393" t="s">
        <v>6027</v>
      </c>
      <c r="G1393" t="s">
        <v>6029</v>
      </c>
      <c r="H1393" t="s">
        <v>6036</v>
      </c>
      <c r="I1393" t="s">
        <v>6050</v>
      </c>
      <c r="J1393" t="s">
        <v>6055</v>
      </c>
      <c r="K1393" t="s">
        <v>6063</v>
      </c>
      <c r="L1393" t="s">
        <v>7350</v>
      </c>
      <c r="M1393">
        <v>484.36</v>
      </c>
      <c r="N1393">
        <v>3</v>
      </c>
      <c r="O1393">
        <v>0.13</v>
      </c>
      <c r="P1393">
        <v>78.23</v>
      </c>
      <c r="Q1393" t="s">
        <v>9895</v>
      </c>
      <c r="R1393">
        <v>4</v>
      </c>
      <c r="S1393" s="5">
        <f t="shared" si="42"/>
        <v>0.16151209843917747</v>
      </c>
      <c r="T1393">
        <v>161.45333333333329</v>
      </c>
      <c r="U1393">
        <v>6</v>
      </c>
      <c r="V1393">
        <v>2022</v>
      </c>
      <c r="W1393">
        <v>2</v>
      </c>
      <c r="X1393" t="s">
        <v>9899</v>
      </c>
      <c r="Y1393" t="s">
        <v>9901</v>
      </c>
      <c r="Z1393" t="s">
        <v>9899</v>
      </c>
      <c r="AD1393">
        <f t="shared" si="43"/>
        <v>4</v>
      </c>
    </row>
    <row r="1394" spans="1:30" x14ac:dyDescent="0.25">
      <c r="A1394" t="s">
        <v>1418</v>
      </c>
      <c r="B1394" s="2">
        <v>44998</v>
      </c>
      <c r="C1394" s="2">
        <v>44999</v>
      </c>
      <c r="D1394" t="s">
        <v>5034</v>
      </c>
      <c r="E1394" t="s">
        <v>5534</v>
      </c>
      <c r="F1394" t="s">
        <v>6026</v>
      </c>
      <c r="G1394" t="s">
        <v>6030</v>
      </c>
      <c r="H1394" t="s">
        <v>6038</v>
      </c>
      <c r="I1394" t="s">
        <v>6047</v>
      </c>
      <c r="J1394" t="s">
        <v>6054</v>
      </c>
      <c r="K1394" t="s">
        <v>6059</v>
      </c>
      <c r="L1394" t="s">
        <v>7351</v>
      </c>
      <c r="M1394">
        <v>682.1</v>
      </c>
      <c r="N1394">
        <v>6</v>
      </c>
      <c r="O1394">
        <v>0.01</v>
      </c>
      <c r="P1394">
        <v>185.42</v>
      </c>
      <c r="Q1394" t="s">
        <v>9893</v>
      </c>
      <c r="R1394">
        <v>1</v>
      </c>
      <c r="S1394" s="5">
        <f t="shared" si="42"/>
        <v>0.27183697405072565</v>
      </c>
      <c r="T1394">
        <v>113.68333333333329</v>
      </c>
      <c r="U1394">
        <v>3</v>
      </c>
      <c r="V1394">
        <v>2023</v>
      </c>
      <c r="W1394">
        <v>1</v>
      </c>
      <c r="X1394" t="s">
        <v>9899</v>
      </c>
      <c r="Y1394" t="s">
        <v>9901</v>
      </c>
      <c r="Z1394" t="s">
        <v>9899</v>
      </c>
      <c r="AD1394">
        <f t="shared" si="43"/>
        <v>1</v>
      </c>
    </row>
    <row r="1395" spans="1:30" x14ac:dyDescent="0.25">
      <c r="A1395" t="s">
        <v>1419</v>
      </c>
      <c r="B1395" s="2">
        <v>45322</v>
      </c>
      <c r="C1395" s="2">
        <v>45324</v>
      </c>
      <c r="D1395" t="s">
        <v>5500</v>
      </c>
      <c r="E1395" t="s">
        <v>6000</v>
      </c>
      <c r="F1395" t="s">
        <v>6028</v>
      </c>
      <c r="G1395" t="s">
        <v>6030</v>
      </c>
      <c r="H1395" t="s">
        <v>6033</v>
      </c>
      <c r="I1395" t="s">
        <v>6051</v>
      </c>
      <c r="J1395" t="s">
        <v>6054</v>
      </c>
      <c r="K1395" t="s">
        <v>6062</v>
      </c>
      <c r="L1395" t="s">
        <v>7352</v>
      </c>
      <c r="M1395">
        <v>925.31</v>
      </c>
      <c r="N1395">
        <v>8</v>
      </c>
      <c r="O1395">
        <v>0.25</v>
      </c>
      <c r="P1395">
        <v>-119.27</v>
      </c>
      <c r="Q1395" t="s">
        <v>9897</v>
      </c>
      <c r="R1395">
        <v>2</v>
      </c>
      <c r="S1395" s="5">
        <f t="shared" si="42"/>
        <v>-0.12889734251223914</v>
      </c>
      <c r="T1395">
        <v>115.66374999999999</v>
      </c>
      <c r="U1395">
        <v>1</v>
      </c>
      <c r="V1395">
        <v>2024</v>
      </c>
      <c r="W1395">
        <v>1</v>
      </c>
      <c r="X1395" t="s">
        <v>9898</v>
      </c>
      <c r="Y1395" t="s">
        <v>9900</v>
      </c>
      <c r="Z1395" t="s">
        <v>9899</v>
      </c>
      <c r="AD1395">
        <f t="shared" si="43"/>
        <v>2</v>
      </c>
    </row>
    <row r="1396" spans="1:30" x14ac:dyDescent="0.25">
      <c r="A1396" t="s">
        <v>1420</v>
      </c>
      <c r="B1396" s="2">
        <v>45040</v>
      </c>
      <c r="C1396" s="2">
        <v>45042</v>
      </c>
      <c r="D1396" t="s">
        <v>5327</v>
      </c>
      <c r="E1396" t="s">
        <v>5827</v>
      </c>
      <c r="F1396" t="s">
        <v>6027</v>
      </c>
      <c r="G1396" t="s">
        <v>6031</v>
      </c>
      <c r="H1396" t="s">
        <v>6043</v>
      </c>
      <c r="I1396" t="s">
        <v>6050</v>
      </c>
      <c r="J1396" t="s">
        <v>6055</v>
      </c>
      <c r="K1396" t="s">
        <v>6063</v>
      </c>
      <c r="L1396" t="s">
        <v>7353</v>
      </c>
      <c r="M1396">
        <v>530.47</v>
      </c>
      <c r="N1396">
        <v>8</v>
      </c>
      <c r="O1396">
        <v>0.27</v>
      </c>
      <c r="P1396">
        <v>-38.4</v>
      </c>
      <c r="Q1396" t="s">
        <v>9893</v>
      </c>
      <c r="R1396">
        <v>2</v>
      </c>
      <c r="S1396" s="5">
        <f t="shared" si="42"/>
        <v>-7.2388636492167313E-2</v>
      </c>
      <c r="T1396">
        <v>66.308750000000003</v>
      </c>
      <c r="U1396">
        <v>4</v>
      </c>
      <c r="V1396">
        <v>2023</v>
      </c>
      <c r="W1396">
        <v>2</v>
      </c>
      <c r="X1396" t="s">
        <v>9898</v>
      </c>
      <c r="Y1396" t="s">
        <v>9900</v>
      </c>
      <c r="Z1396" t="s">
        <v>9899</v>
      </c>
      <c r="AD1396">
        <f t="shared" si="43"/>
        <v>2</v>
      </c>
    </row>
    <row r="1397" spans="1:30" x14ac:dyDescent="0.25">
      <c r="A1397" t="s">
        <v>1421</v>
      </c>
      <c r="B1397" s="2">
        <v>45023</v>
      </c>
      <c r="C1397" s="2">
        <v>45027</v>
      </c>
      <c r="D1397" t="s">
        <v>5388</v>
      </c>
      <c r="E1397" t="s">
        <v>5888</v>
      </c>
      <c r="F1397" t="s">
        <v>6026</v>
      </c>
      <c r="G1397" t="s">
        <v>6031</v>
      </c>
      <c r="H1397" t="s">
        <v>6042</v>
      </c>
      <c r="I1397" t="s">
        <v>6048</v>
      </c>
      <c r="J1397" t="s">
        <v>6054</v>
      </c>
      <c r="K1397" t="s">
        <v>6060</v>
      </c>
      <c r="L1397" t="s">
        <v>7354</v>
      </c>
      <c r="M1397">
        <v>618.51</v>
      </c>
      <c r="N1397">
        <v>8</v>
      </c>
      <c r="O1397">
        <v>0.01</v>
      </c>
      <c r="P1397">
        <v>109.17</v>
      </c>
      <c r="Q1397" t="s">
        <v>9895</v>
      </c>
      <c r="R1397">
        <v>4</v>
      </c>
      <c r="S1397" s="5">
        <f t="shared" si="42"/>
        <v>0.17650482611437163</v>
      </c>
      <c r="T1397">
        <v>77.313749999999999</v>
      </c>
      <c r="U1397">
        <v>4</v>
      </c>
      <c r="V1397">
        <v>2023</v>
      </c>
      <c r="W1397">
        <v>2</v>
      </c>
      <c r="X1397" t="s">
        <v>9899</v>
      </c>
      <c r="Y1397" t="s">
        <v>9901</v>
      </c>
      <c r="Z1397" t="s">
        <v>9899</v>
      </c>
      <c r="AD1397">
        <f t="shared" si="43"/>
        <v>4</v>
      </c>
    </row>
    <row r="1398" spans="1:30" x14ac:dyDescent="0.25">
      <c r="A1398" t="s">
        <v>1422</v>
      </c>
      <c r="B1398" s="2">
        <v>45320</v>
      </c>
      <c r="C1398" s="2">
        <v>45325</v>
      </c>
      <c r="D1398" t="s">
        <v>5121</v>
      </c>
      <c r="E1398" t="s">
        <v>5621</v>
      </c>
      <c r="F1398" t="s">
        <v>6026</v>
      </c>
      <c r="G1398" t="s">
        <v>6031</v>
      </c>
      <c r="H1398" t="s">
        <v>6042</v>
      </c>
      <c r="I1398" t="s">
        <v>6050</v>
      </c>
      <c r="J1398" t="s">
        <v>6053</v>
      </c>
      <c r="K1398" t="s">
        <v>6057</v>
      </c>
      <c r="L1398" t="s">
        <v>7355</v>
      </c>
      <c r="M1398">
        <v>571.94000000000005</v>
      </c>
      <c r="N1398">
        <v>7</v>
      </c>
      <c r="O1398">
        <v>0.12</v>
      </c>
      <c r="P1398">
        <v>29.26</v>
      </c>
      <c r="Q1398" t="s">
        <v>9896</v>
      </c>
      <c r="R1398">
        <v>5</v>
      </c>
      <c r="S1398" s="5">
        <f t="shared" si="42"/>
        <v>5.1159212504808198E-2</v>
      </c>
      <c r="T1398">
        <v>81.705714285714294</v>
      </c>
      <c r="U1398">
        <v>1</v>
      </c>
      <c r="V1398">
        <v>2024</v>
      </c>
      <c r="W1398">
        <v>1</v>
      </c>
      <c r="X1398" t="s">
        <v>9899</v>
      </c>
      <c r="Y1398" t="s">
        <v>9901</v>
      </c>
      <c r="Z1398" t="s">
        <v>9899</v>
      </c>
      <c r="AD1398">
        <f t="shared" si="43"/>
        <v>5</v>
      </c>
    </row>
    <row r="1399" spans="1:30" x14ac:dyDescent="0.25">
      <c r="A1399" t="s">
        <v>1423</v>
      </c>
      <c r="B1399" s="2">
        <v>45399</v>
      </c>
      <c r="C1399" s="2">
        <v>45402</v>
      </c>
      <c r="D1399" t="s">
        <v>5171</v>
      </c>
      <c r="E1399" t="s">
        <v>5671</v>
      </c>
      <c r="F1399" t="s">
        <v>6028</v>
      </c>
      <c r="G1399" t="s">
        <v>6029</v>
      </c>
      <c r="H1399" t="s">
        <v>6032</v>
      </c>
      <c r="I1399" t="s">
        <v>6046</v>
      </c>
      <c r="J1399" t="s">
        <v>6053</v>
      </c>
      <c r="K1399" t="s">
        <v>6057</v>
      </c>
      <c r="L1399" t="s">
        <v>7356</v>
      </c>
      <c r="M1399">
        <v>1724.61</v>
      </c>
      <c r="N1399">
        <v>5</v>
      </c>
      <c r="O1399">
        <v>0.08</v>
      </c>
      <c r="P1399">
        <v>189.68</v>
      </c>
      <c r="Q1399" t="s">
        <v>9896</v>
      </c>
      <c r="R1399">
        <v>3</v>
      </c>
      <c r="S1399" s="5">
        <f t="shared" si="42"/>
        <v>0.10998428630241042</v>
      </c>
      <c r="T1399">
        <v>344.92200000000003</v>
      </c>
      <c r="U1399">
        <v>4</v>
      </c>
      <c r="V1399">
        <v>2024</v>
      </c>
      <c r="W1399">
        <v>2</v>
      </c>
      <c r="X1399" t="s">
        <v>9899</v>
      </c>
      <c r="Y1399" t="s">
        <v>9901</v>
      </c>
      <c r="Z1399" t="s">
        <v>9898</v>
      </c>
      <c r="AD1399">
        <f t="shared" si="43"/>
        <v>3</v>
      </c>
    </row>
    <row r="1400" spans="1:30" x14ac:dyDescent="0.25">
      <c r="A1400" t="s">
        <v>1424</v>
      </c>
      <c r="B1400" s="2">
        <v>44719</v>
      </c>
      <c r="C1400" s="2">
        <v>44722</v>
      </c>
      <c r="D1400" t="s">
        <v>5305</v>
      </c>
      <c r="E1400" t="s">
        <v>5805</v>
      </c>
      <c r="F1400" t="s">
        <v>6027</v>
      </c>
      <c r="G1400" t="s">
        <v>6030</v>
      </c>
      <c r="H1400" t="s">
        <v>6033</v>
      </c>
      <c r="I1400" t="s">
        <v>6047</v>
      </c>
      <c r="J1400" t="s">
        <v>6053</v>
      </c>
      <c r="K1400" t="s">
        <v>6056</v>
      </c>
      <c r="L1400" t="s">
        <v>7357</v>
      </c>
      <c r="M1400">
        <v>799.6</v>
      </c>
      <c r="N1400">
        <v>4</v>
      </c>
      <c r="O1400">
        <v>0.12</v>
      </c>
      <c r="P1400">
        <v>100.06</v>
      </c>
      <c r="Q1400" t="s">
        <v>9893</v>
      </c>
      <c r="R1400">
        <v>3</v>
      </c>
      <c r="S1400" s="5">
        <f t="shared" si="42"/>
        <v>0.12513756878439219</v>
      </c>
      <c r="T1400">
        <v>199.9</v>
      </c>
      <c r="U1400">
        <v>6</v>
      </c>
      <c r="V1400">
        <v>2022</v>
      </c>
      <c r="W1400">
        <v>2</v>
      </c>
      <c r="X1400" t="s">
        <v>9899</v>
      </c>
      <c r="Y1400" t="s">
        <v>9901</v>
      </c>
      <c r="Z1400" t="s">
        <v>9899</v>
      </c>
      <c r="AD1400">
        <f t="shared" si="43"/>
        <v>3</v>
      </c>
    </row>
    <row r="1401" spans="1:30" x14ac:dyDescent="0.25">
      <c r="A1401" t="s">
        <v>1425</v>
      </c>
      <c r="B1401" s="2">
        <v>44996</v>
      </c>
      <c r="C1401" s="2">
        <v>45001</v>
      </c>
      <c r="D1401" t="s">
        <v>5208</v>
      </c>
      <c r="E1401" t="s">
        <v>5708</v>
      </c>
      <c r="F1401" t="s">
        <v>6026</v>
      </c>
      <c r="G1401" t="s">
        <v>6031</v>
      </c>
      <c r="H1401" t="s">
        <v>6043</v>
      </c>
      <c r="I1401" t="s">
        <v>6048</v>
      </c>
      <c r="J1401" t="s">
        <v>6053</v>
      </c>
      <c r="K1401" t="s">
        <v>6057</v>
      </c>
      <c r="L1401" t="s">
        <v>7358</v>
      </c>
      <c r="M1401">
        <v>686.25</v>
      </c>
      <c r="N1401">
        <v>6</v>
      </c>
      <c r="O1401">
        <v>0.24</v>
      </c>
      <c r="P1401">
        <v>2.61</v>
      </c>
      <c r="Q1401" t="s">
        <v>9894</v>
      </c>
      <c r="R1401">
        <v>5</v>
      </c>
      <c r="S1401" s="5">
        <f t="shared" si="42"/>
        <v>3.80327868852459E-3</v>
      </c>
      <c r="T1401">
        <v>114.375</v>
      </c>
      <c r="U1401">
        <v>3</v>
      </c>
      <c r="V1401">
        <v>2023</v>
      </c>
      <c r="W1401">
        <v>1</v>
      </c>
      <c r="X1401" t="s">
        <v>9899</v>
      </c>
      <c r="Y1401" t="s">
        <v>9900</v>
      </c>
      <c r="Z1401" t="s">
        <v>9899</v>
      </c>
      <c r="AD1401">
        <f t="shared" si="43"/>
        <v>5</v>
      </c>
    </row>
    <row r="1402" spans="1:30" x14ac:dyDescent="0.25">
      <c r="A1402" t="s">
        <v>1426</v>
      </c>
      <c r="B1402" s="2">
        <v>44603</v>
      </c>
      <c r="C1402" s="2">
        <v>44608</v>
      </c>
      <c r="D1402" t="s">
        <v>5424</v>
      </c>
      <c r="E1402" t="s">
        <v>5924</v>
      </c>
      <c r="F1402" t="s">
        <v>6028</v>
      </c>
      <c r="G1402" t="s">
        <v>6030</v>
      </c>
      <c r="H1402" t="s">
        <v>6033</v>
      </c>
      <c r="I1402" t="s">
        <v>6047</v>
      </c>
      <c r="J1402" t="s">
        <v>6053</v>
      </c>
      <c r="K1402" t="s">
        <v>6056</v>
      </c>
      <c r="L1402" t="s">
        <v>7359</v>
      </c>
      <c r="M1402">
        <v>1405.95</v>
      </c>
      <c r="N1402">
        <v>2</v>
      </c>
      <c r="O1402">
        <v>0.14000000000000001</v>
      </c>
      <c r="P1402">
        <v>43.06</v>
      </c>
      <c r="Q1402" t="s">
        <v>9894</v>
      </c>
      <c r="R1402">
        <v>5</v>
      </c>
      <c r="S1402" s="5">
        <f t="shared" si="42"/>
        <v>3.0626978199793733E-2</v>
      </c>
      <c r="T1402">
        <v>702.97500000000002</v>
      </c>
      <c r="U1402">
        <v>2</v>
      </c>
      <c r="V1402">
        <v>2022</v>
      </c>
      <c r="W1402">
        <v>1</v>
      </c>
      <c r="X1402" t="s">
        <v>9899</v>
      </c>
      <c r="Y1402" t="s">
        <v>9901</v>
      </c>
      <c r="Z1402" t="s">
        <v>9898</v>
      </c>
      <c r="AD1402">
        <f t="shared" si="43"/>
        <v>5</v>
      </c>
    </row>
    <row r="1403" spans="1:30" x14ac:dyDescent="0.25">
      <c r="A1403" t="s">
        <v>1427</v>
      </c>
      <c r="B1403" s="2">
        <v>44748</v>
      </c>
      <c r="C1403" s="2">
        <v>44751</v>
      </c>
      <c r="D1403" t="s">
        <v>5327</v>
      </c>
      <c r="E1403" t="s">
        <v>5827</v>
      </c>
      <c r="F1403" t="s">
        <v>6028</v>
      </c>
      <c r="G1403" t="s">
        <v>6031</v>
      </c>
      <c r="H1403" t="s">
        <v>6034</v>
      </c>
      <c r="I1403" t="s">
        <v>6052</v>
      </c>
      <c r="J1403" t="s">
        <v>6053</v>
      </c>
      <c r="K1403" t="s">
        <v>6058</v>
      </c>
      <c r="L1403" t="s">
        <v>7360</v>
      </c>
      <c r="M1403">
        <v>1026.83</v>
      </c>
      <c r="N1403">
        <v>6</v>
      </c>
      <c r="O1403">
        <v>0.19</v>
      </c>
      <c r="P1403">
        <v>29.2</v>
      </c>
      <c r="Q1403" t="s">
        <v>9893</v>
      </c>
      <c r="R1403">
        <v>3</v>
      </c>
      <c r="S1403" s="5">
        <f t="shared" si="42"/>
        <v>2.8437034367909002E-2</v>
      </c>
      <c r="T1403">
        <v>171.13833333333329</v>
      </c>
      <c r="U1403">
        <v>7</v>
      </c>
      <c r="V1403">
        <v>2022</v>
      </c>
      <c r="W1403">
        <v>3</v>
      </c>
      <c r="X1403" t="s">
        <v>9899</v>
      </c>
      <c r="Y1403" t="s">
        <v>9900</v>
      </c>
      <c r="Z1403" t="s">
        <v>9898</v>
      </c>
      <c r="AD1403">
        <f t="shared" si="43"/>
        <v>3</v>
      </c>
    </row>
    <row r="1404" spans="1:30" x14ac:dyDescent="0.25">
      <c r="A1404" t="s">
        <v>1428</v>
      </c>
      <c r="B1404" s="2">
        <v>44855</v>
      </c>
      <c r="C1404" s="2">
        <v>44861</v>
      </c>
      <c r="D1404" t="s">
        <v>5372</v>
      </c>
      <c r="E1404" t="s">
        <v>5872</v>
      </c>
      <c r="F1404" t="s">
        <v>6026</v>
      </c>
      <c r="G1404" t="s">
        <v>6029</v>
      </c>
      <c r="H1404" t="s">
        <v>6041</v>
      </c>
      <c r="I1404" t="s">
        <v>6050</v>
      </c>
      <c r="J1404" t="s">
        <v>6053</v>
      </c>
      <c r="K1404" t="s">
        <v>6056</v>
      </c>
      <c r="L1404" t="s">
        <v>7361</v>
      </c>
      <c r="M1404">
        <v>1591.38</v>
      </c>
      <c r="N1404">
        <v>3</v>
      </c>
      <c r="O1404">
        <v>0.16</v>
      </c>
      <c r="P1404">
        <v>178.17</v>
      </c>
      <c r="Q1404" t="s">
        <v>9893</v>
      </c>
      <c r="R1404">
        <v>6</v>
      </c>
      <c r="S1404" s="5">
        <f t="shared" si="42"/>
        <v>0.1119594314368661</v>
      </c>
      <c r="T1404">
        <v>530.46</v>
      </c>
      <c r="U1404">
        <v>10</v>
      </c>
      <c r="V1404">
        <v>2022</v>
      </c>
      <c r="W1404">
        <v>4</v>
      </c>
      <c r="X1404" t="s">
        <v>9899</v>
      </c>
      <c r="Y1404" t="s">
        <v>9900</v>
      </c>
      <c r="Z1404" t="s">
        <v>9898</v>
      </c>
      <c r="AD1404">
        <f t="shared" si="43"/>
        <v>6</v>
      </c>
    </row>
    <row r="1405" spans="1:30" x14ac:dyDescent="0.25">
      <c r="A1405" t="s">
        <v>1429</v>
      </c>
      <c r="B1405" s="2">
        <v>45145</v>
      </c>
      <c r="C1405" s="2">
        <v>45148</v>
      </c>
      <c r="D1405" t="s">
        <v>5501</v>
      </c>
      <c r="E1405" t="s">
        <v>6001</v>
      </c>
      <c r="F1405" t="s">
        <v>6028</v>
      </c>
      <c r="G1405" t="s">
        <v>6031</v>
      </c>
      <c r="H1405" t="s">
        <v>6043</v>
      </c>
      <c r="I1405" t="s">
        <v>6048</v>
      </c>
      <c r="J1405" t="s">
        <v>6053</v>
      </c>
      <c r="K1405" t="s">
        <v>6056</v>
      </c>
      <c r="L1405" t="s">
        <v>7362</v>
      </c>
      <c r="M1405">
        <v>1998.41</v>
      </c>
      <c r="N1405">
        <v>4</v>
      </c>
      <c r="O1405">
        <v>0.23</v>
      </c>
      <c r="P1405">
        <v>87.73</v>
      </c>
      <c r="Q1405" t="s">
        <v>9895</v>
      </c>
      <c r="R1405">
        <v>3</v>
      </c>
      <c r="S1405" s="5">
        <f t="shared" si="42"/>
        <v>4.389990042083456E-2</v>
      </c>
      <c r="T1405">
        <v>499.60250000000002</v>
      </c>
      <c r="U1405">
        <v>8</v>
      </c>
      <c r="V1405">
        <v>2023</v>
      </c>
      <c r="W1405">
        <v>3</v>
      </c>
      <c r="X1405" t="s">
        <v>9899</v>
      </c>
      <c r="Y1405" t="s">
        <v>9900</v>
      </c>
      <c r="Z1405" t="s">
        <v>9898</v>
      </c>
      <c r="AD1405">
        <f t="shared" si="43"/>
        <v>3</v>
      </c>
    </row>
    <row r="1406" spans="1:30" x14ac:dyDescent="0.25">
      <c r="A1406" t="s">
        <v>1430</v>
      </c>
      <c r="B1406" s="2">
        <v>45211</v>
      </c>
      <c r="C1406" s="2">
        <v>45217</v>
      </c>
      <c r="D1406" t="s">
        <v>5341</v>
      </c>
      <c r="E1406" t="s">
        <v>5841</v>
      </c>
      <c r="F1406" t="s">
        <v>6028</v>
      </c>
      <c r="G1406" t="s">
        <v>6030</v>
      </c>
      <c r="H1406" t="s">
        <v>6038</v>
      </c>
      <c r="I1406" t="s">
        <v>6047</v>
      </c>
      <c r="J1406" t="s">
        <v>6054</v>
      </c>
      <c r="K1406" t="s">
        <v>6062</v>
      </c>
      <c r="L1406" t="s">
        <v>7363</v>
      </c>
      <c r="M1406">
        <v>306.81</v>
      </c>
      <c r="N1406">
        <v>4</v>
      </c>
      <c r="O1406">
        <v>0.33</v>
      </c>
      <c r="P1406">
        <v>-55.6</v>
      </c>
      <c r="Q1406" t="s">
        <v>9893</v>
      </c>
      <c r="R1406">
        <v>6</v>
      </c>
      <c r="S1406" s="5">
        <f t="shared" si="42"/>
        <v>-0.18121964733874385</v>
      </c>
      <c r="T1406">
        <v>76.702500000000001</v>
      </c>
      <c r="U1406">
        <v>10</v>
      </c>
      <c r="V1406">
        <v>2023</v>
      </c>
      <c r="W1406">
        <v>4</v>
      </c>
      <c r="X1406" t="s">
        <v>9898</v>
      </c>
      <c r="Y1406" t="s">
        <v>9902</v>
      </c>
      <c r="Z1406" t="s">
        <v>9899</v>
      </c>
      <c r="AD1406">
        <f t="shared" si="43"/>
        <v>6</v>
      </c>
    </row>
    <row r="1407" spans="1:30" x14ac:dyDescent="0.25">
      <c r="A1407" t="s">
        <v>1431</v>
      </c>
      <c r="B1407" s="2">
        <v>45329</v>
      </c>
      <c r="C1407" s="2">
        <v>45332</v>
      </c>
      <c r="D1407" t="s">
        <v>5134</v>
      </c>
      <c r="E1407" t="s">
        <v>5634</v>
      </c>
      <c r="F1407" t="s">
        <v>6028</v>
      </c>
      <c r="G1407" t="s">
        <v>6031</v>
      </c>
      <c r="H1407" t="s">
        <v>6040</v>
      </c>
      <c r="I1407" t="s">
        <v>6052</v>
      </c>
      <c r="J1407" t="s">
        <v>6053</v>
      </c>
      <c r="K1407" t="s">
        <v>6056</v>
      </c>
      <c r="L1407" t="s">
        <v>7364</v>
      </c>
      <c r="M1407">
        <v>1486.02</v>
      </c>
      <c r="N1407">
        <v>1</v>
      </c>
      <c r="O1407">
        <v>0.05</v>
      </c>
      <c r="P1407">
        <v>156.87</v>
      </c>
      <c r="Q1407" t="s">
        <v>9893</v>
      </c>
      <c r="R1407">
        <v>3</v>
      </c>
      <c r="S1407" s="5">
        <f t="shared" si="42"/>
        <v>0.10556385512980983</v>
      </c>
      <c r="T1407">
        <v>1486.02</v>
      </c>
      <c r="U1407">
        <v>2</v>
      </c>
      <c r="V1407">
        <v>2024</v>
      </c>
      <c r="W1407">
        <v>1</v>
      </c>
      <c r="X1407" t="s">
        <v>9899</v>
      </c>
      <c r="Y1407" t="s">
        <v>9901</v>
      </c>
      <c r="Z1407" t="s">
        <v>9898</v>
      </c>
      <c r="AD1407">
        <f t="shared" si="43"/>
        <v>3</v>
      </c>
    </row>
    <row r="1408" spans="1:30" x14ac:dyDescent="0.25">
      <c r="A1408" t="s">
        <v>1432</v>
      </c>
      <c r="B1408" s="2">
        <v>44981</v>
      </c>
      <c r="C1408" s="2">
        <v>44985</v>
      </c>
      <c r="D1408" t="s">
        <v>5502</v>
      </c>
      <c r="E1408" t="s">
        <v>6002</v>
      </c>
      <c r="F1408" t="s">
        <v>6026</v>
      </c>
      <c r="G1408" t="s">
        <v>6031</v>
      </c>
      <c r="H1408" t="s">
        <v>6034</v>
      </c>
      <c r="I1408" t="s">
        <v>6048</v>
      </c>
      <c r="J1408" t="s">
        <v>6053</v>
      </c>
      <c r="K1408" t="s">
        <v>6057</v>
      </c>
      <c r="L1408" t="s">
        <v>7365</v>
      </c>
      <c r="M1408">
        <v>189.63</v>
      </c>
      <c r="N1408">
        <v>4</v>
      </c>
      <c r="O1408">
        <v>0.22</v>
      </c>
      <c r="P1408">
        <v>-1.83</v>
      </c>
      <c r="Q1408" t="s">
        <v>9895</v>
      </c>
      <c r="R1408">
        <v>4</v>
      </c>
      <c r="S1408" s="5">
        <f t="shared" si="42"/>
        <v>-9.650371776617624E-3</v>
      </c>
      <c r="T1408">
        <v>47.407499999999999</v>
      </c>
      <c r="U1408">
        <v>2</v>
      </c>
      <c r="V1408">
        <v>2023</v>
      </c>
      <c r="W1408">
        <v>1</v>
      </c>
      <c r="X1408" t="s">
        <v>9898</v>
      </c>
      <c r="Y1408" t="s">
        <v>9900</v>
      </c>
      <c r="Z1408" t="s">
        <v>9899</v>
      </c>
      <c r="AD1408">
        <f t="shared" si="43"/>
        <v>4</v>
      </c>
    </row>
    <row r="1409" spans="1:30" x14ac:dyDescent="0.25">
      <c r="A1409" t="s">
        <v>1433</v>
      </c>
      <c r="B1409" s="2">
        <v>45096</v>
      </c>
      <c r="C1409" s="2">
        <v>45099</v>
      </c>
      <c r="D1409" t="s">
        <v>5365</v>
      </c>
      <c r="E1409" t="s">
        <v>5865</v>
      </c>
      <c r="F1409" t="s">
        <v>6027</v>
      </c>
      <c r="G1409" t="s">
        <v>6030</v>
      </c>
      <c r="H1409" t="s">
        <v>6033</v>
      </c>
      <c r="I1409" t="s">
        <v>6047</v>
      </c>
      <c r="J1409" t="s">
        <v>6055</v>
      </c>
      <c r="K1409" t="s">
        <v>6063</v>
      </c>
      <c r="L1409" t="s">
        <v>7366</v>
      </c>
      <c r="M1409">
        <v>1414.94</v>
      </c>
      <c r="N1409">
        <v>5</v>
      </c>
      <c r="O1409">
        <v>0.31</v>
      </c>
      <c r="P1409">
        <v>-28.34</v>
      </c>
      <c r="Q1409" t="s">
        <v>9895</v>
      </c>
      <c r="R1409">
        <v>3</v>
      </c>
      <c r="S1409" s="5">
        <f t="shared" si="42"/>
        <v>-2.0029117842452683E-2</v>
      </c>
      <c r="T1409">
        <v>282.988</v>
      </c>
      <c r="U1409">
        <v>6</v>
      </c>
      <c r="V1409">
        <v>2023</v>
      </c>
      <c r="W1409">
        <v>2</v>
      </c>
      <c r="X1409" t="s">
        <v>9898</v>
      </c>
      <c r="Y1409" t="s">
        <v>9902</v>
      </c>
      <c r="Z1409" t="s">
        <v>9898</v>
      </c>
      <c r="AD1409">
        <f t="shared" si="43"/>
        <v>3</v>
      </c>
    </row>
    <row r="1410" spans="1:30" x14ac:dyDescent="0.25">
      <c r="A1410" t="s">
        <v>1434</v>
      </c>
      <c r="B1410" s="2">
        <v>44672</v>
      </c>
      <c r="C1410" s="2">
        <v>44674</v>
      </c>
      <c r="D1410" t="s">
        <v>5487</v>
      </c>
      <c r="E1410" t="s">
        <v>5987</v>
      </c>
      <c r="F1410" t="s">
        <v>6028</v>
      </c>
      <c r="G1410" t="s">
        <v>6029</v>
      </c>
      <c r="H1410" t="s">
        <v>6041</v>
      </c>
      <c r="I1410" t="s">
        <v>6046</v>
      </c>
      <c r="J1410" t="s">
        <v>6054</v>
      </c>
      <c r="K1410" t="s">
        <v>6059</v>
      </c>
      <c r="L1410" t="s">
        <v>7367</v>
      </c>
      <c r="M1410">
        <v>885.53</v>
      </c>
      <c r="N1410">
        <v>7</v>
      </c>
      <c r="O1410">
        <v>0.33</v>
      </c>
      <c r="P1410">
        <v>-141.26</v>
      </c>
      <c r="Q1410" t="s">
        <v>9894</v>
      </c>
      <c r="R1410">
        <v>2</v>
      </c>
      <c r="S1410" s="5">
        <f t="shared" si="42"/>
        <v>-0.15952028728558038</v>
      </c>
      <c r="T1410">
        <v>126.5042857142857</v>
      </c>
      <c r="U1410">
        <v>4</v>
      </c>
      <c r="V1410">
        <v>2022</v>
      </c>
      <c r="W1410">
        <v>2</v>
      </c>
      <c r="X1410" t="s">
        <v>9898</v>
      </c>
      <c r="Y1410" t="s">
        <v>9902</v>
      </c>
      <c r="Z1410" t="s">
        <v>9899</v>
      </c>
      <c r="AD1410">
        <f t="shared" si="43"/>
        <v>2</v>
      </c>
    </row>
    <row r="1411" spans="1:30" x14ac:dyDescent="0.25">
      <c r="A1411" t="s">
        <v>1435</v>
      </c>
      <c r="B1411" s="2">
        <v>45433</v>
      </c>
      <c r="C1411" s="2">
        <v>45440</v>
      </c>
      <c r="D1411" t="s">
        <v>5026</v>
      </c>
      <c r="E1411" t="s">
        <v>5526</v>
      </c>
      <c r="F1411" t="s">
        <v>6028</v>
      </c>
      <c r="G1411" t="s">
        <v>6030</v>
      </c>
      <c r="H1411" t="s">
        <v>6038</v>
      </c>
      <c r="I1411" t="s">
        <v>6047</v>
      </c>
      <c r="J1411" t="s">
        <v>6055</v>
      </c>
      <c r="K1411" t="s">
        <v>6063</v>
      </c>
      <c r="L1411" t="s">
        <v>7368</v>
      </c>
      <c r="M1411">
        <v>1206.81</v>
      </c>
      <c r="N1411">
        <v>7</v>
      </c>
      <c r="O1411">
        <v>0.16</v>
      </c>
      <c r="P1411">
        <v>-11.39</v>
      </c>
      <c r="Q1411" t="s">
        <v>9897</v>
      </c>
      <c r="R1411">
        <v>7</v>
      </c>
      <c r="S1411" s="5">
        <f t="shared" ref="S1411:S1474" si="44">P1411/M1411</f>
        <v>-9.4381054184171503E-3</v>
      </c>
      <c r="T1411">
        <v>172.4014285714286</v>
      </c>
      <c r="U1411">
        <v>5</v>
      </c>
      <c r="V1411">
        <v>2024</v>
      </c>
      <c r="W1411">
        <v>2</v>
      </c>
      <c r="X1411" t="s">
        <v>9898</v>
      </c>
      <c r="Y1411" t="s">
        <v>9900</v>
      </c>
      <c r="Z1411" t="s">
        <v>9898</v>
      </c>
      <c r="AD1411">
        <f t="shared" ref="AD1411:AD1474" si="45">C1411-B1411</f>
        <v>7</v>
      </c>
    </row>
    <row r="1412" spans="1:30" x14ac:dyDescent="0.25">
      <c r="A1412" t="s">
        <v>1436</v>
      </c>
      <c r="B1412" s="2">
        <v>44782</v>
      </c>
      <c r="C1412" s="2">
        <v>44788</v>
      </c>
      <c r="D1412" t="s">
        <v>5327</v>
      </c>
      <c r="E1412" t="s">
        <v>5827</v>
      </c>
      <c r="F1412" t="s">
        <v>6027</v>
      </c>
      <c r="G1412" t="s">
        <v>6030</v>
      </c>
      <c r="H1412" t="s">
        <v>6033</v>
      </c>
      <c r="I1412" t="s">
        <v>6047</v>
      </c>
      <c r="J1412" t="s">
        <v>6054</v>
      </c>
      <c r="K1412" t="s">
        <v>6060</v>
      </c>
      <c r="L1412" t="s">
        <v>7369</v>
      </c>
      <c r="M1412">
        <v>1787.58</v>
      </c>
      <c r="N1412">
        <v>2</v>
      </c>
      <c r="O1412">
        <v>0.28000000000000003</v>
      </c>
      <c r="P1412">
        <v>-265.61</v>
      </c>
      <c r="Q1412" t="s">
        <v>9895</v>
      </c>
      <c r="R1412">
        <v>6</v>
      </c>
      <c r="S1412" s="5">
        <f t="shared" si="44"/>
        <v>-0.14858635697423334</v>
      </c>
      <c r="T1412">
        <v>893.79</v>
      </c>
      <c r="U1412">
        <v>8</v>
      </c>
      <c r="V1412">
        <v>2022</v>
      </c>
      <c r="W1412">
        <v>3</v>
      </c>
      <c r="X1412" t="s">
        <v>9898</v>
      </c>
      <c r="Y1412" t="s">
        <v>9900</v>
      </c>
      <c r="Z1412" t="s">
        <v>9898</v>
      </c>
      <c r="AD1412">
        <f t="shared" si="45"/>
        <v>6</v>
      </c>
    </row>
    <row r="1413" spans="1:30" x14ac:dyDescent="0.25">
      <c r="A1413" t="s">
        <v>1437</v>
      </c>
      <c r="B1413" s="2">
        <v>44841</v>
      </c>
      <c r="C1413" s="2">
        <v>44846</v>
      </c>
      <c r="D1413" t="s">
        <v>5417</v>
      </c>
      <c r="E1413" t="s">
        <v>5917</v>
      </c>
      <c r="F1413" t="s">
        <v>6028</v>
      </c>
      <c r="G1413" t="s">
        <v>6030</v>
      </c>
      <c r="H1413" t="s">
        <v>6033</v>
      </c>
      <c r="I1413" t="s">
        <v>6047</v>
      </c>
      <c r="J1413" t="s">
        <v>6054</v>
      </c>
      <c r="K1413" t="s">
        <v>6059</v>
      </c>
      <c r="L1413" t="s">
        <v>7370</v>
      </c>
      <c r="M1413">
        <v>1358.61</v>
      </c>
      <c r="N1413">
        <v>3</v>
      </c>
      <c r="O1413">
        <v>0.31</v>
      </c>
      <c r="P1413">
        <v>-151.13</v>
      </c>
      <c r="Q1413" t="s">
        <v>9895</v>
      </c>
      <c r="R1413">
        <v>5</v>
      </c>
      <c r="S1413" s="5">
        <f t="shared" si="44"/>
        <v>-0.1112386924871744</v>
      </c>
      <c r="T1413">
        <v>452.86999999999989</v>
      </c>
      <c r="U1413">
        <v>10</v>
      </c>
      <c r="V1413">
        <v>2022</v>
      </c>
      <c r="W1413">
        <v>4</v>
      </c>
      <c r="X1413" t="s">
        <v>9898</v>
      </c>
      <c r="Y1413" t="s">
        <v>9902</v>
      </c>
      <c r="Z1413" t="s">
        <v>9898</v>
      </c>
      <c r="AD1413">
        <f t="shared" si="45"/>
        <v>5</v>
      </c>
    </row>
    <row r="1414" spans="1:30" x14ac:dyDescent="0.25">
      <c r="A1414" t="s">
        <v>1438</v>
      </c>
      <c r="B1414" s="2">
        <v>44859</v>
      </c>
      <c r="C1414" s="2">
        <v>44862</v>
      </c>
      <c r="D1414" t="s">
        <v>5157</v>
      </c>
      <c r="E1414" t="s">
        <v>5657</v>
      </c>
      <c r="F1414" t="s">
        <v>6026</v>
      </c>
      <c r="G1414" t="s">
        <v>6031</v>
      </c>
      <c r="H1414" t="s">
        <v>6037</v>
      </c>
      <c r="I1414" t="s">
        <v>6050</v>
      </c>
      <c r="J1414" t="s">
        <v>6055</v>
      </c>
      <c r="K1414" t="s">
        <v>6064</v>
      </c>
      <c r="L1414" t="s">
        <v>7371</v>
      </c>
      <c r="M1414">
        <v>339.36</v>
      </c>
      <c r="N1414">
        <v>3</v>
      </c>
      <c r="O1414">
        <v>0.05</v>
      </c>
      <c r="P1414">
        <v>82.41</v>
      </c>
      <c r="Q1414" t="s">
        <v>9894</v>
      </c>
      <c r="R1414">
        <v>3</v>
      </c>
      <c r="S1414" s="5">
        <f t="shared" si="44"/>
        <v>0.24283946251768032</v>
      </c>
      <c r="T1414">
        <v>113.12</v>
      </c>
      <c r="U1414">
        <v>10</v>
      </c>
      <c r="V1414">
        <v>2022</v>
      </c>
      <c r="W1414">
        <v>4</v>
      </c>
      <c r="X1414" t="s">
        <v>9899</v>
      </c>
      <c r="Y1414" t="s">
        <v>9901</v>
      </c>
      <c r="Z1414" t="s">
        <v>9899</v>
      </c>
      <c r="AD1414">
        <f t="shared" si="45"/>
        <v>3</v>
      </c>
    </row>
    <row r="1415" spans="1:30" x14ac:dyDescent="0.25">
      <c r="A1415" t="s">
        <v>1439</v>
      </c>
      <c r="B1415" s="2">
        <v>44818</v>
      </c>
      <c r="C1415" s="2">
        <v>44819</v>
      </c>
      <c r="D1415" t="s">
        <v>5085</v>
      </c>
      <c r="E1415" t="s">
        <v>5585</v>
      </c>
      <c r="F1415" t="s">
        <v>6027</v>
      </c>
      <c r="G1415" t="s">
        <v>6031</v>
      </c>
      <c r="H1415" t="s">
        <v>6037</v>
      </c>
      <c r="I1415" t="s">
        <v>6048</v>
      </c>
      <c r="J1415" t="s">
        <v>6055</v>
      </c>
      <c r="K1415" t="s">
        <v>6063</v>
      </c>
      <c r="L1415" t="s">
        <v>7372</v>
      </c>
      <c r="M1415">
        <v>833.12</v>
      </c>
      <c r="N1415">
        <v>1</v>
      </c>
      <c r="O1415">
        <v>0.19</v>
      </c>
      <c r="P1415">
        <v>-0.93</v>
      </c>
      <c r="Q1415" t="s">
        <v>9894</v>
      </c>
      <c r="R1415">
        <v>1</v>
      </c>
      <c r="S1415" s="5">
        <f t="shared" si="44"/>
        <v>-1.1162857691569042E-3</v>
      </c>
      <c r="T1415">
        <v>833.12</v>
      </c>
      <c r="U1415">
        <v>9</v>
      </c>
      <c r="V1415">
        <v>2022</v>
      </c>
      <c r="W1415">
        <v>3</v>
      </c>
      <c r="X1415" t="s">
        <v>9898</v>
      </c>
      <c r="Y1415" t="s">
        <v>9900</v>
      </c>
      <c r="Z1415" t="s">
        <v>9899</v>
      </c>
      <c r="AD1415">
        <f t="shared" si="45"/>
        <v>1</v>
      </c>
    </row>
    <row r="1416" spans="1:30" x14ac:dyDescent="0.25">
      <c r="A1416" t="s">
        <v>1440</v>
      </c>
      <c r="B1416" s="2">
        <v>45345</v>
      </c>
      <c r="C1416" s="2">
        <v>45351</v>
      </c>
      <c r="D1416" t="s">
        <v>5237</v>
      </c>
      <c r="E1416" t="s">
        <v>5737</v>
      </c>
      <c r="F1416" t="s">
        <v>6026</v>
      </c>
      <c r="G1416" t="s">
        <v>6031</v>
      </c>
      <c r="H1416" t="s">
        <v>6042</v>
      </c>
      <c r="I1416" t="s">
        <v>6048</v>
      </c>
      <c r="J1416" t="s">
        <v>6054</v>
      </c>
      <c r="K1416" t="s">
        <v>6059</v>
      </c>
      <c r="L1416" t="s">
        <v>7373</v>
      </c>
      <c r="M1416">
        <v>1290.78</v>
      </c>
      <c r="N1416">
        <v>2</v>
      </c>
      <c r="O1416">
        <v>0.2</v>
      </c>
      <c r="P1416">
        <v>56.43</v>
      </c>
      <c r="Q1416" t="s">
        <v>9893</v>
      </c>
      <c r="R1416">
        <v>6</v>
      </c>
      <c r="S1416" s="5">
        <f t="shared" si="44"/>
        <v>4.3717752056895834E-2</v>
      </c>
      <c r="T1416">
        <v>645.39</v>
      </c>
      <c r="U1416">
        <v>2</v>
      </c>
      <c r="V1416">
        <v>2024</v>
      </c>
      <c r="W1416">
        <v>1</v>
      </c>
      <c r="X1416" t="s">
        <v>9899</v>
      </c>
      <c r="Y1416" t="s">
        <v>9900</v>
      </c>
      <c r="Z1416" t="s">
        <v>9898</v>
      </c>
      <c r="AD1416">
        <f t="shared" si="45"/>
        <v>6</v>
      </c>
    </row>
    <row r="1417" spans="1:30" x14ac:dyDescent="0.25">
      <c r="A1417" t="s">
        <v>1441</v>
      </c>
      <c r="B1417" s="2">
        <v>44804</v>
      </c>
      <c r="C1417" s="2">
        <v>44810</v>
      </c>
      <c r="D1417" t="s">
        <v>5109</v>
      </c>
      <c r="E1417" t="s">
        <v>5609</v>
      </c>
      <c r="F1417" t="s">
        <v>6027</v>
      </c>
      <c r="G1417" t="s">
        <v>6031</v>
      </c>
      <c r="H1417" t="s">
        <v>6043</v>
      </c>
      <c r="I1417" t="s">
        <v>6052</v>
      </c>
      <c r="J1417" t="s">
        <v>6055</v>
      </c>
      <c r="K1417" t="s">
        <v>6061</v>
      </c>
      <c r="L1417" t="s">
        <v>7374</v>
      </c>
      <c r="M1417">
        <v>129.88</v>
      </c>
      <c r="N1417">
        <v>2</v>
      </c>
      <c r="O1417">
        <v>0.08</v>
      </c>
      <c r="P1417">
        <v>23.42</v>
      </c>
      <c r="Q1417" t="s">
        <v>9894</v>
      </c>
      <c r="R1417">
        <v>6</v>
      </c>
      <c r="S1417" s="5">
        <f t="shared" si="44"/>
        <v>0.18032029565753005</v>
      </c>
      <c r="T1417">
        <v>64.94</v>
      </c>
      <c r="U1417">
        <v>8</v>
      </c>
      <c r="V1417">
        <v>2022</v>
      </c>
      <c r="W1417">
        <v>3</v>
      </c>
      <c r="X1417" t="s">
        <v>9899</v>
      </c>
      <c r="Y1417" t="s">
        <v>9901</v>
      </c>
      <c r="Z1417" t="s">
        <v>9899</v>
      </c>
      <c r="AD1417">
        <f t="shared" si="45"/>
        <v>6</v>
      </c>
    </row>
    <row r="1418" spans="1:30" x14ac:dyDescent="0.25">
      <c r="A1418" t="s">
        <v>1442</v>
      </c>
      <c r="B1418" s="2">
        <v>45359</v>
      </c>
      <c r="C1418" s="2">
        <v>45360</v>
      </c>
      <c r="D1418" t="s">
        <v>5154</v>
      </c>
      <c r="E1418" t="s">
        <v>5654</v>
      </c>
      <c r="F1418" t="s">
        <v>6028</v>
      </c>
      <c r="G1418" t="s">
        <v>6031</v>
      </c>
      <c r="H1418" t="s">
        <v>6043</v>
      </c>
      <c r="I1418" t="s">
        <v>6048</v>
      </c>
      <c r="J1418" t="s">
        <v>6053</v>
      </c>
      <c r="K1418" t="s">
        <v>6056</v>
      </c>
      <c r="L1418" t="s">
        <v>7375</v>
      </c>
      <c r="M1418">
        <v>1475.22</v>
      </c>
      <c r="N1418">
        <v>1</v>
      </c>
      <c r="O1418">
        <v>0.22</v>
      </c>
      <c r="P1418">
        <v>71.17</v>
      </c>
      <c r="Q1418" t="s">
        <v>9895</v>
      </c>
      <c r="R1418">
        <v>1</v>
      </c>
      <c r="S1418" s="5">
        <f t="shared" si="44"/>
        <v>4.8243651794308645E-2</v>
      </c>
      <c r="T1418">
        <v>1475.22</v>
      </c>
      <c r="U1418">
        <v>3</v>
      </c>
      <c r="V1418">
        <v>2024</v>
      </c>
      <c r="W1418">
        <v>1</v>
      </c>
      <c r="X1418" t="s">
        <v>9899</v>
      </c>
      <c r="Y1418" t="s">
        <v>9900</v>
      </c>
      <c r="Z1418" t="s">
        <v>9898</v>
      </c>
      <c r="AD1418">
        <f t="shared" si="45"/>
        <v>1</v>
      </c>
    </row>
    <row r="1419" spans="1:30" x14ac:dyDescent="0.25">
      <c r="A1419" t="s">
        <v>1443</v>
      </c>
      <c r="B1419" s="2">
        <v>44866</v>
      </c>
      <c r="C1419" s="2">
        <v>44869</v>
      </c>
      <c r="D1419" t="s">
        <v>5463</v>
      </c>
      <c r="E1419" t="s">
        <v>5963</v>
      </c>
      <c r="F1419" t="s">
        <v>6026</v>
      </c>
      <c r="G1419" t="s">
        <v>6030</v>
      </c>
      <c r="H1419" t="s">
        <v>6033</v>
      </c>
      <c r="I1419" t="s">
        <v>6051</v>
      </c>
      <c r="J1419" t="s">
        <v>6055</v>
      </c>
      <c r="K1419" t="s">
        <v>6061</v>
      </c>
      <c r="L1419" t="s">
        <v>7376</v>
      </c>
      <c r="M1419">
        <v>432.64</v>
      </c>
      <c r="N1419">
        <v>8</v>
      </c>
      <c r="O1419">
        <v>0</v>
      </c>
      <c r="P1419">
        <v>83.87</v>
      </c>
      <c r="Q1419" t="s">
        <v>9894</v>
      </c>
      <c r="R1419">
        <v>3</v>
      </c>
      <c r="S1419" s="5">
        <f t="shared" si="44"/>
        <v>0.19385632396449706</v>
      </c>
      <c r="T1419">
        <v>54.08</v>
      </c>
      <c r="U1419">
        <v>11</v>
      </c>
      <c r="V1419">
        <v>2022</v>
      </c>
      <c r="W1419">
        <v>4</v>
      </c>
      <c r="X1419" t="s">
        <v>9899</v>
      </c>
      <c r="Y1419" t="s">
        <v>9901</v>
      </c>
      <c r="Z1419" t="s">
        <v>9899</v>
      </c>
      <c r="AD1419">
        <f t="shared" si="45"/>
        <v>3</v>
      </c>
    </row>
    <row r="1420" spans="1:30" x14ac:dyDescent="0.25">
      <c r="A1420" t="s">
        <v>1444</v>
      </c>
      <c r="B1420" s="2">
        <v>45216</v>
      </c>
      <c r="C1420" s="2">
        <v>45220</v>
      </c>
      <c r="D1420" t="s">
        <v>5127</v>
      </c>
      <c r="E1420" t="s">
        <v>5627</v>
      </c>
      <c r="F1420" t="s">
        <v>6028</v>
      </c>
      <c r="G1420" t="s">
        <v>6029</v>
      </c>
      <c r="H1420" t="s">
        <v>6045</v>
      </c>
      <c r="I1420" t="s">
        <v>6046</v>
      </c>
      <c r="J1420" t="s">
        <v>6053</v>
      </c>
      <c r="K1420" t="s">
        <v>6057</v>
      </c>
      <c r="L1420" t="s">
        <v>6256</v>
      </c>
      <c r="M1420">
        <v>639.59</v>
      </c>
      <c r="N1420">
        <v>7</v>
      </c>
      <c r="O1420">
        <v>0.26</v>
      </c>
      <c r="P1420">
        <v>-7.7</v>
      </c>
      <c r="Q1420" t="s">
        <v>9893</v>
      </c>
      <c r="R1420">
        <v>4</v>
      </c>
      <c r="S1420" s="5">
        <f t="shared" si="44"/>
        <v>-1.2038962460326146E-2</v>
      </c>
      <c r="T1420">
        <v>91.37</v>
      </c>
      <c r="U1420">
        <v>10</v>
      </c>
      <c r="V1420">
        <v>2023</v>
      </c>
      <c r="W1420">
        <v>4</v>
      </c>
      <c r="X1420" t="s">
        <v>9898</v>
      </c>
      <c r="Y1420" t="s">
        <v>9900</v>
      </c>
      <c r="Z1420" t="s">
        <v>9899</v>
      </c>
      <c r="AD1420">
        <f t="shared" si="45"/>
        <v>4</v>
      </c>
    </row>
    <row r="1421" spans="1:30" x14ac:dyDescent="0.25">
      <c r="A1421" t="s">
        <v>1445</v>
      </c>
      <c r="B1421" s="2">
        <v>45206</v>
      </c>
      <c r="C1421" s="2">
        <v>45211</v>
      </c>
      <c r="D1421" t="s">
        <v>5320</v>
      </c>
      <c r="E1421" t="s">
        <v>5820</v>
      </c>
      <c r="F1421" t="s">
        <v>6028</v>
      </c>
      <c r="G1421" t="s">
        <v>6031</v>
      </c>
      <c r="H1421" t="s">
        <v>6037</v>
      </c>
      <c r="I1421" t="s">
        <v>6048</v>
      </c>
      <c r="J1421" t="s">
        <v>6055</v>
      </c>
      <c r="K1421" t="s">
        <v>6061</v>
      </c>
      <c r="L1421" t="s">
        <v>7377</v>
      </c>
      <c r="M1421">
        <v>1354.84</v>
      </c>
      <c r="N1421">
        <v>4</v>
      </c>
      <c r="O1421">
        <v>0.12</v>
      </c>
      <c r="P1421">
        <v>95.03</v>
      </c>
      <c r="Q1421" t="s">
        <v>9895</v>
      </c>
      <c r="R1421">
        <v>5</v>
      </c>
      <c r="S1421" s="5">
        <f t="shared" si="44"/>
        <v>7.014112367512032E-2</v>
      </c>
      <c r="T1421">
        <v>338.71</v>
      </c>
      <c r="U1421">
        <v>10</v>
      </c>
      <c r="V1421">
        <v>2023</v>
      </c>
      <c r="W1421">
        <v>4</v>
      </c>
      <c r="X1421" t="s">
        <v>9899</v>
      </c>
      <c r="Y1421" t="s">
        <v>9901</v>
      </c>
      <c r="Z1421" t="s">
        <v>9898</v>
      </c>
      <c r="AD1421">
        <f t="shared" si="45"/>
        <v>5</v>
      </c>
    </row>
    <row r="1422" spans="1:30" x14ac:dyDescent="0.25">
      <c r="A1422" t="s">
        <v>1446</v>
      </c>
      <c r="B1422" s="2">
        <v>45191</v>
      </c>
      <c r="C1422" s="2">
        <v>45192</v>
      </c>
      <c r="D1422" t="s">
        <v>5437</v>
      </c>
      <c r="E1422" t="s">
        <v>5937</v>
      </c>
      <c r="F1422" t="s">
        <v>6027</v>
      </c>
      <c r="G1422" t="s">
        <v>6031</v>
      </c>
      <c r="H1422" t="s">
        <v>6037</v>
      </c>
      <c r="I1422" t="s">
        <v>6050</v>
      </c>
      <c r="J1422" t="s">
        <v>6055</v>
      </c>
      <c r="K1422" t="s">
        <v>6063</v>
      </c>
      <c r="L1422" t="s">
        <v>7378</v>
      </c>
      <c r="M1422">
        <v>945.78</v>
      </c>
      <c r="N1422">
        <v>5</v>
      </c>
      <c r="O1422">
        <v>0.3</v>
      </c>
      <c r="P1422">
        <v>-170.62</v>
      </c>
      <c r="Q1422" t="s">
        <v>9897</v>
      </c>
      <c r="R1422">
        <v>1</v>
      </c>
      <c r="S1422" s="5">
        <f t="shared" si="44"/>
        <v>-0.18040136183890546</v>
      </c>
      <c r="T1422">
        <v>189.15600000000001</v>
      </c>
      <c r="U1422">
        <v>9</v>
      </c>
      <c r="V1422">
        <v>2023</v>
      </c>
      <c r="W1422">
        <v>3</v>
      </c>
      <c r="X1422" t="s">
        <v>9898</v>
      </c>
      <c r="Y1422" t="s">
        <v>9900</v>
      </c>
      <c r="Z1422" t="s">
        <v>9899</v>
      </c>
      <c r="AD1422">
        <f t="shared" si="45"/>
        <v>1</v>
      </c>
    </row>
    <row r="1423" spans="1:30" x14ac:dyDescent="0.25">
      <c r="A1423" t="s">
        <v>1447</v>
      </c>
      <c r="B1423" s="2">
        <v>45281</v>
      </c>
      <c r="C1423" s="2">
        <v>45284</v>
      </c>
      <c r="D1423" t="s">
        <v>5492</v>
      </c>
      <c r="E1423" t="s">
        <v>5992</v>
      </c>
      <c r="F1423" t="s">
        <v>6028</v>
      </c>
      <c r="G1423" t="s">
        <v>6031</v>
      </c>
      <c r="H1423" t="s">
        <v>6040</v>
      </c>
      <c r="I1423" t="s">
        <v>6048</v>
      </c>
      <c r="J1423" t="s">
        <v>6053</v>
      </c>
      <c r="K1423" t="s">
        <v>6058</v>
      </c>
      <c r="L1423" t="s">
        <v>7379</v>
      </c>
      <c r="M1423">
        <v>728.15</v>
      </c>
      <c r="N1423">
        <v>7</v>
      </c>
      <c r="O1423">
        <v>0.25</v>
      </c>
      <c r="P1423">
        <v>-52.22</v>
      </c>
      <c r="Q1423" t="s">
        <v>9893</v>
      </c>
      <c r="R1423">
        <v>3</v>
      </c>
      <c r="S1423" s="5">
        <f t="shared" si="44"/>
        <v>-7.171599258394562E-2</v>
      </c>
      <c r="T1423">
        <v>104.0214285714286</v>
      </c>
      <c r="U1423">
        <v>12</v>
      </c>
      <c r="V1423">
        <v>2023</v>
      </c>
      <c r="W1423">
        <v>4</v>
      </c>
      <c r="X1423" t="s">
        <v>9898</v>
      </c>
      <c r="Y1423" t="s">
        <v>9900</v>
      </c>
      <c r="Z1423" t="s">
        <v>9899</v>
      </c>
      <c r="AD1423">
        <f t="shared" si="45"/>
        <v>3</v>
      </c>
    </row>
    <row r="1424" spans="1:30" x14ac:dyDescent="0.25">
      <c r="A1424" t="s">
        <v>1448</v>
      </c>
      <c r="B1424" s="2">
        <v>44878</v>
      </c>
      <c r="C1424" s="2">
        <v>44884</v>
      </c>
      <c r="D1424" t="s">
        <v>5196</v>
      </c>
      <c r="E1424" t="s">
        <v>5696</v>
      </c>
      <c r="F1424" t="s">
        <v>6028</v>
      </c>
      <c r="G1424" t="s">
        <v>6031</v>
      </c>
      <c r="H1424" t="s">
        <v>6043</v>
      </c>
      <c r="I1424" t="s">
        <v>6048</v>
      </c>
      <c r="J1424" t="s">
        <v>6053</v>
      </c>
      <c r="K1424" t="s">
        <v>6058</v>
      </c>
      <c r="L1424" t="s">
        <v>7380</v>
      </c>
      <c r="M1424">
        <v>1231.76</v>
      </c>
      <c r="N1424">
        <v>6</v>
      </c>
      <c r="O1424">
        <v>0.06</v>
      </c>
      <c r="P1424">
        <v>55.95</v>
      </c>
      <c r="Q1424" t="s">
        <v>9897</v>
      </c>
      <c r="R1424">
        <v>6</v>
      </c>
      <c r="S1424" s="5">
        <f t="shared" si="44"/>
        <v>4.5422809638241218E-2</v>
      </c>
      <c r="T1424">
        <v>205.29333333333329</v>
      </c>
      <c r="U1424">
        <v>11</v>
      </c>
      <c r="V1424">
        <v>2022</v>
      </c>
      <c r="W1424">
        <v>4</v>
      </c>
      <c r="X1424" t="s">
        <v>9899</v>
      </c>
      <c r="Y1424" t="s">
        <v>9901</v>
      </c>
      <c r="Z1424" t="s">
        <v>9898</v>
      </c>
      <c r="AD1424">
        <f t="shared" si="45"/>
        <v>6</v>
      </c>
    </row>
    <row r="1425" spans="1:30" x14ac:dyDescent="0.25">
      <c r="A1425" t="s">
        <v>1449</v>
      </c>
      <c r="B1425" s="2">
        <v>44634</v>
      </c>
      <c r="C1425" s="2">
        <v>44639</v>
      </c>
      <c r="D1425" t="s">
        <v>5339</v>
      </c>
      <c r="E1425" t="s">
        <v>5839</v>
      </c>
      <c r="F1425" t="s">
        <v>6026</v>
      </c>
      <c r="G1425" t="s">
        <v>6031</v>
      </c>
      <c r="H1425" t="s">
        <v>6037</v>
      </c>
      <c r="I1425" t="s">
        <v>6052</v>
      </c>
      <c r="J1425" t="s">
        <v>6054</v>
      </c>
      <c r="K1425" t="s">
        <v>6062</v>
      </c>
      <c r="L1425" t="s">
        <v>7381</v>
      </c>
      <c r="M1425">
        <v>1688.73</v>
      </c>
      <c r="N1425">
        <v>1</v>
      </c>
      <c r="O1425">
        <v>0.09</v>
      </c>
      <c r="P1425">
        <v>279.58</v>
      </c>
      <c r="Q1425" t="s">
        <v>9896</v>
      </c>
      <c r="R1425">
        <v>5</v>
      </c>
      <c r="S1425" s="5">
        <f t="shared" si="44"/>
        <v>0.1655563648422187</v>
      </c>
      <c r="T1425">
        <v>1688.73</v>
      </c>
      <c r="U1425">
        <v>3</v>
      </c>
      <c r="V1425">
        <v>2022</v>
      </c>
      <c r="W1425">
        <v>1</v>
      </c>
      <c r="X1425" t="s">
        <v>9899</v>
      </c>
      <c r="Y1425" t="s">
        <v>9901</v>
      </c>
      <c r="Z1425" t="s">
        <v>9898</v>
      </c>
      <c r="AD1425">
        <f t="shared" si="45"/>
        <v>5</v>
      </c>
    </row>
    <row r="1426" spans="1:30" x14ac:dyDescent="0.25">
      <c r="A1426" t="s">
        <v>1450</v>
      </c>
      <c r="B1426" s="2">
        <v>44956</v>
      </c>
      <c r="C1426" s="2">
        <v>44961</v>
      </c>
      <c r="D1426" t="s">
        <v>5499</v>
      </c>
      <c r="E1426" t="s">
        <v>5999</v>
      </c>
      <c r="F1426" t="s">
        <v>6028</v>
      </c>
      <c r="G1426" t="s">
        <v>6030</v>
      </c>
      <c r="H1426" t="s">
        <v>6035</v>
      </c>
      <c r="I1426" t="s">
        <v>6047</v>
      </c>
      <c r="J1426" t="s">
        <v>6055</v>
      </c>
      <c r="K1426" t="s">
        <v>6064</v>
      </c>
      <c r="L1426" t="s">
        <v>7382</v>
      </c>
      <c r="M1426">
        <v>1584.55</v>
      </c>
      <c r="N1426">
        <v>1</v>
      </c>
      <c r="O1426">
        <v>0.09</v>
      </c>
      <c r="P1426">
        <v>60.81</v>
      </c>
      <c r="Q1426" t="s">
        <v>9896</v>
      </c>
      <c r="R1426">
        <v>5</v>
      </c>
      <c r="S1426" s="5">
        <f t="shared" si="44"/>
        <v>3.83768262282667E-2</v>
      </c>
      <c r="T1426">
        <v>1584.55</v>
      </c>
      <c r="U1426">
        <v>1</v>
      </c>
      <c r="V1426">
        <v>2023</v>
      </c>
      <c r="W1426">
        <v>1</v>
      </c>
      <c r="X1426" t="s">
        <v>9899</v>
      </c>
      <c r="Y1426" t="s">
        <v>9901</v>
      </c>
      <c r="Z1426" t="s">
        <v>9898</v>
      </c>
      <c r="AD1426">
        <f t="shared" si="45"/>
        <v>5</v>
      </c>
    </row>
    <row r="1427" spans="1:30" x14ac:dyDescent="0.25">
      <c r="A1427" t="s">
        <v>1451</v>
      </c>
      <c r="B1427" s="2">
        <v>44663</v>
      </c>
      <c r="C1427" s="2">
        <v>44666</v>
      </c>
      <c r="D1427" t="s">
        <v>5389</v>
      </c>
      <c r="E1427" t="s">
        <v>5889</v>
      </c>
      <c r="F1427" t="s">
        <v>6028</v>
      </c>
      <c r="G1427" t="s">
        <v>6031</v>
      </c>
      <c r="H1427" t="s">
        <v>6043</v>
      </c>
      <c r="I1427" t="s">
        <v>6050</v>
      </c>
      <c r="J1427" t="s">
        <v>6055</v>
      </c>
      <c r="K1427" t="s">
        <v>6061</v>
      </c>
      <c r="L1427" t="s">
        <v>7383</v>
      </c>
      <c r="M1427">
        <v>737.52</v>
      </c>
      <c r="N1427">
        <v>3</v>
      </c>
      <c r="O1427">
        <v>0.09</v>
      </c>
      <c r="P1427">
        <v>146.93</v>
      </c>
      <c r="Q1427" t="s">
        <v>9894</v>
      </c>
      <c r="R1427">
        <v>3</v>
      </c>
      <c r="S1427" s="5">
        <f t="shared" si="44"/>
        <v>0.19922171602126046</v>
      </c>
      <c r="T1427">
        <v>245.84</v>
      </c>
      <c r="U1427">
        <v>4</v>
      </c>
      <c r="V1427">
        <v>2022</v>
      </c>
      <c r="W1427">
        <v>2</v>
      </c>
      <c r="X1427" t="s">
        <v>9899</v>
      </c>
      <c r="Y1427" t="s">
        <v>9901</v>
      </c>
      <c r="Z1427" t="s">
        <v>9899</v>
      </c>
      <c r="AD1427">
        <f t="shared" si="45"/>
        <v>3</v>
      </c>
    </row>
    <row r="1428" spans="1:30" x14ac:dyDescent="0.25">
      <c r="A1428" t="s">
        <v>1452</v>
      </c>
      <c r="B1428" s="2">
        <v>44596</v>
      </c>
      <c r="C1428" s="2">
        <v>44602</v>
      </c>
      <c r="D1428" t="s">
        <v>5431</v>
      </c>
      <c r="E1428" t="s">
        <v>5931</v>
      </c>
      <c r="F1428" t="s">
        <v>6028</v>
      </c>
      <c r="G1428" t="s">
        <v>6031</v>
      </c>
      <c r="H1428" t="s">
        <v>6037</v>
      </c>
      <c r="I1428" t="s">
        <v>6050</v>
      </c>
      <c r="J1428" t="s">
        <v>6055</v>
      </c>
      <c r="K1428" t="s">
        <v>6064</v>
      </c>
      <c r="L1428" t="s">
        <v>7384</v>
      </c>
      <c r="M1428">
        <v>1853.16</v>
      </c>
      <c r="N1428">
        <v>7</v>
      </c>
      <c r="O1428">
        <v>0.27</v>
      </c>
      <c r="P1428">
        <v>33.78</v>
      </c>
      <c r="Q1428" t="s">
        <v>9895</v>
      </c>
      <c r="R1428">
        <v>6</v>
      </c>
      <c r="S1428" s="5">
        <f t="shared" si="44"/>
        <v>1.8228323512270932E-2</v>
      </c>
      <c r="T1428">
        <v>264.73714285714289</v>
      </c>
      <c r="U1428">
        <v>2</v>
      </c>
      <c r="V1428">
        <v>2022</v>
      </c>
      <c r="W1428">
        <v>1</v>
      </c>
      <c r="X1428" t="s">
        <v>9899</v>
      </c>
      <c r="Y1428" t="s">
        <v>9900</v>
      </c>
      <c r="Z1428" t="s">
        <v>9898</v>
      </c>
      <c r="AD1428">
        <f t="shared" si="45"/>
        <v>6</v>
      </c>
    </row>
    <row r="1429" spans="1:30" x14ac:dyDescent="0.25">
      <c r="A1429" t="s">
        <v>1453</v>
      </c>
      <c r="B1429" s="2">
        <v>45176</v>
      </c>
      <c r="C1429" s="2">
        <v>45182</v>
      </c>
      <c r="D1429" t="s">
        <v>5076</v>
      </c>
      <c r="E1429" t="s">
        <v>5576</v>
      </c>
      <c r="F1429" t="s">
        <v>6026</v>
      </c>
      <c r="G1429" t="s">
        <v>6029</v>
      </c>
      <c r="H1429" t="s">
        <v>6044</v>
      </c>
      <c r="I1429" t="s">
        <v>6050</v>
      </c>
      <c r="J1429" t="s">
        <v>6054</v>
      </c>
      <c r="K1429" t="s">
        <v>6062</v>
      </c>
      <c r="L1429" t="s">
        <v>7385</v>
      </c>
      <c r="M1429">
        <v>724.85</v>
      </c>
      <c r="N1429">
        <v>4</v>
      </c>
      <c r="O1429">
        <v>0.02</v>
      </c>
      <c r="P1429">
        <v>180.4</v>
      </c>
      <c r="Q1429" t="s">
        <v>9893</v>
      </c>
      <c r="R1429">
        <v>6</v>
      </c>
      <c r="S1429" s="5">
        <f t="shared" si="44"/>
        <v>0.24887907843002</v>
      </c>
      <c r="T1429">
        <v>181.21250000000001</v>
      </c>
      <c r="U1429">
        <v>9</v>
      </c>
      <c r="V1429">
        <v>2023</v>
      </c>
      <c r="W1429">
        <v>3</v>
      </c>
      <c r="X1429" t="s">
        <v>9899</v>
      </c>
      <c r="Y1429" t="s">
        <v>9901</v>
      </c>
      <c r="Z1429" t="s">
        <v>9899</v>
      </c>
      <c r="AD1429">
        <f t="shared" si="45"/>
        <v>6</v>
      </c>
    </row>
    <row r="1430" spans="1:30" x14ac:dyDescent="0.25">
      <c r="A1430" t="s">
        <v>1454</v>
      </c>
      <c r="B1430" s="2">
        <v>45421</v>
      </c>
      <c r="C1430" s="2">
        <v>45427</v>
      </c>
      <c r="D1430" t="s">
        <v>5147</v>
      </c>
      <c r="E1430" t="s">
        <v>5647</v>
      </c>
      <c r="F1430" t="s">
        <v>6026</v>
      </c>
      <c r="G1430" t="s">
        <v>6031</v>
      </c>
      <c r="H1430" t="s">
        <v>6043</v>
      </c>
      <c r="I1430" t="s">
        <v>6050</v>
      </c>
      <c r="J1430" t="s">
        <v>6054</v>
      </c>
      <c r="K1430" t="s">
        <v>6062</v>
      </c>
      <c r="L1430" t="s">
        <v>7386</v>
      </c>
      <c r="M1430">
        <v>1389.73</v>
      </c>
      <c r="N1430">
        <v>4</v>
      </c>
      <c r="O1430">
        <v>0.01</v>
      </c>
      <c r="P1430">
        <v>144.71</v>
      </c>
      <c r="Q1430" t="s">
        <v>9894</v>
      </c>
      <c r="R1430">
        <v>6</v>
      </c>
      <c r="S1430" s="5">
        <f t="shared" si="44"/>
        <v>0.10412813999841697</v>
      </c>
      <c r="T1430">
        <v>347.4325</v>
      </c>
      <c r="U1430">
        <v>5</v>
      </c>
      <c r="V1430">
        <v>2024</v>
      </c>
      <c r="W1430">
        <v>2</v>
      </c>
      <c r="X1430" t="s">
        <v>9899</v>
      </c>
      <c r="Y1430" t="s">
        <v>9901</v>
      </c>
      <c r="Z1430" t="s">
        <v>9898</v>
      </c>
      <c r="AD1430">
        <f t="shared" si="45"/>
        <v>6</v>
      </c>
    </row>
    <row r="1431" spans="1:30" x14ac:dyDescent="0.25">
      <c r="A1431" t="s">
        <v>1455</v>
      </c>
      <c r="B1431" s="2">
        <v>44943</v>
      </c>
      <c r="C1431" s="2">
        <v>44944</v>
      </c>
      <c r="D1431" t="s">
        <v>5430</v>
      </c>
      <c r="E1431" t="s">
        <v>5930</v>
      </c>
      <c r="F1431" t="s">
        <v>6027</v>
      </c>
      <c r="G1431" t="s">
        <v>6030</v>
      </c>
      <c r="H1431" t="s">
        <v>6038</v>
      </c>
      <c r="I1431" t="s">
        <v>6051</v>
      </c>
      <c r="J1431" t="s">
        <v>6054</v>
      </c>
      <c r="K1431" t="s">
        <v>6062</v>
      </c>
      <c r="L1431" t="s">
        <v>7387</v>
      </c>
      <c r="M1431">
        <v>1584.08</v>
      </c>
      <c r="N1431">
        <v>3</v>
      </c>
      <c r="O1431">
        <v>0.11</v>
      </c>
      <c r="P1431">
        <v>98.83</v>
      </c>
      <c r="Q1431" t="s">
        <v>9895</v>
      </c>
      <c r="R1431">
        <v>1</v>
      </c>
      <c r="S1431" s="5">
        <f t="shared" si="44"/>
        <v>6.2389525781526185E-2</v>
      </c>
      <c r="T1431">
        <v>528.02666666666664</v>
      </c>
      <c r="U1431">
        <v>1</v>
      </c>
      <c r="V1431">
        <v>2023</v>
      </c>
      <c r="W1431">
        <v>1</v>
      </c>
      <c r="X1431" t="s">
        <v>9899</v>
      </c>
      <c r="Y1431" t="s">
        <v>9901</v>
      </c>
      <c r="Z1431" t="s">
        <v>9898</v>
      </c>
      <c r="AD1431">
        <f t="shared" si="45"/>
        <v>1</v>
      </c>
    </row>
    <row r="1432" spans="1:30" x14ac:dyDescent="0.25">
      <c r="A1432" t="s">
        <v>1456</v>
      </c>
      <c r="B1432" s="2">
        <v>45310</v>
      </c>
      <c r="C1432" s="2">
        <v>45317</v>
      </c>
      <c r="D1432" t="s">
        <v>5047</v>
      </c>
      <c r="E1432" t="s">
        <v>5547</v>
      </c>
      <c r="F1432" t="s">
        <v>6027</v>
      </c>
      <c r="G1432" t="s">
        <v>6031</v>
      </c>
      <c r="H1432" t="s">
        <v>6034</v>
      </c>
      <c r="I1432" t="s">
        <v>6052</v>
      </c>
      <c r="J1432" t="s">
        <v>6053</v>
      </c>
      <c r="K1432" t="s">
        <v>6056</v>
      </c>
      <c r="L1432" t="s">
        <v>7388</v>
      </c>
      <c r="M1432">
        <v>337.24</v>
      </c>
      <c r="N1432">
        <v>2</v>
      </c>
      <c r="O1432">
        <v>0.09</v>
      </c>
      <c r="P1432">
        <v>49.22</v>
      </c>
      <c r="Q1432" t="s">
        <v>9897</v>
      </c>
      <c r="R1432">
        <v>7</v>
      </c>
      <c r="S1432" s="5">
        <f t="shared" si="44"/>
        <v>0.14594947218598031</v>
      </c>
      <c r="T1432">
        <v>168.62</v>
      </c>
      <c r="U1432">
        <v>1</v>
      </c>
      <c r="V1432">
        <v>2024</v>
      </c>
      <c r="W1432">
        <v>1</v>
      </c>
      <c r="X1432" t="s">
        <v>9899</v>
      </c>
      <c r="Y1432" t="s">
        <v>9901</v>
      </c>
      <c r="Z1432" t="s">
        <v>9899</v>
      </c>
      <c r="AD1432">
        <f t="shared" si="45"/>
        <v>7</v>
      </c>
    </row>
    <row r="1433" spans="1:30" x14ac:dyDescent="0.25">
      <c r="A1433" t="s">
        <v>1457</v>
      </c>
      <c r="B1433" s="2">
        <v>45187</v>
      </c>
      <c r="C1433" s="2">
        <v>45190</v>
      </c>
      <c r="D1433" t="s">
        <v>5191</v>
      </c>
      <c r="E1433" t="s">
        <v>5691</v>
      </c>
      <c r="F1433" t="s">
        <v>6027</v>
      </c>
      <c r="G1433" t="s">
        <v>6030</v>
      </c>
      <c r="H1433" t="s">
        <v>6035</v>
      </c>
      <c r="I1433" t="s">
        <v>6047</v>
      </c>
      <c r="J1433" t="s">
        <v>6055</v>
      </c>
      <c r="K1433" t="s">
        <v>6064</v>
      </c>
      <c r="L1433" t="s">
        <v>7389</v>
      </c>
      <c r="M1433">
        <v>1855.51</v>
      </c>
      <c r="N1433">
        <v>6</v>
      </c>
      <c r="O1433">
        <v>0.31</v>
      </c>
      <c r="P1433">
        <v>-120.98</v>
      </c>
      <c r="Q1433" t="s">
        <v>9894</v>
      </c>
      <c r="R1433">
        <v>3</v>
      </c>
      <c r="S1433" s="5">
        <f t="shared" si="44"/>
        <v>-6.5200403123669509E-2</v>
      </c>
      <c r="T1433">
        <v>309.25166666666672</v>
      </c>
      <c r="U1433">
        <v>9</v>
      </c>
      <c r="V1433">
        <v>2023</v>
      </c>
      <c r="W1433">
        <v>3</v>
      </c>
      <c r="X1433" t="s">
        <v>9898</v>
      </c>
      <c r="Y1433" t="s">
        <v>9902</v>
      </c>
      <c r="Z1433" t="s">
        <v>9898</v>
      </c>
      <c r="AD1433">
        <f t="shared" si="45"/>
        <v>3</v>
      </c>
    </row>
    <row r="1434" spans="1:30" x14ac:dyDescent="0.25">
      <c r="A1434" t="s">
        <v>1458</v>
      </c>
      <c r="B1434" s="2">
        <v>44569</v>
      </c>
      <c r="C1434" s="2">
        <v>44570</v>
      </c>
      <c r="D1434" t="s">
        <v>5250</v>
      </c>
      <c r="E1434" t="s">
        <v>5750</v>
      </c>
      <c r="F1434" t="s">
        <v>6026</v>
      </c>
      <c r="G1434" t="s">
        <v>6029</v>
      </c>
      <c r="H1434" t="s">
        <v>6044</v>
      </c>
      <c r="I1434" t="s">
        <v>6050</v>
      </c>
      <c r="J1434" t="s">
        <v>6055</v>
      </c>
      <c r="K1434" t="s">
        <v>6061</v>
      </c>
      <c r="L1434" t="s">
        <v>7390</v>
      </c>
      <c r="M1434">
        <v>108.47</v>
      </c>
      <c r="N1434">
        <v>1</v>
      </c>
      <c r="O1434">
        <v>0.31</v>
      </c>
      <c r="P1434">
        <v>-7.64</v>
      </c>
      <c r="Q1434" t="s">
        <v>9896</v>
      </c>
      <c r="R1434">
        <v>1</v>
      </c>
      <c r="S1434" s="5">
        <f t="shared" si="44"/>
        <v>-7.0434221443717152E-2</v>
      </c>
      <c r="T1434">
        <v>108.47</v>
      </c>
      <c r="U1434">
        <v>1</v>
      </c>
      <c r="V1434">
        <v>2022</v>
      </c>
      <c r="W1434">
        <v>1</v>
      </c>
      <c r="X1434" t="s">
        <v>9898</v>
      </c>
      <c r="Y1434" t="s">
        <v>9902</v>
      </c>
      <c r="Z1434" t="s">
        <v>9899</v>
      </c>
      <c r="AD1434">
        <f t="shared" si="45"/>
        <v>1</v>
      </c>
    </row>
    <row r="1435" spans="1:30" x14ac:dyDescent="0.25">
      <c r="A1435" t="s">
        <v>1459</v>
      </c>
      <c r="B1435" s="2">
        <v>44606</v>
      </c>
      <c r="C1435" s="2">
        <v>44610</v>
      </c>
      <c r="D1435" t="s">
        <v>5065</v>
      </c>
      <c r="E1435" t="s">
        <v>5565</v>
      </c>
      <c r="F1435" t="s">
        <v>6028</v>
      </c>
      <c r="G1435" t="s">
        <v>6030</v>
      </c>
      <c r="H1435" t="s">
        <v>6035</v>
      </c>
      <c r="I1435" t="s">
        <v>6047</v>
      </c>
      <c r="J1435" t="s">
        <v>6053</v>
      </c>
      <c r="K1435" t="s">
        <v>6056</v>
      </c>
      <c r="L1435" t="s">
        <v>6671</v>
      </c>
      <c r="M1435">
        <v>1257.1099999999999</v>
      </c>
      <c r="N1435">
        <v>7</v>
      </c>
      <c r="O1435">
        <v>0.28000000000000003</v>
      </c>
      <c r="P1435">
        <v>-148.47999999999999</v>
      </c>
      <c r="Q1435" t="s">
        <v>9896</v>
      </c>
      <c r="R1435">
        <v>4</v>
      </c>
      <c r="S1435" s="5">
        <f t="shared" si="44"/>
        <v>-0.11811217793192322</v>
      </c>
      <c r="T1435">
        <v>179.58714285714291</v>
      </c>
      <c r="U1435">
        <v>2</v>
      </c>
      <c r="V1435">
        <v>2022</v>
      </c>
      <c r="W1435">
        <v>1</v>
      </c>
      <c r="X1435" t="s">
        <v>9898</v>
      </c>
      <c r="Y1435" t="s">
        <v>9900</v>
      </c>
      <c r="Z1435" t="s">
        <v>9898</v>
      </c>
      <c r="AD1435">
        <f t="shared" si="45"/>
        <v>4</v>
      </c>
    </row>
    <row r="1436" spans="1:30" x14ac:dyDescent="0.25">
      <c r="A1436" t="s">
        <v>1460</v>
      </c>
      <c r="B1436" s="2">
        <v>44756</v>
      </c>
      <c r="C1436" s="2">
        <v>44759</v>
      </c>
      <c r="D1436" t="s">
        <v>5440</v>
      </c>
      <c r="E1436" t="s">
        <v>5940</v>
      </c>
      <c r="F1436" t="s">
        <v>6028</v>
      </c>
      <c r="G1436" t="s">
        <v>6029</v>
      </c>
      <c r="H1436" t="s">
        <v>6036</v>
      </c>
      <c r="I1436" t="s">
        <v>6050</v>
      </c>
      <c r="J1436" t="s">
        <v>6054</v>
      </c>
      <c r="K1436" t="s">
        <v>6060</v>
      </c>
      <c r="L1436" t="s">
        <v>7391</v>
      </c>
      <c r="M1436">
        <v>1382.55</v>
      </c>
      <c r="N1436">
        <v>6</v>
      </c>
      <c r="O1436">
        <v>0.22</v>
      </c>
      <c r="P1436">
        <v>57.65</v>
      </c>
      <c r="Q1436" t="s">
        <v>9895</v>
      </c>
      <c r="R1436">
        <v>3</v>
      </c>
      <c r="S1436" s="5">
        <f t="shared" si="44"/>
        <v>4.1698311091823079E-2</v>
      </c>
      <c r="T1436">
        <v>230.42500000000001</v>
      </c>
      <c r="U1436">
        <v>7</v>
      </c>
      <c r="V1436">
        <v>2022</v>
      </c>
      <c r="W1436">
        <v>3</v>
      </c>
      <c r="X1436" t="s">
        <v>9899</v>
      </c>
      <c r="Y1436" t="s">
        <v>9900</v>
      </c>
      <c r="Z1436" t="s">
        <v>9898</v>
      </c>
      <c r="AD1436">
        <f t="shared" si="45"/>
        <v>3</v>
      </c>
    </row>
    <row r="1437" spans="1:30" x14ac:dyDescent="0.25">
      <c r="A1437" t="s">
        <v>1461</v>
      </c>
      <c r="B1437" s="2">
        <v>45398</v>
      </c>
      <c r="C1437" s="2">
        <v>45402</v>
      </c>
      <c r="D1437" t="s">
        <v>5222</v>
      </c>
      <c r="E1437" t="s">
        <v>5722</v>
      </c>
      <c r="F1437" t="s">
        <v>6026</v>
      </c>
      <c r="G1437" t="s">
        <v>6030</v>
      </c>
      <c r="H1437" t="s">
        <v>6039</v>
      </c>
      <c r="I1437" t="s">
        <v>6051</v>
      </c>
      <c r="J1437" t="s">
        <v>6054</v>
      </c>
      <c r="K1437" t="s">
        <v>6062</v>
      </c>
      <c r="L1437" t="s">
        <v>7392</v>
      </c>
      <c r="M1437">
        <v>1485.61</v>
      </c>
      <c r="N1437">
        <v>1</v>
      </c>
      <c r="O1437">
        <v>0.09</v>
      </c>
      <c r="P1437">
        <v>93.84</v>
      </c>
      <c r="Q1437" t="s">
        <v>9897</v>
      </c>
      <c r="R1437">
        <v>4</v>
      </c>
      <c r="S1437" s="5">
        <f t="shared" si="44"/>
        <v>6.3165972226896697E-2</v>
      </c>
      <c r="T1437">
        <v>1485.61</v>
      </c>
      <c r="U1437">
        <v>4</v>
      </c>
      <c r="V1437">
        <v>2024</v>
      </c>
      <c r="W1437">
        <v>2</v>
      </c>
      <c r="X1437" t="s">
        <v>9899</v>
      </c>
      <c r="Y1437" t="s">
        <v>9901</v>
      </c>
      <c r="Z1437" t="s">
        <v>9898</v>
      </c>
      <c r="AD1437">
        <f t="shared" si="45"/>
        <v>4</v>
      </c>
    </row>
    <row r="1438" spans="1:30" x14ac:dyDescent="0.25">
      <c r="A1438" t="s">
        <v>1462</v>
      </c>
      <c r="B1438" s="2">
        <v>45000</v>
      </c>
      <c r="C1438" s="2">
        <v>45007</v>
      </c>
      <c r="D1438" t="s">
        <v>5268</v>
      </c>
      <c r="E1438" t="s">
        <v>5768</v>
      </c>
      <c r="F1438" t="s">
        <v>6028</v>
      </c>
      <c r="G1438" t="s">
        <v>6029</v>
      </c>
      <c r="H1438" t="s">
        <v>6032</v>
      </c>
      <c r="I1438" t="s">
        <v>6049</v>
      </c>
      <c r="J1438" t="s">
        <v>6055</v>
      </c>
      <c r="K1438" t="s">
        <v>6064</v>
      </c>
      <c r="L1438" t="s">
        <v>7393</v>
      </c>
      <c r="M1438">
        <v>1728.25</v>
      </c>
      <c r="N1438">
        <v>7</v>
      </c>
      <c r="O1438">
        <v>0.23</v>
      </c>
      <c r="P1438">
        <v>-90.89</v>
      </c>
      <c r="Q1438" t="s">
        <v>9895</v>
      </c>
      <c r="R1438">
        <v>7</v>
      </c>
      <c r="S1438" s="5">
        <f t="shared" si="44"/>
        <v>-5.2590771011138432E-2</v>
      </c>
      <c r="T1438">
        <v>246.89285714285711</v>
      </c>
      <c r="U1438">
        <v>3</v>
      </c>
      <c r="V1438">
        <v>2023</v>
      </c>
      <c r="W1438">
        <v>1</v>
      </c>
      <c r="X1438" t="s">
        <v>9898</v>
      </c>
      <c r="Y1438" t="s">
        <v>9900</v>
      </c>
      <c r="Z1438" t="s">
        <v>9898</v>
      </c>
      <c r="AD1438">
        <f t="shared" si="45"/>
        <v>7</v>
      </c>
    </row>
    <row r="1439" spans="1:30" x14ac:dyDescent="0.25">
      <c r="A1439" t="s">
        <v>1463</v>
      </c>
      <c r="B1439" s="2">
        <v>45218</v>
      </c>
      <c r="C1439" s="2">
        <v>45223</v>
      </c>
      <c r="D1439" t="s">
        <v>5482</v>
      </c>
      <c r="E1439" t="s">
        <v>5982</v>
      </c>
      <c r="F1439" t="s">
        <v>6026</v>
      </c>
      <c r="G1439" t="s">
        <v>6030</v>
      </c>
      <c r="H1439" t="s">
        <v>6035</v>
      </c>
      <c r="I1439" t="s">
        <v>6047</v>
      </c>
      <c r="J1439" t="s">
        <v>6054</v>
      </c>
      <c r="K1439" t="s">
        <v>6062</v>
      </c>
      <c r="L1439" t="s">
        <v>7394</v>
      </c>
      <c r="M1439">
        <v>1471.11</v>
      </c>
      <c r="N1439">
        <v>2</v>
      </c>
      <c r="O1439">
        <v>0.12</v>
      </c>
      <c r="P1439">
        <v>149.37</v>
      </c>
      <c r="Q1439" t="s">
        <v>9895</v>
      </c>
      <c r="R1439">
        <v>5</v>
      </c>
      <c r="S1439" s="5">
        <f t="shared" si="44"/>
        <v>0.10153557517792688</v>
      </c>
      <c r="T1439">
        <v>735.55499999999995</v>
      </c>
      <c r="U1439">
        <v>10</v>
      </c>
      <c r="V1439">
        <v>2023</v>
      </c>
      <c r="W1439">
        <v>4</v>
      </c>
      <c r="X1439" t="s">
        <v>9899</v>
      </c>
      <c r="Y1439" t="s">
        <v>9901</v>
      </c>
      <c r="Z1439" t="s">
        <v>9898</v>
      </c>
      <c r="AD1439">
        <f t="shared" si="45"/>
        <v>5</v>
      </c>
    </row>
    <row r="1440" spans="1:30" x14ac:dyDescent="0.25">
      <c r="A1440" t="s">
        <v>1464</v>
      </c>
      <c r="B1440" s="2">
        <v>45058</v>
      </c>
      <c r="C1440" s="2">
        <v>45061</v>
      </c>
      <c r="D1440" t="s">
        <v>5050</v>
      </c>
      <c r="E1440" t="s">
        <v>5550</v>
      </c>
      <c r="F1440" t="s">
        <v>6026</v>
      </c>
      <c r="G1440" t="s">
        <v>6031</v>
      </c>
      <c r="H1440" t="s">
        <v>6042</v>
      </c>
      <c r="I1440" t="s">
        <v>6050</v>
      </c>
      <c r="J1440" t="s">
        <v>6054</v>
      </c>
      <c r="K1440" t="s">
        <v>6062</v>
      </c>
      <c r="L1440" t="s">
        <v>7395</v>
      </c>
      <c r="M1440">
        <v>1887.69</v>
      </c>
      <c r="N1440">
        <v>5</v>
      </c>
      <c r="O1440">
        <v>0.26</v>
      </c>
      <c r="P1440">
        <v>15.62</v>
      </c>
      <c r="Q1440" t="s">
        <v>9893</v>
      </c>
      <c r="R1440">
        <v>3</v>
      </c>
      <c r="S1440" s="5">
        <f t="shared" si="44"/>
        <v>8.2746637424577114E-3</v>
      </c>
      <c r="T1440">
        <v>377.53800000000001</v>
      </c>
      <c r="U1440">
        <v>5</v>
      </c>
      <c r="V1440">
        <v>2023</v>
      </c>
      <c r="W1440">
        <v>2</v>
      </c>
      <c r="X1440" t="s">
        <v>9899</v>
      </c>
      <c r="Y1440" t="s">
        <v>9900</v>
      </c>
      <c r="Z1440" t="s">
        <v>9898</v>
      </c>
      <c r="AD1440">
        <f t="shared" si="45"/>
        <v>3</v>
      </c>
    </row>
    <row r="1441" spans="1:30" x14ac:dyDescent="0.25">
      <c r="A1441" t="s">
        <v>1465</v>
      </c>
      <c r="B1441" s="2">
        <v>44563</v>
      </c>
      <c r="C1441" s="2">
        <v>44570</v>
      </c>
      <c r="D1441" t="s">
        <v>5326</v>
      </c>
      <c r="E1441" t="s">
        <v>5826</v>
      </c>
      <c r="F1441" t="s">
        <v>6028</v>
      </c>
      <c r="G1441" t="s">
        <v>6030</v>
      </c>
      <c r="H1441" t="s">
        <v>6039</v>
      </c>
      <c r="I1441" t="s">
        <v>6047</v>
      </c>
      <c r="J1441" t="s">
        <v>6053</v>
      </c>
      <c r="K1441" t="s">
        <v>6058</v>
      </c>
      <c r="L1441" t="s">
        <v>7396</v>
      </c>
      <c r="M1441">
        <v>1479.59</v>
      </c>
      <c r="N1441">
        <v>8</v>
      </c>
      <c r="O1441">
        <v>0.33</v>
      </c>
      <c r="P1441">
        <v>-284.60000000000002</v>
      </c>
      <c r="Q1441" t="s">
        <v>9893</v>
      </c>
      <c r="R1441">
        <v>7</v>
      </c>
      <c r="S1441" s="5">
        <f t="shared" si="44"/>
        <v>-0.19235058360762106</v>
      </c>
      <c r="T1441">
        <v>184.94874999999999</v>
      </c>
      <c r="U1441">
        <v>1</v>
      </c>
      <c r="V1441">
        <v>2022</v>
      </c>
      <c r="W1441">
        <v>1</v>
      </c>
      <c r="X1441" t="s">
        <v>9898</v>
      </c>
      <c r="Y1441" t="s">
        <v>9902</v>
      </c>
      <c r="Z1441" t="s">
        <v>9898</v>
      </c>
      <c r="AD1441">
        <f t="shared" si="45"/>
        <v>7</v>
      </c>
    </row>
    <row r="1442" spans="1:30" x14ac:dyDescent="0.25">
      <c r="A1442" t="s">
        <v>1466</v>
      </c>
      <c r="B1442" s="2">
        <v>45373</v>
      </c>
      <c r="C1442" s="2">
        <v>45378</v>
      </c>
      <c r="D1442" t="s">
        <v>5105</v>
      </c>
      <c r="E1442" t="s">
        <v>5605</v>
      </c>
      <c r="F1442" t="s">
        <v>6027</v>
      </c>
      <c r="G1442" t="s">
        <v>6030</v>
      </c>
      <c r="H1442" t="s">
        <v>6038</v>
      </c>
      <c r="I1442" t="s">
        <v>6051</v>
      </c>
      <c r="J1442" t="s">
        <v>6053</v>
      </c>
      <c r="K1442" t="s">
        <v>6056</v>
      </c>
      <c r="L1442" t="s">
        <v>7397</v>
      </c>
      <c r="M1442">
        <v>1402.77</v>
      </c>
      <c r="N1442">
        <v>5</v>
      </c>
      <c r="O1442">
        <v>0.27</v>
      </c>
      <c r="P1442">
        <v>-201.98</v>
      </c>
      <c r="Q1442" t="s">
        <v>9897</v>
      </c>
      <c r="R1442">
        <v>5</v>
      </c>
      <c r="S1442" s="5">
        <f t="shared" si="44"/>
        <v>-0.14398654091547439</v>
      </c>
      <c r="T1442">
        <v>280.55399999999997</v>
      </c>
      <c r="U1442">
        <v>3</v>
      </c>
      <c r="V1442">
        <v>2024</v>
      </c>
      <c r="W1442">
        <v>1</v>
      </c>
      <c r="X1442" t="s">
        <v>9898</v>
      </c>
      <c r="Y1442" t="s">
        <v>9900</v>
      </c>
      <c r="Z1442" t="s">
        <v>9898</v>
      </c>
      <c r="AD1442">
        <f t="shared" si="45"/>
        <v>5</v>
      </c>
    </row>
    <row r="1443" spans="1:30" x14ac:dyDescent="0.25">
      <c r="A1443" t="s">
        <v>1467</v>
      </c>
      <c r="B1443" s="2">
        <v>45117</v>
      </c>
      <c r="C1443" s="2">
        <v>45118</v>
      </c>
      <c r="D1443" t="s">
        <v>5222</v>
      </c>
      <c r="E1443" t="s">
        <v>5722</v>
      </c>
      <c r="F1443" t="s">
        <v>6026</v>
      </c>
      <c r="G1443" t="s">
        <v>6029</v>
      </c>
      <c r="H1443" t="s">
        <v>6036</v>
      </c>
      <c r="I1443" t="s">
        <v>6046</v>
      </c>
      <c r="J1443" t="s">
        <v>6054</v>
      </c>
      <c r="K1443" t="s">
        <v>6059</v>
      </c>
      <c r="L1443" t="s">
        <v>7398</v>
      </c>
      <c r="M1443">
        <v>761.38</v>
      </c>
      <c r="N1443">
        <v>4</v>
      </c>
      <c r="O1443">
        <v>0.05</v>
      </c>
      <c r="P1443">
        <v>106.89</v>
      </c>
      <c r="Q1443" t="s">
        <v>9893</v>
      </c>
      <c r="R1443">
        <v>1</v>
      </c>
      <c r="S1443" s="5">
        <f t="shared" si="44"/>
        <v>0.14038981848748325</v>
      </c>
      <c r="T1443">
        <v>190.345</v>
      </c>
      <c r="U1443">
        <v>7</v>
      </c>
      <c r="V1443">
        <v>2023</v>
      </c>
      <c r="W1443">
        <v>3</v>
      </c>
      <c r="X1443" t="s">
        <v>9899</v>
      </c>
      <c r="Y1443" t="s">
        <v>9901</v>
      </c>
      <c r="Z1443" t="s">
        <v>9899</v>
      </c>
      <c r="AD1443">
        <f t="shared" si="45"/>
        <v>1</v>
      </c>
    </row>
    <row r="1444" spans="1:30" x14ac:dyDescent="0.25">
      <c r="A1444" t="s">
        <v>1468</v>
      </c>
      <c r="B1444" s="2">
        <v>44808</v>
      </c>
      <c r="C1444" s="2">
        <v>44813</v>
      </c>
      <c r="D1444" t="s">
        <v>5036</v>
      </c>
      <c r="E1444" t="s">
        <v>5536</v>
      </c>
      <c r="F1444" t="s">
        <v>6028</v>
      </c>
      <c r="G1444" t="s">
        <v>6030</v>
      </c>
      <c r="H1444" t="s">
        <v>6033</v>
      </c>
      <c r="I1444" t="s">
        <v>6047</v>
      </c>
      <c r="J1444" t="s">
        <v>6055</v>
      </c>
      <c r="K1444" t="s">
        <v>6063</v>
      </c>
      <c r="L1444" t="s">
        <v>7399</v>
      </c>
      <c r="M1444">
        <v>732.5</v>
      </c>
      <c r="N1444">
        <v>5</v>
      </c>
      <c r="O1444">
        <v>0.24</v>
      </c>
      <c r="P1444">
        <v>-14.11</v>
      </c>
      <c r="Q1444" t="s">
        <v>9896</v>
      </c>
      <c r="R1444">
        <v>5</v>
      </c>
      <c r="S1444" s="5">
        <f t="shared" si="44"/>
        <v>-1.9262798634812287E-2</v>
      </c>
      <c r="T1444">
        <v>146.5</v>
      </c>
      <c r="U1444">
        <v>9</v>
      </c>
      <c r="V1444">
        <v>2022</v>
      </c>
      <c r="W1444">
        <v>3</v>
      </c>
      <c r="X1444" t="s">
        <v>9898</v>
      </c>
      <c r="Y1444" t="s">
        <v>9900</v>
      </c>
      <c r="Z1444" t="s">
        <v>9899</v>
      </c>
      <c r="AD1444">
        <f t="shared" si="45"/>
        <v>5</v>
      </c>
    </row>
    <row r="1445" spans="1:30" x14ac:dyDescent="0.25">
      <c r="A1445" t="s">
        <v>1469</v>
      </c>
      <c r="B1445" s="2">
        <v>45403</v>
      </c>
      <c r="C1445" s="2">
        <v>45410</v>
      </c>
      <c r="D1445" t="s">
        <v>5083</v>
      </c>
      <c r="E1445" t="s">
        <v>5583</v>
      </c>
      <c r="F1445" t="s">
        <v>6027</v>
      </c>
      <c r="G1445" t="s">
        <v>6030</v>
      </c>
      <c r="H1445" t="s">
        <v>6035</v>
      </c>
      <c r="I1445" t="s">
        <v>6047</v>
      </c>
      <c r="J1445" t="s">
        <v>6054</v>
      </c>
      <c r="K1445" t="s">
        <v>6062</v>
      </c>
      <c r="L1445" t="s">
        <v>7400</v>
      </c>
      <c r="M1445">
        <v>1461.51</v>
      </c>
      <c r="N1445">
        <v>7</v>
      </c>
      <c r="O1445">
        <v>0.26</v>
      </c>
      <c r="P1445">
        <v>15.82</v>
      </c>
      <c r="Q1445" t="s">
        <v>9897</v>
      </c>
      <c r="R1445">
        <v>7</v>
      </c>
      <c r="S1445" s="5">
        <f t="shared" si="44"/>
        <v>1.0824421317678292E-2</v>
      </c>
      <c r="T1445">
        <v>208.7871428571429</v>
      </c>
      <c r="U1445">
        <v>4</v>
      </c>
      <c r="V1445">
        <v>2024</v>
      </c>
      <c r="W1445">
        <v>2</v>
      </c>
      <c r="X1445" t="s">
        <v>9899</v>
      </c>
      <c r="Y1445" t="s">
        <v>9900</v>
      </c>
      <c r="Z1445" t="s">
        <v>9898</v>
      </c>
      <c r="AD1445">
        <f t="shared" si="45"/>
        <v>7</v>
      </c>
    </row>
    <row r="1446" spans="1:30" x14ac:dyDescent="0.25">
      <c r="A1446" t="s">
        <v>1470</v>
      </c>
      <c r="B1446" s="2">
        <v>44642</v>
      </c>
      <c r="C1446" s="2">
        <v>44647</v>
      </c>
      <c r="D1446" t="s">
        <v>5287</v>
      </c>
      <c r="E1446" t="s">
        <v>5787</v>
      </c>
      <c r="F1446" t="s">
        <v>6026</v>
      </c>
      <c r="G1446" t="s">
        <v>6030</v>
      </c>
      <c r="H1446" t="s">
        <v>6038</v>
      </c>
      <c r="I1446" t="s">
        <v>6047</v>
      </c>
      <c r="J1446" t="s">
        <v>6053</v>
      </c>
      <c r="K1446" t="s">
        <v>6056</v>
      </c>
      <c r="L1446" t="s">
        <v>7401</v>
      </c>
      <c r="M1446">
        <v>1746.66</v>
      </c>
      <c r="N1446">
        <v>5</v>
      </c>
      <c r="O1446">
        <v>0.01</v>
      </c>
      <c r="P1446">
        <v>352.97</v>
      </c>
      <c r="Q1446" t="s">
        <v>9896</v>
      </c>
      <c r="R1446">
        <v>5</v>
      </c>
      <c r="S1446" s="5">
        <f t="shared" si="44"/>
        <v>0.20208283237722283</v>
      </c>
      <c r="T1446">
        <v>349.33199999999999</v>
      </c>
      <c r="U1446">
        <v>3</v>
      </c>
      <c r="V1446">
        <v>2022</v>
      </c>
      <c r="W1446">
        <v>1</v>
      </c>
      <c r="X1446" t="s">
        <v>9899</v>
      </c>
      <c r="Y1446" t="s">
        <v>9901</v>
      </c>
      <c r="Z1446" t="s">
        <v>9898</v>
      </c>
      <c r="AD1446">
        <f t="shared" si="45"/>
        <v>5</v>
      </c>
    </row>
    <row r="1447" spans="1:30" x14ac:dyDescent="0.25">
      <c r="A1447" t="s">
        <v>1471</v>
      </c>
      <c r="B1447" s="2">
        <v>44643</v>
      </c>
      <c r="C1447" s="2">
        <v>44646</v>
      </c>
      <c r="D1447" t="s">
        <v>5174</v>
      </c>
      <c r="E1447" t="s">
        <v>5674</v>
      </c>
      <c r="F1447" t="s">
        <v>6028</v>
      </c>
      <c r="G1447" t="s">
        <v>6030</v>
      </c>
      <c r="H1447" t="s">
        <v>6033</v>
      </c>
      <c r="I1447" t="s">
        <v>6047</v>
      </c>
      <c r="J1447" t="s">
        <v>6053</v>
      </c>
      <c r="K1447" t="s">
        <v>6056</v>
      </c>
      <c r="L1447" t="s">
        <v>7402</v>
      </c>
      <c r="M1447">
        <v>891.34</v>
      </c>
      <c r="N1447">
        <v>6</v>
      </c>
      <c r="O1447">
        <v>0.19</v>
      </c>
      <c r="P1447">
        <v>-69.72</v>
      </c>
      <c r="Q1447" t="s">
        <v>9894</v>
      </c>
      <c r="R1447">
        <v>3</v>
      </c>
      <c r="S1447" s="5">
        <f t="shared" si="44"/>
        <v>-7.8219310251980159E-2</v>
      </c>
      <c r="T1447">
        <v>148.5566666666667</v>
      </c>
      <c r="U1447">
        <v>3</v>
      </c>
      <c r="V1447">
        <v>2022</v>
      </c>
      <c r="W1447">
        <v>1</v>
      </c>
      <c r="X1447" t="s">
        <v>9898</v>
      </c>
      <c r="Y1447" t="s">
        <v>9900</v>
      </c>
      <c r="Z1447" t="s">
        <v>9899</v>
      </c>
      <c r="AD1447">
        <f t="shared" si="45"/>
        <v>3</v>
      </c>
    </row>
    <row r="1448" spans="1:30" x14ac:dyDescent="0.25">
      <c r="A1448" t="s">
        <v>1472</v>
      </c>
      <c r="B1448" s="2">
        <v>45384</v>
      </c>
      <c r="C1448" s="2">
        <v>45386</v>
      </c>
      <c r="D1448" t="s">
        <v>5128</v>
      </c>
      <c r="E1448" t="s">
        <v>5628</v>
      </c>
      <c r="F1448" t="s">
        <v>6026</v>
      </c>
      <c r="G1448" t="s">
        <v>6030</v>
      </c>
      <c r="H1448" t="s">
        <v>6038</v>
      </c>
      <c r="I1448" t="s">
        <v>6047</v>
      </c>
      <c r="J1448" t="s">
        <v>6055</v>
      </c>
      <c r="K1448" t="s">
        <v>6061</v>
      </c>
      <c r="L1448" t="s">
        <v>6829</v>
      </c>
      <c r="M1448">
        <v>1039.32</v>
      </c>
      <c r="N1448">
        <v>1</v>
      </c>
      <c r="O1448">
        <v>0.2</v>
      </c>
      <c r="P1448">
        <v>-46.34</v>
      </c>
      <c r="Q1448" t="s">
        <v>9896</v>
      </c>
      <c r="R1448">
        <v>2</v>
      </c>
      <c r="S1448" s="5">
        <f t="shared" si="44"/>
        <v>-4.4586845244967872E-2</v>
      </c>
      <c r="T1448">
        <v>1039.32</v>
      </c>
      <c r="U1448">
        <v>4</v>
      </c>
      <c r="V1448">
        <v>2024</v>
      </c>
      <c r="W1448">
        <v>2</v>
      </c>
      <c r="X1448" t="s">
        <v>9898</v>
      </c>
      <c r="Y1448" t="s">
        <v>9900</v>
      </c>
      <c r="Z1448" t="s">
        <v>9898</v>
      </c>
      <c r="AD1448">
        <f t="shared" si="45"/>
        <v>2</v>
      </c>
    </row>
    <row r="1449" spans="1:30" x14ac:dyDescent="0.25">
      <c r="A1449" t="s">
        <v>1473</v>
      </c>
      <c r="B1449" s="2">
        <v>44973</v>
      </c>
      <c r="C1449" s="2">
        <v>44977</v>
      </c>
      <c r="D1449" t="s">
        <v>5503</v>
      </c>
      <c r="E1449" t="s">
        <v>6003</v>
      </c>
      <c r="F1449" t="s">
        <v>6028</v>
      </c>
      <c r="G1449" t="s">
        <v>6031</v>
      </c>
      <c r="H1449" t="s">
        <v>6037</v>
      </c>
      <c r="I1449" t="s">
        <v>6050</v>
      </c>
      <c r="J1449" t="s">
        <v>6054</v>
      </c>
      <c r="K1449" t="s">
        <v>6059</v>
      </c>
      <c r="L1449" t="s">
        <v>7403</v>
      </c>
      <c r="M1449">
        <v>207.64</v>
      </c>
      <c r="N1449">
        <v>1</v>
      </c>
      <c r="O1449">
        <v>0.06</v>
      </c>
      <c r="P1449">
        <v>44.13</v>
      </c>
      <c r="Q1449" t="s">
        <v>9897</v>
      </c>
      <c r="R1449">
        <v>4</v>
      </c>
      <c r="S1449" s="5">
        <f t="shared" si="44"/>
        <v>0.2125313041803121</v>
      </c>
      <c r="T1449">
        <v>207.64</v>
      </c>
      <c r="U1449">
        <v>2</v>
      </c>
      <c r="V1449">
        <v>2023</v>
      </c>
      <c r="W1449">
        <v>1</v>
      </c>
      <c r="X1449" t="s">
        <v>9899</v>
      </c>
      <c r="Y1449" t="s">
        <v>9901</v>
      </c>
      <c r="Z1449" t="s">
        <v>9899</v>
      </c>
      <c r="AD1449">
        <f t="shared" si="45"/>
        <v>4</v>
      </c>
    </row>
    <row r="1450" spans="1:30" x14ac:dyDescent="0.25">
      <c r="A1450" t="s">
        <v>1474</v>
      </c>
      <c r="B1450" s="2">
        <v>45231</v>
      </c>
      <c r="C1450" s="2">
        <v>45235</v>
      </c>
      <c r="D1450" t="s">
        <v>5467</v>
      </c>
      <c r="E1450" t="s">
        <v>5967</v>
      </c>
      <c r="F1450" t="s">
        <v>6028</v>
      </c>
      <c r="G1450" t="s">
        <v>6029</v>
      </c>
      <c r="H1450" t="s">
        <v>6044</v>
      </c>
      <c r="I1450" t="s">
        <v>6049</v>
      </c>
      <c r="J1450" t="s">
        <v>6053</v>
      </c>
      <c r="K1450" t="s">
        <v>6056</v>
      </c>
      <c r="L1450" t="s">
        <v>7404</v>
      </c>
      <c r="M1450">
        <v>1790.35</v>
      </c>
      <c r="N1450">
        <v>8</v>
      </c>
      <c r="O1450">
        <v>0.35</v>
      </c>
      <c r="P1450">
        <v>-358.37</v>
      </c>
      <c r="Q1450" t="s">
        <v>9897</v>
      </c>
      <c r="R1450">
        <v>4</v>
      </c>
      <c r="S1450" s="5">
        <f t="shared" si="44"/>
        <v>-0.20016756500125674</v>
      </c>
      <c r="T1450">
        <v>223.79374999999999</v>
      </c>
      <c r="U1450">
        <v>11</v>
      </c>
      <c r="V1450">
        <v>2023</v>
      </c>
      <c r="W1450">
        <v>4</v>
      </c>
      <c r="X1450" t="s">
        <v>9898</v>
      </c>
      <c r="Y1450" t="s">
        <v>9902</v>
      </c>
      <c r="Z1450" t="s">
        <v>9898</v>
      </c>
      <c r="AD1450">
        <f t="shared" si="45"/>
        <v>4</v>
      </c>
    </row>
    <row r="1451" spans="1:30" x14ac:dyDescent="0.25">
      <c r="A1451" t="s">
        <v>1475</v>
      </c>
      <c r="B1451" s="2">
        <v>45306</v>
      </c>
      <c r="C1451" s="2">
        <v>45310</v>
      </c>
      <c r="D1451" t="s">
        <v>5294</v>
      </c>
      <c r="E1451" t="s">
        <v>5794</v>
      </c>
      <c r="F1451" t="s">
        <v>6027</v>
      </c>
      <c r="G1451" t="s">
        <v>6031</v>
      </c>
      <c r="H1451" t="s">
        <v>6043</v>
      </c>
      <c r="I1451" t="s">
        <v>6052</v>
      </c>
      <c r="J1451" t="s">
        <v>6053</v>
      </c>
      <c r="K1451" t="s">
        <v>6058</v>
      </c>
      <c r="L1451" t="s">
        <v>7405</v>
      </c>
      <c r="M1451">
        <v>140.32</v>
      </c>
      <c r="N1451">
        <v>7</v>
      </c>
      <c r="O1451">
        <v>7.0000000000000007E-2</v>
      </c>
      <c r="P1451">
        <v>19.95</v>
      </c>
      <c r="Q1451" t="s">
        <v>9895</v>
      </c>
      <c r="R1451">
        <v>4</v>
      </c>
      <c r="S1451" s="5">
        <f t="shared" si="44"/>
        <v>0.14217502850627139</v>
      </c>
      <c r="T1451">
        <v>20.04571428571429</v>
      </c>
      <c r="U1451">
        <v>1</v>
      </c>
      <c r="V1451">
        <v>2024</v>
      </c>
      <c r="W1451">
        <v>1</v>
      </c>
      <c r="X1451" t="s">
        <v>9899</v>
      </c>
      <c r="Y1451" t="s">
        <v>9901</v>
      </c>
      <c r="Z1451" t="s">
        <v>9899</v>
      </c>
      <c r="AD1451">
        <f t="shared" si="45"/>
        <v>4</v>
      </c>
    </row>
    <row r="1452" spans="1:30" x14ac:dyDescent="0.25">
      <c r="A1452" t="s">
        <v>1476</v>
      </c>
      <c r="B1452" s="2">
        <v>44938</v>
      </c>
      <c r="C1452" s="2">
        <v>44944</v>
      </c>
      <c r="D1452" t="s">
        <v>5151</v>
      </c>
      <c r="E1452" t="s">
        <v>5651</v>
      </c>
      <c r="F1452" t="s">
        <v>6027</v>
      </c>
      <c r="G1452" t="s">
        <v>6029</v>
      </c>
      <c r="H1452" t="s">
        <v>6044</v>
      </c>
      <c r="I1452" t="s">
        <v>6050</v>
      </c>
      <c r="J1452" t="s">
        <v>6053</v>
      </c>
      <c r="K1452" t="s">
        <v>6057</v>
      </c>
      <c r="L1452" t="s">
        <v>7406</v>
      </c>
      <c r="M1452">
        <v>1762.38</v>
      </c>
      <c r="N1452">
        <v>3</v>
      </c>
      <c r="O1452">
        <v>0.25</v>
      </c>
      <c r="P1452">
        <v>-167.88</v>
      </c>
      <c r="Q1452" t="s">
        <v>9897</v>
      </c>
      <c r="R1452">
        <v>6</v>
      </c>
      <c r="S1452" s="5">
        <f t="shared" si="44"/>
        <v>-9.5257549450175324E-2</v>
      </c>
      <c r="T1452">
        <v>587.46</v>
      </c>
      <c r="U1452">
        <v>1</v>
      </c>
      <c r="V1452">
        <v>2023</v>
      </c>
      <c r="W1452">
        <v>1</v>
      </c>
      <c r="X1452" t="s">
        <v>9898</v>
      </c>
      <c r="Y1452" t="s">
        <v>9900</v>
      </c>
      <c r="Z1452" t="s">
        <v>9898</v>
      </c>
      <c r="AD1452">
        <f t="shared" si="45"/>
        <v>6</v>
      </c>
    </row>
    <row r="1453" spans="1:30" x14ac:dyDescent="0.25">
      <c r="A1453" t="s">
        <v>1477</v>
      </c>
      <c r="B1453" s="2">
        <v>44936</v>
      </c>
      <c r="C1453" s="2">
        <v>44943</v>
      </c>
      <c r="D1453" t="s">
        <v>5501</v>
      </c>
      <c r="E1453" t="s">
        <v>6001</v>
      </c>
      <c r="F1453" t="s">
        <v>6028</v>
      </c>
      <c r="G1453" t="s">
        <v>6029</v>
      </c>
      <c r="H1453" t="s">
        <v>6041</v>
      </c>
      <c r="I1453" t="s">
        <v>6049</v>
      </c>
      <c r="J1453" t="s">
        <v>6054</v>
      </c>
      <c r="K1453" t="s">
        <v>6059</v>
      </c>
      <c r="L1453" t="s">
        <v>7407</v>
      </c>
      <c r="M1453">
        <v>507.62</v>
      </c>
      <c r="N1453">
        <v>1</v>
      </c>
      <c r="O1453">
        <v>0.31</v>
      </c>
      <c r="P1453">
        <v>-51.58</v>
      </c>
      <c r="Q1453" t="s">
        <v>9895</v>
      </c>
      <c r="R1453">
        <v>7</v>
      </c>
      <c r="S1453" s="5">
        <f t="shared" si="44"/>
        <v>-0.10161144162956542</v>
      </c>
      <c r="T1453">
        <v>507.62</v>
      </c>
      <c r="U1453">
        <v>1</v>
      </c>
      <c r="V1453">
        <v>2023</v>
      </c>
      <c r="W1453">
        <v>1</v>
      </c>
      <c r="X1453" t="s">
        <v>9898</v>
      </c>
      <c r="Y1453" t="s">
        <v>9902</v>
      </c>
      <c r="Z1453" t="s">
        <v>9899</v>
      </c>
      <c r="AD1453">
        <f t="shared" si="45"/>
        <v>7</v>
      </c>
    </row>
    <row r="1454" spans="1:30" x14ac:dyDescent="0.25">
      <c r="A1454" t="s">
        <v>1478</v>
      </c>
      <c r="B1454" s="2">
        <v>44958</v>
      </c>
      <c r="C1454" s="2">
        <v>44965</v>
      </c>
      <c r="D1454" t="s">
        <v>5328</v>
      </c>
      <c r="E1454" t="s">
        <v>5828</v>
      </c>
      <c r="F1454" t="s">
        <v>6027</v>
      </c>
      <c r="G1454" t="s">
        <v>6031</v>
      </c>
      <c r="H1454" t="s">
        <v>6034</v>
      </c>
      <c r="I1454" t="s">
        <v>6052</v>
      </c>
      <c r="J1454" t="s">
        <v>6055</v>
      </c>
      <c r="K1454" t="s">
        <v>6064</v>
      </c>
      <c r="L1454" t="s">
        <v>6963</v>
      </c>
      <c r="M1454">
        <v>1606.77</v>
      </c>
      <c r="N1454">
        <v>3</v>
      </c>
      <c r="O1454">
        <v>7.0000000000000007E-2</v>
      </c>
      <c r="P1454">
        <v>55.57</v>
      </c>
      <c r="Q1454" t="s">
        <v>9895</v>
      </c>
      <c r="R1454">
        <v>7</v>
      </c>
      <c r="S1454" s="5">
        <f t="shared" si="44"/>
        <v>3.4584912588609448E-2</v>
      </c>
      <c r="T1454">
        <v>535.59</v>
      </c>
      <c r="U1454">
        <v>2</v>
      </c>
      <c r="V1454">
        <v>2023</v>
      </c>
      <c r="W1454">
        <v>1</v>
      </c>
      <c r="X1454" t="s">
        <v>9899</v>
      </c>
      <c r="Y1454" t="s">
        <v>9901</v>
      </c>
      <c r="Z1454" t="s">
        <v>9898</v>
      </c>
      <c r="AD1454">
        <f t="shared" si="45"/>
        <v>7</v>
      </c>
    </row>
    <row r="1455" spans="1:30" x14ac:dyDescent="0.25">
      <c r="A1455" t="s">
        <v>1479</v>
      </c>
      <c r="B1455" s="2">
        <v>45011</v>
      </c>
      <c r="C1455" s="2">
        <v>45012</v>
      </c>
      <c r="D1455" t="s">
        <v>5439</v>
      </c>
      <c r="E1455" t="s">
        <v>5939</v>
      </c>
      <c r="F1455" t="s">
        <v>6026</v>
      </c>
      <c r="G1455" t="s">
        <v>6031</v>
      </c>
      <c r="H1455" t="s">
        <v>6037</v>
      </c>
      <c r="I1455" t="s">
        <v>6050</v>
      </c>
      <c r="J1455" t="s">
        <v>6055</v>
      </c>
      <c r="K1455" t="s">
        <v>6064</v>
      </c>
      <c r="L1455" t="s">
        <v>7408</v>
      </c>
      <c r="M1455">
        <v>1825.22</v>
      </c>
      <c r="N1455">
        <v>7</v>
      </c>
      <c r="O1455">
        <v>0.12</v>
      </c>
      <c r="P1455">
        <v>146.53</v>
      </c>
      <c r="Q1455" t="s">
        <v>9894</v>
      </c>
      <c r="R1455">
        <v>1</v>
      </c>
      <c r="S1455" s="5">
        <f t="shared" si="44"/>
        <v>8.028073328146744E-2</v>
      </c>
      <c r="T1455">
        <v>260.74571428571431</v>
      </c>
      <c r="U1455">
        <v>3</v>
      </c>
      <c r="V1455">
        <v>2023</v>
      </c>
      <c r="W1455">
        <v>1</v>
      </c>
      <c r="X1455" t="s">
        <v>9899</v>
      </c>
      <c r="Y1455" t="s">
        <v>9901</v>
      </c>
      <c r="Z1455" t="s">
        <v>9898</v>
      </c>
      <c r="AD1455">
        <f t="shared" si="45"/>
        <v>1</v>
      </c>
    </row>
    <row r="1456" spans="1:30" x14ac:dyDescent="0.25">
      <c r="A1456" t="s">
        <v>1480</v>
      </c>
      <c r="B1456" s="2">
        <v>44571</v>
      </c>
      <c r="C1456" s="2">
        <v>44573</v>
      </c>
      <c r="D1456" t="s">
        <v>5185</v>
      </c>
      <c r="E1456" t="s">
        <v>5685</v>
      </c>
      <c r="F1456" t="s">
        <v>6026</v>
      </c>
      <c r="G1456" t="s">
        <v>6031</v>
      </c>
      <c r="H1456" t="s">
        <v>6043</v>
      </c>
      <c r="I1456" t="s">
        <v>6052</v>
      </c>
      <c r="J1456" t="s">
        <v>6053</v>
      </c>
      <c r="K1456" t="s">
        <v>6058</v>
      </c>
      <c r="L1456" t="s">
        <v>7409</v>
      </c>
      <c r="M1456">
        <v>1964.93</v>
      </c>
      <c r="N1456">
        <v>7</v>
      </c>
      <c r="O1456">
        <v>0.21</v>
      </c>
      <c r="P1456">
        <v>71.849999999999994</v>
      </c>
      <c r="Q1456" t="s">
        <v>9893</v>
      </c>
      <c r="R1456">
        <v>2</v>
      </c>
      <c r="S1456" s="5">
        <f t="shared" si="44"/>
        <v>3.656618810848223E-2</v>
      </c>
      <c r="T1456">
        <v>280.70428571428567</v>
      </c>
      <c r="U1456">
        <v>1</v>
      </c>
      <c r="V1456">
        <v>2022</v>
      </c>
      <c r="W1456">
        <v>1</v>
      </c>
      <c r="X1456" t="s">
        <v>9899</v>
      </c>
      <c r="Y1456" t="s">
        <v>9900</v>
      </c>
      <c r="Z1456" t="s">
        <v>9898</v>
      </c>
      <c r="AD1456">
        <f t="shared" si="45"/>
        <v>2</v>
      </c>
    </row>
    <row r="1457" spans="1:30" x14ac:dyDescent="0.25">
      <c r="A1457" t="s">
        <v>1481</v>
      </c>
      <c r="B1457" s="2">
        <v>45231</v>
      </c>
      <c r="C1457" s="2">
        <v>45238</v>
      </c>
      <c r="D1457" t="s">
        <v>5282</v>
      </c>
      <c r="E1457" t="s">
        <v>5782</v>
      </c>
      <c r="F1457" t="s">
        <v>6026</v>
      </c>
      <c r="G1457" t="s">
        <v>6029</v>
      </c>
      <c r="H1457" t="s">
        <v>6041</v>
      </c>
      <c r="I1457" t="s">
        <v>6050</v>
      </c>
      <c r="J1457" t="s">
        <v>6055</v>
      </c>
      <c r="K1457" t="s">
        <v>6061</v>
      </c>
      <c r="L1457" t="s">
        <v>7410</v>
      </c>
      <c r="M1457">
        <v>458.6</v>
      </c>
      <c r="N1457">
        <v>1</v>
      </c>
      <c r="O1457">
        <v>0.18</v>
      </c>
      <c r="P1457">
        <v>37.58</v>
      </c>
      <c r="Q1457" t="s">
        <v>9896</v>
      </c>
      <c r="R1457">
        <v>7</v>
      </c>
      <c r="S1457" s="5">
        <f t="shared" si="44"/>
        <v>8.1945050152638463E-2</v>
      </c>
      <c r="T1457">
        <v>458.6</v>
      </c>
      <c r="U1457">
        <v>11</v>
      </c>
      <c r="V1457">
        <v>2023</v>
      </c>
      <c r="W1457">
        <v>4</v>
      </c>
      <c r="X1457" t="s">
        <v>9899</v>
      </c>
      <c r="Y1457" t="s">
        <v>9900</v>
      </c>
      <c r="Z1457" t="s">
        <v>9899</v>
      </c>
      <c r="AD1457">
        <f t="shared" si="45"/>
        <v>7</v>
      </c>
    </row>
    <row r="1458" spans="1:30" x14ac:dyDescent="0.25">
      <c r="A1458" t="s">
        <v>1482</v>
      </c>
      <c r="B1458" s="2">
        <v>44743</v>
      </c>
      <c r="C1458" s="2">
        <v>44747</v>
      </c>
      <c r="D1458" t="s">
        <v>5145</v>
      </c>
      <c r="E1458" t="s">
        <v>5645</v>
      </c>
      <c r="F1458" t="s">
        <v>6027</v>
      </c>
      <c r="G1458" t="s">
        <v>6030</v>
      </c>
      <c r="H1458" t="s">
        <v>6033</v>
      </c>
      <c r="I1458" t="s">
        <v>6051</v>
      </c>
      <c r="J1458" t="s">
        <v>6054</v>
      </c>
      <c r="K1458" t="s">
        <v>6059</v>
      </c>
      <c r="L1458" t="s">
        <v>7411</v>
      </c>
      <c r="M1458">
        <v>1472.17</v>
      </c>
      <c r="N1458">
        <v>2</v>
      </c>
      <c r="O1458">
        <v>0.16</v>
      </c>
      <c r="P1458">
        <v>106.81</v>
      </c>
      <c r="Q1458" t="s">
        <v>9896</v>
      </c>
      <c r="R1458">
        <v>4</v>
      </c>
      <c r="S1458" s="5">
        <f t="shared" si="44"/>
        <v>7.2552762248925054E-2</v>
      </c>
      <c r="T1458">
        <v>736.08500000000004</v>
      </c>
      <c r="U1458">
        <v>7</v>
      </c>
      <c r="V1458">
        <v>2022</v>
      </c>
      <c r="W1458">
        <v>3</v>
      </c>
      <c r="X1458" t="s">
        <v>9899</v>
      </c>
      <c r="Y1458" t="s">
        <v>9900</v>
      </c>
      <c r="Z1458" t="s">
        <v>9898</v>
      </c>
      <c r="AD1458">
        <f t="shared" si="45"/>
        <v>4</v>
      </c>
    </row>
    <row r="1459" spans="1:30" x14ac:dyDescent="0.25">
      <c r="A1459" t="s">
        <v>1483</v>
      </c>
      <c r="B1459" s="2">
        <v>45296</v>
      </c>
      <c r="C1459" s="2">
        <v>45297</v>
      </c>
      <c r="D1459" t="s">
        <v>5504</v>
      </c>
      <c r="E1459" t="s">
        <v>6004</v>
      </c>
      <c r="F1459" t="s">
        <v>6026</v>
      </c>
      <c r="G1459" t="s">
        <v>6029</v>
      </c>
      <c r="H1459" t="s">
        <v>6041</v>
      </c>
      <c r="I1459" t="s">
        <v>6046</v>
      </c>
      <c r="J1459" t="s">
        <v>6054</v>
      </c>
      <c r="K1459" t="s">
        <v>6059</v>
      </c>
      <c r="L1459" t="s">
        <v>7412</v>
      </c>
      <c r="M1459">
        <v>1811.95</v>
      </c>
      <c r="N1459">
        <v>7</v>
      </c>
      <c r="O1459">
        <v>0.04</v>
      </c>
      <c r="P1459">
        <v>408.45</v>
      </c>
      <c r="Q1459" t="s">
        <v>9893</v>
      </c>
      <c r="R1459">
        <v>1</v>
      </c>
      <c r="S1459" s="5">
        <f t="shared" si="44"/>
        <v>0.22542012748696155</v>
      </c>
      <c r="T1459">
        <v>258.85000000000002</v>
      </c>
      <c r="U1459">
        <v>1</v>
      </c>
      <c r="V1459">
        <v>2024</v>
      </c>
      <c r="W1459">
        <v>1</v>
      </c>
      <c r="X1459" t="s">
        <v>9899</v>
      </c>
      <c r="Y1459" t="s">
        <v>9901</v>
      </c>
      <c r="Z1459" t="s">
        <v>9898</v>
      </c>
      <c r="AD1459">
        <f t="shared" si="45"/>
        <v>1</v>
      </c>
    </row>
    <row r="1460" spans="1:30" x14ac:dyDescent="0.25">
      <c r="A1460" t="s">
        <v>1484</v>
      </c>
      <c r="B1460" s="2">
        <v>44922</v>
      </c>
      <c r="C1460" s="2">
        <v>44923</v>
      </c>
      <c r="D1460" t="s">
        <v>5064</v>
      </c>
      <c r="E1460" t="s">
        <v>5564</v>
      </c>
      <c r="F1460" t="s">
        <v>6028</v>
      </c>
      <c r="G1460" t="s">
        <v>6029</v>
      </c>
      <c r="H1460" t="s">
        <v>6041</v>
      </c>
      <c r="I1460" t="s">
        <v>6050</v>
      </c>
      <c r="J1460" t="s">
        <v>6053</v>
      </c>
      <c r="K1460" t="s">
        <v>6057</v>
      </c>
      <c r="L1460" t="s">
        <v>7413</v>
      </c>
      <c r="M1460">
        <v>1624.84</v>
      </c>
      <c r="N1460">
        <v>6</v>
      </c>
      <c r="O1460">
        <v>0.27</v>
      </c>
      <c r="P1460">
        <v>-226.99</v>
      </c>
      <c r="Q1460" t="s">
        <v>9895</v>
      </c>
      <c r="R1460">
        <v>1</v>
      </c>
      <c r="S1460" s="5">
        <f t="shared" si="44"/>
        <v>-0.13969990891410847</v>
      </c>
      <c r="T1460">
        <v>270.80666666666667</v>
      </c>
      <c r="U1460">
        <v>12</v>
      </c>
      <c r="V1460">
        <v>2022</v>
      </c>
      <c r="W1460">
        <v>4</v>
      </c>
      <c r="X1460" t="s">
        <v>9898</v>
      </c>
      <c r="Y1460" t="s">
        <v>9900</v>
      </c>
      <c r="Z1460" t="s">
        <v>9898</v>
      </c>
      <c r="AD1460">
        <f t="shared" si="45"/>
        <v>1</v>
      </c>
    </row>
    <row r="1461" spans="1:30" x14ac:dyDescent="0.25">
      <c r="A1461" t="s">
        <v>1485</v>
      </c>
      <c r="B1461" s="2">
        <v>44765</v>
      </c>
      <c r="C1461" s="2">
        <v>44772</v>
      </c>
      <c r="D1461" t="s">
        <v>5130</v>
      </c>
      <c r="E1461" t="s">
        <v>5630</v>
      </c>
      <c r="F1461" t="s">
        <v>6026</v>
      </c>
      <c r="G1461" t="s">
        <v>6031</v>
      </c>
      <c r="H1461" t="s">
        <v>6042</v>
      </c>
      <c r="I1461" t="s">
        <v>6048</v>
      </c>
      <c r="J1461" t="s">
        <v>6054</v>
      </c>
      <c r="K1461" t="s">
        <v>6062</v>
      </c>
      <c r="L1461" t="s">
        <v>7259</v>
      </c>
      <c r="M1461">
        <v>1488.44</v>
      </c>
      <c r="N1461">
        <v>7</v>
      </c>
      <c r="O1461">
        <v>0.09</v>
      </c>
      <c r="P1461">
        <v>197.1</v>
      </c>
      <c r="Q1461" t="s">
        <v>9894</v>
      </c>
      <c r="R1461">
        <v>7</v>
      </c>
      <c r="S1461" s="5">
        <f t="shared" si="44"/>
        <v>0.13242052081373787</v>
      </c>
      <c r="T1461">
        <v>212.63428571428571</v>
      </c>
      <c r="U1461">
        <v>7</v>
      </c>
      <c r="V1461">
        <v>2022</v>
      </c>
      <c r="W1461">
        <v>3</v>
      </c>
      <c r="X1461" t="s">
        <v>9899</v>
      </c>
      <c r="Y1461" t="s">
        <v>9901</v>
      </c>
      <c r="Z1461" t="s">
        <v>9898</v>
      </c>
      <c r="AD1461">
        <f t="shared" si="45"/>
        <v>7</v>
      </c>
    </row>
    <row r="1462" spans="1:30" x14ac:dyDescent="0.25">
      <c r="A1462" t="s">
        <v>1486</v>
      </c>
      <c r="B1462" s="2">
        <v>45304</v>
      </c>
      <c r="C1462" s="2">
        <v>45310</v>
      </c>
      <c r="D1462" t="s">
        <v>5390</v>
      </c>
      <c r="E1462" t="s">
        <v>5890</v>
      </c>
      <c r="F1462" t="s">
        <v>6027</v>
      </c>
      <c r="G1462" t="s">
        <v>6031</v>
      </c>
      <c r="H1462" t="s">
        <v>6043</v>
      </c>
      <c r="I1462" t="s">
        <v>6048</v>
      </c>
      <c r="J1462" t="s">
        <v>6055</v>
      </c>
      <c r="K1462" t="s">
        <v>6064</v>
      </c>
      <c r="L1462" t="s">
        <v>7414</v>
      </c>
      <c r="M1462">
        <v>1507.9</v>
      </c>
      <c r="N1462">
        <v>7</v>
      </c>
      <c r="O1462">
        <v>0.17</v>
      </c>
      <c r="P1462">
        <v>-17.190000000000001</v>
      </c>
      <c r="Q1462" t="s">
        <v>9893</v>
      </c>
      <c r="R1462">
        <v>6</v>
      </c>
      <c r="S1462" s="5">
        <f t="shared" si="44"/>
        <v>-1.1399960209562968E-2</v>
      </c>
      <c r="T1462">
        <v>215.41428571428571</v>
      </c>
      <c r="U1462">
        <v>1</v>
      </c>
      <c r="V1462">
        <v>2024</v>
      </c>
      <c r="W1462">
        <v>1</v>
      </c>
      <c r="X1462" t="s">
        <v>9898</v>
      </c>
      <c r="Y1462" t="s">
        <v>9900</v>
      </c>
      <c r="Z1462" t="s">
        <v>9898</v>
      </c>
      <c r="AD1462">
        <f t="shared" si="45"/>
        <v>6</v>
      </c>
    </row>
    <row r="1463" spans="1:30" x14ac:dyDescent="0.25">
      <c r="A1463" t="s">
        <v>1487</v>
      </c>
      <c r="B1463" s="2">
        <v>45249</v>
      </c>
      <c r="C1463" s="2">
        <v>45256</v>
      </c>
      <c r="D1463" t="s">
        <v>5413</v>
      </c>
      <c r="E1463" t="s">
        <v>5913</v>
      </c>
      <c r="F1463" t="s">
        <v>6027</v>
      </c>
      <c r="G1463" t="s">
        <v>6029</v>
      </c>
      <c r="H1463" t="s">
        <v>6041</v>
      </c>
      <c r="I1463" t="s">
        <v>6046</v>
      </c>
      <c r="J1463" t="s">
        <v>6053</v>
      </c>
      <c r="K1463" t="s">
        <v>6058</v>
      </c>
      <c r="L1463" t="s">
        <v>7415</v>
      </c>
      <c r="M1463">
        <v>1574.6</v>
      </c>
      <c r="N1463">
        <v>4</v>
      </c>
      <c r="O1463">
        <v>0.01</v>
      </c>
      <c r="P1463">
        <v>217.3</v>
      </c>
      <c r="Q1463" t="s">
        <v>9894</v>
      </c>
      <c r="R1463">
        <v>7</v>
      </c>
      <c r="S1463" s="5">
        <f t="shared" si="44"/>
        <v>0.13800330242601297</v>
      </c>
      <c r="T1463">
        <v>393.65</v>
      </c>
      <c r="U1463">
        <v>11</v>
      </c>
      <c r="V1463">
        <v>2023</v>
      </c>
      <c r="W1463">
        <v>4</v>
      </c>
      <c r="X1463" t="s">
        <v>9899</v>
      </c>
      <c r="Y1463" t="s">
        <v>9901</v>
      </c>
      <c r="Z1463" t="s">
        <v>9898</v>
      </c>
      <c r="AD1463">
        <f t="shared" si="45"/>
        <v>7</v>
      </c>
    </row>
    <row r="1464" spans="1:30" x14ac:dyDescent="0.25">
      <c r="A1464" t="s">
        <v>1488</v>
      </c>
      <c r="B1464" s="2">
        <v>44931</v>
      </c>
      <c r="C1464" s="2">
        <v>44932</v>
      </c>
      <c r="D1464" t="s">
        <v>5178</v>
      </c>
      <c r="E1464" t="s">
        <v>5678</v>
      </c>
      <c r="F1464" t="s">
        <v>6026</v>
      </c>
      <c r="G1464" t="s">
        <v>6030</v>
      </c>
      <c r="H1464" t="s">
        <v>6035</v>
      </c>
      <c r="I1464" t="s">
        <v>6047</v>
      </c>
      <c r="J1464" t="s">
        <v>6054</v>
      </c>
      <c r="K1464" t="s">
        <v>6059</v>
      </c>
      <c r="L1464" t="s">
        <v>7416</v>
      </c>
      <c r="M1464">
        <v>662.66</v>
      </c>
      <c r="N1464">
        <v>3</v>
      </c>
      <c r="O1464">
        <v>0.25</v>
      </c>
      <c r="P1464">
        <v>-4.3499999999999996</v>
      </c>
      <c r="Q1464" t="s">
        <v>9897</v>
      </c>
      <c r="R1464">
        <v>1</v>
      </c>
      <c r="S1464" s="5">
        <f t="shared" si="44"/>
        <v>-6.5644523586756405E-3</v>
      </c>
      <c r="T1464">
        <v>220.88666666666671</v>
      </c>
      <c r="U1464">
        <v>1</v>
      </c>
      <c r="V1464">
        <v>2023</v>
      </c>
      <c r="W1464">
        <v>1</v>
      </c>
      <c r="X1464" t="s">
        <v>9898</v>
      </c>
      <c r="Y1464" t="s">
        <v>9900</v>
      </c>
      <c r="Z1464" t="s">
        <v>9899</v>
      </c>
      <c r="AD1464">
        <f t="shared" si="45"/>
        <v>1</v>
      </c>
    </row>
    <row r="1465" spans="1:30" x14ac:dyDescent="0.25">
      <c r="A1465" t="s">
        <v>1489</v>
      </c>
      <c r="B1465" s="2">
        <v>45100</v>
      </c>
      <c r="C1465" s="2">
        <v>45102</v>
      </c>
      <c r="D1465" t="s">
        <v>5496</v>
      </c>
      <c r="E1465" t="s">
        <v>5996</v>
      </c>
      <c r="F1465" t="s">
        <v>6028</v>
      </c>
      <c r="G1465" t="s">
        <v>6031</v>
      </c>
      <c r="H1465" t="s">
        <v>6034</v>
      </c>
      <c r="I1465" t="s">
        <v>6048</v>
      </c>
      <c r="J1465" t="s">
        <v>6053</v>
      </c>
      <c r="K1465" t="s">
        <v>6057</v>
      </c>
      <c r="L1465" t="s">
        <v>7417</v>
      </c>
      <c r="M1465">
        <v>948.02</v>
      </c>
      <c r="N1465">
        <v>4</v>
      </c>
      <c r="O1465">
        <v>0.28000000000000003</v>
      </c>
      <c r="P1465">
        <v>-54.96</v>
      </c>
      <c r="Q1465" t="s">
        <v>9893</v>
      </c>
      <c r="R1465">
        <v>2</v>
      </c>
      <c r="S1465" s="5">
        <f t="shared" si="44"/>
        <v>-5.7973460475517394E-2</v>
      </c>
      <c r="T1465">
        <v>237.005</v>
      </c>
      <c r="U1465">
        <v>6</v>
      </c>
      <c r="V1465">
        <v>2023</v>
      </c>
      <c r="W1465">
        <v>2</v>
      </c>
      <c r="X1465" t="s">
        <v>9898</v>
      </c>
      <c r="Y1465" t="s">
        <v>9900</v>
      </c>
      <c r="Z1465" t="s">
        <v>9899</v>
      </c>
      <c r="AD1465">
        <f t="shared" si="45"/>
        <v>2</v>
      </c>
    </row>
    <row r="1466" spans="1:30" x14ac:dyDescent="0.25">
      <c r="A1466" t="s">
        <v>1490</v>
      </c>
      <c r="B1466" s="2">
        <v>44919</v>
      </c>
      <c r="C1466" s="2">
        <v>44921</v>
      </c>
      <c r="D1466" t="s">
        <v>5402</v>
      </c>
      <c r="E1466" t="s">
        <v>5902</v>
      </c>
      <c r="F1466" t="s">
        <v>6026</v>
      </c>
      <c r="G1466" t="s">
        <v>6030</v>
      </c>
      <c r="H1466" t="s">
        <v>6035</v>
      </c>
      <c r="I1466" t="s">
        <v>6047</v>
      </c>
      <c r="J1466" t="s">
        <v>6053</v>
      </c>
      <c r="K1466" t="s">
        <v>6058</v>
      </c>
      <c r="L1466" t="s">
        <v>7418</v>
      </c>
      <c r="M1466">
        <v>1800.71</v>
      </c>
      <c r="N1466">
        <v>5</v>
      </c>
      <c r="O1466">
        <v>7.0000000000000007E-2</v>
      </c>
      <c r="P1466">
        <v>101.65</v>
      </c>
      <c r="Q1466" t="s">
        <v>9896</v>
      </c>
      <c r="R1466">
        <v>2</v>
      </c>
      <c r="S1466" s="5">
        <f t="shared" si="44"/>
        <v>5.644995585074776E-2</v>
      </c>
      <c r="T1466">
        <v>360.142</v>
      </c>
      <c r="U1466">
        <v>12</v>
      </c>
      <c r="V1466">
        <v>2022</v>
      </c>
      <c r="W1466">
        <v>4</v>
      </c>
      <c r="X1466" t="s">
        <v>9899</v>
      </c>
      <c r="Y1466" t="s">
        <v>9901</v>
      </c>
      <c r="Z1466" t="s">
        <v>9898</v>
      </c>
      <c r="AD1466">
        <f t="shared" si="45"/>
        <v>2</v>
      </c>
    </row>
    <row r="1467" spans="1:30" x14ac:dyDescent="0.25">
      <c r="A1467" t="s">
        <v>1491</v>
      </c>
      <c r="B1467" s="2">
        <v>45394</v>
      </c>
      <c r="C1467" s="2">
        <v>45397</v>
      </c>
      <c r="D1467" t="s">
        <v>5447</v>
      </c>
      <c r="E1467" t="s">
        <v>5947</v>
      </c>
      <c r="F1467" t="s">
        <v>6027</v>
      </c>
      <c r="G1467" t="s">
        <v>6029</v>
      </c>
      <c r="H1467" t="s">
        <v>6045</v>
      </c>
      <c r="I1467" t="s">
        <v>6046</v>
      </c>
      <c r="J1467" t="s">
        <v>6053</v>
      </c>
      <c r="K1467" t="s">
        <v>6058</v>
      </c>
      <c r="L1467" t="s">
        <v>7419</v>
      </c>
      <c r="M1467">
        <v>1800.04</v>
      </c>
      <c r="N1467">
        <v>3</v>
      </c>
      <c r="O1467">
        <v>0.03</v>
      </c>
      <c r="P1467">
        <v>272.38</v>
      </c>
      <c r="Q1467" t="s">
        <v>9895</v>
      </c>
      <c r="R1467">
        <v>3</v>
      </c>
      <c r="S1467" s="5">
        <f t="shared" si="44"/>
        <v>0.15131885958089819</v>
      </c>
      <c r="T1467">
        <v>600.01333333333332</v>
      </c>
      <c r="U1467">
        <v>4</v>
      </c>
      <c r="V1467">
        <v>2024</v>
      </c>
      <c r="W1467">
        <v>2</v>
      </c>
      <c r="X1467" t="s">
        <v>9899</v>
      </c>
      <c r="Y1467" t="s">
        <v>9901</v>
      </c>
      <c r="Z1467" t="s">
        <v>9898</v>
      </c>
      <c r="AD1467">
        <f t="shared" si="45"/>
        <v>3</v>
      </c>
    </row>
    <row r="1468" spans="1:30" x14ac:dyDescent="0.25">
      <c r="A1468" t="s">
        <v>1492</v>
      </c>
      <c r="B1468" s="2">
        <v>44616</v>
      </c>
      <c r="C1468" s="2">
        <v>44621</v>
      </c>
      <c r="D1468" t="s">
        <v>5401</v>
      </c>
      <c r="E1468" t="s">
        <v>5901</v>
      </c>
      <c r="F1468" t="s">
        <v>6026</v>
      </c>
      <c r="G1468" t="s">
        <v>6030</v>
      </c>
      <c r="H1468" t="s">
        <v>6038</v>
      </c>
      <c r="I1468" t="s">
        <v>6051</v>
      </c>
      <c r="J1468" t="s">
        <v>6054</v>
      </c>
      <c r="K1468" t="s">
        <v>6059</v>
      </c>
      <c r="L1468" t="s">
        <v>7420</v>
      </c>
      <c r="M1468">
        <v>160.13</v>
      </c>
      <c r="N1468">
        <v>2</v>
      </c>
      <c r="O1468">
        <v>0.32</v>
      </c>
      <c r="P1468">
        <v>-17.899999999999999</v>
      </c>
      <c r="Q1468" t="s">
        <v>9894</v>
      </c>
      <c r="R1468">
        <v>5</v>
      </c>
      <c r="S1468" s="5">
        <f t="shared" si="44"/>
        <v>-0.11178417535752201</v>
      </c>
      <c r="T1468">
        <v>80.064999999999998</v>
      </c>
      <c r="U1468">
        <v>2</v>
      </c>
      <c r="V1468">
        <v>2022</v>
      </c>
      <c r="W1468">
        <v>1</v>
      </c>
      <c r="X1468" t="s">
        <v>9898</v>
      </c>
      <c r="Y1468" t="s">
        <v>9902</v>
      </c>
      <c r="Z1468" t="s">
        <v>9899</v>
      </c>
      <c r="AD1468">
        <f t="shared" si="45"/>
        <v>5</v>
      </c>
    </row>
    <row r="1469" spans="1:30" x14ac:dyDescent="0.25">
      <c r="A1469" t="s">
        <v>1493</v>
      </c>
      <c r="B1469" s="2">
        <v>44823</v>
      </c>
      <c r="C1469" s="2">
        <v>44830</v>
      </c>
      <c r="D1469" t="s">
        <v>5309</v>
      </c>
      <c r="E1469" t="s">
        <v>5809</v>
      </c>
      <c r="F1469" t="s">
        <v>6027</v>
      </c>
      <c r="G1469" t="s">
        <v>6029</v>
      </c>
      <c r="H1469" t="s">
        <v>6041</v>
      </c>
      <c r="I1469" t="s">
        <v>6050</v>
      </c>
      <c r="J1469" t="s">
        <v>6053</v>
      </c>
      <c r="K1469" t="s">
        <v>6058</v>
      </c>
      <c r="L1469" t="s">
        <v>7421</v>
      </c>
      <c r="M1469">
        <v>1936.19</v>
      </c>
      <c r="N1469">
        <v>6</v>
      </c>
      <c r="O1469">
        <v>0.21</v>
      </c>
      <c r="P1469">
        <v>-87.4</v>
      </c>
      <c r="Q1469" t="s">
        <v>9893</v>
      </c>
      <c r="R1469">
        <v>7</v>
      </c>
      <c r="S1469" s="5">
        <f t="shared" si="44"/>
        <v>-4.5140198017756525E-2</v>
      </c>
      <c r="T1469">
        <v>322.69833333333332</v>
      </c>
      <c r="U1469">
        <v>9</v>
      </c>
      <c r="V1469">
        <v>2022</v>
      </c>
      <c r="W1469">
        <v>3</v>
      </c>
      <c r="X1469" t="s">
        <v>9898</v>
      </c>
      <c r="Y1469" t="s">
        <v>9900</v>
      </c>
      <c r="Z1469" t="s">
        <v>9898</v>
      </c>
      <c r="AD1469">
        <f t="shared" si="45"/>
        <v>7</v>
      </c>
    </row>
    <row r="1470" spans="1:30" x14ac:dyDescent="0.25">
      <c r="A1470" t="s">
        <v>1494</v>
      </c>
      <c r="B1470" s="2">
        <v>45268</v>
      </c>
      <c r="C1470" s="2">
        <v>45272</v>
      </c>
      <c r="D1470" t="s">
        <v>5271</v>
      </c>
      <c r="E1470" t="s">
        <v>5771</v>
      </c>
      <c r="F1470" t="s">
        <v>6028</v>
      </c>
      <c r="G1470" t="s">
        <v>6029</v>
      </c>
      <c r="H1470" t="s">
        <v>6044</v>
      </c>
      <c r="I1470" t="s">
        <v>6050</v>
      </c>
      <c r="J1470" t="s">
        <v>6053</v>
      </c>
      <c r="K1470" t="s">
        <v>6056</v>
      </c>
      <c r="L1470" t="s">
        <v>7422</v>
      </c>
      <c r="M1470">
        <v>131.35</v>
      </c>
      <c r="N1470">
        <v>2</v>
      </c>
      <c r="O1470">
        <v>0.15</v>
      </c>
      <c r="P1470">
        <v>15.52</v>
      </c>
      <c r="Q1470" t="s">
        <v>9896</v>
      </c>
      <c r="R1470">
        <v>4</v>
      </c>
      <c r="S1470" s="5">
        <f t="shared" si="44"/>
        <v>0.11815759421393224</v>
      </c>
      <c r="T1470">
        <v>65.674999999999997</v>
      </c>
      <c r="U1470">
        <v>12</v>
      </c>
      <c r="V1470">
        <v>2023</v>
      </c>
      <c r="W1470">
        <v>4</v>
      </c>
      <c r="X1470" t="s">
        <v>9899</v>
      </c>
      <c r="Y1470" t="s">
        <v>9901</v>
      </c>
      <c r="Z1470" t="s">
        <v>9899</v>
      </c>
      <c r="AD1470">
        <f t="shared" si="45"/>
        <v>4</v>
      </c>
    </row>
    <row r="1471" spans="1:30" x14ac:dyDescent="0.25">
      <c r="A1471" t="s">
        <v>1495</v>
      </c>
      <c r="B1471" s="2">
        <v>45076</v>
      </c>
      <c r="C1471" s="2">
        <v>45080</v>
      </c>
      <c r="D1471" t="s">
        <v>5430</v>
      </c>
      <c r="E1471" t="s">
        <v>5930</v>
      </c>
      <c r="F1471" t="s">
        <v>6026</v>
      </c>
      <c r="G1471" t="s">
        <v>6031</v>
      </c>
      <c r="H1471" t="s">
        <v>6034</v>
      </c>
      <c r="I1471" t="s">
        <v>6052</v>
      </c>
      <c r="J1471" t="s">
        <v>6053</v>
      </c>
      <c r="K1471" t="s">
        <v>6057</v>
      </c>
      <c r="L1471" t="s">
        <v>7423</v>
      </c>
      <c r="M1471">
        <v>218.95</v>
      </c>
      <c r="N1471">
        <v>2</v>
      </c>
      <c r="O1471">
        <v>0.32</v>
      </c>
      <c r="P1471">
        <v>-36.840000000000003</v>
      </c>
      <c r="Q1471" t="s">
        <v>9894</v>
      </c>
      <c r="R1471">
        <v>4</v>
      </c>
      <c r="S1471" s="5">
        <f t="shared" si="44"/>
        <v>-0.16825759305777577</v>
      </c>
      <c r="T1471">
        <v>109.47499999999999</v>
      </c>
      <c r="U1471">
        <v>5</v>
      </c>
      <c r="V1471">
        <v>2023</v>
      </c>
      <c r="W1471">
        <v>2</v>
      </c>
      <c r="X1471" t="s">
        <v>9898</v>
      </c>
      <c r="Y1471" t="s">
        <v>9902</v>
      </c>
      <c r="Z1471" t="s">
        <v>9899</v>
      </c>
      <c r="AD1471">
        <f t="shared" si="45"/>
        <v>4</v>
      </c>
    </row>
    <row r="1472" spans="1:30" x14ac:dyDescent="0.25">
      <c r="A1472" t="s">
        <v>1496</v>
      </c>
      <c r="B1472" s="2">
        <v>45234</v>
      </c>
      <c r="C1472" s="2">
        <v>45235</v>
      </c>
      <c r="D1472" t="s">
        <v>5414</v>
      </c>
      <c r="E1472" t="s">
        <v>5914</v>
      </c>
      <c r="F1472" t="s">
        <v>6027</v>
      </c>
      <c r="G1472" t="s">
        <v>6031</v>
      </c>
      <c r="H1472" t="s">
        <v>6042</v>
      </c>
      <c r="I1472" t="s">
        <v>6052</v>
      </c>
      <c r="J1472" t="s">
        <v>6055</v>
      </c>
      <c r="K1472" t="s">
        <v>6063</v>
      </c>
      <c r="L1472" t="s">
        <v>7424</v>
      </c>
      <c r="M1472">
        <v>1635.2</v>
      </c>
      <c r="N1472">
        <v>7</v>
      </c>
      <c r="O1472">
        <v>0.34</v>
      </c>
      <c r="P1472">
        <v>-220.78</v>
      </c>
      <c r="Q1472" t="s">
        <v>9893</v>
      </c>
      <c r="R1472">
        <v>1</v>
      </c>
      <c r="S1472" s="5">
        <f t="shared" si="44"/>
        <v>-0.13501712328767124</v>
      </c>
      <c r="T1472">
        <v>233.6</v>
      </c>
      <c r="U1472">
        <v>11</v>
      </c>
      <c r="V1472">
        <v>2023</v>
      </c>
      <c r="W1472">
        <v>4</v>
      </c>
      <c r="X1472" t="s">
        <v>9898</v>
      </c>
      <c r="Y1472" t="s">
        <v>9902</v>
      </c>
      <c r="Z1472" t="s">
        <v>9898</v>
      </c>
      <c r="AD1472">
        <f t="shared" si="45"/>
        <v>1</v>
      </c>
    </row>
    <row r="1473" spans="1:30" x14ac:dyDescent="0.25">
      <c r="A1473" t="s">
        <v>1497</v>
      </c>
      <c r="B1473" s="2">
        <v>45065</v>
      </c>
      <c r="C1473" s="2">
        <v>45071</v>
      </c>
      <c r="D1473" t="s">
        <v>5026</v>
      </c>
      <c r="E1473" t="s">
        <v>5526</v>
      </c>
      <c r="F1473" t="s">
        <v>6028</v>
      </c>
      <c r="G1473" t="s">
        <v>6031</v>
      </c>
      <c r="H1473" t="s">
        <v>6040</v>
      </c>
      <c r="I1473" t="s">
        <v>6052</v>
      </c>
      <c r="J1473" t="s">
        <v>6054</v>
      </c>
      <c r="K1473" t="s">
        <v>6062</v>
      </c>
      <c r="L1473" t="s">
        <v>7425</v>
      </c>
      <c r="M1473">
        <v>1503.47</v>
      </c>
      <c r="N1473">
        <v>8</v>
      </c>
      <c r="O1473">
        <v>0.31</v>
      </c>
      <c r="P1473">
        <v>-246.1</v>
      </c>
      <c r="Q1473" t="s">
        <v>9897</v>
      </c>
      <c r="R1473">
        <v>6</v>
      </c>
      <c r="S1473" s="5">
        <f t="shared" si="44"/>
        <v>-0.16368800175593792</v>
      </c>
      <c r="T1473">
        <v>187.93375</v>
      </c>
      <c r="U1473">
        <v>5</v>
      </c>
      <c r="V1473">
        <v>2023</v>
      </c>
      <c r="W1473">
        <v>2</v>
      </c>
      <c r="X1473" t="s">
        <v>9898</v>
      </c>
      <c r="Y1473" t="s">
        <v>9902</v>
      </c>
      <c r="Z1473" t="s">
        <v>9898</v>
      </c>
      <c r="AD1473">
        <f t="shared" si="45"/>
        <v>6</v>
      </c>
    </row>
    <row r="1474" spans="1:30" x14ac:dyDescent="0.25">
      <c r="A1474" t="s">
        <v>1498</v>
      </c>
      <c r="B1474" s="2">
        <v>44913</v>
      </c>
      <c r="C1474" s="2">
        <v>44915</v>
      </c>
      <c r="D1474" t="s">
        <v>5243</v>
      </c>
      <c r="E1474" t="s">
        <v>5743</v>
      </c>
      <c r="F1474" t="s">
        <v>6026</v>
      </c>
      <c r="G1474" t="s">
        <v>6029</v>
      </c>
      <c r="H1474" t="s">
        <v>6044</v>
      </c>
      <c r="I1474" t="s">
        <v>6046</v>
      </c>
      <c r="J1474" t="s">
        <v>6055</v>
      </c>
      <c r="K1474" t="s">
        <v>6064</v>
      </c>
      <c r="L1474" t="s">
        <v>6874</v>
      </c>
      <c r="M1474">
        <v>383.82</v>
      </c>
      <c r="N1474">
        <v>1</v>
      </c>
      <c r="O1474">
        <v>0.05</v>
      </c>
      <c r="P1474">
        <v>77.3</v>
      </c>
      <c r="Q1474" t="s">
        <v>9896</v>
      </c>
      <c r="R1474">
        <v>2</v>
      </c>
      <c r="S1474" s="5">
        <f t="shared" si="44"/>
        <v>0.20139648793705384</v>
      </c>
      <c r="T1474">
        <v>383.82</v>
      </c>
      <c r="U1474">
        <v>12</v>
      </c>
      <c r="V1474">
        <v>2022</v>
      </c>
      <c r="W1474">
        <v>4</v>
      </c>
      <c r="X1474" t="s">
        <v>9899</v>
      </c>
      <c r="Y1474" t="s">
        <v>9901</v>
      </c>
      <c r="Z1474" t="s">
        <v>9899</v>
      </c>
      <c r="AD1474">
        <f t="shared" si="45"/>
        <v>2</v>
      </c>
    </row>
    <row r="1475" spans="1:30" x14ac:dyDescent="0.25">
      <c r="A1475" t="s">
        <v>1499</v>
      </c>
      <c r="B1475" s="2">
        <v>45443</v>
      </c>
      <c r="C1475" s="2">
        <v>45445</v>
      </c>
      <c r="D1475" t="s">
        <v>5373</v>
      </c>
      <c r="E1475" t="s">
        <v>5873</v>
      </c>
      <c r="F1475" t="s">
        <v>6027</v>
      </c>
      <c r="G1475" t="s">
        <v>6030</v>
      </c>
      <c r="H1475" t="s">
        <v>6033</v>
      </c>
      <c r="I1475" t="s">
        <v>6047</v>
      </c>
      <c r="J1475" t="s">
        <v>6055</v>
      </c>
      <c r="K1475" t="s">
        <v>6063</v>
      </c>
      <c r="L1475" t="s">
        <v>7426</v>
      </c>
      <c r="M1475">
        <v>1405</v>
      </c>
      <c r="N1475">
        <v>2</v>
      </c>
      <c r="O1475">
        <v>0.13</v>
      </c>
      <c r="P1475">
        <v>232.78</v>
      </c>
      <c r="Q1475" t="s">
        <v>9893</v>
      </c>
      <c r="R1475">
        <v>2</v>
      </c>
      <c r="S1475" s="5">
        <f t="shared" ref="S1475:S1538" si="46">P1475/M1475</f>
        <v>0.16567971530249109</v>
      </c>
      <c r="T1475">
        <v>702.5</v>
      </c>
      <c r="U1475">
        <v>5</v>
      </c>
      <c r="V1475">
        <v>2024</v>
      </c>
      <c r="W1475">
        <v>2</v>
      </c>
      <c r="X1475" t="s">
        <v>9899</v>
      </c>
      <c r="Y1475" t="s">
        <v>9901</v>
      </c>
      <c r="Z1475" t="s">
        <v>9898</v>
      </c>
      <c r="AD1475">
        <f t="shared" ref="AD1475:AD1538" si="47">C1475-B1475</f>
        <v>2</v>
      </c>
    </row>
    <row r="1476" spans="1:30" x14ac:dyDescent="0.25">
      <c r="A1476" t="s">
        <v>1500</v>
      </c>
      <c r="B1476" s="2">
        <v>45268</v>
      </c>
      <c r="C1476" s="2">
        <v>45270</v>
      </c>
      <c r="D1476" t="s">
        <v>5042</v>
      </c>
      <c r="E1476" t="s">
        <v>5542</v>
      </c>
      <c r="F1476" t="s">
        <v>6027</v>
      </c>
      <c r="G1476" t="s">
        <v>6031</v>
      </c>
      <c r="H1476" t="s">
        <v>6034</v>
      </c>
      <c r="I1476" t="s">
        <v>6048</v>
      </c>
      <c r="J1476" t="s">
        <v>6054</v>
      </c>
      <c r="K1476" t="s">
        <v>6060</v>
      </c>
      <c r="L1476" t="s">
        <v>7427</v>
      </c>
      <c r="M1476">
        <v>292.83</v>
      </c>
      <c r="N1476">
        <v>7</v>
      </c>
      <c r="O1476">
        <v>0.25</v>
      </c>
      <c r="P1476">
        <v>-34.9</v>
      </c>
      <c r="Q1476" t="s">
        <v>9894</v>
      </c>
      <c r="R1476">
        <v>2</v>
      </c>
      <c r="S1476" s="5">
        <f t="shared" si="46"/>
        <v>-0.11918177782331045</v>
      </c>
      <c r="T1476">
        <v>41.832857142857137</v>
      </c>
      <c r="U1476">
        <v>12</v>
      </c>
      <c r="V1476">
        <v>2023</v>
      </c>
      <c r="W1476">
        <v>4</v>
      </c>
      <c r="X1476" t="s">
        <v>9898</v>
      </c>
      <c r="Y1476" t="s">
        <v>9900</v>
      </c>
      <c r="Z1476" t="s">
        <v>9899</v>
      </c>
      <c r="AD1476">
        <f t="shared" si="47"/>
        <v>2</v>
      </c>
    </row>
    <row r="1477" spans="1:30" x14ac:dyDescent="0.25">
      <c r="A1477" t="s">
        <v>1501</v>
      </c>
      <c r="B1477" s="2">
        <v>45325</v>
      </c>
      <c r="C1477" s="2">
        <v>45331</v>
      </c>
      <c r="D1477" t="s">
        <v>5477</v>
      </c>
      <c r="E1477" t="s">
        <v>5977</v>
      </c>
      <c r="F1477" t="s">
        <v>6028</v>
      </c>
      <c r="G1477" t="s">
        <v>6031</v>
      </c>
      <c r="H1477" t="s">
        <v>6040</v>
      </c>
      <c r="I1477" t="s">
        <v>6052</v>
      </c>
      <c r="J1477" t="s">
        <v>6053</v>
      </c>
      <c r="K1477" t="s">
        <v>6056</v>
      </c>
      <c r="L1477" t="s">
        <v>7428</v>
      </c>
      <c r="M1477">
        <v>463.89</v>
      </c>
      <c r="N1477">
        <v>8</v>
      </c>
      <c r="O1477">
        <v>0.32</v>
      </c>
      <c r="P1477">
        <v>-26.18</v>
      </c>
      <c r="Q1477" t="s">
        <v>9893</v>
      </c>
      <c r="R1477">
        <v>6</v>
      </c>
      <c r="S1477" s="5">
        <f t="shared" si="46"/>
        <v>-5.6435792968160557E-2</v>
      </c>
      <c r="T1477">
        <v>57.986249999999998</v>
      </c>
      <c r="U1477">
        <v>2</v>
      </c>
      <c r="V1477">
        <v>2024</v>
      </c>
      <c r="W1477">
        <v>1</v>
      </c>
      <c r="X1477" t="s">
        <v>9898</v>
      </c>
      <c r="Y1477" t="s">
        <v>9902</v>
      </c>
      <c r="Z1477" t="s">
        <v>9899</v>
      </c>
      <c r="AD1477">
        <f t="shared" si="47"/>
        <v>6</v>
      </c>
    </row>
    <row r="1478" spans="1:30" x14ac:dyDescent="0.25">
      <c r="A1478" t="s">
        <v>1502</v>
      </c>
      <c r="B1478" s="2">
        <v>45437</v>
      </c>
      <c r="C1478" s="2">
        <v>45444</v>
      </c>
      <c r="D1478" t="s">
        <v>5184</v>
      </c>
      <c r="E1478" t="s">
        <v>5684</v>
      </c>
      <c r="F1478" t="s">
        <v>6026</v>
      </c>
      <c r="G1478" t="s">
        <v>6031</v>
      </c>
      <c r="H1478" t="s">
        <v>6034</v>
      </c>
      <c r="I1478" t="s">
        <v>6050</v>
      </c>
      <c r="J1478" t="s">
        <v>6053</v>
      </c>
      <c r="K1478" t="s">
        <v>6056</v>
      </c>
      <c r="L1478" t="s">
        <v>7284</v>
      </c>
      <c r="M1478">
        <v>383.25</v>
      </c>
      <c r="N1478">
        <v>5</v>
      </c>
      <c r="O1478">
        <v>0.31</v>
      </c>
      <c r="P1478">
        <v>-61.27</v>
      </c>
      <c r="Q1478" t="s">
        <v>9897</v>
      </c>
      <c r="R1478">
        <v>7</v>
      </c>
      <c r="S1478" s="5">
        <f t="shared" si="46"/>
        <v>-0.15986953685583824</v>
      </c>
      <c r="T1478">
        <v>76.650000000000006</v>
      </c>
      <c r="U1478">
        <v>5</v>
      </c>
      <c r="V1478">
        <v>2024</v>
      </c>
      <c r="W1478">
        <v>2</v>
      </c>
      <c r="X1478" t="s">
        <v>9898</v>
      </c>
      <c r="Y1478" t="s">
        <v>9902</v>
      </c>
      <c r="Z1478" t="s">
        <v>9899</v>
      </c>
      <c r="AD1478">
        <f t="shared" si="47"/>
        <v>7</v>
      </c>
    </row>
    <row r="1479" spans="1:30" x14ac:dyDescent="0.25">
      <c r="A1479" t="s">
        <v>1503</v>
      </c>
      <c r="B1479" s="2">
        <v>45329</v>
      </c>
      <c r="C1479" s="2">
        <v>45332</v>
      </c>
      <c r="D1479" t="s">
        <v>5110</v>
      </c>
      <c r="E1479" t="s">
        <v>5610</v>
      </c>
      <c r="F1479" t="s">
        <v>6026</v>
      </c>
      <c r="G1479" t="s">
        <v>6029</v>
      </c>
      <c r="H1479" t="s">
        <v>6041</v>
      </c>
      <c r="I1479" t="s">
        <v>6049</v>
      </c>
      <c r="J1479" t="s">
        <v>6054</v>
      </c>
      <c r="K1479" t="s">
        <v>6059</v>
      </c>
      <c r="L1479" t="s">
        <v>7429</v>
      </c>
      <c r="M1479">
        <v>704.68</v>
      </c>
      <c r="N1479">
        <v>1</v>
      </c>
      <c r="O1479">
        <v>0.25</v>
      </c>
      <c r="P1479">
        <v>-75.75</v>
      </c>
      <c r="Q1479" t="s">
        <v>9893</v>
      </c>
      <c r="R1479">
        <v>3</v>
      </c>
      <c r="S1479" s="5">
        <f t="shared" si="46"/>
        <v>-0.10749560084009764</v>
      </c>
      <c r="T1479">
        <v>704.68</v>
      </c>
      <c r="U1479">
        <v>2</v>
      </c>
      <c r="V1479">
        <v>2024</v>
      </c>
      <c r="W1479">
        <v>1</v>
      </c>
      <c r="X1479" t="s">
        <v>9898</v>
      </c>
      <c r="Y1479" t="s">
        <v>9900</v>
      </c>
      <c r="Z1479" t="s">
        <v>9899</v>
      </c>
      <c r="AD1479">
        <f t="shared" si="47"/>
        <v>3</v>
      </c>
    </row>
    <row r="1480" spans="1:30" x14ac:dyDescent="0.25">
      <c r="A1480" t="s">
        <v>1504</v>
      </c>
      <c r="B1480" s="2">
        <v>44686</v>
      </c>
      <c r="C1480" s="2">
        <v>44688</v>
      </c>
      <c r="D1480" t="s">
        <v>5273</v>
      </c>
      <c r="E1480" t="s">
        <v>5773</v>
      </c>
      <c r="F1480" t="s">
        <v>6026</v>
      </c>
      <c r="G1480" t="s">
        <v>6029</v>
      </c>
      <c r="H1480" t="s">
        <v>6036</v>
      </c>
      <c r="I1480" t="s">
        <v>6049</v>
      </c>
      <c r="J1480" t="s">
        <v>6053</v>
      </c>
      <c r="K1480" t="s">
        <v>6056</v>
      </c>
      <c r="L1480" t="s">
        <v>7430</v>
      </c>
      <c r="M1480">
        <v>1111.56</v>
      </c>
      <c r="N1480">
        <v>4</v>
      </c>
      <c r="O1480">
        <v>7.0000000000000007E-2</v>
      </c>
      <c r="P1480">
        <v>155.72</v>
      </c>
      <c r="Q1480" t="s">
        <v>9897</v>
      </c>
      <c r="R1480">
        <v>2</v>
      </c>
      <c r="S1480" s="5">
        <f t="shared" si="46"/>
        <v>0.14009140307315845</v>
      </c>
      <c r="T1480">
        <v>277.89</v>
      </c>
      <c r="U1480">
        <v>5</v>
      </c>
      <c r="V1480">
        <v>2022</v>
      </c>
      <c r="W1480">
        <v>2</v>
      </c>
      <c r="X1480" t="s">
        <v>9899</v>
      </c>
      <c r="Y1480" t="s">
        <v>9901</v>
      </c>
      <c r="Z1480" t="s">
        <v>9898</v>
      </c>
      <c r="AD1480">
        <f t="shared" si="47"/>
        <v>2</v>
      </c>
    </row>
    <row r="1481" spans="1:30" x14ac:dyDescent="0.25">
      <c r="A1481" t="s">
        <v>1505</v>
      </c>
      <c r="B1481" s="2">
        <v>45087</v>
      </c>
      <c r="C1481" s="2">
        <v>45089</v>
      </c>
      <c r="D1481" t="s">
        <v>5125</v>
      </c>
      <c r="E1481" t="s">
        <v>5625</v>
      </c>
      <c r="F1481" t="s">
        <v>6027</v>
      </c>
      <c r="G1481" t="s">
        <v>6029</v>
      </c>
      <c r="H1481" t="s">
        <v>6032</v>
      </c>
      <c r="I1481" t="s">
        <v>6049</v>
      </c>
      <c r="J1481" t="s">
        <v>6053</v>
      </c>
      <c r="K1481" t="s">
        <v>6056</v>
      </c>
      <c r="L1481" t="s">
        <v>7431</v>
      </c>
      <c r="M1481">
        <v>196.49</v>
      </c>
      <c r="N1481">
        <v>7</v>
      </c>
      <c r="O1481">
        <v>0.04</v>
      </c>
      <c r="P1481">
        <v>17.829999999999998</v>
      </c>
      <c r="Q1481" t="s">
        <v>9895</v>
      </c>
      <c r="R1481">
        <v>2</v>
      </c>
      <c r="S1481" s="5">
        <f t="shared" si="46"/>
        <v>9.0742531426535683E-2</v>
      </c>
      <c r="T1481">
        <v>28.07</v>
      </c>
      <c r="U1481">
        <v>6</v>
      </c>
      <c r="V1481">
        <v>2023</v>
      </c>
      <c r="W1481">
        <v>2</v>
      </c>
      <c r="X1481" t="s">
        <v>9899</v>
      </c>
      <c r="Y1481" t="s">
        <v>9901</v>
      </c>
      <c r="Z1481" t="s">
        <v>9899</v>
      </c>
      <c r="AD1481">
        <f t="shared" si="47"/>
        <v>2</v>
      </c>
    </row>
    <row r="1482" spans="1:30" x14ac:dyDescent="0.25">
      <c r="A1482" t="s">
        <v>1506</v>
      </c>
      <c r="B1482" s="2">
        <v>44885</v>
      </c>
      <c r="C1482" s="2">
        <v>44891</v>
      </c>
      <c r="D1482" t="s">
        <v>5189</v>
      </c>
      <c r="E1482" t="s">
        <v>5689</v>
      </c>
      <c r="F1482" t="s">
        <v>6028</v>
      </c>
      <c r="G1482" t="s">
        <v>6029</v>
      </c>
      <c r="H1482" t="s">
        <v>6032</v>
      </c>
      <c r="I1482" t="s">
        <v>6050</v>
      </c>
      <c r="J1482" t="s">
        <v>6053</v>
      </c>
      <c r="K1482" t="s">
        <v>6056</v>
      </c>
      <c r="L1482" t="s">
        <v>6322</v>
      </c>
      <c r="M1482">
        <v>705.72</v>
      </c>
      <c r="N1482">
        <v>5</v>
      </c>
      <c r="O1482">
        <v>0.34</v>
      </c>
      <c r="P1482">
        <v>-63.24</v>
      </c>
      <c r="Q1482" t="s">
        <v>9893</v>
      </c>
      <c r="R1482">
        <v>6</v>
      </c>
      <c r="S1482" s="5">
        <f t="shared" si="46"/>
        <v>-8.9610610440401292E-2</v>
      </c>
      <c r="T1482">
        <v>141.14400000000001</v>
      </c>
      <c r="U1482">
        <v>11</v>
      </c>
      <c r="V1482">
        <v>2022</v>
      </c>
      <c r="W1482">
        <v>4</v>
      </c>
      <c r="X1482" t="s">
        <v>9898</v>
      </c>
      <c r="Y1482" t="s">
        <v>9902</v>
      </c>
      <c r="Z1482" t="s">
        <v>9899</v>
      </c>
      <c r="AD1482">
        <f t="shared" si="47"/>
        <v>6</v>
      </c>
    </row>
    <row r="1483" spans="1:30" x14ac:dyDescent="0.25">
      <c r="A1483" t="s">
        <v>1507</v>
      </c>
      <c r="B1483" s="2">
        <v>44595</v>
      </c>
      <c r="C1483" s="2">
        <v>44601</v>
      </c>
      <c r="D1483" t="s">
        <v>5040</v>
      </c>
      <c r="E1483" t="s">
        <v>5540</v>
      </c>
      <c r="F1483" t="s">
        <v>6026</v>
      </c>
      <c r="G1483" t="s">
        <v>6030</v>
      </c>
      <c r="H1483" t="s">
        <v>6033</v>
      </c>
      <c r="I1483" t="s">
        <v>6047</v>
      </c>
      <c r="J1483" t="s">
        <v>6055</v>
      </c>
      <c r="K1483" t="s">
        <v>6064</v>
      </c>
      <c r="L1483" t="s">
        <v>7432</v>
      </c>
      <c r="M1483">
        <v>540.48</v>
      </c>
      <c r="N1483">
        <v>7</v>
      </c>
      <c r="O1483">
        <v>0.08</v>
      </c>
      <c r="P1483">
        <v>82.72</v>
      </c>
      <c r="Q1483" t="s">
        <v>9897</v>
      </c>
      <c r="R1483">
        <v>6</v>
      </c>
      <c r="S1483" s="5">
        <f t="shared" si="46"/>
        <v>0.15304914150384843</v>
      </c>
      <c r="T1483">
        <v>77.21142857142857</v>
      </c>
      <c r="U1483">
        <v>2</v>
      </c>
      <c r="V1483">
        <v>2022</v>
      </c>
      <c r="W1483">
        <v>1</v>
      </c>
      <c r="X1483" t="s">
        <v>9899</v>
      </c>
      <c r="Y1483" t="s">
        <v>9901</v>
      </c>
      <c r="Z1483" t="s">
        <v>9899</v>
      </c>
      <c r="AD1483">
        <f t="shared" si="47"/>
        <v>6</v>
      </c>
    </row>
    <row r="1484" spans="1:30" x14ac:dyDescent="0.25">
      <c r="A1484" t="s">
        <v>1508</v>
      </c>
      <c r="B1484" s="2">
        <v>45056</v>
      </c>
      <c r="C1484" s="2">
        <v>45062</v>
      </c>
      <c r="D1484" t="s">
        <v>5436</v>
      </c>
      <c r="E1484" t="s">
        <v>5936</v>
      </c>
      <c r="F1484" t="s">
        <v>6026</v>
      </c>
      <c r="G1484" t="s">
        <v>6029</v>
      </c>
      <c r="H1484" t="s">
        <v>6044</v>
      </c>
      <c r="I1484" t="s">
        <v>6046</v>
      </c>
      <c r="J1484" t="s">
        <v>6055</v>
      </c>
      <c r="K1484" t="s">
        <v>6061</v>
      </c>
      <c r="L1484" t="s">
        <v>7433</v>
      </c>
      <c r="M1484">
        <v>1502.25</v>
      </c>
      <c r="N1484">
        <v>8</v>
      </c>
      <c r="O1484">
        <v>0.26</v>
      </c>
      <c r="P1484">
        <v>-66.09</v>
      </c>
      <c r="Q1484" t="s">
        <v>9897</v>
      </c>
      <c r="R1484">
        <v>6</v>
      </c>
      <c r="S1484" s="5">
        <f t="shared" si="46"/>
        <v>-4.3994008986520221E-2</v>
      </c>
      <c r="T1484">
        <v>187.78125</v>
      </c>
      <c r="U1484">
        <v>5</v>
      </c>
      <c r="V1484">
        <v>2023</v>
      </c>
      <c r="W1484">
        <v>2</v>
      </c>
      <c r="X1484" t="s">
        <v>9898</v>
      </c>
      <c r="Y1484" t="s">
        <v>9900</v>
      </c>
      <c r="Z1484" t="s">
        <v>9898</v>
      </c>
      <c r="AD1484">
        <f t="shared" si="47"/>
        <v>6</v>
      </c>
    </row>
    <row r="1485" spans="1:30" x14ac:dyDescent="0.25">
      <c r="A1485" t="s">
        <v>1509</v>
      </c>
      <c r="B1485" s="2">
        <v>45044</v>
      </c>
      <c r="C1485" s="2">
        <v>45050</v>
      </c>
      <c r="D1485" t="s">
        <v>5505</v>
      </c>
      <c r="E1485" t="s">
        <v>6005</v>
      </c>
      <c r="F1485" t="s">
        <v>6028</v>
      </c>
      <c r="G1485" t="s">
        <v>6029</v>
      </c>
      <c r="H1485" t="s">
        <v>6032</v>
      </c>
      <c r="I1485" t="s">
        <v>6046</v>
      </c>
      <c r="J1485" t="s">
        <v>6055</v>
      </c>
      <c r="K1485" t="s">
        <v>6061</v>
      </c>
      <c r="L1485" t="s">
        <v>7434</v>
      </c>
      <c r="M1485">
        <v>1917.32</v>
      </c>
      <c r="N1485">
        <v>6</v>
      </c>
      <c r="O1485">
        <v>0.23</v>
      </c>
      <c r="P1485">
        <v>-111.46</v>
      </c>
      <c r="Q1485" t="s">
        <v>9894</v>
      </c>
      <c r="R1485">
        <v>6</v>
      </c>
      <c r="S1485" s="5">
        <f t="shared" si="46"/>
        <v>-5.8133227630233868E-2</v>
      </c>
      <c r="T1485">
        <v>319.55333333333328</v>
      </c>
      <c r="U1485">
        <v>4</v>
      </c>
      <c r="V1485">
        <v>2023</v>
      </c>
      <c r="W1485">
        <v>2</v>
      </c>
      <c r="X1485" t="s">
        <v>9898</v>
      </c>
      <c r="Y1485" t="s">
        <v>9900</v>
      </c>
      <c r="Z1485" t="s">
        <v>9898</v>
      </c>
      <c r="AD1485">
        <f t="shared" si="47"/>
        <v>6</v>
      </c>
    </row>
    <row r="1486" spans="1:30" x14ac:dyDescent="0.25">
      <c r="A1486" t="s">
        <v>1510</v>
      </c>
      <c r="B1486" s="2">
        <v>44812</v>
      </c>
      <c r="C1486" s="2">
        <v>44819</v>
      </c>
      <c r="D1486" t="s">
        <v>5466</v>
      </c>
      <c r="E1486" t="s">
        <v>5966</v>
      </c>
      <c r="F1486" t="s">
        <v>6028</v>
      </c>
      <c r="G1486" t="s">
        <v>6030</v>
      </c>
      <c r="H1486" t="s">
        <v>6038</v>
      </c>
      <c r="I1486" t="s">
        <v>6047</v>
      </c>
      <c r="J1486" t="s">
        <v>6055</v>
      </c>
      <c r="K1486" t="s">
        <v>6063</v>
      </c>
      <c r="L1486" t="s">
        <v>6805</v>
      </c>
      <c r="M1486">
        <v>681.43</v>
      </c>
      <c r="N1486">
        <v>6</v>
      </c>
      <c r="O1486">
        <v>0.33</v>
      </c>
      <c r="P1486">
        <v>-108.76</v>
      </c>
      <c r="Q1486" t="s">
        <v>9894</v>
      </c>
      <c r="R1486">
        <v>7</v>
      </c>
      <c r="S1486" s="5">
        <f t="shared" si="46"/>
        <v>-0.15960553541816477</v>
      </c>
      <c r="T1486">
        <v>113.5716666666667</v>
      </c>
      <c r="U1486">
        <v>9</v>
      </c>
      <c r="V1486">
        <v>2022</v>
      </c>
      <c r="W1486">
        <v>3</v>
      </c>
      <c r="X1486" t="s">
        <v>9898</v>
      </c>
      <c r="Y1486" t="s">
        <v>9902</v>
      </c>
      <c r="Z1486" t="s">
        <v>9899</v>
      </c>
      <c r="AD1486">
        <f t="shared" si="47"/>
        <v>7</v>
      </c>
    </row>
    <row r="1487" spans="1:30" x14ac:dyDescent="0.25">
      <c r="A1487" t="s">
        <v>1511</v>
      </c>
      <c r="B1487" s="2">
        <v>45139</v>
      </c>
      <c r="C1487" s="2">
        <v>45145</v>
      </c>
      <c r="D1487" t="s">
        <v>5235</v>
      </c>
      <c r="E1487" t="s">
        <v>5735</v>
      </c>
      <c r="F1487" t="s">
        <v>6028</v>
      </c>
      <c r="G1487" t="s">
        <v>6030</v>
      </c>
      <c r="H1487" t="s">
        <v>6033</v>
      </c>
      <c r="I1487" t="s">
        <v>6051</v>
      </c>
      <c r="J1487" t="s">
        <v>6054</v>
      </c>
      <c r="K1487" t="s">
        <v>6062</v>
      </c>
      <c r="L1487" t="s">
        <v>7435</v>
      </c>
      <c r="M1487">
        <v>1693.28</v>
      </c>
      <c r="N1487">
        <v>6</v>
      </c>
      <c r="O1487">
        <v>0.22</v>
      </c>
      <c r="P1487">
        <v>-158.82</v>
      </c>
      <c r="Q1487" t="s">
        <v>9894</v>
      </c>
      <c r="R1487">
        <v>6</v>
      </c>
      <c r="S1487" s="5">
        <f t="shared" si="46"/>
        <v>-9.3794292733629409E-2</v>
      </c>
      <c r="T1487">
        <v>282.21333333333331</v>
      </c>
      <c r="U1487">
        <v>8</v>
      </c>
      <c r="V1487">
        <v>2023</v>
      </c>
      <c r="W1487">
        <v>3</v>
      </c>
      <c r="X1487" t="s">
        <v>9898</v>
      </c>
      <c r="Y1487" t="s">
        <v>9900</v>
      </c>
      <c r="Z1487" t="s">
        <v>9898</v>
      </c>
      <c r="AD1487">
        <f t="shared" si="47"/>
        <v>6</v>
      </c>
    </row>
    <row r="1488" spans="1:30" x14ac:dyDescent="0.25">
      <c r="A1488" t="s">
        <v>1512</v>
      </c>
      <c r="B1488" s="2">
        <v>45289</v>
      </c>
      <c r="C1488" s="2">
        <v>45292</v>
      </c>
      <c r="D1488" t="s">
        <v>5428</v>
      </c>
      <c r="E1488" t="s">
        <v>5928</v>
      </c>
      <c r="F1488" t="s">
        <v>6026</v>
      </c>
      <c r="G1488" t="s">
        <v>6031</v>
      </c>
      <c r="H1488" t="s">
        <v>6034</v>
      </c>
      <c r="I1488" t="s">
        <v>6050</v>
      </c>
      <c r="J1488" t="s">
        <v>6054</v>
      </c>
      <c r="K1488" t="s">
        <v>6062</v>
      </c>
      <c r="L1488" t="s">
        <v>7436</v>
      </c>
      <c r="M1488">
        <v>1664.51</v>
      </c>
      <c r="N1488">
        <v>4</v>
      </c>
      <c r="O1488">
        <v>0.28000000000000003</v>
      </c>
      <c r="P1488">
        <v>-222.72</v>
      </c>
      <c r="Q1488" t="s">
        <v>9897</v>
      </c>
      <c r="R1488">
        <v>3</v>
      </c>
      <c r="S1488" s="5">
        <f t="shared" si="46"/>
        <v>-0.13380514385614986</v>
      </c>
      <c r="T1488">
        <v>416.1275</v>
      </c>
      <c r="U1488">
        <v>12</v>
      </c>
      <c r="V1488">
        <v>2023</v>
      </c>
      <c r="W1488">
        <v>4</v>
      </c>
      <c r="X1488" t="s">
        <v>9898</v>
      </c>
      <c r="Y1488" t="s">
        <v>9900</v>
      </c>
      <c r="Z1488" t="s">
        <v>9898</v>
      </c>
      <c r="AD1488">
        <f t="shared" si="47"/>
        <v>3</v>
      </c>
    </row>
    <row r="1489" spans="1:30" x14ac:dyDescent="0.25">
      <c r="A1489" t="s">
        <v>1513</v>
      </c>
      <c r="B1489" s="2">
        <v>45453</v>
      </c>
      <c r="C1489" s="2">
        <v>45459</v>
      </c>
      <c r="D1489" t="s">
        <v>5506</v>
      </c>
      <c r="E1489" t="s">
        <v>6006</v>
      </c>
      <c r="F1489" t="s">
        <v>6027</v>
      </c>
      <c r="G1489" t="s">
        <v>6029</v>
      </c>
      <c r="H1489" t="s">
        <v>6044</v>
      </c>
      <c r="I1489" t="s">
        <v>6050</v>
      </c>
      <c r="J1489" t="s">
        <v>6054</v>
      </c>
      <c r="K1489" t="s">
        <v>6060</v>
      </c>
      <c r="L1489" t="s">
        <v>7437</v>
      </c>
      <c r="M1489">
        <v>431.09</v>
      </c>
      <c r="N1489">
        <v>1</v>
      </c>
      <c r="O1489">
        <v>0.21</v>
      </c>
      <c r="P1489">
        <v>-38.840000000000003</v>
      </c>
      <c r="Q1489" t="s">
        <v>9895</v>
      </c>
      <c r="R1489">
        <v>6</v>
      </c>
      <c r="S1489" s="5">
        <f t="shared" si="46"/>
        <v>-9.0097195481222025E-2</v>
      </c>
      <c r="T1489">
        <v>431.09</v>
      </c>
      <c r="U1489">
        <v>6</v>
      </c>
      <c r="V1489">
        <v>2024</v>
      </c>
      <c r="W1489">
        <v>2</v>
      </c>
      <c r="X1489" t="s">
        <v>9898</v>
      </c>
      <c r="Y1489" t="s">
        <v>9900</v>
      </c>
      <c r="Z1489" t="s">
        <v>9899</v>
      </c>
      <c r="AD1489">
        <f t="shared" si="47"/>
        <v>6</v>
      </c>
    </row>
    <row r="1490" spans="1:30" x14ac:dyDescent="0.25">
      <c r="A1490" t="s">
        <v>1514</v>
      </c>
      <c r="B1490" s="2">
        <v>44841</v>
      </c>
      <c r="C1490" s="2">
        <v>44843</v>
      </c>
      <c r="D1490" t="s">
        <v>5212</v>
      </c>
      <c r="E1490" t="s">
        <v>5712</v>
      </c>
      <c r="F1490" t="s">
        <v>6027</v>
      </c>
      <c r="G1490" t="s">
        <v>6029</v>
      </c>
      <c r="H1490" t="s">
        <v>6045</v>
      </c>
      <c r="I1490" t="s">
        <v>6050</v>
      </c>
      <c r="J1490" t="s">
        <v>6053</v>
      </c>
      <c r="K1490" t="s">
        <v>6058</v>
      </c>
      <c r="L1490" t="s">
        <v>7438</v>
      </c>
      <c r="M1490">
        <v>1582.04</v>
      </c>
      <c r="N1490">
        <v>4</v>
      </c>
      <c r="O1490">
        <v>7.0000000000000007E-2</v>
      </c>
      <c r="P1490">
        <v>149.27000000000001</v>
      </c>
      <c r="Q1490" t="s">
        <v>9895</v>
      </c>
      <c r="R1490">
        <v>2</v>
      </c>
      <c r="S1490" s="5">
        <f t="shared" si="46"/>
        <v>9.4352860863189308E-2</v>
      </c>
      <c r="T1490">
        <v>395.51</v>
      </c>
      <c r="U1490">
        <v>10</v>
      </c>
      <c r="V1490">
        <v>2022</v>
      </c>
      <c r="W1490">
        <v>4</v>
      </c>
      <c r="X1490" t="s">
        <v>9899</v>
      </c>
      <c r="Y1490" t="s">
        <v>9901</v>
      </c>
      <c r="Z1490" t="s">
        <v>9898</v>
      </c>
      <c r="AD1490">
        <f t="shared" si="47"/>
        <v>2</v>
      </c>
    </row>
    <row r="1491" spans="1:30" x14ac:dyDescent="0.25">
      <c r="A1491" t="s">
        <v>1515</v>
      </c>
      <c r="B1491" s="2">
        <v>44786</v>
      </c>
      <c r="C1491" s="2">
        <v>44787</v>
      </c>
      <c r="D1491" t="s">
        <v>5352</v>
      </c>
      <c r="E1491" t="s">
        <v>5852</v>
      </c>
      <c r="F1491" t="s">
        <v>6028</v>
      </c>
      <c r="G1491" t="s">
        <v>6030</v>
      </c>
      <c r="H1491" t="s">
        <v>6039</v>
      </c>
      <c r="I1491" t="s">
        <v>6051</v>
      </c>
      <c r="J1491" t="s">
        <v>6054</v>
      </c>
      <c r="K1491" t="s">
        <v>6059</v>
      </c>
      <c r="L1491" t="s">
        <v>7439</v>
      </c>
      <c r="M1491">
        <v>304.43</v>
      </c>
      <c r="N1491">
        <v>3</v>
      </c>
      <c r="O1491">
        <v>0.04</v>
      </c>
      <c r="P1491">
        <v>53.07</v>
      </c>
      <c r="Q1491" t="s">
        <v>9893</v>
      </c>
      <c r="R1491">
        <v>1</v>
      </c>
      <c r="S1491" s="5">
        <f t="shared" si="46"/>
        <v>0.17432578917977859</v>
      </c>
      <c r="T1491">
        <v>101.4766666666667</v>
      </c>
      <c r="U1491">
        <v>8</v>
      </c>
      <c r="V1491">
        <v>2022</v>
      </c>
      <c r="W1491">
        <v>3</v>
      </c>
      <c r="X1491" t="s">
        <v>9899</v>
      </c>
      <c r="Y1491" t="s">
        <v>9901</v>
      </c>
      <c r="Z1491" t="s">
        <v>9899</v>
      </c>
      <c r="AD1491">
        <f t="shared" si="47"/>
        <v>1</v>
      </c>
    </row>
    <row r="1492" spans="1:30" x14ac:dyDescent="0.25">
      <c r="A1492" t="s">
        <v>1516</v>
      </c>
      <c r="B1492" s="2">
        <v>45229</v>
      </c>
      <c r="C1492" s="2">
        <v>45231</v>
      </c>
      <c r="D1492" t="s">
        <v>5098</v>
      </c>
      <c r="E1492" t="s">
        <v>5598</v>
      </c>
      <c r="F1492" t="s">
        <v>6027</v>
      </c>
      <c r="G1492" t="s">
        <v>6031</v>
      </c>
      <c r="H1492" t="s">
        <v>6042</v>
      </c>
      <c r="I1492" t="s">
        <v>6048</v>
      </c>
      <c r="J1492" t="s">
        <v>6055</v>
      </c>
      <c r="K1492" t="s">
        <v>6063</v>
      </c>
      <c r="L1492" t="s">
        <v>7440</v>
      </c>
      <c r="M1492">
        <v>1575.11</v>
      </c>
      <c r="N1492">
        <v>8</v>
      </c>
      <c r="O1492">
        <v>0.33</v>
      </c>
      <c r="P1492">
        <v>-257.23</v>
      </c>
      <c r="Q1492" t="s">
        <v>9895</v>
      </c>
      <c r="R1492">
        <v>2</v>
      </c>
      <c r="S1492" s="5">
        <f t="shared" si="46"/>
        <v>-0.16330922919669105</v>
      </c>
      <c r="T1492">
        <v>196.88874999999999</v>
      </c>
      <c r="U1492">
        <v>10</v>
      </c>
      <c r="V1492">
        <v>2023</v>
      </c>
      <c r="W1492">
        <v>4</v>
      </c>
      <c r="X1492" t="s">
        <v>9898</v>
      </c>
      <c r="Y1492" t="s">
        <v>9902</v>
      </c>
      <c r="Z1492" t="s">
        <v>9898</v>
      </c>
      <c r="AD1492">
        <f t="shared" si="47"/>
        <v>2</v>
      </c>
    </row>
    <row r="1493" spans="1:30" x14ac:dyDescent="0.25">
      <c r="A1493" t="s">
        <v>1517</v>
      </c>
      <c r="B1493" s="2">
        <v>44618</v>
      </c>
      <c r="C1493" s="2">
        <v>44625</v>
      </c>
      <c r="D1493" t="s">
        <v>5205</v>
      </c>
      <c r="E1493" t="s">
        <v>5705</v>
      </c>
      <c r="F1493" t="s">
        <v>6028</v>
      </c>
      <c r="G1493" t="s">
        <v>6031</v>
      </c>
      <c r="H1493" t="s">
        <v>6040</v>
      </c>
      <c r="I1493" t="s">
        <v>6050</v>
      </c>
      <c r="J1493" t="s">
        <v>6054</v>
      </c>
      <c r="K1493" t="s">
        <v>6060</v>
      </c>
      <c r="L1493" t="s">
        <v>7441</v>
      </c>
      <c r="M1493">
        <v>592.38</v>
      </c>
      <c r="N1493">
        <v>7</v>
      </c>
      <c r="O1493">
        <v>0.33</v>
      </c>
      <c r="P1493">
        <v>-19.53</v>
      </c>
      <c r="Q1493" t="s">
        <v>9897</v>
      </c>
      <c r="R1493">
        <v>7</v>
      </c>
      <c r="S1493" s="5">
        <f t="shared" si="46"/>
        <v>-3.2968702522029783E-2</v>
      </c>
      <c r="T1493">
        <v>84.625714285714281</v>
      </c>
      <c r="U1493">
        <v>2</v>
      </c>
      <c r="V1493">
        <v>2022</v>
      </c>
      <c r="W1493">
        <v>1</v>
      </c>
      <c r="X1493" t="s">
        <v>9898</v>
      </c>
      <c r="Y1493" t="s">
        <v>9902</v>
      </c>
      <c r="Z1493" t="s">
        <v>9899</v>
      </c>
      <c r="AD1493">
        <f t="shared" si="47"/>
        <v>7</v>
      </c>
    </row>
    <row r="1494" spans="1:30" x14ac:dyDescent="0.25">
      <c r="A1494" t="s">
        <v>1518</v>
      </c>
      <c r="B1494" s="2">
        <v>45202</v>
      </c>
      <c r="C1494" s="2">
        <v>45207</v>
      </c>
      <c r="D1494" t="s">
        <v>5450</v>
      </c>
      <c r="E1494" t="s">
        <v>5950</v>
      </c>
      <c r="F1494" t="s">
        <v>6028</v>
      </c>
      <c r="G1494" t="s">
        <v>6030</v>
      </c>
      <c r="H1494" t="s">
        <v>6033</v>
      </c>
      <c r="I1494" t="s">
        <v>6047</v>
      </c>
      <c r="J1494" t="s">
        <v>6055</v>
      </c>
      <c r="K1494" t="s">
        <v>6061</v>
      </c>
      <c r="L1494" t="s">
        <v>7442</v>
      </c>
      <c r="M1494">
        <v>1976.22</v>
      </c>
      <c r="N1494">
        <v>2</v>
      </c>
      <c r="O1494">
        <v>0.35</v>
      </c>
      <c r="P1494">
        <v>-121.74</v>
      </c>
      <c r="Q1494" t="s">
        <v>9894</v>
      </c>
      <c r="R1494">
        <v>5</v>
      </c>
      <c r="S1494" s="5">
        <f t="shared" si="46"/>
        <v>-6.1602453168169535E-2</v>
      </c>
      <c r="T1494">
        <v>988.11</v>
      </c>
      <c r="U1494">
        <v>10</v>
      </c>
      <c r="V1494">
        <v>2023</v>
      </c>
      <c r="W1494">
        <v>4</v>
      </c>
      <c r="X1494" t="s">
        <v>9898</v>
      </c>
      <c r="Y1494" t="s">
        <v>9902</v>
      </c>
      <c r="Z1494" t="s">
        <v>9898</v>
      </c>
      <c r="AD1494">
        <f t="shared" si="47"/>
        <v>5</v>
      </c>
    </row>
    <row r="1495" spans="1:30" x14ac:dyDescent="0.25">
      <c r="A1495" t="s">
        <v>1519</v>
      </c>
      <c r="B1495" s="2">
        <v>45355</v>
      </c>
      <c r="C1495" s="2">
        <v>45356</v>
      </c>
      <c r="D1495" t="s">
        <v>5318</v>
      </c>
      <c r="E1495" t="s">
        <v>5818</v>
      </c>
      <c r="F1495" t="s">
        <v>6028</v>
      </c>
      <c r="G1495" t="s">
        <v>6030</v>
      </c>
      <c r="H1495" t="s">
        <v>6033</v>
      </c>
      <c r="I1495" t="s">
        <v>6051</v>
      </c>
      <c r="J1495" t="s">
        <v>6053</v>
      </c>
      <c r="K1495" t="s">
        <v>6058</v>
      </c>
      <c r="L1495" t="s">
        <v>7443</v>
      </c>
      <c r="M1495">
        <v>133.99</v>
      </c>
      <c r="N1495">
        <v>3</v>
      </c>
      <c r="O1495">
        <v>0.1</v>
      </c>
      <c r="P1495">
        <v>17.059999999999999</v>
      </c>
      <c r="Q1495" t="s">
        <v>9896</v>
      </c>
      <c r="R1495">
        <v>1</v>
      </c>
      <c r="S1495" s="5">
        <f t="shared" si="46"/>
        <v>0.12732293454735427</v>
      </c>
      <c r="T1495">
        <v>44.663333333333327</v>
      </c>
      <c r="U1495">
        <v>3</v>
      </c>
      <c r="V1495">
        <v>2024</v>
      </c>
      <c r="W1495">
        <v>1</v>
      </c>
      <c r="X1495" t="s">
        <v>9899</v>
      </c>
      <c r="Y1495" t="s">
        <v>9901</v>
      </c>
      <c r="Z1495" t="s">
        <v>9899</v>
      </c>
      <c r="AD1495">
        <f t="shared" si="47"/>
        <v>1</v>
      </c>
    </row>
    <row r="1496" spans="1:30" x14ac:dyDescent="0.25">
      <c r="A1496" t="s">
        <v>1520</v>
      </c>
      <c r="B1496" s="2">
        <v>44697</v>
      </c>
      <c r="C1496" s="2">
        <v>44699</v>
      </c>
      <c r="D1496" t="s">
        <v>5071</v>
      </c>
      <c r="E1496" t="s">
        <v>5571</v>
      </c>
      <c r="F1496" t="s">
        <v>6026</v>
      </c>
      <c r="G1496" t="s">
        <v>6031</v>
      </c>
      <c r="H1496" t="s">
        <v>6034</v>
      </c>
      <c r="I1496" t="s">
        <v>6052</v>
      </c>
      <c r="J1496" t="s">
        <v>6053</v>
      </c>
      <c r="K1496" t="s">
        <v>6058</v>
      </c>
      <c r="L1496" t="s">
        <v>7444</v>
      </c>
      <c r="M1496">
        <v>1073.6400000000001</v>
      </c>
      <c r="N1496">
        <v>1</v>
      </c>
      <c r="O1496">
        <v>0.03</v>
      </c>
      <c r="P1496">
        <v>187.1</v>
      </c>
      <c r="Q1496" t="s">
        <v>9895</v>
      </c>
      <c r="R1496">
        <v>2</v>
      </c>
      <c r="S1496" s="5">
        <f t="shared" si="46"/>
        <v>0.17426697962072946</v>
      </c>
      <c r="T1496">
        <v>1073.6400000000001</v>
      </c>
      <c r="U1496">
        <v>5</v>
      </c>
      <c r="V1496">
        <v>2022</v>
      </c>
      <c r="W1496">
        <v>2</v>
      </c>
      <c r="X1496" t="s">
        <v>9899</v>
      </c>
      <c r="Y1496" t="s">
        <v>9901</v>
      </c>
      <c r="Z1496" t="s">
        <v>9898</v>
      </c>
      <c r="AD1496">
        <f t="shared" si="47"/>
        <v>2</v>
      </c>
    </row>
    <row r="1497" spans="1:30" x14ac:dyDescent="0.25">
      <c r="A1497" t="s">
        <v>1521</v>
      </c>
      <c r="B1497" s="2">
        <v>45303</v>
      </c>
      <c r="C1497" s="2">
        <v>45304</v>
      </c>
      <c r="D1497" t="s">
        <v>5310</v>
      </c>
      <c r="E1497" t="s">
        <v>5810</v>
      </c>
      <c r="F1497" t="s">
        <v>6028</v>
      </c>
      <c r="G1497" t="s">
        <v>6029</v>
      </c>
      <c r="H1497" t="s">
        <v>6045</v>
      </c>
      <c r="I1497" t="s">
        <v>6049</v>
      </c>
      <c r="J1497" t="s">
        <v>6055</v>
      </c>
      <c r="K1497" t="s">
        <v>6064</v>
      </c>
      <c r="L1497" t="s">
        <v>7445</v>
      </c>
      <c r="M1497">
        <v>792.34</v>
      </c>
      <c r="N1497">
        <v>7</v>
      </c>
      <c r="O1497">
        <v>0.34</v>
      </c>
      <c r="P1497">
        <v>-151.53</v>
      </c>
      <c r="Q1497" t="s">
        <v>9895</v>
      </c>
      <c r="R1497">
        <v>1</v>
      </c>
      <c r="S1497" s="5">
        <f t="shared" si="46"/>
        <v>-0.19124365802559506</v>
      </c>
      <c r="T1497">
        <v>113.1914285714286</v>
      </c>
      <c r="U1497">
        <v>1</v>
      </c>
      <c r="V1497">
        <v>2024</v>
      </c>
      <c r="W1497">
        <v>1</v>
      </c>
      <c r="X1497" t="s">
        <v>9898</v>
      </c>
      <c r="Y1497" t="s">
        <v>9902</v>
      </c>
      <c r="Z1497" t="s">
        <v>9899</v>
      </c>
      <c r="AD1497">
        <f t="shared" si="47"/>
        <v>1</v>
      </c>
    </row>
    <row r="1498" spans="1:30" x14ac:dyDescent="0.25">
      <c r="A1498" t="s">
        <v>1522</v>
      </c>
      <c r="B1498" s="2">
        <v>44751</v>
      </c>
      <c r="C1498" s="2">
        <v>44755</v>
      </c>
      <c r="D1498" t="s">
        <v>5232</v>
      </c>
      <c r="E1498" t="s">
        <v>5732</v>
      </c>
      <c r="F1498" t="s">
        <v>6027</v>
      </c>
      <c r="G1498" t="s">
        <v>6030</v>
      </c>
      <c r="H1498" t="s">
        <v>6038</v>
      </c>
      <c r="I1498" t="s">
        <v>6047</v>
      </c>
      <c r="J1498" t="s">
        <v>6055</v>
      </c>
      <c r="K1498" t="s">
        <v>6064</v>
      </c>
      <c r="L1498" t="s">
        <v>7446</v>
      </c>
      <c r="M1498">
        <v>1883.32</v>
      </c>
      <c r="N1498">
        <v>3</v>
      </c>
      <c r="O1498">
        <v>0.14000000000000001</v>
      </c>
      <c r="P1498">
        <v>234.78</v>
      </c>
      <c r="Q1498" t="s">
        <v>9896</v>
      </c>
      <c r="R1498">
        <v>4</v>
      </c>
      <c r="S1498" s="5">
        <f t="shared" si="46"/>
        <v>0.12466282947135909</v>
      </c>
      <c r="T1498">
        <v>627.77333333333331</v>
      </c>
      <c r="U1498">
        <v>7</v>
      </c>
      <c r="V1498">
        <v>2022</v>
      </c>
      <c r="W1498">
        <v>3</v>
      </c>
      <c r="X1498" t="s">
        <v>9899</v>
      </c>
      <c r="Y1498" t="s">
        <v>9901</v>
      </c>
      <c r="Z1498" t="s">
        <v>9898</v>
      </c>
      <c r="AD1498">
        <f t="shared" si="47"/>
        <v>4</v>
      </c>
    </row>
    <row r="1499" spans="1:30" x14ac:dyDescent="0.25">
      <c r="A1499" t="s">
        <v>1523</v>
      </c>
      <c r="B1499" s="2">
        <v>44587</v>
      </c>
      <c r="C1499" s="2">
        <v>44590</v>
      </c>
      <c r="D1499" t="s">
        <v>5435</v>
      </c>
      <c r="E1499" t="s">
        <v>5935</v>
      </c>
      <c r="F1499" t="s">
        <v>6027</v>
      </c>
      <c r="G1499" t="s">
        <v>6031</v>
      </c>
      <c r="H1499" t="s">
        <v>6042</v>
      </c>
      <c r="I1499" t="s">
        <v>6048</v>
      </c>
      <c r="J1499" t="s">
        <v>6054</v>
      </c>
      <c r="K1499" t="s">
        <v>6059</v>
      </c>
      <c r="L1499" t="s">
        <v>7447</v>
      </c>
      <c r="M1499">
        <v>589.1</v>
      </c>
      <c r="N1499">
        <v>6</v>
      </c>
      <c r="O1499">
        <v>0.24</v>
      </c>
      <c r="P1499">
        <v>-70.45</v>
      </c>
      <c r="Q1499" t="s">
        <v>9897</v>
      </c>
      <c r="R1499">
        <v>3</v>
      </c>
      <c r="S1499" s="5">
        <f t="shared" si="46"/>
        <v>-0.11958920387031065</v>
      </c>
      <c r="T1499">
        <v>98.183333333333337</v>
      </c>
      <c r="U1499">
        <v>1</v>
      </c>
      <c r="V1499">
        <v>2022</v>
      </c>
      <c r="W1499">
        <v>1</v>
      </c>
      <c r="X1499" t="s">
        <v>9898</v>
      </c>
      <c r="Y1499" t="s">
        <v>9900</v>
      </c>
      <c r="Z1499" t="s">
        <v>9899</v>
      </c>
      <c r="AD1499">
        <f t="shared" si="47"/>
        <v>3</v>
      </c>
    </row>
    <row r="1500" spans="1:30" x14ac:dyDescent="0.25">
      <c r="A1500" t="s">
        <v>1524</v>
      </c>
      <c r="B1500" s="2">
        <v>44710</v>
      </c>
      <c r="C1500" s="2">
        <v>44713</v>
      </c>
      <c r="D1500" t="s">
        <v>5507</v>
      </c>
      <c r="E1500" t="s">
        <v>6007</v>
      </c>
      <c r="F1500" t="s">
        <v>6027</v>
      </c>
      <c r="G1500" t="s">
        <v>6031</v>
      </c>
      <c r="H1500" t="s">
        <v>6043</v>
      </c>
      <c r="I1500" t="s">
        <v>6050</v>
      </c>
      <c r="J1500" t="s">
        <v>6053</v>
      </c>
      <c r="K1500" t="s">
        <v>6056</v>
      </c>
      <c r="L1500" t="s">
        <v>7448</v>
      </c>
      <c r="M1500">
        <v>532.46</v>
      </c>
      <c r="N1500">
        <v>7</v>
      </c>
      <c r="O1500">
        <v>0.22</v>
      </c>
      <c r="P1500">
        <v>24.61</v>
      </c>
      <c r="Q1500" t="s">
        <v>9896</v>
      </c>
      <c r="R1500">
        <v>3</v>
      </c>
      <c r="S1500" s="5">
        <f t="shared" si="46"/>
        <v>4.6219434323705059E-2</v>
      </c>
      <c r="T1500">
        <v>76.065714285714293</v>
      </c>
      <c r="U1500">
        <v>5</v>
      </c>
      <c r="V1500">
        <v>2022</v>
      </c>
      <c r="W1500">
        <v>2</v>
      </c>
      <c r="X1500" t="s">
        <v>9899</v>
      </c>
      <c r="Y1500" t="s">
        <v>9900</v>
      </c>
      <c r="Z1500" t="s">
        <v>9899</v>
      </c>
      <c r="AD1500">
        <f t="shared" si="47"/>
        <v>3</v>
      </c>
    </row>
    <row r="1501" spans="1:30" x14ac:dyDescent="0.25">
      <c r="A1501" t="s">
        <v>1525</v>
      </c>
      <c r="B1501" s="2">
        <v>44676</v>
      </c>
      <c r="C1501" s="2">
        <v>44682</v>
      </c>
      <c r="D1501" t="s">
        <v>5199</v>
      </c>
      <c r="E1501" t="s">
        <v>5699</v>
      </c>
      <c r="F1501" t="s">
        <v>6027</v>
      </c>
      <c r="G1501" t="s">
        <v>6030</v>
      </c>
      <c r="H1501" t="s">
        <v>6033</v>
      </c>
      <c r="I1501" t="s">
        <v>6051</v>
      </c>
      <c r="J1501" t="s">
        <v>6054</v>
      </c>
      <c r="K1501" t="s">
        <v>6060</v>
      </c>
      <c r="L1501" t="s">
        <v>7449</v>
      </c>
      <c r="M1501">
        <v>328.65</v>
      </c>
      <c r="N1501">
        <v>8</v>
      </c>
      <c r="O1501">
        <v>0.08</v>
      </c>
      <c r="P1501">
        <v>29.93</v>
      </c>
      <c r="Q1501" t="s">
        <v>9894</v>
      </c>
      <c r="R1501">
        <v>6</v>
      </c>
      <c r="S1501" s="5">
        <f t="shared" si="46"/>
        <v>9.1069526852274457E-2</v>
      </c>
      <c r="T1501">
        <v>41.081249999999997</v>
      </c>
      <c r="U1501">
        <v>4</v>
      </c>
      <c r="V1501">
        <v>2022</v>
      </c>
      <c r="W1501">
        <v>2</v>
      </c>
      <c r="X1501" t="s">
        <v>9899</v>
      </c>
      <c r="Y1501" t="s">
        <v>9901</v>
      </c>
      <c r="Z1501" t="s">
        <v>9899</v>
      </c>
      <c r="AD1501">
        <f t="shared" si="47"/>
        <v>6</v>
      </c>
    </row>
    <row r="1502" spans="1:30" x14ac:dyDescent="0.25">
      <c r="A1502" t="s">
        <v>1526</v>
      </c>
      <c r="B1502" s="2">
        <v>45136</v>
      </c>
      <c r="C1502" s="2">
        <v>45138</v>
      </c>
      <c r="D1502" t="s">
        <v>5072</v>
      </c>
      <c r="E1502" t="s">
        <v>5572</v>
      </c>
      <c r="F1502" t="s">
        <v>6026</v>
      </c>
      <c r="G1502" t="s">
        <v>6031</v>
      </c>
      <c r="H1502" t="s">
        <v>6042</v>
      </c>
      <c r="I1502" t="s">
        <v>6050</v>
      </c>
      <c r="J1502" t="s">
        <v>6055</v>
      </c>
      <c r="K1502" t="s">
        <v>6061</v>
      </c>
      <c r="L1502" t="s">
        <v>7450</v>
      </c>
      <c r="M1502">
        <v>1167.5</v>
      </c>
      <c r="N1502">
        <v>2</v>
      </c>
      <c r="O1502">
        <v>0.19</v>
      </c>
      <c r="P1502">
        <v>100.31</v>
      </c>
      <c r="Q1502" t="s">
        <v>9895</v>
      </c>
      <c r="R1502">
        <v>2</v>
      </c>
      <c r="S1502" s="5">
        <f t="shared" si="46"/>
        <v>8.5918629550321202E-2</v>
      </c>
      <c r="T1502">
        <v>583.75</v>
      </c>
      <c r="U1502">
        <v>7</v>
      </c>
      <c r="V1502">
        <v>2023</v>
      </c>
      <c r="W1502">
        <v>3</v>
      </c>
      <c r="X1502" t="s">
        <v>9899</v>
      </c>
      <c r="Y1502" t="s">
        <v>9900</v>
      </c>
      <c r="Z1502" t="s">
        <v>9898</v>
      </c>
      <c r="AD1502">
        <f t="shared" si="47"/>
        <v>2</v>
      </c>
    </row>
    <row r="1503" spans="1:30" x14ac:dyDescent="0.25">
      <c r="A1503" t="s">
        <v>1527</v>
      </c>
      <c r="B1503" s="2">
        <v>44879</v>
      </c>
      <c r="C1503" s="2">
        <v>44882</v>
      </c>
      <c r="D1503" t="s">
        <v>5441</v>
      </c>
      <c r="E1503" t="s">
        <v>5941</v>
      </c>
      <c r="F1503" t="s">
        <v>6028</v>
      </c>
      <c r="G1503" t="s">
        <v>6029</v>
      </c>
      <c r="H1503" t="s">
        <v>6041</v>
      </c>
      <c r="I1503" t="s">
        <v>6046</v>
      </c>
      <c r="J1503" t="s">
        <v>6054</v>
      </c>
      <c r="K1503" t="s">
        <v>6060</v>
      </c>
      <c r="L1503" t="s">
        <v>7451</v>
      </c>
      <c r="M1503">
        <v>829.41</v>
      </c>
      <c r="N1503">
        <v>3</v>
      </c>
      <c r="O1503">
        <v>0.15</v>
      </c>
      <c r="P1503">
        <v>-25.15</v>
      </c>
      <c r="Q1503" t="s">
        <v>9896</v>
      </c>
      <c r="R1503">
        <v>3</v>
      </c>
      <c r="S1503" s="5">
        <f t="shared" si="46"/>
        <v>-3.0322759551970679E-2</v>
      </c>
      <c r="T1503">
        <v>276.47000000000003</v>
      </c>
      <c r="U1503">
        <v>11</v>
      </c>
      <c r="V1503">
        <v>2022</v>
      </c>
      <c r="W1503">
        <v>4</v>
      </c>
      <c r="X1503" t="s">
        <v>9898</v>
      </c>
      <c r="Y1503" t="s">
        <v>9901</v>
      </c>
      <c r="Z1503" t="s">
        <v>9899</v>
      </c>
      <c r="AD1503">
        <f t="shared" si="47"/>
        <v>3</v>
      </c>
    </row>
    <row r="1504" spans="1:30" x14ac:dyDescent="0.25">
      <c r="A1504" t="s">
        <v>1528</v>
      </c>
      <c r="B1504" s="2">
        <v>45413</v>
      </c>
      <c r="C1504" s="2">
        <v>45415</v>
      </c>
      <c r="D1504" t="s">
        <v>5181</v>
      </c>
      <c r="E1504" t="s">
        <v>5681</v>
      </c>
      <c r="F1504" t="s">
        <v>6027</v>
      </c>
      <c r="G1504" t="s">
        <v>6031</v>
      </c>
      <c r="H1504" t="s">
        <v>6034</v>
      </c>
      <c r="I1504" t="s">
        <v>6050</v>
      </c>
      <c r="J1504" t="s">
        <v>6053</v>
      </c>
      <c r="K1504" t="s">
        <v>6058</v>
      </c>
      <c r="L1504" t="s">
        <v>7452</v>
      </c>
      <c r="M1504">
        <v>541.59</v>
      </c>
      <c r="N1504">
        <v>3</v>
      </c>
      <c r="O1504">
        <v>0.12</v>
      </c>
      <c r="P1504">
        <v>47.64</v>
      </c>
      <c r="Q1504" t="s">
        <v>9896</v>
      </c>
      <c r="R1504">
        <v>2</v>
      </c>
      <c r="S1504" s="5">
        <f t="shared" si="46"/>
        <v>8.7963219409516416E-2</v>
      </c>
      <c r="T1504">
        <v>180.53</v>
      </c>
      <c r="U1504">
        <v>5</v>
      </c>
      <c r="V1504">
        <v>2024</v>
      </c>
      <c r="W1504">
        <v>2</v>
      </c>
      <c r="X1504" t="s">
        <v>9899</v>
      </c>
      <c r="Y1504" t="s">
        <v>9901</v>
      </c>
      <c r="Z1504" t="s">
        <v>9899</v>
      </c>
      <c r="AD1504">
        <f t="shared" si="47"/>
        <v>2</v>
      </c>
    </row>
    <row r="1505" spans="1:30" x14ac:dyDescent="0.25">
      <c r="A1505" t="s">
        <v>1529</v>
      </c>
      <c r="B1505" s="2">
        <v>44619</v>
      </c>
      <c r="C1505" s="2">
        <v>44626</v>
      </c>
      <c r="D1505" t="s">
        <v>5263</v>
      </c>
      <c r="E1505" t="s">
        <v>5763</v>
      </c>
      <c r="F1505" t="s">
        <v>6028</v>
      </c>
      <c r="G1505" t="s">
        <v>6031</v>
      </c>
      <c r="H1505" t="s">
        <v>6042</v>
      </c>
      <c r="I1505" t="s">
        <v>6052</v>
      </c>
      <c r="J1505" t="s">
        <v>6055</v>
      </c>
      <c r="K1505" t="s">
        <v>6061</v>
      </c>
      <c r="L1505" t="s">
        <v>7453</v>
      </c>
      <c r="M1505">
        <v>770.61</v>
      </c>
      <c r="N1505">
        <v>3</v>
      </c>
      <c r="O1505">
        <v>0.25</v>
      </c>
      <c r="P1505">
        <v>-114.49</v>
      </c>
      <c r="Q1505" t="s">
        <v>9895</v>
      </c>
      <c r="R1505">
        <v>7</v>
      </c>
      <c r="S1505" s="5">
        <f t="shared" si="46"/>
        <v>-0.14857061289108628</v>
      </c>
      <c r="T1505">
        <v>256.87</v>
      </c>
      <c r="U1505">
        <v>2</v>
      </c>
      <c r="V1505">
        <v>2022</v>
      </c>
      <c r="W1505">
        <v>1</v>
      </c>
      <c r="X1505" t="s">
        <v>9898</v>
      </c>
      <c r="Y1505" t="s">
        <v>9900</v>
      </c>
      <c r="Z1505" t="s">
        <v>9899</v>
      </c>
      <c r="AD1505">
        <f t="shared" si="47"/>
        <v>7</v>
      </c>
    </row>
    <row r="1506" spans="1:30" x14ac:dyDescent="0.25">
      <c r="A1506" t="s">
        <v>1530</v>
      </c>
      <c r="B1506" s="2">
        <v>45025</v>
      </c>
      <c r="C1506" s="2">
        <v>45029</v>
      </c>
      <c r="D1506" t="s">
        <v>5508</v>
      </c>
      <c r="E1506" t="s">
        <v>6008</v>
      </c>
      <c r="F1506" t="s">
        <v>6026</v>
      </c>
      <c r="G1506" t="s">
        <v>6031</v>
      </c>
      <c r="H1506" t="s">
        <v>6042</v>
      </c>
      <c r="I1506" t="s">
        <v>6052</v>
      </c>
      <c r="J1506" t="s">
        <v>6054</v>
      </c>
      <c r="K1506" t="s">
        <v>6062</v>
      </c>
      <c r="L1506" t="s">
        <v>7335</v>
      </c>
      <c r="M1506">
        <v>118.85</v>
      </c>
      <c r="N1506">
        <v>7</v>
      </c>
      <c r="O1506">
        <v>0.21</v>
      </c>
      <c r="P1506">
        <v>10.119999999999999</v>
      </c>
      <c r="Q1506" t="s">
        <v>9894</v>
      </c>
      <c r="R1506">
        <v>4</v>
      </c>
      <c r="S1506" s="5">
        <f t="shared" si="46"/>
        <v>8.5149347917543125E-2</v>
      </c>
      <c r="T1506">
        <v>16.978571428571431</v>
      </c>
      <c r="U1506">
        <v>4</v>
      </c>
      <c r="V1506">
        <v>2023</v>
      </c>
      <c r="W1506">
        <v>2</v>
      </c>
      <c r="X1506" t="s">
        <v>9899</v>
      </c>
      <c r="Y1506" t="s">
        <v>9900</v>
      </c>
      <c r="Z1506" t="s">
        <v>9899</v>
      </c>
      <c r="AD1506">
        <f t="shared" si="47"/>
        <v>4</v>
      </c>
    </row>
    <row r="1507" spans="1:30" x14ac:dyDescent="0.25">
      <c r="A1507" t="s">
        <v>1531</v>
      </c>
      <c r="B1507" s="2">
        <v>45437</v>
      </c>
      <c r="C1507" s="2">
        <v>45440</v>
      </c>
      <c r="D1507" t="s">
        <v>5497</v>
      </c>
      <c r="E1507" t="s">
        <v>5997</v>
      </c>
      <c r="F1507" t="s">
        <v>6028</v>
      </c>
      <c r="G1507" t="s">
        <v>6031</v>
      </c>
      <c r="H1507" t="s">
        <v>6034</v>
      </c>
      <c r="I1507" t="s">
        <v>6050</v>
      </c>
      <c r="J1507" t="s">
        <v>6055</v>
      </c>
      <c r="K1507" t="s">
        <v>6061</v>
      </c>
      <c r="L1507" t="s">
        <v>7454</v>
      </c>
      <c r="M1507">
        <v>1516.18</v>
      </c>
      <c r="N1507">
        <v>8</v>
      </c>
      <c r="O1507">
        <v>0.14000000000000001</v>
      </c>
      <c r="P1507">
        <v>101.46</v>
      </c>
      <c r="Q1507" t="s">
        <v>9895</v>
      </c>
      <c r="R1507">
        <v>3</v>
      </c>
      <c r="S1507" s="5">
        <f t="shared" si="46"/>
        <v>6.6918175942170449E-2</v>
      </c>
      <c r="T1507">
        <v>189.52250000000001</v>
      </c>
      <c r="U1507">
        <v>5</v>
      </c>
      <c r="V1507">
        <v>2024</v>
      </c>
      <c r="W1507">
        <v>2</v>
      </c>
      <c r="X1507" t="s">
        <v>9899</v>
      </c>
      <c r="Y1507" t="s">
        <v>9901</v>
      </c>
      <c r="Z1507" t="s">
        <v>9898</v>
      </c>
      <c r="AD1507">
        <f t="shared" si="47"/>
        <v>3</v>
      </c>
    </row>
    <row r="1508" spans="1:30" x14ac:dyDescent="0.25">
      <c r="A1508" t="s">
        <v>1532</v>
      </c>
      <c r="B1508" s="2">
        <v>45319</v>
      </c>
      <c r="C1508" s="2">
        <v>45326</v>
      </c>
      <c r="D1508" t="s">
        <v>5391</v>
      </c>
      <c r="E1508" t="s">
        <v>5891</v>
      </c>
      <c r="F1508" t="s">
        <v>6027</v>
      </c>
      <c r="G1508" t="s">
        <v>6029</v>
      </c>
      <c r="H1508" t="s">
        <v>6032</v>
      </c>
      <c r="I1508" t="s">
        <v>6046</v>
      </c>
      <c r="J1508" t="s">
        <v>6053</v>
      </c>
      <c r="K1508" t="s">
        <v>6058</v>
      </c>
      <c r="L1508" t="s">
        <v>7455</v>
      </c>
      <c r="M1508">
        <v>330.25</v>
      </c>
      <c r="N1508">
        <v>4</v>
      </c>
      <c r="O1508">
        <v>0.21</v>
      </c>
      <c r="P1508">
        <v>-36.270000000000003</v>
      </c>
      <c r="Q1508" t="s">
        <v>9896</v>
      </c>
      <c r="R1508">
        <v>7</v>
      </c>
      <c r="S1508" s="5">
        <f t="shared" si="46"/>
        <v>-0.10982588947766844</v>
      </c>
      <c r="T1508">
        <v>82.5625</v>
      </c>
      <c r="U1508">
        <v>1</v>
      </c>
      <c r="V1508">
        <v>2024</v>
      </c>
      <c r="W1508">
        <v>1</v>
      </c>
      <c r="X1508" t="s">
        <v>9898</v>
      </c>
      <c r="Y1508" t="s">
        <v>9900</v>
      </c>
      <c r="Z1508" t="s">
        <v>9899</v>
      </c>
      <c r="AD1508">
        <f t="shared" si="47"/>
        <v>7</v>
      </c>
    </row>
    <row r="1509" spans="1:30" x14ac:dyDescent="0.25">
      <c r="A1509" t="s">
        <v>1533</v>
      </c>
      <c r="B1509" s="2">
        <v>44781</v>
      </c>
      <c r="C1509" s="2">
        <v>44787</v>
      </c>
      <c r="D1509" t="s">
        <v>5123</v>
      </c>
      <c r="E1509" t="s">
        <v>5623</v>
      </c>
      <c r="F1509" t="s">
        <v>6026</v>
      </c>
      <c r="G1509" t="s">
        <v>6031</v>
      </c>
      <c r="H1509" t="s">
        <v>6037</v>
      </c>
      <c r="I1509" t="s">
        <v>6050</v>
      </c>
      <c r="J1509" t="s">
        <v>6053</v>
      </c>
      <c r="K1509" t="s">
        <v>6057</v>
      </c>
      <c r="L1509" t="s">
        <v>7456</v>
      </c>
      <c r="M1509">
        <v>1325.64</v>
      </c>
      <c r="N1509">
        <v>5</v>
      </c>
      <c r="O1509">
        <v>0.1</v>
      </c>
      <c r="P1509">
        <v>242.94</v>
      </c>
      <c r="Q1509" t="s">
        <v>9893</v>
      </c>
      <c r="R1509">
        <v>6</v>
      </c>
      <c r="S1509" s="5">
        <f t="shared" si="46"/>
        <v>0.18326242418756222</v>
      </c>
      <c r="T1509">
        <v>265.12799999999999</v>
      </c>
      <c r="U1509">
        <v>8</v>
      </c>
      <c r="V1509">
        <v>2022</v>
      </c>
      <c r="W1509">
        <v>3</v>
      </c>
      <c r="X1509" t="s">
        <v>9899</v>
      </c>
      <c r="Y1509" t="s">
        <v>9901</v>
      </c>
      <c r="Z1509" t="s">
        <v>9898</v>
      </c>
      <c r="AD1509">
        <f t="shared" si="47"/>
        <v>6</v>
      </c>
    </row>
    <row r="1510" spans="1:30" x14ac:dyDescent="0.25">
      <c r="A1510" t="s">
        <v>1534</v>
      </c>
      <c r="B1510" s="2">
        <v>44789</v>
      </c>
      <c r="C1510" s="2">
        <v>44796</v>
      </c>
      <c r="D1510" t="s">
        <v>5186</v>
      </c>
      <c r="E1510" t="s">
        <v>5686</v>
      </c>
      <c r="F1510" t="s">
        <v>6028</v>
      </c>
      <c r="G1510" t="s">
        <v>6030</v>
      </c>
      <c r="H1510" t="s">
        <v>6039</v>
      </c>
      <c r="I1510" t="s">
        <v>6047</v>
      </c>
      <c r="J1510" t="s">
        <v>6055</v>
      </c>
      <c r="K1510" t="s">
        <v>6061</v>
      </c>
      <c r="L1510" t="s">
        <v>7457</v>
      </c>
      <c r="M1510">
        <v>300.12</v>
      </c>
      <c r="N1510">
        <v>6</v>
      </c>
      <c r="O1510">
        <v>0.18</v>
      </c>
      <c r="P1510">
        <v>9.8699999999999992</v>
      </c>
      <c r="Q1510" t="s">
        <v>9894</v>
      </c>
      <c r="R1510">
        <v>7</v>
      </c>
      <c r="S1510" s="5">
        <f t="shared" si="46"/>
        <v>3.2886845261895239E-2</v>
      </c>
      <c r="T1510">
        <v>50.02</v>
      </c>
      <c r="U1510">
        <v>8</v>
      </c>
      <c r="V1510">
        <v>2022</v>
      </c>
      <c r="W1510">
        <v>3</v>
      </c>
      <c r="X1510" t="s">
        <v>9899</v>
      </c>
      <c r="Y1510" t="s">
        <v>9900</v>
      </c>
      <c r="Z1510" t="s">
        <v>9899</v>
      </c>
      <c r="AD1510">
        <f t="shared" si="47"/>
        <v>7</v>
      </c>
    </row>
    <row r="1511" spans="1:30" x14ac:dyDescent="0.25">
      <c r="A1511" t="s">
        <v>1535</v>
      </c>
      <c r="B1511" s="2">
        <v>45358</v>
      </c>
      <c r="C1511" s="2">
        <v>45365</v>
      </c>
      <c r="D1511" t="s">
        <v>5298</v>
      </c>
      <c r="E1511" t="s">
        <v>5798</v>
      </c>
      <c r="F1511" t="s">
        <v>6027</v>
      </c>
      <c r="G1511" t="s">
        <v>6030</v>
      </c>
      <c r="H1511" t="s">
        <v>6035</v>
      </c>
      <c r="I1511" t="s">
        <v>6047</v>
      </c>
      <c r="J1511" t="s">
        <v>6055</v>
      </c>
      <c r="K1511" t="s">
        <v>6064</v>
      </c>
      <c r="L1511" t="s">
        <v>7458</v>
      </c>
      <c r="M1511">
        <v>1440.66</v>
      </c>
      <c r="N1511">
        <v>3</v>
      </c>
      <c r="O1511">
        <v>0.02</v>
      </c>
      <c r="P1511">
        <v>402.11</v>
      </c>
      <c r="Q1511" t="s">
        <v>9893</v>
      </c>
      <c r="R1511">
        <v>7</v>
      </c>
      <c r="S1511" s="5">
        <f t="shared" si="46"/>
        <v>0.27911512778865244</v>
      </c>
      <c r="T1511">
        <v>480.22</v>
      </c>
      <c r="U1511">
        <v>3</v>
      </c>
      <c r="V1511">
        <v>2024</v>
      </c>
      <c r="W1511">
        <v>1</v>
      </c>
      <c r="X1511" t="s">
        <v>9899</v>
      </c>
      <c r="Y1511" t="s">
        <v>9901</v>
      </c>
      <c r="Z1511" t="s">
        <v>9898</v>
      </c>
      <c r="AD1511">
        <f t="shared" si="47"/>
        <v>7</v>
      </c>
    </row>
    <row r="1512" spans="1:30" x14ac:dyDescent="0.25">
      <c r="A1512" t="s">
        <v>1536</v>
      </c>
      <c r="B1512" s="2">
        <v>44944</v>
      </c>
      <c r="C1512" s="2">
        <v>44948</v>
      </c>
      <c r="D1512" t="s">
        <v>5436</v>
      </c>
      <c r="E1512" t="s">
        <v>5936</v>
      </c>
      <c r="F1512" t="s">
        <v>6026</v>
      </c>
      <c r="G1512" t="s">
        <v>6030</v>
      </c>
      <c r="H1512" t="s">
        <v>6033</v>
      </c>
      <c r="I1512" t="s">
        <v>6047</v>
      </c>
      <c r="J1512" t="s">
        <v>6054</v>
      </c>
      <c r="K1512" t="s">
        <v>6059</v>
      </c>
      <c r="L1512" t="s">
        <v>7459</v>
      </c>
      <c r="M1512">
        <v>533.94000000000005</v>
      </c>
      <c r="N1512">
        <v>6</v>
      </c>
      <c r="O1512">
        <v>0.08</v>
      </c>
      <c r="P1512">
        <v>54.59</v>
      </c>
      <c r="Q1512" t="s">
        <v>9893</v>
      </c>
      <c r="R1512">
        <v>4</v>
      </c>
      <c r="S1512" s="5">
        <f t="shared" si="46"/>
        <v>0.10223995205453795</v>
      </c>
      <c r="T1512">
        <v>88.990000000000009</v>
      </c>
      <c r="U1512">
        <v>1</v>
      </c>
      <c r="V1512">
        <v>2023</v>
      </c>
      <c r="W1512">
        <v>1</v>
      </c>
      <c r="X1512" t="s">
        <v>9899</v>
      </c>
      <c r="Y1512" t="s">
        <v>9901</v>
      </c>
      <c r="Z1512" t="s">
        <v>9899</v>
      </c>
      <c r="AD1512">
        <f t="shared" si="47"/>
        <v>4</v>
      </c>
    </row>
    <row r="1513" spans="1:30" x14ac:dyDescent="0.25">
      <c r="A1513" t="s">
        <v>1537</v>
      </c>
      <c r="B1513" s="2">
        <v>45180</v>
      </c>
      <c r="C1513" s="2">
        <v>45181</v>
      </c>
      <c r="D1513" t="s">
        <v>5505</v>
      </c>
      <c r="E1513" t="s">
        <v>6005</v>
      </c>
      <c r="F1513" t="s">
        <v>6027</v>
      </c>
      <c r="G1513" t="s">
        <v>6031</v>
      </c>
      <c r="H1513" t="s">
        <v>6042</v>
      </c>
      <c r="I1513" t="s">
        <v>6052</v>
      </c>
      <c r="J1513" t="s">
        <v>6053</v>
      </c>
      <c r="K1513" t="s">
        <v>6057</v>
      </c>
      <c r="L1513" t="s">
        <v>7460</v>
      </c>
      <c r="M1513">
        <v>1786.16</v>
      </c>
      <c r="N1513">
        <v>8</v>
      </c>
      <c r="O1513">
        <v>0.27</v>
      </c>
      <c r="P1513">
        <v>-133.63999999999999</v>
      </c>
      <c r="Q1513" t="s">
        <v>9893</v>
      </c>
      <c r="R1513">
        <v>1</v>
      </c>
      <c r="S1513" s="5">
        <f t="shared" si="46"/>
        <v>-7.481972499664083E-2</v>
      </c>
      <c r="T1513">
        <v>223.27</v>
      </c>
      <c r="U1513">
        <v>9</v>
      </c>
      <c r="V1513">
        <v>2023</v>
      </c>
      <c r="W1513">
        <v>3</v>
      </c>
      <c r="X1513" t="s">
        <v>9898</v>
      </c>
      <c r="Y1513" t="s">
        <v>9900</v>
      </c>
      <c r="Z1513" t="s">
        <v>9898</v>
      </c>
      <c r="AD1513">
        <f t="shared" si="47"/>
        <v>1</v>
      </c>
    </row>
    <row r="1514" spans="1:30" x14ac:dyDescent="0.25">
      <c r="A1514" t="s">
        <v>1538</v>
      </c>
      <c r="B1514" s="2">
        <v>45429</v>
      </c>
      <c r="C1514" s="2">
        <v>45431</v>
      </c>
      <c r="D1514" t="s">
        <v>5206</v>
      </c>
      <c r="E1514" t="s">
        <v>5706</v>
      </c>
      <c r="F1514" t="s">
        <v>6026</v>
      </c>
      <c r="G1514" t="s">
        <v>6029</v>
      </c>
      <c r="H1514" t="s">
        <v>6044</v>
      </c>
      <c r="I1514" t="s">
        <v>6050</v>
      </c>
      <c r="J1514" t="s">
        <v>6053</v>
      </c>
      <c r="K1514" t="s">
        <v>6058</v>
      </c>
      <c r="L1514" t="s">
        <v>7461</v>
      </c>
      <c r="M1514">
        <v>1973.57</v>
      </c>
      <c r="N1514">
        <v>4</v>
      </c>
      <c r="O1514">
        <v>0.06</v>
      </c>
      <c r="P1514">
        <v>219.69</v>
      </c>
      <c r="Q1514" t="s">
        <v>9895</v>
      </c>
      <c r="R1514">
        <v>2</v>
      </c>
      <c r="S1514" s="5">
        <f t="shared" si="46"/>
        <v>0.11131604148826746</v>
      </c>
      <c r="T1514">
        <v>493.39249999999998</v>
      </c>
      <c r="U1514">
        <v>5</v>
      </c>
      <c r="V1514">
        <v>2024</v>
      </c>
      <c r="W1514">
        <v>2</v>
      </c>
      <c r="X1514" t="s">
        <v>9899</v>
      </c>
      <c r="Y1514" t="s">
        <v>9901</v>
      </c>
      <c r="Z1514" t="s">
        <v>9898</v>
      </c>
      <c r="AD1514">
        <f t="shared" si="47"/>
        <v>2</v>
      </c>
    </row>
    <row r="1515" spans="1:30" x14ac:dyDescent="0.25">
      <c r="A1515" t="s">
        <v>1539</v>
      </c>
      <c r="B1515" s="2">
        <v>44745</v>
      </c>
      <c r="C1515" s="2">
        <v>44749</v>
      </c>
      <c r="D1515" t="s">
        <v>5464</v>
      </c>
      <c r="E1515" t="s">
        <v>5964</v>
      </c>
      <c r="F1515" t="s">
        <v>6028</v>
      </c>
      <c r="G1515" t="s">
        <v>6031</v>
      </c>
      <c r="H1515" t="s">
        <v>6040</v>
      </c>
      <c r="I1515" t="s">
        <v>6048</v>
      </c>
      <c r="J1515" t="s">
        <v>6053</v>
      </c>
      <c r="K1515" t="s">
        <v>6058</v>
      </c>
      <c r="L1515" t="s">
        <v>7462</v>
      </c>
      <c r="M1515">
        <v>1442.34</v>
      </c>
      <c r="N1515">
        <v>8</v>
      </c>
      <c r="O1515">
        <v>0.13</v>
      </c>
      <c r="P1515">
        <v>138.04</v>
      </c>
      <c r="Q1515" t="s">
        <v>9895</v>
      </c>
      <c r="R1515">
        <v>4</v>
      </c>
      <c r="S1515" s="5">
        <f t="shared" si="46"/>
        <v>9.570558952812791E-2</v>
      </c>
      <c r="T1515">
        <v>180.29249999999999</v>
      </c>
      <c r="U1515">
        <v>7</v>
      </c>
      <c r="V1515">
        <v>2022</v>
      </c>
      <c r="W1515">
        <v>3</v>
      </c>
      <c r="X1515" t="s">
        <v>9899</v>
      </c>
      <c r="Y1515" t="s">
        <v>9901</v>
      </c>
      <c r="Z1515" t="s">
        <v>9898</v>
      </c>
      <c r="AD1515">
        <f t="shared" si="47"/>
        <v>4</v>
      </c>
    </row>
    <row r="1516" spans="1:30" x14ac:dyDescent="0.25">
      <c r="A1516" t="s">
        <v>1540</v>
      </c>
      <c r="B1516" s="2">
        <v>44603</v>
      </c>
      <c r="C1516" s="2">
        <v>44610</v>
      </c>
      <c r="D1516" t="s">
        <v>5143</v>
      </c>
      <c r="E1516" t="s">
        <v>5643</v>
      </c>
      <c r="F1516" t="s">
        <v>6028</v>
      </c>
      <c r="G1516" t="s">
        <v>6029</v>
      </c>
      <c r="H1516" t="s">
        <v>6045</v>
      </c>
      <c r="I1516" t="s">
        <v>6050</v>
      </c>
      <c r="J1516" t="s">
        <v>6055</v>
      </c>
      <c r="K1516" t="s">
        <v>6063</v>
      </c>
      <c r="L1516" t="s">
        <v>7463</v>
      </c>
      <c r="M1516">
        <v>328.69</v>
      </c>
      <c r="N1516">
        <v>1</v>
      </c>
      <c r="O1516">
        <v>0.26</v>
      </c>
      <c r="P1516">
        <v>-52.55</v>
      </c>
      <c r="Q1516" t="s">
        <v>9896</v>
      </c>
      <c r="R1516">
        <v>7</v>
      </c>
      <c r="S1516" s="5">
        <f t="shared" si="46"/>
        <v>-0.15987708783352095</v>
      </c>
      <c r="T1516">
        <v>328.69</v>
      </c>
      <c r="U1516">
        <v>2</v>
      </c>
      <c r="V1516">
        <v>2022</v>
      </c>
      <c r="W1516">
        <v>1</v>
      </c>
      <c r="X1516" t="s">
        <v>9898</v>
      </c>
      <c r="Y1516" t="s">
        <v>9900</v>
      </c>
      <c r="Z1516" t="s">
        <v>9899</v>
      </c>
      <c r="AD1516">
        <f t="shared" si="47"/>
        <v>7</v>
      </c>
    </row>
    <row r="1517" spans="1:30" x14ac:dyDescent="0.25">
      <c r="A1517" t="s">
        <v>1541</v>
      </c>
      <c r="B1517" s="2">
        <v>44844</v>
      </c>
      <c r="C1517" s="2">
        <v>44850</v>
      </c>
      <c r="D1517" t="s">
        <v>5364</v>
      </c>
      <c r="E1517" t="s">
        <v>5864</v>
      </c>
      <c r="F1517" t="s">
        <v>6026</v>
      </c>
      <c r="G1517" t="s">
        <v>6029</v>
      </c>
      <c r="H1517" t="s">
        <v>6044</v>
      </c>
      <c r="I1517" t="s">
        <v>6046</v>
      </c>
      <c r="J1517" t="s">
        <v>6054</v>
      </c>
      <c r="K1517" t="s">
        <v>6060</v>
      </c>
      <c r="L1517" t="s">
        <v>7464</v>
      </c>
      <c r="M1517">
        <v>140.43</v>
      </c>
      <c r="N1517">
        <v>1</v>
      </c>
      <c r="O1517">
        <v>0.21</v>
      </c>
      <c r="P1517">
        <v>-10.41</v>
      </c>
      <c r="Q1517" t="s">
        <v>9897</v>
      </c>
      <c r="R1517">
        <v>6</v>
      </c>
      <c r="S1517" s="5">
        <f t="shared" si="46"/>
        <v>-7.4129459517197183E-2</v>
      </c>
      <c r="T1517">
        <v>140.43</v>
      </c>
      <c r="U1517">
        <v>10</v>
      </c>
      <c r="V1517">
        <v>2022</v>
      </c>
      <c r="W1517">
        <v>4</v>
      </c>
      <c r="X1517" t="s">
        <v>9898</v>
      </c>
      <c r="Y1517" t="s">
        <v>9900</v>
      </c>
      <c r="Z1517" t="s">
        <v>9899</v>
      </c>
      <c r="AD1517">
        <f t="shared" si="47"/>
        <v>6</v>
      </c>
    </row>
    <row r="1518" spans="1:30" x14ac:dyDescent="0.25">
      <c r="A1518" t="s">
        <v>1542</v>
      </c>
      <c r="B1518" s="2">
        <v>45014</v>
      </c>
      <c r="C1518" s="2">
        <v>45018</v>
      </c>
      <c r="D1518" t="s">
        <v>5408</v>
      </c>
      <c r="E1518" t="s">
        <v>5908</v>
      </c>
      <c r="F1518" t="s">
        <v>6027</v>
      </c>
      <c r="G1518" t="s">
        <v>6031</v>
      </c>
      <c r="H1518" t="s">
        <v>6042</v>
      </c>
      <c r="I1518" t="s">
        <v>6048</v>
      </c>
      <c r="J1518" t="s">
        <v>6055</v>
      </c>
      <c r="K1518" t="s">
        <v>6063</v>
      </c>
      <c r="L1518" t="s">
        <v>7465</v>
      </c>
      <c r="M1518">
        <v>247.77</v>
      </c>
      <c r="N1518">
        <v>2</v>
      </c>
      <c r="O1518">
        <v>0.26</v>
      </c>
      <c r="P1518">
        <v>-14.38</v>
      </c>
      <c r="Q1518" t="s">
        <v>9893</v>
      </c>
      <c r="R1518">
        <v>4</v>
      </c>
      <c r="S1518" s="5">
        <f t="shared" si="46"/>
        <v>-5.8037696250554952E-2</v>
      </c>
      <c r="T1518">
        <v>123.88500000000001</v>
      </c>
      <c r="U1518">
        <v>3</v>
      </c>
      <c r="V1518">
        <v>2023</v>
      </c>
      <c r="W1518">
        <v>1</v>
      </c>
      <c r="X1518" t="s">
        <v>9898</v>
      </c>
      <c r="Y1518" t="s">
        <v>9900</v>
      </c>
      <c r="Z1518" t="s">
        <v>9899</v>
      </c>
      <c r="AD1518">
        <f t="shared" si="47"/>
        <v>4</v>
      </c>
    </row>
    <row r="1519" spans="1:30" x14ac:dyDescent="0.25">
      <c r="A1519" t="s">
        <v>1543</v>
      </c>
      <c r="B1519" s="2">
        <v>44611</v>
      </c>
      <c r="C1519" s="2">
        <v>44616</v>
      </c>
      <c r="D1519" t="s">
        <v>5058</v>
      </c>
      <c r="E1519" t="s">
        <v>5558</v>
      </c>
      <c r="F1519" t="s">
        <v>6027</v>
      </c>
      <c r="G1519" t="s">
        <v>6030</v>
      </c>
      <c r="H1519" t="s">
        <v>6038</v>
      </c>
      <c r="I1519" t="s">
        <v>6051</v>
      </c>
      <c r="J1519" t="s">
        <v>6055</v>
      </c>
      <c r="K1519" t="s">
        <v>6063</v>
      </c>
      <c r="L1519" t="s">
        <v>7079</v>
      </c>
      <c r="M1519">
        <v>1880.18</v>
      </c>
      <c r="N1519">
        <v>4</v>
      </c>
      <c r="O1519">
        <v>0.35</v>
      </c>
      <c r="P1519">
        <v>-392.95</v>
      </c>
      <c r="Q1519" t="s">
        <v>9895</v>
      </c>
      <c r="R1519">
        <v>5</v>
      </c>
      <c r="S1519" s="5">
        <f t="shared" si="46"/>
        <v>-0.20899594719654499</v>
      </c>
      <c r="T1519">
        <v>470.04500000000002</v>
      </c>
      <c r="U1519">
        <v>2</v>
      </c>
      <c r="V1519">
        <v>2022</v>
      </c>
      <c r="W1519">
        <v>1</v>
      </c>
      <c r="X1519" t="s">
        <v>9898</v>
      </c>
      <c r="Y1519" t="s">
        <v>9902</v>
      </c>
      <c r="Z1519" t="s">
        <v>9898</v>
      </c>
      <c r="AD1519">
        <f t="shared" si="47"/>
        <v>5</v>
      </c>
    </row>
    <row r="1520" spans="1:30" x14ac:dyDescent="0.25">
      <c r="A1520" t="s">
        <v>1544</v>
      </c>
      <c r="B1520" s="2">
        <v>44976</v>
      </c>
      <c r="C1520" s="2">
        <v>44983</v>
      </c>
      <c r="D1520" t="s">
        <v>5050</v>
      </c>
      <c r="E1520" t="s">
        <v>5550</v>
      </c>
      <c r="F1520" t="s">
        <v>6027</v>
      </c>
      <c r="G1520" t="s">
        <v>6030</v>
      </c>
      <c r="H1520" t="s">
        <v>6039</v>
      </c>
      <c r="I1520" t="s">
        <v>6051</v>
      </c>
      <c r="J1520" t="s">
        <v>6054</v>
      </c>
      <c r="K1520" t="s">
        <v>6059</v>
      </c>
      <c r="L1520" t="s">
        <v>6883</v>
      </c>
      <c r="M1520">
        <v>729.52</v>
      </c>
      <c r="N1520">
        <v>4</v>
      </c>
      <c r="O1520">
        <v>0.11</v>
      </c>
      <c r="P1520">
        <v>50.64</v>
      </c>
      <c r="Q1520" t="s">
        <v>9897</v>
      </c>
      <c r="R1520">
        <v>7</v>
      </c>
      <c r="S1520" s="5">
        <f t="shared" si="46"/>
        <v>6.9415506086193665E-2</v>
      </c>
      <c r="T1520">
        <v>182.38</v>
      </c>
      <c r="U1520">
        <v>2</v>
      </c>
      <c r="V1520">
        <v>2023</v>
      </c>
      <c r="W1520">
        <v>1</v>
      </c>
      <c r="X1520" t="s">
        <v>9899</v>
      </c>
      <c r="Y1520" t="s">
        <v>9901</v>
      </c>
      <c r="Z1520" t="s">
        <v>9899</v>
      </c>
      <c r="AD1520">
        <f t="shared" si="47"/>
        <v>7</v>
      </c>
    </row>
    <row r="1521" spans="1:30" x14ac:dyDescent="0.25">
      <c r="A1521" t="s">
        <v>1545</v>
      </c>
      <c r="B1521" s="2">
        <v>44754</v>
      </c>
      <c r="C1521" s="2">
        <v>44756</v>
      </c>
      <c r="D1521" t="s">
        <v>5267</v>
      </c>
      <c r="E1521" t="s">
        <v>5767</v>
      </c>
      <c r="F1521" t="s">
        <v>6027</v>
      </c>
      <c r="G1521" t="s">
        <v>6029</v>
      </c>
      <c r="H1521" t="s">
        <v>6041</v>
      </c>
      <c r="I1521" t="s">
        <v>6049</v>
      </c>
      <c r="J1521" t="s">
        <v>6055</v>
      </c>
      <c r="K1521" t="s">
        <v>6064</v>
      </c>
      <c r="L1521" t="s">
        <v>7466</v>
      </c>
      <c r="M1521">
        <v>1281.47</v>
      </c>
      <c r="N1521">
        <v>1</v>
      </c>
      <c r="O1521">
        <v>0.14000000000000001</v>
      </c>
      <c r="P1521">
        <v>-8.26</v>
      </c>
      <c r="Q1521" t="s">
        <v>9893</v>
      </c>
      <c r="R1521">
        <v>2</v>
      </c>
      <c r="S1521" s="5">
        <f t="shared" si="46"/>
        <v>-6.4457224905772274E-3</v>
      </c>
      <c r="T1521">
        <v>1281.47</v>
      </c>
      <c r="U1521">
        <v>7</v>
      </c>
      <c r="V1521">
        <v>2022</v>
      </c>
      <c r="W1521">
        <v>3</v>
      </c>
      <c r="X1521" t="s">
        <v>9898</v>
      </c>
      <c r="Y1521" t="s">
        <v>9901</v>
      </c>
      <c r="Z1521" t="s">
        <v>9898</v>
      </c>
      <c r="AD1521">
        <f t="shared" si="47"/>
        <v>2</v>
      </c>
    </row>
    <row r="1522" spans="1:30" x14ac:dyDescent="0.25">
      <c r="A1522" t="s">
        <v>1546</v>
      </c>
      <c r="B1522" s="2">
        <v>44692</v>
      </c>
      <c r="C1522" s="2">
        <v>44697</v>
      </c>
      <c r="D1522" t="s">
        <v>5040</v>
      </c>
      <c r="E1522" t="s">
        <v>5540</v>
      </c>
      <c r="F1522" t="s">
        <v>6026</v>
      </c>
      <c r="G1522" t="s">
        <v>6030</v>
      </c>
      <c r="H1522" t="s">
        <v>6035</v>
      </c>
      <c r="I1522" t="s">
        <v>6047</v>
      </c>
      <c r="J1522" t="s">
        <v>6055</v>
      </c>
      <c r="K1522" t="s">
        <v>6061</v>
      </c>
      <c r="L1522" t="s">
        <v>7467</v>
      </c>
      <c r="M1522">
        <v>1037.1199999999999</v>
      </c>
      <c r="N1522">
        <v>5</v>
      </c>
      <c r="O1522">
        <v>0.12</v>
      </c>
      <c r="P1522">
        <v>127.1</v>
      </c>
      <c r="Q1522" t="s">
        <v>9897</v>
      </c>
      <c r="R1522">
        <v>5</v>
      </c>
      <c r="S1522" s="5">
        <f t="shared" si="46"/>
        <v>0.12255091021289727</v>
      </c>
      <c r="T1522">
        <v>207.42400000000001</v>
      </c>
      <c r="U1522">
        <v>5</v>
      </c>
      <c r="V1522">
        <v>2022</v>
      </c>
      <c r="W1522">
        <v>2</v>
      </c>
      <c r="X1522" t="s">
        <v>9899</v>
      </c>
      <c r="Y1522" t="s">
        <v>9901</v>
      </c>
      <c r="Z1522" t="s">
        <v>9898</v>
      </c>
      <c r="AD1522">
        <f t="shared" si="47"/>
        <v>5</v>
      </c>
    </row>
    <row r="1523" spans="1:30" x14ac:dyDescent="0.25">
      <c r="A1523" t="s">
        <v>1547</v>
      </c>
      <c r="B1523" s="2">
        <v>45089</v>
      </c>
      <c r="C1523" s="2">
        <v>45093</v>
      </c>
      <c r="D1523" t="s">
        <v>5505</v>
      </c>
      <c r="E1523" t="s">
        <v>6005</v>
      </c>
      <c r="F1523" t="s">
        <v>6027</v>
      </c>
      <c r="G1523" t="s">
        <v>6031</v>
      </c>
      <c r="H1523" t="s">
        <v>6040</v>
      </c>
      <c r="I1523" t="s">
        <v>6052</v>
      </c>
      <c r="J1523" t="s">
        <v>6053</v>
      </c>
      <c r="K1523" t="s">
        <v>6058</v>
      </c>
      <c r="L1523" t="s">
        <v>7468</v>
      </c>
      <c r="M1523">
        <v>317.3</v>
      </c>
      <c r="N1523">
        <v>6</v>
      </c>
      <c r="O1523">
        <v>0.16</v>
      </c>
      <c r="P1523">
        <v>-8.56</v>
      </c>
      <c r="Q1523" t="s">
        <v>9896</v>
      </c>
      <c r="R1523">
        <v>4</v>
      </c>
      <c r="S1523" s="5">
        <f t="shared" si="46"/>
        <v>-2.6977623699968485E-2</v>
      </c>
      <c r="T1523">
        <v>52.883333333333333</v>
      </c>
      <c r="U1523">
        <v>6</v>
      </c>
      <c r="V1523">
        <v>2023</v>
      </c>
      <c r="W1523">
        <v>2</v>
      </c>
      <c r="X1523" t="s">
        <v>9898</v>
      </c>
      <c r="Y1523" t="s">
        <v>9900</v>
      </c>
      <c r="Z1523" t="s">
        <v>9899</v>
      </c>
      <c r="AD1523">
        <f t="shared" si="47"/>
        <v>4</v>
      </c>
    </row>
    <row r="1524" spans="1:30" x14ac:dyDescent="0.25">
      <c r="A1524" t="s">
        <v>1548</v>
      </c>
      <c r="B1524" s="2">
        <v>45112</v>
      </c>
      <c r="C1524" s="2">
        <v>45117</v>
      </c>
      <c r="D1524" t="s">
        <v>5244</v>
      </c>
      <c r="E1524" t="s">
        <v>5744</v>
      </c>
      <c r="F1524" t="s">
        <v>6027</v>
      </c>
      <c r="G1524" t="s">
        <v>6031</v>
      </c>
      <c r="H1524" t="s">
        <v>6043</v>
      </c>
      <c r="I1524" t="s">
        <v>6052</v>
      </c>
      <c r="J1524" t="s">
        <v>6055</v>
      </c>
      <c r="K1524" t="s">
        <v>6064</v>
      </c>
      <c r="L1524" t="s">
        <v>7469</v>
      </c>
      <c r="M1524">
        <v>1007.4</v>
      </c>
      <c r="N1524">
        <v>5</v>
      </c>
      <c r="O1524">
        <v>0.01</v>
      </c>
      <c r="P1524">
        <v>157.06</v>
      </c>
      <c r="Q1524" t="s">
        <v>9893</v>
      </c>
      <c r="R1524">
        <v>5</v>
      </c>
      <c r="S1524" s="5">
        <f t="shared" si="46"/>
        <v>0.15590629342862816</v>
      </c>
      <c r="T1524">
        <v>201.48</v>
      </c>
      <c r="U1524">
        <v>7</v>
      </c>
      <c r="V1524">
        <v>2023</v>
      </c>
      <c r="W1524">
        <v>3</v>
      </c>
      <c r="X1524" t="s">
        <v>9899</v>
      </c>
      <c r="Y1524" t="s">
        <v>9901</v>
      </c>
      <c r="Z1524" t="s">
        <v>9898</v>
      </c>
      <c r="AD1524">
        <f t="shared" si="47"/>
        <v>5</v>
      </c>
    </row>
    <row r="1525" spans="1:30" x14ac:dyDescent="0.25">
      <c r="A1525" t="s">
        <v>1549</v>
      </c>
      <c r="B1525" s="2">
        <v>44641</v>
      </c>
      <c r="C1525" s="2">
        <v>44644</v>
      </c>
      <c r="D1525" t="s">
        <v>5374</v>
      </c>
      <c r="E1525" t="s">
        <v>5874</v>
      </c>
      <c r="F1525" t="s">
        <v>6026</v>
      </c>
      <c r="G1525" t="s">
        <v>6030</v>
      </c>
      <c r="H1525" t="s">
        <v>6035</v>
      </c>
      <c r="I1525" t="s">
        <v>6051</v>
      </c>
      <c r="J1525" t="s">
        <v>6053</v>
      </c>
      <c r="K1525" t="s">
        <v>6057</v>
      </c>
      <c r="L1525" t="s">
        <v>7470</v>
      </c>
      <c r="M1525">
        <v>1697.55</v>
      </c>
      <c r="N1525">
        <v>1</v>
      </c>
      <c r="O1525">
        <v>0.03</v>
      </c>
      <c r="P1525">
        <v>181.04</v>
      </c>
      <c r="Q1525" t="s">
        <v>9897</v>
      </c>
      <c r="R1525">
        <v>3</v>
      </c>
      <c r="S1525" s="5">
        <f t="shared" si="46"/>
        <v>0.10664781597007451</v>
      </c>
      <c r="T1525">
        <v>1697.55</v>
      </c>
      <c r="U1525">
        <v>3</v>
      </c>
      <c r="V1525">
        <v>2022</v>
      </c>
      <c r="W1525">
        <v>1</v>
      </c>
      <c r="X1525" t="s">
        <v>9899</v>
      </c>
      <c r="Y1525" t="s">
        <v>9901</v>
      </c>
      <c r="Z1525" t="s">
        <v>9898</v>
      </c>
      <c r="AD1525">
        <f t="shared" si="47"/>
        <v>3</v>
      </c>
    </row>
    <row r="1526" spans="1:30" x14ac:dyDescent="0.25">
      <c r="A1526" t="s">
        <v>1550</v>
      </c>
      <c r="B1526" s="2">
        <v>44570</v>
      </c>
      <c r="C1526" s="2">
        <v>44575</v>
      </c>
      <c r="D1526" t="s">
        <v>5054</v>
      </c>
      <c r="E1526" t="s">
        <v>5554</v>
      </c>
      <c r="F1526" t="s">
        <v>6028</v>
      </c>
      <c r="G1526" t="s">
        <v>6030</v>
      </c>
      <c r="H1526" t="s">
        <v>6035</v>
      </c>
      <c r="I1526" t="s">
        <v>6047</v>
      </c>
      <c r="J1526" t="s">
        <v>6053</v>
      </c>
      <c r="K1526" t="s">
        <v>6056</v>
      </c>
      <c r="L1526" t="s">
        <v>7471</v>
      </c>
      <c r="M1526">
        <v>1213.1199999999999</v>
      </c>
      <c r="N1526">
        <v>1</v>
      </c>
      <c r="O1526">
        <v>0.04</v>
      </c>
      <c r="P1526">
        <v>108.08</v>
      </c>
      <c r="Q1526" t="s">
        <v>9896</v>
      </c>
      <c r="R1526">
        <v>5</v>
      </c>
      <c r="S1526" s="5">
        <f t="shared" si="46"/>
        <v>8.9092587707728835E-2</v>
      </c>
      <c r="T1526">
        <v>1213.1199999999999</v>
      </c>
      <c r="U1526">
        <v>1</v>
      </c>
      <c r="V1526">
        <v>2022</v>
      </c>
      <c r="W1526">
        <v>1</v>
      </c>
      <c r="X1526" t="s">
        <v>9899</v>
      </c>
      <c r="Y1526" t="s">
        <v>9901</v>
      </c>
      <c r="Z1526" t="s">
        <v>9898</v>
      </c>
      <c r="AD1526">
        <f t="shared" si="47"/>
        <v>5</v>
      </c>
    </row>
    <row r="1527" spans="1:30" x14ac:dyDescent="0.25">
      <c r="A1527" t="s">
        <v>1551</v>
      </c>
      <c r="B1527" s="2">
        <v>45352</v>
      </c>
      <c r="C1527" s="2">
        <v>45359</v>
      </c>
      <c r="D1527" t="s">
        <v>5070</v>
      </c>
      <c r="E1527" t="s">
        <v>5570</v>
      </c>
      <c r="F1527" t="s">
        <v>6026</v>
      </c>
      <c r="G1527" t="s">
        <v>6031</v>
      </c>
      <c r="H1527" t="s">
        <v>6037</v>
      </c>
      <c r="I1527" t="s">
        <v>6048</v>
      </c>
      <c r="J1527" t="s">
        <v>6055</v>
      </c>
      <c r="K1527" t="s">
        <v>6064</v>
      </c>
      <c r="L1527" t="s">
        <v>7472</v>
      </c>
      <c r="M1527">
        <v>1426.12</v>
      </c>
      <c r="N1527">
        <v>3</v>
      </c>
      <c r="O1527">
        <v>0.27</v>
      </c>
      <c r="P1527">
        <v>2.08</v>
      </c>
      <c r="Q1527" t="s">
        <v>9895</v>
      </c>
      <c r="R1527">
        <v>7</v>
      </c>
      <c r="S1527" s="5">
        <f t="shared" si="46"/>
        <v>1.4585027907889942E-3</v>
      </c>
      <c r="T1527">
        <v>475.37333333333328</v>
      </c>
      <c r="U1527">
        <v>3</v>
      </c>
      <c r="V1527">
        <v>2024</v>
      </c>
      <c r="W1527">
        <v>1</v>
      </c>
      <c r="X1527" t="s">
        <v>9899</v>
      </c>
      <c r="Y1527" t="s">
        <v>9900</v>
      </c>
      <c r="Z1527" t="s">
        <v>9898</v>
      </c>
      <c r="AD1527">
        <f t="shared" si="47"/>
        <v>7</v>
      </c>
    </row>
    <row r="1528" spans="1:30" x14ac:dyDescent="0.25">
      <c r="A1528" t="s">
        <v>1552</v>
      </c>
      <c r="B1528" s="2">
        <v>45156</v>
      </c>
      <c r="C1528" s="2">
        <v>45161</v>
      </c>
      <c r="D1528" t="s">
        <v>5382</v>
      </c>
      <c r="E1528" t="s">
        <v>5882</v>
      </c>
      <c r="F1528" t="s">
        <v>6027</v>
      </c>
      <c r="G1528" t="s">
        <v>6030</v>
      </c>
      <c r="H1528" t="s">
        <v>6033</v>
      </c>
      <c r="I1528" t="s">
        <v>6047</v>
      </c>
      <c r="J1528" t="s">
        <v>6055</v>
      </c>
      <c r="K1528" t="s">
        <v>6064</v>
      </c>
      <c r="L1528" t="s">
        <v>7473</v>
      </c>
      <c r="M1528">
        <v>1778.49</v>
      </c>
      <c r="N1528">
        <v>2</v>
      </c>
      <c r="O1528">
        <v>0.21</v>
      </c>
      <c r="P1528">
        <v>108.71</v>
      </c>
      <c r="Q1528" t="s">
        <v>9894</v>
      </c>
      <c r="R1528">
        <v>5</v>
      </c>
      <c r="S1528" s="5">
        <f t="shared" si="46"/>
        <v>6.1124886842208834E-2</v>
      </c>
      <c r="T1528">
        <v>889.245</v>
      </c>
      <c r="U1528">
        <v>8</v>
      </c>
      <c r="V1528">
        <v>2023</v>
      </c>
      <c r="W1528">
        <v>3</v>
      </c>
      <c r="X1528" t="s">
        <v>9899</v>
      </c>
      <c r="Y1528" t="s">
        <v>9900</v>
      </c>
      <c r="Z1528" t="s">
        <v>9898</v>
      </c>
      <c r="AD1528">
        <f t="shared" si="47"/>
        <v>5</v>
      </c>
    </row>
    <row r="1529" spans="1:30" x14ac:dyDescent="0.25">
      <c r="A1529" t="s">
        <v>1553</v>
      </c>
      <c r="B1529" s="2">
        <v>45091</v>
      </c>
      <c r="C1529" s="2">
        <v>45096</v>
      </c>
      <c r="D1529" t="s">
        <v>5458</v>
      </c>
      <c r="E1529" t="s">
        <v>5958</v>
      </c>
      <c r="F1529" t="s">
        <v>6027</v>
      </c>
      <c r="G1529" t="s">
        <v>6029</v>
      </c>
      <c r="H1529" t="s">
        <v>6041</v>
      </c>
      <c r="I1529" t="s">
        <v>6050</v>
      </c>
      <c r="J1529" t="s">
        <v>6053</v>
      </c>
      <c r="K1529" t="s">
        <v>6056</v>
      </c>
      <c r="L1529" t="s">
        <v>7474</v>
      </c>
      <c r="M1529">
        <v>208.44</v>
      </c>
      <c r="N1529">
        <v>7</v>
      </c>
      <c r="O1529">
        <v>0.02</v>
      </c>
      <c r="P1529">
        <v>53.49</v>
      </c>
      <c r="Q1529" t="s">
        <v>9895</v>
      </c>
      <c r="R1529">
        <v>5</v>
      </c>
      <c r="S1529" s="5">
        <f t="shared" si="46"/>
        <v>0.25662061024755328</v>
      </c>
      <c r="T1529">
        <v>29.777142857142859</v>
      </c>
      <c r="U1529">
        <v>6</v>
      </c>
      <c r="V1529">
        <v>2023</v>
      </c>
      <c r="W1529">
        <v>2</v>
      </c>
      <c r="X1529" t="s">
        <v>9899</v>
      </c>
      <c r="Y1529" t="s">
        <v>9901</v>
      </c>
      <c r="Z1529" t="s">
        <v>9899</v>
      </c>
      <c r="AD1529">
        <f t="shared" si="47"/>
        <v>5</v>
      </c>
    </row>
    <row r="1530" spans="1:30" x14ac:dyDescent="0.25">
      <c r="A1530" t="s">
        <v>1554</v>
      </c>
      <c r="B1530" s="2">
        <v>44675</v>
      </c>
      <c r="C1530" s="2">
        <v>44677</v>
      </c>
      <c r="D1530" t="s">
        <v>5150</v>
      </c>
      <c r="E1530" t="s">
        <v>5650</v>
      </c>
      <c r="F1530" t="s">
        <v>6028</v>
      </c>
      <c r="G1530" t="s">
        <v>6031</v>
      </c>
      <c r="H1530" t="s">
        <v>6043</v>
      </c>
      <c r="I1530" t="s">
        <v>6052</v>
      </c>
      <c r="J1530" t="s">
        <v>6055</v>
      </c>
      <c r="K1530" t="s">
        <v>6064</v>
      </c>
      <c r="L1530" t="s">
        <v>7475</v>
      </c>
      <c r="M1530">
        <v>589.65</v>
      </c>
      <c r="N1530">
        <v>2</v>
      </c>
      <c r="O1530">
        <v>0.11</v>
      </c>
      <c r="P1530">
        <v>30.11</v>
      </c>
      <c r="Q1530" t="s">
        <v>9896</v>
      </c>
      <c r="R1530">
        <v>2</v>
      </c>
      <c r="S1530" s="5">
        <f t="shared" si="46"/>
        <v>5.1064190621555164E-2</v>
      </c>
      <c r="T1530">
        <v>294.82499999999999</v>
      </c>
      <c r="U1530">
        <v>4</v>
      </c>
      <c r="V1530">
        <v>2022</v>
      </c>
      <c r="W1530">
        <v>2</v>
      </c>
      <c r="X1530" t="s">
        <v>9899</v>
      </c>
      <c r="Y1530" t="s">
        <v>9901</v>
      </c>
      <c r="Z1530" t="s">
        <v>9899</v>
      </c>
      <c r="AD1530">
        <f t="shared" si="47"/>
        <v>2</v>
      </c>
    </row>
    <row r="1531" spans="1:30" x14ac:dyDescent="0.25">
      <c r="A1531" t="s">
        <v>1555</v>
      </c>
      <c r="B1531" s="2">
        <v>45382</v>
      </c>
      <c r="C1531" s="2">
        <v>45384</v>
      </c>
      <c r="D1531" t="s">
        <v>5127</v>
      </c>
      <c r="E1531" t="s">
        <v>5627</v>
      </c>
      <c r="F1531" t="s">
        <v>6027</v>
      </c>
      <c r="G1531" t="s">
        <v>6029</v>
      </c>
      <c r="H1531" t="s">
        <v>6041</v>
      </c>
      <c r="I1531" t="s">
        <v>6050</v>
      </c>
      <c r="J1531" t="s">
        <v>6053</v>
      </c>
      <c r="K1531" t="s">
        <v>6056</v>
      </c>
      <c r="L1531" t="s">
        <v>7239</v>
      </c>
      <c r="M1531">
        <v>656.77</v>
      </c>
      <c r="N1531">
        <v>2</v>
      </c>
      <c r="O1531">
        <v>0.13</v>
      </c>
      <c r="P1531">
        <v>60.54</v>
      </c>
      <c r="Q1531" t="s">
        <v>9893</v>
      </c>
      <c r="R1531">
        <v>2</v>
      </c>
      <c r="S1531" s="5">
        <f t="shared" si="46"/>
        <v>9.2178388172419565E-2</v>
      </c>
      <c r="T1531">
        <v>328.38499999999999</v>
      </c>
      <c r="U1531">
        <v>3</v>
      </c>
      <c r="V1531">
        <v>2024</v>
      </c>
      <c r="W1531">
        <v>1</v>
      </c>
      <c r="X1531" t="s">
        <v>9899</v>
      </c>
      <c r="Y1531" t="s">
        <v>9901</v>
      </c>
      <c r="Z1531" t="s">
        <v>9899</v>
      </c>
      <c r="AD1531">
        <f t="shared" si="47"/>
        <v>2</v>
      </c>
    </row>
    <row r="1532" spans="1:30" x14ac:dyDescent="0.25">
      <c r="A1532" t="s">
        <v>1556</v>
      </c>
      <c r="B1532" s="2">
        <v>44994</v>
      </c>
      <c r="C1532" s="2">
        <v>44999</v>
      </c>
      <c r="D1532" t="s">
        <v>5367</v>
      </c>
      <c r="E1532" t="s">
        <v>5867</v>
      </c>
      <c r="F1532" t="s">
        <v>6026</v>
      </c>
      <c r="G1532" t="s">
        <v>6030</v>
      </c>
      <c r="H1532" t="s">
        <v>6033</v>
      </c>
      <c r="I1532" t="s">
        <v>6047</v>
      </c>
      <c r="J1532" t="s">
        <v>6053</v>
      </c>
      <c r="K1532" t="s">
        <v>6058</v>
      </c>
      <c r="L1532" t="s">
        <v>7092</v>
      </c>
      <c r="M1532">
        <v>1383.59</v>
      </c>
      <c r="N1532">
        <v>1</v>
      </c>
      <c r="O1532">
        <v>0.35</v>
      </c>
      <c r="P1532">
        <v>-300.89</v>
      </c>
      <c r="Q1532" t="s">
        <v>9895</v>
      </c>
      <c r="R1532">
        <v>5</v>
      </c>
      <c r="S1532" s="5">
        <f t="shared" si="46"/>
        <v>-0.21747049342652086</v>
      </c>
      <c r="T1532">
        <v>1383.59</v>
      </c>
      <c r="U1532">
        <v>3</v>
      </c>
      <c r="V1532">
        <v>2023</v>
      </c>
      <c r="W1532">
        <v>1</v>
      </c>
      <c r="X1532" t="s">
        <v>9898</v>
      </c>
      <c r="Y1532" t="s">
        <v>9902</v>
      </c>
      <c r="Z1532" t="s">
        <v>9898</v>
      </c>
      <c r="AD1532">
        <f t="shared" si="47"/>
        <v>5</v>
      </c>
    </row>
    <row r="1533" spans="1:30" x14ac:dyDescent="0.25">
      <c r="A1533" t="s">
        <v>1557</v>
      </c>
      <c r="B1533" s="2">
        <v>45132</v>
      </c>
      <c r="C1533" s="2">
        <v>45135</v>
      </c>
      <c r="D1533" t="s">
        <v>5485</v>
      </c>
      <c r="E1533" t="s">
        <v>5985</v>
      </c>
      <c r="F1533" t="s">
        <v>6027</v>
      </c>
      <c r="G1533" t="s">
        <v>6029</v>
      </c>
      <c r="H1533" t="s">
        <v>6041</v>
      </c>
      <c r="I1533" t="s">
        <v>6050</v>
      </c>
      <c r="J1533" t="s">
        <v>6055</v>
      </c>
      <c r="K1533" t="s">
        <v>6064</v>
      </c>
      <c r="L1533" t="s">
        <v>7476</v>
      </c>
      <c r="M1533">
        <v>722.25</v>
      </c>
      <c r="N1533">
        <v>6</v>
      </c>
      <c r="O1533">
        <v>0.2</v>
      </c>
      <c r="P1533">
        <v>36.119999999999997</v>
      </c>
      <c r="Q1533" t="s">
        <v>9893</v>
      </c>
      <c r="R1533">
        <v>3</v>
      </c>
      <c r="S1533" s="5">
        <f t="shared" si="46"/>
        <v>5.0010384215991688E-2</v>
      </c>
      <c r="T1533">
        <v>120.375</v>
      </c>
      <c r="U1533">
        <v>7</v>
      </c>
      <c r="V1533">
        <v>2023</v>
      </c>
      <c r="W1533">
        <v>3</v>
      </c>
      <c r="X1533" t="s">
        <v>9899</v>
      </c>
      <c r="Y1533" t="s">
        <v>9900</v>
      </c>
      <c r="Z1533" t="s">
        <v>9899</v>
      </c>
      <c r="AD1533">
        <f t="shared" si="47"/>
        <v>3</v>
      </c>
    </row>
    <row r="1534" spans="1:30" x14ac:dyDescent="0.25">
      <c r="A1534" t="s">
        <v>1558</v>
      </c>
      <c r="B1534" s="2">
        <v>45440</v>
      </c>
      <c r="C1534" s="2">
        <v>45443</v>
      </c>
      <c r="D1534" t="s">
        <v>5338</v>
      </c>
      <c r="E1534" t="s">
        <v>5838</v>
      </c>
      <c r="F1534" t="s">
        <v>6026</v>
      </c>
      <c r="G1534" t="s">
        <v>6031</v>
      </c>
      <c r="H1534" t="s">
        <v>6043</v>
      </c>
      <c r="I1534" t="s">
        <v>6052</v>
      </c>
      <c r="J1534" t="s">
        <v>6055</v>
      </c>
      <c r="K1534" t="s">
        <v>6064</v>
      </c>
      <c r="L1534" t="s">
        <v>7477</v>
      </c>
      <c r="M1534">
        <v>272.92</v>
      </c>
      <c r="N1534">
        <v>1</v>
      </c>
      <c r="O1534">
        <v>0.32</v>
      </c>
      <c r="P1534">
        <v>-51.65</v>
      </c>
      <c r="Q1534" t="s">
        <v>9894</v>
      </c>
      <c r="R1534">
        <v>3</v>
      </c>
      <c r="S1534" s="5">
        <f t="shared" si="46"/>
        <v>-0.1892495969514876</v>
      </c>
      <c r="T1534">
        <v>272.92</v>
      </c>
      <c r="U1534">
        <v>5</v>
      </c>
      <c r="V1534">
        <v>2024</v>
      </c>
      <c r="W1534">
        <v>2</v>
      </c>
      <c r="X1534" t="s">
        <v>9898</v>
      </c>
      <c r="Y1534" t="s">
        <v>9902</v>
      </c>
      <c r="Z1534" t="s">
        <v>9899</v>
      </c>
      <c r="AD1534">
        <f t="shared" si="47"/>
        <v>3</v>
      </c>
    </row>
    <row r="1535" spans="1:30" x14ac:dyDescent="0.25">
      <c r="A1535" t="s">
        <v>1559</v>
      </c>
      <c r="B1535" s="2">
        <v>45195</v>
      </c>
      <c r="C1535" s="2">
        <v>45201</v>
      </c>
      <c r="D1535" t="s">
        <v>5329</v>
      </c>
      <c r="E1535" t="s">
        <v>5829</v>
      </c>
      <c r="F1535" t="s">
        <v>6028</v>
      </c>
      <c r="G1535" t="s">
        <v>6030</v>
      </c>
      <c r="H1535" t="s">
        <v>6039</v>
      </c>
      <c r="I1535" t="s">
        <v>6047</v>
      </c>
      <c r="J1535" t="s">
        <v>6055</v>
      </c>
      <c r="K1535" t="s">
        <v>6063</v>
      </c>
      <c r="L1535" t="s">
        <v>7478</v>
      </c>
      <c r="M1535">
        <v>870.66</v>
      </c>
      <c r="N1535">
        <v>5</v>
      </c>
      <c r="O1535">
        <v>0.13</v>
      </c>
      <c r="P1535">
        <v>-22.39</v>
      </c>
      <c r="Q1535" t="s">
        <v>9894</v>
      </c>
      <c r="R1535">
        <v>6</v>
      </c>
      <c r="S1535" s="5">
        <f t="shared" si="46"/>
        <v>-2.5716123400638599E-2</v>
      </c>
      <c r="T1535">
        <v>174.13200000000001</v>
      </c>
      <c r="U1535">
        <v>9</v>
      </c>
      <c r="V1535">
        <v>2023</v>
      </c>
      <c r="W1535">
        <v>3</v>
      </c>
      <c r="X1535" t="s">
        <v>9898</v>
      </c>
      <c r="Y1535" t="s">
        <v>9901</v>
      </c>
      <c r="Z1535" t="s">
        <v>9899</v>
      </c>
      <c r="AD1535">
        <f t="shared" si="47"/>
        <v>6</v>
      </c>
    </row>
    <row r="1536" spans="1:30" x14ac:dyDescent="0.25">
      <c r="A1536" t="s">
        <v>1560</v>
      </c>
      <c r="B1536" s="2">
        <v>44748</v>
      </c>
      <c r="C1536" s="2">
        <v>44749</v>
      </c>
      <c r="D1536" t="s">
        <v>5337</v>
      </c>
      <c r="E1536" t="s">
        <v>5837</v>
      </c>
      <c r="F1536" t="s">
        <v>6028</v>
      </c>
      <c r="G1536" t="s">
        <v>6029</v>
      </c>
      <c r="H1536" t="s">
        <v>6045</v>
      </c>
      <c r="I1536" t="s">
        <v>6050</v>
      </c>
      <c r="J1536" t="s">
        <v>6054</v>
      </c>
      <c r="K1536" t="s">
        <v>6060</v>
      </c>
      <c r="L1536" t="s">
        <v>7479</v>
      </c>
      <c r="M1536">
        <v>891.08</v>
      </c>
      <c r="N1536">
        <v>8</v>
      </c>
      <c r="O1536">
        <v>0.03</v>
      </c>
      <c r="P1536">
        <v>133.71</v>
      </c>
      <c r="Q1536" t="s">
        <v>9894</v>
      </c>
      <c r="R1536">
        <v>1</v>
      </c>
      <c r="S1536" s="5">
        <f t="shared" si="46"/>
        <v>0.15005386721730934</v>
      </c>
      <c r="T1536">
        <v>111.38500000000001</v>
      </c>
      <c r="U1536">
        <v>7</v>
      </c>
      <c r="V1536">
        <v>2022</v>
      </c>
      <c r="W1536">
        <v>3</v>
      </c>
      <c r="X1536" t="s">
        <v>9899</v>
      </c>
      <c r="Y1536" t="s">
        <v>9901</v>
      </c>
      <c r="Z1536" t="s">
        <v>9899</v>
      </c>
      <c r="AD1536">
        <f t="shared" si="47"/>
        <v>1</v>
      </c>
    </row>
    <row r="1537" spans="1:30" x14ac:dyDescent="0.25">
      <c r="A1537" t="s">
        <v>1561</v>
      </c>
      <c r="B1537" s="2">
        <v>44896</v>
      </c>
      <c r="C1537" s="2">
        <v>44897</v>
      </c>
      <c r="D1537" t="s">
        <v>5194</v>
      </c>
      <c r="E1537" t="s">
        <v>5694</v>
      </c>
      <c r="F1537" t="s">
        <v>6026</v>
      </c>
      <c r="G1537" t="s">
        <v>6031</v>
      </c>
      <c r="H1537" t="s">
        <v>6042</v>
      </c>
      <c r="I1537" t="s">
        <v>6050</v>
      </c>
      <c r="J1537" t="s">
        <v>6054</v>
      </c>
      <c r="K1537" t="s">
        <v>6062</v>
      </c>
      <c r="L1537" t="s">
        <v>7480</v>
      </c>
      <c r="M1537">
        <v>232.33</v>
      </c>
      <c r="N1537">
        <v>7</v>
      </c>
      <c r="O1537">
        <v>0.33</v>
      </c>
      <c r="P1537">
        <v>-33.06</v>
      </c>
      <c r="Q1537" t="s">
        <v>9897</v>
      </c>
      <c r="R1537">
        <v>1</v>
      </c>
      <c r="S1537" s="5">
        <f t="shared" si="46"/>
        <v>-0.1422975939396548</v>
      </c>
      <c r="T1537">
        <v>33.19</v>
      </c>
      <c r="U1537">
        <v>12</v>
      </c>
      <c r="V1537">
        <v>2022</v>
      </c>
      <c r="W1537">
        <v>4</v>
      </c>
      <c r="X1537" t="s">
        <v>9898</v>
      </c>
      <c r="Y1537" t="s">
        <v>9902</v>
      </c>
      <c r="Z1537" t="s">
        <v>9899</v>
      </c>
      <c r="AD1537">
        <f t="shared" si="47"/>
        <v>1</v>
      </c>
    </row>
    <row r="1538" spans="1:30" x14ac:dyDescent="0.25">
      <c r="A1538" t="s">
        <v>1562</v>
      </c>
      <c r="B1538" s="2">
        <v>44635</v>
      </c>
      <c r="C1538" s="2">
        <v>44641</v>
      </c>
      <c r="D1538" t="s">
        <v>5281</v>
      </c>
      <c r="E1538" t="s">
        <v>5781</v>
      </c>
      <c r="F1538" t="s">
        <v>6028</v>
      </c>
      <c r="G1538" t="s">
        <v>6031</v>
      </c>
      <c r="H1538" t="s">
        <v>6034</v>
      </c>
      <c r="I1538" t="s">
        <v>6052</v>
      </c>
      <c r="J1538" t="s">
        <v>6055</v>
      </c>
      <c r="K1538" t="s">
        <v>6061</v>
      </c>
      <c r="L1538" t="s">
        <v>7481</v>
      </c>
      <c r="M1538">
        <v>570.17999999999995</v>
      </c>
      <c r="N1538">
        <v>4</v>
      </c>
      <c r="O1538">
        <v>0.08</v>
      </c>
      <c r="P1538">
        <v>61.55</v>
      </c>
      <c r="Q1538" t="s">
        <v>9895</v>
      </c>
      <c r="R1538">
        <v>6</v>
      </c>
      <c r="S1538" s="5">
        <f t="shared" si="46"/>
        <v>0.10794836718229331</v>
      </c>
      <c r="T1538">
        <v>142.54499999999999</v>
      </c>
      <c r="U1538">
        <v>3</v>
      </c>
      <c r="V1538">
        <v>2022</v>
      </c>
      <c r="W1538">
        <v>1</v>
      </c>
      <c r="X1538" t="s">
        <v>9899</v>
      </c>
      <c r="Y1538" t="s">
        <v>9901</v>
      </c>
      <c r="Z1538" t="s">
        <v>9899</v>
      </c>
      <c r="AD1538">
        <f t="shared" si="47"/>
        <v>6</v>
      </c>
    </row>
    <row r="1539" spans="1:30" x14ac:dyDescent="0.25">
      <c r="A1539" t="s">
        <v>1563</v>
      </c>
      <c r="B1539" s="2">
        <v>44730</v>
      </c>
      <c r="C1539" s="2">
        <v>44732</v>
      </c>
      <c r="D1539" t="s">
        <v>5151</v>
      </c>
      <c r="E1539" t="s">
        <v>5651</v>
      </c>
      <c r="F1539" t="s">
        <v>6028</v>
      </c>
      <c r="G1539" t="s">
        <v>6031</v>
      </c>
      <c r="H1539" t="s">
        <v>6042</v>
      </c>
      <c r="I1539" t="s">
        <v>6052</v>
      </c>
      <c r="J1539" t="s">
        <v>6054</v>
      </c>
      <c r="K1539" t="s">
        <v>6062</v>
      </c>
      <c r="L1539" t="s">
        <v>7387</v>
      </c>
      <c r="M1539">
        <v>1055.42</v>
      </c>
      <c r="N1539">
        <v>7</v>
      </c>
      <c r="O1539">
        <v>0.01</v>
      </c>
      <c r="P1539">
        <v>305.94</v>
      </c>
      <c r="Q1539" t="s">
        <v>9894</v>
      </c>
      <c r="R1539">
        <v>2</v>
      </c>
      <c r="S1539" s="5">
        <f t="shared" ref="S1539:S1602" si="48">P1539/M1539</f>
        <v>0.28987512080498756</v>
      </c>
      <c r="T1539">
        <v>150.7742857142857</v>
      </c>
      <c r="U1539">
        <v>6</v>
      </c>
      <c r="V1539">
        <v>2022</v>
      </c>
      <c r="W1539">
        <v>2</v>
      </c>
      <c r="X1539" t="s">
        <v>9899</v>
      </c>
      <c r="Y1539" t="s">
        <v>9901</v>
      </c>
      <c r="Z1539" t="s">
        <v>9898</v>
      </c>
      <c r="AD1539">
        <f t="shared" ref="AD1539:AD1602" si="49">C1539-B1539</f>
        <v>2</v>
      </c>
    </row>
    <row r="1540" spans="1:30" x14ac:dyDescent="0.25">
      <c r="A1540" t="s">
        <v>1564</v>
      </c>
      <c r="B1540" s="2">
        <v>45011</v>
      </c>
      <c r="C1540" s="2">
        <v>45018</v>
      </c>
      <c r="D1540" t="s">
        <v>5040</v>
      </c>
      <c r="E1540" t="s">
        <v>5540</v>
      </c>
      <c r="F1540" t="s">
        <v>6027</v>
      </c>
      <c r="G1540" t="s">
        <v>6029</v>
      </c>
      <c r="H1540" t="s">
        <v>6041</v>
      </c>
      <c r="I1540" t="s">
        <v>6049</v>
      </c>
      <c r="J1540" t="s">
        <v>6053</v>
      </c>
      <c r="K1540" t="s">
        <v>6058</v>
      </c>
      <c r="L1540" t="s">
        <v>7482</v>
      </c>
      <c r="M1540">
        <v>636.41999999999996</v>
      </c>
      <c r="N1540">
        <v>5</v>
      </c>
      <c r="O1540">
        <v>0.13</v>
      </c>
      <c r="P1540">
        <v>19.510000000000002</v>
      </c>
      <c r="Q1540" t="s">
        <v>9894</v>
      </c>
      <c r="R1540">
        <v>7</v>
      </c>
      <c r="S1540" s="5">
        <f t="shared" si="48"/>
        <v>3.0655856195594109E-2</v>
      </c>
      <c r="T1540">
        <v>127.28400000000001</v>
      </c>
      <c r="U1540">
        <v>3</v>
      </c>
      <c r="V1540">
        <v>2023</v>
      </c>
      <c r="W1540">
        <v>1</v>
      </c>
      <c r="X1540" t="s">
        <v>9899</v>
      </c>
      <c r="Y1540" t="s">
        <v>9901</v>
      </c>
      <c r="Z1540" t="s">
        <v>9899</v>
      </c>
      <c r="AD1540">
        <f t="shared" si="49"/>
        <v>7</v>
      </c>
    </row>
    <row r="1541" spans="1:30" x14ac:dyDescent="0.25">
      <c r="A1541" t="s">
        <v>1565</v>
      </c>
      <c r="B1541" s="2">
        <v>45346</v>
      </c>
      <c r="C1541" s="2">
        <v>45351</v>
      </c>
      <c r="D1541" t="s">
        <v>5245</v>
      </c>
      <c r="E1541" t="s">
        <v>5745</v>
      </c>
      <c r="F1541" t="s">
        <v>6026</v>
      </c>
      <c r="G1541" t="s">
        <v>6031</v>
      </c>
      <c r="H1541" t="s">
        <v>6034</v>
      </c>
      <c r="I1541" t="s">
        <v>6052</v>
      </c>
      <c r="J1541" t="s">
        <v>6053</v>
      </c>
      <c r="K1541" t="s">
        <v>6056</v>
      </c>
      <c r="L1541" t="s">
        <v>6329</v>
      </c>
      <c r="M1541">
        <v>1610.57</v>
      </c>
      <c r="N1541">
        <v>5</v>
      </c>
      <c r="O1541">
        <v>0.13</v>
      </c>
      <c r="P1541">
        <v>267.5</v>
      </c>
      <c r="Q1541" t="s">
        <v>9897</v>
      </c>
      <c r="R1541">
        <v>5</v>
      </c>
      <c r="S1541" s="5">
        <f t="shared" si="48"/>
        <v>0.16609026617905462</v>
      </c>
      <c r="T1541">
        <v>322.11399999999998</v>
      </c>
      <c r="U1541">
        <v>2</v>
      </c>
      <c r="V1541">
        <v>2024</v>
      </c>
      <c r="W1541">
        <v>1</v>
      </c>
      <c r="X1541" t="s">
        <v>9899</v>
      </c>
      <c r="Y1541" t="s">
        <v>9901</v>
      </c>
      <c r="Z1541" t="s">
        <v>9898</v>
      </c>
      <c r="AD1541">
        <f t="shared" si="49"/>
        <v>5</v>
      </c>
    </row>
    <row r="1542" spans="1:30" x14ac:dyDescent="0.25">
      <c r="A1542" t="s">
        <v>1566</v>
      </c>
      <c r="B1542" s="2">
        <v>45221</v>
      </c>
      <c r="C1542" s="2">
        <v>45224</v>
      </c>
      <c r="D1542" t="s">
        <v>5028</v>
      </c>
      <c r="E1542" t="s">
        <v>5528</v>
      </c>
      <c r="F1542" t="s">
        <v>6027</v>
      </c>
      <c r="G1542" t="s">
        <v>6029</v>
      </c>
      <c r="H1542" t="s">
        <v>6036</v>
      </c>
      <c r="I1542" t="s">
        <v>6046</v>
      </c>
      <c r="J1542" t="s">
        <v>6055</v>
      </c>
      <c r="K1542" t="s">
        <v>6064</v>
      </c>
      <c r="L1542" t="s">
        <v>7483</v>
      </c>
      <c r="M1542">
        <v>1251.4000000000001</v>
      </c>
      <c r="N1542">
        <v>1</v>
      </c>
      <c r="O1542">
        <v>0.19</v>
      </c>
      <c r="P1542">
        <v>-104.13</v>
      </c>
      <c r="Q1542" t="s">
        <v>9893</v>
      </c>
      <c r="R1542">
        <v>3</v>
      </c>
      <c r="S1542" s="5">
        <f t="shared" si="48"/>
        <v>-8.3210803899632396E-2</v>
      </c>
      <c r="T1542">
        <v>1251.4000000000001</v>
      </c>
      <c r="U1542">
        <v>10</v>
      </c>
      <c r="V1542">
        <v>2023</v>
      </c>
      <c r="W1542">
        <v>4</v>
      </c>
      <c r="X1542" t="s">
        <v>9898</v>
      </c>
      <c r="Y1542" t="s">
        <v>9900</v>
      </c>
      <c r="Z1542" t="s">
        <v>9898</v>
      </c>
      <c r="AD1542">
        <f t="shared" si="49"/>
        <v>3</v>
      </c>
    </row>
    <row r="1543" spans="1:30" x14ac:dyDescent="0.25">
      <c r="A1543" t="s">
        <v>1567</v>
      </c>
      <c r="B1543" s="2">
        <v>45449</v>
      </c>
      <c r="C1543" s="2">
        <v>45451</v>
      </c>
      <c r="D1543" t="s">
        <v>5349</v>
      </c>
      <c r="E1543" t="s">
        <v>5849</v>
      </c>
      <c r="F1543" t="s">
        <v>6026</v>
      </c>
      <c r="G1543" t="s">
        <v>6031</v>
      </c>
      <c r="H1543" t="s">
        <v>6042</v>
      </c>
      <c r="I1543" t="s">
        <v>6048</v>
      </c>
      <c r="J1543" t="s">
        <v>6055</v>
      </c>
      <c r="K1543" t="s">
        <v>6064</v>
      </c>
      <c r="L1543" t="s">
        <v>7484</v>
      </c>
      <c r="M1543">
        <v>734.64</v>
      </c>
      <c r="N1543">
        <v>8</v>
      </c>
      <c r="O1543">
        <v>0.08</v>
      </c>
      <c r="P1543">
        <v>119.93</v>
      </c>
      <c r="Q1543" t="s">
        <v>9897</v>
      </c>
      <c r="R1543">
        <v>2</v>
      </c>
      <c r="S1543" s="5">
        <f t="shared" si="48"/>
        <v>0.16325002722421866</v>
      </c>
      <c r="T1543">
        <v>91.83</v>
      </c>
      <c r="U1543">
        <v>6</v>
      </c>
      <c r="V1543">
        <v>2024</v>
      </c>
      <c r="W1543">
        <v>2</v>
      </c>
      <c r="X1543" t="s">
        <v>9899</v>
      </c>
      <c r="Y1543" t="s">
        <v>9901</v>
      </c>
      <c r="Z1543" t="s">
        <v>9899</v>
      </c>
      <c r="AD1543">
        <f t="shared" si="49"/>
        <v>2</v>
      </c>
    </row>
    <row r="1544" spans="1:30" x14ac:dyDescent="0.25">
      <c r="A1544" t="s">
        <v>1568</v>
      </c>
      <c r="B1544" s="2">
        <v>44875</v>
      </c>
      <c r="C1544" s="2">
        <v>44881</v>
      </c>
      <c r="D1544" t="s">
        <v>5502</v>
      </c>
      <c r="E1544" t="s">
        <v>6002</v>
      </c>
      <c r="F1544" t="s">
        <v>6027</v>
      </c>
      <c r="G1544" t="s">
        <v>6030</v>
      </c>
      <c r="H1544" t="s">
        <v>6035</v>
      </c>
      <c r="I1544" t="s">
        <v>6047</v>
      </c>
      <c r="J1544" t="s">
        <v>6055</v>
      </c>
      <c r="K1544" t="s">
        <v>6061</v>
      </c>
      <c r="L1544" t="s">
        <v>7485</v>
      </c>
      <c r="M1544">
        <v>1685.56</v>
      </c>
      <c r="N1544">
        <v>6</v>
      </c>
      <c r="O1544">
        <v>7.0000000000000007E-2</v>
      </c>
      <c r="P1544">
        <v>308.58</v>
      </c>
      <c r="Q1544" t="s">
        <v>9896</v>
      </c>
      <c r="R1544">
        <v>6</v>
      </c>
      <c r="S1544" s="5">
        <f t="shared" si="48"/>
        <v>0.183072688008733</v>
      </c>
      <c r="T1544">
        <v>280.92666666666668</v>
      </c>
      <c r="U1544">
        <v>11</v>
      </c>
      <c r="V1544">
        <v>2022</v>
      </c>
      <c r="W1544">
        <v>4</v>
      </c>
      <c r="X1544" t="s">
        <v>9899</v>
      </c>
      <c r="Y1544" t="s">
        <v>9901</v>
      </c>
      <c r="Z1544" t="s">
        <v>9898</v>
      </c>
      <c r="AD1544">
        <f t="shared" si="49"/>
        <v>6</v>
      </c>
    </row>
    <row r="1545" spans="1:30" x14ac:dyDescent="0.25">
      <c r="A1545" t="s">
        <v>1569</v>
      </c>
      <c r="B1545" s="2">
        <v>45012</v>
      </c>
      <c r="C1545" s="2">
        <v>45018</v>
      </c>
      <c r="D1545" t="s">
        <v>5142</v>
      </c>
      <c r="E1545" t="s">
        <v>5642</v>
      </c>
      <c r="F1545" t="s">
        <v>6026</v>
      </c>
      <c r="G1545" t="s">
        <v>6029</v>
      </c>
      <c r="H1545" t="s">
        <v>6045</v>
      </c>
      <c r="I1545" t="s">
        <v>6046</v>
      </c>
      <c r="J1545" t="s">
        <v>6053</v>
      </c>
      <c r="K1545" t="s">
        <v>6057</v>
      </c>
      <c r="L1545" t="s">
        <v>7486</v>
      </c>
      <c r="M1545">
        <v>633.27</v>
      </c>
      <c r="N1545">
        <v>4</v>
      </c>
      <c r="O1545">
        <v>0.17</v>
      </c>
      <c r="P1545">
        <v>48.05</v>
      </c>
      <c r="Q1545" t="s">
        <v>9895</v>
      </c>
      <c r="R1545">
        <v>6</v>
      </c>
      <c r="S1545" s="5">
        <f t="shared" si="48"/>
        <v>7.5876008653496932E-2</v>
      </c>
      <c r="T1545">
        <v>158.3175</v>
      </c>
      <c r="U1545">
        <v>3</v>
      </c>
      <c r="V1545">
        <v>2023</v>
      </c>
      <c r="W1545">
        <v>1</v>
      </c>
      <c r="X1545" t="s">
        <v>9899</v>
      </c>
      <c r="Y1545" t="s">
        <v>9900</v>
      </c>
      <c r="Z1545" t="s">
        <v>9899</v>
      </c>
      <c r="AD1545">
        <f t="shared" si="49"/>
        <v>6</v>
      </c>
    </row>
    <row r="1546" spans="1:30" x14ac:dyDescent="0.25">
      <c r="A1546" t="s">
        <v>1570</v>
      </c>
      <c r="B1546" s="2">
        <v>44889</v>
      </c>
      <c r="C1546" s="2">
        <v>44890</v>
      </c>
      <c r="D1546" t="s">
        <v>5046</v>
      </c>
      <c r="E1546" t="s">
        <v>5546</v>
      </c>
      <c r="F1546" t="s">
        <v>6027</v>
      </c>
      <c r="G1546" t="s">
        <v>6029</v>
      </c>
      <c r="H1546" t="s">
        <v>6041</v>
      </c>
      <c r="I1546" t="s">
        <v>6046</v>
      </c>
      <c r="J1546" t="s">
        <v>6054</v>
      </c>
      <c r="K1546" t="s">
        <v>6062</v>
      </c>
      <c r="L1546" t="s">
        <v>7487</v>
      </c>
      <c r="M1546">
        <v>1124.1600000000001</v>
      </c>
      <c r="N1546">
        <v>1</v>
      </c>
      <c r="O1546">
        <v>0.33</v>
      </c>
      <c r="P1546">
        <v>-250.31</v>
      </c>
      <c r="Q1546" t="s">
        <v>9893</v>
      </c>
      <c r="R1546">
        <v>1</v>
      </c>
      <c r="S1546" s="5">
        <f t="shared" si="48"/>
        <v>-0.22266403358952461</v>
      </c>
      <c r="T1546">
        <v>1124.1600000000001</v>
      </c>
      <c r="U1546">
        <v>11</v>
      </c>
      <c r="V1546">
        <v>2022</v>
      </c>
      <c r="W1546">
        <v>4</v>
      </c>
      <c r="X1546" t="s">
        <v>9898</v>
      </c>
      <c r="Y1546" t="s">
        <v>9902</v>
      </c>
      <c r="Z1546" t="s">
        <v>9898</v>
      </c>
      <c r="AD1546">
        <f t="shared" si="49"/>
        <v>1</v>
      </c>
    </row>
    <row r="1547" spans="1:30" x14ac:dyDescent="0.25">
      <c r="A1547" t="s">
        <v>1571</v>
      </c>
      <c r="B1547" s="2">
        <v>45107</v>
      </c>
      <c r="C1547" s="2">
        <v>45113</v>
      </c>
      <c r="D1547" t="s">
        <v>5270</v>
      </c>
      <c r="E1547" t="s">
        <v>5770</v>
      </c>
      <c r="F1547" t="s">
        <v>6027</v>
      </c>
      <c r="G1547" t="s">
        <v>6029</v>
      </c>
      <c r="H1547" t="s">
        <v>6044</v>
      </c>
      <c r="I1547" t="s">
        <v>6046</v>
      </c>
      <c r="J1547" t="s">
        <v>6053</v>
      </c>
      <c r="K1547" t="s">
        <v>6056</v>
      </c>
      <c r="L1547" t="s">
        <v>7488</v>
      </c>
      <c r="M1547">
        <v>1094.07</v>
      </c>
      <c r="N1547">
        <v>2</v>
      </c>
      <c r="O1547">
        <v>0.32</v>
      </c>
      <c r="P1547">
        <v>-181.72</v>
      </c>
      <c r="Q1547" t="s">
        <v>9894</v>
      </c>
      <c r="R1547">
        <v>6</v>
      </c>
      <c r="S1547" s="5">
        <f t="shared" si="48"/>
        <v>-0.1660954052300127</v>
      </c>
      <c r="T1547">
        <v>547.03499999999997</v>
      </c>
      <c r="U1547">
        <v>6</v>
      </c>
      <c r="V1547">
        <v>2023</v>
      </c>
      <c r="W1547">
        <v>2</v>
      </c>
      <c r="X1547" t="s">
        <v>9898</v>
      </c>
      <c r="Y1547" t="s">
        <v>9902</v>
      </c>
      <c r="Z1547" t="s">
        <v>9898</v>
      </c>
      <c r="AD1547">
        <f t="shared" si="49"/>
        <v>6</v>
      </c>
    </row>
    <row r="1548" spans="1:30" x14ac:dyDescent="0.25">
      <c r="A1548" t="s">
        <v>1572</v>
      </c>
      <c r="B1548" s="2">
        <v>45106</v>
      </c>
      <c r="C1548" s="2">
        <v>45113</v>
      </c>
      <c r="D1548" t="s">
        <v>5509</v>
      </c>
      <c r="E1548" t="s">
        <v>6009</v>
      </c>
      <c r="F1548" t="s">
        <v>6026</v>
      </c>
      <c r="G1548" t="s">
        <v>6030</v>
      </c>
      <c r="H1548" t="s">
        <v>6039</v>
      </c>
      <c r="I1548" t="s">
        <v>6051</v>
      </c>
      <c r="J1548" t="s">
        <v>6053</v>
      </c>
      <c r="K1548" t="s">
        <v>6057</v>
      </c>
      <c r="L1548" t="s">
        <v>7489</v>
      </c>
      <c r="M1548">
        <v>874.81</v>
      </c>
      <c r="N1548">
        <v>8</v>
      </c>
      <c r="O1548">
        <v>0.14000000000000001</v>
      </c>
      <c r="P1548">
        <v>131.12</v>
      </c>
      <c r="Q1548" t="s">
        <v>9897</v>
      </c>
      <c r="R1548">
        <v>7</v>
      </c>
      <c r="S1548" s="5">
        <f t="shared" si="48"/>
        <v>0.14988397480595789</v>
      </c>
      <c r="T1548">
        <v>109.35124999999999</v>
      </c>
      <c r="U1548">
        <v>6</v>
      </c>
      <c r="V1548">
        <v>2023</v>
      </c>
      <c r="W1548">
        <v>2</v>
      </c>
      <c r="X1548" t="s">
        <v>9899</v>
      </c>
      <c r="Y1548" t="s">
        <v>9901</v>
      </c>
      <c r="Z1548" t="s">
        <v>9899</v>
      </c>
      <c r="AD1548">
        <f t="shared" si="49"/>
        <v>7</v>
      </c>
    </row>
    <row r="1549" spans="1:30" x14ac:dyDescent="0.25">
      <c r="A1549" t="s">
        <v>1573</v>
      </c>
      <c r="B1549" s="2">
        <v>44818</v>
      </c>
      <c r="C1549" s="2">
        <v>44819</v>
      </c>
      <c r="D1549" t="s">
        <v>5509</v>
      </c>
      <c r="E1549" t="s">
        <v>6009</v>
      </c>
      <c r="F1549" t="s">
        <v>6026</v>
      </c>
      <c r="G1549" t="s">
        <v>6031</v>
      </c>
      <c r="H1549" t="s">
        <v>6040</v>
      </c>
      <c r="I1549" t="s">
        <v>6052</v>
      </c>
      <c r="J1549" t="s">
        <v>6053</v>
      </c>
      <c r="K1549" t="s">
        <v>6057</v>
      </c>
      <c r="L1549" t="s">
        <v>6159</v>
      </c>
      <c r="M1549">
        <v>1861.37</v>
      </c>
      <c r="N1549">
        <v>8</v>
      </c>
      <c r="O1549">
        <v>0.18</v>
      </c>
      <c r="P1549">
        <v>-15.8</v>
      </c>
      <c r="Q1549" t="s">
        <v>9896</v>
      </c>
      <c r="R1549">
        <v>1</v>
      </c>
      <c r="S1549" s="5">
        <f t="shared" si="48"/>
        <v>-8.4883714683270939E-3</v>
      </c>
      <c r="T1549">
        <v>232.67124999999999</v>
      </c>
      <c r="U1549">
        <v>9</v>
      </c>
      <c r="V1549">
        <v>2022</v>
      </c>
      <c r="W1549">
        <v>3</v>
      </c>
      <c r="X1549" t="s">
        <v>9898</v>
      </c>
      <c r="Y1549" t="s">
        <v>9900</v>
      </c>
      <c r="Z1549" t="s">
        <v>9898</v>
      </c>
      <c r="AD1549">
        <f t="shared" si="49"/>
        <v>1</v>
      </c>
    </row>
    <row r="1550" spans="1:30" x14ac:dyDescent="0.25">
      <c r="A1550" t="s">
        <v>1574</v>
      </c>
      <c r="B1550" s="2">
        <v>45386</v>
      </c>
      <c r="C1550" s="2">
        <v>45390</v>
      </c>
      <c r="D1550" t="s">
        <v>5504</v>
      </c>
      <c r="E1550" t="s">
        <v>6004</v>
      </c>
      <c r="F1550" t="s">
        <v>6028</v>
      </c>
      <c r="G1550" t="s">
        <v>6030</v>
      </c>
      <c r="H1550" t="s">
        <v>6035</v>
      </c>
      <c r="I1550" t="s">
        <v>6047</v>
      </c>
      <c r="J1550" t="s">
        <v>6055</v>
      </c>
      <c r="K1550" t="s">
        <v>6061</v>
      </c>
      <c r="L1550" t="s">
        <v>7490</v>
      </c>
      <c r="M1550">
        <v>276.08999999999997</v>
      </c>
      <c r="N1550">
        <v>7</v>
      </c>
      <c r="O1550">
        <v>0.23</v>
      </c>
      <c r="P1550">
        <v>-23.8</v>
      </c>
      <c r="Q1550" t="s">
        <v>9894</v>
      </c>
      <c r="R1550">
        <v>4</v>
      </c>
      <c r="S1550" s="5">
        <f t="shared" si="48"/>
        <v>-8.620377413162375E-2</v>
      </c>
      <c r="T1550">
        <v>39.441428571428567</v>
      </c>
      <c r="U1550">
        <v>4</v>
      </c>
      <c r="V1550">
        <v>2024</v>
      </c>
      <c r="W1550">
        <v>2</v>
      </c>
      <c r="X1550" t="s">
        <v>9898</v>
      </c>
      <c r="Y1550" t="s">
        <v>9900</v>
      </c>
      <c r="Z1550" t="s">
        <v>9899</v>
      </c>
      <c r="AD1550">
        <f t="shared" si="49"/>
        <v>4</v>
      </c>
    </row>
    <row r="1551" spans="1:30" x14ac:dyDescent="0.25">
      <c r="A1551" t="s">
        <v>1575</v>
      </c>
      <c r="B1551" s="2">
        <v>45450</v>
      </c>
      <c r="C1551" s="2">
        <v>45456</v>
      </c>
      <c r="D1551" t="s">
        <v>5327</v>
      </c>
      <c r="E1551" t="s">
        <v>5827</v>
      </c>
      <c r="F1551" t="s">
        <v>6027</v>
      </c>
      <c r="G1551" t="s">
        <v>6029</v>
      </c>
      <c r="H1551" t="s">
        <v>6044</v>
      </c>
      <c r="I1551" t="s">
        <v>6046</v>
      </c>
      <c r="J1551" t="s">
        <v>6053</v>
      </c>
      <c r="K1551" t="s">
        <v>6056</v>
      </c>
      <c r="L1551" t="s">
        <v>7491</v>
      </c>
      <c r="M1551">
        <v>787.49</v>
      </c>
      <c r="N1551">
        <v>6</v>
      </c>
      <c r="O1551">
        <v>0.14000000000000001</v>
      </c>
      <c r="P1551">
        <v>14.42</v>
      </c>
      <c r="Q1551" t="s">
        <v>9893</v>
      </c>
      <c r="R1551">
        <v>6</v>
      </c>
      <c r="S1551" s="5">
        <f t="shared" si="48"/>
        <v>1.8311343636109666E-2</v>
      </c>
      <c r="T1551">
        <v>131.24833333333331</v>
      </c>
      <c r="U1551">
        <v>6</v>
      </c>
      <c r="V1551">
        <v>2024</v>
      </c>
      <c r="W1551">
        <v>2</v>
      </c>
      <c r="X1551" t="s">
        <v>9899</v>
      </c>
      <c r="Y1551" t="s">
        <v>9901</v>
      </c>
      <c r="Z1551" t="s">
        <v>9899</v>
      </c>
      <c r="AD1551">
        <f t="shared" si="49"/>
        <v>6</v>
      </c>
    </row>
    <row r="1552" spans="1:30" x14ac:dyDescent="0.25">
      <c r="A1552" t="s">
        <v>1576</v>
      </c>
      <c r="B1552" s="2">
        <v>44840</v>
      </c>
      <c r="C1552" s="2">
        <v>44847</v>
      </c>
      <c r="D1552" t="s">
        <v>5230</v>
      </c>
      <c r="E1552" t="s">
        <v>5730</v>
      </c>
      <c r="F1552" t="s">
        <v>6026</v>
      </c>
      <c r="G1552" t="s">
        <v>6031</v>
      </c>
      <c r="H1552" t="s">
        <v>6037</v>
      </c>
      <c r="I1552" t="s">
        <v>6048</v>
      </c>
      <c r="J1552" t="s">
        <v>6054</v>
      </c>
      <c r="K1552" t="s">
        <v>6059</v>
      </c>
      <c r="L1552" t="s">
        <v>7492</v>
      </c>
      <c r="M1552">
        <v>1255.5999999999999</v>
      </c>
      <c r="N1552">
        <v>2</v>
      </c>
      <c r="O1552">
        <v>0.28999999999999998</v>
      </c>
      <c r="P1552">
        <v>-37.22</v>
      </c>
      <c r="Q1552" t="s">
        <v>9895</v>
      </c>
      <c r="R1552">
        <v>7</v>
      </c>
      <c r="S1552" s="5">
        <f t="shared" si="48"/>
        <v>-2.964319847085059E-2</v>
      </c>
      <c r="T1552">
        <v>627.79999999999995</v>
      </c>
      <c r="U1552">
        <v>10</v>
      </c>
      <c r="V1552">
        <v>2022</v>
      </c>
      <c r="W1552">
        <v>4</v>
      </c>
      <c r="X1552" t="s">
        <v>9898</v>
      </c>
      <c r="Y1552" t="s">
        <v>9900</v>
      </c>
      <c r="Z1552" t="s">
        <v>9898</v>
      </c>
      <c r="AD1552">
        <f t="shared" si="49"/>
        <v>7</v>
      </c>
    </row>
    <row r="1553" spans="1:30" x14ac:dyDescent="0.25">
      <c r="A1553" t="s">
        <v>1577</v>
      </c>
      <c r="B1553" s="2">
        <v>44696</v>
      </c>
      <c r="C1553" s="2">
        <v>44697</v>
      </c>
      <c r="D1553" t="s">
        <v>5361</v>
      </c>
      <c r="E1553" t="s">
        <v>5861</v>
      </c>
      <c r="F1553" t="s">
        <v>6026</v>
      </c>
      <c r="G1553" t="s">
        <v>6031</v>
      </c>
      <c r="H1553" t="s">
        <v>6040</v>
      </c>
      <c r="I1553" t="s">
        <v>6050</v>
      </c>
      <c r="J1553" t="s">
        <v>6053</v>
      </c>
      <c r="K1553" t="s">
        <v>6057</v>
      </c>
      <c r="L1553" t="s">
        <v>7493</v>
      </c>
      <c r="M1553">
        <v>1328.98</v>
      </c>
      <c r="N1553">
        <v>2</v>
      </c>
      <c r="O1553">
        <v>0.17</v>
      </c>
      <c r="P1553">
        <v>32.880000000000003</v>
      </c>
      <c r="Q1553" t="s">
        <v>9893</v>
      </c>
      <c r="R1553">
        <v>1</v>
      </c>
      <c r="S1553" s="5">
        <f t="shared" si="48"/>
        <v>2.4740778642267005E-2</v>
      </c>
      <c r="T1553">
        <v>664.49</v>
      </c>
      <c r="U1553">
        <v>5</v>
      </c>
      <c r="V1553">
        <v>2022</v>
      </c>
      <c r="W1553">
        <v>2</v>
      </c>
      <c r="X1553" t="s">
        <v>9899</v>
      </c>
      <c r="Y1553" t="s">
        <v>9900</v>
      </c>
      <c r="Z1553" t="s">
        <v>9898</v>
      </c>
      <c r="AD1553">
        <f t="shared" si="49"/>
        <v>1</v>
      </c>
    </row>
    <row r="1554" spans="1:30" x14ac:dyDescent="0.25">
      <c r="A1554" t="s">
        <v>1578</v>
      </c>
      <c r="B1554" s="2">
        <v>44601</v>
      </c>
      <c r="C1554" s="2">
        <v>44605</v>
      </c>
      <c r="D1554" t="s">
        <v>5355</v>
      </c>
      <c r="E1554" t="s">
        <v>5855</v>
      </c>
      <c r="F1554" t="s">
        <v>6026</v>
      </c>
      <c r="G1554" t="s">
        <v>6031</v>
      </c>
      <c r="H1554" t="s">
        <v>6040</v>
      </c>
      <c r="I1554" t="s">
        <v>6048</v>
      </c>
      <c r="J1554" t="s">
        <v>6054</v>
      </c>
      <c r="K1554" t="s">
        <v>6060</v>
      </c>
      <c r="L1554" t="s">
        <v>7494</v>
      </c>
      <c r="M1554">
        <v>182.36</v>
      </c>
      <c r="N1554">
        <v>6</v>
      </c>
      <c r="O1554">
        <v>0.08</v>
      </c>
      <c r="P1554">
        <v>28.77</v>
      </c>
      <c r="Q1554" t="s">
        <v>9894</v>
      </c>
      <c r="R1554">
        <v>4</v>
      </c>
      <c r="S1554" s="5">
        <f t="shared" si="48"/>
        <v>0.15776486071506907</v>
      </c>
      <c r="T1554">
        <v>30.393333333333331</v>
      </c>
      <c r="U1554">
        <v>2</v>
      </c>
      <c r="V1554">
        <v>2022</v>
      </c>
      <c r="W1554">
        <v>1</v>
      </c>
      <c r="X1554" t="s">
        <v>9899</v>
      </c>
      <c r="Y1554" t="s">
        <v>9901</v>
      </c>
      <c r="Z1554" t="s">
        <v>9899</v>
      </c>
      <c r="AD1554">
        <f t="shared" si="49"/>
        <v>4</v>
      </c>
    </row>
    <row r="1555" spans="1:30" x14ac:dyDescent="0.25">
      <c r="A1555" t="s">
        <v>1579</v>
      </c>
      <c r="B1555" s="2">
        <v>44719</v>
      </c>
      <c r="C1555" s="2">
        <v>44720</v>
      </c>
      <c r="D1555" t="s">
        <v>5510</v>
      </c>
      <c r="E1555" t="s">
        <v>6010</v>
      </c>
      <c r="F1555" t="s">
        <v>6026</v>
      </c>
      <c r="G1555" t="s">
        <v>6031</v>
      </c>
      <c r="H1555" t="s">
        <v>6042</v>
      </c>
      <c r="I1555" t="s">
        <v>6052</v>
      </c>
      <c r="J1555" t="s">
        <v>6053</v>
      </c>
      <c r="K1555" t="s">
        <v>6056</v>
      </c>
      <c r="L1555" t="s">
        <v>7495</v>
      </c>
      <c r="M1555">
        <v>1989.51</v>
      </c>
      <c r="N1555">
        <v>1</v>
      </c>
      <c r="O1555">
        <v>0.33</v>
      </c>
      <c r="P1555">
        <v>-201.03</v>
      </c>
      <c r="Q1555" t="s">
        <v>9895</v>
      </c>
      <c r="R1555">
        <v>1</v>
      </c>
      <c r="S1555" s="5">
        <f t="shared" si="48"/>
        <v>-0.10104498092495137</v>
      </c>
      <c r="T1555">
        <v>1989.51</v>
      </c>
      <c r="U1555">
        <v>6</v>
      </c>
      <c r="V1555">
        <v>2022</v>
      </c>
      <c r="W1555">
        <v>2</v>
      </c>
      <c r="X1555" t="s">
        <v>9898</v>
      </c>
      <c r="Y1555" t="s">
        <v>9902</v>
      </c>
      <c r="Z1555" t="s">
        <v>9898</v>
      </c>
      <c r="AD1555">
        <f t="shared" si="49"/>
        <v>1</v>
      </c>
    </row>
    <row r="1556" spans="1:30" x14ac:dyDescent="0.25">
      <c r="A1556" t="s">
        <v>1580</v>
      </c>
      <c r="B1556" s="2">
        <v>45060</v>
      </c>
      <c r="C1556" s="2">
        <v>45064</v>
      </c>
      <c r="D1556" t="s">
        <v>5238</v>
      </c>
      <c r="E1556" t="s">
        <v>5738</v>
      </c>
      <c r="F1556" t="s">
        <v>6026</v>
      </c>
      <c r="G1556" t="s">
        <v>6029</v>
      </c>
      <c r="H1556" t="s">
        <v>6044</v>
      </c>
      <c r="I1556" t="s">
        <v>6050</v>
      </c>
      <c r="J1556" t="s">
        <v>6055</v>
      </c>
      <c r="K1556" t="s">
        <v>6063</v>
      </c>
      <c r="L1556" t="s">
        <v>7496</v>
      </c>
      <c r="M1556">
        <v>393.46</v>
      </c>
      <c r="N1556">
        <v>4</v>
      </c>
      <c r="O1556">
        <v>0.08</v>
      </c>
      <c r="P1556">
        <v>60.17</v>
      </c>
      <c r="Q1556" t="s">
        <v>9896</v>
      </c>
      <c r="R1556">
        <v>4</v>
      </c>
      <c r="S1556" s="5">
        <f t="shared" si="48"/>
        <v>0.15292532913129672</v>
      </c>
      <c r="T1556">
        <v>98.364999999999995</v>
      </c>
      <c r="U1556">
        <v>5</v>
      </c>
      <c r="V1556">
        <v>2023</v>
      </c>
      <c r="W1556">
        <v>2</v>
      </c>
      <c r="X1556" t="s">
        <v>9899</v>
      </c>
      <c r="Y1556" t="s">
        <v>9901</v>
      </c>
      <c r="Z1556" t="s">
        <v>9899</v>
      </c>
      <c r="AD1556">
        <f t="shared" si="49"/>
        <v>4</v>
      </c>
    </row>
    <row r="1557" spans="1:30" x14ac:dyDescent="0.25">
      <c r="A1557" t="s">
        <v>1581</v>
      </c>
      <c r="B1557" s="2">
        <v>45299</v>
      </c>
      <c r="C1557" s="2">
        <v>45300</v>
      </c>
      <c r="D1557" t="s">
        <v>5250</v>
      </c>
      <c r="E1557" t="s">
        <v>5750</v>
      </c>
      <c r="F1557" t="s">
        <v>6028</v>
      </c>
      <c r="G1557" t="s">
        <v>6031</v>
      </c>
      <c r="H1557" t="s">
        <v>6037</v>
      </c>
      <c r="I1557" t="s">
        <v>6052</v>
      </c>
      <c r="J1557" t="s">
        <v>6054</v>
      </c>
      <c r="K1557" t="s">
        <v>6059</v>
      </c>
      <c r="L1557" t="s">
        <v>7497</v>
      </c>
      <c r="M1557">
        <v>637.83000000000004</v>
      </c>
      <c r="N1557">
        <v>8</v>
      </c>
      <c r="O1557">
        <v>0.31</v>
      </c>
      <c r="P1557">
        <v>-13.45</v>
      </c>
      <c r="Q1557" t="s">
        <v>9896</v>
      </c>
      <c r="R1557">
        <v>1</v>
      </c>
      <c r="S1557" s="5">
        <f t="shared" si="48"/>
        <v>-2.1087123528212844E-2</v>
      </c>
      <c r="T1557">
        <v>79.728750000000005</v>
      </c>
      <c r="U1557">
        <v>1</v>
      </c>
      <c r="V1557">
        <v>2024</v>
      </c>
      <c r="W1557">
        <v>1</v>
      </c>
      <c r="X1557" t="s">
        <v>9898</v>
      </c>
      <c r="Y1557" t="s">
        <v>9902</v>
      </c>
      <c r="Z1557" t="s">
        <v>9899</v>
      </c>
      <c r="AD1557">
        <f t="shared" si="49"/>
        <v>1</v>
      </c>
    </row>
    <row r="1558" spans="1:30" x14ac:dyDescent="0.25">
      <c r="A1558" t="s">
        <v>1582</v>
      </c>
      <c r="B1558" s="2">
        <v>45313</v>
      </c>
      <c r="C1558" s="2">
        <v>45316</v>
      </c>
      <c r="D1558" t="s">
        <v>5357</v>
      </c>
      <c r="E1558" t="s">
        <v>5857</v>
      </c>
      <c r="F1558" t="s">
        <v>6028</v>
      </c>
      <c r="G1558" t="s">
        <v>6031</v>
      </c>
      <c r="H1558" t="s">
        <v>6037</v>
      </c>
      <c r="I1558" t="s">
        <v>6050</v>
      </c>
      <c r="J1558" t="s">
        <v>6053</v>
      </c>
      <c r="K1558" t="s">
        <v>6057</v>
      </c>
      <c r="L1558" t="s">
        <v>7498</v>
      </c>
      <c r="M1558">
        <v>1246.75</v>
      </c>
      <c r="N1558">
        <v>5</v>
      </c>
      <c r="O1558">
        <v>0.02</v>
      </c>
      <c r="P1558">
        <v>272.79000000000002</v>
      </c>
      <c r="Q1558" t="s">
        <v>9895</v>
      </c>
      <c r="R1558">
        <v>3</v>
      </c>
      <c r="S1558" s="5">
        <f t="shared" si="48"/>
        <v>0.21880088229396433</v>
      </c>
      <c r="T1558">
        <v>249.35</v>
      </c>
      <c r="U1558">
        <v>1</v>
      </c>
      <c r="V1558">
        <v>2024</v>
      </c>
      <c r="W1558">
        <v>1</v>
      </c>
      <c r="X1558" t="s">
        <v>9899</v>
      </c>
      <c r="Y1558" t="s">
        <v>9901</v>
      </c>
      <c r="Z1558" t="s">
        <v>9898</v>
      </c>
      <c r="AD1558">
        <f t="shared" si="49"/>
        <v>3</v>
      </c>
    </row>
    <row r="1559" spans="1:30" x14ac:dyDescent="0.25">
      <c r="A1559" t="s">
        <v>1583</v>
      </c>
      <c r="B1559" s="2">
        <v>44711</v>
      </c>
      <c r="C1559" s="2">
        <v>44716</v>
      </c>
      <c r="D1559" t="s">
        <v>5105</v>
      </c>
      <c r="E1559" t="s">
        <v>5605</v>
      </c>
      <c r="F1559" t="s">
        <v>6026</v>
      </c>
      <c r="G1559" t="s">
        <v>6031</v>
      </c>
      <c r="H1559" t="s">
        <v>6037</v>
      </c>
      <c r="I1559" t="s">
        <v>6052</v>
      </c>
      <c r="J1559" t="s">
        <v>6053</v>
      </c>
      <c r="K1559" t="s">
        <v>6058</v>
      </c>
      <c r="L1559" t="s">
        <v>7244</v>
      </c>
      <c r="M1559">
        <v>111.76</v>
      </c>
      <c r="N1559">
        <v>7</v>
      </c>
      <c r="O1559">
        <v>0.28999999999999998</v>
      </c>
      <c r="P1559">
        <v>-6.95</v>
      </c>
      <c r="Q1559" t="s">
        <v>9893</v>
      </c>
      <c r="R1559">
        <v>5</v>
      </c>
      <c r="S1559" s="5">
        <f t="shared" si="48"/>
        <v>-6.2186828919112383E-2</v>
      </c>
      <c r="T1559">
        <v>15.96571428571429</v>
      </c>
      <c r="U1559">
        <v>5</v>
      </c>
      <c r="V1559">
        <v>2022</v>
      </c>
      <c r="W1559">
        <v>2</v>
      </c>
      <c r="X1559" t="s">
        <v>9898</v>
      </c>
      <c r="Y1559" t="s">
        <v>9900</v>
      </c>
      <c r="Z1559" t="s">
        <v>9899</v>
      </c>
      <c r="AD1559">
        <f t="shared" si="49"/>
        <v>5</v>
      </c>
    </row>
    <row r="1560" spans="1:30" x14ac:dyDescent="0.25">
      <c r="A1560" t="s">
        <v>1584</v>
      </c>
      <c r="B1560" s="2">
        <v>45212</v>
      </c>
      <c r="C1560" s="2">
        <v>45216</v>
      </c>
      <c r="D1560" t="s">
        <v>5413</v>
      </c>
      <c r="E1560" t="s">
        <v>5913</v>
      </c>
      <c r="F1560" t="s">
        <v>6026</v>
      </c>
      <c r="G1560" t="s">
        <v>6031</v>
      </c>
      <c r="H1560" t="s">
        <v>6037</v>
      </c>
      <c r="I1560" t="s">
        <v>6048</v>
      </c>
      <c r="J1560" t="s">
        <v>6055</v>
      </c>
      <c r="K1560" t="s">
        <v>6064</v>
      </c>
      <c r="L1560" t="s">
        <v>6554</v>
      </c>
      <c r="M1560">
        <v>888.09</v>
      </c>
      <c r="N1560">
        <v>6</v>
      </c>
      <c r="O1560">
        <v>0.32</v>
      </c>
      <c r="P1560">
        <v>-122.9</v>
      </c>
      <c r="Q1560" t="s">
        <v>9893</v>
      </c>
      <c r="R1560">
        <v>4</v>
      </c>
      <c r="S1560" s="5">
        <f t="shared" si="48"/>
        <v>-0.13838687520408968</v>
      </c>
      <c r="T1560">
        <v>148.01499999999999</v>
      </c>
      <c r="U1560">
        <v>10</v>
      </c>
      <c r="V1560">
        <v>2023</v>
      </c>
      <c r="W1560">
        <v>4</v>
      </c>
      <c r="X1560" t="s">
        <v>9898</v>
      </c>
      <c r="Y1560" t="s">
        <v>9902</v>
      </c>
      <c r="Z1560" t="s">
        <v>9899</v>
      </c>
      <c r="AD1560">
        <f t="shared" si="49"/>
        <v>4</v>
      </c>
    </row>
    <row r="1561" spans="1:30" x14ac:dyDescent="0.25">
      <c r="A1561" t="s">
        <v>1585</v>
      </c>
      <c r="B1561" s="2">
        <v>44743</v>
      </c>
      <c r="C1561" s="2">
        <v>44745</v>
      </c>
      <c r="D1561" t="s">
        <v>5423</v>
      </c>
      <c r="E1561" t="s">
        <v>5923</v>
      </c>
      <c r="F1561" t="s">
        <v>6028</v>
      </c>
      <c r="G1561" t="s">
        <v>6031</v>
      </c>
      <c r="H1561" t="s">
        <v>6034</v>
      </c>
      <c r="I1561" t="s">
        <v>6048</v>
      </c>
      <c r="J1561" t="s">
        <v>6053</v>
      </c>
      <c r="K1561" t="s">
        <v>6058</v>
      </c>
      <c r="L1561" t="s">
        <v>6447</v>
      </c>
      <c r="M1561">
        <v>1942.52</v>
      </c>
      <c r="N1561">
        <v>8</v>
      </c>
      <c r="O1561">
        <v>0.19</v>
      </c>
      <c r="P1561">
        <v>197.37</v>
      </c>
      <c r="Q1561" t="s">
        <v>9894</v>
      </c>
      <c r="R1561">
        <v>2</v>
      </c>
      <c r="S1561" s="5">
        <f t="shared" si="48"/>
        <v>0.10160513147869778</v>
      </c>
      <c r="T1561">
        <v>242.815</v>
      </c>
      <c r="U1561">
        <v>7</v>
      </c>
      <c r="V1561">
        <v>2022</v>
      </c>
      <c r="W1561">
        <v>3</v>
      </c>
      <c r="X1561" t="s">
        <v>9899</v>
      </c>
      <c r="Y1561" t="s">
        <v>9900</v>
      </c>
      <c r="Z1561" t="s">
        <v>9898</v>
      </c>
      <c r="AD1561">
        <f t="shared" si="49"/>
        <v>2</v>
      </c>
    </row>
    <row r="1562" spans="1:30" x14ac:dyDescent="0.25">
      <c r="A1562" t="s">
        <v>1586</v>
      </c>
      <c r="B1562" s="2">
        <v>45218</v>
      </c>
      <c r="C1562" s="2">
        <v>45225</v>
      </c>
      <c r="D1562" t="s">
        <v>5338</v>
      </c>
      <c r="E1562" t="s">
        <v>5838</v>
      </c>
      <c r="F1562" t="s">
        <v>6027</v>
      </c>
      <c r="G1562" t="s">
        <v>6030</v>
      </c>
      <c r="H1562" t="s">
        <v>6038</v>
      </c>
      <c r="I1562" t="s">
        <v>6051</v>
      </c>
      <c r="J1562" t="s">
        <v>6054</v>
      </c>
      <c r="K1562" t="s">
        <v>6062</v>
      </c>
      <c r="L1562" t="s">
        <v>7499</v>
      </c>
      <c r="M1562">
        <v>506.71</v>
      </c>
      <c r="N1562">
        <v>6</v>
      </c>
      <c r="O1562">
        <v>0.27</v>
      </c>
      <c r="P1562">
        <v>-70.55</v>
      </c>
      <c r="Q1562" t="s">
        <v>9895</v>
      </c>
      <c r="R1562">
        <v>7</v>
      </c>
      <c r="S1562" s="5">
        <f t="shared" si="48"/>
        <v>-0.13923151309427484</v>
      </c>
      <c r="T1562">
        <v>84.451666666666668</v>
      </c>
      <c r="U1562">
        <v>10</v>
      </c>
      <c r="V1562">
        <v>2023</v>
      </c>
      <c r="W1562">
        <v>4</v>
      </c>
      <c r="X1562" t="s">
        <v>9898</v>
      </c>
      <c r="Y1562" t="s">
        <v>9900</v>
      </c>
      <c r="Z1562" t="s">
        <v>9899</v>
      </c>
      <c r="AD1562">
        <f t="shared" si="49"/>
        <v>7</v>
      </c>
    </row>
    <row r="1563" spans="1:30" x14ac:dyDescent="0.25">
      <c r="A1563" t="s">
        <v>1587</v>
      </c>
      <c r="B1563" s="2">
        <v>44798</v>
      </c>
      <c r="C1563" s="2">
        <v>44799</v>
      </c>
      <c r="D1563" t="s">
        <v>5476</v>
      </c>
      <c r="E1563" t="s">
        <v>5976</v>
      </c>
      <c r="F1563" t="s">
        <v>6027</v>
      </c>
      <c r="G1563" t="s">
        <v>6029</v>
      </c>
      <c r="H1563" t="s">
        <v>6036</v>
      </c>
      <c r="I1563" t="s">
        <v>6049</v>
      </c>
      <c r="J1563" t="s">
        <v>6055</v>
      </c>
      <c r="K1563" t="s">
        <v>6063</v>
      </c>
      <c r="L1563" t="s">
        <v>7500</v>
      </c>
      <c r="M1563">
        <v>635.02</v>
      </c>
      <c r="N1563">
        <v>2</v>
      </c>
      <c r="O1563">
        <v>7.0000000000000007E-2</v>
      </c>
      <c r="P1563">
        <v>48.63</v>
      </c>
      <c r="Q1563" t="s">
        <v>9897</v>
      </c>
      <c r="R1563">
        <v>1</v>
      </c>
      <c r="S1563" s="5">
        <f t="shared" si="48"/>
        <v>7.6580265188498003E-2</v>
      </c>
      <c r="T1563">
        <v>317.51</v>
      </c>
      <c r="U1563">
        <v>8</v>
      </c>
      <c r="V1563">
        <v>2022</v>
      </c>
      <c r="W1563">
        <v>3</v>
      </c>
      <c r="X1563" t="s">
        <v>9899</v>
      </c>
      <c r="Y1563" t="s">
        <v>9901</v>
      </c>
      <c r="Z1563" t="s">
        <v>9899</v>
      </c>
      <c r="AD1563">
        <f t="shared" si="49"/>
        <v>1</v>
      </c>
    </row>
    <row r="1564" spans="1:30" x14ac:dyDescent="0.25">
      <c r="A1564" t="s">
        <v>1588</v>
      </c>
      <c r="B1564" s="2">
        <v>45086</v>
      </c>
      <c r="C1564" s="2">
        <v>45090</v>
      </c>
      <c r="D1564" t="s">
        <v>5399</v>
      </c>
      <c r="E1564" t="s">
        <v>5899</v>
      </c>
      <c r="F1564" t="s">
        <v>6027</v>
      </c>
      <c r="G1564" t="s">
        <v>6030</v>
      </c>
      <c r="H1564" t="s">
        <v>6039</v>
      </c>
      <c r="I1564" t="s">
        <v>6051</v>
      </c>
      <c r="J1564" t="s">
        <v>6054</v>
      </c>
      <c r="K1564" t="s">
        <v>6059</v>
      </c>
      <c r="L1564" t="s">
        <v>7501</v>
      </c>
      <c r="M1564">
        <v>1621.83</v>
      </c>
      <c r="N1564">
        <v>6</v>
      </c>
      <c r="O1564">
        <v>0.25</v>
      </c>
      <c r="P1564">
        <v>-106.42</v>
      </c>
      <c r="Q1564" t="s">
        <v>9895</v>
      </c>
      <c r="R1564">
        <v>4</v>
      </c>
      <c r="S1564" s="5">
        <f t="shared" si="48"/>
        <v>-6.5617234851988185E-2</v>
      </c>
      <c r="T1564">
        <v>270.30500000000001</v>
      </c>
      <c r="U1564">
        <v>6</v>
      </c>
      <c r="V1564">
        <v>2023</v>
      </c>
      <c r="W1564">
        <v>2</v>
      </c>
      <c r="X1564" t="s">
        <v>9898</v>
      </c>
      <c r="Y1564" t="s">
        <v>9900</v>
      </c>
      <c r="Z1564" t="s">
        <v>9898</v>
      </c>
      <c r="AD1564">
        <f t="shared" si="49"/>
        <v>4</v>
      </c>
    </row>
    <row r="1565" spans="1:30" x14ac:dyDescent="0.25">
      <c r="A1565" t="s">
        <v>1589</v>
      </c>
      <c r="B1565" s="2">
        <v>44943</v>
      </c>
      <c r="C1565" s="2">
        <v>44945</v>
      </c>
      <c r="D1565" t="s">
        <v>5330</v>
      </c>
      <c r="E1565" t="s">
        <v>5830</v>
      </c>
      <c r="F1565" t="s">
        <v>6027</v>
      </c>
      <c r="G1565" t="s">
        <v>6029</v>
      </c>
      <c r="H1565" t="s">
        <v>6036</v>
      </c>
      <c r="I1565" t="s">
        <v>6049</v>
      </c>
      <c r="J1565" t="s">
        <v>6053</v>
      </c>
      <c r="K1565" t="s">
        <v>6057</v>
      </c>
      <c r="L1565" t="s">
        <v>7502</v>
      </c>
      <c r="M1565">
        <v>487.77</v>
      </c>
      <c r="N1565">
        <v>4</v>
      </c>
      <c r="O1565">
        <v>0.1</v>
      </c>
      <c r="P1565">
        <v>49.67</v>
      </c>
      <c r="Q1565" t="s">
        <v>9897</v>
      </c>
      <c r="R1565">
        <v>2</v>
      </c>
      <c r="S1565" s="5">
        <f t="shared" si="48"/>
        <v>0.10183078090083442</v>
      </c>
      <c r="T1565">
        <v>121.9425</v>
      </c>
      <c r="U1565">
        <v>1</v>
      </c>
      <c r="V1565">
        <v>2023</v>
      </c>
      <c r="W1565">
        <v>1</v>
      </c>
      <c r="X1565" t="s">
        <v>9899</v>
      </c>
      <c r="Y1565" t="s">
        <v>9901</v>
      </c>
      <c r="Z1565" t="s">
        <v>9899</v>
      </c>
      <c r="AD1565">
        <f t="shared" si="49"/>
        <v>2</v>
      </c>
    </row>
    <row r="1566" spans="1:30" x14ac:dyDescent="0.25">
      <c r="A1566" t="s">
        <v>1590</v>
      </c>
      <c r="B1566" s="2">
        <v>45044</v>
      </c>
      <c r="C1566" s="2">
        <v>45051</v>
      </c>
      <c r="D1566" t="s">
        <v>5511</v>
      </c>
      <c r="E1566" t="s">
        <v>6011</v>
      </c>
      <c r="F1566" t="s">
        <v>6027</v>
      </c>
      <c r="G1566" t="s">
        <v>6029</v>
      </c>
      <c r="H1566" t="s">
        <v>6032</v>
      </c>
      <c r="I1566" t="s">
        <v>6050</v>
      </c>
      <c r="J1566" t="s">
        <v>6054</v>
      </c>
      <c r="K1566" t="s">
        <v>6059</v>
      </c>
      <c r="L1566" t="s">
        <v>7503</v>
      </c>
      <c r="M1566">
        <v>1561.52</v>
      </c>
      <c r="N1566">
        <v>1</v>
      </c>
      <c r="O1566">
        <v>0.13</v>
      </c>
      <c r="P1566">
        <v>89.93</v>
      </c>
      <c r="Q1566" t="s">
        <v>9896</v>
      </c>
      <c r="R1566">
        <v>7</v>
      </c>
      <c r="S1566" s="5">
        <f t="shared" si="48"/>
        <v>5.7591321276704757E-2</v>
      </c>
      <c r="T1566">
        <v>1561.52</v>
      </c>
      <c r="U1566">
        <v>4</v>
      </c>
      <c r="V1566">
        <v>2023</v>
      </c>
      <c r="W1566">
        <v>2</v>
      </c>
      <c r="X1566" t="s">
        <v>9899</v>
      </c>
      <c r="Y1566" t="s">
        <v>9901</v>
      </c>
      <c r="Z1566" t="s">
        <v>9898</v>
      </c>
      <c r="AD1566">
        <f t="shared" si="49"/>
        <v>7</v>
      </c>
    </row>
    <row r="1567" spans="1:30" x14ac:dyDescent="0.25">
      <c r="A1567" t="s">
        <v>1591</v>
      </c>
      <c r="B1567" s="2">
        <v>44750</v>
      </c>
      <c r="C1567" s="2">
        <v>44754</v>
      </c>
      <c r="D1567" t="s">
        <v>5410</v>
      </c>
      <c r="E1567" t="s">
        <v>5910</v>
      </c>
      <c r="F1567" t="s">
        <v>6026</v>
      </c>
      <c r="G1567" t="s">
        <v>6029</v>
      </c>
      <c r="H1567" t="s">
        <v>6045</v>
      </c>
      <c r="I1567" t="s">
        <v>6050</v>
      </c>
      <c r="J1567" t="s">
        <v>6054</v>
      </c>
      <c r="K1567" t="s">
        <v>6060</v>
      </c>
      <c r="L1567" t="s">
        <v>7504</v>
      </c>
      <c r="M1567">
        <v>399.96</v>
      </c>
      <c r="N1567">
        <v>7</v>
      </c>
      <c r="O1567">
        <v>0.04</v>
      </c>
      <c r="P1567">
        <v>99.81</v>
      </c>
      <c r="Q1567" t="s">
        <v>9896</v>
      </c>
      <c r="R1567">
        <v>4</v>
      </c>
      <c r="S1567" s="5">
        <f t="shared" si="48"/>
        <v>0.24954995499549956</v>
      </c>
      <c r="T1567">
        <v>57.137142857142862</v>
      </c>
      <c r="U1567">
        <v>7</v>
      </c>
      <c r="V1567">
        <v>2022</v>
      </c>
      <c r="W1567">
        <v>3</v>
      </c>
      <c r="X1567" t="s">
        <v>9899</v>
      </c>
      <c r="Y1567" t="s">
        <v>9901</v>
      </c>
      <c r="Z1567" t="s">
        <v>9899</v>
      </c>
      <c r="AD1567">
        <f t="shared" si="49"/>
        <v>4</v>
      </c>
    </row>
    <row r="1568" spans="1:30" x14ac:dyDescent="0.25">
      <c r="A1568" t="s">
        <v>1592</v>
      </c>
      <c r="B1568" s="2">
        <v>44637</v>
      </c>
      <c r="C1568" s="2">
        <v>44640</v>
      </c>
      <c r="D1568" t="s">
        <v>5355</v>
      </c>
      <c r="E1568" t="s">
        <v>5855</v>
      </c>
      <c r="F1568" t="s">
        <v>6026</v>
      </c>
      <c r="G1568" t="s">
        <v>6029</v>
      </c>
      <c r="H1568" t="s">
        <v>6041</v>
      </c>
      <c r="I1568" t="s">
        <v>6046</v>
      </c>
      <c r="J1568" t="s">
        <v>6054</v>
      </c>
      <c r="K1568" t="s">
        <v>6060</v>
      </c>
      <c r="L1568" t="s">
        <v>7182</v>
      </c>
      <c r="M1568">
        <v>1576.07</v>
      </c>
      <c r="N1568">
        <v>7</v>
      </c>
      <c r="O1568">
        <v>0.06</v>
      </c>
      <c r="P1568">
        <v>350.3</v>
      </c>
      <c r="Q1568" t="s">
        <v>9894</v>
      </c>
      <c r="R1568">
        <v>3</v>
      </c>
      <c r="S1568" s="5">
        <f t="shared" si="48"/>
        <v>0.22226170157416866</v>
      </c>
      <c r="T1568">
        <v>225.1528571428571</v>
      </c>
      <c r="U1568">
        <v>3</v>
      </c>
      <c r="V1568">
        <v>2022</v>
      </c>
      <c r="W1568">
        <v>1</v>
      </c>
      <c r="X1568" t="s">
        <v>9899</v>
      </c>
      <c r="Y1568" t="s">
        <v>9901</v>
      </c>
      <c r="Z1568" t="s">
        <v>9898</v>
      </c>
      <c r="AD1568">
        <f t="shared" si="49"/>
        <v>3</v>
      </c>
    </row>
    <row r="1569" spans="1:30" x14ac:dyDescent="0.25">
      <c r="A1569" t="s">
        <v>1593</v>
      </c>
      <c r="B1569" s="2">
        <v>44619</v>
      </c>
      <c r="C1569" s="2">
        <v>44625</v>
      </c>
      <c r="D1569" t="s">
        <v>5186</v>
      </c>
      <c r="E1569" t="s">
        <v>5686</v>
      </c>
      <c r="F1569" t="s">
        <v>6028</v>
      </c>
      <c r="G1569" t="s">
        <v>6029</v>
      </c>
      <c r="H1569" t="s">
        <v>6045</v>
      </c>
      <c r="I1569" t="s">
        <v>6046</v>
      </c>
      <c r="J1569" t="s">
        <v>6053</v>
      </c>
      <c r="K1569" t="s">
        <v>6058</v>
      </c>
      <c r="L1569" t="s">
        <v>7505</v>
      </c>
      <c r="M1569">
        <v>1652.58</v>
      </c>
      <c r="N1569">
        <v>2</v>
      </c>
      <c r="O1569">
        <v>0.01</v>
      </c>
      <c r="P1569">
        <v>172.57</v>
      </c>
      <c r="Q1569" t="s">
        <v>9895</v>
      </c>
      <c r="R1569">
        <v>6</v>
      </c>
      <c r="S1569" s="5">
        <f t="shared" si="48"/>
        <v>0.10442459669123431</v>
      </c>
      <c r="T1569">
        <v>826.29</v>
      </c>
      <c r="U1569">
        <v>2</v>
      </c>
      <c r="V1569">
        <v>2022</v>
      </c>
      <c r="W1569">
        <v>1</v>
      </c>
      <c r="X1569" t="s">
        <v>9899</v>
      </c>
      <c r="Y1569" t="s">
        <v>9901</v>
      </c>
      <c r="Z1569" t="s">
        <v>9898</v>
      </c>
      <c r="AD1569">
        <f t="shared" si="49"/>
        <v>6</v>
      </c>
    </row>
    <row r="1570" spans="1:30" x14ac:dyDescent="0.25">
      <c r="A1570" t="s">
        <v>1594</v>
      </c>
      <c r="B1570" s="2">
        <v>45179</v>
      </c>
      <c r="C1570" s="2">
        <v>45180</v>
      </c>
      <c r="D1570" t="s">
        <v>5180</v>
      </c>
      <c r="E1570" t="s">
        <v>5680</v>
      </c>
      <c r="F1570" t="s">
        <v>6027</v>
      </c>
      <c r="G1570" t="s">
        <v>6029</v>
      </c>
      <c r="H1570" t="s">
        <v>6032</v>
      </c>
      <c r="I1570" t="s">
        <v>6046</v>
      </c>
      <c r="J1570" t="s">
        <v>6053</v>
      </c>
      <c r="K1570" t="s">
        <v>6057</v>
      </c>
      <c r="L1570" t="s">
        <v>7506</v>
      </c>
      <c r="M1570">
        <v>1979.3</v>
      </c>
      <c r="N1570">
        <v>7</v>
      </c>
      <c r="O1570">
        <v>0.25</v>
      </c>
      <c r="P1570">
        <v>-5.15</v>
      </c>
      <c r="Q1570" t="s">
        <v>9897</v>
      </c>
      <c r="R1570">
        <v>1</v>
      </c>
      <c r="S1570" s="5">
        <f t="shared" si="48"/>
        <v>-2.6019299752437731E-3</v>
      </c>
      <c r="T1570">
        <v>282.75714285714292</v>
      </c>
      <c r="U1570">
        <v>9</v>
      </c>
      <c r="V1570">
        <v>2023</v>
      </c>
      <c r="W1570">
        <v>3</v>
      </c>
      <c r="X1570" t="s">
        <v>9898</v>
      </c>
      <c r="Y1570" t="s">
        <v>9900</v>
      </c>
      <c r="Z1570" t="s">
        <v>9898</v>
      </c>
      <c r="AD1570">
        <f t="shared" si="49"/>
        <v>1</v>
      </c>
    </row>
    <row r="1571" spans="1:30" x14ac:dyDescent="0.25">
      <c r="A1571" t="s">
        <v>1595</v>
      </c>
      <c r="B1571" s="2">
        <v>44803</v>
      </c>
      <c r="C1571" s="2">
        <v>44809</v>
      </c>
      <c r="D1571" t="s">
        <v>5217</v>
      </c>
      <c r="E1571" t="s">
        <v>5717</v>
      </c>
      <c r="F1571" t="s">
        <v>6026</v>
      </c>
      <c r="G1571" t="s">
        <v>6031</v>
      </c>
      <c r="H1571" t="s">
        <v>6040</v>
      </c>
      <c r="I1571" t="s">
        <v>6052</v>
      </c>
      <c r="J1571" t="s">
        <v>6053</v>
      </c>
      <c r="K1571" t="s">
        <v>6058</v>
      </c>
      <c r="L1571" t="s">
        <v>7507</v>
      </c>
      <c r="M1571">
        <v>172.16</v>
      </c>
      <c r="N1571">
        <v>1</v>
      </c>
      <c r="O1571">
        <v>0.28999999999999998</v>
      </c>
      <c r="P1571">
        <v>-2.5299999999999998</v>
      </c>
      <c r="Q1571" t="s">
        <v>9894</v>
      </c>
      <c r="R1571">
        <v>6</v>
      </c>
      <c r="S1571" s="5">
        <f t="shared" si="48"/>
        <v>-1.4695631970260222E-2</v>
      </c>
      <c r="T1571">
        <v>172.16</v>
      </c>
      <c r="U1571">
        <v>8</v>
      </c>
      <c r="V1571">
        <v>2022</v>
      </c>
      <c r="W1571">
        <v>3</v>
      </c>
      <c r="X1571" t="s">
        <v>9898</v>
      </c>
      <c r="Y1571" t="s">
        <v>9900</v>
      </c>
      <c r="Z1571" t="s">
        <v>9899</v>
      </c>
      <c r="AD1571">
        <f t="shared" si="49"/>
        <v>6</v>
      </c>
    </row>
    <row r="1572" spans="1:30" x14ac:dyDescent="0.25">
      <c r="A1572" t="s">
        <v>1596</v>
      </c>
      <c r="B1572" s="2">
        <v>45006</v>
      </c>
      <c r="C1572" s="2">
        <v>45008</v>
      </c>
      <c r="D1572" t="s">
        <v>5510</v>
      </c>
      <c r="E1572" t="s">
        <v>6010</v>
      </c>
      <c r="F1572" t="s">
        <v>6026</v>
      </c>
      <c r="G1572" t="s">
        <v>6031</v>
      </c>
      <c r="H1572" t="s">
        <v>6034</v>
      </c>
      <c r="I1572" t="s">
        <v>6048</v>
      </c>
      <c r="J1572" t="s">
        <v>6055</v>
      </c>
      <c r="K1572" t="s">
        <v>6063</v>
      </c>
      <c r="L1572" t="s">
        <v>7508</v>
      </c>
      <c r="M1572">
        <v>496.33</v>
      </c>
      <c r="N1572">
        <v>8</v>
      </c>
      <c r="O1572">
        <v>0.32</v>
      </c>
      <c r="P1572">
        <v>-51.41</v>
      </c>
      <c r="Q1572" t="s">
        <v>9895</v>
      </c>
      <c r="R1572">
        <v>2</v>
      </c>
      <c r="S1572" s="5">
        <f t="shared" si="48"/>
        <v>-0.10358027924969274</v>
      </c>
      <c r="T1572">
        <v>62.041249999999998</v>
      </c>
      <c r="U1572">
        <v>3</v>
      </c>
      <c r="V1572">
        <v>2023</v>
      </c>
      <c r="W1572">
        <v>1</v>
      </c>
      <c r="X1572" t="s">
        <v>9898</v>
      </c>
      <c r="Y1572" t="s">
        <v>9902</v>
      </c>
      <c r="Z1572" t="s">
        <v>9899</v>
      </c>
      <c r="AD1572">
        <f t="shared" si="49"/>
        <v>2</v>
      </c>
    </row>
    <row r="1573" spans="1:30" x14ac:dyDescent="0.25">
      <c r="A1573" t="s">
        <v>1597</v>
      </c>
      <c r="B1573" s="2">
        <v>44578</v>
      </c>
      <c r="C1573" s="2">
        <v>44581</v>
      </c>
      <c r="D1573" t="s">
        <v>5140</v>
      </c>
      <c r="E1573" t="s">
        <v>5640</v>
      </c>
      <c r="F1573" t="s">
        <v>6027</v>
      </c>
      <c r="G1573" t="s">
        <v>6031</v>
      </c>
      <c r="H1573" t="s">
        <v>6042</v>
      </c>
      <c r="I1573" t="s">
        <v>6050</v>
      </c>
      <c r="J1573" t="s">
        <v>6055</v>
      </c>
      <c r="K1573" t="s">
        <v>6061</v>
      </c>
      <c r="L1573" t="s">
        <v>7509</v>
      </c>
      <c r="M1573">
        <v>1834.81</v>
      </c>
      <c r="N1573">
        <v>7</v>
      </c>
      <c r="O1573">
        <v>0.27</v>
      </c>
      <c r="P1573">
        <v>52.86</v>
      </c>
      <c r="Q1573" t="s">
        <v>9896</v>
      </c>
      <c r="R1573">
        <v>3</v>
      </c>
      <c r="S1573" s="5">
        <f t="shared" si="48"/>
        <v>2.8809522511867715E-2</v>
      </c>
      <c r="T1573">
        <v>262.11571428571432</v>
      </c>
      <c r="U1573">
        <v>1</v>
      </c>
      <c r="V1573">
        <v>2022</v>
      </c>
      <c r="W1573">
        <v>1</v>
      </c>
      <c r="X1573" t="s">
        <v>9899</v>
      </c>
      <c r="Y1573" t="s">
        <v>9900</v>
      </c>
      <c r="Z1573" t="s">
        <v>9898</v>
      </c>
      <c r="AD1573">
        <f t="shared" si="49"/>
        <v>3</v>
      </c>
    </row>
    <row r="1574" spans="1:30" x14ac:dyDescent="0.25">
      <c r="A1574" t="s">
        <v>1598</v>
      </c>
      <c r="B1574" s="2">
        <v>45458</v>
      </c>
      <c r="C1574" s="2">
        <v>45462</v>
      </c>
      <c r="D1574" t="s">
        <v>5378</v>
      </c>
      <c r="E1574" t="s">
        <v>5878</v>
      </c>
      <c r="F1574" t="s">
        <v>6028</v>
      </c>
      <c r="G1574" t="s">
        <v>6030</v>
      </c>
      <c r="H1574" t="s">
        <v>6038</v>
      </c>
      <c r="I1574" t="s">
        <v>6047</v>
      </c>
      <c r="J1574" t="s">
        <v>6053</v>
      </c>
      <c r="K1574" t="s">
        <v>6056</v>
      </c>
      <c r="L1574" t="s">
        <v>7510</v>
      </c>
      <c r="M1574">
        <v>1273.82</v>
      </c>
      <c r="N1574">
        <v>6</v>
      </c>
      <c r="O1574">
        <v>0.02</v>
      </c>
      <c r="P1574">
        <v>248.37</v>
      </c>
      <c r="Q1574" t="s">
        <v>9896</v>
      </c>
      <c r="R1574">
        <v>4</v>
      </c>
      <c r="S1574" s="5">
        <f t="shared" si="48"/>
        <v>0.19498045249721313</v>
      </c>
      <c r="T1574">
        <v>212.30333333333331</v>
      </c>
      <c r="U1574">
        <v>6</v>
      </c>
      <c r="V1574">
        <v>2024</v>
      </c>
      <c r="W1574">
        <v>2</v>
      </c>
      <c r="X1574" t="s">
        <v>9899</v>
      </c>
      <c r="Y1574" t="s">
        <v>9901</v>
      </c>
      <c r="Z1574" t="s">
        <v>9898</v>
      </c>
      <c r="AD1574">
        <f t="shared" si="49"/>
        <v>4</v>
      </c>
    </row>
    <row r="1575" spans="1:30" x14ac:dyDescent="0.25">
      <c r="A1575" t="s">
        <v>1599</v>
      </c>
      <c r="B1575" s="2">
        <v>45145</v>
      </c>
      <c r="C1575" s="2">
        <v>45152</v>
      </c>
      <c r="D1575" t="s">
        <v>5225</v>
      </c>
      <c r="E1575" t="s">
        <v>5725</v>
      </c>
      <c r="F1575" t="s">
        <v>6026</v>
      </c>
      <c r="G1575" t="s">
        <v>6029</v>
      </c>
      <c r="H1575" t="s">
        <v>6036</v>
      </c>
      <c r="I1575" t="s">
        <v>6046</v>
      </c>
      <c r="J1575" t="s">
        <v>6054</v>
      </c>
      <c r="K1575" t="s">
        <v>6059</v>
      </c>
      <c r="L1575" t="s">
        <v>7511</v>
      </c>
      <c r="M1575">
        <v>676.62</v>
      </c>
      <c r="N1575">
        <v>7</v>
      </c>
      <c r="O1575">
        <v>0.06</v>
      </c>
      <c r="P1575">
        <v>70.930000000000007</v>
      </c>
      <c r="Q1575" t="s">
        <v>9893</v>
      </c>
      <c r="R1575">
        <v>7</v>
      </c>
      <c r="S1575" s="5">
        <f t="shared" si="48"/>
        <v>0.10482988974609088</v>
      </c>
      <c r="T1575">
        <v>96.66</v>
      </c>
      <c r="U1575">
        <v>8</v>
      </c>
      <c r="V1575">
        <v>2023</v>
      </c>
      <c r="W1575">
        <v>3</v>
      </c>
      <c r="X1575" t="s">
        <v>9899</v>
      </c>
      <c r="Y1575" t="s">
        <v>9901</v>
      </c>
      <c r="Z1575" t="s">
        <v>9899</v>
      </c>
      <c r="AD1575">
        <f t="shared" si="49"/>
        <v>7</v>
      </c>
    </row>
    <row r="1576" spans="1:30" x14ac:dyDescent="0.25">
      <c r="A1576" t="s">
        <v>1600</v>
      </c>
      <c r="B1576" s="2">
        <v>45119</v>
      </c>
      <c r="C1576" s="2">
        <v>45126</v>
      </c>
      <c r="D1576" t="s">
        <v>5269</v>
      </c>
      <c r="E1576" t="s">
        <v>5769</v>
      </c>
      <c r="F1576" t="s">
        <v>6027</v>
      </c>
      <c r="G1576" t="s">
        <v>6030</v>
      </c>
      <c r="H1576" t="s">
        <v>6035</v>
      </c>
      <c r="I1576" t="s">
        <v>6051</v>
      </c>
      <c r="J1576" t="s">
        <v>6055</v>
      </c>
      <c r="K1576" t="s">
        <v>6063</v>
      </c>
      <c r="L1576" t="s">
        <v>6134</v>
      </c>
      <c r="M1576">
        <v>777.72</v>
      </c>
      <c r="N1576">
        <v>5</v>
      </c>
      <c r="O1576">
        <v>0.06</v>
      </c>
      <c r="P1576">
        <v>177.6</v>
      </c>
      <c r="Q1576" t="s">
        <v>9894</v>
      </c>
      <c r="R1576">
        <v>7</v>
      </c>
      <c r="S1576" s="5">
        <f t="shared" si="48"/>
        <v>0.22835982101527541</v>
      </c>
      <c r="T1576">
        <v>155.54400000000001</v>
      </c>
      <c r="U1576">
        <v>7</v>
      </c>
      <c r="V1576">
        <v>2023</v>
      </c>
      <c r="W1576">
        <v>3</v>
      </c>
      <c r="X1576" t="s">
        <v>9899</v>
      </c>
      <c r="Y1576" t="s">
        <v>9901</v>
      </c>
      <c r="Z1576" t="s">
        <v>9899</v>
      </c>
      <c r="AD1576">
        <f t="shared" si="49"/>
        <v>7</v>
      </c>
    </row>
    <row r="1577" spans="1:30" x14ac:dyDescent="0.25">
      <c r="A1577" t="s">
        <v>1601</v>
      </c>
      <c r="B1577" s="2">
        <v>44569</v>
      </c>
      <c r="C1577" s="2">
        <v>44570</v>
      </c>
      <c r="D1577" t="s">
        <v>5497</v>
      </c>
      <c r="E1577" t="s">
        <v>5997</v>
      </c>
      <c r="F1577" t="s">
        <v>6026</v>
      </c>
      <c r="G1577" t="s">
        <v>6029</v>
      </c>
      <c r="H1577" t="s">
        <v>6041</v>
      </c>
      <c r="I1577" t="s">
        <v>6049</v>
      </c>
      <c r="J1577" t="s">
        <v>6053</v>
      </c>
      <c r="K1577" t="s">
        <v>6056</v>
      </c>
      <c r="L1577" t="s">
        <v>6479</v>
      </c>
      <c r="M1577">
        <v>455.07</v>
      </c>
      <c r="N1577">
        <v>4</v>
      </c>
      <c r="O1577">
        <v>0.14000000000000001</v>
      </c>
      <c r="P1577">
        <v>19.98</v>
      </c>
      <c r="Q1577" t="s">
        <v>9893</v>
      </c>
      <c r="R1577">
        <v>1</v>
      </c>
      <c r="S1577" s="5">
        <f t="shared" si="48"/>
        <v>4.3905333245434768E-2</v>
      </c>
      <c r="T1577">
        <v>113.7675</v>
      </c>
      <c r="U1577">
        <v>1</v>
      </c>
      <c r="V1577">
        <v>2022</v>
      </c>
      <c r="W1577">
        <v>1</v>
      </c>
      <c r="X1577" t="s">
        <v>9899</v>
      </c>
      <c r="Y1577" t="s">
        <v>9901</v>
      </c>
      <c r="Z1577" t="s">
        <v>9899</v>
      </c>
      <c r="AD1577">
        <f t="shared" si="49"/>
        <v>1</v>
      </c>
    </row>
    <row r="1578" spans="1:30" x14ac:dyDescent="0.25">
      <c r="A1578" t="s">
        <v>1602</v>
      </c>
      <c r="B1578" s="2">
        <v>44623</v>
      </c>
      <c r="C1578" s="2">
        <v>44627</v>
      </c>
      <c r="D1578" t="s">
        <v>5165</v>
      </c>
      <c r="E1578" t="s">
        <v>5665</v>
      </c>
      <c r="F1578" t="s">
        <v>6027</v>
      </c>
      <c r="G1578" t="s">
        <v>6029</v>
      </c>
      <c r="H1578" t="s">
        <v>6045</v>
      </c>
      <c r="I1578" t="s">
        <v>6049</v>
      </c>
      <c r="J1578" t="s">
        <v>6054</v>
      </c>
      <c r="K1578" t="s">
        <v>6060</v>
      </c>
      <c r="L1578" t="s">
        <v>7512</v>
      </c>
      <c r="M1578">
        <v>403.89</v>
      </c>
      <c r="N1578">
        <v>7</v>
      </c>
      <c r="O1578">
        <v>0.32</v>
      </c>
      <c r="P1578">
        <v>-64.92</v>
      </c>
      <c r="Q1578" t="s">
        <v>9893</v>
      </c>
      <c r="R1578">
        <v>4</v>
      </c>
      <c r="S1578" s="5">
        <f t="shared" si="48"/>
        <v>-0.16073683428656318</v>
      </c>
      <c r="T1578">
        <v>57.698571428571427</v>
      </c>
      <c r="U1578">
        <v>3</v>
      </c>
      <c r="V1578">
        <v>2022</v>
      </c>
      <c r="W1578">
        <v>1</v>
      </c>
      <c r="X1578" t="s">
        <v>9898</v>
      </c>
      <c r="Y1578" t="s">
        <v>9902</v>
      </c>
      <c r="Z1578" t="s">
        <v>9899</v>
      </c>
      <c r="AD1578">
        <f t="shared" si="49"/>
        <v>4</v>
      </c>
    </row>
    <row r="1579" spans="1:30" x14ac:dyDescent="0.25">
      <c r="A1579" t="s">
        <v>1603</v>
      </c>
      <c r="B1579" s="2">
        <v>44755</v>
      </c>
      <c r="C1579" s="2">
        <v>44758</v>
      </c>
      <c r="D1579" t="s">
        <v>5252</v>
      </c>
      <c r="E1579" t="s">
        <v>5752</v>
      </c>
      <c r="F1579" t="s">
        <v>6026</v>
      </c>
      <c r="G1579" t="s">
        <v>6029</v>
      </c>
      <c r="H1579" t="s">
        <v>6036</v>
      </c>
      <c r="I1579" t="s">
        <v>6050</v>
      </c>
      <c r="J1579" t="s">
        <v>6053</v>
      </c>
      <c r="K1579" t="s">
        <v>6057</v>
      </c>
      <c r="L1579" t="s">
        <v>7513</v>
      </c>
      <c r="M1579">
        <v>764.77</v>
      </c>
      <c r="N1579">
        <v>8</v>
      </c>
      <c r="O1579">
        <v>0.14000000000000001</v>
      </c>
      <c r="P1579">
        <v>58.41</v>
      </c>
      <c r="Q1579" t="s">
        <v>9897</v>
      </c>
      <c r="R1579">
        <v>3</v>
      </c>
      <c r="S1579" s="5">
        <f t="shared" si="48"/>
        <v>7.637590386652196E-2</v>
      </c>
      <c r="T1579">
        <v>95.596249999999998</v>
      </c>
      <c r="U1579">
        <v>7</v>
      </c>
      <c r="V1579">
        <v>2022</v>
      </c>
      <c r="W1579">
        <v>3</v>
      </c>
      <c r="X1579" t="s">
        <v>9899</v>
      </c>
      <c r="Y1579" t="s">
        <v>9901</v>
      </c>
      <c r="Z1579" t="s">
        <v>9899</v>
      </c>
      <c r="AD1579">
        <f t="shared" si="49"/>
        <v>3</v>
      </c>
    </row>
    <row r="1580" spans="1:30" x14ac:dyDescent="0.25">
      <c r="A1580" t="s">
        <v>1604</v>
      </c>
      <c r="B1580" s="2">
        <v>44711</v>
      </c>
      <c r="C1580" s="2">
        <v>44718</v>
      </c>
      <c r="D1580" t="s">
        <v>5036</v>
      </c>
      <c r="E1580" t="s">
        <v>5536</v>
      </c>
      <c r="F1580" t="s">
        <v>6028</v>
      </c>
      <c r="G1580" t="s">
        <v>6031</v>
      </c>
      <c r="H1580" t="s">
        <v>6043</v>
      </c>
      <c r="I1580" t="s">
        <v>6050</v>
      </c>
      <c r="J1580" t="s">
        <v>6054</v>
      </c>
      <c r="K1580" t="s">
        <v>6060</v>
      </c>
      <c r="L1580" t="s">
        <v>7514</v>
      </c>
      <c r="M1580">
        <v>214.57</v>
      </c>
      <c r="N1580">
        <v>2</v>
      </c>
      <c r="O1580">
        <v>0.23</v>
      </c>
      <c r="P1580">
        <v>-10.28</v>
      </c>
      <c r="Q1580" t="s">
        <v>9895</v>
      </c>
      <c r="R1580">
        <v>7</v>
      </c>
      <c r="S1580" s="5">
        <f t="shared" si="48"/>
        <v>-4.7909773034440974E-2</v>
      </c>
      <c r="T1580">
        <v>107.285</v>
      </c>
      <c r="U1580">
        <v>5</v>
      </c>
      <c r="V1580">
        <v>2022</v>
      </c>
      <c r="W1580">
        <v>2</v>
      </c>
      <c r="X1580" t="s">
        <v>9898</v>
      </c>
      <c r="Y1580" t="s">
        <v>9900</v>
      </c>
      <c r="Z1580" t="s">
        <v>9899</v>
      </c>
      <c r="AD1580">
        <f t="shared" si="49"/>
        <v>7</v>
      </c>
    </row>
    <row r="1581" spans="1:30" x14ac:dyDescent="0.25">
      <c r="A1581" t="s">
        <v>1605</v>
      </c>
      <c r="B1581" s="2">
        <v>44917</v>
      </c>
      <c r="C1581" s="2">
        <v>44924</v>
      </c>
      <c r="D1581" t="s">
        <v>5397</v>
      </c>
      <c r="E1581" t="s">
        <v>5897</v>
      </c>
      <c r="F1581" t="s">
        <v>6028</v>
      </c>
      <c r="G1581" t="s">
        <v>6029</v>
      </c>
      <c r="H1581" t="s">
        <v>6044</v>
      </c>
      <c r="I1581" t="s">
        <v>6050</v>
      </c>
      <c r="J1581" t="s">
        <v>6053</v>
      </c>
      <c r="K1581" t="s">
        <v>6056</v>
      </c>
      <c r="L1581" t="s">
        <v>7515</v>
      </c>
      <c r="M1581">
        <v>1096.44</v>
      </c>
      <c r="N1581">
        <v>3</v>
      </c>
      <c r="O1581">
        <v>0.05</v>
      </c>
      <c r="P1581">
        <v>110.9</v>
      </c>
      <c r="Q1581" t="s">
        <v>9893</v>
      </c>
      <c r="R1581">
        <v>7</v>
      </c>
      <c r="S1581" s="5">
        <f t="shared" si="48"/>
        <v>0.10114552551895224</v>
      </c>
      <c r="T1581">
        <v>365.48</v>
      </c>
      <c r="U1581">
        <v>12</v>
      </c>
      <c r="V1581">
        <v>2022</v>
      </c>
      <c r="W1581">
        <v>4</v>
      </c>
      <c r="X1581" t="s">
        <v>9899</v>
      </c>
      <c r="Y1581" t="s">
        <v>9901</v>
      </c>
      <c r="Z1581" t="s">
        <v>9898</v>
      </c>
      <c r="AD1581">
        <f t="shared" si="49"/>
        <v>7</v>
      </c>
    </row>
    <row r="1582" spans="1:30" x14ac:dyDescent="0.25">
      <c r="A1582" t="s">
        <v>1606</v>
      </c>
      <c r="B1582" s="2">
        <v>45400</v>
      </c>
      <c r="C1582" s="2">
        <v>45403</v>
      </c>
      <c r="D1582" t="s">
        <v>5336</v>
      </c>
      <c r="E1582" t="s">
        <v>5836</v>
      </c>
      <c r="F1582" t="s">
        <v>6026</v>
      </c>
      <c r="G1582" t="s">
        <v>6031</v>
      </c>
      <c r="H1582" t="s">
        <v>6043</v>
      </c>
      <c r="I1582" t="s">
        <v>6048</v>
      </c>
      <c r="J1582" t="s">
        <v>6055</v>
      </c>
      <c r="K1582" t="s">
        <v>6061</v>
      </c>
      <c r="L1582" t="s">
        <v>7516</v>
      </c>
      <c r="M1582">
        <v>462.01</v>
      </c>
      <c r="N1582">
        <v>5</v>
      </c>
      <c r="O1582">
        <v>0.33</v>
      </c>
      <c r="P1582">
        <v>-17.239999999999998</v>
      </c>
      <c r="Q1582" t="s">
        <v>9895</v>
      </c>
      <c r="R1582">
        <v>3</v>
      </c>
      <c r="S1582" s="5">
        <f t="shared" si="48"/>
        <v>-3.7315209627497237E-2</v>
      </c>
      <c r="T1582">
        <v>92.402000000000001</v>
      </c>
      <c r="U1582">
        <v>4</v>
      </c>
      <c r="V1582">
        <v>2024</v>
      </c>
      <c r="W1582">
        <v>2</v>
      </c>
      <c r="X1582" t="s">
        <v>9898</v>
      </c>
      <c r="Y1582" t="s">
        <v>9902</v>
      </c>
      <c r="Z1582" t="s">
        <v>9899</v>
      </c>
      <c r="AD1582">
        <f t="shared" si="49"/>
        <v>3</v>
      </c>
    </row>
    <row r="1583" spans="1:30" x14ac:dyDescent="0.25">
      <c r="A1583" t="s">
        <v>1607</v>
      </c>
      <c r="B1583" s="2">
        <v>44786</v>
      </c>
      <c r="C1583" s="2">
        <v>44790</v>
      </c>
      <c r="D1583" t="s">
        <v>5187</v>
      </c>
      <c r="E1583" t="s">
        <v>5687</v>
      </c>
      <c r="F1583" t="s">
        <v>6026</v>
      </c>
      <c r="G1583" t="s">
        <v>6029</v>
      </c>
      <c r="H1583" t="s">
        <v>6032</v>
      </c>
      <c r="I1583" t="s">
        <v>6046</v>
      </c>
      <c r="J1583" t="s">
        <v>6053</v>
      </c>
      <c r="K1583" t="s">
        <v>6057</v>
      </c>
      <c r="L1583" t="s">
        <v>7517</v>
      </c>
      <c r="M1583">
        <v>999.44</v>
      </c>
      <c r="N1583">
        <v>4</v>
      </c>
      <c r="O1583">
        <v>0.26</v>
      </c>
      <c r="P1583">
        <v>-60.53</v>
      </c>
      <c r="Q1583" t="s">
        <v>9895</v>
      </c>
      <c r="R1583">
        <v>4</v>
      </c>
      <c r="S1583" s="5">
        <f t="shared" si="48"/>
        <v>-6.0563915792843988E-2</v>
      </c>
      <c r="T1583">
        <v>249.86</v>
      </c>
      <c r="U1583">
        <v>8</v>
      </c>
      <c r="V1583">
        <v>2022</v>
      </c>
      <c r="W1583">
        <v>3</v>
      </c>
      <c r="X1583" t="s">
        <v>9898</v>
      </c>
      <c r="Y1583" t="s">
        <v>9900</v>
      </c>
      <c r="Z1583" t="s">
        <v>9899</v>
      </c>
      <c r="AD1583">
        <f t="shared" si="49"/>
        <v>4</v>
      </c>
    </row>
    <row r="1584" spans="1:30" x14ac:dyDescent="0.25">
      <c r="A1584" t="s">
        <v>1608</v>
      </c>
      <c r="B1584" s="2">
        <v>44932</v>
      </c>
      <c r="C1584" s="2">
        <v>44933</v>
      </c>
      <c r="D1584" t="s">
        <v>5245</v>
      </c>
      <c r="E1584" t="s">
        <v>5745</v>
      </c>
      <c r="F1584" t="s">
        <v>6028</v>
      </c>
      <c r="G1584" t="s">
        <v>6029</v>
      </c>
      <c r="H1584" t="s">
        <v>6045</v>
      </c>
      <c r="I1584" t="s">
        <v>6046</v>
      </c>
      <c r="J1584" t="s">
        <v>6053</v>
      </c>
      <c r="K1584" t="s">
        <v>6058</v>
      </c>
      <c r="L1584" t="s">
        <v>7518</v>
      </c>
      <c r="M1584">
        <v>1645.5</v>
      </c>
      <c r="N1584">
        <v>5</v>
      </c>
      <c r="O1584">
        <v>0.25</v>
      </c>
      <c r="P1584">
        <v>-25.18</v>
      </c>
      <c r="Q1584" t="s">
        <v>9893</v>
      </c>
      <c r="R1584">
        <v>1</v>
      </c>
      <c r="S1584" s="5">
        <f t="shared" si="48"/>
        <v>-1.5302339714372531E-2</v>
      </c>
      <c r="T1584">
        <v>329.1</v>
      </c>
      <c r="U1584">
        <v>1</v>
      </c>
      <c r="V1584">
        <v>2023</v>
      </c>
      <c r="W1584">
        <v>1</v>
      </c>
      <c r="X1584" t="s">
        <v>9898</v>
      </c>
      <c r="Y1584" t="s">
        <v>9900</v>
      </c>
      <c r="Z1584" t="s">
        <v>9898</v>
      </c>
      <c r="AD1584">
        <f t="shared" si="49"/>
        <v>1</v>
      </c>
    </row>
    <row r="1585" spans="1:30" x14ac:dyDescent="0.25">
      <c r="A1585" t="s">
        <v>1609</v>
      </c>
      <c r="B1585" s="2">
        <v>44602</v>
      </c>
      <c r="C1585" s="2">
        <v>44607</v>
      </c>
      <c r="D1585" t="s">
        <v>5233</v>
      </c>
      <c r="E1585" t="s">
        <v>5733</v>
      </c>
      <c r="F1585" t="s">
        <v>6027</v>
      </c>
      <c r="G1585" t="s">
        <v>6029</v>
      </c>
      <c r="H1585" t="s">
        <v>6036</v>
      </c>
      <c r="I1585" t="s">
        <v>6046</v>
      </c>
      <c r="J1585" t="s">
        <v>6055</v>
      </c>
      <c r="K1585" t="s">
        <v>6061</v>
      </c>
      <c r="L1585" t="s">
        <v>7519</v>
      </c>
      <c r="M1585">
        <v>457.49</v>
      </c>
      <c r="N1585">
        <v>1</v>
      </c>
      <c r="O1585">
        <v>0.25</v>
      </c>
      <c r="P1585">
        <v>-0.17</v>
      </c>
      <c r="Q1585" t="s">
        <v>9894</v>
      </c>
      <c r="R1585">
        <v>5</v>
      </c>
      <c r="S1585" s="5">
        <f t="shared" si="48"/>
        <v>-3.7159282170102083E-4</v>
      </c>
      <c r="T1585">
        <v>457.49</v>
      </c>
      <c r="U1585">
        <v>2</v>
      </c>
      <c r="V1585">
        <v>2022</v>
      </c>
      <c r="W1585">
        <v>1</v>
      </c>
      <c r="X1585" t="s">
        <v>9898</v>
      </c>
      <c r="Y1585" t="s">
        <v>9900</v>
      </c>
      <c r="Z1585" t="s">
        <v>9899</v>
      </c>
      <c r="AD1585">
        <f t="shared" si="49"/>
        <v>5</v>
      </c>
    </row>
    <row r="1586" spans="1:30" x14ac:dyDescent="0.25">
      <c r="A1586" t="s">
        <v>1610</v>
      </c>
      <c r="B1586" s="2">
        <v>44982</v>
      </c>
      <c r="C1586" s="2">
        <v>44985</v>
      </c>
      <c r="D1586" t="s">
        <v>5067</v>
      </c>
      <c r="E1586" t="s">
        <v>5567</v>
      </c>
      <c r="F1586" t="s">
        <v>6028</v>
      </c>
      <c r="G1586" t="s">
        <v>6029</v>
      </c>
      <c r="H1586" t="s">
        <v>6036</v>
      </c>
      <c r="I1586" t="s">
        <v>6050</v>
      </c>
      <c r="J1586" t="s">
        <v>6054</v>
      </c>
      <c r="K1586" t="s">
        <v>6062</v>
      </c>
      <c r="L1586" t="s">
        <v>7520</v>
      </c>
      <c r="M1586">
        <v>853.7</v>
      </c>
      <c r="N1586">
        <v>1</v>
      </c>
      <c r="O1586">
        <v>0.33</v>
      </c>
      <c r="P1586">
        <v>-28.31</v>
      </c>
      <c r="Q1586" t="s">
        <v>9896</v>
      </c>
      <c r="R1586">
        <v>3</v>
      </c>
      <c r="S1586" s="5">
        <f t="shared" si="48"/>
        <v>-3.3161532154152511E-2</v>
      </c>
      <c r="T1586">
        <v>853.7</v>
      </c>
      <c r="U1586">
        <v>2</v>
      </c>
      <c r="V1586">
        <v>2023</v>
      </c>
      <c r="W1586">
        <v>1</v>
      </c>
      <c r="X1586" t="s">
        <v>9898</v>
      </c>
      <c r="Y1586" t="s">
        <v>9902</v>
      </c>
      <c r="Z1586" t="s">
        <v>9899</v>
      </c>
      <c r="AD1586">
        <f t="shared" si="49"/>
        <v>3</v>
      </c>
    </row>
    <row r="1587" spans="1:30" x14ac:dyDescent="0.25">
      <c r="A1587" t="s">
        <v>1611</v>
      </c>
      <c r="B1587" s="2">
        <v>45268</v>
      </c>
      <c r="C1587" s="2">
        <v>45272</v>
      </c>
      <c r="D1587" t="s">
        <v>5458</v>
      </c>
      <c r="E1587" t="s">
        <v>5958</v>
      </c>
      <c r="F1587" t="s">
        <v>6026</v>
      </c>
      <c r="G1587" t="s">
        <v>6031</v>
      </c>
      <c r="H1587" t="s">
        <v>6042</v>
      </c>
      <c r="I1587" t="s">
        <v>6052</v>
      </c>
      <c r="J1587" t="s">
        <v>6053</v>
      </c>
      <c r="K1587" t="s">
        <v>6058</v>
      </c>
      <c r="L1587" t="s">
        <v>7521</v>
      </c>
      <c r="M1587">
        <v>1017.86</v>
      </c>
      <c r="N1587">
        <v>4</v>
      </c>
      <c r="O1587">
        <v>0.03</v>
      </c>
      <c r="P1587">
        <v>82.54</v>
      </c>
      <c r="Q1587" t="s">
        <v>9894</v>
      </c>
      <c r="R1587">
        <v>4</v>
      </c>
      <c r="S1587" s="5">
        <f t="shared" si="48"/>
        <v>8.1091702198730672E-2</v>
      </c>
      <c r="T1587">
        <v>254.465</v>
      </c>
      <c r="U1587">
        <v>12</v>
      </c>
      <c r="V1587">
        <v>2023</v>
      </c>
      <c r="W1587">
        <v>4</v>
      </c>
      <c r="X1587" t="s">
        <v>9899</v>
      </c>
      <c r="Y1587" t="s">
        <v>9901</v>
      </c>
      <c r="Z1587" t="s">
        <v>9898</v>
      </c>
      <c r="AD1587">
        <f t="shared" si="49"/>
        <v>4</v>
      </c>
    </row>
    <row r="1588" spans="1:30" x14ac:dyDescent="0.25">
      <c r="A1588" t="s">
        <v>1612</v>
      </c>
      <c r="B1588" s="2">
        <v>45173</v>
      </c>
      <c r="C1588" s="2">
        <v>45180</v>
      </c>
      <c r="D1588" t="s">
        <v>5183</v>
      </c>
      <c r="E1588" t="s">
        <v>5683</v>
      </c>
      <c r="F1588" t="s">
        <v>6026</v>
      </c>
      <c r="G1588" t="s">
        <v>6029</v>
      </c>
      <c r="H1588" t="s">
        <v>6041</v>
      </c>
      <c r="I1588" t="s">
        <v>6050</v>
      </c>
      <c r="J1588" t="s">
        <v>6054</v>
      </c>
      <c r="K1588" t="s">
        <v>6059</v>
      </c>
      <c r="L1588" t="s">
        <v>7522</v>
      </c>
      <c r="M1588">
        <v>1531.29</v>
      </c>
      <c r="N1588">
        <v>2</v>
      </c>
      <c r="O1588">
        <v>0.11</v>
      </c>
      <c r="P1588">
        <v>104.09</v>
      </c>
      <c r="Q1588" t="s">
        <v>9895</v>
      </c>
      <c r="R1588">
        <v>7</v>
      </c>
      <c r="S1588" s="5">
        <f t="shared" si="48"/>
        <v>6.7975367174081994E-2</v>
      </c>
      <c r="T1588">
        <v>765.64499999999998</v>
      </c>
      <c r="U1588">
        <v>9</v>
      </c>
      <c r="V1588">
        <v>2023</v>
      </c>
      <c r="W1588">
        <v>3</v>
      </c>
      <c r="X1588" t="s">
        <v>9899</v>
      </c>
      <c r="Y1588" t="s">
        <v>9901</v>
      </c>
      <c r="Z1588" t="s">
        <v>9898</v>
      </c>
      <c r="AD1588">
        <f t="shared" si="49"/>
        <v>7</v>
      </c>
    </row>
    <row r="1589" spans="1:30" x14ac:dyDescent="0.25">
      <c r="A1589" t="s">
        <v>1613</v>
      </c>
      <c r="B1589" s="2">
        <v>44604</v>
      </c>
      <c r="C1589" s="2">
        <v>44610</v>
      </c>
      <c r="D1589" t="s">
        <v>5181</v>
      </c>
      <c r="E1589" t="s">
        <v>5681</v>
      </c>
      <c r="F1589" t="s">
        <v>6027</v>
      </c>
      <c r="G1589" t="s">
        <v>6031</v>
      </c>
      <c r="H1589" t="s">
        <v>6042</v>
      </c>
      <c r="I1589" t="s">
        <v>6052</v>
      </c>
      <c r="J1589" t="s">
        <v>6053</v>
      </c>
      <c r="K1589" t="s">
        <v>6056</v>
      </c>
      <c r="L1589" t="s">
        <v>6335</v>
      </c>
      <c r="M1589">
        <v>1952.46</v>
      </c>
      <c r="N1589">
        <v>5</v>
      </c>
      <c r="O1589">
        <v>0.16</v>
      </c>
      <c r="P1589">
        <v>-116.06</v>
      </c>
      <c r="Q1589" t="s">
        <v>9895</v>
      </c>
      <c r="R1589">
        <v>6</v>
      </c>
      <c r="S1589" s="5">
        <f t="shared" si="48"/>
        <v>-5.9442959138727554E-2</v>
      </c>
      <c r="T1589">
        <v>390.49200000000002</v>
      </c>
      <c r="U1589">
        <v>2</v>
      </c>
      <c r="V1589">
        <v>2022</v>
      </c>
      <c r="W1589">
        <v>1</v>
      </c>
      <c r="X1589" t="s">
        <v>9898</v>
      </c>
      <c r="Y1589" t="s">
        <v>9900</v>
      </c>
      <c r="Z1589" t="s">
        <v>9898</v>
      </c>
      <c r="AD1589">
        <f t="shared" si="49"/>
        <v>6</v>
      </c>
    </row>
    <row r="1590" spans="1:30" x14ac:dyDescent="0.25">
      <c r="A1590" t="s">
        <v>1614</v>
      </c>
      <c r="B1590" s="2">
        <v>44993</v>
      </c>
      <c r="C1590" s="2">
        <v>44994</v>
      </c>
      <c r="D1590" t="s">
        <v>5298</v>
      </c>
      <c r="E1590" t="s">
        <v>5798</v>
      </c>
      <c r="F1590" t="s">
        <v>6026</v>
      </c>
      <c r="G1590" t="s">
        <v>6030</v>
      </c>
      <c r="H1590" t="s">
        <v>6035</v>
      </c>
      <c r="I1590" t="s">
        <v>6047</v>
      </c>
      <c r="J1590" t="s">
        <v>6053</v>
      </c>
      <c r="K1590" t="s">
        <v>6057</v>
      </c>
      <c r="L1590" t="s">
        <v>7523</v>
      </c>
      <c r="M1590">
        <v>1700.73</v>
      </c>
      <c r="N1590">
        <v>8</v>
      </c>
      <c r="O1590">
        <v>0.04</v>
      </c>
      <c r="P1590">
        <v>128.97</v>
      </c>
      <c r="Q1590" t="s">
        <v>9894</v>
      </c>
      <c r="R1590">
        <v>1</v>
      </c>
      <c r="S1590" s="5">
        <f t="shared" si="48"/>
        <v>7.5832142668148375E-2</v>
      </c>
      <c r="T1590">
        <v>212.59125</v>
      </c>
      <c r="U1590">
        <v>3</v>
      </c>
      <c r="V1590">
        <v>2023</v>
      </c>
      <c r="W1590">
        <v>1</v>
      </c>
      <c r="X1590" t="s">
        <v>9899</v>
      </c>
      <c r="Y1590" t="s">
        <v>9901</v>
      </c>
      <c r="Z1590" t="s">
        <v>9898</v>
      </c>
      <c r="AD1590">
        <f t="shared" si="49"/>
        <v>1</v>
      </c>
    </row>
    <row r="1591" spans="1:30" x14ac:dyDescent="0.25">
      <c r="A1591" t="s">
        <v>1615</v>
      </c>
      <c r="B1591" s="2">
        <v>44989</v>
      </c>
      <c r="C1591" s="2">
        <v>44993</v>
      </c>
      <c r="D1591" t="s">
        <v>5374</v>
      </c>
      <c r="E1591" t="s">
        <v>5874</v>
      </c>
      <c r="F1591" t="s">
        <v>6026</v>
      </c>
      <c r="G1591" t="s">
        <v>6031</v>
      </c>
      <c r="H1591" t="s">
        <v>6037</v>
      </c>
      <c r="I1591" t="s">
        <v>6048</v>
      </c>
      <c r="J1591" t="s">
        <v>6053</v>
      </c>
      <c r="K1591" t="s">
        <v>6057</v>
      </c>
      <c r="L1591" t="s">
        <v>7524</v>
      </c>
      <c r="M1591">
        <v>1329.28</v>
      </c>
      <c r="N1591">
        <v>6</v>
      </c>
      <c r="O1591">
        <v>0.13</v>
      </c>
      <c r="P1591">
        <v>73.66</v>
      </c>
      <c r="Q1591" t="s">
        <v>9895</v>
      </c>
      <c r="R1591">
        <v>4</v>
      </c>
      <c r="S1591" s="5">
        <f t="shared" si="48"/>
        <v>5.5413456909003365E-2</v>
      </c>
      <c r="T1591">
        <v>221.54666666666671</v>
      </c>
      <c r="U1591">
        <v>3</v>
      </c>
      <c r="V1591">
        <v>2023</v>
      </c>
      <c r="W1591">
        <v>1</v>
      </c>
      <c r="X1591" t="s">
        <v>9899</v>
      </c>
      <c r="Y1591" t="s">
        <v>9901</v>
      </c>
      <c r="Z1591" t="s">
        <v>9898</v>
      </c>
      <c r="AD1591">
        <f t="shared" si="49"/>
        <v>4</v>
      </c>
    </row>
    <row r="1592" spans="1:30" x14ac:dyDescent="0.25">
      <c r="A1592" t="s">
        <v>1616</v>
      </c>
      <c r="B1592" s="2">
        <v>45032</v>
      </c>
      <c r="C1592" s="2">
        <v>45038</v>
      </c>
      <c r="D1592" t="s">
        <v>5143</v>
      </c>
      <c r="E1592" t="s">
        <v>5643</v>
      </c>
      <c r="F1592" t="s">
        <v>6026</v>
      </c>
      <c r="G1592" t="s">
        <v>6030</v>
      </c>
      <c r="H1592" t="s">
        <v>6035</v>
      </c>
      <c r="I1592" t="s">
        <v>6051</v>
      </c>
      <c r="J1592" t="s">
        <v>6053</v>
      </c>
      <c r="K1592" t="s">
        <v>6056</v>
      </c>
      <c r="L1592" t="s">
        <v>7525</v>
      </c>
      <c r="M1592">
        <v>450.25</v>
      </c>
      <c r="N1592">
        <v>1</v>
      </c>
      <c r="O1592">
        <v>0.28000000000000003</v>
      </c>
      <c r="P1592">
        <v>-20.32</v>
      </c>
      <c r="Q1592" t="s">
        <v>9894</v>
      </c>
      <c r="R1592">
        <v>6</v>
      </c>
      <c r="S1592" s="5">
        <f t="shared" si="48"/>
        <v>-4.5130483064963908E-2</v>
      </c>
      <c r="T1592">
        <v>450.25</v>
      </c>
      <c r="U1592">
        <v>4</v>
      </c>
      <c r="V1592">
        <v>2023</v>
      </c>
      <c r="W1592">
        <v>2</v>
      </c>
      <c r="X1592" t="s">
        <v>9898</v>
      </c>
      <c r="Y1592" t="s">
        <v>9900</v>
      </c>
      <c r="Z1592" t="s">
        <v>9899</v>
      </c>
      <c r="AD1592">
        <f t="shared" si="49"/>
        <v>6</v>
      </c>
    </row>
    <row r="1593" spans="1:30" x14ac:dyDescent="0.25">
      <c r="A1593" t="s">
        <v>1617</v>
      </c>
      <c r="B1593" s="2">
        <v>44746</v>
      </c>
      <c r="C1593" s="2">
        <v>44752</v>
      </c>
      <c r="D1593" t="s">
        <v>5282</v>
      </c>
      <c r="E1593" t="s">
        <v>5782</v>
      </c>
      <c r="F1593" t="s">
        <v>6027</v>
      </c>
      <c r="G1593" t="s">
        <v>6029</v>
      </c>
      <c r="H1593" t="s">
        <v>6036</v>
      </c>
      <c r="I1593" t="s">
        <v>6050</v>
      </c>
      <c r="J1593" t="s">
        <v>6054</v>
      </c>
      <c r="K1593" t="s">
        <v>6059</v>
      </c>
      <c r="L1593" t="s">
        <v>7526</v>
      </c>
      <c r="M1593">
        <v>298.95</v>
      </c>
      <c r="N1593">
        <v>4</v>
      </c>
      <c r="O1593">
        <v>0.32</v>
      </c>
      <c r="P1593">
        <v>-64.5</v>
      </c>
      <c r="Q1593" t="s">
        <v>9893</v>
      </c>
      <c r="R1593">
        <v>6</v>
      </c>
      <c r="S1593" s="5">
        <f t="shared" si="48"/>
        <v>-0.21575514300050178</v>
      </c>
      <c r="T1593">
        <v>74.737499999999997</v>
      </c>
      <c r="U1593">
        <v>7</v>
      </c>
      <c r="V1593">
        <v>2022</v>
      </c>
      <c r="W1593">
        <v>3</v>
      </c>
      <c r="X1593" t="s">
        <v>9898</v>
      </c>
      <c r="Y1593" t="s">
        <v>9902</v>
      </c>
      <c r="Z1593" t="s">
        <v>9899</v>
      </c>
      <c r="AD1593">
        <f t="shared" si="49"/>
        <v>6</v>
      </c>
    </row>
    <row r="1594" spans="1:30" x14ac:dyDescent="0.25">
      <c r="A1594" t="s">
        <v>1618</v>
      </c>
      <c r="B1594" s="2">
        <v>44632</v>
      </c>
      <c r="C1594" s="2">
        <v>44639</v>
      </c>
      <c r="D1594" t="s">
        <v>5512</v>
      </c>
      <c r="E1594" t="s">
        <v>6012</v>
      </c>
      <c r="F1594" t="s">
        <v>6028</v>
      </c>
      <c r="G1594" t="s">
        <v>6030</v>
      </c>
      <c r="H1594" t="s">
        <v>6035</v>
      </c>
      <c r="I1594" t="s">
        <v>6047</v>
      </c>
      <c r="J1594" t="s">
        <v>6055</v>
      </c>
      <c r="K1594" t="s">
        <v>6064</v>
      </c>
      <c r="L1594" t="s">
        <v>7527</v>
      </c>
      <c r="M1594">
        <v>1867.17</v>
      </c>
      <c r="N1594">
        <v>7</v>
      </c>
      <c r="O1594">
        <v>0.26</v>
      </c>
      <c r="P1594">
        <v>-116.49</v>
      </c>
      <c r="Q1594" t="s">
        <v>9895</v>
      </c>
      <c r="R1594">
        <v>7</v>
      </c>
      <c r="S1594" s="5">
        <f t="shared" si="48"/>
        <v>-6.2388534520156164E-2</v>
      </c>
      <c r="T1594">
        <v>266.73857142857139</v>
      </c>
      <c r="U1594">
        <v>3</v>
      </c>
      <c r="V1594">
        <v>2022</v>
      </c>
      <c r="W1594">
        <v>1</v>
      </c>
      <c r="X1594" t="s">
        <v>9898</v>
      </c>
      <c r="Y1594" t="s">
        <v>9900</v>
      </c>
      <c r="Z1594" t="s">
        <v>9898</v>
      </c>
      <c r="AD1594">
        <f t="shared" si="49"/>
        <v>7</v>
      </c>
    </row>
    <row r="1595" spans="1:30" x14ac:dyDescent="0.25">
      <c r="A1595" t="s">
        <v>1619</v>
      </c>
      <c r="B1595" s="2">
        <v>45234</v>
      </c>
      <c r="C1595" s="2">
        <v>45236</v>
      </c>
      <c r="D1595" t="s">
        <v>5207</v>
      </c>
      <c r="E1595" t="s">
        <v>5707</v>
      </c>
      <c r="F1595" t="s">
        <v>6028</v>
      </c>
      <c r="G1595" t="s">
        <v>6030</v>
      </c>
      <c r="H1595" t="s">
        <v>6033</v>
      </c>
      <c r="I1595" t="s">
        <v>6047</v>
      </c>
      <c r="J1595" t="s">
        <v>6054</v>
      </c>
      <c r="K1595" t="s">
        <v>6062</v>
      </c>
      <c r="L1595" t="s">
        <v>7528</v>
      </c>
      <c r="M1595">
        <v>1841.2</v>
      </c>
      <c r="N1595">
        <v>6</v>
      </c>
      <c r="O1595">
        <v>0.2</v>
      </c>
      <c r="P1595">
        <v>83.35</v>
      </c>
      <c r="Q1595" t="s">
        <v>9897</v>
      </c>
      <c r="R1595">
        <v>2</v>
      </c>
      <c r="S1595" s="5">
        <f t="shared" si="48"/>
        <v>4.5269389528568321E-2</v>
      </c>
      <c r="T1595">
        <v>306.86666666666667</v>
      </c>
      <c r="U1595">
        <v>11</v>
      </c>
      <c r="V1595">
        <v>2023</v>
      </c>
      <c r="W1595">
        <v>4</v>
      </c>
      <c r="X1595" t="s">
        <v>9899</v>
      </c>
      <c r="Y1595" t="s">
        <v>9900</v>
      </c>
      <c r="Z1595" t="s">
        <v>9898</v>
      </c>
      <c r="AD1595">
        <f t="shared" si="49"/>
        <v>2</v>
      </c>
    </row>
    <row r="1596" spans="1:30" x14ac:dyDescent="0.25">
      <c r="A1596" t="s">
        <v>1620</v>
      </c>
      <c r="B1596" s="2">
        <v>45022</v>
      </c>
      <c r="C1596" s="2">
        <v>45024</v>
      </c>
      <c r="D1596" t="s">
        <v>5128</v>
      </c>
      <c r="E1596" t="s">
        <v>5628</v>
      </c>
      <c r="F1596" t="s">
        <v>6027</v>
      </c>
      <c r="G1596" t="s">
        <v>6031</v>
      </c>
      <c r="H1596" t="s">
        <v>6034</v>
      </c>
      <c r="I1596" t="s">
        <v>6048</v>
      </c>
      <c r="J1596" t="s">
        <v>6054</v>
      </c>
      <c r="K1596" t="s">
        <v>6059</v>
      </c>
      <c r="L1596" t="s">
        <v>7529</v>
      </c>
      <c r="M1596">
        <v>1847.66</v>
      </c>
      <c r="N1596">
        <v>4</v>
      </c>
      <c r="O1596">
        <v>0.26</v>
      </c>
      <c r="P1596">
        <v>-76.540000000000006</v>
      </c>
      <c r="Q1596" t="s">
        <v>9896</v>
      </c>
      <c r="R1596">
        <v>2</v>
      </c>
      <c r="S1596" s="5">
        <f t="shared" si="48"/>
        <v>-4.1425370468592709E-2</v>
      </c>
      <c r="T1596">
        <v>461.91500000000002</v>
      </c>
      <c r="U1596">
        <v>4</v>
      </c>
      <c r="V1596">
        <v>2023</v>
      </c>
      <c r="W1596">
        <v>2</v>
      </c>
      <c r="X1596" t="s">
        <v>9898</v>
      </c>
      <c r="Y1596" t="s">
        <v>9900</v>
      </c>
      <c r="Z1596" t="s">
        <v>9898</v>
      </c>
      <c r="AD1596">
        <f t="shared" si="49"/>
        <v>2</v>
      </c>
    </row>
    <row r="1597" spans="1:30" x14ac:dyDescent="0.25">
      <c r="A1597" t="s">
        <v>1621</v>
      </c>
      <c r="B1597" s="2">
        <v>44869</v>
      </c>
      <c r="C1597" s="2">
        <v>44875</v>
      </c>
      <c r="D1597" t="s">
        <v>5085</v>
      </c>
      <c r="E1597" t="s">
        <v>5585</v>
      </c>
      <c r="F1597" t="s">
        <v>6026</v>
      </c>
      <c r="G1597" t="s">
        <v>6031</v>
      </c>
      <c r="H1597" t="s">
        <v>6037</v>
      </c>
      <c r="I1597" t="s">
        <v>6048</v>
      </c>
      <c r="J1597" t="s">
        <v>6055</v>
      </c>
      <c r="K1597" t="s">
        <v>6063</v>
      </c>
      <c r="L1597" t="s">
        <v>7530</v>
      </c>
      <c r="M1597">
        <v>669.9</v>
      </c>
      <c r="N1597">
        <v>4</v>
      </c>
      <c r="O1597">
        <v>0.28000000000000003</v>
      </c>
      <c r="P1597">
        <v>-95.67</v>
      </c>
      <c r="Q1597" t="s">
        <v>9893</v>
      </c>
      <c r="R1597">
        <v>6</v>
      </c>
      <c r="S1597" s="5">
        <f t="shared" si="48"/>
        <v>-0.14281236005373937</v>
      </c>
      <c r="T1597">
        <v>167.47499999999999</v>
      </c>
      <c r="U1597">
        <v>11</v>
      </c>
      <c r="V1597">
        <v>2022</v>
      </c>
      <c r="W1597">
        <v>4</v>
      </c>
      <c r="X1597" t="s">
        <v>9898</v>
      </c>
      <c r="Y1597" t="s">
        <v>9900</v>
      </c>
      <c r="Z1597" t="s">
        <v>9899</v>
      </c>
      <c r="AD1597">
        <f t="shared" si="49"/>
        <v>6</v>
      </c>
    </row>
    <row r="1598" spans="1:30" x14ac:dyDescent="0.25">
      <c r="A1598" t="s">
        <v>1622</v>
      </c>
      <c r="B1598" s="2">
        <v>44998</v>
      </c>
      <c r="C1598" s="2">
        <v>45003</v>
      </c>
      <c r="D1598" t="s">
        <v>5513</v>
      </c>
      <c r="E1598" t="s">
        <v>6013</v>
      </c>
      <c r="F1598" t="s">
        <v>6028</v>
      </c>
      <c r="G1598" t="s">
        <v>6030</v>
      </c>
      <c r="H1598" t="s">
        <v>6033</v>
      </c>
      <c r="I1598" t="s">
        <v>6047</v>
      </c>
      <c r="J1598" t="s">
        <v>6054</v>
      </c>
      <c r="K1598" t="s">
        <v>6062</v>
      </c>
      <c r="L1598" t="s">
        <v>7531</v>
      </c>
      <c r="M1598">
        <v>1645.67</v>
      </c>
      <c r="N1598">
        <v>8</v>
      </c>
      <c r="O1598">
        <v>0</v>
      </c>
      <c r="P1598">
        <v>230.96</v>
      </c>
      <c r="Q1598" t="s">
        <v>9895</v>
      </c>
      <c r="R1598">
        <v>5</v>
      </c>
      <c r="S1598" s="5">
        <f t="shared" si="48"/>
        <v>0.14034405439729714</v>
      </c>
      <c r="T1598">
        <v>205.70875000000001</v>
      </c>
      <c r="U1598">
        <v>3</v>
      </c>
      <c r="V1598">
        <v>2023</v>
      </c>
      <c r="W1598">
        <v>1</v>
      </c>
      <c r="X1598" t="s">
        <v>9899</v>
      </c>
      <c r="Y1598" t="s">
        <v>9901</v>
      </c>
      <c r="Z1598" t="s">
        <v>9898</v>
      </c>
      <c r="AD1598">
        <f t="shared" si="49"/>
        <v>5</v>
      </c>
    </row>
    <row r="1599" spans="1:30" x14ac:dyDescent="0.25">
      <c r="A1599" t="s">
        <v>1623</v>
      </c>
      <c r="B1599" s="2">
        <v>45149</v>
      </c>
      <c r="C1599" s="2">
        <v>45152</v>
      </c>
      <c r="D1599" t="s">
        <v>5196</v>
      </c>
      <c r="E1599" t="s">
        <v>5696</v>
      </c>
      <c r="F1599" t="s">
        <v>6028</v>
      </c>
      <c r="G1599" t="s">
        <v>6029</v>
      </c>
      <c r="H1599" t="s">
        <v>6044</v>
      </c>
      <c r="I1599" t="s">
        <v>6046</v>
      </c>
      <c r="J1599" t="s">
        <v>6053</v>
      </c>
      <c r="K1599" t="s">
        <v>6058</v>
      </c>
      <c r="L1599" t="s">
        <v>7532</v>
      </c>
      <c r="M1599">
        <v>1340.28</v>
      </c>
      <c r="N1599">
        <v>2</v>
      </c>
      <c r="O1599">
        <v>0.28999999999999998</v>
      </c>
      <c r="P1599">
        <v>-84.99</v>
      </c>
      <c r="Q1599" t="s">
        <v>9893</v>
      </c>
      <c r="R1599">
        <v>3</v>
      </c>
      <c r="S1599" s="5">
        <f t="shared" si="48"/>
        <v>-6.3412122840003582E-2</v>
      </c>
      <c r="T1599">
        <v>670.14</v>
      </c>
      <c r="U1599">
        <v>8</v>
      </c>
      <c r="V1599">
        <v>2023</v>
      </c>
      <c r="W1599">
        <v>3</v>
      </c>
      <c r="X1599" t="s">
        <v>9898</v>
      </c>
      <c r="Y1599" t="s">
        <v>9900</v>
      </c>
      <c r="Z1599" t="s">
        <v>9898</v>
      </c>
      <c r="AD1599">
        <f t="shared" si="49"/>
        <v>3</v>
      </c>
    </row>
    <row r="1600" spans="1:30" x14ac:dyDescent="0.25">
      <c r="A1600" t="s">
        <v>1624</v>
      </c>
      <c r="B1600" s="2">
        <v>44727</v>
      </c>
      <c r="C1600" s="2">
        <v>44731</v>
      </c>
      <c r="D1600" t="s">
        <v>5200</v>
      </c>
      <c r="E1600" t="s">
        <v>5700</v>
      </c>
      <c r="F1600" t="s">
        <v>6028</v>
      </c>
      <c r="G1600" t="s">
        <v>6029</v>
      </c>
      <c r="H1600" t="s">
        <v>6045</v>
      </c>
      <c r="I1600" t="s">
        <v>6049</v>
      </c>
      <c r="J1600" t="s">
        <v>6053</v>
      </c>
      <c r="K1600" t="s">
        <v>6058</v>
      </c>
      <c r="L1600" t="s">
        <v>7533</v>
      </c>
      <c r="M1600">
        <v>1752.8</v>
      </c>
      <c r="N1600">
        <v>3</v>
      </c>
      <c r="O1600">
        <v>0.04</v>
      </c>
      <c r="P1600">
        <v>286.37</v>
      </c>
      <c r="Q1600" t="s">
        <v>9895</v>
      </c>
      <c r="R1600">
        <v>4</v>
      </c>
      <c r="S1600" s="5">
        <f t="shared" si="48"/>
        <v>0.16337859424920129</v>
      </c>
      <c r="T1600">
        <v>584.26666666666665</v>
      </c>
      <c r="U1600">
        <v>6</v>
      </c>
      <c r="V1600">
        <v>2022</v>
      </c>
      <c r="W1600">
        <v>2</v>
      </c>
      <c r="X1600" t="s">
        <v>9899</v>
      </c>
      <c r="Y1600" t="s">
        <v>9901</v>
      </c>
      <c r="Z1600" t="s">
        <v>9898</v>
      </c>
      <c r="AD1600">
        <f t="shared" si="49"/>
        <v>4</v>
      </c>
    </row>
    <row r="1601" spans="1:30" x14ac:dyDescent="0.25">
      <c r="A1601" t="s">
        <v>1625</v>
      </c>
      <c r="B1601" s="2">
        <v>45180</v>
      </c>
      <c r="C1601" s="2">
        <v>45185</v>
      </c>
      <c r="D1601" t="s">
        <v>5494</v>
      </c>
      <c r="E1601" t="s">
        <v>5994</v>
      </c>
      <c r="F1601" t="s">
        <v>6028</v>
      </c>
      <c r="G1601" t="s">
        <v>6029</v>
      </c>
      <c r="H1601" t="s">
        <v>6036</v>
      </c>
      <c r="I1601" t="s">
        <v>6049</v>
      </c>
      <c r="J1601" t="s">
        <v>6054</v>
      </c>
      <c r="K1601" t="s">
        <v>6062</v>
      </c>
      <c r="L1601" t="s">
        <v>7534</v>
      </c>
      <c r="M1601">
        <v>1438.82</v>
      </c>
      <c r="N1601">
        <v>8</v>
      </c>
      <c r="O1601">
        <v>0.34</v>
      </c>
      <c r="P1601">
        <v>-65.2</v>
      </c>
      <c r="Q1601" t="s">
        <v>9896</v>
      </c>
      <c r="R1601">
        <v>5</v>
      </c>
      <c r="S1601" s="5">
        <f t="shared" si="48"/>
        <v>-4.5314910829707684E-2</v>
      </c>
      <c r="T1601">
        <v>179.85249999999999</v>
      </c>
      <c r="U1601">
        <v>9</v>
      </c>
      <c r="V1601">
        <v>2023</v>
      </c>
      <c r="W1601">
        <v>3</v>
      </c>
      <c r="X1601" t="s">
        <v>9898</v>
      </c>
      <c r="Y1601" t="s">
        <v>9902</v>
      </c>
      <c r="Z1601" t="s">
        <v>9898</v>
      </c>
      <c r="AD1601">
        <f t="shared" si="49"/>
        <v>5</v>
      </c>
    </row>
    <row r="1602" spans="1:30" x14ac:dyDescent="0.25">
      <c r="A1602" t="s">
        <v>1626</v>
      </c>
      <c r="B1602" s="2">
        <v>44714</v>
      </c>
      <c r="C1602" s="2">
        <v>44720</v>
      </c>
      <c r="D1602" t="s">
        <v>5485</v>
      </c>
      <c r="E1602" t="s">
        <v>5985</v>
      </c>
      <c r="F1602" t="s">
        <v>6028</v>
      </c>
      <c r="G1602" t="s">
        <v>6029</v>
      </c>
      <c r="H1602" t="s">
        <v>6036</v>
      </c>
      <c r="I1602" t="s">
        <v>6050</v>
      </c>
      <c r="J1602" t="s">
        <v>6055</v>
      </c>
      <c r="K1602" t="s">
        <v>6064</v>
      </c>
      <c r="L1602" t="s">
        <v>7535</v>
      </c>
      <c r="M1602">
        <v>882.37</v>
      </c>
      <c r="N1602">
        <v>1</v>
      </c>
      <c r="O1602">
        <v>7.0000000000000007E-2</v>
      </c>
      <c r="P1602">
        <v>101.7</v>
      </c>
      <c r="Q1602" t="s">
        <v>9896</v>
      </c>
      <c r="R1602">
        <v>6</v>
      </c>
      <c r="S1602" s="5">
        <f t="shared" si="48"/>
        <v>0.1152577716830808</v>
      </c>
      <c r="T1602">
        <v>882.37</v>
      </c>
      <c r="U1602">
        <v>6</v>
      </c>
      <c r="V1602">
        <v>2022</v>
      </c>
      <c r="W1602">
        <v>2</v>
      </c>
      <c r="X1602" t="s">
        <v>9899</v>
      </c>
      <c r="Y1602" t="s">
        <v>9901</v>
      </c>
      <c r="Z1602" t="s">
        <v>9899</v>
      </c>
      <c r="AD1602">
        <f t="shared" si="49"/>
        <v>6</v>
      </c>
    </row>
    <row r="1603" spans="1:30" x14ac:dyDescent="0.25">
      <c r="A1603" t="s">
        <v>1627</v>
      </c>
      <c r="B1603" s="2">
        <v>44803</v>
      </c>
      <c r="C1603" s="2">
        <v>44810</v>
      </c>
      <c r="D1603" t="s">
        <v>5507</v>
      </c>
      <c r="E1603" t="s">
        <v>6007</v>
      </c>
      <c r="F1603" t="s">
        <v>6027</v>
      </c>
      <c r="G1603" t="s">
        <v>6030</v>
      </c>
      <c r="H1603" t="s">
        <v>6038</v>
      </c>
      <c r="I1603" t="s">
        <v>6047</v>
      </c>
      <c r="J1603" t="s">
        <v>6055</v>
      </c>
      <c r="K1603" t="s">
        <v>6063</v>
      </c>
      <c r="L1603" t="s">
        <v>7536</v>
      </c>
      <c r="M1603">
        <v>105.88</v>
      </c>
      <c r="N1603">
        <v>4</v>
      </c>
      <c r="O1603">
        <v>7.0000000000000007E-2</v>
      </c>
      <c r="P1603">
        <v>3.31</v>
      </c>
      <c r="Q1603" t="s">
        <v>9893</v>
      </c>
      <c r="R1603">
        <v>7</v>
      </c>
      <c r="S1603" s="5">
        <f t="shared" ref="S1603:S1666" si="50">P1603/M1603</f>
        <v>3.1261805817907065E-2</v>
      </c>
      <c r="T1603">
        <v>26.47</v>
      </c>
      <c r="U1603">
        <v>8</v>
      </c>
      <c r="V1603">
        <v>2022</v>
      </c>
      <c r="W1603">
        <v>3</v>
      </c>
      <c r="X1603" t="s">
        <v>9899</v>
      </c>
      <c r="Y1603" t="s">
        <v>9901</v>
      </c>
      <c r="Z1603" t="s">
        <v>9899</v>
      </c>
      <c r="AD1603">
        <f t="shared" ref="AD1603:AD1666" si="51">C1603-B1603</f>
        <v>7</v>
      </c>
    </row>
    <row r="1604" spans="1:30" x14ac:dyDescent="0.25">
      <c r="A1604" t="s">
        <v>1628</v>
      </c>
      <c r="B1604" s="2">
        <v>44830</v>
      </c>
      <c r="C1604" s="2">
        <v>44834</v>
      </c>
      <c r="D1604" t="s">
        <v>5197</v>
      </c>
      <c r="E1604" t="s">
        <v>5697</v>
      </c>
      <c r="F1604" t="s">
        <v>6026</v>
      </c>
      <c r="G1604" t="s">
        <v>6031</v>
      </c>
      <c r="H1604" t="s">
        <v>6043</v>
      </c>
      <c r="I1604" t="s">
        <v>6048</v>
      </c>
      <c r="J1604" t="s">
        <v>6055</v>
      </c>
      <c r="K1604" t="s">
        <v>6063</v>
      </c>
      <c r="L1604" t="s">
        <v>7537</v>
      </c>
      <c r="M1604">
        <v>150.86000000000001</v>
      </c>
      <c r="N1604">
        <v>8</v>
      </c>
      <c r="O1604">
        <v>0.17</v>
      </c>
      <c r="P1604">
        <v>16.649999999999999</v>
      </c>
      <c r="Q1604" t="s">
        <v>9897</v>
      </c>
      <c r="R1604">
        <v>4</v>
      </c>
      <c r="S1604" s="5">
        <f t="shared" si="50"/>
        <v>0.11036722789341109</v>
      </c>
      <c r="T1604">
        <v>18.857500000000002</v>
      </c>
      <c r="U1604">
        <v>9</v>
      </c>
      <c r="V1604">
        <v>2022</v>
      </c>
      <c r="W1604">
        <v>3</v>
      </c>
      <c r="X1604" t="s">
        <v>9899</v>
      </c>
      <c r="Y1604" t="s">
        <v>9900</v>
      </c>
      <c r="Z1604" t="s">
        <v>9899</v>
      </c>
      <c r="AD1604">
        <f t="shared" si="51"/>
        <v>4</v>
      </c>
    </row>
    <row r="1605" spans="1:30" x14ac:dyDescent="0.25">
      <c r="A1605" t="s">
        <v>1629</v>
      </c>
      <c r="B1605" s="2">
        <v>45230</v>
      </c>
      <c r="C1605" s="2">
        <v>45233</v>
      </c>
      <c r="D1605" t="s">
        <v>5444</v>
      </c>
      <c r="E1605" t="s">
        <v>5944</v>
      </c>
      <c r="F1605" t="s">
        <v>6026</v>
      </c>
      <c r="G1605" t="s">
        <v>6030</v>
      </c>
      <c r="H1605" t="s">
        <v>6035</v>
      </c>
      <c r="I1605" t="s">
        <v>6047</v>
      </c>
      <c r="J1605" t="s">
        <v>6054</v>
      </c>
      <c r="K1605" t="s">
        <v>6062</v>
      </c>
      <c r="L1605" t="s">
        <v>7538</v>
      </c>
      <c r="M1605">
        <v>1482.03</v>
      </c>
      <c r="N1605">
        <v>3</v>
      </c>
      <c r="O1605">
        <v>0.02</v>
      </c>
      <c r="P1605">
        <v>297.58999999999997</v>
      </c>
      <c r="Q1605" t="s">
        <v>9894</v>
      </c>
      <c r="R1605">
        <v>3</v>
      </c>
      <c r="S1605" s="5">
        <f t="shared" si="50"/>
        <v>0.20079890420571783</v>
      </c>
      <c r="T1605">
        <v>494.01</v>
      </c>
      <c r="U1605">
        <v>10</v>
      </c>
      <c r="V1605">
        <v>2023</v>
      </c>
      <c r="W1605">
        <v>4</v>
      </c>
      <c r="X1605" t="s">
        <v>9899</v>
      </c>
      <c r="Y1605" t="s">
        <v>9901</v>
      </c>
      <c r="Z1605" t="s">
        <v>9898</v>
      </c>
      <c r="AD1605">
        <f t="shared" si="51"/>
        <v>3</v>
      </c>
    </row>
    <row r="1606" spans="1:30" x14ac:dyDescent="0.25">
      <c r="A1606" t="s">
        <v>1630</v>
      </c>
      <c r="B1606" s="2">
        <v>44774</v>
      </c>
      <c r="C1606" s="2">
        <v>44778</v>
      </c>
      <c r="D1606" t="s">
        <v>5221</v>
      </c>
      <c r="E1606" t="s">
        <v>5721</v>
      </c>
      <c r="F1606" t="s">
        <v>6027</v>
      </c>
      <c r="G1606" t="s">
        <v>6030</v>
      </c>
      <c r="H1606" t="s">
        <v>6035</v>
      </c>
      <c r="I1606" t="s">
        <v>6051</v>
      </c>
      <c r="J1606" t="s">
        <v>6053</v>
      </c>
      <c r="K1606" t="s">
        <v>6058</v>
      </c>
      <c r="L1606" t="s">
        <v>7539</v>
      </c>
      <c r="M1606">
        <v>1869.71</v>
      </c>
      <c r="N1606">
        <v>5</v>
      </c>
      <c r="O1606">
        <v>0.06</v>
      </c>
      <c r="P1606">
        <v>134.76</v>
      </c>
      <c r="Q1606" t="s">
        <v>9896</v>
      </c>
      <c r="R1606">
        <v>4</v>
      </c>
      <c r="S1606" s="5">
        <f t="shared" si="50"/>
        <v>7.2075348583470158E-2</v>
      </c>
      <c r="T1606">
        <v>373.94200000000001</v>
      </c>
      <c r="U1606">
        <v>8</v>
      </c>
      <c r="V1606">
        <v>2022</v>
      </c>
      <c r="W1606">
        <v>3</v>
      </c>
      <c r="X1606" t="s">
        <v>9899</v>
      </c>
      <c r="Y1606" t="s">
        <v>9901</v>
      </c>
      <c r="Z1606" t="s">
        <v>9898</v>
      </c>
      <c r="AD1606">
        <f t="shared" si="51"/>
        <v>4</v>
      </c>
    </row>
    <row r="1607" spans="1:30" x14ac:dyDescent="0.25">
      <c r="A1607" t="s">
        <v>1631</v>
      </c>
      <c r="B1607" s="2">
        <v>44866</v>
      </c>
      <c r="C1607" s="2">
        <v>44873</v>
      </c>
      <c r="D1607" t="s">
        <v>5360</v>
      </c>
      <c r="E1607" t="s">
        <v>5860</v>
      </c>
      <c r="F1607" t="s">
        <v>6027</v>
      </c>
      <c r="G1607" t="s">
        <v>6029</v>
      </c>
      <c r="H1607" t="s">
        <v>6036</v>
      </c>
      <c r="I1607" t="s">
        <v>6046</v>
      </c>
      <c r="J1607" t="s">
        <v>6054</v>
      </c>
      <c r="K1607" t="s">
        <v>6060</v>
      </c>
      <c r="L1607" t="s">
        <v>7540</v>
      </c>
      <c r="M1607">
        <v>1545.76</v>
      </c>
      <c r="N1607">
        <v>5</v>
      </c>
      <c r="O1607">
        <v>0.25</v>
      </c>
      <c r="P1607">
        <v>-42.46</v>
      </c>
      <c r="Q1607" t="s">
        <v>9896</v>
      </c>
      <c r="R1607">
        <v>7</v>
      </c>
      <c r="S1607" s="5">
        <f t="shared" si="50"/>
        <v>-2.7468688541558844E-2</v>
      </c>
      <c r="T1607">
        <v>309.15199999999999</v>
      </c>
      <c r="U1607">
        <v>11</v>
      </c>
      <c r="V1607">
        <v>2022</v>
      </c>
      <c r="W1607">
        <v>4</v>
      </c>
      <c r="X1607" t="s">
        <v>9898</v>
      </c>
      <c r="Y1607" t="s">
        <v>9900</v>
      </c>
      <c r="Z1607" t="s">
        <v>9898</v>
      </c>
      <c r="AD1607">
        <f t="shared" si="51"/>
        <v>7</v>
      </c>
    </row>
    <row r="1608" spans="1:30" x14ac:dyDescent="0.25">
      <c r="A1608" t="s">
        <v>1632</v>
      </c>
      <c r="B1608" s="2">
        <v>44624</v>
      </c>
      <c r="C1608" s="2">
        <v>44630</v>
      </c>
      <c r="D1608" t="s">
        <v>5160</v>
      </c>
      <c r="E1608" t="s">
        <v>5660</v>
      </c>
      <c r="F1608" t="s">
        <v>6026</v>
      </c>
      <c r="G1608" t="s">
        <v>6031</v>
      </c>
      <c r="H1608" t="s">
        <v>6042</v>
      </c>
      <c r="I1608" t="s">
        <v>6048</v>
      </c>
      <c r="J1608" t="s">
        <v>6055</v>
      </c>
      <c r="K1608" t="s">
        <v>6061</v>
      </c>
      <c r="L1608" t="s">
        <v>7256</v>
      </c>
      <c r="M1608">
        <v>989.98</v>
      </c>
      <c r="N1608">
        <v>3</v>
      </c>
      <c r="O1608">
        <v>0.01</v>
      </c>
      <c r="P1608">
        <v>179.81</v>
      </c>
      <c r="Q1608" t="s">
        <v>9896</v>
      </c>
      <c r="R1608">
        <v>6</v>
      </c>
      <c r="S1608" s="5">
        <f t="shared" si="50"/>
        <v>0.18162993191781651</v>
      </c>
      <c r="T1608">
        <v>329.99333333333328</v>
      </c>
      <c r="U1608">
        <v>3</v>
      </c>
      <c r="V1608">
        <v>2022</v>
      </c>
      <c r="W1608">
        <v>1</v>
      </c>
      <c r="X1608" t="s">
        <v>9899</v>
      </c>
      <c r="Y1608" t="s">
        <v>9901</v>
      </c>
      <c r="Z1608" t="s">
        <v>9899</v>
      </c>
      <c r="AD1608">
        <f t="shared" si="51"/>
        <v>6</v>
      </c>
    </row>
    <row r="1609" spans="1:30" x14ac:dyDescent="0.25">
      <c r="A1609" t="s">
        <v>1633</v>
      </c>
      <c r="B1609" s="2">
        <v>45034</v>
      </c>
      <c r="C1609" s="2">
        <v>45037</v>
      </c>
      <c r="D1609" t="s">
        <v>5084</v>
      </c>
      <c r="E1609" t="s">
        <v>5584</v>
      </c>
      <c r="F1609" t="s">
        <v>6026</v>
      </c>
      <c r="G1609" t="s">
        <v>6031</v>
      </c>
      <c r="H1609" t="s">
        <v>6042</v>
      </c>
      <c r="I1609" t="s">
        <v>6050</v>
      </c>
      <c r="J1609" t="s">
        <v>6055</v>
      </c>
      <c r="K1609" t="s">
        <v>6063</v>
      </c>
      <c r="L1609" t="s">
        <v>7541</v>
      </c>
      <c r="M1609">
        <v>1732.22</v>
      </c>
      <c r="N1609">
        <v>4</v>
      </c>
      <c r="O1609">
        <v>0.05</v>
      </c>
      <c r="P1609">
        <v>345.3</v>
      </c>
      <c r="Q1609" t="s">
        <v>9897</v>
      </c>
      <c r="R1609">
        <v>3</v>
      </c>
      <c r="S1609" s="5">
        <f t="shared" si="50"/>
        <v>0.19933957580445902</v>
      </c>
      <c r="T1609">
        <v>433.05500000000001</v>
      </c>
      <c r="U1609">
        <v>4</v>
      </c>
      <c r="V1609">
        <v>2023</v>
      </c>
      <c r="W1609">
        <v>2</v>
      </c>
      <c r="X1609" t="s">
        <v>9899</v>
      </c>
      <c r="Y1609" t="s">
        <v>9901</v>
      </c>
      <c r="Z1609" t="s">
        <v>9898</v>
      </c>
      <c r="AD1609">
        <f t="shared" si="51"/>
        <v>3</v>
      </c>
    </row>
    <row r="1610" spans="1:30" x14ac:dyDescent="0.25">
      <c r="A1610" t="s">
        <v>1634</v>
      </c>
      <c r="B1610" s="2">
        <v>45059</v>
      </c>
      <c r="C1610" s="2">
        <v>45065</v>
      </c>
      <c r="D1610" t="s">
        <v>5452</v>
      </c>
      <c r="E1610" t="s">
        <v>5952</v>
      </c>
      <c r="F1610" t="s">
        <v>6026</v>
      </c>
      <c r="G1610" t="s">
        <v>6029</v>
      </c>
      <c r="H1610" t="s">
        <v>6044</v>
      </c>
      <c r="I1610" t="s">
        <v>6049</v>
      </c>
      <c r="J1610" t="s">
        <v>6055</v>
      </c>
      <c r="K1610" t="s">
        <v>6061</v>
      </c>
      <c r="L1610" t="s">
        <v>7542</v>
      </c>
      <c r="M1610">
        <v>1840.62</v>
      </c>
      <c r="N1610">
        <v>2</v>
      </c>
      <c r="O1610">
        <v>0.18</v>
      </c>
      <c r="P1610">
        <v>-8.34</v>
      </c>
      <c r="Q1610" t="s">
        <v>9893</v>
      </c>
      <c r="R1610">
        <v>6</v>
      </c>
      <c r="S1610" s="5">
        <f t="shared" si="50"/>
        <v>-4.5310819180493529E-3</v>
      </c>
      <c r="T1610">
        <v>920.31</v>
      </c>
      <c r="U1610">
        <v>5</v>
      </c>
      <c r="V1610">
        <v>2023</v>
      </c>
      <c r="W1610">
        <v>2</v>
      </c>
      <c r="X1610" t="s">
        <v>9898</v>
      </c>
      <c r="Y1610" t="s">
        <v>9900</v>
      </c>
      <c r="Z1610" t="s">
        <v>9898</v>
      </c>
      <c r="AD1610">
        <f t="shared" si="51"/>
        <v>6</v>
      </c>
    </row>
    <row r="1611" spans="1:30" x14ac:dyDescent="0.25">
      <c r="A1611" t="s">
        <v>1635</v>
      </c>
      <c r="B1611" s="2">
        <v>44979</v>
      </c>
      <c r="C1611" s="2">
        <v>44981</v>
      </c>
      <c r="D1611" t="s">
        <v>5286</v>
      </c>
      <c r="E1611" t="s">
        <v>5786</v>
      </c>
      <c r="F1611" t="s">
        <v>6026</v>
      </c>
      <c r="G1611" t="s">
        <v>6030</v>
      </c>
      <c r="H1611" t="s">
        <v>6039</v>
      </c>
      <c r="I1611" t="s">
        <v>6047</v>
      </c>
      <c r="J1611" t="s">
        <v>6053</v>
      </c>
      <c r="K1611" t="s">
        <v>6056</v>
      </c>
      <c r="L1611" t="s">
        <v>7543</v>
      </c>
      <c r="M1611">
        <v>527.15</v>
      </c>
      <c r="N1611">
        <v>6</v>
      </c>
      <c r="O1611">
        <v>0.14000000000000001</v>
      </c>
      <c r="P1611">
        <v>70.540000000000006</v>
      </c>
      <c r="Q1611" t="s">
        <v>9896</v>
      </c>
      <c r="R1611">
        <v>2</v>
      </c>
      <c r="S1611" s="5">
        <f t="shared" si="50"/>
        <v>0.13381390496063741</v>
      </c>
      <c r="T1611">
        <v>87.858333333333334</v>
      </c>
      <c r="U1611">
        <v>2</v>
      </c>
      <c r="V1611">
        <v>2023</v>
      </c>
      <c r="W1611">
        <v>1</v>
      </c>
      <c r="X1611" t="s">
        <v>9899</v>
      </c>
      <c r="Y1611" t="s">
        <v>9901</v>
      </c>
      <c r="Z1611" t="s">
        <v>9899</v>
      </c>
      <c r="AD1611">
        <f t="shared" si="51"/>
        <v>2</v>
      </c>
    </row>
    <row r="1612" spans="1:30" x14ac:dyDescent="0.25">
      <c r="A1612" t="s">
        <v>1636</v>
      </c>
      <c r="B1612" s="2">
        <v>45209</v>
      </c>
      <c r="C1612" s="2">
        <v>45214</v>
      </c>
      <c r="D1612" t="s">
        <v>5339</v>
      </c>
      <c r="E1612" t="s">
        <v>5839</v>
      </c>
      <c r="F1612" t="s">
        <v>6026</v>
      </c>
      <c r="G1612" t="s">
        <v>6030</v>
      </c>
      <c r="H1612" t="s">
        <v>6035</v>
      </c>
      <c r="I1612" t="s">
        <v>6051</v>
      </c>
      <c r="J1612" t="s">
        <v>6054</v>
      </c>
      <c r="K1612" t="s">
        <v>6059</v>
      </c>
      <c r="L1612" t="s">
        <v>7544</v>
      </c>
      <c r="M1612">
        <v>176.56</v>
      </c>
      <c r="N1612">
        <v>1</v>
      </c>
      <c r="O1612">
        <v>0.11</v>
      </c>
      <c r="P1612">
        <v>33.369999999999997</v>
      </c>
      <c r="Q1612" t="s">
        <v>9893</v>
      </c>
      <c r="R1612">
        <v>5</v>
      </c>
      <c r="S1612" s="5">
        <f t="shared" si="50"/>
        <v>0.1890009062075215</v>
      </c>
      <c r="T1612">
        <v>176.56</v>
      </c>
      <c r="U1612">
        <v>10</v>
      </c>
      <c r="V1612">
        <v>2023</v>
      </c>
      <c r="W1612">
        <v>4</v>
      </c>
      <c r="X1612" t="s">
        <v>9899</v>
      </c>
      <c r="Y1612" t="s">
        <v>9901</v>
      </c>
      <c r="Z1612" t="s">
        <v>9899</v>
      </c>
      <c r="AD1612">
        <f t="shared" si="51"/>
        <v>5</v>
      </c>
    </row>
    <row r="1613" spans="1:30" x14ac:dyDescent="0.25">
      <c r="A1613" t="s">
        <v>1637</v>
      </c>
      <c r="B1613" s="2">
        <v>45167</v>
      </c>
      <c r="C1613" s="2">
        <v>45171</v>
      </c>
      <c r="D1613" t="s">
        <v>5121</v>
      </c>
      <c r="E1613" t="s">
        <v>5621</v>
      </c>
      <c r="F1613" t="s">
        <v>6028</v>
      </c>
      <c r="G1613" t="s">
        <v>6029</v>
      </c>
      <c r="H1613" t="s">
        <v>6032</v>
      </c>
      <c r="I1613" t="s">
        <v>6046</v>
      </c>
      <c r="J1613" t="s">
        <v>6054</v>
      </c>
      <c r="K1613" t="s">
        <v>6060</v>
      </c>
      <c r="L1613" t="s">
        <v>7545</v>
      </c>
      <c r="M1613">
        <v>502.01</v>
      </c>
      <c r="N1613">
        <v>4</v>
      </c>
      <c r="O1613">
        <v>0.17</v>
      </c>
      <c r="P1613">
        <v>53.61</v>
      </c>
      <c r="Q1613" t="s">
        <v>9895</v>
      </c>
      <c r="R1613">
        <v>4</v>
      </c>
      <c r="S1613" s="5">
        <f t="shared" si="50"/>
        <v>0.10679070138045059</v>
      </c>
      <c r="T1613">
        <v>125.5025</v>
      </c>
      <c r="U1613">
        <v>8</v>
      </c>
      <c r="V1613">
        <v>2023</v>
      </c>
      <c r="W1613">
        <v>3</v>
      </c>
      <c r="X1613" t="s">
        <v>9899</v>
      </c>
      <c r="Y1613" t="s">
        <v>9900</v>
      </c>
      <c r="Z1613" t="s">
        <v>9899</v>
      </c>
      <c r="AD1613">
        <f t="shared" si="51"/>
        <v>4</v>
      </c>
    </row>
    <row r="1614" spans="1:30" x14ac:dyDescent="0.25">
      <c r="A1614" t="s">
        <v>1638</v>
      </c>
      <c r="B1614" s="2">
        <v>45423</v>
      </c>
      <c r="C1614" s="2">
        <v>45426</v>
      </c>
      <c r="D1614" t="s">
        <v>5179</v>
      </c>
      <c r="E1614" t="s">
        <v>5679</v>
      </c>
      <c r="F1614" t="s">
        <v>6028</v>
      </c>
      <c r="G1614" t="s">
        <v>6030</v>
      </c>
      <c r="H1614" t="s">
        <v>6039</v>
      </c>
      <c r="I1614" t="s">
        <v>6051</v>
      </c>
      <c r="J1614" t="s">
        <v>6055</v>
      </c>
      <c r="K1614" t="s">
        <v>6063</v>
      </c>
      <c r="L1614" t="s">
        <v>7546</v>
      </c>
      <c r="M1614">
        <v>1556.63</v>
      </c>
      <c r="N1614">
        <v>7</v>
      </c>
      <c r="O1614">
        <v>0.25</v>
      </c>
      <c r="P1614">
        <v>-160.94</v>
      </c>
      <c r="Q1614" t="s">
        <v>9894</v>
      </c>
      <c r="R1614">
        <v>3</v>
      </c>
      <c r="S1614" s="5">
        <f t="shared" si="50"/>
        <v>-0.10339001561064606</v>
      </c>
      <c r="T1614">
        <v>222.37571428571431</v>
      </c>
      <c r="U1614">
        <v>5</v>
      </c>
      <c r="V1614">
        <v>2024</v>
      </c>
      <c r="W1614">
        <v>2</v>
      </c>
      <c r="X1614" t="s">
        <v>9898</v>
      </c>
      <c r="Y1614" t="s">
        <v>9900</v>
      </c>
      <c r="Z1614" t="s">
        <v>9898</v>
      </c>
      <c r="AD1614">
        <f t="shared" si="51"/>
        <v>3</v>
      </c>
    </row>
    <row r="1615" spans="1:30" x14ac:dyDescent="0.25">
      <c r="A1615" t="s">
        <v>1639</v>
      </c>
      <c r="B1615" s="2">
        <v>44567</v>
      </c>
      <c r="C1615" s="2">
        <v>44570</v>
      </c>
      <c r="D1615" t="s">
        <v>5180</v>
      </c>
      <c r="E1615" t="s">
        <v>5680</v>
      </c>
      <c r="F1615" t="s">
        <v>6026</v>
      </c>
      <c r="G1615" t="s">
        <v>6031</v>
      </c>
      <c r="H1615" t="s">
        <v>6034</v>
      </c>
      <c r="I1615" t="s">
        <v>6052</v>
      </c>
      <c r="J1615" t="s">
        <v>6053</v>
      </c>
      <c r="K1615" t="s">
        <v>6058</v>
      </c>
      <c r="L1615" t="s">
        <v>6193</v>
      </c>
      <c r="M1615">
        <v>1749.13</v>
      </c>
      <c r="N1615">
        <v>5</v>
      </c>
      <c r="O1615">
        <v>0.26</v>
      </c>
      <c r="P1615">
        <v>-259.58</v>
      </c>
      <c r="Q1615" t="s">
        <v>9894</v>
      </c>
      <c r="R1615">
        <v>3</v>
      </c>
      <c r="S1615" s="5">
        <f t="shared" si="50"/>
        <v>-0.14840520716013103</v>
      </c>
      <c r="T1615">
        <v>349.82600000000002</v>
      </c>
      <c r="U1615">
        <v>1</v>
      </c>
      <c r="V1615">
        <v>2022</v>
      </c>
      <c r="W1615">
        <v>1</v>
      </c>
      <c r="X1615" t="s">
        <v>9898</v>
      </c>
      <c r="Y1615" t="s">
        <v>9900</v>
      </c>
      <c r="Z1615" t="s">
        <v>9898</v>
      </c>
      <c r="AD1615">
        <f t="shared" si="51"/>
        <v>3</v>
      </c>
    </row>
    <row r="1616" spans="1:30" x14ac:dyDescent="0.25">
      <c r="A1616" t="s">
        <v>1640</v>
      </c>
      <c r="B1616" s="2">
        <v>44728</v>
      </c>
      <c r="C1616" s="2">
        <v>44734</v>
      </c>
      <c r="D1616" t="s">
        <v>5241</v>
      </c>
      <c r="E1616" t="s">
        <v>5741</v>
      </c>
      <c r="F1616" t="s">
        <v>6026</v>
      </c>
      <c r="G1616" t="s">
        <v>6031</v>
      </c>
      <c r="H1616" t="s">
        <v>6040</v>
      </c>
      <c r="I1616" t="s">
        <v>6050</v>
      </c>
      <c r="J1616" t="s">
        <v>6055</v>
      </c>
      <c r="K1616" t="s">
        <v>6061</v>
      </c>
      <c r="L1616" t="s">
        <v>7547</v>
      </c>
      <c r="M1616">
        <v>513.27</v>
      </c>
      <c r="N1616">
        <v>2</v>
      </c>
      <c r="O1616">
        <v>0.23</v>
      </c>
      <c r="P1616">
        <v>-0.77</v>
      </c>
      <c r="Q1616" t="s">
        <v>9896</v>
      </c>
      <c r="R1616">
        <v>6</v>
      </c>
      <c r="S1616" s="5">
        <f t="shared" si="50"/>
        <v>-1.5001850877705693E-3</v>
      </c>
      <c r="T1616">
        <v>256.63499999999999</v>
      </c>
      <c r="U1616">
        <v>6</v>
      </c>
      <c r="V1616">
        <v>2022</v>
      </c>
      <c r="W1616">
        <v>2</v>
      </c>
      <c r="X1616" t="s">
        <v>9898</v>
      </c>
      <c r="Y1616" t="s">
        <v>9900</v>
      </c>
      <c r="Z1616" t="s">
        <v>9899</v>
      </c>
      <c r="AD1616">
        <f t="shared" si="51"/>
        <v>6</v>
      </c>
    </row>
    <row r="1617" spans="1:30" x14ac:dyDescent="0.25">
      <c r="A1617" t="s">
        <v>1641</v>
      </c>
      <c r="B1617" s="2">
        <v>45108</v>
      </c>
      <c r="C1617" s="2">
        <v>45111</v>
      </c>
      <c r="D1617" t="s">
        <v>5407</v>
      </c>
      <c r="E1617" t="s">
        <v>5907</v>
      </c>
      <c r="F1617" t="s">
        <v>6026</v>
      </c>
      <c r="G1617" t="s">
        <v>6029</v>
      </c>
      <c r="H1617" t="s">
        <v>6041</v>
      </c>
      <c r="I1617" t="s">
        <v>6046</v>
      </c>
      <c r="J1617" t="s">
        <v>6053</v>
      </c>
      <c r="K1617" t="s">
        <v>6058</v>
      </c>
      <c r="L1617" t="s">
        <v>7419</v>
      </c>
      <c r="M1617">
        <v>1841.83</v>
      </c>
      <c r="N1617">
        <v>7</v>
      </c>
      <c r="O1617">
        <v>0.31</v>
      </c>
      <c r="P1617">
        <v>-361.11</v>
      </c>
      <c r="Q1617" t="s">
        <v>9895</v>
      </c>
      <c r="R1617">
        <v>3</v>
      </c>
      <c r="S1617" s="5">
        <f t="shared" si="50"/>
        <v>-0.19606043988858909</v>
      </c>
      <c r="T1617">
        <v>263.11857142857139</v>
      </c>
      <c r="U1617">
        <v>7</v>
      </c>
      <c r="V1617">
        <v>2023</v>
      </c>
      <c r="W1617">
        <v>3</v>
      </c>
      <c r="X1617" t="s">
        <v>9898</v>
      </c>
      <c r="Y1617" t="s">
        <v>9902</v>
      </c>
      <c r="Z1617" t="s">
        <v>9898</v>
      </c>
      <c r="AD1617">
        <f t="shared" si="51"/>
        <v>3</v>
      </c>
    </row>
    <row r="1618" spans="1:30" x14ac:dyDescent="0.25">
      <c r="A1618" t="s">
        <v>1642</v>
      </c>
      <c r="B1618" s="2">
        <v>45098</v>
      </c>
      <c r="C1618" s="2">
        <v>45100</v>
      </c>
      <c r="D1618" t="s">
        <v>5462</v>
      </c>
      <c r="E1618" t="s">
        <v>5962</v>
      </c>
      <c r="F1618" t="s">
        <v>6026</v>
      </c>
      <c r="G1618" t="s">
        <v>6029</v>
      </c>
      <c r="H1618" t="s">
        <v>6041</v>
      </c>
      <c r="I1618" t="s">
        <v>6049</v>
      </c>
      <c r="J1618" t="s">
        <v>6053</v>
      </c>
      <c r="K1618" t="s">
        <v>6057</v>
      </c>
      <c r="L1618" t="s">
        <v>7423</v>
      </c>
      <c r="M1618">
        <v>650.29999999999995</v>
      </c>
      <c r="N1618">
        <v>6</v>
      </c>
      <c r="O1618">
        <v>0.21</v>
      </c>
      <c r="P1618">
        <v>-26.17</v>
      </c>
      <c r="Q1618" t="s">
        <v>9893</v>
      </c>
      <c r="R1618">
        <v>2</v>
      </c>
      <c r="S1618" s="5">
        <f t="shared" si="50"/>
        <v>-4.0242964785483629E-2</v>
      </c>
      <c r="T1618">
        <v>108.3833333333333</v>
      </c>
      <c r="U1618">
        <v>6</v>
      </c>
      <c r="V1618">
        <v>2023</v>
      </c>
      <c r="W1618">
        <v>2</v>
      </c>
      <c r="X1618" t="s">
        <v>9898</v>
      </c>
      <c r="Y1618" t="s">
        <v>9900</v>
      </c>
      <c r="Z1618" t="s">
        <v>9899</v>
      </c>
      <c r="AD1618">
        <f t="shared" si="51"/>
        <v>2</v>
      </c>
    </row>
    <row r="1619" spans="1:30" x14ac:dyDescent="0.25">
      <c r="A1619" t="s">
        <v>1643</v>
      </c>
      <c r="B1619" s="2">
        <v>45123</v>
      </c>
      <c r="C1619" s="2">
        <v>45127</v>
      </c>
      <c r="D1619" t="s">
        <v>5308</v>
      </c>
      <c r="E1619" t="s">
        <v>5808</v>
      </c>
      <c r="F1619" t="s">
        <v>6028</v>
      </c>
      <c r="G1619" t="s">
        <v>6030</v>
      </c>
      <c r="H1619" t="s">
        <v>6035</v>
      </c>
      <c r="I1619" t="s">
        <v>6047</v>
      </c>
      <c r="J1619" t="s">
        <v>6055</v>
      </c>
      <c r="K1619" t="s">
        <v>6061</v>
      </c>
      <c r="L1619" t="s">
        <v>7548</v>
      </c>
      <c r="M1619">
        <v>326.27999999999997</v>
      </c>
      <c r="N1619">
        <v>7</v>
      </c>
      <c r="O1619">
        <v>0.12</v>
      </c>
      <c r="P1619">
        <v>37.369999999999997</v>
      </c>
      <c r="Q1619" t="s">
        <v>9894</v>
      </c>
      <c r="R1619">
        <v>4</v>
      </c>
      <c r="S1619" s="5">
        <f t="shared" si="50"/>
        <v>0.11453352948387888</v>
      </c>
      <c r="T1619">
        <v>46.611428571428569</v>
      </c>
      <c r="U1619">
        <v>7</v>
      </c>
      <c r="V1619">
        <v>2023</v>
      </c>
      <c r="W1619">
        <v>3</v>
      </c>
      <c r="X1619" t="s">
        <v>9899</v>
      </c>
      <c r="Y1619" t="s">
        <v>9901</v>
      </c>
      <c r="Z1619" t="s">
        <v>9899</v>
      </c>
      <c r="AD1619">
        <f t="shared" si="51"/>
        <v>4</v>
      </c>
    </row>
    <row r="1620" spans="1:30" x14ac:dyDescent="0.25">
      <c r="A1620" t="s">
        <v>1644</v>
      </c>
      <c r="B1620" s="2">
        <v>45150</v>
      </c>
      <c r="C1620" s="2">
        <v>45157</v>
      </c>
      <c r="D1620" t="s">
        <v>5509</v>
      </c>
      <c r="E1620" t="s">
        <v>6009</v>
      </c>
      <c r="F1620" t="s">
        <v>6027</v>
      </c>
      <c r="G1620" t="s">
        <v>6029</v>
      </c>
      <c r="H1620" t="s">
        <v>6044</v>
      </c>
      <c r="I1620" t="s">
        <v>6050</v>
      </c>
      <c r="J1620" t="s">
        <v>6054</v>
      </c>
      <c r="K1620" t="s">
        <v>6059</v>
      </c>
      <c r="L1620" t="s">
        <v>7549</v>
      </c>
      <c r="M1620">
        <v>1512.25</v>
      </c>
      <c r="N1620">
        <v>5</v>
      </c>
      <c r="O1620">
        <v>0.31</v>
      </c>
      <c r="P1620">
        <v>-95.42</v>
      </c>
      <c r="Q1620" t="s">
        <v>9897</v>
      </c>
      <c r="R1620">
        <v>7</v>
      </c>
      <c r="S1620" s="5">
        <f t="shared" si="50"/>
        <v>-6.3098032732683093E-2</v>
      </c>
      <c r="T1620">
        <v>302.45</v>
      </c>
      <c r="U1620">
        <v>8</v>
      </c>
      <c r="V1620">
        <v>2023</v>
      </c>
      <c r="W1620">
        <v>3</v>
      </c>
      <c r="X1620" t="s">
        <v>9898</v>
      </c>
      <c r="Y1620" t="s">
        <v>9902</v>
      </c>
      <c r="Z1620" t="s">
        <v>9898</v>
      </c>
      <c r="AD1620">
        <f t="shared" si="51"/>
        <v>7</v>
      </c>
    </row>
    <row r="1621" spans="1:30" x14ac:dyDescent="0.25">
      <c r="A1621" t="s">
        <v>1645</v>
      </c>
      <c r="B1621" s="2">
        <v>45311</v>
      </c>
      <c r="C1621" s="2">
        <v>45315</v>
      </c>
      <c r="D1621" t="s">
        <v>5088</v>
      </c>
      <c r="E1621" t="s">
        <v>5588</v>
      </c>
      <c r="F1621" t="s">
        <v>6026</v>
      </c>
      <c r="G1621" t="s">
        <v>6029</v>
      </c>
      <c r="H1621" t="s">
        <v>6036</v>
      </c>
      <c r="I1621" t="s">
        <v>6046</v>
      </c>
      <c r="J1621" t="s">
        <v>6054</v>
      </c>
      <c r="K1621" t="s">
        <v>6062</v>
      </c>
      <c r="L1621" t="s">
        <v>7550</v>
      </c>
      <c r="M1621">
        <v>354.13</v>
      </c>
      <c r="N1621">
        <v>1</v>
      </c>
      <c r="O1621">
        <v>0.03</v>
      </c>
      <c r="P1621">
        <v>85.77</v>
      </c>
      <c r="Q1621" t="s">
        <v>9894</v>
      </c>
      <c r="R1621">
        <v>4</v>
      </c>
      <c r="S1621" s="5">
        <f t="shared" si="50"/>
        <v>0.24219919238697651</v>
      </c>
      <c r="T1621">
        <v>354.13</v>
      </c>
      <c r="U1621">
        <v>1</v>
      </c>
      <c r="V1621">
        <v>2024</v>
      </c>
      <c r="W1621">
        <v>1</v>
      </c>
      <c r="X1621" t="s">
        <v>9899</v>
      </c>
      <c r="Y1621" t="s">
        <v>9901</v>
      </c>
      <c r="Z1621" t="s">
        <v>9899</v>
      </c>
      <c r="AD1621">
        <f t="shared" si="51"/>
        <v>4</v>
      </c>
    </row>
    <row r="1622" spans="1:30" x14ac:dyDescent="0.25">
      <c r="A1622" t="s">
        <v>1646</v>
      </c>
      <c r="B1622" s="2">
        <v>44728</v>
      </c>
      <c r="C1622" s="2">
        <v>44731</v>
      </c>
      <c r="D1622" t="s">
        <v>5467</v>
      </c>
      <c r="E1622" t="s">
        <v>5967</v>
      </c>
      <c r="F1622" t="s">
        <v>6026</v>
      </c>
      <c r="G1622" t="s">
        <v>6031</v>
      </c>
      <c r="H1622" t="s">
        <v>6037</v>
      </c>
      <c r="I1622" t="s">
        <v>6050</v>
      </c>
      <c r="J1622" t="s">
        <v>6055</v>
      </c>
      <c r="K1622" t="s">
        <v>6063</v>
      </c>
      <c r="L1622" t="s">
        <v>7551</v>
      </c>
      <c r="M1622">
        <v>1090.83</v>
      </c>
      <c r="N1622">
        <v>1</v>
      </c>
      <c r="O1622">
        <v>0.14000000000000001</v>
      </c>
      <c r="P1622">
        <v>71.239999999999995</v>
      </c>
      <c r="Q1622" t="s">
        <v>9895</v>
      </c>
      <c r="R1622">
        <v>3</v>
      </c>
      <c r="S1622" s="5">
        <f t="shared" si="50"/>
        <v>6.5308068168275529E-2</v>
      </c>
      <c r="T1622">
        <v>1090.83</v>
      </c>
      <c r="U1622">
        <v>6</v>
      </c>
      <c r="V1622">
        <v>2022</v>
      </c>
      <c r="W1622">
        <v>2</v>
      </c>
      <c r="X1622" t="s">
        <v>9899</v>
      </c>
      <c r="Y1622" t="s">
        <v>9901</v>
      </c>
      <c r="Z1622" t="s">
        <v>9898</v>
      </c>
      <c r="AD1622">
        <f t="shared" si="51"/>
        <v>3</v>
      </c>
    </row>
    <row r="1623" spans="1:30" x14ac:dyDescent="0.25">
      <c r="A1623" t="s">
        <v>1647</v>
      </c>
      <c r="B1623" s="2">
        <v>44641</v>
      </c>
      <c r="C1623" s="2">
        <v>44647</v>
      </c>
      <c r="D1623" t="s">
        <v>5348</v>
      </c>
      <c r="E1623" t="s">
        <v>5848</v>
      </c>
      <c r="F1623" t="s">
        <v>6026</v>
      </c>
      <c r="G1623" t="s">
        <v>6029</v>
      </c>
      <c r="H1623" t="s">
        <v>6044</v>
      </c>
      <c r="I1623" t="s">
        <v>6049</v>
      </c>
      <c r="J1623" t="s">
        <v>6055</v>
      </c>
      <c r="K1623" t="s">
        <v>6061</v>
      </c>
      <c r="L1623" t="s">
        <v>7552</v>
      </c>
      <c r="M1623">
        <v>293.10000000000002</v>
      </c>
      <c r="N1623">
        <v>6</v>
      </c>
      <c r="O1623">
        <v>0.09</v>
      </c>
      <c r="P1623">
        <v>57.6</v>
      </c>
      <c r="Q1623" t="s">
        <v>9894</v>
      </c>
      <c r="R1623">
        <v>6</v>
      </c>
      <c r="S1623" s="5">
        <f t="shared" si="50"/>
        <v>0.19651995905834185</v>
      </c>
      <c r="T1623">
        <v>48.85</v>
      </c>
      <c r="U1623">
        <v>3</v>
      </c>
      <c r="V1623">
        <v>2022</v>
      </c>
      <c r="W1623">
        <v>1</v>
      </c>
      <c r="X1623" t="s">
        <v>9899</v>
      </c>
      <c r="Y1623" t="s">
        <v>9901</v>
      </c>
      <c r="Z1623" t="s">
        <v>9899</v>
      </c>
      <c r="AD1623">
        <f t="shared" si="51"/>
        <v>6</v>
      </c>
    </row>
    <row r="1624" spans="1:30" x14ac:dyDescent="0.25">
      <c r="A1624" t="s">
        <v>1648</v>
      </c>
      <c r="B1624" s="2">
        <v>44668</v>
      </c>
      <c r="C1624" s="2">
        <v>44673</v>
      </c>
      <c r="D1624" t="s">
        <v>5433</v>
      </c>
      <c r="E1624" t="s">
        <v>5933</v>
      </c>
      <c r="F1624" t="s">
        <v>6026</v>
      </c>
      <c r="G1624" t="s">
        <v>6031</v>
      </c>
      <c r="H1624" t="s">
        <v>6034</v>
      </c>
      <c r="I1624" t="s">
        <v>6050</v>
      </c>
      <c r="J1624" t="s">
        <v>6055</v>
      </c>
      <c r="K1624" t="s">
        <v>6063</v>
      </c>
      <c r="L1624" t="s">
        <v>7553</v>
      </c>
      <c r="M1624">
        <v>115.02</v>
      </c>
      <c r="N1624">
        <v>3</v>
      </c>
      <c r="O1624">
        <v>0.2</v>
      </c>
      <c r="P1624">
        <v>-0.26</v>
      </c>
      <c r="Q1624" t="s">
        <v>9895</v>
      </c>
      <c r="R1624">
        <v>5</v>
      </c>
      <c r="S1624" s="5">
        <f t="shared" si="50"/>
        <v>-2.2604764388801948E-3</v>
      </c>
      <c r="T1624">
        <v>38.340000000000003</v>
      </c>
      <c r="U1624">
        <v>4</v>
      </c>
      <c r="V1624">
        <v>2022</v>
      </c>
      <c r="W1624">
        <v>2</v>
      </c>
      <c r="X1624" t="s">
        <v>9898</v>
      </c>
      <c r="Y1624" t="s">
        <v>9900</v>
      </c>
      <c r="Z1624" t="s">
        <v>9899</v>
      </c>
      <c r="AD1624">
        <f t="shared" si="51"/>
        <v>5</v>
      </c>
    </row>
    <row r="1625" spans="1:30" x14ac:dyDescent="0.25">
      <c r="A1625" t="s">
        <v>1649</v>
      </c>
      <c r="B1625" s="2">
        <v>44696</v>
      </c>
      <c r="C1625" s="2">
        <v>44697</v>
      </c>
      <c r="D1625" t="s">
        <v>5091</v>
      </c>
      <c r="E1625" t="s">
        <v>5591</v>
      </c>
      <c r="F1625" t="s">
        <v>6027</v>
      </c>
      <c r="G1625" t="s">
        <v>6030</v>
      </c>
      <c r="H1625" t="s">
        <v>6033</v>
      </c>
      <c r="I1625" t="s">
        <v>6051</v>
      </c>
      <c r="J1625" t="s">
        <v>6054</v>
      </c>
      <c r="K1625" t="s">
        <v>6062</v>
      </c>
      <c r="L1625" t="s">
        <v>7554</v>
      </c>
      <c r="M1625">
        <v>1019.63</v>
      </c>
      <c r="N1625">
        <v>8</v>
      </c>
      <c r="O1625">
        <v>0.09</v>
      </c>
      <c r="P1625">
        <v>10.79</v>
      </c>
      <c r="Q1625" t="s">
        <v>9897</v>
      </c>
      <c r="R1625">
        <v>1</v>
      </c>
      <c r="S1625" s="5">
        <f t="shared" si="50"/>
        <v>1.0582270039131841E-2</v>
      </c>
      <c r="T1625">
        <v>127.45375</v>
      </c>
      <c r="U1625">
        <v>5</v>
      </c>
      <c r="V1625">
        <v>2022</v>
      </c>
      <c r="W1625">
        <v>2</v>
      </c>
      <c r="X1625" t="s">
        <v>9899</v>
      </c>
      <c r="Y1625" t="s">
        <v>9901</v>
      </c>
      <c r="Z1625" t="s">
        <v>9898</v>
      </c>
      <c r="AD1625">
        <f t="shared" si="51"/>
        <v>1</v>
      </c>
    </row>
    <row r="1626" spans="1:30" x14ac:dyDescent="0.25">
      <c r="A1626" t="s">
        <v>1650</v>
      </c>
      <c r="B1626" s="2">
        <v>44655</v>
      </c>
      <c r="C1626" s="2">
        <v>44658</v>
      </c>
      <c r="D1626" t="s">
        <v>5138</v>
      </c>
      <c r="E1626" t="s">
        <v>5638</v>
      </c>
      <c r="F1626" t="s">
        <v>6027</v>
      </c>
      <c r="G1626" t="s">
        <v>6031</v>
      </c>
      <c r="H1626" t="s">
        <v>6034</v>
      </c>
      <c r="I1626" t="s">
        <v>6052</v>
      </c>
      <c r="J1626" t="s">
        <v>6054</v>
      </c>
      <c r="K1626" t="s">
        <v>6060</v>
      </c>
      <c r="L1626" t="s">
        <v>7555</v>
      </c>
      <c r="M1626">
        <v>1058.6300000000001</v>
      </c>
      <c r="N1626">
        <v>6</v>
      </c>
      <c r="O1626">
        <v>0.17</v>
      </c>
      <c r="P1626">
        <v>130</v>
      </c>
      <c r="Q1626" t="s">
        <v>9897</v>
      </c>
      <c r="R1626">
        <v>3</v>
      </c>
      <c r="S1626" s="5">
        <f t="shared" si="50"/>
        <v>0.12280022292963547</v>
      </c>
      <c r="T1626">
        <v>176.43833333333339</v>
      </c>
      <c r="U1626">
        <v>4</v>
      </c>
      <c r="V1626">
        <v>2022</v>
      </c>
      <c r="W1626">
        <v>2</v>
      </c>
      <c r="X1626" t="s">
        <v>9899</v>
      </c>
      <c r="Y1626" t="s">
        <v>9900</v>
      </c>
      <c r="Z1626" t="s">
        <v>9898</v>
      </c>
      <c r="AD1626">
        <f t="shared" si="51"/>
        <v>3</v>
      </c>
    </row>
    <row r="1627" spans="1:30" x14ac:dyDescent="0.25">
      <c r="A1627" t="s">
        <v>1651</v>
      </c>
      <c r="B1627" s="2">
        <v>44797</v>
      </c>
      <c r="C1627" s="2">
        <v>44803</v>
      </c>
      <c r="D1627" t="s">
        <v>5243</v>
      </c>
      <c r="E1627" t="s">
        <v>5743</v>
      </c>
      <c r="F1627" t="s">
        <v>6027</v>
      </c>
      <c r="G1627" t="s">
        <v>6029</v>
      </c>
      <c r="H1627" t="s">
        <v>6036</v>
      </c>
      <c r="I1627" t="s">
        <v>6050</v>
      </c>
      <c r="J1627" t="s">
        <v>6054</v>
      </c>
      <c r="K1627" t="s">
        <v>6060</v>
      </c>
      <c r="L1627" t="s">
        <v>7556</v>
      </c>
      <c r="M1627">
        <v>1590.37</v>
      </c>
      <c r="N1627">
        <v>8</v>
      </c>
      <c r="O1627">
        <v>0.11</v>
      </c>
      <c r="P1627">
        <v>296.88</v>
      </c>
      <c r="Q1627" t="s">
        <v>9894</v>
      </c>
      <c r="R1627">
        <v>6</v>
      </c>
      <c r="S1627" s="5">
        <f t="shared" si="50"/>
        <v>0.18667354137716383</v>
      </c>
      <c r="T1627">
        <v>198.79624999999999</v>
      </c>
      <c r="U1627">
        <v>8</v>
      </c>
      <c r="V1627">
        <v>2022</v>
      </c>
      <c r="W1627">
        <v>3</v>
      </c>
      <c r="X1627" t="s">
        <v>9899</v>
      </c>
      <c r="Y1627" t="s">
        <v>9901</v>
      </c>
      <c r="Z1627" t="s">
        <v>9898</v>
      </c>
      <c r="AD1627">
        <f t="shared" si="51"/>
        <v>6</v>
      </c>
    </row>
    <row r="1628" spans="1:30" x14ac:dyDescent="0.25">
      <c r="A1628" t="s">
        <v>1652</v>
      </c>
      <c r="B1628" s="2">
        <v>45233</v>
      </c>
      <c r="C1628" s="2">
        <v>45239</v>
      </c>
      <c r="D1628" t="s">
        <v>5396</v>
      </c>
      <c r="E1628" t="s">
        <v>5896</v>
      </c>
      <c r="F1628" t="s">
        <v>6026</v>
      </c>
      <c r="G1628" t="s">
        <v>6029</v>
      </c>
      <c r="H1628" t="s">
        <v>6045</v>
      </c>
      <c r="I1628" t="s">
        <v>6046</v>
      </c>
      <c r="J1628" t="s">
        <v>6055</v>
      </c>
      <c r="K1628" t="s">
        <v>6064</v>
      </c>
      <c r="L1628" t="s">
        <v>7039</v>
      </c>
      <c r="M1628">
        <v>1243.94</v>
      </c>
      <c r="N1628">
        <v>2</v>
      </c>
      <c r="O1628">
        <v>0.32</v>
      </c>
      <c r="P1628">
        <v>-38.69</v>
      </c>
      <c r="Q1628" t="s">
        <v>9893</v>
      </c>
      <c r="R1628">
        <v>6</v>
      </c>
      <c r="S1628" s="5">
        <f t="shared" si="50"/>
        <v>-3.1102786308021282E-2</v>
      </c>
      <c r="T1628">
        <v>621.97</v>
      </c>
      <c r="U1628">
        <v>11</v>
      </c>
      <c r="V1628">
        <v>2023</v>
      </c>
      <c r="W1628">
        <v>4</v>
      </c>
      <c r="X1628" t="s">
        <v>9898</v>
      </c>
      <c r="Y1628" t="s">
        <v>9902</v>
      </c>
      <c r="Z1628" t="s">
        <v>9898</v>
      </c>
      <c r="AD1628">
        <f t="shared" si="51"/>
        <v>6</v>
      </c>
    </row>
    <row r="1629" spans="1:30" x14ac:dyDescent="0.25">
      <c r="A1629" t="s">
        <v>1653</v>
      </c>
      <c r="B1629" s="2">
        <v>44774</v>
      </c>
      <c r="C1629" s="2">
        <v>44780</v>
      </c>
      <c r="D1629" t="s">
        <v>5050</v>
      </c>
      <c r="E1629" t="s">
        <v>5550</v>
      </c>
      <c r="F1629" t="s">
        <v>6026</v>
      </c>
      <c r="G1629" t="s">
        <v>6030</v>
      </c>
      <c r="H1629" t="s">
        <v>6039</v>
      </c>
      <c r="I1629" t="s">
        <v>6047</v>
      </c>
      <c r="J1629" t="s">
        <v>6053</v>
      </c>
      <c r="K1629" t="s">
        <v>6056</v>
      </c>
      <c r="L1629" t="s">
        <v>7557</v>
      </c>
      <c r="M1629">
        <v>1576.86</v>
      </c>
      <c r="N1629">
        <v>7</v>
      </c>
      <c r="O1629">
        <v>0.05</v>
      </c>
      <c r="P1629">
        <v>98.52</v>
      </c>
      <c r="Q1629" t="s">
        <v>9894</v>
      </c>
      <c r="R1629">
        <v>6</v>
      </c>
      <c r="S1629" s="5">
        <f t="shared" si="50"/>
        <v>6.2478596704843806E-2</v>
      </c>
      <c r="T1629">
        <v>225.2657142857143</v>
      </c>
      <c r="U1629">
        <v>8</v>
      </c>
      <c r="V1629">
        <v>2022</v>
      </c>
      <c r="W1629">
        <v>3</v>
      </c>
      <c r="X1629" t="s">
        <v>9899</v>
      </c>
      <c r="Y1629" t="s">
        <v>9901</v>
      </c>
      <c r="Z1629" t="s">
        <v>9898</v>
      </c>
      <c r="AD1629">
        <f t="shared" si="51"/>
        <v>6</v>
      </c>
    </row>
    <row r="1630" spans="1:30" x14ac:dyDescent="0.25">
      <c r="A1630" t="s">
        <v>1654</v>
      </c>
      <c r="B1630" s="2">
        <v>44773</v>
      </c>
      <c r="C1630" s="2">
        <v>44775</v>
      </c>
      <c r="D1630" t="s">
        <v>5237</v>
      </c>
      <c r="E1630" t="s">
        <v>5737</v>
      </c>
      <c r="F1630" t="s">
        <v>6027</v>
      </c>
      <c r="G1630" t="s">
        <v>6030</v>
      </c>
      <c r="H1630" t="s">
        <v>6039</v>
      </c>
      <c r="I1630" t="s">
        <v>6047</v>
      </c>
      <c r="J1630" t="s">
        <v>6055</v>
      </c>
      <c r="K1630" t="s">
        <v>6064</v>
      </c>
      <c r="L1630" t="s">
        <v>7558</v>
      </c>
      <c r="M1630">
        <v>947.49</v>
      </c>
      <c r="N1630">
        <v>8</v>
      </c>
      <c r="O1630">
        <v>0.17</v>
      </c>
      <c r="P1630">
        <v>9.65</v>
      </c>
      <c r="Q1630" t="s">
        <v>9896</v>
      </c>
      <c r="R1630">
        <v>2</v>
      </c>
      <c r="S1630" s="5">
        <f t="shared" si="50"/>
        <v>1.0184804061256584E-2</v>
      </c>
      <c r="T1630">
        <v>118.43625</v>
      </c>
      <c r="U1630">
        <v>7</v>
      </c>
      <c r="V1630">
        <v>2022</v>
      </c>
      <c r="W1630">
        <v>3</v>
      </c>
      <c r="X1630" t="s">
        <v>9899</v>
      </c>
      <c r="Y1630" t="s">
        <v>9900</v>
      </c>
      <c r="Z1630" t="s">
        <v>9899</v>
      </c>
      <c r="AD1630">
        <f t="shared" si="51"/>
        <v>2</v>
      </c>
    </row>
    <row r="1631" spans="1:30" x14ac:dyDescent="0.25">
      <c r="A1631" t="s">
        <v>1655</v>
      </c>
      <c r="B1631" s="2">
        <v>44628</v>
      </c>
      <c r="C1631" s="2">
        <v>44630</v>
      </c>
      <c r="D1631" t="s">
        <v>5297</v>
      </c>
      <c r="E1631" t="s">
        <v>5797</v>
      </c>
      <c r="F1631" t="s">
        <v>6027</v>
      </c>
      <c r="G1631" t="s">
        <v>6031</v>
      </c>
      <c r="H1631" t="s">
        <v>6040</v>
      </c>
      <c r="I1631" t="s">
        <v>6050</v>
      </c>
      <c r="J1631" t="s">
        <v>6053</v>
      </c>
      <c r="K1631" t="s">
        <v>6056</v>
      </c>
      <c r="L1631" t="s">
        <v>7000</v>
      </c>
      <c r="M1631">
        <v>1433.82</v>
      </c>
      <c r="N1631">
        <v>3</v>
      </c>
      <c r="O1631">
        <v>0.16</v>
      </c>
      <c r="P1631">
        <v>89.71</v>
      </c>
      <c r="Q1631" t="s">
        <v>9894</v>
      </c>
      <c r="R1631">
        <v>2</v>
      </c>
      <c r="S1631" s="5">
        <f t="shared" si="50"/>
        <v>6.2567128370367264E-2</v>
      </c>
      <c r="T1631">
        <v>477.94</v>
      </c>
      <c r="U1631">
        <v>3</v>
      </c>
      <c r="V1631">
        <v>2022</v>
      </c>
      <c r="W1631">
        <v>1</v>
      </c>
      <c r="X1631" t="s">
        <v>9899</v>
      </c>
      <c r="Y1631" t="s">
        <v>9900</v>
      </c>
      <c r="Z1631" t="s">
        <v>9898</v>
      </c>
      <c r="AD1631">
        <f t="shared" si="51"/>
        <v>2</v>
      </c>
    </row>
    <row r="1632" spans="1:30" x14ac:dyDescent="0.25">
      <c r="A1632" t="s">
        <v>1656</v>
      </c>
      <c r="B1632" s="2">
        <v>44972</v>
      </c>
      <c r="C1632" s="2">
        <v>44979</v>
      </c>
      <c r="D1632" t="s">
        <v>5079</v>
      </c>
      <c r="E1632" t="s">
        <v>5579</v>
      </c>
      <c r="F1632" t="s">
        <v>6027</v>
      </c>
      <c r="G1632" t="s">
        <v>6029</v>
      </c>
      <c r="H1632" t="s">
        <v>6044</v>
      </c>
      <c r="I1632" t="s">
        <v>6049</v>
      </c>
      <c r="J1632" t="s">
        <v>6053</v>
      </c>
      <c r="K1632" t="s">
        <v>6056</v>
      </c>
      <c r="L1632" t="s">
        <v>7559</v>
      </c>
      <c r="M1632">
        <v>1670.85</v>
      </c>
      <c r="N1632">
        <v>8</v>
      </c>
      <c r="O1632">
        <v>0.24</v>
      </c>
      <c r="P1632">
        <v>29.62</v>
      </c>
      <c r="Q1632" t="s">
        <v>9897</v>
      </c>
      <c r="R1632">
        <v>7</v>
      </c>
      <c r="S1632" s="5">
        <f t="shared" si="50"/>
        <v>1.7727503965047731E-2</v>
      </c>
      <c r="T1632">
        <v>208.85624999999999</v>
      </c>
      <c r="U1632">
        <v>2</v>
      </c>
      <c r="V1632">
        <v>2023</v>
      </c>
      <c r="W1632">
        <v>1</v>
      </c>
      <c r="X1632" t="s">
        <v>9899</v>
      </c>
      <c r="Y1632" t="s">
        <v>9900</v>
      </c>
      <c r="Z1632" t="s">
        <v>9898</v>
      </c>
      <c r="AD1632">
        <f t="shared" si="51"/>
        <v>7</v>
      </c>
    </row>
    <row r="1633" spans="1:30" x14ac:dyDescent="0.25">
      <c r="A1633" t="s">
        <v>1657</v>
      </c>
      <c r="B1633" s="2">
        <v>45134</v>
      </c>
      <c r="C1633" s="2">
        <v>45139</v>
      </c>
      <c r="D1633" t="s">
        <v>5047</v>
      </c>
      <c r="E1633" t="s">
        <v>5547</v>
      </c>
      <c r="F1633" t="s">
        <v>6028</v>
      </c>
      <c r="G1633" t="s">
        <v>6029</v>
      </c>
      <c r="H1633" t="s">
        <v>6041</v>
      </c>
      <c r="I1633" t="s">
        <v>6050</v>
      </c>
      <c r="J1633" t="s">
        <v>6053</v>
      </c>
      <c r="K1633" t="s">
        <v>6058</v>
      </c>
      <c r="L1633" t="s">
        <v>7560</v>
      </c>
      <c r="M1633">
        <v>1963.14</v>
      </c>
      <c r="N1633">
        <v>5</v>
      </c>
      <c r="O1633">
        <v>0.24</v>
      </c>
      <c r="P1633">
        <v>-221.61</v>
      </c>
      <c r="Q1633" t="s">
        <v>9895</v>
      </c>
      <c r="R1633">
        <v>5</v>
      </c>
      <c r="S1633" s="5">
        <f t="shared" si="50"/>
        <v>-0.11288547938506678</v>
      </c>
      <c r="T1633">
        <v>392.62799999999999</v>
      </c>
      <c r="U1633">
        <v>7</v>
      </c>
      <c r="V1633">
        <v>2023</v>
      </c>
      <c r="W1633">
        <v>3</v>
      </c>
      <c r="X1633" t="s">
        <v>9898</v>
      </c>
      <c r="Y1633" t="s">
        <v>9900</v>
      </c>
      <c r="Z1633" t="s">
        <v>9898</v>
      </c>
      <c r="AD1633">
        <f t="shared" si="51"/>
        <v>5</v>
      </c>
    </row>
    <row r="1634" spans="1:30" x14ac:dyDescent="0.25">
      <c r="A1634" t="s">
        <v>1658</v>
      </c>
      <c r="B1634" s="2">
        <v>45389</v>
      </c>
      <c r="C1634" s="2">
        <v>45390</v>
      </c>
      <c r="D1634" t="s">
        <v>5144</v>
      </c>
      <c r="E1634" t="s">
        <v>5644</v>
      </c>
      <c r="F1634" t="s">
        <v>6026</v>
      </c>
      <c r="G1634" t="s">
        <v>6029</v>
      </c>
      <c r="H1634" t="s">
        <v>6045</v>
      </c>
      <c r="I1634" t="s">
        <v>6046</v>
      </c>
      <c r="J1634" t="s">
        <v>6054</v>
      </c>
      <c r="K1634" t="s">
        <v>6060</v>
      </c>
      <c r="L1634" t="s">
        <v>7561</v>
      </c>
      <c r="M1634">
        <v>1409.62</v>
      </c>
      <c r="N1634">
        <v>7</v>
      </c>
      <c r="O1634">
        <v>0.14000000000000001</v>
      </c>
      <c r="P1634">
        <v>166.26</v>
      </c>
      <c r="Q1634" t="s">
        <v>9895</v>
      </c>
      <c r="R1634">
        <v>1</v>
      </c>
      <c r="S1634" s="5">
        <f t="shared" si="50"/>
        <v>0.11794668066571133</v>
      </c>
      <c r="T1634">
        <v>201.37428571428569</v>
      </c>
      <c r="U1634">
        <v>4</v>
      </c>
      <c r="V1634">
        <v>2024</v>
      </c>
      <c r="W1634">
        <v>2</v>
      </c>
      <c r="X1634" t="s">
        <v>9899</v>
      </c>
      <c r="Y1634" t="s">
        <v>9901</v>
      </c>
      <c r="Z1634" t="s">
        <v>9898</v>
      </c>
      <c r="AD1634">
        <f t="shared" si="51"/>
        <v>1</v>
      </c>
    </row>
    <row r="1635" spans="1:30" x14ac:dyDescent="0.25">
      <c r="A1635" t="s">
        <v>1659</v>
      </c>
      <c r="B1635" s="2">
        <v>45363</v>
      </c>
      <c r="C1635" s="2">
        <v>45369</v>
      </c>
      <c r="D1635" t="s">
        <v>5143</v>
      </c>
      <c r="E1635" t="s">
        <v>5643</v>
      </c>
      <c r="F1635" t="s">
        <v>6028</v>
      </c>
      <c r="G1635" t="s">
        <v>6031</v>
      </c>
      <c r="H1635" t="s">
        <v>6040</v>
      </c>
      <c r="I1635" t="s">
        <v>6052</v>
      </c>
      <c r="J1635" t="s">
        <v>6054</v>
      </c>
      <c r="K1635" t="s">
        <v>6062</v>
      </c>
      <c r="L1635" t="s">
        <v>7562</v>
      </c>
      <c r="M1635">
        <v>1837.89</v>
      </c>
      <c r="N1635">
        <v>7</v>
      </c>
      <c r="O1635">
        <v>0.19</v>
      </c>
      <c r="P1635">
        <v>-108.26</v>
      </c>
      <c r="Q1635" t="s">
        <v>9895</v>
      </c>
      <c r="R1635">
        <v>6</v>
      </c>
      <c r="S1635" s="5">
        <f t="shared" si="50"/>
        <v>-5.8904504622148225E-2</v>
      </c>
      <c r="T1635">
        <v>262.55571428571432</v>
      </c>
      <c r="U1635">
        <v>3</v>
      </c>
      <c r="V1635">
        <v>2024</v>
      </c>
      <c r="W1635">
        <v>1</v>
      </c>
      <c r="X1635" t="s">
        <v>9898</v>
      </c>
      <c r="Y1635" t="s">
        <v>9900</v>
      </c>
      <c r="Z1635" t="s">
        <v>9898</v>
      </c>
      <c r="AD1635">
        <f t="shared" si="51"/>
        <v>6</v>
      </c>
    </row>
    <row r="1636" spans="1:30" x14ac:dyDescent="0.25">
      <c r="A1636" t="s">
        <v>1660</v>
      </c>
      <c r="B1636" s="2">
        <v>44620</v>
      </c>
      <c r="C1636" s="2">
        <v>44624</v>
      </c>
      <c r="D1636" t="s">
        <v>5241</v>
      </c>
      <c r="E1636" t="s">
        <v>5741</v>
      </c>
      <c r="F1636" t="s">
        <v>6028</v>
      </c>
      <c r="G1636" t="s">
        <v>6029</v>
      </c>
      <c r="H1636" t="s">
        <v>6032</v>
      </c>
      <c r="I1636" t="s">
        <v>6049</v>
      </c>
      <c r="J1636" t="s">
        <v>6053</v>
      </c>
      <c r="K1636" t="s">
        <v>6058</v>
      </c>
      <c r="L1636" t="s">
        <v>7563</v>
      </c>
      <c r="M1636">
        <v>1148.6300000000001</v>
      </c>
      <c r="N1636">
        <v>6</v>
      </c>
      <c r="O1636">
        <v>0.14000000000000001</v>
      </c>
      <c r="P1636">
        <v>170.97</v>
      </c>
      <c r="Q1636" t="s">
        <v>9893</v>
      </c>
      <c r="R1636">
        <v>4</v>
      </c>
      <c r="S1636" s="5">
        <f t="shared" si="50"/>
        <v>0.14884688716122685</v>
      </c>
      <c r="T1636">
        <v>191.43833333333339</v>
      </c>
      <c r="U1636">
        <v>2</v>
      </c>
      <c r="V1636">
        <v>2022</v>
      </c>
      <c r="W1636">
        <v>1</v>
      </c>
      <c r="X1636" t="s">
        <v>9899</v>
      </c>
      <c r="Y1636" t="s">
        <v>9901</v>
      </c>
      <c r="Z1636" t="s">
        <v>9898</v>
      </c>
      <c r="AD1636">
        <f t="shared" si="51"/>
        <v>4</v>
      </c>
    </row>
    <row r="1637" spans="1:30" x14ac:dyDescent="0.25">
      <c r="A1637" t="s">
        <v>1661</v>
      </c>
      <c r="B1637" s="2">
        <v>44996</v>
      </c>
      <c r="C1637" s="2">
        <v>45003</v>
      </c>
      <c r="D1637" t="s">
        <v>5313</v>
      </c>
      <c r="E1637" t="s">
        <v>5813</v>
      </c>
      <c r="F1637" t="s">
        <v>6027</v>
      </c>
      <c r="G1637" t="s">
        <v>6029</v>
      </c>
      <c r="H1637" t="s">
        <v>6032</v>
      </c>
      <c r="I1637" t="s">
        <v>6046</v>
      </c>
      <c r="J1637" t="s">
        <v>6053</v>
      </c>
      <c r="K1637" t="s">
        <v>6058</v>
      </c>
      <c r="L1637" t="s">
        <v>7564</v>
      </c>
      <c r="M1637">
        <v>494.67</v>
      </c>
      <c r="N1637">
        <v>4</v>
      </c>
      <c r="O1637">
        <v>0.06</v>
      </c>
      <c r="P1637">
        <v>63.5</v>
      </c>
      <c r="Q1637" t="s">
        <v>9897</v>
      </c>
      <c r="R1637">
        <v>7</v>
      </c>
      <c r="S1637" s="5">
        <f t="shared" si="50"/>
        <v>0.12836840722097559</v>
      </c>
      <c r="T1637">
        <v>123.6675</v>
      </c>
      <c r="U1637">
        <v>3</v>
      </c>
      <c r="V1637">
        <v>2023</v>
      </c>
      <c r="W1637">
        <v>1</v>
      </c>
      <c r="X1637" t="s">
        <v>9899</v>
      </c>
      <c r="Y1637" t="s">
        <v>9901</v>
      </c>
      <c r="Z1637" t="s">
        <v>9899</v>
      </c>
      <c r="AD1637">
        <f t="shared" si="51"/>
        <v>7</v>
      </c>
    </row>
    <row r="1638" spans="1:30" x14ac:dyDescent="0.25">
      <c r="A1638" t="s">
        <v>1662</v>
      </c>
      <c r="B1638" s="2">
        <v>44961</v>
      </c>
      <c r="C1638" s="2">
        <v>44963</v>
      </c>
      <c r="D1638" t="s">
        <v>5384</v>
      </c>
      <c r="E1638" t="s">
        <v>5884</v>
      </c>
      <c r="F1638" t="s">
        <v>6026</v>
      </c>
      <c r="G1638" t="s">
        <v>6031</v>
      </c>
      <c r="H1638" t="s">
        <v>6040</v>
      </c>
      <c r="I1638" t="s">
        <v>6052</v>
      </c>
      <c r="J1638" t="s">
        <v>6053</v>
      </c>
      <c r="K1638" t="s">
        <v>6057</v>
      </c>
      <c r="L1638" t="s">
        <v>7565</v>
      </c>
      <c r="M1638">
        <v>313.45999999999998</v>
      </c>
      <c r="N1638">
        <v>1</v>
      </c>
      <c r="O1638">
        <v>0.16</v>
      </c>
      <c r="P1638">
        <v>17.77</v>
      </c>
      <c r="Q1638" t="s">
        <v>9895</v>
      </c>
      <c r="R1638">
        <v>2</v>
      </c>
      <c r="S1638" s="5">
        <f t="shared" si="50"/>
        <v>5.6689848784533911E-2</v>
      </c>
      <c r="T1638">
        <v>313.45999999999998</v>
      </c>
      <c r="U1638">
        <v>2</v>
      </c>
      <c r="V1638">
        <v>2023</v>
      </c>
      <c r="W1638">
        <v>1</v>
      </c>
      <c r="X1638" t="s">
        <v>9899</v>
      </c>
      <c r="Y1638" t="s">
        <v>9900</v>
      </c>
      <c r="Z1638" t="s">
        <v>9899</v>
      </c>
      <c r="AD1638">
        <f t="shared" si="51"/>
        <v>2</v>
      </c>
    </row>
    <row r="1639" spans="1:30" x14ac:dyDescent="0.25">
      <c r="A1639" t="s">
        <v>1663</v>
      </c>
      <c r="B1639" s="2">
        <v>45067</v>
      </c>
      <c r="C1639" s="2">
        <v>45071</v>
      </c>
      <c r="D1639" t="s">
        <v>5394</v>
      </c>
      <c r="E1639" t="s">
        <v>5894</v>
      </c>
      <c r="F1639" t="s">
        <v>6026</v>
      </c>
      <c r="G1639" t="s">
        <v>6031</v>
      </c>
      <c r="H1639" t="s">
        <v>6040</v>
      </c>
      <c r="I1639" t="s">
        <v>6052</v>
      </c>
      <c r="J1639" t="s">
        <v>6055</v>
      </c>
      <c r="K1639" t="s">
        <v>6064</v>
      </c>
      <c r="L1639" t="s">
        <v>6667</v>
      </c>
      <c r="M1639">
        <v>1191.93</v>
      </c>
      <c r="N1639">
        <v>8</v>
      </c>
      <c r="O1639">
        <v>7.0000000000000007E-2</v>
      </c>
      <c r="P1639">
        <v>173.59</v>
      </c>
      <c r="Q1639" t="s">
        <v>9894</v>
      </c>
      <c r="R1639">
        <v>4</v>
      </c>
      <c r="S1639" s="5">
        <f t="shared" si="50"/>
        <v>0.14563774718313993</v>
      </c>
      <c r="T1639">
        <v>148.99125000000001</v>
      </c>
      <c r="U1639">
        <v>5</v>
      </c>
      <c r="V1639">
        <v>2023</v>
      </c>
      <c r="W1639">
        <v>2</v>
      </c>
      <c r="X1639" t="s">
        <v>9899</v>
      </c>
      <c r="Y1639" t="s">
        <v>9901</v>
      </c>
      <c r="Z1639" t="s">
        <v>9898</v>
      </c>
      <c r="AD1639">
        <f t="shared" si="51"/>
        <v>4</v>
      </c>
    </row>
    <row r="1640" spans="1:30" x14ac:dyDescent="0.25">
      <c r="A1640" t="s">
        <v>1664</v>
      </c>
      <c r="B1640" s="2">
        <v>44709</v>
      </c>
      <c r="C1640" s="2">
        <v>44715</v>
      </c>
      <c r="D1640" t="s">
        <v>5240</v>
      </c>
      <c r="E1640" t="s">
        <v>5740</v>
      </c>
      <c r="F1640" t="s">
        <v>6028</v>
      </c>
      <c r="G1640" t="s">
        <v>6029</v>
      </c>
      <c r="H1640" t="s">
        <v>6036</v>
      </c>
      <c r="I1640" t="s">
        <v>6046</v>
      </c>
      <c r="J1640" t="s">
        <v>6054</v>
      </c>
      <c r="K1640" t="s">
        <v>6062</v>
      </c>
      <c r="L1640" t="s">
        <v>7566</v>
      </c>
      <c r="M1640">
        <v>594.85</v>
      </c>
      <c r="N1640">
        <v>6</v>
      </c>
      <c r="O1640">
        <v>0.23</v>
      </c>
      <c r="P1640">
        <v>1.93</v>
      </c>
      <c r="Q1640" t="s">
        <v>9896</v>
      </c>
      <c r="R1640">
        <v>6</v>
      </c>
      <c r="S1640" s="5">
        <f t="shared" si="50"/>
        <v>3.2445154240564847E-3</v>
      </c>
      <c r="T1640">
        <v>99.141666666666666</v>
      </c>
      <c r="U1640">
        <v>5</v>
      </c>
      <c r="V1640">
        <v>2022</v>
      </c>
      <c r="W1640">
        <v>2</v>
      </c>
      <c r="X1640" t="s">
        <v>9899</v>
      </c>
      <c r="Y1640" t="s">
        <v>9900</v>
      </c>
      <c r="Z1640" t="s">
        <v>9899</v>
      </c>
      <c r="AD1640">
        <f t="shared" si="51"/>
        <v>6</v>
      </c>
    </row>
    <row r="1641" spans="1:30" x14ac:dyDescent="0.25">
      <c r="A1641" t="s">
        <v>1665</v>
      </c>
      <c r="B1641" s="2">
        <v>44584</v>
      </c>
      <c r="C1641" s="2">
        <v>44587</v>
      </c>
      <c r="D1641" t="s">
        <v>5288</v>
      </c>
      <c r="E1641" t="s">
        <v>5788</v>
      </c>
      <c r="F1641" t="s">
        <v>6026</v>
      </c>
      <c r="G1641" t="s">
        <v>6031</v>
      </c>
      <c r="H1641" t="s">
        <v>6043</v>
      </c>
      <c r="I1641" t="s">
        <v>6052</v>
      </c>
      <c r="J1641" t="s">
        <v>6054</v>
      </c>
      <c r="K1641" t="s">
        <v>6059</v>
      </c>
      <c r="L1641" t="s">
        <v>7567</v>
      </c>
      <c r="M1641">
        <v>568.24</v>
      </c>
      <c r="N1641">
        <v>8</v>
      </c>
      <c r="O1641">
        <v>7.0000000000000007E-2</v>
      </c>
      <c r="P1641">
        <v>74.84</v>
      </c>
      <c r="Q1641" t="s">
        <v>9893</v>
      </c>
      <c r="R1641">
        <v>3</v>
      </c>
      <c r="S1641" s="5">
        <f t="shared" si="50"/>
        <v>0.1317049134168661</v>
      </c>
      <c r="T1641">
        <v>71.03</v>
      </c>
      <c r="U1641">
        <v>1</v>
      </c>
      <c r="V1641">
        <v>2022</v>
      </c>
      <c r="W1641">
        <v>1</v>
      </c>
      <c r="X1641" t="s">
        <v>9899</v>
      </c>
      <c r="Y1641" t="s">
        <v>9901</v>
      </c>
      <c r="Z1641" t="s">
        <v>9899</v>
      </c>
      <c r="AD1641">
        <f t="shared" si="51"/>
        <v>3</v>
      </c>
    </row>
    <row r="1642" spans="1:30" x14ac:dyDescent="0.25">
      <c r="A1642" t="s">
        <v>1666</v>
      </c>
      <c r="B1642" s="2">
        <v>44590</v>
      </c>
      <c r="C1642" s="2">
        <v>44597</v>
      </c>
      <c r="D1642" t="s">
        <v>5284</v>
      </c>
      <c r="E1642" t="s">
        <v>5784</v>
      </c>
      <c r="F1642" t="s">
        <v>6026</v>
      </c>
      <c r="G1642" t="s">
        <v>6031</v>
      </c>
      <c r="H1642" t="s">
        <v>6040</v>
      </c>
      <c r="I1642" t="s">
        <v>6050</v>
      </c>
      <c r="J1642" t="s">
        <v>6054</v>
      </c>
      <c r="K1642" t="s">
        <v>6059</v>
      </c>
      <c r="L1642" t="s">
        <v>7568</v>
      </c>
      <c r="M1642">
        <v>820.84</v>
      </c>
      <c r="N1642">
        <v>4</v>
      </c>
      <c r="O1642">
        <v>0.27</v>
      </c>
      <c r="P1642">
        <v>-49.02</v>
      </c>
      <c r="Q1642" t="s">
        <v>9895</v>
      </c>
      <c r="R1642">
        <v>7</v>
      </c>
      <c r="S1642" s="5">
        <f t="shared" si="50"/>
        <v>-5.9719311924370161E-2</v>
      </c>
      <c r="T1642">
        <v>205.21</v>
      </c>
      <c r="U1642">
        <v>1</v>
      </c>
      <c r="V1642">
        <v>2022</v>
      </c>
      <c r="W1642">
        <v>1</v>
      </c>
      <c r="X1642" t="s">
        <v>9898</v>
      </c>
      <c r="Y1642" t="s">
        <v>9900</v>
      </c>
      <c r="Z1642" t="s">
        <v>9899</v>
      </c>
      <c r="AD1642">
        <f t="shared" si="51"/>
        <v>7</v>
      </c>
    </row>
    <row r="1643" spans="1:30" x14ac:dyDescent="0.25">
      <c r="A1643" t="s">
        <v>1667</v>
      </c>
      <c r="B1643" s="2">
        <v>44604</v>
      </c>
      <c r="C1643" s="2">
        <v>44610</v>
      </c>
      <c r="D1643" t="s">
        <v>5272</v>
      </c>
      <c r="E1643" t="s">
        <v>5772</v>
      </c>
      <c r="F1643" t="s">
        <v>6026</v>
      </c>
      <c r="G1643" t="s">
        <v>6031</v>
      </c>
      <c r="H1643" t="s">
        <v>6042</v>
      </c>
      <c r="I1643" t="s">
        <v>6052</v>
      </c>
      <c r="J1643" t="s">
        <v>6054</v>
      </c>
      <c r="K1643" t="s">
        <v>6060</v>
      </c>
      <c r="L1643" t="s">
        <v>7569</v>
      </c>
      <c r="M1643">
        <v>458.93</v>
      </c>
      <c r="N1643">
        <v>3</v>
      </c>
      <c r="O1643">
        <v>0.34</v>
      </c>
      <c r="P1643">
        <v>-95.34</v>
      </c>
      <c r="Q1643" t="s">
        <v>9893</v>
      </c>
      <c r="R1643">
        <v>6</v>
      </c>
      <c r="S1643" s="5">
        <f t="shared" si="50"/>
        <v>-0.20774410040746955</v>
      </c>
      <c r="T1643">
        <v>152.97666666666669</v>
      </c>
      <c r="U1643">
        <v>2</v>
      </c>
      <c r="V1643">
        <v>2022</v>
      </c>
      <c r="W1643">
        <v>1</v>
      </c>
      <c r="X1643" t="s">
        <v>9898</v>
      </c>
      <c r="Y1643" t="s">
        <v>9902</v>
      </c>
      <c r="Z1643" t="s">
        <v>9899</v>
      </c>
      <c r="AD1643">
        <f t="shared" si="51"/>
        <v>6</v>
      </c>
    </row>
    <row r="1644" spans="1:30" x14ac:dyDescent="0.25">
      <c r="A1644" t="s">
        <v>1668</v>
      </c>
      <c r="B1644" s="2">
        <v>44696</v>
      </c>
      <c r="C1644" s="2">
        <v>44700</v>
      </c>
      <c r="D1644" t="s">
        <v>5438</v>
      </c>
      <c r="E1644" t="s">
        <v>5938</v>
      </c>
      <c r="F1644" t="s">
        <v>6028</v>
      </c>
      <c r="G1644" t="s">
        <v>6029</v>
      </c>
      <c r="H1644" t="s">
        <v>6036</v>
      </c>
      <c r="I1644" t="s">
        <v>6046</v>
      </c>
      <c r="J1644" t="s">
        <v>6055</v>
      </c>
      <c r="K1644" t="s">
        <v>6061</v>
      </c>
      <c r="L1644" t="s">
        <v>7570</v>
      </c>
      <c r="M1644">
        <v>1124.3499999999999</v>
      </c>
      <c r="N1644">
        <v>1</v>
      </c>
      <c r="O1644">
        <v>7.0000000000000007E-2</v>
      </c>
      <c r="P1644">
        <v>253.08</v>
      </c>
      <c r="Q1644" t="s">
        <v>9897</v>
      </c>
      <c r="R1644">
        <v>4</v>
      </c>
      <c r="S1644" s="5">
        <f t="shared" si="50"/>
        <v>0.22509005203006185</v>
      </c>
      <c r="T1644">
        <v>1124.3499999999999</v>
      </c>
      <c r="U1644">
        <v>5</v>
      </c>
      <c r="V1644">
        <v>2022</v>
      </c>
      <c r="W1644">
        <v>2</v>
      </c>
      <c r="X1644" t="s">
        <v>9899</v>
      </c>
      <c r="Y1644" t="s">
        <v>9901</v>
      </c>
      <c r="Z1644" t="s">
        <v>9898</v>
      </c>
      <c r="AD1644">
        <f t="shared" si="51"/>
        <v>4</v>
      </c>
    </row>
    <row r="1645" spans="1:30" x14ac:dyDescent="0.25">
      <c r="A1645" t="s">
        <v>1669</v>
      </c>
      <c r="B1645" s="2">
        <v>44576</v>
      </c>
      <c r="C1645" s="2">
        <v>44577</v>
      </c>
      <c r="D1645" t="s">
        <v>5249</v>
      </c>
      <c r="E1645" t="s">
        <v>5749</v>
      </c>
      <c r="F1645" t="s">
        <v>6026</v>
      </c>
      <c r="G1645" t="s">
        <v>6029</v>
      </c>
      <c r="H1645" t="s">
        <v>6044</v>
      </c>
      <c r="I1645" t="s">
        <v>6049</v>
      </c>
      <c r="J1645" t="s">
        <v>6055</v>
      </c>
      <c r="K1645" t="s">
        <v>6061</v>
      </c>
      <c r="L1645" t="s">
        <v>7571</v>
      </c>
      <c r="M1645">
        <v>977.06</v>
      </c>
      <c r="N1645">
        <v>5</v>
      </c>
      <c r="O1645">
        <v>0.23</v>
      </c>
      <c r="P1645">
        <v>-44.68</v>
      </c>
      <c r="Q1645" t="s">
        <v>9896</v>
      </c>
      <c r="R1645">
        <v>1</v>
      </c>
      <c r="S1645" s="5">
        <f t="shared" si="50"/>
        <v>-4.5729023806112219E-2</v>
      </c>
      <c r="T1645">
        <v>195.41200000000001</v>
      </c>
      <c r="U1645">
        <v>1</v>
      </c>
      <c r="V1645">
        <v>2022</v>
      </c>
      <c r="W1645">
        <v>1</v>
      </c>
      <c r="X1645" t="s">
        <v>9898</v>
      </c>
      <c r="Y1645" t="s">
        <v>9900</v>
      </c>
      <c r="Z1645" t="s">
        <v>9899</v>
      </c>
      <c r="AD1645">
        <f t="shared" si="51"/>
        <v>1</v>
      </c>
    </row>
    <row r="1646" spans="1:30" x14ac:dyDescent="0.25">
      <c r="A1646" t="s">
        <v>1670</v>
      </c>
      <c r="B1646" s="2">
        <v>44590</v>
      </c>
      <c r="C1646" s="2">
        <v>44596</v>
      </c>
      <c r="D1646" t="s">
        <v>5163</v>
      </c>
      <c r="E1646" t="s">
        <v>5663</v>
      </c>
      <c r="F1646" t="s">
        <v>6028</v>
      </c>
      <c r="G1646" t="s">
        <v>6031</v>
      </c>
      <c r="H1646" t="s">
        <v>6042</v>
      </c>
      <c r="I1646" t="s">
        <v>6048</v>
      </c>
      <c r="J1646" t="s">
        <v>6053</v>
      </c>
      <c r="K1646" t="s">
        <v>6058</v>
      </c>
      <c r="L1646" t="s">
        <v>7572</v>
      </c>
      <c r="M1646">
        <v>1946.98</v>
      </c>
      <c r="N1646">
        <v>8</v>
      </c>
      <c r="O1646">
        <v>0.12</v>
      </c>
      <c r="P1646">
        <v>240.03</v>
      </c>
      <c r="Q1646" t="s">
        <v>9897</v>
      </c>
      <c r="R1646">
        <v>6</v>
      </c>
      <c r="S1646" s="5">
        <f t="shared" si="50"/>
        <v>0.12328323865679154</v>
      </c>
      <c r="T1646">
        <v>243.3725</v>
      </c>
      <c r="U1646">
        <v>1</v>
      </c>
      <c r="V1646">
        <v>2022</v>
      </c>
      <c r="W1646">
        <v>1</v>
      </c>
      <c r="X1646" t="s">
        <v>9899</v>
      </c>
      <c r="Y1646" t="s">
        <v>9901</v>
      </c>
      <c r="Z1646" t="s">
        <v>9898</v>
      </c>
      <c r="AD1646">
        <f t="shared" si="51"/>
        <v>6</v>
      </c>
    </row>
    <row r="1647" spans="1:30" x14ac:dyDescent="0.25">
      <c r="A1647" t="s">
        <v>1671</v>
      </c>
      <c r="B1647" s="2">
        <v>45133</v>
      </c>
      <c r="C1647" s="2">
        <v>45139</v>
      </c>
      <c r="D1647" t="s">
        <v>5435</v>
      </c>
      <c r="E1647" t="s">
        <v>5935</v>
      </c>
      <c r="F1647" t="s">
        <v>6028</v>
      </c>
      <c r="G1647" t="s">
        <v>6029</v>
      </c>
      <c r="H1647" t="s">
        <v>6044</v>
      </c>
      <c r="I1647" t="s">
        <v>6049</v>
      </c>
      <c r="J1647" t="s">
        <v>6055</v>
      </c>
      <c r="K1647" t="s">
        <v>6064</v>
      </c>
      <c r="L1647" t="s">
        <v>6172</v>
      </c>
      <c r="M1647">
        <v>844.21</v>
      </c>
      <c r="N1647">
        <v>4</v>
      </c>
      <c r="O1647">
        <v>0.21</v>
      </c>
      <c r="P1647">
        <v>-9.7799999999999994</v>
      </c>
      <c r="Q1647" t="s">
        <v>9895</v>
      </c>
      <c r="R1647">
        <v>6</v>
      </c>
      <c r="S1647" s="5">
        <f t="shared" si="50"/>
        <v>-1.1584795252366116E-2</v>
      </c>
      <c r="T1647">
        <v>211.05250000000001</v>
      </c>
      <c r="U1647">
        <v>7</v>
      </c>
      <c r="V1647">
        <v>2023</v>
      </c>
      <c r="W1647">
        <v>3</v>
      </c>
      <c r="X1647" t="s">
        <v>9898</v>
      </c>
      <c r="Y1647" t="s">
        <v>9900</v>
      </c>
      <c r="Z1647" t="s">
        <v>9899</v>
      </c>
      <c r="AD1647">
        <f t="shared" si="51"/>
        <v>6</v>
      </c>
    </row>
    <row r="1648" spans="1:30" x14ac:dyDescent="0.25">
      <c r="A1648" t="s">
        <v>1672</v>
      </c>
      <c r="B1648" s="2">
        <v>44661</v>
      </c>
      <c r="C1648" s="2">
        <v>44666</v>
      </c>
      <c r="D1648" t="s">
        <v>5343</v>
      </c>
      <c r="E1648" t="s">
        <v>5843</v>
      </c>
      <c r="F1648" t="s">
        <v>6026</v>
      </c>
      <c r="G1648" t="s">
        <v>6030</v>
      </c>
      <c r="H1648" t="s">
        <v>6033</v>
      </c>
      <c r="I1648" t="s">
        <v>6051</v>
      </c>
      <c r="J1648" t="s">
        <v>6053</v>
      </c>
      <c r="K1648" t="s">
        <v>6057</v>
      </c>
      <c r="L1648" t="s">
        <v>7573</v>
      </c>
      <c r="M1648">
        <v>1033.74</v>
      </c>
      <c r="N1648">
        <v>1</v>
      </c>
      <c r="O1648">
        <v>0.01</v>
      </c>
      <c r="P1648">
        <v>277.94</v>
      </c>
      <c r="Q1648" t="s">
        <v>9896</v>
      </c>
      <c r="R1648">
        <v>5</v>
      </c>
      <c r="S1648" s="5">
        <f t="shared" si="50"/>
        <v>0.2688683808307698</v>
      </c>
      <c r="T1648">
        <v>1033.74</v>
      </c>
      <c r="U1648">
        <v>4</v>
      </c>
      <c r="V1648">
        <v>2022</v>
      </c>
      <c r="W1648">
        <v>2</v>
      </c>
      <c r="X1648" t="s">
        <v>9899</v>
      </c>
      <c r="Y1648" t="s">
        <v>9901</v>
      </c>
      <c r="Z1648" t="s">
        <v>9898</v>
      </c>
      <c r="AD1648">
        <f t="shared" si="51"/>
        <v>5</v>
      </c>
    </row>
    <row r="1649" spans="1:30" x14ac:dyDescent="0.25">
      <c r="A1649" t="s">
        <v>1673</v>
      </c>
      <c r="B1649" s="2">
        <v>44734</v>
      </c>
      <c r="C1649" s="2">
        <v>44740</v>
      </c>
      <c r="D1649" t="s">
        <v>5198</v>
      </c>
      <c r="E1649" t="s">
        <v>5698</v>
      </c>
      <c r="F1649" t="s">
        <v>6028</v>
      </c>
      <c r="G1649" t="s">
        <v>6029</v>
      </c>
      <c r="H1649" t="s">
        <v>6041</v>
      </c>
      <c r="I1649" t="s">
        <v>6049</v>
      </c>
      <c r="J1649" t="s">
        <v>6053</v>
      </c>
      <c r="K1649" t="s">
        <v>6058</v>
      </c>
      <c r="L1649" t="s">
        <v>7574</v>
      </c>
      <c r="M1649">
        <v>560.52</v>
      </c>
      <c r="N1649">
        <v>4</v>
      </c>
      <c r="O1649">
        <v>0.21</v>
      </c>
      <c r="P1649">
        <v>34.799999999999997</v>
      </c>
      <c r="Q1649" t="s">
        <v>9893</v>
      </c>
      <c r="R1649">
        <v>6</v>
      </c>
      <c r="S1649" s="5">
        <f t="shared" si="50"/>
        <v>6.2085206593877111E-2</v>
      </c>
      <c r="T1649">
        <v>140.13</v>
      </c>
      <c r="U1649">
        <v>6</v>
      </c>
      <c r="V1649">
        <v>2022</v>
      </c>
      <c r="W1649">
        <v>2</v>
      </c>
      <c r="X1649" t="s">
        <v>9899</v>
      </c>
      <c r="Y1649" t="s">
        <v>9900</v>
      </c>
      <c r="Z1649" t="s">
        <v>9899</v>
      </c>
      <c r="AD1649">
        <f t="shared" si="51"/>
        <v>6</v>
      </c>
    </row>
    <row r="1650" spans="1:30" x14ac:dyDescent="0.25">
      <c r="A1650" t="s">
        <v>1674</v>
      </c>
      <c r="B1650" s="2">
        <v>45124</v>
      </c>
      <c r="C1650" s="2">
        <v>45130</v>
      </c>
      <c r="D1650" t="s">
        <v>5308</v>
      </c>
      <c r="E1650" t="s">
        <v>5808</v>
      </c>
      <c r="F1650" t="s">
        <v>6028</v>
      </c>
      <c r="G1650" t="s">
        <v>6030</v>
      </c>
      <c r="H1650" t="s">
        <v>6033</v>
      </c>
      <c r="I1650" t="s">
        <v>6047</v>
      </c>
      <c r="J1650" t="s">
        <v>6054</v>
      </c>
      <c r="K1650" t="s">
        <v>6062</v>
      </c>
      <c r="L1650" t="s">
        <v>7575</v>
      </c>
      <c r="M1650">
        <v>942.18</v>
      </c>
      <c r="N1650">
        <v>7</v>
      </c>
      <c r="O1650">
        <v>0.24</v>
      </c>
      <c r="P1650">
        <v>-93.55</v>
      </c>
      <c r="Q1650" t="s">
        <v>9896</v>
      </c>
      <c r="R1650">
        <v>6</v>
      </c>
      <c r="S1650" s="5">
        <f t="shared" si="50"/>
        <v>-9.9291005964889933E-2</v>
      </c>
      <c r="T1650">
        <v>134.59714285714281</v>
      </c>
      <c r="U1650">
        <v>7</v>
      </c>
      <c r="V1650">
        <v>2023</v>
      </c>
      <c r="W1650">
        <v>3</v>
      </c>
      <c r="X1650" t="s">
        <v>9898</v>
      </c>
      <c r="Y1650" t="s">
        <v>9900</v>
      </c>
      <c r="Z1650" t="s">
        <v>9899</v>
      </c>
      <c r="AD1650">
        <f t="shared" si="51"/>
        <v>6</v>
      </c>
    </row>
    <row r="1651" spans="1:30" x14ac:dyDescent="0.25">
      <c r="A1651" t="s">
        <v>1675</v>
      </c>
      <c r="B1651" s="2">
        <v>44649</v>
      </c>
      <c r="C1651" s="2">
        <v>44652</v>
      </c>
      <c r="D1651" t="s">
        <v>5091</v>
      </c>
      <c r="E1651" t="s">
        <v>5591</v>
      </c>
      <c r="F1651" t="s">
        <v>6028</v>
      </c>
      <c r="G1651" t="s">
        <v>6029</v>
      </c>
      <c r="H1651" t="s">
        <v>6032</v>
      </c>
      <c r="I1651" t="s">
        <v>6049</v>
      </c>
      <c r="J1651" t="s">
        <v>6055</v>
      </c>
      <c r="K1651" t="s">
        <v>6061</v>
      </c>
      <c r="L1651" t="s">
        <v>7576</v>
      </c>
      <c r="M1651">
        <v>1554.01</v>
      </c>
      <c r="N1651">
        <v>7</v>
      </c>
      <c r="O1651">
        <v>0.16</v>
      </c>
      <c r="P1651">
        <v>7.55</v>
      </c>
      <c r="Q1651" t="s">
        <v>9895</v>
      </c>
      <c r="R1651">
        <v>3</v>
      </c>
      <c r="S1651" s="5">
        <f t="shared" si="50"/>
        <v>4.8583985946036379E-3</v>
      </c>
      <c r="T1651">
        <v>222.00142857142859</v>
      </c>
      <c r="U1651">
        <v>3</v>
      </c>
      <c r="V1651">
        <v>2022</v>
      </c>
      <c r="W1651">
        <v>1</v>
      </c>
      <c r="X1651" t="s">
        <v>9899</v>
      </c>
      <c r="Y1651" t="s">
        <v>9900</v>
      </c>
      <c r="Z1651" t="s">
        <v>9898</v>
      </c>
      <c r="AD1651">
        <f t="shared" si="51"/>
        <v>3</v>
      </c>
    </row>
    <row r="1652" spans="1:30" x14ac:dyDescent="0.25">
      <c r="A1652" t="s">
        <v>1676</v>
      </c>
      <c r="B1652" s="2">
        <v>44779</v>
      </c>
      <c r="C1652" s="2">
        <v>44781</v>
      </c>
      <c r="D1652" t="s">
        <v>5088</v>
      </c>
      <c r="E1652" t="s">
        <v>5588</v>
      </c>
      <c r="F1652" t="s">
        <v>6027</v>
      </c>
      <c r="G1652" t="s">
        <v>6031</v>
      </c>
      <c r="H1652" t="s">
        <v>6043</v>
      </c>
      <c r="I1652" t="s">
        <v>6050</v>
      </c>
      <c r="J1652" t="s">
        <v>6054</v>
      </c>
      <c r="K1652" t="s">
        <v>6059</v>
      </c>
      <c r="L1652" t="s">
        <v>7577</v>
      </c>
      <c r="M1652">
        <v>1507.95</v>
      </c>
      <c r="N1652">
        <v>5</v>
      </c>
      <c r="O1652">
        <v>0.11</v>
      </c>
      <c r="P1652">
        <v>239.88</v>
      </c>
      <c r="Q1652" t="s">
        <v>9897</v>
      </c>
      <c r="R1652">
        <v>2</v>
      </c>
      <c r="S1652" s="5">
        <f t="shared" si="50"/>
        <v>0.15907689246990947</v>
      </c>
      <c r="T1652">
        <v>301.58999999999997</v>
      </c>
      <c r="U1652">
        <v>8</v>
      </c>
      <c r="V1652">
        <v>2022</v>
      </c>
      <c r="W1652">
        <v>3</v>
      </c>
      <c r="X1652" t="s">
        <v>9899</v>
      </c>
      <c r="Y1652" t="s">
        <v>9901</v>
      </c>
      <c r="Z1652" t="s">
        <v>9898</v>
      </c>
      <c r="AD1652">
        <f t="shared" si="51"/>
        <v>2</v>
      </c>
    </row>
    <row r="1653" spans="1:30" x14ac:dyDescent="0.25">
      <c r="A1653" t="s">
        <v>1677</v>
      </c>
      <c r="B1653" s="2">
        <v>44727</v>
      </c>
      <c r="C1653" s="2">
        <v>44728</v>
      </c>
      <c r="D1653" t="s">
        <v>5044</v>
      </c>
      <c r="E1653" t="s">
        <v>5544</v>
      </c>
      <c r="F1653" t="s">
        <v>6028</v>
      </c>
      <c r="G1653" t="s">
        <v>6030</v>
      </c>
      <c r="H1653" t="s">
        <v>6035</v>
      </c>
      <c r="I1653" t="s">
        <v>6051</v>
      </c>
      <c r="J1653" t="s">
        <v>6053</v>
      </c>
      <c r="K1653" t="s">
        <v>6057</v>
      </c>
      <c r="L1653" t="s">
        <v>7578</v>
      </c>
      <c r="M1653">
        <v>800.78</v>
      </c>
      <c r="N1653">
        <v>7</v>
      </c>
      <c r="O1653">
        <v>0.21</v>
      </c>
      <c r="P1653">
        <v>62.27</v>
      </c>
      <c r="Q1653" t="s">
        <v>9894</v>
      </c>
      <c r="R1653">
        <v>1</v>
      </c>
      <c r="S1653" s="5">
        <f t="shared" si="50"/>
        <v>7.7761682359699297E-2</v>
      </c>
      <c r="T1653">
        <v>114.3971428571429</v>
      </c>
      <c r="U1653">
        <v>6</v>
      </c>
      <c r="V1653">
        <v>2022</v>
      </c>
      <c r="W1653">
        <v>2</v>
      </c>
      <c r="X1653" t="s">
        <v>9899</v>
      </c>
      <c r="Y1653" t="s">
        <v>9900</v>
      </c>
      <c r="Z1653" t="s">
        <v>9899</v>
      </c>
      <c r="AD1653">
        <f t="shared" si="51"/>
        <v>1</v>
      </c>
    </row>
    <row r="1654" spans="1:30" x14ac:dyDescent="0.25">
      <c r="A1654" t="s">
        <v>1678</v>
      </c>
      <c r="B1654" s="2">
        <v>44706</v>
      </c>
      <c r="C1654" s="2">
        <v>44710</v>
      </c>
      <c r="D1654" t="s">
        <v>5426</v>
      </c>
      <c r="E1654" t="s">
        <v>5926</v>
      </c>
      <c r="F1654" t="s">
        <v>6026</v>
      </c>
      <c r="G1654" t="s">
        <v>6029</v>
      </c>
      <c r="H1654" t="s">
        <v>6032</v>
      </c>
      <c r="I1654" t="s">
        <v>6049</v>
      </c>
      <c r="J1654" t="s">
        <v>6053</v>
      </c>
      <c r="K1654" t="s">
        <v>6056</v>
      </c>
      <c r="L1654" t="s">
        <v>7579</v>
      </c>
      <c r="M1654">
        <v>1409.73</v>
      </c>
      <c r="N1654">
        <v>1</v>
      </c>
      <c r="O1654">
        <v>0.12</v>
      </c>
      <c r="P1654">
        <v>165.63</v>
      </c>
      <c r="Q1654" t="s">
        <v>9895</v>
      </c>
      <c r="R1654">
        <v>4</v>
      </c>
      <c r="S1654" s="5">
        <f t="shared" si="50"/>
        <v>0.11749058330318571</v>
      </c>
      <c r="T1654">
        <v>1409.73</v>
      </c>
      <c r="U1654">
        <v>5</v>
      </c>
      <c r="V1654">
        <v>2022</v>
      </c>
      <c r="W1654">
        <v>2</v>
      </c>
      <c r="X1654" t="s">
        <v>9899</v>
      </c>
      <c r="Y1654" t="s">
        <v>9901</v>
      </c>
      <c r="Z1654" t="s">
        <v>9898</v>
      </c>
      <c r="AD1654">
        <f t="shared" si="51"/>
        <v>4</v>
      </c>
    </row>
    <row r="1655" spans="1:30" x14ac:dyDescent="0.25">
      <c r="A1655" t="s">
        <v>1679</v>
      </c>
      <c r="B1655" s="2">
        <v>44617</v>
      </c>
      <c r="C1655" s="2">
        <v>44622</v>
      </c>
      <c r="D1655" t="s">
        <v>5189</v>
      </c>
      <c r="E1655" t="s">
        <v>5689</v>
      </c>
      <c r="F1655" t="s">
        <v>6028</v>
      </c>
      <c r="G1655" t="s">
        <v>6031</v>
      </c>
      <c r="H1655" t="s">
        <v>6037</v>
      </c>
      <c r="I1655" t="s">
        <v>6052</v>
      </c>
      <c r="J1655" t="s">
        <v>6054</v>
      </c>
      <c r="K1655" t="s">
        <v>6062</v>
      </c>
      <c r="L1655" t="s">
        <v>7580</v>
      </c>
      <c r="M1655">
        <v>470.3</v>
      </c>
      <c r="N1655">
        <v>4</v>
      </c>
      <c r="O1655">
        <v>0.18</v>
      </c>
      <c r="P1655">
        <v>-22.97</v>
      </c>
      <c r="Q1655" t="s">
        <v>9897</v>
      </c>
      <c r="R1655">
        <v>5</v>
      </c>
      <c r="S1655" s="5">
        <f t="shared" si="50"/>
        <v>-4.8841165213693381E-2</v>
      </c>
      <c r="T1655">
        <v>117.575</v>
      </c>
      <c r="U1655">
        <v>2</v>
      </c>
      <c r="V1655">
        <v>2022</v>
      </c>
      <c r="W1655">
        <v>1</v>
      </c>
      <c r="X1655" t="s">
        <v>9898</v>
      </c>
      <c r="Y1655" t="s">
        <v>9900</v>
      </c>
      <c r="Z1655" t="s">
        <v>9899</v>
      </c>
      <c r="AD1655">
        <f t="shared" si="51"/>
        <v>5</v>
      </c>
    </row>
    <row r="1656" spans="1:30" x14ac:dyDescent="0.25">
      <c r="A1656" t="s">
        <v>1680</v>
      </c>
      <c r="B1656" s="2">
        <v>44866</v>
      </c>
      <c r="C1656" s="2">
        <v>44867</v>
      </c>
      <c r="D1656" t="s">
        <v>5449</v>
      </c>
      <c r="E1656" t="s">
        <v>5949</v>
      </c>
      <c r="F1656" t="s">
        <v>6028</v>
      </c>
      <c r="G1656" t="s">
        <v>6031</v>
      </c>
      <c r="H1656" t="s">
        <v>6043</v>
      </c>
      <c r="I1656" t="s">
        <v>6050</v>
      </c>
      <c r="J1656" t="s">
        <v>6055</v>
      </c>
      <c r="K1656" t="s">
        <v>6061</v>
      </c>
      <c r="L1656" t="s">
        <v>7581</v>
      </c>
      <c r="M1656">
        <v>1156.31</v>
      </c>
      <c r="N1656">
        <v>3</v>
      </c>
      <c r="O1656">
        <v>0.09</v>
      </c>
      <c r="P1656">
        <v>25.01</v>
      </c>
      <c r="Q1656" t="s">
        <v>9896</v>
      </c>
      <c r="R1656">
        <v>1</v>
      </c>
      <c r="S1656" s="5">
        <f t="shared" si="50"/>
        <v>2.1629147892866102E-2</v>
      </c>
      <c r="T1656">
        <v>385.43666666666672</v>
      </c>
      <c r="U1656">
        <v>11</v>
      </c>
      <c r="V1656">
        <v>2022</v>
      </c>
      <c r="W1656">
        <v>4</v>
      </c>
      <c r="X1656" t="s">
        <v>9899</v>
      </c>
      <c r="Y1656" t="s">
        <v>9901</v>
      </c>
      <c r="Z1656" t="s">
        <v>9898</v>
      </c>
      <c r="AD1656">
        <f t="shared" si="51"/>
        <v>1</v>
      </c>
    </row>
    <row r="1657" spans="1:30" x14ac:dyDescent="0.25">
      <c r="A1657" t="s">
        <v>1681</v>
      </c>
      <c r="B1657" s="2">
        <v>44918</v>
      </c>
      <c r="C1657" s="2">
        <v>44920</v>
      </c>
      <c r="D1657" t="s">
        <v>5432</v>
      </c>
      <c r="E1657" t="s">
        <v>5932</v>
      </c>
      <c r="F1657" t="s">
        <v>6026</v>
      </c>
      <c r="G1657" t="s">
        <v>6030</v>
      </c>
      <c r="H1657" t="s">
        <v>6038</v>
      </c>
      <c r="I1657" t="s">
        <v>6051</v>
      </c>
      <c r="J1657" t="s">
        <v>6055</v>
      </c>
      <c r="K1657" t="s">
        <v>6061</v>
      </c>
      <c r="L1657" t="s">
        <v>7582</v>
      </c>
      <c r="M1657">
        <v>1304.06</v>
      </c>
      <c r="N1657">
        <v>1</v>
      </c>
      <c r="O1657">
        <v>0.04</v>
      </c>
      <c r="P1657">
        <v>149.69</v>
      </c>
      <c r="Q1657" t="s">
        <v>9893</v>
      </c>
      <c r="R1657">
        <v>2</v>
      </c>
      <c r="S1657" s="5">
        <f t="shared" si="50"/>
        <v>0.11478766314433385</v>
      </c>
      <c r="T1657">
        <v>1304.06</v>
      </c>
      <c r="U1657">
        <v>12</v>
      </c>
      <c r="V1657">
        <v>2022</v>
      </c>
      <c r="W1657">
        <v>4</v>
      </c>
      <c r="X1657" t="s">
        <v>9899</v>
      </c>
      <c r="Y1657" t="s">
        <v>9901</v>
      </c>
      <c r="Z1657" t="s">
        <v>9898</v>
      </c>
      <c r="AD1657">
        <f t="shared" si="51"/>
        <v>2</v>
      </c>
    </row>
    <row r="1658" spans="1:30" x14ac:dyDescent="0.25">
      <c r="A1658" t="s">
        <v>1682</v>
      </c>
      <c r="B1658" s="2">
        <v>44649</v>
      </c>
      <c r="C1658" s="2">
        <v>44653</v>
      </c>
      <c r="D1658" t="s">
        <v>5038</v>
      </c>
      <c r="E1658" t="s">
        <v>5538</v>
      </c>
      <c r="F1658" t="s">
        <v>6028</v>
      </c>
      <c r="G1658" t="s">
        <v>6029</v>
      </c>
      <c r="H1658" t="s">
        <v>6041</v>
      </c>
      <c r="I1658" t="s">
        <v>6050</v>
      </c>
      <c r="J1658" t="s">
        <v>6054</v>
      </c>
      <c r="K1658" t="s">
        <v>6059</v>
      </c>
      <c r="L1658" t="s">
        <v>6147</v>
      </c>
      <c r="M1658">
        <v>372.3</v>
      </c>
      <c r="N1658">
        <v>6</v>
      </c>
      <c r="O1658">
        <v>0.02</v>
      </c>
      <c r="P1658">
        <v>47.9</v>
      </c>
      <c r="Q1658" t="s">
        <v>9893</v>
      </c>
      <c r="R1658">
        <v>4</v>
      </c>
      <c r="S1658" s="5">
        <f t="shared" si="50"/>
        <v>0.12865968305130271</v>
      </c>
      <c r="T1658">
        <v>62.05</v>
      </c>
      <c r="U1658">
        <v>3</v>
      </c>
      <c r="V1658">
        <v>2022</v>
      </c>
      <c r="W1658">
        <v>1</v>
      </c>
      <c r="X1658" t="s">
        <v>9899</v>
      </c>
      <c r="Y1658" t="s">
        <v>9901</v>
      </c>
      <c r="Z1658" t="s">
        <v>9899</v>
      </c>
      <c r="AD1658">
        <f t="shared" si="51"/>
        <v>4</v>
      </c>
    </row>
    <row r="1659" spans="1:30" x14ac:dyDescent="0.25">
      <c r="A1659" t="s">
        <v>1683</v>
      </c>
      <c r="B1659" s="2">
        <v>45221</v>
      </c>
      <c r="C1659" s="2">
        <v>45228</v>
      </c>
      <c r="D1659" t="s">
        <v>5451</v>
      </c>
      <c r="E1659" t="s">
        <v>5951</v>
      </c>
      <c r="F1659" t="s">
        <v>6027</v>
      </c>
      <c r="G1659" t="s">
        <v>6029</v>
      </c>
      <c r="H1659" t="s">
        <v>6044</v>
      </c>
      <c r="I1659" t="s">
        <v>6050</v>
      </c>
      <c r="J1659" t="s">
        <v>6053</v>
      </c>
      <c r="K1659" t="s">
        <v>6057</v>
      </c>
      <c r="L1659" t="s">
        <v>6452</v>
      </c>
      <c r="M1659">
        <v>1196.5899999999999</v>
      </c>
      <c r="N1659">
        <v>1</v>
      </c>
      <c r="O1659">
        <v>0.17</v>
      </c>
      <c r="P1659">
        <v>52.31</v>
      </c>
      <c r="Q1659" t="s">
        <v>9894</v>
      </c>
      <c r="R1659">
        <v>7</v>
      </c>
      <c r="S1659" s="5">
        <f t="shared" si="50"/>
        <v>4.3715892661646855E-2</v>
      </c>
      <c r="T1659">
        <v>1196.5899999999999</v>
      </c>
      <c r="U1659">
        <v>10</v>
      </c>
      <c r="V1659">
        <v>2023</v>
      </c>
      <c r="W1659">
        <v>4</v>
      </c>
      <c r="X1659" t="s">
        <v>9899</v>
      </c>
      <c r="Y1659" t="s">
        <v>9900</v>
      </c>
      <c r="Z1659" t="s">
        <v>9898</v>
      </c>
      <c r="AD1659">
        <f t="shared" si="51"/>
        <v>7</v>
      </c>
    </row>
    <row r="1660" spans="1:30" x14ac:dyDescent="0.25">
      <c r="A1660" t="s">
        <v>1684</v>
      </c>
      <c r="B1660" s="2">
        <v>45216</v>
      </c>
      <c r="C1660" s="2">
        <v>45221</v>
      </c>
      <c r="D1660" t="s">
        <v>5492</v>
      </c>
      <c r="E1660" t="s">
        <v>5992</v>
      </c>
      <c r="F1660" t="s">
        <v>6028</v>
      </c>
      <c r="G1660" t="s">
        <v>6030</v>
      </c>
      <c r="H1660" t="s">
        <v>6038</v>
      </c>
      <c r="I1660" t="s">
        <v>6051</v>
      </c>
      <c r="J1660" t="s">
        <v>6055</v>
      </c>
      <c r="K1660" t="s">
        <v>6064</v>
      </c>
      <c r="L1660" t="s">
        <v>7583</v>
      </c>
      <c r="M1660">
        <v>1807.49</v>
      </c>
      <c r="N1660">
        <v>6</v>
      </c>
      <c r="O1660">
        <v>0.3</v>
      </c>
      <c r="P1660">
        <v>-301.17</v>
      </c>
      <c r="Q1660" t="s">
        <v>9893</v>
      </c>
      <c r="R1660">
        <v>5</v>
      </c>
      <c r="S1660" s="5">
        <f t="shared" si="50"/>
        <v>-0.16662332848314515</v>
      </c>
      <c r="T1660">
        <v>301.24833333333328</v>
      </c>
      <c r="U1660">
        <v>10</v>
      </c>
      <c r="V1660">
        <v>2023</v>
      </c>
      <c r="W1660">
        <v>4</v>
      </c>
      <c r="X1660" t="s">
        <v>9898</v>
      </c>
      <c r="Y1660" t="s">
        <v>9900</v>
      </c>
      <c r="Z1660" t="s">
        <v>9898</v>
      </c>
      <c r="AD1660">
        <f t="shared" si="51"/>
        <v>5</v>
      </c>
    </row>
    <row r="1661" spans="1:30" x14ac:dyDescent="0.25">
      <c r="A1661" t="s">
        <v>1685</v>
      </c>
      <c r="B1661" s="2">
        <v>44913</v>
      </c>
      <c r="C1661" s="2">
        <v>44915</v>
      </c>
      <c r="D1661" t="s">
        <v>5291</v>
      </c>
      <c r="E1661" t="s">
        <v>5791</v>
      </c>
      <c r="F1661" t="s">
        <v>6028</v>
      </c>
      <c r="G1661" t="s">
        <v>6031</v>
      </c>
      <c r="H1661" t="s">
        <v>6043</v>
      </c>
      <c r="I1661" t="s">
        <v>6048</v>
      </c>
      <c r="J1661" t="s">
        <v>6054</v>
      </c>
      <c r="K1661" t="s">
        <v>6059</v>
      </c>
      <c r="L1661" t="s">
        <v>7584</v>
      </c>
      <c r="M1661">
        <v>1028.23</v>
      </c>
      <c r="N1661">
        <v>7</v>
      </c>
      <c r="O1661">
        <v>0.24</v>
      </c>
      <c r="P1661">
        <v>-104.88</v>
      </c>
      <c r="Q1661" t="s">
        <v>9893</v>
      </c>
      <c r="R1661">
        <v>2</v>
      </c>
      <c r="S1661" s="5">
        <f t="shared" si="50"/>
        <v>-0.1020005251743287</v>
      </c>
      <c r="T1661">
        <v>146.88999999999999</v>
      </c>
      <c r="U1661">
        <v>12</v>
      </c>
      <c r="V1661">
        <v>2022</v>
      </c>
      <c r="W1661">
        <v>4</v>
      </c>
      <c r="X1661" t="s">
        <v>9898</v>
      </c>
      <c r="Y1661" t="s">
        <v>9900</v>
      </c>
      <c r="Z1661" t="s">
        <v>9898</v>
      </c>
      <c r="AD1661">
        <f t="shared" si="51"/>
        <v>2</v>
      </c>
    </row>
    <row r="1662" spans="1:30" x14ac:dyDescent="0.25">
      <c r="A1662" t="s">
        <v>1686</v>
      </c>
      <c r="B1662" s="2">
        <v>45434</v>
      </c>
      <c r="C1662" s="2">
        <v>45440</v>
      </c>
      <c r="D1662" t="s">
        <v>5180</v>
      </c>
      <c r="E1662" t="s">
        <v>5680</v>
      </c>
      <c r="F1662" t="s">
        <v>6026</v>
      </c>
      <c r="G1662" t="s">
        <v>6031</v>
      </c>
      <c r="H1662" t="s">
        <v>6040</v>
      </c>
      <c r="I1662" t="s">
        <v>6048</v>
      </c>
      <c r="J1662" t="s">
        <v>6055</v>
      </c>
      <c r="K1662" t="s">
        <v>6061</v>
      </c>
      <c r="L1662" t="s">
        <v>7585</v>
      </c>
      <c r="M1662">
        <v>1058.17</v>
      </c>
      <c r="N1662">
        <v>7</v>
      </c>
      <c r="O1662">
        <v>0.25</v>
      </c>
      <c r="P1662">
        <v>-7.0000000000000007E-2</v>
      </c>
      <c r="Q1662" t="s">
        <v>9895</v>
      </c>
      <c r="R1662">
        <v>6</v>
      </c>
      <c r="S1662" s="5">
        <f t="shared" si="50"/>
        <v>-6.6151941559484769E-5</v>
      </c>
      <c r="T1662">
        <v>151.16714285714289</v>
      </c>
      <c r="U1662">
        <v>5</v>
      </c>
      <c r="V1662">
        <v>2024</v>
      </c>
      <c r="W1662">
        <v>2</v>
      </c>
      <c r="X1662" t="s">
        <v>9898</v>
      </c>
      <c r="Y1662" t="s">
        <v>9900</v>
      </c>
      <c r="Z1662" t="s">
        <v>9898</v>
      </c>
      <c r="AD1662">
        <f t="shared" si="51"/>
        <v>6</v>
      </c>
    </row>
    <row r="1663" spans="1:30" x14ac:dyDescent="0.25">
      <c r="A1663" t="s">
        <v>1687</v>
      </c>
      <c r="B1663" s="2">
        <v>45462</v>
      </c>
      <c r="C1663" s="2">
        <v>45469</v>
      </c>
      <c r="D1663" t="s">
        <v>5475</v>
      </c>
      <c r="E1663" t="s">
        <v>5975</v>
      </c>
      <c r="F1663" t="s">
        <v>6028</v>
      </c>
      <c r="G1663" t="s">
        <v>6030</v>
      </c>
      <c r="H1663" t="s">
        <v>6035</v>
      </c>
      <c r="I1663" t="s">
        <v>6051</v>
      </c>
      <c r="J1663" t="s">
        <v>6054</v>
      </c>
      <c r="K1663" t="s">
        <v>6060</v>
      </c>
      <c r="L1663" t="s">
        <v>7586</v>
      </c>
      <c r="M1663">
        <v>478.6</v>
      </c>
      <c r="N1663">
        <v>6</v>
      </c>
      <c r="O1663">
        <v>0.08</v>
      </c>
      <c r="P1663">
        <v>32.32</v>
      </c>
      <c r="Q1663" t="s">
        <v>9895</v>
      </c>
      <c r="R1663">
        <v>7</v>
      </c>
      <c r="S1663" s="5">
        <f t="shared" si="50"/>
        <v>6.7530296698704556E-2</v>
      </c>
      <c r="T1663">
        <v>79.766666666666666</v>
      </c>
      <c r="U1663">
        <v>6</v>
      </c>
      <c r="V1663">
        <v>2024</v>
      </c>
      <c r="W1663">
        <v>2</v>
      </c>
      <c r="X1663" t="s">
        <v>9899</v>
      </c>
      <c r="Y1663" t="s">
        <v>9901</v>
      </c>
      <c r="Z1663" t="s">
        <v>9899</v>
      </c>
      <c r="AD1663">
        <f t="shared" si="51"/>
        <v>7</v>
      </c>
    </row>
    <row r="1664" spans="1:30" x14ac:dyDescent="0.25">
      <c r="A1664" t="s">
        <v>1688</v>
      </c>
      <c r="B1664" s="2">
        <v>45243</v>
      </c>
      <c r="C1664" s="2">
        <v>45248</v>
      </c>
      <c r="D1664" t="s">
        <v>5120</v>
      </c>
      <c r="E1664" t="s">
        <v>5620</v>
      </c>
      <c r="F1664" t="s">
        <v>6028</v>
      </c>
      <c r="G1664" t="s">
        <v>6029</v>
      </c>
      <c r="H1664" t="s">
        <v>6044</v>
      </c>
      <c r="I1664" t="s">
        <v>6050</v>
      </c>
      <c r="J1664" t="s">
        <v>6054</v>
      </c>
      <c r="K1664" t="s">
        <v>6062</v>
      </c>
      <c r="L1664" t="s">
        <v>7531</v>
      </c>
      <c r="M1664">
        <v>448.12</v>
      </c>
      <c r="N1664">
        <v>3</v>
      </c>
      <c r="O1664">
        <v>0.28000000000000003</v>
      </c>
      <c r="P1664">
        <v>-30.38</v>
      </c>
      <c r="Q1664" t="s">
        <v>9897</v>
      </c>
      <c r="R1664">
        <v>5</v>
      </c>
      <c r="S1664" s="5">
        <f t="shared" si="50"/>
        <v>-6.7794340801570999E-2</v>
      </c>
      <c r="T1664">
        <v>149.37333333333331</v>
      </c>
      <c r="U1664">
        <v>11</v>
      </c>
      <c r="V1664">
        <v>2023</v>
      </c>
      <c r="W1664">
        <v>4</v>
      </c>
      <c r="X1664" t="s">
        <v>9898</v>
      </c>
      <c r="Y1664" t="s">
        <v>9900</v>
      </c>
      <c r="Z1664" t="s">
        <v>9899</v>
      </c>
      <c r="AD1664">
        <f t="shared" si="51"/>
        <v>5</v>
      </c>
    </row>
    <row r="1665" spans="1:30" x14ac:dyDescent="0.25">
      <c r="A1665" t="s">
        <v>1689</v>
      </c>
      <c r="B1665" s="2">
        <v>45386</v>
      </c>
      <c r="C1665" s="2">
        <v>45392</v>
      </c>
      <c r="D1665" t="s">
        <v>5081</v>
      </c>
      <c r="E1665" t="s">
        <v>5581</v>
      </c>
      <c r="F1665" t="s">
        <v>6028</v>
      </c>
      <c r="G1665" t="s">
        <v>6031</v>
      </c>
      <c r="H1665" t="s">
        <v>6042</v>
      </c>
      <c r="I1665" t="s">
        <v>6052</v>
      </c>
      <c r="J1665" t="s">
        <v>6055</v>
      </c>
      <c r="K1665" t="s">
        <v>6063</v>
      </c>
      <c r="L1665" t="s">
        <v>7587</v>
      </c>
      <c r="M1665">
        <v>970.06</v>
      </c>
      <c r="N1665">
        <v>5</v>
      </c>
      <c r="O1665">
        <v>0.08</v>
      </c>
      <c r="P1665">
        <v>69.209999999999994</v>
      </c>
      <c r="Q1665" t="s">
        <v>9897</v>
      </c>
      <c r="R1665">
        <v>6</v>
      </c>
      <c r="S1665" s="5">
        <f t="shared" si="50"/>
        <v>7.1346102302950326E-2</v>
      </c>
      <c r="T1665">
        <v>194.012</v>
      </c>
      <c r="U1665">
        <v>4</v>
      </c>
      <c r="V1665">
        <v>2024</v>
      </c>
      <c r="W1665">
        <v>2</v>
      </c>
      <c r="X1665" t="s">
        <v>9899</v>
      </c>
      <c r="Y1665" t="s">
        <v>9901</v>
      </c>
      <c r="Z1665" t="s">
        <v>9899</v>
      </c>
      <c r="AD1665">
        <f t="shared" si="51"/>
        <v>6</v>
      </c>
    </row>
    <row r="1666" spans="1:30" x14ac:dyDescent="0.25">
      <c r="A1666" t="s">
        <v>1690</v>
      </c>
      <c r="B1666" s="2">
        <v>44869</v>
      </c>
      <c r="C1666" s="2">
        <v>44872</v>
      </c>
      <c r="D1666" t="s">
        <v>5381</v>
      </c>
      <c r="E1666" t="s">
        <v>5881</v>
      </c>
      <c r="F1666" t="s">
        <v>6028</v>
      </c>
      <c r="G1666" t="s">
        <v>6030</v>
      </c>
      <c r="H1666" t="s">
        <v>6035</v>
      </c>
      <c r="I1666" t="s">
        <v>6051</v>
      </c>
      <c r="J1666" t="s">
        <v>6053</v>
      </c>
      <c r="K1666" t="s">
        <v>6056</v>
      </c>
      <c r="L1666" t="s">
        <v>7428</v>
      </c>
      <c r="M1666">
        <v>184.46</v>
      </c>
      <c r="N1666">
        <v>7</v>
      </c>
      <c r="O1666">
        <v>0.03</v>
      </c>
      <c r="P1666">
        <v>14.53</v>
      </c>
      <c r="Q1666" t="s">
        <v>9896</v>
      </c>
      <c r="R1666">
        <v>3</v>
      </c>
      <c r="S1666" s="5">
        <f t="shared" si="50"/>
        <v>7.8770465141494078E-2</v>
      </c>
      <c r="T1666">
        <v>26.351428571428571</v>
      </c>
      <c r="U1666">
        <v>11</v>
      </c>
      <c r="V1666">
        <v>2022</v>
      </c>
      <c r="W1666">
        <v>4</v>
      </c>
      <c r="X1666" t="s">
        <v>9899</v>
      </c>
      <c r="Y1666" t="s">
        <v>9901</v>
      </c>
      <c r="Z1666" t="s">
        <v>9899</v>
      </c>
      <c r="AD1666">
        <f t="shared" si="51"/>
        <v>3</v>
      </c>
    </row>
    <row r="1667" spans="1:30" x14ac:dyDescent="0.25">
      <c r="A1667" t="s">
        <v>1691</v>
      </c>
      <c r="B1667" s="2">
        <v>45054</v>
      </c>
      <c r="C1667" s="2">
        <v>45059</v>
      </c>
      <c r="D1667" t="s">
        <v>5071</v>
      </c>
      <c r="E1667" t="s">
        <v>5571</v>
      </c>
      <c r="F1667" t="s">
        <v>6026</v>
      </c>
      <c r="G1667" t="s">
        <v>6031</v>
      </c>
      <c r="H1667" t="s">
        <v>6043</v>
      </c>
      <c r="I1667" t="s">
        <v>6048</v>
      </c>
      <c r="J1667" t="s">
        <v>6054</v>
      </c>
      <c r="K1667" t="s">
        <v>6062</v>
      </c>
      <c r="L1667" t="s">
        <v>7588</v>
      </c>
      <c r="M1667">
        <v>1822.49</v>
      </c>
      <c r="N1667">
        <v>3</v>
      </c>
      <c r="O1667">
        <v>0.15</v>
      </c>
      <c r="P1667">
        <v>256.64</v>
      </c>
      <c r="Q1667" t="s">
        <v>9897</v>
      </c>
      <c r="R1667">
        <v>5</v>
      </c>
      <c r="S1667" s="5">
        <f t="shared" ref="S1667:S1730" si="52">P1667/M1667</f>
        <v>0.14081833096477894</v>
      </c>
      <c r="T1667">
        <v>607.49666666666667</v>
      </c>
      <c r="U1667">
        <v>5</v>
      </c>
      <c r="V1667">
        <v>2023</v>
      </c>
      <c r="W1667">
        <v>2</v>
      </c>
      <c r="X1667" t="s">
        <v>9899</v>
      </c>
      <c r="Y1667" t="s">
        <v>9901</v>
      </c>
      <c r="Z1667" t="s">
        <v>9898</v>
      </c>
      <c r="AD1667">
        <f t="shared" ref="AD1667:AD1730" si="53">C1667-B1667</f>
        <v>5</v>
      </c>
    </row>
    <row r="1668" spans="1:30" x14ac:dyDescent="0.25">
      <c r="A1668" t="s">
        <v>1692</v>
      </c>
      <c r="B1668" s="2">
        <v>45018</v>
      </c>
      <c r="C1668" s="2">
        <v>45025</v>
      </c>
      <c r="D1668" t="s">
        <v>5064</v>
      </c>
      <c r="E1668" t="s">
        <v>5564</v>
      </c>
      <c r="F1668" t="s">
        <v>6028</v>
      </c>
      <c r="G1668" t="s">
        <v>6030</v>
      </c>
      <c r="H1668" t="s">
        <v>6038</v>
      </c>
      <c r="I1668" t="s">
        <v>6051</v>
      </c>
      <c r="J1668" t="s">
        <v>6055</v>
      </c>
      <c r="K1668" t="s">
        <v>6061</v>
      </c>
      <c r="L1668" t="s">
        <v>7589</v>
      </c>
      <c r="M1668">
        <v>816.69</v>
      </c>
      <c r="N1668">
        <v>1</v>
      </c>
      <c r="O1668">
        <v>0.06</v>
      </c>
      <c r="P1668">
        <v>32.9</v>
      </c>
      <c r="Q1668" t="s">
        <v>9897</v>
      </c>
      <c r="R1668">
        <v>7</v>
      </c>
      <c r="S1668" s="5">
        <f t="shared" si="52"/>
        <v>4.0284563298191474E-2</v>
      </c>
      <c r="T1668">
        <v>816.69</v>
      </c>
      <c r="U1668">
        <v>4</v>
      </c>
      <c r="V1668">
        <v>2023</v>
      </c>
      <c r="W1668">
        <v>2</v>
      </c>
      <c r="X1668" t="s">
        <v>9899</v>
      </c>
      <c r="Y1668" t="s">
        <v>9901</v>
      </c>
      <c r="Z1668" t="s">
        <v>9899</v>
      </c>
      <c r="AD1668">
        <f t="shared" si="53"/>
        <v>7</v>
      </c>
    </row>
    <row r="1669" spans="1:30" x14ac:dyDescent="0.25">
      <c r="A1669" t="s">
        <v>1693</v>
      </c>
      <c r="B1669" s="2">
        <v>45147</v>
      </c>
      <c r="C1669" s="2">
        <v>45152</v>
      </c>
      <c r="D1669" t="s">
        <v>5267</v>
      </c>
      <c r="E1669" t="s">
        <v>5767</v>
      </c>
      <c r="F1669" t="s">
        <v>6027</v>
      </c>
      <c r="G1669" t="s">
        <v>6029</v>
      </c>
      <c r="H1669" t="s">
        <v>6041</v>
      </c>
      <c r="I1669" t="s">
        <v>6046</v>
      </c>
      <c r="J1669" t="s">
        <v>6053</v>
      </c>
      <c r="K1669" t="s">
        <v>6057</v>
      </c>
      <c r="L1669" t="s">
        <v>7590</v>
      </c>
      <c r="M1669">
        <v>1860.54</v>
      </c>
      <c r="N1669">
        <v>3</v>
      </c>
      <c r="O1669">
        <v>0.14000000000000001</v>
      </c>
      <c r="P1669">
        <v>-58.96</v>
      </c>
      <c r="Q1669" t="s">
        <v>9893</v>
      </c>
      <c r="R1669">
        <v>5</v>
      </c>
      <c r="S1669" s="5">
        <f t="shared" si="52"/>
        <v>-3.1689724488589338E-2</v>
      </c>
      <c r="T1669">
        <v>620.17999999999995</v>
      </c>
      <c r="U1669">
        <v>8</v>
      </c>
      <c r="V1669">
        <v>2023</v>
      </c>
      <c r="W1669">
        <v>3</v>
      </c>
      <c r="X1669" t="s">
        <v>9898</v>
      </c>
      <c r="Y1669" t="s">
        <v>9901</v>
      </c>
      <c r="Z1669" t="s">
        <v>9898</v>
      </c>
      <c r="AD1669">
        <f t="shared" si="53"/>
        <v>5</v>
      </c>
    </row>
    <row r="1670" spans="1:30" x14ac:dyDescent="0.25">
      <c r="A1670" t="s">
        <v>1694</v>
      </c>
      <c r="B1670" s="2">
        <v>45214</v>
      </c>
      <c r="C1670" s="2">
        <v>45215</v>
      </c>
      <c r="D1670" t="s">
        <v>5177</v>
      </c>
      <c r="E1670" t="s">
        <v>5677</v>
      </c>
      <c r="F1670" t="s">
        <v>6026</v>
      </c>
      <c r="G1670" t="s">
        <v>6029</v>
      </c>
      <c r="H1670" t="s">
        <v>6036</v>
      </c>
      <c r="I1670" t="s">
        <v>6049</v>
      </c>
      <c r="J1670" t="s">
        <v>6053</v>
      </c>
      <c r="K1670" t="s">
        <v>6058</v>
      </c>
      <c r="L1670" t="s">
        <v>7591</v>
      </c>
      <c r="M1670">
        <v>233.02</v>
      </c>
      <c r="N1670">
        <v>6</v>
      </c>
      <c r="O1670">
        <v>0.18</v>
      </c>
      <c r="P1670">
        <v>-14.02</v>
      </c>
      <c r="Q1670" t="s">
        <v>9895</v>
      </c>
      <c r="R1670">
        <v>1</v>
      </c>
      <c r="S1670" s="5">
        <f t="shared" si="52"/>
        <v>-6.0166509312505362E-2</v>
      </c>
      <c r="T1670">
        <v>38.836666666666673</v>
      </c>
      <c r="U1670">
        <v>10</v>
      </c>
      <c r="V1670">
        <v>2023</v>
      </c>
      <c r="W1670">
        <v>4</v>
      </c>
      <c r="X1670" t="s">
        <v>9898</v>
      </c>
      <c r="Y1670" t="s">
        <v>9900</v>
      </c>
      <c r="Z1670" t="s">
        <v>9899</v>
      </c>
      <c r="AD1670">
        <f t="shared" si="53"/>
        <v>1</v>
      </c>
    </row>
    <row r="1671" spans="1:30" x14ac:dyDescent="0.25">
      <c r="A1671" t="s">
        <v>1695</v>
      </c>
      <c r="B1671" s="2">
        <v>45280</v>
      </c>
      <c r="C1671" s="2">
        <v>45284</v>
      </c>
      <c r="D1671" t="s">
        <v>5463</v>
      </c>
      <c r="E1671" t="s">
        <v>5963</v>
      </c>
      <c r="F1671" t="s">
        <v>6026</v>
      </c>
      <c r="G1671" t="s">
        <v>6031</v>
      </c>
      <c r="H1671" t="s">
        <v>6034</v>
      </c>
      <c r="I1671" t="s">
        <v>6048</v>
      </c>
      <c r="J1671" t="s">
        <v>6055</v>
      </c>
      <c r="K1671" t="s">
        <v>6063</v>
      </c>
      <c r="L1671" t="s">
        <v>7592</v>
      </c>
      <c r="M1671">
        <v>436.31</v>
      </c>
      <c r="N1671">
        <v>8</v>
      </c>
      <c r="O1671">
        <v>0.23</v>
      </c>
      <c r="P1671">
        <v>-8.6999999999999993</v>
      </c>
      <c r="Q1671" t="s">
        <v>9894</v>
      </c>
      <c r="R1671">
        <v>4</v>
      </c>
      <c r="S1671" s="5">
        <f t="shared" si="52"/>
        <v>-1.9939950952304553E-2</v>
      </c>
      <c r="T1671">
        <v>54.53875</v>
      </c>
      <c r="U1671">
        <v>12</v>
      </c>
      <c r="V1671">
        <v>2023</v>
      </c>
      <c r="W1671">
        <v>4</v>
      </c>
      <c r="X1671" t="s">
        <v>9898</v>
      </c>
      <c r="Y1671" t="s">
        <v>9900</v>
      </c>
      <c r="Z1671" t="s">
        <v>9899</v>
      </c>
      <c r="AD1671">
        <f t="shared" si="53"/>
        <v>4</v>
      </c>
    </row>
    <row r="1672" spans="1:30" x14ac:dyDescent="0.25">
      <c r="A1672" t="s">
        <v>1696</v>
      </c>
      <c r="B1672" s="2">
        <v>44670</v>
      </c>
      <c r="C1672" s="2">
        <v>44671</v>
      </c>
      <c r="D1672" t="s">
        <v>5101</v>
      </c>
      <c r="E1672" t="s">
        <v>5601</v>
      </c>
      <c r="F1672" t="s">
        <v>6028</v>
      </c>
      <c r="G1672" t="s">
        <v>6029</v>
      </c>
      <c r="H1672" t="s">
        <v>6041</v>
      </c>
      <c r="I1672" t="s">
        <v>6049</v>
      </c>
      <c r="J1672" t="s">
        <v>6055</v>
      </c>
      <c r="K1672" t="s">
        <v>6064</v>
      </c>
      <c r="L1672" t="s">
        <v>7593</v>
      </c>
      <c r="M1672">
        <v>239.28</v>
      </c>
      <c r="N1672">
        <v>5</v>
      </c>
      <c r="O1672">
        <v>7.0000000000000007E-2</v>
      </c>
      <c r="P1672">
        <v>45.49</v>
      </c>
      <c r="Q1672" t="s">
        <v>9896</v>
      </c>
      <c r="R1672">
        <v>1</v>
      </c>
      <c r="S1672" s="5">
        <f t="shared" si="52"/>
        <v>0.19011200267469075</v>
      </c>
      <c r="T1672">
        <v>47.856000000000002</v>
      </c>
      <c r="U1672">
        <v>4</v>
      </c>
      <c r="V1672">
        <v>2022</v>
      </c>
      <c r="W1672">
        <v>2</v>
      </c>
      <c r="X1672" t="s">
        <v>9899</v>
      </c>
      <c r="Y1672" t="s">
        <v>9901</v>
      </c>
      <c r="Z1672" t="s">
        <v>9899</v>
      </c>
      <c r="AD1672">
        <f t="shared" si="53"/>
        <v>1</v>
      </c>
    </row>
    <row r="1673" spans="1:30" x14ac:dyDescent="0.25">
      <c r="A1673" t="s">
        <v>1697</v>
      </c>
      <c r="B1673" s="2">
        <v>44866</v>
      </c>
      <c r="C1673" s="2">
        <v>44873</v>
      </c>
      <c r="D1673" t="s">
        <v>5470</v>
      </c>
      <c r="E1673" t="s">
        <v>5970</v>
      </c>
      <c r="F1673" t="s">
        <v>6028</v>
      </c>
      <c r="G1673" t="s">
        <v>6031</v>
      </c>
      <c r="H1673" t="s">
        <v>6034</v>
      </c>
      <c r="I1673" t="s">
        <v>6048</v>
      </c>
      <c r="J1673" t="s">
        <v>6054</v>
      </c>
      <c r="K1673" t="s">
        <v>6059</v>
      </c>
      <c r="L1673" t="s">
        <v>7447</v>
      </c>
      <c r="M1673">
        <v>1361.02</v>
      </c>
      <c r="N1673">
        <v>2</v>
      </c>
      <c r="O1673">
        <v>0.12</v>
      </c>
      <c r="P1673">
        <v>101.81</v>
      </c>
      <c r="Q1673" t="s">
        <v>9895</v>
      </c>
      <c r="R1673">
        <v>7</v>
      </c>
      <c r="S1673" s="5">
        <f t="shared" si="52"/>
        <v>7.4804190974416249E-2</v>
      </c>
      <c r="T1673">
        <v>680.51</v>
      </c>
      <c r="U1673">
        <v>11</v>
      </c>
      <c r="V1673">
        <v>2022</v>
      </c>
      <c r="W1673">
        <v>4</v>
      </c>
      <c r="X1673" t="s">
        <v>9899</v>
      </c>
      <c r="Y1673" t="s">
        <v>9901</v>
      </c>
      <c r="Z1673" t="s">
        <v>9898</v>
      </c>
      <c r="AD1673">
        <f t="shared" si="53"/>
        <v>7</v>
      </c>
    </row>
    <row r="1674" spans="1:30" x14ac:dyDescent="0.25">
      <c r="A1674" t="s">
        <v>1698</v>
      </c>
      <c r="B1674" s="2">
        <v>45401</v>
      </c>
      <c r="C1674" s="2">
        <v>45408</v>
      </c>
      <c r="D1674" t="s">
        <v>5332</v>
      </c>
      <c r="E1674" t="s">
        <v>5832</v>
      </c>
      <c r="F1674" t="s">
        <v>6026</v>
      </c>
      <c r="G1674" t="s">
        <v>6029</v>
      </c>
      <c r="H1674" t="s">
        <v>6036</v>
      </c>
      <c r="I1674" t="s">
        <v>6049</v>
      </c>
      <c r="J1674" t="s">
        <v>6053</v>
      </c>
      <c r="K1674" t="s">
        <v>6056</v>
      </c>
      <c r="L1674" t="s">
        <v>7594</v>
      </c>
      <c r="M1674">
        <v>470.91</v>
      </c>
      <c r="N1674">
        <v>1</v>
      </c>
      <c r="O1674">
        <v>0.25</v>
      </c>
      <c r="P1674">
        <v>-1.25</v>
      </c>
      <c r="Q1674" t="s">
        <v>9894</v>
      </c>
      <c r="R1674">
        <v>7</v>
      </c>
      <c r="S1674" s="5">
        <f t="shared" si="52"/>
        <v>-2.6544350300482045E-3</v>
      </c>
      <c r="T1674">
        <v>470.91</v>
      </c>
      <c r="U1674">
        <v>4</v>
      </c>
      <c r="V1674">
        <v>2024</v>
      </c>
      <c r="W1674">
        <v>2</v>
      </c>
      <c r="X1674" t="s">
        <v>9898</v>
      </c>
      <c r="Y1674" t="s">
        <v>9900</v>
      </c>
      <c r="Z1674" t="s">
        <v>9899</v>
      </c>
      <c r="AD1674">
        <f t="shared" si="53"/>
        <v>7</v>
      </c>
    </row>
    <row r="1675" spans="1:30" x14ac:dyDescent="0.25">
      <c r="A1675" t="s">
        <v>1699</v>
      </c>
      <c r="B1675" s="2">
        <v>45137</v>
      </c>
      <c r="C1675" s="2">
        <v>45144</v>
      </c>
      <c r="D1675" t="s">
        <v>5461</v>
      </c>
      <c r="E1675" t="s">
        <v>5961</v>
      </c>
      <c r="F1675" t="s">
        <v>6026</v>
      </c>
      <c r="G1675" t="s">
        <v>6031</v>
      </c>
      <c r="H1675" t="s">
        <v>6042</v>
      </c>
      <c r="I1675" t="s">
        <v>6052</v>
      </c>
      <c r="J1675" t="s">
        <v>6053</v>
      </c>
      <c r="K1675" t="s">
        <v>6058</v>
      </c>
      <c r="L1675" t="s">
        <v>6364</v>
      </c>
      <c r="M1675">
        <v>501.6</v>
      </c>
      <c r="N1675">
        <v>8</v>
      </c>
      <c r="O1675">
        <v>0.25</v>
      </c>
      <c r="P1675">
        <v>-5.71</v>
      </c>
      <c r="Q1675" t="s">
        <v>9897</v>
      </c>
      <c r="R1675">
        <v>7</v>
      </c>
      <c r="S1675" s="5">
        <f t="shared" si="52"/>
        <v>-1.1383572567783093E-2</v>
      </c>
      <c r="T1675">
        <v>62.7</v>
      </c>
      <c r="U1675">
        <v>7</v>
      </c>
      <c r="V1675">
        <v>2023</v>
      </c>
      <c r="W1675">
        <v>3</v>
      </c>
      <c r="X1675" t="s">
        <v>9898</v>
      </c>
      <c r="Y1675" t="s">
        <v>9900</v>
      </c>
      <c r="Z1675" t="s">
        <v>9899</v>
      </c>
      <c r="AD1675">
        <f t="shared" si="53"/>
        <v>7</v>
      </c>
    </row>
    <row r="1676" spans="1:30" x14ac:dyDescent="0.25">
      <c r="A1676" t="s">
        <v>1700</v>
      </c>
      <c r="B1676" s="2">
        <v>45336</v>
      </c>
      <c r="C1676" s="2">
        <v>45337</v>
      </c>
      <c r="D1676" t="s">
        <v>5514</v>
      </c>
      <c r="E1676" t="s">
        <v>6014</v>
      </c>
      <c r="F1676" t="s">
        <v>6027</v>
      </c>
      <c r="G1676" t="s">
        <v>6030</v>
      </c>
      <c r="H1676" t="s">
        <v>6039</v>
      </c>
      <c r="I1676" t="s">
        <v>6051</v>
      </c>
      <c r="J1676" t="s">
        <v>6054</v>
      </c>
      <c r="K1676" t="s">
        <v>6060</v>
      </c>
      <c r="L1676" t="s">
        <v>7595</v>
      </c>
      <c r="M1676">
        <v>920.38</v>
      </c>
      <c r="N1676">
        <v>2</v>
      </c>
      <c r="O1676">
        <v>0.33</v>
      </c>
      <c r="P1676">
        <v>-151.57</v>
      </c>
      <c r="Q1676" t="s">
        <v>9893</v>
      </c>
      <c r="R1676">
        <v>1</v>
      </c>
      <c r="S1676" s="5">
        <f t="shared" si="52"/>
        <v>-0.16468197918251157</v>
      </c>
      <c r="T1676">
        <v>460.19</v>
      </c>
      <c r="U1676">
        <v>2</v>
      </c>
      <c r="V1676">
        <v>2024</v>
      </c>
      <c r="W1676">
        <v>1</v>
      </c>
      <c r="X1676" t="s">
        <v>9898</v>
      </c>
      <c r="Y1676" t="s">
        <v>9902</v>
      </c>
      <c r="Z1676" t="s">
        <v>9899</v>
      </c>
      <c r="AD1676">
        <f t="shared" si="53"/>
        <v>1</v>
      </c>
    </row>
    <row r="1677" spans="1:30" x14ac:dyDescent="0.25">
      <c r="A1677" t="s">
        <v>1701</v>
      </c>
      <c r="B1677" s="2">
        <v>45077</v>
      </c>
      <c r="C1677" s="2">
        <v>45079</v>
      </c>
      <c r="D1677" t="s">
        <v>5332</v>
      </c>
      <c r="E1677" t="s">
        <v>5832</v>
      </c>
      <c r="F1677" t="s">
        <v>6028</v>
      </c>
      <c r="G1677" t="s">
        <v>6029</v>
      </c>
      <c r="H1677" t="s">
        <v>6045</v>
      </c>
      <c r="I1677" t="s">
        <v>6049</v>
      </c>
      <c r="J1677" t="s">
        <v>6053</v>
      </c>
      <c r="K1677" t="s">
        <v>6057</v>
      </c>
      <c r="L1677" t="s">
        <v>6951</v>
      </c>
      <c r="M1677">
        <v>1038.1600000000001</v>
      </c>
      <c r="N1677">
        <v>5</v>
      </c>
      <c r="O1677">
        <v>0.23</v>
      </c>
      <c r="P1677">
        <v>33.97</v>
      </c>
      <c r="Q1677" t="s">
        <v>9894</v>
      </c>
      <c r="R1677">
        <v>2</v>
      </c>
      <c r="S1677" s="5">
        <f t="shared" si="52"/>
        <v>3.2721353163288891E-2</v>
      </c>
      <c r="T1677">
        <v>207.63200000000001</v>
      </c>
      <c r="U1677">
        <v>5</v>
      </c>
      <c r="V1677">
        <v>2023</v>
      </c>
      <c r="W1677">
        <v>2</v>
      </c>
      <c r="X1677" t="s">
        <v>9899</v>
      </c>
      <c r="Y1677" t="s">
        <v>9900</v>
      </c>
      <c r="Z1677" t="s">
        <v>9898</v>
      </c>
      <c r="AD1677">
        <f t="shared" si="53"/>
        <v>2</v>
      </c>
    </row>
    <row r="1678" spans="1:30" x14ac:dyDescent="0.25">
      <c r="A1678" t="s">
        <v>1702</v>
      </c>
      <c r="B1678" s="2">
        <v>45242</v>
      </c>
      <c r="C1678" s="2">
        <v>45249</v>
      </c>
      <c r="D1678" t="s">
        <v>5026</v>
      </c>
      <c r="E1678" t="s">
        <v>5526</v>
      </c>
      <c r="F1678" t="s">
        <v>6026</v>
      </c>
      <c r="G1678" t="s">
        <v>6030</v>
      </c>
      <c r="H1678" t="s">
        <v>6038</v>
      </c>
      <c r="I1678" t="s">
        <v>6047</v>
      </c>
      <c r="J1678" t="s">
        <v>6055</v>
      </c>
      <c r="K1678" t="s">
        <v>6064</v>
      </c>
      <c r="L1678" t="s">
        <v>7596</v>
      </c>
      <c r="M1678">
        <v>1293.43</v>
      </c>
      <c r="N1678">
        <v>1</v>
      </c>
      <c r="O1678">
        <v>0.1</v>
      </c>
      <c r="P1678">
        <v>2.2400000000000002</v>
      </c>
      <c r="Q1678" t="s">
        <v>9895</v>
      </c>
      <c r="R1678">
        <v>7</v>
      </c>
      <c r="S1678" s="5">
        <f t="shared" si="52"/>
        <v>1.7318293220352089E-3</v>
      </c>
      <c r="T1678">
        <v>1293.43</v>
      </c>
      <c r="U1678">
        <v>11</v>
      </c>
      <c r="V1678">
        <v>2023</v>
      </c>
      <c r="W1678">
        <v>4</v>
      </c>
      <c r="X1678" t="s">
        <v>9899</v>
      </c>
      <c r="Y1678" t="s">
        <v>9901</v>
      </c>
      <c r="Z1678" t="s">
        <v>9898</v>
      </c>
      <c r="AD1678">
        <f t="shared" si="53"/>
        <v>7</v>
      </c>
    </row>
    <row r="1679" spans="1:30" x14ac:dyDescent="0.25">
      <c r="A1679" t="s">
        <v>1703</v>
      </c>
      <c r="B1679" s="2">
        <v>45235</v>
      </c>
      <c r="C1679" s="2">
        <v>45238</v>
      </c>
      <c r="D1679" t="s">
        <v>5118</v>
      </c>
      <c r="E1679" t="s">
        <v>5618</v>
      </c>
      <c r="F1679" t="s">
        <v>6026</v>
      </c>
      <c r="G1679" t="s">
        <v>6030</v>
      </c>
      <c r="H1679" t="s">
        <v>6039</v>
      </c>
      <c r="I1679" t="s">
        <v>6051</v>
      </c>
      <c r="J1679" t="s">
        <v>6054</v>
      </c>
      <c r="K1679" t="s">
        <v>6060</v>
      </c>
      <c r="L1679" t="s">
        <v>7597</v>
      </c>
      <c r="M1679">
        <v>1141.23</v>
      </c>
      <c r="N1679">
        <v>6</v>
      </c>
      <c r="O1679">
        <v>0.01</v>
      </c>
      <c r="P1679">
        <v>143.65</v>
      </c>
      <c r="Q1679" t="s">
        <v>9896</v>
      </c>
      <c r="R1679">
        <v>3</v>
      </c>
      <c r="S1679" s="5">
        <f t="shared" si="52"/>
        <v>0.12587296162911946</v>
      </c>
      <c r="T1679">
        <v>190.20500000000001</v>
      </c>
      <c r="U1679">
        <v>11</v>
      </c>
      <c r="V1679">
        <v>2023</v>
      </c>
      <c r="W1679">
        <v>4</v>
      </c>
      <c r="X1679" t="s">
        <v>9899</v>
      </c>
      <c r="Y1679" t="s">
        <v>9901</v>
      </c>
      <c r="Z1679" t="s">
        <v>9898</v>
      </c>
      <c r="AD1679">
        <f t="shared" si="53"/>
        <v>3</v>
      </c>
    </row>
    <row r="1680" spans="1:30" x14ac:dyDescent="0.25">
      <c r="A1680" t="s">
        <v>1704</v>
      </c>
      <c r="B1680" s="2">
        <v>44879</v>
      </c>
      <c r="C1680" s="2">
        <v>44884</v>
      </c>
      <c r="D1680" t="s">
        <v>5097</v>
      </c>
      <c r="E1680" t="s">
        <v>5597</v>
      </c>
      <c r="F1680" t="s">
        <v>6026</v>
      </c>
      <c r="G1680" t="s">
        <v>6031</v>
      </c>
      <c r="H1680" t="s">
        <v>6037</v>
      </c>
      <c r="I1680" t="s">
        <v>6052</v>
      </c>
      <c r="J1680" t="s">
        <v>6054</v>
      </c>
      <c r="K1680" t="s">
        <v>6059</v>
      </c>
      <c r="L1680" t="s">
        <v>6795</v>
      </c>
      <c r="M1680">
        <v>1878.75</v>
      </c>
      <c r="N1680">
        <v>5</v>
      </c>
      <c r="O1680">
        <v>0.11</v>
      </c>
      <c r="P1680">
        <v>108.54</v>
      </c>
      <c r="Q1680" t="s">
        <v>9896</v>
      </c>
      <c r="R1680">
        <v>5</v>
      </c>
      <c r="S1680" s="5">
        <f t="shared" si="52"/>
        <v>5.777245508982036E-2</v>
      </c>
      <c r="T1680">
        <v>375.75</v>
      </c>
      <c r="U1680">
        <v>11</v>
      </c>
      <c r="V1680">
        <v>2022</v>
      </c>
      <c r="W1680">
        <v>4</v>
      </c>
      <c r="X1680" t="s">
        <v>9899</v>
      </c>
      <c r="Y1680" t="s">
        <v>9901</v>
      </c>
      <c r="Z1680" t="s">
        <v>9898</v>
      </c>
      <c r="AD1680">
        <f t="shared" si="53"/>
        <v>5</v>
      </c>
    </row>
    <row r="1681" spans="1:30" x14ac:dyDescent="0.25">
      <c r="A1681" t="s">
        <v>1705</v>
      </c>
      <c r="B1681" s="2">
        <v>45006</v>
      </c>
      <c r="C1681" s="2">
        <v>45013</v>
      </c>
      <c r="D1681" t="s">
        <v>5437</v>
      </c>
      <c r="E1681" t="s">
        <v>5937</v>
      </c>
      <c r="F1681" t="s">
        <v>6026</v>
      </c>
      <c r="G1681" t="s">
        <v>6029</v>
      </c>
      <c r="H1681" t="s">
        <v>6036</v>
      </c>
      <c r="I1681" t="s">
        <v>6049</v>
      </c>
      <c r="J1681" t="s">
        <v>6055</v>
      </c>
      <c r="K1681" t="s">
        <v>6061</v>
      </c>
      <c r="L1681" t="s">
        <v>7598</v>
      </c>
      <c r="M1681">
        <v>1199.92</v>
      </c>
      <c r="N1681">
        <v>4</v>
      </c>
      <c r="O1681">
        <v>0</v>
      </c>
      <c r="P1681">
        <v>193.58</v>
      </c>
      <c r="Q1681" t="s">
        <v>9896</v>
      </c>
      <c r="R1681">
        <v>7</v>
      </c>
      <c r="S1681" s="5">
        <f t="shared" si="52"/>
        <v>0.16132742182812188</v>
      </c>
      <c r="T1681">
        <v>299.98</v>
      </c>
      <c r="U1681">
        <v>3</v>
      </c>
      <c r="V1681">
        <v>2023</v>
      </c>
      <c r="W1681">
        <v>1</v>
      </c>
      <c r="X1681" t="s">
        <v>9899</v>
      </c>
      <c r="Y1681" t="s">
        <v>9901</v>
      </c>
      <c r="Z1681" t="s">
        <v>9898</v>
      </c>
      <c r="AD1681">
        <f t="shared" si="53"/>
        <v>7</v>
      </c>
    </row>
    <row r="1682" spans="1:30" x14ac:dyDescent="0.25">
      <c r="A1682" t="s">
        <v>1706</v>
      </c>
      <c r="B1682" s="2">
        <v>44928</v>
      </c>
      <c r="C1682" s="2">
        <v>44931</v>
      </c>
      <c r="D1682" t="s">
        <v>5134</v>
      </c>
      <c r="E1682" t="s">
        <v>5634</v>
      </c>
      <c r="F1682" t="s">
        <v>6027</v>
      </c>
      <c r="G1682" t="s">
        <v>6030</v>
      </c>
      <c r="H1682" t="s">
        <v>6033</v>
      </c>
      <c r="I1682" t="s">
        <v>6051</v>
      </c>
      <c r="J1682" t="s">
        <v>6054</v>
      </c>
      <c r="K1682" t="s">
        <v>6062</v>
      </c>
      <c r="L1682" t="s">
        <v>7599</v>
      </c>
      <c r="M1682">
        <v>1528.24</v>
      </c>
      <c r="N1682">
        <v>2</v>
      </c>
      <c r="O1682">
        <v>0.09</v>
      </c>
      <c r="P1682">
        <v>262.05</v>
      </c>
      <c r="Q1682" t="s">
        <v>9897</v>
      </c>
      <c r="R1682">
        <v>3</v>
      </c>
      <c r="S1682" s="5">
        <f t="shared" si="52"/>
        <v>0.17147175836256087</v>
      </c>
      <c r="T1682">
        <v>764.12</v>
      </c>
      <c r="U1682">
        <v>1</v>
      </c>
      <c r="V1682">
        <v>2023</v>
      </c>
      <c r="W1682">
        <v>1</v>
      </c>
      <c r="X1682" t="s">
        <v>9899</v>
      </c>
      <c r="Y1682" t="s">
        <v>9901</v>
      </c>
      <c r="Z1682" t="s">
        <v>9898</v>
      </c>
      <c r="AD1682">
        <f t="shared" si="53"/>
        <v>3</v>
      </c>
    </row>
    <row r="1683" spans="1:30" x14ac:dyDescent="0.25">
      <c r="A1683" t="s">
        <v>1707</v>
      </c>
      <c r="B1683" s="2">
        <v>44583</v>
      </c>
      <c r="C1683" s="2">
        <v>44590</v>
      </c>
      <c r="D1683" t="s">
        <v>5260</v>
      </c>
      <c r="E1683" t="s">
        <v>5760</v>
      </c>
      <c r="F1683" t="s">
        <v>6027</v>
      </c>
      <c r="G1683" t="s">
        <v>6031</v>
      </c>
      <c r="H1683" t="s">
        <v>6034</v>
      </c>
      <c r="I1683" t="s">
        <v>6048</v>
      </c>
      <c r="J1683" t="s">
        <v>6055</v>
      </c>
      <c r="K1683" t="s">
        <v>6061</v>
      </c>
      <c r="L1683" t="s">
        <v>6197</v>
      </c>
      <c r="M1683">
        <v>564.76</v>
      </c>
      <c r="N1683">
        <v>8</v>
      </c>
      <c r="O1683">
        <v>0.17</v>
      </c>
      <c r="P1683">
        <v>-20.3</v>
      </c>
      <c r="Q1683" t="s">
        <v>9893</v>
      </c>
      <c r="R1683">
        <v>7</v>
      </c>
      <c r="S1683" s="5">
        <f t="shared" si="52"/>
        <v>-3.5944471988101141E-2</v>
      </c>
      <c r="T1683">
        <v>70.594999999999999</v>
      </c>
      <c r="U1683">
        <v>1</v>
      </c>
      <c r="V1683">
        <v>2022</v>
      </c>
      <c r="W1683">
        <v>1</v>
      </c>
      <c r="X1683" t="s">
        <v>9898</v>
      </c>
      <c r="Y1683" t="s">
        <v>9900</v>
      </c>
      <c r="Z1683" t="s">
        <v>9899</v>
      </c>
      <c r="AD1683">
        <f t="shared" si="53"/>
        <v>7</v>
      </c>
    </row>
    <row r="1684" spans="1:30" x14ac:dyDescent="0.25">
      <c r="A1684" t="s">
        <v>1708</v>
      </c>
      <c r="B1684" s="2">
        <v>45081</v>
      </c>
      <c r="C1684" s="2">
        <v>45083</v>
      </c>
      <c r="D1684" t="s">
        <v>5044</v>
      </c>
      <c r="E1684" t="s">
        <v>5544</v>
      </c>
      <c r="F1684" t="s">
        <v>6028</v>
      </c>
      <c r="G1684" t="s">
        <v>6029</v>
      </c>
      <c r="H1684" t="s">
        <v>6036</v>
      </c>
      <c r="I1684" t="s">
        <v>6050</v>
      </c>
      <c r="J1684" t="s">
        <v>6054</v>
      </c>
      <c r="K1684" t="s">
        <v>6060</v>
      </c>
      <c r="L1684" t="s">
        <v>7600</v>
      </c>
      <c r="M1684">
        <v>110.98</v>
      </c>
      <c r="N1684">
        <v>3</v>
      </c>
      <c r="O1684">
        <v>0.24</v>
      </c>
      <c r="P1684">
        <v>2.16</v>
      </c>
      <c r="Q1684" t="s">
        <v>9893</v>
      </c>
      <c r="R1684">
        <v>2</v>
      </c>
      <c r="S1684" s="5">
        <f t="shared" si="52"/>
        <v>1.9462966300234277E-2</v>
      </c>
      <c r="T1684">
        <v>36.993333333333332</v>
      </c>
      <c r="U1684">
        <v>6</v>
      </c>
      <c r="V1684">
        <v>2023</v>
      </c>
      <c r="W1684">
        <v>2</v>
      </c>
      <c r="X1684" t="s">
        <v>9899</v>
      </c>
      <c r="Y1684" t="s">
        <v>9900</v>
      </c>
      <c r="Z1684" t="s">
        <v>9899</v>
      </c>
      <c r="AD1684">
        <f t="shared" si="53"/>
        <v>2</v>
      </c>
    </row>
    <row r="1685" spans="1:30" x14ac:dyDescent="0.25">
      <c r="A1685" t="s">
        <v>1709</v>
      </c>
      <c r="B1685" s="2">
        <v>45296</v>
      </c>
      <c r="C1685" s="2">
        <v>45303</v>
      </c>
      <c r="D1685" t="s">
        <v>5245</v>
      </c>
      <c r="E1685" t="s">
        <v>5745</v>
      </c>
      <c r="F1685" t="s">
        <v>6027</v>
      </c>
      <c r="G1685" t="s">
        <v>6031</v>
      </c>
      <c r="H1685" t="s">
        <v>6037</v>
      </c>
      <c r="I1685" t="s">
        <v>6050</v>
      </c>
      <c r="J1685" t="s">
        <v>6055</v>
      </c>
      <c r="K1685" t="s">
        <v>6063</v>
      </c>
      <c r="L1685" t="s">
        <v>7601</v>
      </c>
      <c r="M1685">
        <v>363.38</v>
      </c>
      <c r="N1685">
        <v>7</v>
      </c>
      <c r="O1685">
        <v>0.14000000000000001</v>
      </c>
      <c r="P1685">
        <v>-4.58</v>
      </c>
      <c r="Q1685" t="s">
        <v>9893</v>
      </c>
      <c r="R1685">
        <v>7</v>
      </c>
      <c r="S1685" s="5">
        <f t="shared" si="52"/>
        <v>-1.260388573944631E-2</v>
      </c>
      <c r="T1685">
        <v>51.911428571428573</v>
      </c>
      <c r="U1685">
        <v>1</v>
      </c>
      <c r="V1685">
        <v>2024</v>
      </c>
      <c r="W1685">
        <v>1</v>
      </c>
      <c r="X1685" t="s">
        <v>9898</v>
      </c>
      <c r="Y1685" t="s">
        <v>9901</v>
      </c>
      <c r="Z1685" t="s">
        <v>9899</v>
      </c>
      <c r="AD1685">
        <f t="shared" si="53"/>
        <v>7</v>
      </c>
    </row>
    <row r="1686" spans="1:30" x14ac:dyDescent="0.25">
      <c r="A1686" t="s">
        <v>1710</v>
      </c>
      <c r="B1686" s="2">
        <v>44795</v>
      </c>
      <c r="C1686" s="2">
        <v>44797</v>
      </c>
      <c r="D1686" t="s">
        <v>5103</v>
      </c>
      <c r="E1686" t="s">
        <v>5603</v>
      </c>
      <c r="F1686" t="s">
        <v>6026</v>
      </c>
      <c r="G1686" t="s">
        <v>6031</v>
      </c>
      <c r="H1686" t="s">
        <v>6043</v>
      </c>
      <c r="I1686" t="s">
        <v>6052</v>
      </c>
      <c r="J1686" t="s">
        <v>6055</v>
      </c>
      <c r="K1686" t="s">
        <v>6063</v>
      </c>
      <c r="L1686" t="s">
        <v>7602</v>
      </c>
      <c r="M1686">
        <v>555.5</v>
      </c>
      <c r="N1686">
        <v>6</v>
      </c>
      <c r="O1686">
        <v>0.32</v>
      </c>
      <c r="P1686">
        <v>-47.24</v>
      </c>
      <c r="Q1686" t="s">
        <v>9893</v>
      </c>
      <c r="R1686">
        <v>2</v>
      </c>
      <c r="S1686" s="5">
        <f t="shared" si="52"/>
        <v>-8.5040504050405044E-2</v>
      </c>
      <c r="T1686">
        <v>92.583333333333329</v>
      </c>
      <c r="U1686">
        <v>8</v>
      </c>
      <c r="V1686">
        <v>2022</v>
      </c>
      <c r="W1686">
        <v>3</v>
      </c>
      <c r="X1686" t="s">
        <v>9898</v>
      </c>
      <c r="Y1686" t="s">
        <v>9902</v>
      </c>
      <c r="Z1686" t="s">
        <v>9899</v>
      </c>
      <c r="AD1686">
        <f t="shared" si="53"/>
        <v>2</v>
      </c>
    </row>
    <row r="1687" spans="1:30" x14ac:dyDescent="0.25">
      <c r="A1687" t="s">
        <v>1711</v>
      </c>
      <c r="B1687" s="2">
        <v>45355</v>
      </c>
      <c r="C1687" s="2">
        <v>45357</v>
      </c>
      <c r="D1687" t="s">
        <v>5479</v>
      </c>
      <c r="E1687" t="s">
        <v>5979</v>
      </c>
      <c r="F1687" t="s">
        <v>6028</v>
      </c>
      <c r="G1687" t="s">
        <v>6031</v>
      </c>
      <c r="H1687" t="s">
        <v>6043</v>
      </c>
      <c r="I1687" t="s">
        <v>6050</v>
      </c>
      <c r="J1687" t="s">
        <v>6054</v>
      </c>
      <c r="K1687" t="s">
        <v>6060</v>
      </c>
      <c r="L1687" t="s">
        <v>7603</v>
      </c>
      <c r="M1687">
        <v>583.94000000000005</v>
      </c>
      <c r="N1687">
        <v>3</v>
      </c>
      <c r="O1687">
        <v>0.27</v>
      </c>
      <c r="P1687">
        <v>-6.47</v>
      </c>
      <c r="Q1687" t="s">
        <v>9895</v>
      </c>
      <c r="R1687">
        <v>2</v>
      </c>
      <c r="S1687" s="5">
        <f t="shared" si="52"/>
        <v>-1.107990546974004E-2</v>
      </c>
      <c r="T1687">
        <v>194.6466666666667</v>
      </c>
      <c r="U1687">
        <v>3</v>
      </c>
      <c r="V1687">
        <v>2024</v>
      </c>
      <c r="W1687">
        <v>1</v>
      </c>
      <c r="X1687" t="s">
        <v>9898</v>
      </c>
      <c r="Y1687" t="s">
        <v>9900</v>
      </c>
      <c r="Z1687" t="s">
        <v>9899</v>
      </c>
      <c r="AD1687">
        <f t="shared" si="53"/>
        <v>2</v>
      </c>
    </row>
    <row r="1688" spans="1:30" x14ac:dyDescent="0.25">
      <c r="A1688" t="s">
        <v>1712</v>
      </c>
      <c r="B1688" s="2">
        <v>44815</v>
      </c>
      <c r="C1688" s="2">
        <v>44821</v>
      </c>
      <c r="D1688" t="s">
        <v>5210</v>
      </c>
      <c r="E1688" t="s">
        <v>5710</v>
      </c>
      <c r="F1688" t="s">
        <v>6028</v>
      </c>
      <c r="G1688" t="s">
        <v>6030</v>
      </c>
      <c r="H1688" t="s">
        <v>6033</v>
      </c>
      <c r="I1688" t="s">
        <v>6047</v>
      </c>
      <c r="J1688" t="s">
        <v>6054</v>
      </c>
      <c r="K1688" t="s">
        <v>6060</v>
      </c>
      <c r="L1688" t="s">
        <v>7195</v>
      </c>
      <c r="M1688">
        <v>1607.36</v>
      </c>
      <c r="N1688">
        <v>6</v>
      </c>
      <c r="O1688">
        <v>0.26</v>
      </c>
      <c r="P1688">
        <v>-50.16</v>
      </c>
      <c r="Q1688" t="s">
        <v>9894</v>
      </c>
      <c r="R1688">
        <v>6</v>
      </c>
      <c r="S1688" s="5">
        <f t="shared" si="52"/>
        <v>-3.1206450328488951E-2</v>
      </c>
      <c r="T1688">
        <v>267.89333333333332</v>
      </c>
      <c r="U1688">
        <v>9</v>
      </c>
      <c r="V1688">
        <v>2022</v>
      </c>
      <c r="W1688">
        <v>3</v>
      </c>
      <c r="X1688" t="s">
        <v>9898</v>
      </c>
      <c r="Y1688" t="s">
        <v>9900</v>
      </c>
      <c r="Z1688" t="s">
        <v>9898</v>
      </c>
      <c r="AD1688">
        <f t="shared" si="53"/>
        <v>6</v>
      </c>
    </row>
    <row r="1689" spans="1:30" x14ac:dyDescent="0.25">
      <c r="A1689" t="s">
        <v>1713</v>
      </c>
      <c r="B1689" s="2">
        <v>44796</v>
      </c>
      <c r="C1689" s="2">
        <v>44801</v>
      </c>
      <c r="D1689" t="s">
        <v>5198</v>
      </c>
      <c r="E1689" t="s">
        <v>5698</v>
      </c>
      <c r="F1689" t="s">
        <v>6026</v>
      </c>
      <c r="G1689" t="s">
        <v>6031</v>
      </c>
      <c r="H1689" t="s">
        <v>6042</v>
      </c>
      <c r="I1689" t="s">
        <v>6050</v>
      </c>
      <c r="J1689" t="s">
        <v>6053</v>
      </c>
      <c r="K1689" t="s">
        <v>6057</v>
      </c>
      <c r="L1689" t="s">
        <v>6411</v>
      </c>
      <c r="M1689">
        <v>680.05</v>
      </c>
      <c r="N1689">
        <v>6</v>
      </c>
      <c r="O1689">
        <v>0.25</v>
      </c>
      <c r="P1689">
        <v>33.29</v>
      </c>
      <c r="Q1689" t="s">
        <v>9895</v>
      </c>
      <c r="R1689">
        <v>5</v>
      </c>
      <c r="S1689" s="5">
        <f t="shared" si="52"/>
        <v>4.8952282920373506E-2</v>
      </c>
      <c r="T1689">
        <v>113.3416666666667</v>
      </c>
      <c r="U1689">
        <v>8</v>
      </c>
      <c r="V1689">
        <v>2022</v>
      </c>
      <c r="W1689">
        <v>3</v>
      </c>
      <c r="X1689" t="s">
        <v>9899</v>
      </c>
      <c r="Y1689" t="s">
        <v>9900</v>
      </c>
      <c r="Z1689" t="s">
        <v>9899</v>
      </c>
      <c r="AD1689">
        <f t="shared" si="53"/>
        <v>5</v>
      </c>
    </row>
    <row r="1690" spans="1:30" x14ac:dyDescent="0.25">
      <c r="A1690" t="s">
        <v>1714</v>
      </c>
      <c r="B1690" s="2">
        <v>44744</v>
      </c>
      <c r="C1690" s="2">
        <v>44751</v>
      </c>
      <c r="D1690" t="s">
        <v>5475</v>
      </c>
      <c r="E1690" t="s">
        <v>5975</v>
      </c>
      <c r="F1690" t="s">
        <v>6026</v>
      </c>
      <c r="G1690" t="s">
        <v>6029</v>
      </c>
      <c r="H1690" t="s">
        <v>6045</v>
      </c>
      <c r="I1690" t="s">
        <v>6050</v>
      </c>
      <c r="J1690" t="s">
        <v>6055</v>
      </c>
      <c r="K1690" t="s">
        <v>6064</v>
      </c>
      <c r="L1690" t="s">
        <v>7604</v>
      </c>
      <c r="M1690">
        <v>170.21</v>
      </c>
      <c r="N1690">
        <v>2</v>
      </c>
      <c r="O1690">
        <v>0.04</v>
      </c>
      <c r="P1690">
        <v>33.06</v>
      </c>
      <c r="Q1690" t="s">
        <v>9894</v>
      </c>
      <c r="R1690">
        <v>7</v>
      </c>
      <c r="S1690" s="5">
        <f t="shared" si="52"/>
        <v>0.19423065624816405</v>
      </c>
      <c r="T1690">
        <v>85.105000000000004</v>
      </c>
      <c r="U1690">
        <v>7</v>
      </c>
      <c r="V1690">
        <v>2022</v>
      </c>
      <c r="W1690">
        <v>3</v>
      </c>
      <c r="X1690" t="s">
        <v>9899</v>
      </c>
      <c r="Y1690" t="s">
        <v>9901</v>
      </c>
      <c r="Z1690" t="s">
        <v>9899</v>
      </c>
      <c r="AD1690">
        <f t="shared" si="53"/>
        <v>7</v>
      </c>
    </row>
    <row r="1691" spans="1:30" x14ac:dyDescent="0.25">
      <c r="A1691" t="s">
        <v>1715</v>
      </c>
      <c r="B1691" s="2">
        <v>44955</v>
      </c>
      <c r="C1691" s="2">
        <v>44961</v>
      </c>
      <c r="D1691" t="s">
        <v>5515</v>
      </c>
      <c r="E1691" t="s">
        <v>6015</v>
      </c>
      <c r="F1691" t="s">
        <v>6028</v>
      </c>
      <c r="G1691" t="s">
        <v>6030</v>
      </c>
      <c r="H1691" t="s">
        <v>6038</v>
      </c>
      <c r="I1691" t="s">
        <v>6051</v>
      </c>
      <c r="J1691" t="s">
        <v>6053</v>
      </c>
      <c r="K1691" t="s">
        <v>6058</v>
      </c>
      <c r="L1691" t="s">
        <v>6553</v>
      </c>
      <c r="M1691">
        <v>394.21</v>
      </c>
      <c r="N1691">
        <v>6</v>
      </c>
      <c r="O1691">
        <v>0.06</v>
      </c>
      <c r="P1691">
        <v>68.91</v>
      </c>
      <c r="Q1691" t="s">
        <v>9895</v>
      </c>
      <c r="R1691">
        <v>6</v>
      </c>
      <c r="S1691" s="5">
        <f t="shared" si="52"/>
        <v>0.17480530681616396</v>
      </c>
      <c r="T1691">
        <v>65.701666666666668</v>
      </c>
      <c r="U1691">
        <v>1</v>
      </c>
      <c r="V1691">
        <v>2023</v>
      </c>
      <c r="W1691">
        <v>1</v>
      </c>
      <c r="X1691" t="s">
        <v>9899</v>
      </c>
      <c r="Y1691" t="s">
        <v>9901</v>
      </c>
      <c r="Z1691" t="s">
        <v>9899</v>
      </c>
      <c r="AD1691">
        <f t="shared" si="53"/>
        <v>6</v>
      </c>
    </row>
    <row r="1692" spans="1:30" x14ac:dyDescent="0.25">
      <c r="A1692" t="s">
        <v>1716</v>
      </c>
      <c r="B1692" s="2">
        <v>45400</v>
      </c>
      <c r="C1692" s="2">
        <v>45402</v>
      </c>
      <c r="D1692" t="s">
        <v>5181</v>
      </c>
      <c r="E1692" t="s">
        <v>5681</v>
      </c>
      <c r="F1692" t="s">
        <v>6027</v>
      </c>
      <c r="G1692" t="s">
        <v>6029</v>
      </c>
      <c r="H1692" t="s">
        <v>6036</v>
      </c>
      <c r="I1692" t="s">
        <v>6046</v>
      </c>
      <c r="J1692" t="s">
        <v>6054</v>
      </c>
      <c r="K1692" t="s">
        <v>6062</v>
      </c>
      <c r="L1692" t="s">
        <v>7605</v>
      </c>
      <c r="M1692">
        <v>1382.33</v>
      </c>
      <c r="N1692">
        <v>7</v>
      </c>
      <c r="O1692">
        <v>0.3</v>
      </c>
      <c r="P1692">
        <v>-148.91999999999999</v>
      </c>
      <c r="Q1692" t="s">
        <v>9893</v>
      </c>
      <c r="R1692">
        <v>2</v>
      </c>
      <c r="S1692" s="5">
        <f t="shared" si="52"/>
        <v>-0.10773114958078027</v>
      </c>
      <c r="T1692">
        <v>197.4757142857143</v>
      </c>
      <c r="U1692">
        <v>4</v>
      </c>
      <c r="V1692">
        <v>2024</v>
      </c>
      <c r="W1692">
        <v>2</v>
      </c>
      <c r="X1692" t="s">
        <v>9898</v>
      </c>
      <c r="Y1692" t="s">
        <v>9900</v>
      </c>
      <c r="Z1692" t="s">
        <v>9898</v>
      </c>
      <c r="AD1692">
        <f t="shared" si="53"/>
        <v>2</v>
      </c>
    </row>
    <row r="1693" spans="1:30" x14ac:dyDescent="0.25">
      <c r="A1693" t="s">
        <v>1717</v>
      </c>
      <c r="B1693" s="2">
        <v>44754</v>
      </c>
      <c r="C1693" s="2">
        <v>44760</v>
      </c>
      <c r="D1693" t="s">
        <v>5186</v>
      </c>
      <c r="E1693" t="s">
        <v>5686</v>
      </c>
      <c r="F1693" t="s">
        <v>6027</v>
      </c>
      <c r="G1693" t="s">
        <v>6030</v>
      </c>
      <c r="H1693" t="s">
        <v>6035</v>
      </c>
      <c r="I1693" t="s">
        <v>6047</v>
      </c>
      <c r="J1693" t="s">
        <v>6054</v>
      </c>
      <c r="K1693" t="s">
        <v>6062</v>
      </c>
      <c r="L1693" t="s">
        <v>7606</v>
      </c>
      <c r="M1693">
        <v>1668.75</v>
      </c>
      <c r="N1693">
        <v>2</v>
      </c>
      <c r="O1693">
        <v>0.25</v>
      </c>
      <c r="P1693">
        <v>-176.45</v>
      </c>
      <c r="Q1693" t="s">
        <v>9896</v>
      </c>
      <c r="R1693">
        <v>6</v>
      </c>
      <c r="S1693" s="5">
        <f t="shared" si="52"/>
        <v>-0.10573782771535579</v>
      </c>
      <c r="T1693">
        <v>834.375</v>
      </c>
      <c r="U1693">
        <v>7</v>
      </c>
      <c r="V1693">
        <v>2022</v>
      </c>
      <c r="W1693">
        <v>3</v>
      </c>
      <c r="X1693" t="s">
        <v>9898</v>
      </c>
      <c r="Y1693" t="s">
        <v>9900</v>
      </c>
      <c r="Z1693" t="s">
        <v>9898</v>
      </c>
      <c r="AD1693">
        <f t="shared" si="53"/>
        <v>6</v>
      </c>
    </row>
    <row r="1694" spans="1:30" x14ac:dyDescent="0.25">
      <c r="A1694" t="s">
        <v>1718</v>
      </c>
      <c r="B1694" s="2">
        <v>45245</v>
      </c>
      <c r="C1694" s="2">
        <v>45246</v>
      </c>
      <c r="D1694" t="s">
        <v>5243</v>
      </c>
      <c r="E1694" t="s">
        <v>5743</v>
      </c>
      <c r="F1694" t="s">
        <v>6026</v>
      </c>
      <c r="G1694" t="s">
        <v>6030</v>
      </c>
      <c r="H1694" t="s">
        <v>6035</v>
      </c>
      <c r="I1694" t="s">
        <v>6047</v>
      </c>
      <c r="J1694" t="s">
        <v>6054</v>
      </c>
      <c r="K1694" t="s">
        <v>6062</v>
      </c>
      <c r="L1694" t="s">
        <v>7607</v>
      </c>
      <c r="M1694">
        <v>1266.57</v>
      </c>
      <c r="N1694">
        <v>5</v>
      </c>
      <c r="O1694">
        <v>0.23</v>
      </c>
      <c r="P1694">
        <v>-160.29</v>
      </c>
      <c r="Q1694" t="s">
        <v>9897</v>
      </c>
      <c r="R1694">
        <v>1</v>
      </c>
      <c r="S1694" s="5">
        <f t="shared" si="52"/>
        <v>-0.12655439494066653</v>
      </c>
      <c r="T1694">
        <v>253.31399999999999</v>
      </c>
      <c r="U1694">
        <v>11</v>
      </c>
      <c r="V1694">
        <v>2023</v>
      </c>
      <c r="W1694">
        <v>4</v>
      </c>
      <c r="X1694" t="s">
        <v>9898</v>
      </c>
      <c r="Y1694" t="s">
        <v>9900</v>
      </c>
      <c r="Z1694" t="s">
        <v>9898</v>
      </c>
      <c r="AD1694">
        <f t="shared" si="53"/>
        <v>1</v>
      </c>
    </row>
    <row r="1695" spans="1:30" x14ac:dyDescent="0.25">
      <c r="A1695" t="s">
        <v>1719</v>
      </c>
      <c r="B1695" s="2">
        <v>45195</v>
      </c>
      <c r="C1695" s="2">
        <v>45201</v>
      </c>
      <c r="D1695" t="s">
        <v>5092</v>
      </c>
      <c r="E1695" t="s">
        <v>5592</v>
      </c>
      <c r="F1695" t="s">
        <v>6028</v>
      </c>
      <c r="G1695" t="s">
        <v>6029</v>
      </c>
      <c r="H1695" t="s">
        <v>6032</v>
      </c>
      <c r="I1695" t="s">
        <v>6046</v>
      </c>
      <c r="J1695" t="s">
        <v>6053</v>
      </c>
      <c r="K1695" t="s">
        <v>6057</v>
      </c>
      <c r="L1695" t="s">
        <v>7608</v>
      </c>
      <c r="M1695">
        <v>700.12</v>
      </c>
      <c r="N1695">
        <v>4</v>
      </c>
      <c r="O1695">
        <v>0.25</v>
      </c>
      <c r="P1695">
        <v>-4.1900000000000004</v>
      </c>
      <c r="Q1695" t="s">
        <v>9893</v>
      </c>
      <c r="R1695">
        <v>6</v>
      </c>
      <c r="S1695" s="5">
        <f t="shared" si="52"/>
        <v>-5.9846883391418623E-3</v>
      </c>
      <c r="T1695">
        <v>175.03</v>
      </c>
      <c r="U1695">
        <v>9</v>
      </c>
      <c r="V1695">
        <v>2023</v>
      </c>
      <c r="W1695">
        <v>3</v>
      </c>
      <c r="X1695" t="s">
        <v>9898</v>
      </c>
      <c r="Y1695" t="s">
        <v>9900</v>
      </c>
      <c r="Z1695" t="s">
        <v>9899</v>
      </c>
      <c r="AD1695">
        <f t="shared" si="53"/>
        <v>6</v>
      </c>
    </row>
    <row r="1696" spans="1:30" x14ac:dyDescent="0.25">
      <c r="A1696" t="s">
        <v>1720</v>
      </c>
      <c r="B1696" s="2">
        <v>44869</v>
      </c>
      <c r="C1696" s="2">
        <v>44875</v>
      </c>
      <c r="D1696" t="s">
        <v>5166</v>
      </c>
      <c r="E1696" t="s">
        <v>5666</v>
      </c>
      <c r="F1696" t="s">
        <v>6028</v>
      </c>
      <c r="G1696" t="s">
        <v>6031</v>
      </c>
      <c r="H1696" t="s">
        <v>6043</v>
      </c>
      <c r="I1696" t="s">
        <v>6052</v>
      </c>
      <c r="J1696" t="s">
        <v>6055</v>
      </c>
      <c r="K1696" t="s">
        <v>6064</v>
      </c>
      <c r="L1696" t="s">
        <v>7609</v>
      </c>
      <c r="M1696">
        <v>1102.93</v>
      </c>
      <c r="N1696">
        <v>6</v>
      </c>
      <c r="O1696">
        <v>0.18</v>
      </c>
      <c r="P1696">
        <v>-2.8</v>
      </c>
      <c r="Q1696" t="s">
        <v>9897</v>
      </c>
      <c r="R1696">
        <v>6</v>
      </c>
      <c r="S1696" s="5">
        <f t="shared" si="52"/>
        <v>-2.538692392082906E-3</v>
      </c>
      <c r="T1696">
        <v>183.82166666666669</v>
      </c>
      <c r="U1696">
        <v>11</v>
      </c>
      <c r="V1696">
        <v>2022</v>
      </c>
      <c r="W1696">
        <v>4</v>
      </c>
      <c r="X1696" t="s">
        <v>9898</v>
      </c>
      <c r="Y1696" t="s">
        <v>9900</v>
      </c>
      <c r="Z1696" t="s">
        <v>9898</v>
      </c>
      <c r="AD1696">
        <f t="shared" si="53"/>
        <v>6</v>
      </c>
    </row>
    <row r="1697" spans="1:30" x14ac:dyDescent="0.25">
      <c r="A1697" t="s">
        <v>1721</v>
      </c>
      <c r="B1697" s="2">
        <v>45270</v>
      </c>
      <c r="C1697" s="2">
        <v>45277</v>
      </c>
      <c r="D1697" t="s">
        <v>5287</v>
      </c>
      <c r="E1697" t="s">
        <v>5787</v>
      </c>
      <c r="F1697" t="s">
        <v>6027</v>
      </c>
      <c r="G1697" t="s">
        <v>6031</v>
      </c>
      <c r="H1697" t="s">
        <v>6043</v>
      </c>
      <c r="I1697" t="s">
        <v>6052</v>
      </c>
      <c r="J1697" t="s">
        <v>6054</v>
      </c>
      <c r="K1697" t="s">
        <v>6060</v>
      </c>
      <c r="L1697" t="s">
        <v>7610</v>
      </c>
      <c r="M1697">
        <v>738.2</v>
      </c>
      <c r="N1697">
        <v>3</v>
      </c>
      <c r="O1697">
        <v>0.27</v>
      </c>
      <c r="P1697">
        <v>-19.55</v>
      </c>
      <c r="Q1697" t="s">
        <v>9895</v>
      </c>
      <c r="R1697">
        <v>7</v>
      </c>
      <c r="S1697" s="5">
        <f t="shared" si="52"/>
        <v>-2.6483337848821457E-2</v>
      </c>
      <c r="T1697">
        <v>246.06666666666669</v>
      </c>
      <c r="U1697">
        <v>12</v>
      </c>
      <c r="V1697">
        <v>2023</v>
      </c>
      <c r="W1697">
        <v>4</v>
      </c>
      <c r="X1697" t="s">
        <v>9898</v>
      </c>
      <c r="Y1697" t="s">
        <v>9900</v>
      </c>
      <c r="Z1697" t="s">
        <v>9899</v>
      </c>
      <c r="AD1697">
        <f t="shared" si="53"/>
        <v>7</v>
      </c>
    </row>
    <row r="1698" spans="1:30" x14ac:dyDescent="0.25">
      <c r="A1698" t="s">
        <v>1722</v>
      </c>
      <c r="B1698" s="2">
        <v>44613</v>
      </c>
      <c r="C1698" s="2">
        <v>44617</v>
      </c>
      <c r="D1698" t="s">
        <v>5029</v>
      </c>
      <c r="E1698" t="s">
        <v>5529</v>
      </c>
      <c r="F1698" t="s">
        <v>6028</v>
      </c>
      <c r="G1698" t="s">
        <v>6030</v>
      </c>
      <c r="H1698" t="s">
        <v>6035</v>
      </c>
      <c r="I1698" t="s">
        <v>6047</v>
      </c>
      <c r="J1698" t="s">
        <v>6055</v>
      </c>
      <c r="K1698" t="s">
        <v>6063</v>
      </c>
      <c r="L1698" t="s">
        <v>7611</v>
      </c>
      <c r="M1698">
        <v>1543.27</v>
      </c>
      <c r="N1698">
        <v>5</v>
      </c>
      <c r="O1698">
        <v>0.08</v>
      </c>
      <c r="P1698">
        <v>324.04000000000002</v>
      </c>
      <c r="Q1698" t="s">
        <v>9893</v>
      </c>
      <c r="R1698">
        <v>4</v>
      </c>
      <c r="S1698" s="5">
        <f t="shared" si="52"/>
        <v>0.20996973957894602</v>
      </c>
      <c r="T1698">
        <v>308.654</v>
      </c>
      <c r="U1698">
        <v>2</v>
      </c>
      <c r="V1698">
        <v>2022</v>
      </c>
      <c r="W1698">
        <v>1</v>
      </c>
      <c r="X1698" t="s">
        <v>9899</v>
      </c>
      <c r="Y1698" t="s">
        <v>9901</v>
      </c>
      <c r="Z1698" t="s">
        <v>9898</v>
      </c>
      <c r="AD1698">
        <f t="shared" si="53"/>
        <v>4</v>
      </c>
    </row>
    <row r="1699" spans="1:30" x14ac:dyDescent="0.25">
      <c r="A1699" t="s">
        <v>1723</v>
      </c>
      <c r="B1699" s="2">
        <v>45201</v>
      </c>
      <c r="C1699" s="2">
        <v>45204</v>
      </c>
      <c r="D1699" t="s">
        <v>5252</v>
      </c>
      <c r="E1699" t="s">
        <v>5752</v>
      </c>
      <c r="F1699" t="s">
        <v>6026</v>
      </c>
      <c r="G1699" t="s">
        <v>6031</v>
      </c>
      <c r="H1699" t="s">
        <v>6042</v>
      </c>
      <c r="I1699" t="s">
        <v>6052</v>
      </c>
      <c r="J1699" t="s">
        <v>6053</v>
      </c>
      <c r="K1699" t="s">
        <v>6058</v>
      </c>
      <c r="L1699" t="s">
        <v>6407</v>
      </c>
      <c r="M1699">
        <v>726.96</v>
      </c>
      <c r="N1699">
        <v>3</v>
      </c>
      <c r="O1699">
        <v>0.08</v>
      </c>
      <c r="P1699">
        <v>143.53</v>
      </c>
      <c r="Q1699" t="s">
        <v>9894</v>
      </c>
      <c r="R1699">
        <v>3</v>
      </c>
      <c r="S1699" s="5">
        <f t="shared" si="52"/>
        <v>0.19743864861890612</v>
      </c>
      <c r="T1699">
        <v>242.32</v>
      </c>
      <c r="U1699">
        <v>10</v>
      </c>
      <c r="V1699">
        <v>2023</v>
      </c>
      <c r="W1699">
        <v>4</v>
      </c>
      <c r="X1699" t="s">
        <v>9899</v>
      </c>
      <c r="Y1699" t="s">
        <v>9901</v>
      </c>
      <c r="Z1699" t="s">
        <v>9899</v>
      </c>
      <c r="AD1699">
        <f t="shared" si="53"/>
        <v>3</v>
      </c>
    </row>
    <row r="1700" spans="1:30" x14ac:dyDescent="0.25">
      <c r="A1700" t="s">
        <v>1724</v>
      </c>
      <c r="B1700" s="2">
        <v>45398</v>
      </c>
      <c r="C1700" s="2">
        <v>45401</v>
      </c>
      <c r="D1700" t="s">
        <v>5444</v>
      </c>
      <c r="E1700" t="s">
        <v>5944</v>
      </c>
      <c r="F1700" t="s">
        <v>6026</v>
      </c>
      <c r="G1700" t="s">
        <v>6030</v>
      </c>
      <c r="H1700" t="s">
        <v>6039</v>
      </c>
      <c r="I1700" t="s">
        <v>6051</v>
      </c>
      <c r="J1700" t="s">
        <v>6053</v>
      </c>
      <c r="K1700" t="s">
        <v>6058</v>
      </c>
      <c r="L1700" t="s">
        <v>7612</v>
      </c>
      <c r="M1700">
        <v>208.51</v>
      </c>
      <c r="N1700">
        <v>8</v>
      </c>
      <c r="O1700">
        <v>0.35</v>
      </c>
      <c r="P1700">
        <v>-45.6</v>
      </c>
      <c r="Q1700" t="s">
        <v>9896</v>
      </c>
      <c r="R1700">
        <v>3</v>
      </c>
      <c r="S1700" s="5">
        <f t="shared" si="52"/>
        <v>-0.21869454702412355</v>
      </c>
      <c r="T1700">
        <v>26.063749999999999</v>
      </c>
      <c r="U1700">
        <v>4</v>
      </c>
      <c r="V1700">
        <v>2024</v>
      </c>
      <c r="W1700">
        <v>2</v>
      </c>
      <c r="X1700" t="s">
        <v>9898</v>
      </c>
      <c r="Y1700" t="s">
        <v>9902</v>
      </c>
      <c r="Z1700" t="s">
        <v>9899</v>
      </c>
      <c r="AD1700">
        <f t="shared" si="53"/>
        <v>3</v>
      </c>
    </row>
    <row r="1701" spans="1:30" x14ac:dyDescent="0.25">
      <c r="A1701" t="s">
        <v>1725</v>
      </c>
      <c r="B1701" s="2">
        <v>45234</v>
      </c>
      <c r="C1701" s="2">
        <v>45236</v>
      </c>
      <c r="D1701" t="s">
        <v>5159</v>
      </c>
      <c r="E1701" t="s">
        <v>5659</v>
      </c>
      <c r="F1701" t="s">
        <v>6027</v>
      </c>
      <c r="G1701" t="s">
        <v>6030</v>
      </c>
      <c r="H1701" t="s">
        <v>6038</v>
      </c>
      <c r="I1701" t="s">
        <v>6047</v>
      </c>
      <c r="J1701" t="s">
        <v>6055</v>
      </c>
      <c r="K1701" t="s">
        <v>6063</v>
      </c>
      <c r="L1701" t="s">
        <v>7613</v>
      </c>
      <c r="M1701">
        <v>1079.3399999999999</v>
      </c>
      <c r="N1701">
        <v>6</v>
      </c>
      <c r="O1701">
        <v>0.01</v>
      </c>
      <c r="P1701">
        <v>188.36</v>
      </c>
      <c r="Q1701" t="s">
        <v>9896</v>
      </c>
      <c r="R1701">
        <v>2</v>
      </c>
      <c r="S1701" s="5">
        <f t="shared" si="52"/>
        <v>0.17451405488539296</v>
      </c>
      <c r="T1701">
        <v>179.89</v>
      </c>
      <c r="U1701">
        <v>11</v>
      </c>
      <c r="V1701">
        <v>2023</v>
      </c>
      <c r="W1701">
        <v>4</v>
      </c>
      <c r="X1701" t="s">
        <v>9899</v>
      </c>
      <c r="Y1701" t="s">
        <v>9901</v>
      </c>
      <c r="Z1701" t="s">
        <v>9898</v>
      </c>
      <c r="AD1701">
        <f t="shared" si="53"/>
        <v>2</v>
      </c>
    </row>
    <row r="1702" spans="1:30" x14ac:dyDescent="0.25">
      <c r="A1702" t="s">
        <v>1726</v>
      </c>
      <c r="B1702" s="2">
        <v>45398</v>
      </c>
      <c r="C1702" s="2">
        <v>45404</v>
      </c>
      <c r="D1702" t="s">
        <v>5138</v>
      </c>
      <c r="E1702" t="s">
        <v>5638</v>
      </c>
      <c r="F1702" t="s">
        <v>6027</v>
      </c>
      <c r="G1702" t="s">
        <v>6031</v>
      </c>
      <c r="H1702" t="s">
        <v>6043</v>
      </c>
      <c r="I1702" t="s">
        <v>6050</v>
      </c>
      <c r="J1702" t="s">
        <v>6053</v>
      </c>
      <c r="K1702" t="s">
        <v>6058</v>
      </c>
      <c r="L1702" t="s">
        <v>7614</v>
      </c>
      <c r="M1702">
        <v>325.48</v>
      </c>
      <c r="N1702">
        <v>1</v>
      </c>
      <c r="O1702">
        <v>0.26</v>
      </c>
      <c r="P1702">
        <v>-17.57</v>
      </c>
      <c r="Q1702" t="s">
        <v>9895</v>
      </c>
      <c r="R1702">
        <v>6</v>
      </c>
      <c r="S1702" s="5">
        <f t="shared" si="52"/>
        <v>-5.3981811478431854E-2</v>
      </c>
      <c r="T1702">
        <v>325.48</v>
      </c>
      <c r="U1702">
        <v>4</v>
      </c>
      <c r="V1702">
        <v>2024</v>
      </c>
      <c r="W1702">
        <v>2</v>
      </c>
      <c r="X1702" t="s">
        <v>9898</v>
      </c>
      <c r="Y1702" t="s">
        <v>9900</v>
      </c>
      <c r="Z1702" t="s">
        <v>9899</v>
      </c>
      <c r="AD1702">
        <f t="shared" si="53"/>
        <v>6</v>
      </c>
    </row>
    <row r="1703" spans="1:30" x14ac:dyDescent="0.25">
      <c r="A1703" t="s">
        <v>1727</v>
      </c>
      <c r="B1703" s="2">
        <v>44962</v>
      </c>
      <c r="C1703" s="2">
        <v>44968</v>
      </c>
      <c r="D1703" t="s">
        <v>5337</v>
      </c>
      <c r="E1703" t="s">
        <v>5837</v>
      </c>
      <c r="F1703" t="s">
        <v>6027</v>
      </c>
      <c r="G1703" t="s">
        <v>6031</v>
      </c>
      <c r="H1703" t="s">
        <v>6037</v>
      </c>
      <c r="I1703" t="s">
        <v>6048</v>
      </c>
      <c r="J1703" t="s">
        <v>6055</v>
      </c>
      <c r="K1703" t="s">
        <v>6064</v>
      </c>
      <c r="L1703" t="s">
        <v>7615</v>
      </c>
      <c r="M1703">
        <v>984.7</v>
      </c>
      <c r="N1703">
        <v>6</v>
      </c>
      <c r="O1703">
        <v>0.02</v>
      </c>
      <c r="P1703">
        <v>243.85</v>
      </c>
      <c r="Q1703" t="s">
        <v>9893</v>
      </c>
      <c r="R1703">
        <v>6</v>
      </c>
      <c r="S1703" s="5">
        <f t="shared" si="52"/>
        <v>0.24763887478419822</v>
      </c>
      <c r="T1703">
        <v>164.1166666666667</v>
      </c>
      <c r="U1703">
        <v>2</v>
      </c>
      <c r="V1703">
        <v>2023</v>
      </c>
      <c r="W1703">
        <v>1</v>
      </c>
      <c r="X1703" t="s">
        <v>9899</v>
      </c>
      <c r="Y1703" t="s">
        <v>9901</v>
      </c>
      <c r="Z1703" t="s">
        <v>9899</v>
      </c>
      <c r="AD1703">
        <f t="shared" si="53"/>
        <v>6</v>
      </c>
    </row>
    <row r="1704" spans="1:30" x14ac:dyDescent="0.25">
      <c r="A1704" t="s">
        <v>1728</v>
      </c>
      <c r="B1704" s="2">
        <v>44702</v>
      </c>
      <c r="C1704" s="2">
        <v>44704</v>
      </c>
      <c r="D1704" t="s">
        <v>5188</v>
      </c>
      <c r="E1704" t="s">
        <v>5688</v>
      </c>
      <c r="F1704" t="s">
        <v>6026</v>
      </c>
      <c r="G1704" t="s">
        <v>6031</v>
      </c>
      <c r="H1704" t="s">
        <v>6042</v>
      </c>
      <c r="I1704" t="s">
        <v>6052</v>
      </c>
      <c r="J1704" t="s">
        <v>6053</v>
      </c>
      <c r="K1704" t="s">
        <v>6058</v>
      </c>
      <c r="L1704" t="s">
        <v>7616</v>
      </c>
      <c r="M1704">
        <v>306.42</v>
      </c>
      <c r="N1704">
        <v>6</v>
      </c>
      <c r="O1704">
        <v>0.28999999999999998</v>
      </c>
      <c r="P1704">
        <v>-8.0399999999999991</v>
      </c>
      <c r="Q1704" t="s">
        <v>9896</v>
      </c>
      <c r="R1704">
        <v>2</v>
      </c>
      <c r="S1704" s="5">
        <f t="shared" si="52"/>
        <v>-2.6238496181711372E-2</v>
      </c>
      <c r="T1704">
        <v>51.07</v>
      </c>
      <c r="U1704">
        <v>5</v>
      </c>
      <c r="V1704">
        <v>2022</v>
      </c>
      <c r="W1704">
        <v>2</v>
      </c>
      <c r="X1704" t="s">
        <v>9898</v>
      </c>
      <c r="Y1704" t="s">
        <v>9900</v>
      </c>
      <c r="Z1704" t="s">
        <v>9899</v>
      </c>
      <c r="AD1704">
        <f t="shared" si="53"/>
        <v>2</v>
      </c>
    </row>
    <row r="1705" spans="1:30" x14ac:dyDescent="0.25">
      <c r="A1705" t="s">
        <v>1729</v>
      </c>
      <c r="B1705" s="2">
        <v>45340</v>
      </c>
      <c r="C1705" s="2">
        <v>45346</v>
      </c>
      <c r="D1705" t="s">
        <v>5317</v>
      </c>
      <c r="E1705" t="s">
        <v>5817</v>
      </c>
      <c r="F1705" t="s">
        <v>6027</v>
      </c>
      <c r="G1705" t="s">
        <v>6029</v>
      </c>
      <c r="H1705" t="s">
        <v>6044</v>
      </c>
      <c r="I1705" t="s">
        <v>6049</v>
      </c>
      <c r="J1705" t="s">
        <v>6055</v>
      </c>
      <c r="K1705" t="s">
        <v>6064</v>
      </c>
      <c r="L1705" t="s">
        <v>7617</v>
      </c>
      <c r="M1705">
        <v>641.29</v>
      </c>
      <c r="N1705">
        <v>3</v>
      </c>
      <c r="O1705">
        <v>0.15</v>
      </c>
      <c r="P1705">
        <v>-10.09</v>
      </c>
      <c r="Q1705" t="s">
        <v>9896</v>
      </c>
      <c r="R1705">
        <v>6</v>
      </c>
      <c r="S1705" s="5">
        <f t="shared" si="52"/>
        <v>-1.5733911334965461E-2</v>
      </c>
      <c r="T1705">
        <v>213.76333333333329</v>
      </c>
      <c r="U1705">
        <v>2</v>
      </c>
      <c r="V1705">
        <v>2024</v>
      </c>
      <c r="W1705">
        <v>1</v>
      </c>
      <c r="X1705" t="s">
        <v>9898</v>
      </c>
      <c r="Y1705" t="s">
        <v>9901</v>
      </c>
      <c r="Z1705" t="s">
        <v>9899</v>
      </c>
      <c r="AD1705">
        <f t="shared" si="53"/>
        <v>6</v>
      </c>
    </row>
    <row r="1706" spans="1:30" x14ac:dyDescent="0.25">
      <c r="A1706" t="s">
        <v>1730</v>
      </c>
      <c r="B1706" s="2">
        <v>45041</v>
      </c>
      <c r="C1706" s="2">
        <v>45048</v>
      </c>
      <c r="D1706" t="s">
        <v>5052</v>
      </c>
      <c r="E1706" t="s">
        <v>5552</v>
      </c>
      <c r="F1706" t="s">
        <v>6028</v>
      </c>
      <c r="G1706" t="s">
        <v>6029</v>
      </c>
      <c r="H1706" t="s">
        <v>6044</v>
      </c>
      <c r="I1706" t="s">
        <v>6049</v>
      </c>
      <c r="J1706" t="s">
        <v>6055</v>
      </c>
      <c r="K1706" t="s">
        <v>6064</v>
      </c>
      <c r="L1706" t="s">
        <v>7618</v>
      </c>
      <c r="M1706">
        <v>476.29</v>
      </c>
      <c r="N1706">
        <v>4</v>
      </c>
      <c r="O1706">
        <v>0.3</v>
      </c>
      <c r="P1706">
        <v>-35.86</v>
      </c>
      <c r="Q1706" t="s">
        <v>9893</v>
      </c>
      <c r="R1706">
        <v>7</v>
      </c>
      <c r="S1706" s="5">
        <f t="shared" si="52"/>
        <v>-7.5290264334754026E-2</v>
      </c>
      <c r="T1706">
        <v>119.07250000000001</v>
      </c>
      <c r="U1706">
        <v>4</v>
      </c>
      <c r="V1706">
        <v>2023</v>
      </c>
      <c r="W1706">
        <v>2</v>
      </c>
      <c r="X1706" t="s">
        <v>9898</v>
      </c>
      <c r="Y1706" t="s">
        <v>9900</v>
      </c>
      <c r="Z1706" t="s">
        <v>9899</v>
      </c>
      <c r="AD1706">
        <f t="shared" si="53"/>
        <v>7</v>
      </c>
    </row>
    <row r="1707" spans="1:30" x14ac:dyDescent="0.25">
      <c r="A1707" t="s">
        <v>1731</v>
      </c>
      <c r="B1707" s="2">
        <v>45070</v>
      </c>
      <c r="C1707" s="2">
        <v>45074</v>
      </c>
      <c r="D1707" t="s">
        <v>5356</v>
      </c>
      <c r="E1707" t="s">
        <v>5856</v>
      </c>
      <c r="F1707" t="s">
        <v>6026</v>
      </c>
      <c r="G1707" t="s">
        <v>6031</v>
      </c>
      <c r="H1707" t="s">
        <v>6037</v>
      </c>
      <c r="I1707" t="s">
        <v>6048</v>
      </c>
      <c r="J1707" t="s">
        <v>6054</v>
      </c>
      <c r="K1707" t="s">
        <v>6059</v>
      </c>
      <c r="L1707" t="s">
        <v>7619</v>
      </c>
      <c r="M1707">
        <v>266.02999999999997</v>
      </c>
      <c r="N1707">
        <v>1</v>
      </c>
      <c r="O1707">
        <v>0.32</v>
      </c>
      <c r="P1707">
        <v>-14.06</v>
      </c>
      <c r="Q1707" t="s">
        <v>9896</v>
      </c>
      <c r="R1707">
        <v>4</v>
      </c>
      <c r="S1707" s="5">
        <f t="shared" si="52"/>
        <v>-5.285118219749653E-2</v>
      </c>
      <c r="T1707">
        <v>266.02999999999997</v>
      </c>
      <c r="U1707">
        <v>5</v>
      </c>
      <c r="V1707">
        <v>2023</v>
      </c>
      <c r="W1707">
        <v>2</v>
      </c>
      <c r="X1707" t="s">
        <v>9898</v>
      </c>
      <c r="Y1707" t="s">
        <v>9902</v>
      </c>
      <c r="Z1707" t="s">
        <v>9899</v>
      </c>
      <c r="AD1707">
        <f t="shared" si="53"/>
        <v>4</v>
      </c>
    </row>
    <row r="1708" spans="1:30" x14ac:dyDescent="0.25">
      <c r="A1708" t="s">
        <v>1732</v>
      </c>
      <c r="B1708" s="2">
        <v>44836</v>
      </c>
      <c r="C1708" s="2">
        <v>44839</v>
      </c>
      <c r="D1708" t="s">
        <v>5304</v>
      </c>
      <c r="E1708" t="s">
        <v>5804</v>
      </c>
      <c r="F1708" t="s">
        <v>6026</v>
      </c>
      <c r="G1708" t="s">
        <v>6029</v>
      </c>
      <c r="H1708" t="s">
        <v>6045</v>
      </c>
      <c r="I1708" t="s">
        <v>6046</v>
      </c>
      <c r="J1708" t="s">
        <v>6054</v>
      </c>
      <c r="K1708" t="s">
        <v>6062</v>
      </c>
      <c r="L1708" t="s">
        <v>7620</v>
      </c>
      <c r="M1708">
        <v>1889.68</v>
      </c>
      <c r="N1708">
        <v>2</v>
      </c>
      <c r="O1708">
        <v>0.21</v>
      </c>
      <c r="P1708">
        <v>-151.09</v>
      </c>
      <c r="Q1708" t="s">
        <v>9896</v>
      </c>
      <c r="R1708">
        <v>3</v>
      </c>
      <c r="S1708" s="5">
        <f t="shared" si="52"/>
        <v>-7.9955336353244991E-2</v>
      </c>
      <c r="T1708">
        <v>944.84</v>
      </c>
      <c r="U1708">
        <v>10</v>
      </c>
      <c r="V1708">
        <v>2022</v>
      </c>
      <c r="W1708">
        <v>4</v>
      </c>
      <c r="X1708" t="s">
        <v>9898</v>
      </c>
      <c r="Y1708" t="s">
        <v>9900</v>
      </c>
      <c r="Z1708" t="s">
        <v>9898</v>
      </c>
      <c r="AD1708">
        <f t="shared" si="53"/>
        <v>3</v>
      </c>
    </row>
    <row r="1709" spans="1:30" x14ac:dyDescent="0.25">
      <c r="A1709" t="s">
        <v>1733</v>
      </c>
      <c r="B1709" s="2">
        <v>44583</v>
      </c>
      <c r="C1709" s="2">
        <v>44590</v>
      </c>
      <c r="D1709" t="s">
        <v>5361</v>
      </c>
      <c r="E1709" t="s">
        <v>5861</v>
      </c>
      <c r="F1709" t="s">
        <v>6027</v>
      </c>
      <c r="G1709" t="s">
        <v>6031</v>
      </c>
      <c r="H1709" t="s">
        <v>6043</v>
      </c>
      <c r="I1709" t="s">
        <v>6050</v>
      </c>
      <c r="J1709" t="s">
        <v>6054</v>
      </c>
      <c r="K1709" t="s">
        <v>6060</v>
      </c>
      <c r="L1709" t="s">
        <v>7621</v>
      </c>
      <c r="M1709">
        <v>311.14</v>
      </c>
      <c r="N1709">
        <v>6</v>
      </c>
      <c r="O1709">
        <v>0.27</v>
      </c>
      <c r="P1709">
        <v>-50.9</v>
      </c>
      <c r="Q1709" t="s">
        <v>9894</v>
      </c>
      <c r="R1709">
        <v>7</v>
      </c>
      <c r="S1709" s="5">
        <f t="shared" si="52"/>
        <v>-0.16359195217586939</v>
      </c>
      <c r="T1709">
        <v>51.856666666666662</v>
      </c>
      <c r="U1709">
        <v>1</v>
      </c>
      <c r="V1709">
        <v>2022</v>
      </c>
      <c r="W1709">
        <v>1</v>
      </c>
      <c r="X1709" t="s">
        <v>9898</v>
      </c>
      <c r="Y1709" t="s">
        <v>9900</v>
      </c>
      <c r="Z1709" t="s">
        <v>9899</v>
      </c>
      <c r="AD1709">
        <f t="shared" si="53"/>
        <v>7</v>
      </c>
    </row>
    <row r="1710" spans="1:30" x14ac:dyDescent="0.25">
      <c r="A1710" t="s">
        <v>1734</v>
      </c>
      <c r="B1710" s="2">
        <v>45103</v>
      </c>
      <c r="C1710" s="2">
        <v>45104</v>
      </c>
      <c r="D1710" t="s">
        <v>5171</v>
      </c>
      <c r="E1710" t="s">
        <v>5671</v>
      </c>
      <c r="F1710" t="s">
        <v>6028</v>
      </c>
      <c r="G1710" t="s">
        <v>6029</v>
      </c>
      <c r="H1710" t="s">
        <v>6032</v>
      </c>
      <c r="I1710" t="s">
        <v>6050</v>
      </c>
      <c r="J1710" t="s">
        <v>6053</v>
      </c>
      <c r="K1710" t="s">
        <v>6056</v>
      </c>
      <c r="L1710" t="s">
        <v>7622</v>
      </c>
      <c r="M1710">
        <v>1434.02</v>
      </c>
      <c r="N1710">
        <v>1</v>
      </c>
      <c r="O1710">
        <v>0.16</v>
      </c>
      <c r="P1710">
        <v>99.91</v>
      </c>
      <c r="Q1710" t="s">
        <v>9897</v>
      </c>
      <c r="R1710">
        <v>1</v>
      </c>
      <c r="S1710" s="5">
        <f t="shared" si="52"/>
        <v>6.9671273761872224E-2</v>
      </c>
      <c r="T1710">
        <v>1434.02</v>
      </c>
      <c r="U1710">
        <v>6</v>
      </c>
      <c r="V1710">
        <v>2023</v>
      </c>
      <c r="W1710">
        <v>2</v>
      </c>
      <c r="X1710" t="s">
        <v>9899</v>
      </c>
      <c r="Y1710" t="s">
        <v>9900</v>
      </c>
      <c r="Z1710" t="s">
        <v>9898</v>
      </c>
      <c r="AD1710">
        <f t="shared" si="53"/>
        <v>1</v>
      </c>
    </row>
    <row r="1711" spans="1:30" x14ac:dyDescent="0.25">
      <c r="A1711" t="s">
        <v>1735</v>
      </c>
      <c r="B1711" s="2">
        <v>44680</v>
      </c>
      <c r="C1711" s="2">
        <v>44681</v>
      </c>
      <c r="D1711" t="s">
        <v>5417</v>
      </c>
      <c r="E1711" t="s">
        <v>5917</v>
      </c>
      <c r="F1711" t="s">
        <v>6026</v>
      </c>
      <c r="G1711" t="s">
        <v>6030</v>
      </c>
      <c r="H1711" t="s">
        <v>6033</v>
      </c>
      <c r="I1711" t="s">
        <v>6047</v>
      </c>
      <c r="J1711" t="s">
        <v>6055</v>
      </c>
      <c r="K1711" t="s">
        <v>6063</v>
      </c>
      <c r="L1711" t="s">
        <v>7623</v>
      </c>
      <c r="M1711">
        <v>1986.41</v>
      </c>
      <c r="N1711">
        <v>3</v>
      </c>
      <c r="O1711">
        <v>0.34</v>
      </c>
      <c r="P1711">
        <v>-435.4</v>
      </c>
      <c r="Q1711" t="s">
        <v>9895</v>
      </c>
      <c r="R1711">
        <v>1</v>
      </c>
      <c r="S1711" s="5">
        <f t="shared" si="52"/>
        <v>-0.21918939191808334</v>
      </c>
      <c r="T1711">
        <v>662.13666666666666</v>
      </c>
      <c r="U1711">
        <v>4</v>
      </c>
      <c r="V1711">
        <v>2022</v>
      </c>
      <c r="W1711">
        <v>2</v>
      </c>
      <c r="X1711" t="s">
        <v>9898</v>
      </c>
      <c r="Y1711" t="s">
        <v>9902</v>
      </c>
      <c r="Z1711" t="s">
        <v>9898</v>
      </c>
      <c r="AD1711">
        <f t="shared" si="53"/>
        <v>1</v>
      </c>
    </row>
    <row r="1712" spans="1:30" x14ac:dyDescent="0.25">
      <c r="A1712" t="s">
        <v>1736</v>
      </c>
      <c r="B1712" s="2">
        <v>45030</v>
      </c>
      <c r="C1712" s="2">
        <v>45036</v>
      </c>
      <c r="D1712" t="s">
        <v>5056</v>
      </c>
      <c r="E1712" t="s">
        <v>5556</v>
      </c>
      <c r="F1712" t="s">
        <v>6026</v>
      </c>
      <c r="G1712" t="s">
        <v>6031</v>
      </c>
      <c r="H1712" t="s">
        <v>6034</v>
      </c>
      <c r="I1712" t="s">
        <v>6052</v>
      </c>
      <c r="J1712" t="s">
        <v>6053</v>
      </c>
      <c r="K1712" t="s">
        <v>6057</v>
      </c>
      <c r="L1712" t="s">
        <v>6542</v>
      </c>
      <c r="M1712">
        <v>1809.74</v>
      </c>
      <c r="N1712">
        <v>8</v>
      </c>
      <c r="O1712">
        <v>0.28000000000000003</v>
      </c>
      <c r="P1712">
        <v>-196.51</v>
      </c>
      <c r="Q1712" t="s">
        <v>9897</v>
      </c>
      <c r="R1712">
        <v>6</v>
      </c>
      <c r="S1712" s="5">
        <f t="shared" si="52"/>
        <v>-0.1085846585697393</v>
      </c>
      <c r="T1712">
        <v>226.2175</v>
      </c>
      <c r="U1712">
        <v>4</v>
      </c>
      <c r="V1712">
        <v>2023</v>
      </c>
      <c r="W1712">
        <v>2</v>
      </c>
      <c r="X1712" t="s">
        <v>9898</v>
      </c>
      <c r="Y1712" t="s">
        <v>9900</v>
      </c>
      <c r="Z1712" t="s">
        <v>9898</v>
      </c>
      <c r="AD1712">
        <f t="shared" si="53"/>
        <v>6</v>
      </c>
    </row>
    <row r="1713" spans="1:30" x14ac:dyDescent="0.25">
      <c r="A1713" t="s">
        <v>1737</v>
      </c>
      <c r="B1713" s="2">
        <v>44797</v>
      </c>
      <c r="C1713" s="2">
        <v>44799</v>
      </c>
      <c r="D1713" t="s">
        <v>5079</v>
      </c>
      <c r="E1713" t="s">
        <v>5579</v>
      </c>
      <c r="F1713" t="s">
        <v>6028</v>
      </c>
      <c r="G1713" t="s">
        <v>6029</v>
      </c>
      <c r="H1713" t="s">
        <v>6036</v>
      </c>
      <c r="I1713" t="s">
        <v>6046</v>
      </c>
      <c r="J1713" t="s">
        <v>6055</v>
      </c>
      <c r="K1713" t="s">
        <v>6061</v>
      </c>
      <c r="L1713" t="s">
        <v>7624</v>
      </c>
      <c r="M1713">
        <v>1989.49</v>
      </c>
      <c r="N1713">
        <v>1</v>
      </c>
      <c r="O1713">
        <v>0.11</v>
      </c>
      <c r="P1713">
        <v>295.17</v>
      </c>
      <c r="Q1713" t="s">
        <v>9893</v>
      </c>
      <c r="R1713">
        <v>2</v>
      </c>
      <c r="S1713" s="5">
        <f t="shared" si="52"/>
        <v>0.148364656268692</v>
      </c>
      <c r="T1713">
        <v>1989.49</v>
      </c>
      <c r="U1713">
        <v>8</v>
      </c>
      <c r="V1713">
        <v>2022</v>
      </c>
      <c r="W1713">
        <v>3</v>
      </c>
      <c r="X1713" t="s">
        <v>9899</v>
      </c>
      <c r="Y1713" t="s">
        <v>9901</v>
      </c>
      <c r="Z1713" t="s">
        <v>9898</v>
      </c>
      <c r="AD1713">
        <f t="shared" si="53"/>
        <v>2</v>
      </c>
    </row>
    <row r="1714" spans="1:30" x14ac:dyDescent="0.25">
      <c r="A1714" t="s">
        <v>1738</v>
      </c>
      <c r="B1714" s="2">
        <v>45045</v>
      </c>
      <c r="C1714" s="2">
        <v>45048</v>
      </c>
      <c r="D1714" t="s">
        <v>5458</v>
      </c>
      <c r="E1714" t="s">
        <v>5958</v>
      </c>
      <c r="F1714" t="s">
        <v>6028</v>
      </c>
      <c r="G1714" t="s">
        <v>6031</v>
      </c>
      <c r="H1714" t="s">
        <v>6043</v>
      </c>
      <c r="I1714" t="s">
        <v>6050</v>
      </c>
      <c r="J1714" t="s">
        <v>6055</v>
      </c>
      <c r="K1714" t="s">
        <v>6063</v>
      </c>
      <c r="L1714" t="s">
        <v>7625</v>
      </c>
      <c r="M1714">
        <v>817.38</v>
      </c>
      <c r="N1714">
        <v>5</v>
      </c>
      <c r="O1714">
        <v>0.25</v>
      </c>
      <c r="P1714">
        <v>-30.95</v>
      </c>
      <c r="Q1714" t="s">
        <v>9895</v>
      </c>
      <c r="R1714">
        <v>3</v>
      </c>
      <c r="S1714" s="5">
        <f t="shared" si="52"/>
        <v>-3.7864885365435905E-2</v>
      </c>
      <c r="T1714">
        <v>163.476</v>
      </c>
      <c r="U1714">
        <v>4</v>
      </c>
      <c r="V1714">
        <v>2023</v>
      </c>
      <c r="W1714">
        <v>2</v>
      </c>
      <c r="X1714" t="s">
        <v>9898</v>
      </c>
      <c r="Y1714" t="s">
        <v>9900</v>
      </c>
      <c r="Z1714" t="s">
        <v>9899</v>
      </c>
      <c r="AD1714">
        <f t="shared" si="53"/>
        <v>3</v>
      </c>
    </row>
    <row r="1715" spans="1:30" x14ac:dyDescent="0.25">
      <c r="A1715" t="s">
        <v>1739</v>
      </c>
      <c r="B1715" s="2">
        <v>45136</v>
      </c>
      <c r="C1715" s="2">
        <v>45138</v>
      </c>
      <c r="D1715" t="s">
        <v>5072</v>
      </c>
      <c r="E1715" t="s">
        <v>5572</v>
      </c>
      <c r="F1715" t="s">
        <v>6028</v>
      </c>
      <c r="G1715" t="s">
        <v>6029</v>
      </c>
      <c r="H1715" t="s">
        <v>6045</v>
      </c>
      <c r="I1715" t="s">
        <v>6046</v>
      </c>
      <c r="J1715" t="s">
        <v>6055</v>
      </c>
      <c r="K1715" t="s">
        <v>6061</v>
      </c>
      <c r="L1715" t="s">
        <v>7626</v>
      </c>
      <c r="M1715">
        <v>1622.35</v>
      </c>
      <c r="N1715">
        <v>8</v>
      </c>
      <c r="O1715">
        <v>0.23</v>
      </c>
      <c r="P1715">
        <v>63.89</v>
      </c>
      <c r="Q1715" t="s">
        <v>9895</v>
      </c>
      <c r="R1715">
        <v>2</v>
      </c>
      <c r="S1715" s="5">
        <f t="shared" si="52"/>
        <v>3.9381144635867726E-2</v>
      </c>
      <c r="T1715">
        <v>202.79374999999999</v>
      </c>
      <c r="U1715">
        <v>7</v>
      </c>
      <c r="V1715">
        <v>2023</v>
      </c>
      <c r="W1715">
        <v>3</v>
      </c>
      <c r="X1715" t="s">
        <v>9899</v>
      </c>
      <c r="Y1715" t="s">
        <v>9900</v>
      </c>
      <c r="Z1715" t="s">
        <v>9898</v>
      </c>
      <c r="AD1715">
        <f t="shared" si="53"/>
        <v>2</v>
      </c>
    </row>
    <row r="1716" spans="1:30" x14ac:dyDescent="0.25">
      <c r="A1716" t="s">
        <v>1740</v>
      </c>
      <c r="B1716" s="2">
        <v>44772</v>
      </c>
      <c r="C1716" s="2">
        <v>44777</v>
      </c>
      <c r="D1716" t="s">
        <v>5327</v>
      </c>
      <c r="E1716" t="s">
        <v>5827</v>
      </c>
      <c r="F1716" t="s">
        <v>6027</v>
      </c>
      <c r="G1716" t="s">
        <v>6031</v>
      </c>
      <c r="H1716" t="s">
        <v>6037</v>
      </c>
      <c r="I1716" t="s">
        <v>6052</v>
      </c>
      <c r="J1716" t="s">
        <v>6053</v>
      </c>
      <c r="K1716" t="s">
        <v>6057</v>
      </c>
      <c r="L1716" t="s">
        <v>7627</v>
      </c>
      <c r="M1716">
        <v>522.64</v>
      </c>
      <c r="N1716">
        <v>1</v>
      </c>
      <c r="O1716">
        <v>0.19</v>
      </c>
      <c r="P1716">
        <v>42.03</v>
      </c>
      <c r="Q1716" t="s">
        <v>9894</v>
      </c>
      <c r="R1716">
        <v>5</v>
      </c>
      <c r="S1716" s="5">
        <f t="shared" si="52"/>
        <v>8.0418643808357573E-2</v>
      </c>
      <c r="T1716">
        <v>522.64</v>
      </c>
      <c r="U1716">
        <v>7</v>
      </c>
      <c r="V1716">
        <v>2022</v>
      </c>
      <c r="W1716">
        <v>3</v>
      </c>
      <c r="X1716" t="s">
        <v>9899</v>
      </c>
      <c r="Y1716" t="s">
        <v>9900</v>
      </c>
      <c r="Z1716" t="s">
        <v>9899</v>
      </c>
      <c r="AD1716">
        <f t="shared" si="53"/>
        <v>5</v>
      </c>
    </row>
    <row r="1717" spans="1:30" x14ac:dyDescent="0.25">
      <c r="A1717" t="s">
        <v>1741</v>
      </c>
      <c r="B1717" s="2">
        <v>44578</v>
      </c>
      <c r="C1717" s="2">
        <v>44581</v>
      </c>
      <c r="D1717" t="s">
        <v>5372</v>
      </c>
      <c r="E1717" t="s">
        <v>5872</v>
      </c>
      <c r="F1717" t="s">
        <v>6027</v>
      </c>
      <c r="G1717" t="s">
        <v>6031</v>
      </c>
      <c r="H1717" t="s">
        <v>6043</v>
      </c>
      <c r="I1717" t="s">
        <v>6052</v>
      </c>
      <c r="J1717" t="s">
        <v>6053</v>
      </c>
      <c r="K1717" t="s">
        <v>6058</v>
      </c>
      <c r="L1717" t="s">
        <v>7628</v>
      </c>
      <c r="M1717">
        <v>1185.4000000000001</v>
      </c>
      <c r="N1717">
        <v>1</v>
      </c>
      <c r="O1717">
        <v>0.2</v>
      </c>
      <c r="P1717">
        <v>-1.45</v>
      </c>
      <c r="Q1717" t="s">
        <v>9897</v>
      </c>
      <c r="R1717">
        <v>3</v>
      </c>
      <c r="S1717" s="5">
        <f t="shared" si="52"/>
        <v>-1.2232157921376748E-3</v>
      </c>
      <c r="T1717">
        <v>1185.4000000000001</v>
      </c>
      <c r="U1717">
        <v>1</v>
      </c>
      <c r="V1717">
        <v>2022</v>
      </c>
      <c r="W1717">
        <v>1</v>
      </c>
      <c r="X1717" t="s">
        <v>9898</v>
      </c>
      <c r="Y1717" t="s">
        <v>9900</v>
      </c>
      <c r="Z1717" t="s">
        <v>9898</v>
      </c>
      <c r="AD1717">
        <f t="shared" si="53"/>
        <v>3</v>
      </c>
    </row>
    <row r="1718" spans="1:30" x14ac:dyDescent="0.25">
      <c r="A1718" t="s">
        <v>1742</v>
      </c>
      <c r="B1718" s="2">
        <v>45452</v>
      </c>
      <c r="C1718" s="2">
        <v>45453</v>
      </c>
      <c r="D1718" t="s">
        <v>5098</v>
      </c>
      <c r="E1718" t="s">
        <v>5598</v>
      </c>
      <c r="F1718" t="s">
        <v>6027</v>
      </c>
      <c r="G1718" t="s">
        <v>6030</v>
      </c>
      <c r="H1718" t="s">
        <v>6039</v>
      </c>
      <c r="I1718" t="s">
        <v>6051</v>
      </c>
      <c r="J1718" t="s">
        <v>6055</v>
      </c>
      <c r="K1718" t="s">
        <v>6063</v>
      </c>
      <c r="L1718" t="s">
        <v>7629</v>
      </c>
      <c r="M1718">
        <v>824.5</v>
      </c>
      <c r="N1718">
        <v>8</v>
      </c>
      <c r="O1718">
        <v>0.04</v>
      </c>
      <c r="P1718">
        <v>210.78</v>
      </c>
      <c r="Q1718" t="s">
        <v>9893</v>
      </c>
      <c r="R1718">
        <v>1</v>
      </c>
      <c r="S1718" s="5">
        <f t="shared" si="52"/>
        <v>0.25564584596725287</v>
      </c>
      <c r="T1718">
        <v>103.0625</v>
      </c>
      <c r="U1718">
        <v>6</v>
      </c>
      <c r="V1718">
        <v>2024</v>
      </c>
      <c r="W1718">
        <v>2</v>
      </c>
      <c r="X1718" t="s">
        <v>9899</v>
      </c>
      <c r="Y1718" t="s">
        <v>9901</v>
      </c>
      <c r="Z1718" t="s">
        <v>9899</v>
      </c>
      <c r="AD1718">
        <f t="shared" si="53"/>
        <v>1</v>
      </c>
    </row>
    <row r="1719" spans="1:30" x14ac:dyDescent="0.25">
      <c r="A1719" t="s">
        <v>1743</v>
      </c>
      <c r="B1719" s="2">
        <v>44798</v>
      </c>
      <c r="C1719" s="2">
        <v>44802</v>
      </c>
      <c r="D1719" t="s">
        <v>5204</v>
      </c>
      <c r="E1719" t="s">
        <v>5704</v>
      </c>
      <c r="F1719" t="s">
        <v>6028</v>
      </c>
      <c r="G1719" t="s">
        <v>6029</v>
      </c>
      <c r="H1719" t="s">
        <v>6032</v>
      </c>
      <c r="I1719" t="s">
        <v>6050</v>
      </c>
      <c r="J1719" t="s">
        <v>6053</v>
      </c>
      <c r="K1719" t="s">
        <v>6057</v>
      </c>
      <c r="L1719" t="s">
        <v>7630</v>
      </c>
      <c r="M1719">
        <v>281.66000000000003</v>
      </c>
      <c r="N1719">
        <v>7</v>
      </c>
      <c r="O1719">
        <v>0.1</v>
      </c>
      <c r="P1719">
        <v>45.56</v>
      </c>
      <c r="Q1719" t="s">
        <v>9896</v>
      </c>
      <c r="R1719">
        <v>4</v>
      </c>
      <c r="S1719" s="5">
        <f t="shared" si="52"/>
        <v>0.16175530781793651</v>
      </c>
      <c r="T1719">
        <v>40.237142857142857</v>
      </c>
      <c r="U1719">
        <v>8</v>
      </c>
      <c r="V1719">
        <v>2022</v>
      </c>
      <c r="W1719">
        <v>3</v>
      </c>
      <c r="X1719" t="s">
        <v>9899</v>
      </c>
      <c r="Y1719" t="s">
        <v>9901</v>
      </c>
      <c r="Z1719" t="s">
        <v>9899</v>
      </c>
      <c r="AD1719">
        <f t="shared" si="53"/>
        <v>4</v>
      </c>
    </row>
    <row r="1720" spans="1:30" x14ac:dyDescent="0.25">
      <c r="A1720" t="s">
        <v>1744</v>
      </c>
      <c r="B1720" s="2">
        <v>45040</v>
      </c>
      <c r="C1720" s="2">
        <v>45046</v>
      </c>
      <c r="D1720" t="s">
        <v>5415</v>
      </c>
      <c r="E1720" t="s">
        <v>5915</v>
      </c>
      <c r="F1720" t="s">
        <v>6027</v>
      </c>
      <c r="G1720" t="s">
        <v>6031</v>
      </c>
      <c r="H1720" t="s">
        <v>6040</v>
      </c>
      <c r="I1720" t="s">
        <v>6050</v>
      </c>
      <c r="J1720" t="s">
        <v>6055</v>
      </c>
      <c r="K1720" t="s">
        <v>6064</v>
      </c>
      <c r="L1720" t="s">
        <v>7631</v>
      </c>
      <c r="M1720">
        <v>1163.1400000000001</v>
      </c>
      <c r="N1720">
        <v>8</v>
      </c>
      <c r="O1720">
        <v>0.28999999999999998</v>
      </c>
      <c r="P1720">
        <v>-41.5</v>
      </c>
      <c r="Q1720" t="s">
        <v>9893</v>
      </c>
      <c r="R1720">
        <v>6</v>
      </c>
      <c r="S1720" s="5">
        <f t="shared" si="52"/>
        <v>-3.5679281943704108E-2</v>
      </c>
      <c r="T1720">
        <v>145.39250000000001</v>
      </c>
      <c r="U1720">
        <v>4</v>
      </c>
      <c r="V1720">
        <v>2023</v>
      </c>
      <c r="W1720">
        <v>2</v>
      </c>
      <c r="X1720" t="s">
        <v>9898</v>
      </c>
      <c r="Y1720" t="s">
        <v>9900</v>
      </c>
      <c r="Z1720" t="s">
        <v>9898</v>
      </c>
      <c r="AD1720">
        <f t="shared" si="53"/>
        <v>6</v>
      </c>
    </row>
    <row r="1721" spans="1:30" x14ac:dyDescent="0.25">
      <c r="A1721" t="s">
        <v>1745</v>
      </c>
      <c r="B1721" s="2">
        <v>44645</v>
      </c>
      <c r="C1721" s="2">
        <v>44651</v>
      </c>
      <c r="D1721" t="s">
        <v>5415</v>
      </c>
      <c r="E1721" t="s">
        <v>5915</v>
      </c>
      <c r="F1721" t="s">
        <v>6026</v>
      </c>
      <c r="G1721" t="s">
        <v>6029</v>
      </c>
      <c r="H1721" t="s">
        <v>6044</v>
      </c>
      <c r="I1721" t="s">
        <v>6049</v>
      </c>
      <c r="J1721" t="s">
        <v>6053</v>
      </c>
      <c r="K1721" t="s">
        <v>6058</v>
      </c>
      <c r="L1721" t="s">
        <v>7283</v>
      </c>
      <c r="M1721">
        <v>1181.92</v>
      </c>
      <c r="N1721">
        <v>2</v>
      </c>
      <c r="O1721">
        <v>0.19</v>
      </c>
      <c r="P1721">
        <v>96.77</v>
      </c>
      <c r="Q1721" t="s">
        <v>9897</v>
      </c>
      <c r="R1721">
        <v>6</v>
      </c>
      <c r="S1721" s="5">
        <f t="shared" si="52"/>
        <v>8.1875253824285898E-2</v>
      </c>
      <c r="T1721">
        <v>590.96</v>
      </c>
      <c r="U1721">
        <v>3</v>
      </c>
      <c r="V1721">
        <v>2022</v>
      </c>
      <c r="W1721">
        <v>1</v>
      </c>
      <c r="X1721" t="s">
        <v>9899</v>
      </c>
      <c r="Y1721" t="s">
        <v>9900</v>
      </c>
      <c r="Z1721" t="s">
        <v>9898</v>
      </c>
      <c r="AD1721">
        <f t="shared" si="53"/>
        <v>6</v>
      </c>
    </row>
    <row r="1722" spans="1:30" x14ac:dyDescent="0.25">
      <c r="A1722" t="s">
        <v>1746</v>
      </c>
      <c r="B1722" s="2">
        <v>44656</v>
      </c>
      <c r="C1722" s="2">
        <v>44660</v>
      </c>
      <c r="D1722" t="s">
        <v>5421</v>
      </c>
      <c r="E1722" t="s">
        <v>5921</v>
      </c>
      <c r="F1722" t="s">
        <v>6028</v>
      </c>
      <c r="G1722" t="s">
        <v>6029</v>
      </c>
      <c r="H1722" t="s">
        <v>6045</v>
      </c>
      <c r="I1722" t="s">
        <v>6046</v>
      </c>
      <c r="J1722" t="s">
        <v>6055</v>
      </c>
      <c r="K1722" t="s">
        <v>6064</v>
      </c>
      <c r="L1722" t="s">
        <v>7632</v>
      </c>
      <c r="M1722">
        <v>1333.38</v>
      </c>
      <c r="N1722">
        <v>2</v>
      </c>
      <c r="O1722">
        <v>0.26</v>
      </c>
      <c r="P1722">
        <v>-196.69</v>
      </c>
      <c r="Q1722" t="s">
        <v>9894</v>
      </c>
      <c r="R1722">
        <v>4</v>
      </c>
      <c r="S1722" s="5">
        <f t="shared" si="52"/>
        <v>-0.1475123370682026</v>
      </c>
      <c r="T1722">
        <v>666.69</v>
      </c>
      <c r="U1722">
        <v>4</v>
      </c>
      <c r="V1722">
        <v>2022</v>
      </c>
      <c r="W1722">
        <v>2</v>
      </c>
      <c r="X1722" t="s">
        <v>9898</v>
      </c>
      <c r="Y1722" t="s">
        <v>9900</v>
      </c>
      <c r="Z1722" t="s">
        <v>9898</v>
      </c>
      <c r="AD1722">
        <f t="shared" si="53"/>
        <v>4</v>
      </c>
    </row>
    <row r="1723" spans="1:30" x14ac:dyDescent="0.25">
      <c r="A1723" t="s">
        <v>1747</v>
      </c>
      <c r="B1723" s="2">
        <v>45249</v>
      </c>
      <c r="C1723" s="2">
        <v>45253</v>
      </c>
      <c r="D1723" t="s">
        <v>5516</v>
      </c>
      <c r="E1723" t="s">
        <v>6016</v>
      </c>
      <c r="F1723" t="s">
        <v>6028</v>
      </c>
      <c r="G1723" t="s">
        <v>6031</v>
      </c>
      <c r="H1723" t="s">
        <v>6042</v>
      </c>
      <c r="I1723" t="s">
        <v>6048</v>
      </c>
      <c r="J1723" t="s">
        <v>6055</v>
      </c>
      <c r="K1723" t="s">
        <v>6064</v>
      </c>
      <c r="L1723" t="s">
        <v>7633</v>
      </c>
      <c r="M1723">
        <v>259.19</v>
      </c>
      <c r="N1723">
        <v>6</v>
      </c>
      <c r="O1723">
        <v>7.0000000000000007E-2</v>
      </c>
      <c r="P1723">
        <v>51.35</v>
      </c>
      <c r="Q1723" t="s">
        <v>9893</v>
      </c>
      <c r="R1723">
        <v>4</v>
      </c>
      <c r="S1723" s="5">
        <f t="shared" si="52"/>
        <v>0.19811721131216484</v>
      </c>
      <c r="T1723">
        <v>43.198333333333331</v>
      </c>
      <c r="U1723">
        <v>11</v>
      </c>
      <c r="V1723">
        <v>2023</v>
      </c>
      <c r="W1723">
        <v>4</v>
      </c>
      <c r="X1723" t="s">
        <v>9899</v>
      </c>
      <c r="Y1723" t="s">
        <v>9901</v>
      </c>
      <c r="Z1723" t="s">
        <v>9899</v>
      </c>
      <c r="AD1723">
        <f t="shared" si="53"/>
        <v>4</v>
      </c>
    </row>
    <row r="1724" spans="1:30" x14ac:dyDescent="0.25">
      <c r="A1724" t="s">
        <v>1748</v>
      </c>
      <c r="B1724" s="2">
        <v>45246</v>
      </c>
      <c r="C1724" s="2">
        <v>45252</v>
      </c>
      <c r="D1724" t="s">
        <v>5051</v>
      </c>
      <c r="E1724" t="s">
        <v>5551</v>
      </c>
      <c r="F1724" t="s">
        <v>6027</v>
      </c>
      <c r="G1724" t="s">
        <v>6030</v>
      </c>
      <c r="H1724" t="s">
        <v>6038</v>
      </c>
      <c r="I1724" t="s">
        <v>6047</v>
      </c>
      <c r="J1724" t="s">
        <v>6053</v>
      </c>
      <c r="K1724" t="s">
        <v>6057</v>
      </c>
      <c r="L1724" t="s">
        <v>7517</v>
      </c>
      <c r="M1724">
        <v>646.61</v>
      </c>
      <c r="N1724">
        <v>3</v>
      </c>
      <c r="O1724">
        <v>0.06</v>
      </c>
      <c r="P1724">
        <v>99.61</v>
      </c>
      <c r="Q1724" t="s">
        <v>9896</v>
      </c>
      <c r="R1724">
        <v>6</v>
      </c>
      <c r="S1724" s="5">
        <f t="shared" si="52"/>
        <v>0.15404958166437266</v>
      </c>
      <c r="T1724">
        <v>215.53666666666669</v>
      </c>
      <c r="U1724">
        <v>11</v>
      </c>
      <c r="V1724">
        <v>2023</v>
      </c>
      <c r="W1724">
        <v>4</v>
      </c>
      <c r="X1724" t="s">
        <v>9899</v>
      </c>
      <c r="Y1724" t="s">
        <v>9901</v>
      </c>
      <c r="Z1724" t="s">
        <v>9899</v>
      </c>
      <c r="AD1724">
        <f t="shared" si="53"/>
        <v>6</v>
      </c>
    </row>
    <row r="1725" spans="1:30" x14ac:dyDescent="0.25">
      <c r="A1725" t="s">
        <v>1749</v>
      </c>
      <c r="B1725" s="2">
        <v>44697</v>
      </c>
      <c r="C1725" s="2">
        <v>44701</v>
      </c>
      <c r="D1725" t="s">
        <v>5346</v>
      </c>
      <c r="E1725" t="s">
        <v>5846</v>
      </c>
      <c r="F1725" t="s">
        <v>6026</v>
      </c>
      <c r="G1725" t="s">
        <v>6031</v>
      </c>
      <c r="H1725" t="s">
        <v>6040</v>
      </c>
      <c r="I1725" t="s">
        <v>6050</v>
      </c>
      <c r="J1725" t="s">
        <v>6054</v>
      </c>
      <c r="K1725" t="s">
        <v>6059</v>
      </c>
      <c r="L1725" t="s">
        <v>7634</v>
      </c>
      <c r="M1725">
        <v>1752.55</v>
      </c>
      <c r="N1725">
        <v>1</v>
      </c>
      <c r="O1725">
        <v>0.03</v>
      </c>
      <c r="P1725">
        <v>362.78</v>
      </c>
      <c r="Q1725" t="s">
        <v>9896</v>
      </c>
      <c r="R1725">
        <v>4</v>
      </c>
      <c r="S1725" s="5">
        <f t="shared" si="52"/>
        <v>0.20700122678382926</v>
      </c>
      <c r="T1725">
        <v>1752.55</v>
      </c>
      <c r="U1725">
        <v>5</v>
      </c>
      <c r="V1725">
        <v>2022</v>
      </c>
      <c r="W1725">
        <v>2</v>
      </c>
      <c r="X1725" t="s">
        <v>9899</v>
      </c>
      <c r="Y1725" t="s">
        <v>9901</v>
      </c>
      <c r="Z1725" t="s">
        <v>9898</v>
      </c>
      <c r="AD1725">
        <f t="shared" si="53"/>
        <v>4</v>
      </c>
    </row>
    <row r="1726" spans="1:30" x14ac:dyDescent="0.25">
      <c r="A1726" t="s">
        <v>1750</v>
      </c>
      <c r="B1726" s="2">
        <v>44685</v>
      </c>
      <c r="C1726" s="2">
        <v>44691</v>
      </c>
      <c r="D1726" t="s">
        <v>5419</v>
      </c>
      <c r="E1726" t="s">
        <v>5919</v>
      </c>
      <c r="F1726" t="s">
        <v>6028</v>
      </c>
      <c r="G1726" t="s">
        <v>6029</v>
      </c>
      <c r="H1726" t="s">
        <v>6036</v>
      </c>
      <c r="I1726" t="s">
        <v>6046</v>
      </c>
      <c r="J1726" t="s">
        <v>6054</v>
      </c>
      <c r="K1726" t="s">
        <v>6062</v>
      </c>
      <c r="L1726" t="s">
        <v>7635</v>
      </c>
      <c r="M1726">
        <v>1892.43</v>
      </c>
      <c r="N1726">
        <v>1</v>
      </c>
      <c r="O1726">
        <v>0.02</v>
      </c>
      <c r="P1726">
        <v>330.24</v>
      </c>
      <c r="Q1726" t="s">
        <v>9896</v>
      </c>
      <c r="R1726">
        <v>6</v>
      </c>
      <c r="S1726" s="5">
        <f t="shared" si="52"/>
        <v>0.17450579413769599</v>
      </c>
      <c r="T1726">
        <v>1892.43</v>
      </c>
      <c r="U1726">
        <v>5</v>
      </c>
      <c r="V1726">
        <v>2022</v>
      </c>
      <c r="W1726">
        <v>2</v>
      </c>
      <c r="X1726" t="s">
        <v>9899</v>
      </c>
      <c r="Y1726" t="s">
        <v>9901</v>
      </c>
      <c r="Z1726" t="s">
        <v>9898</v>
      </c>
      <c r="AD1726">
        <f t="shared" si="53"/>
        <v>6</v>
      </c>
    </row>
    <row r="1727" spans="1:30" x14ac:dyDescent="0.25">
      <c r="A1727" t="s">
        <v>1751</v>
      </c>
      <c r="B1727" s="2">
        <v>45298</v>
      </c>
      <c r="C1727" s="2">
        <v>45300</v>
      </c>
      <c r="D1727" t="s">
        <v>5496</v>
      </c>
      <c r="E1727" t="s">
        <v>5996</v>
      </c>
      <c r="F1727" t="s">
        <v>6027</v>
      </c>
      <c r="G1727" t="s">
        <v>6031</v>
      </c>
      <c r="H1727" t="s">
        <v>6037</v>
      </c>
      <c r="I1727" t="s">
        <v>6052</v>
      </c>
      <c r="J1727" t="s">
        <v>6055</v>
      </c>
      <c r="K1727" t="s">
        <v>6061</v>
      </c>
      <c r="L1727" t="s">
        <v>7636</v>
      </c>
      <c r="M1727">
        <v>789.09</v>
      </c>
      <c r="N1727">
        <v>5</v>
      </c>
      <c r="O1727">
        <v>0.14000000000000001</v>
      </c>
      <c r="P1727">
        <v>84.5</v>
      </c>
      <c r="Q1727" t="s">
        <v>9895</v>
      </c>
      <c r="R1727">
        <v>2</v>
      </c>
      <c r="S1727" s="5">
        <f t="shared" si="52"/>
        <v>0.107085376826471</v>
      </c>
      <c r="T1727">
        <v>157.81800000000001</v>
      </c>
      <c r="U1727">
        <v>1</v>
      </c>
      <c r="V1727">
        <v>2024</v>
      </c>
      <c r="W1727">
        <v>1</v>
      </c>
      <c r="X1727" t="s">
        <v>9899</v>
      </c>
      <c r="Y1727" t="s">
        <v>9901</v>
      </c>
      <c r="Z1727" t="s">
        <v>9899</v>
      </c>
      <c r="AD1727">
        <f t="shared" si="53"/>
        <v>2</v>
      </c>
    </row>
    <row r="1728" spans="1:30" x14ac:dyDescent="0.25">
      <c r="A1728" t="s">
        <v>1752</v>
      </c>
      <c r="B1728" s="2">
        <v>45209</v>
      </c>
      <c r="C1728" s="2">
        <v>45213</v>
      </c>
      <c r="D1728" t="s">
        <v>5230</v>
      </c>
      <c r="E1728" t="s">
        <v>5730</v>
      </c>
      <c r="F1728" t="s">
        <v>6026</v>
      </c>
      <c r="G1728" t="s">
        <v>6030</v>
      </c>
      <c r="H1728" t="s">
        <v>6033</v>
      </c>
      <c r="I1728" t="s">
        <v>6051</v>
      </c>
      <c r="J1728" t="s">
        <v>6054</v>
      </c>
      <c r="K1728" t="s">
        <v>6059</v>
      </c>
      <c r="L1728" t="s">
        <v>7637</v>
      </c>
      <c r="M1728">
        <v>997.72</v>
      </c>
      <c r="N1728">
        <v>1</v>
      </c>
      <c r="O1728">
        <v>0.26</v>
      </c>
      <c r="P1728">
        <v>-75</v>
      </c>
      <c r="Q1728" t="s">
        <v>9893</v>
      </c>
      <c r="R1728">
        <v>4</v>
      </c>
      <c r="S1728" s="5">
        <f t="shared" si="52"/>
        <v>-7.5171390770957788E-2</v>
      </c>
      <c r="T1728">
        <v>997.72</v>
      </c>
      <c r="U1728">
        <v>10</v>
      </c>
      <c r="V1728">
        <v>2023</v>
      </c>
      <c r="W1728">
        <v>4</v>
      </c>
      <c r="X1728" t="s">
        <v>9898</v>
      </c>
      <c r="Y1728" t="s">
        <v>9900</v>
      </c>
      <c r="Z1728" t="s">
        <v>9899</v>
      </c>
      <c r="AD1728">
        <f t="shared" si="53"/>
        <v>4</v>
      </c>
    </row>
    <row r="1729" spans="1:30" x14ac:dyDescent="0.25">
      <c r="A1729" t="s">
        <v>1753</v>
      </c>
      <c r="B1729" s="2">
        <v>45210</v>
      </c>
      <c r="C1729" s="2">
        <v>45212</v>
      </c>
      <c r="D1729" t="s">
        <v>5386</v>
      </c>
      <c r="E1729" t="s">
        <v>5886</v>
      </c>
      <c r="F1729" t="s">
        <v>6028</v>
      </c>
      <c r="G1729" t="s">
        <v>6029</v>
      </c>
      <c r="H1729" t="s">
        <v>6045</v>
      </c>
      <c r="I1729" t="s">
        <v>6049</v>
      </c>
      <c r="J1729" t="s">
        <v>6054</v>
      </c>
      <c r="K1729" t="s">
        <v>6060</v>
      </c>
      <c r="L1729" t="s">
        <v>7638</v>
      </c>
      <c r="M1729">
        <v>788.12</v>
      </c>
      <c r="N1729">
        <v>7</v>
      </c>
      <c r="O1729">
        <v>0.21</v>
      </c>
      <c r="P1729">
        <v>-46.37</v>
      </c>
      <c r="Q1729" t="s">
        <v>9895</v>
      </c>
      <c r="R1729">
        <v>2</v>
      </c>
      <c r="S1729" s="5">
        <f t="shared" si="52"/>
        <v>-5.8836217834847479E-2</v>
      </c>
      <c r="T1729">
        <v>112.5885714285714</v>
      </c>
      <c r="U1729">
        <v>10</v>
      </c>
      <c r="V1729">
        <v>2023</v>
      </c>
      <c r="W1729">
        <v>4</v>
      </c>
      <c r="X1729" t="s">
        <v>9898</v>
      </c>
      <c r="Y1729" t="s">
        <v>9900</v>
      </c>
      <c r="Z1729" t="s">
        <v>9899</v>
      </c>
      <c r="AD1729">
        <f t="shared" si="53"/>
        <v>2</v>
      </c>
    </row>
    <row r="1730" spans="1:30" x14ac:dyDescent="0.25">
      <c r="A1730" t="s">
        <v>1754</v>
      </c>
      <c r="B1730" s="2">
        <v>44954</v>
      </c>
      <c r="C1730" s="2">
        <v>44960</v>
      </c>
      <c r="D1730" t="s">
        <v>5272</v>
      </c>
      <c r="E1730" t="s">
        <v>5772</v>
      </c>
      <c r="F1730" t="s">
        <v>6026</v>
      </c>
      <c r="G1730" t="s">
        <v>6030</v>
      </c>
      <c r="H1730" t="s">
        <v>6035</v>
      </c>
      <c r="I1730" t="s">
        <v>6051</v>
      </c>
      <c r="J1730" t="s">
        <v>6053</v>
      </c>
      <c r="K1730" t="s">
        <v>6057</v>
      </c>
      <c r="L1730" t="s">
        <v>7639</v>
      </c>
      <c r="M1730">
        <v>1112.6099999999999</v>
      </c>
      <c r="N1730">
        <v>5</v>
      </c>
      <c r="O1730">
        <v>0.12</v>
      </c>
      <c r="P1730">
        <v>119.74</v>
      </c>
      <c r="Q1730" t="s">
        <v>9893</v>
      </c>
      <c r="R1730">
        <v>6</v>
      </c>
      <c r="S1730" s="5">
        <f t="shared" si="52"/>
        <v>0.10762081951447498</v>
      </c>
      <c r="T1730">
        <v>222.52199999999999</v>
      </c>
      <c r="U1730">
        <v>1</v>
      </c>
      <c r="V1730">
        <v>2023</v>
      </c>
      <c r="W1730">
        <v>1</v>
      </c>
      <c r="X1730" t="s">
        <v>9899</v>
      </c>
      <c r="Y1730" t="s">
        <v>9901</v>
      </c>
      <c r="Z1730" t="s">
        <v>9898</v>
      </c>
      <c r="AD1730">
        <f t="shared" si="53"/>
        <v>6</v>
      </c>
    </row>
    <row r="1731" spans="1:30" x14ac:dyDescent="0.25">
      <c r="A1731" t="s">
        <v>1755</v>
      </c>
      <c r="B1731" s="2">
        <v>44766</v>
      </c>
      <c r="C1731" s="2">
        <v>44771</v>
      </c>
      <c r="D1731" t="s">
        <v>5169</v>
      </c>
      <c r="E1731" t="s">
        <v>5669</v>
      </c>
      <c r="F1731" t="s">
        <v>6027</v>
      </c>
      <c r="G1731" t="s">
        <v>6029</v>
      </c>
      <c r="H1731" t="s">
        <v>6032</v>
      </c>
      <c r="I1731" t="s">
        <v>6049</v>
      </c>
      <c r="J1731" t="s">
        <v>6054</v>
      </c>
      <c r="K1731" t="s">
        <v>6062</v>
      </c>
      <c r="L1731" t="s">
        <v>7640</v>
      </c>
      <c r="M1731">
        <v>735.16</v>
      </c>
      <c r="N1731">
        <v>6</v>
      </c>
      <c r="O1731">
        <v>0.19</v>
      </c>
      <c r="P1731">
        <v>73.55</v>
      </c>
      <c r="Q1731" t="s">
        <v>9896</v>
      </c>
      <c r="R1731">
        <v>5</v>
      </c>
      <c r="S1731" s="5">
        <f t="shared" ref="S1731:S1794" si="54">P1731/M1731</f>
        <v>0.10004624843571468</v>
      </c>
      <c r="T1731">
        <v>122.5266666666667</v>
      </c>
      <c r="U1731">
        <v>7</v>
      </c>
      <c r="V1731">
        <v>2022</v>
      </c>
      <c r="W1731">
        <v>3</v>
      </c>
      <c r="X1731" t="s">
        <v>9899</v>
      </c>
      <c r="Y1731" t="s">
        <v>9900</v>
      </c>
      <c r="Z1731" t="s">
        <v>9899</v>
      </c>
      <c r="AD1731">
        <f t="shared" ref="AD1731:AD1794" si="55">C1731-B1731</f>
        <v>5</v>
      </c>
    </row>
    <row r="1732" spans="1:30" x14ac:dyDescent="0.25">
      <c r="A1732" t="s">
        <v>1756</v>
      </c>
      <c r="B1732" s="2">
        <v>45151</v>
      </c>
      <c r="C1732" s="2">
        <v>45155</v>
      </c>
      <c r="D1732" t="s">
        <v>5205</v>
      </c>
      <c r="E1732" t="s">
        <v>5705</v>
      </c>
      <c r="F1732" t="s">
        <v>6026</v>
      </c>
      <c r="G1732" t="s">
        <v>6030</v>
      </c>
      <c r="H1732" t="s">
        <v>6033</v>
      </c>
      <c r="I1732" t="s">
        <v>6051</v>
      </c>
      <c r="J1732" t="s">
        <v>6054</v>
      </c>
      <c r="K1732" t="s">
        <v>6059</v>
      </c>
      <c r="L1732" t="s">
        <v>7641</v>
      </c>
      <c r="M1732">
        <v>432.01</v>
      </c>
      <c r="N1732">
        <v>3</v>
      </c>
      <c r="O1732">
        <v>0.14000000000000001</v>
      </c>
      <c r="P1732">
        <v>-4.78</v>
      </c>
      <c r="Q1732" t="s">
        <v>9896</v>
      </c>
      <c r="R1732">
        <v>4</v>
      </c>
      <c r="S1732" s="5">
        <f t="shared" si="54"/>
        <v>-1.1064558690771048E-2</v>
      </c>
      <c r="T1732">
        <v>144.0033333333333</v>
      </c>
      <c r="U1732">
        <v>8</v>
      </c>
      <c r="V1732">
        <v>2023</v>
      </c>
      <c r="W1732">
        <v>3</v>
      </c>
      <c r="X1732" t="s">
        <v>9898</v>
      </c>
      <c r="Y1732" t="s">
        <v>9901</v>
      </c>
      <c r="Z1732" t="s">
        <v>9899</v>
      </c>
      <c r="AD1732">
        <f t="shared" si="55"/>
        <v>4</v>
      </c>
    </row>
    <row r="1733" spans="1:30" x14ac:dyDescent="0.25">
      <c r="A1733" t="s">
        <v>1757</v>
      </c>
      <c r="B1733" s="2">
        <v>45073</v>
      </c>
      <c r="C1733" s="2">
        <v>45079</v>
      </c>
      <c r="D1733" t="s">
        <v>5267</v>
      </c>
      <c r="E1733" t="s">
        <v>5767</v>
      </c>
      <c r="F1733" t="s">
        <v>6026</v>
      </c>
      <c r="G1733" t="s">
        <v>6031</v>
      </c>
      <c r="H1733" t="s">
        <v>6037</v>
      </c>
      <c r="I1733" t="s">
        <v>6052</v>
      </c>
      <c r="J1733" t="s">
        <v>6054</v>
      </c>
      <c r="K1733" t="s">
        <v>6062</v>
      </c>
      <c r="L1733" t="s">
        <v>7642</v>
      </c>
      <c r="M1733">
        <v>1505.08</v>
      </c>
      <c r="N1733">
        <v>4</v>
      </c>
      <c r="O1733">
        <v>0.2</v>
      </c>
      <c r="P1733">
        <v>-68.739999999999995</v>
      </c>
      <c r="Q1733" t="s">
        <v>9896</v>
      </c>
      <c r="R1733">
        <v>6</v>
      </c>
      <c r="S1733" s="5">
        <f t="shared" si="54"/>
        <v>-4.5671990857628832E-2</v>
      </c>
      <c r="T1733">
        <v>376.27</v>
      </c>
      <c r="U1733">
        <v>5</v>
      </c>
      <c r="V1733">
        <v>2023</v>
      </c>
      <c r="W1733">
        <v>2</v>
      </c>
      <c r="X1733" t="s">
        <v>9898</v>
      </c>
      <c r="Y1733" t="s">
        <v>9900</v>
      </c>
      <c r="Z1733" t="s">
        <v>9898</v>
      </c>
      <c r="AD1733">
        <f t="shared" si="55"/>
        <v>6</v>
      </c>
    </row>
    <row r="1734" spans="1:30" x14ac:dyDescent="0.25">
      <c r="A1734" t="s">
        <v>1758</v>
      </c>
      <c r="B1734" s="2">
        <v>44825</v>
      </c>
      <c r="C1734" s="2">
        <v>44831</v>
      </c>
      <c r="D1734" t="s">
        <v>5082</v>
      </c>
      <c r="E1734" t="s">
        <v>5582</v>
      </c>
      <c r="F1734" t="s">
        <v>6027</v>
      </c>
      <c r="G1734" t="s">
        <v>6031</v>
      </c>
      <c r="H1734" t="s">
        <v>6040</v>
      </c>
      <c r="I1734" t="s">
        <v>6050</v>
      </c>
      <c r="J1734" t="s">
        <v>6055</v>
      </c>
      <c r="K1734" t="s">
        <v>6061</v>
      </c>
      <c r="L1734" t="s">
        <v>7643</v>
      </c>
      <c r="M1734">
        <v>1616.86</v>
      </c>
      <c r="N1734">
        <v>5</v>
      </c>
      <c r="O1734">
        <v>0.32</v>
      </c>
      <c r="P1734">
        <v>-267.14</v>
      </c>
      <c r="Q1734" t="s">
        <v>9896</v>
      </c>
      <c r="R1734">
        <v>6</v>
      </c>
      <c r="S1734" s="5">
        <f t="shared" si="54"/>
        <v>-0.16522147866853037</v>
      </c>
      <c r="T1734">
        <v>323.37200000000001</v>
      </c>
      <c r="U1734">
        <v>9</v>
      </c>
      <c r="V1734">
        <v>2022</v>
      </c>
      <c r="W1734">
        <v>3</v>
      </c>
      <c r="X1734" t="s">
        <v>9898</v>
      </c>
      <c r="Y1734" t="s">
        <v>9902</v>
      </c>
      <c r="Z1734" t="s">
        <v>9898</v>
      </c>
      <c r="AD1734">
        <f t="shared" si="55"/>
        <v>6</v>
      </c>
    </row>
    <row r="1735" spans="1:30" x14ac:dyDescent="0.25">
      <c r="A1735" t="s">
        <v>1759</v>
      </c>
      <c r="B1735" s="2">
        <v>44991</v>
      </c>
      <c r="C1735" s="2">
        <v>44992</v>
      </c>
      <c r="D1735" t="s">
        <v>5409</v>
      </c>
      <c r="E1735" t="s">
        <v>5909</v>
      </c>
      <c r="F1735" t="s">
        <v>6028</v>
      </c>
      <c r="G1735" t="s">
        <v>6029</v>
      </c>
      <c r="H1735" t="s">
        <v>6032</v>
      </c>
      <c r="I1735" t="s">
        <v>6046</v>
      </c>
      <c r="J1735" t="s">
        <v>6054</v>
      </c>
      <c r="K1735" t="s">
        <v>6060</v>
      </c>
      <c r="L1735" t="s">
        <v>7644</v>
      </c>
      <c r="M1735">
        <v>1011.28</v>
      </c>
      <c r="N1735">
        <v>1</v>
      </c>
      <c r="O1735">
        <v>0.26</v>
      </c>
      <c r="P1735">
        <v>-40.51</v>
      </c>
      <c r="Q1735" t="s">
        <v>9894</v>
      </c>
      <c r="R1735">
        <v>1</v>
      </c>
      <c r="S1735" s="5">
        <f t="shared" si="54"/>
        <v>-4.0058144134166598E-2</v>
      </c>
      <c r="T1735">
        <v>1011.28</v>
      </c>
      <c r="U1735">
        <v>3</v>
      </c>
      <c r="V1735">
        <v>2023</v>
      </c>
      <c r="W1735">
        <v>1</v>
      </c>
      <c r="X1735" t="s">
        <v>9898</v>
      </c>
      <c r="Y1735" t="s">
        <v>9900</v>
      </c>
      <c r="Z1735" t="s">
        <v>9898</v>
      </c>
      <c r="AD1735">
        <f t="shared" si="55"/>
        <v>1</v>
      </c>
    </row>
    <row r="1736" spans="1:30" x14ac:dyDescent="0.25">
      <c r="A1736" t="s">
        <v>1760</v>
      </c>
      <c r="B1736" s="2">
        <v>45245</v>
      </c>
      <c r="C1736" s="2">
        <v>45250</v>
      </c>
      <c r="D1736" t="s">
        <v>5075</v>
      </c>
      <c r="E1736" t="s">
        <v>5575</v>
      </c>
      <c r="F1736" t="s">
        <v>6026</v>
      </c>
      <c r="G1736" t="s">
        <v>6031</v>
      </c>
      <c r="H1736" t="s">
        <v>6042</v>
      </c>
      <c r="I1736" t="s">
        <v>6052</v>
      </c>
      <c r="J1736" t="s">
        <v>6055</v>
      </c>
      <c r="K1736" t="s">
        <v>6061</v>
      </c>
      <c r="L1736" t="s">
        <v>7645</v>
      </c>
      <c r="M1736">
        <v>412.18</v>
      </c>
      <c r="N1736">
        <v>3</v>
      </c>
      <c r="O1736">
        <v>0.11</v>
      </c>
      <c r="P1736">
        <v>30.82</v>
      </c>
      <c r="Q1736" t="s">
        <v>9897</v>
      </c>
      <c r="R1736">
        <v>5</v>
      </c>
      <c r="S1736" s="5">
        <f t="shared" si="54"/>
        <v>7.4773157358435635E-2</v>
      </c>
      <c r="T1736">
        <v>137.39333333333329</v>
      </c>
      <c r="U1736">
        <v>11</v>
      </c>
      <c r="V1736">
        <v>2023</v>
      </c>
      <c r="W1736">
        <v>4</v>
      </c>
      <c r="X1736" t="s">
        <v>9899</v>
      </c>
      <c r="Y1736" t="s">
        <v>9901</v>
      </c>
      <c r="Z1736" t="s">
        <v>9899</v>
      </c>
      <c r="AD1736">
        <f t="shared" si="55"/>
        <v>5</v>
      </c>
    </row>
    <row r="1737" spans="1:30" x14ac:dyDescent="0.25">
      <c r="A1737" t="s">
        <v>1761</v>
      </c>
      <c r="B1737" s="2">
        <v>44942</v>
      </c>
      <c r="C1737" s="2">
        <v>44945</v>
      </c>
      <c r="D1737" t="s">
        <v>5346</v>
      </c>
      <c r="E1737" t="s">
        <v>5846</v>
      </c>
      <c r="F1737" t="s">
        <v>6027</v>
      </c>
      <c r="G1737" t="s">
        <v>6031</v>
      </c>
      <c r="H1737" t="s">
        <v>6037</v>
      </c>
      <c r="I1737" t="s">
        <v>6052</v>
      </c>
      <c r="J1737" t="s">
        <v>6054</v>
      </c>
      <c r="K1737" t="s">
        <v>6062</v>
      </c>
      <c r="L1737" t="s">
        <v>7646</v>
      </c>
      <c r="M1737">
        <v>998.05</v>
      </c>
      <c r="N1737">
        <v>6</v>
      </c>
      <c r="O1737">
        <v>0.17</v>
      </c>
      <c r="P1737">
        <v>-54.06</v>
      </c>
      <c r="Q1737" t="s">
        <v>9895</v>
      </c>
      <c r="R1737">
        <v>3</v>
      </c>
      <c r="S1737" s="5">
        <f t="shared" si="54"/>
        <v>-5.4165622964781328E-2</v>
      </c>
      <c r="T1737">
        <v>166.3416666666667</v>
      </c>
      <c r="U1737">
        <v>1</v>
      </c>
      <c r="V1737">
        <v>2023</v>
      </c>
      <c r="W1737">
        <v>1</v>
      </c>
      <c r="X1737" t="s">
        <v>9898</v>
      </c>
      <c r="Y1737" t="s">
        <v>9900</v>
      </c>
      <c r="Z1737" t="s">
        <v>9899</v>
      </c>
      <c r="AD1737">
        <f t="shared" si="55"/>
        <v>3</v>
      </c>
    </row>
    <row r="1738" spans="1:30" x14ac:dyDescent="0.25">
      <c r="A1738" t="s">
        <v>1762</v>
      </c>
      <c r="B1738" s="2">
        <v>45292</v>
      </c>
      <c r="C1738" s="2">
        <v>45295</v>
      </c>
      <c r="D1738" t="s">
        <v>5329</v>
      </c>
      <c r="E1738" t="s">
        <v>5829</v>
      </c>
      <c r="F1738" t="s">
        <v>6026</v>
      </c>
      <c r="G1738" t="s">
        <v>6030</v>
      </c>
      <c r="H1738" t="s">
        <v>6039</v>
      </c>
      <c r="I1738" t="s">
        <v>6047</v>
      </c>
      <c r="J1738" t="s">
        <v>6053</v>
      </c>
      <c r="K1738" t="s">
        <v>6057</v>
      </c>
      <c r="L1738" t="s">
        <v>6532</v>
      </c>
      <c r="M1738">
        <v>462.92</v>
      </c>
      <c r="N1738">
        <v>1</v>
      </c>
      <c r="O1738">
        <v>0.21</v>
      </c>
      <c r="P1738">
        <v>-16.77</v>
      </c>
      <c r="Q1738" t="s">
        <v>9893</v>
      </c>
      <c r="R1738">
        <v>3</v>
      </c>
      <c r="S1738" s="5">
        <f t="shared" si="54"/>
        <v>-3.6226561824937352E-2</v>
      </c>
      <c r="T1738">
        <v>462.92</v>
      </c>
      <c r="U1738">
        <v>1</v>
      </c>
      <c r="V1738">
        <v>2024</v>
      </c>
      <c r="W1738">
        <v>1</v>
      </c>
      <c r="X1738" t="s">
        <v>9898</v>
      </c>
      <c r="Y1738" t="s">
        <v>9900</v>
      </c>
      <c r="Z1738" t="s">
        <v>9899</v>
      </c>
      <c r="AD1738">
        <f t="shared" si="55"/>
        <v>3</v>
      </c>
    </row>
    <row r="1739" spans="1:30" x14ac:dyDescent="0.25">
      <c r="A1739" t="s">
        <v>1763</v>
      </c>
      <c r="B1739" s="2">
        <v>45342</v>
      </c>
      <c r="C1739" s="2">
        <v>45344</v>
      </c>
      <c r="D1739" t="s">
        <v>5421</v>
      </c>
      <c r="E1739" t="s">
        <v>5921</v>
      </c>
      <c r="F1739" t="s">
        <v>6026</v>
      </c>
      <c r="G1739" t="s">
        <v>6029</v>
      </c>
      <c r="H1739" t="s">
        <v>6036</v>
      </c>
      <c r="I1739" t="s">
        <v>6049</v>
      </c>
      <c r="J1739" t="s">
        <v>6055</v>
      </c>
      <c r="K1739" t="s">
        <v>6063</v>
      </c>
      <c r="L1739" t="s">
        <v>7546</v>
      </c>
      <c r="M1739">
        <v>1404.87</v>
      </c>
      <c r="N1739">
        <v>6</v>
      </c>
      <c r="O1739">
        <v>0.3</v>
      </c>
      <c r="P1739">
        <v>-268.02999999999997</v>
      </c>
      <c r="Q1739" t="s">
        <v>9896</v>
      </c>
      <c r="R1739">
        <v>2</v>
      </c>
      <c r="S1739" s="5">
        <f t="shared" si="54"/>
        <v>-0.1907863361022728</v>
      </c>
      <c r="T1739">
        <v>234.14500000000001</v>
      </c>
      <c r="U1739">
        <v>2</v>
      </c>
      <c r="V1739">
        <v>2024</v>
      </c>
      <c r="W1739">
        <v>1</v>
      </c>
      <c r="X1739" t="s">
        <v>9898</v>
      </c>
      <c r="Y1739" t="s">
        <v>9900</v>
      </c>
      <c r="Z1739" t="s">
        <v>9898</v>
      </c>
      <c r="AD1739">
        <f t="shared" si="55"/>
        <v>2</v>
      </c>
    </row>
    <row r="1740" spans="1:30" x14ac:dyDescent="0.25">
      <c r="A1740" t="s">
        <v>1764</v>
      </c>
      <c r="B1740" s="2">
        <v>45362</v>
      </c>
      <c r="C1740" s="2">
        <v>45366</v>
      </c>
      <c r="D1740" t="s">
        <v>5487</v>
      </c>
      <c r="E1740" t="s">
        <v>5987</v>
      </c>
      <c r="F1740" t="s">
        <v>6027</v>
      </c>
      <c r="G1740" t="s">
        <v>6031</v>
      </c>
      <c r="H1740" t="s">
        <v>6040</v>
      </c>
      <c r="I1740" t="s">
        <v>6052</v>
      </c>
      <c r="J1740" t="s">
        <v>6054</v>
      </c>
      <c r="K1740" t="s">
        <v>6059</v>
      </c>
      <c r="L1740" t="s">
        <v>7647</v>
      </c>
      <c r="M1740">
        <v>1619.19</v>
      </c>
      <c r="N1740">
        <v>3</v>
      </c>
      <c r="O1740">
        <v>0.18</v>
      </c>
      <c r="P1740">
        <v>-13.22</v>
      </c>
      <c r="Q1740" t="s">
        <v>9893</v>
      </c>
      <c r="R1740">
        <v>4</v>
      </c>
      <c r="S1740" s="5">
        <f t="shared" si="54"/>
        <v>-8.1645761152181022E-3</v>
      </c>
      <c r="T1740">
        <v>539.73</v>
      </c>
      <c r="U1740">
        <v>3</v>
      </c>
      <c r="V1740">
        <v>2024</v>
      </c>
      <c r="W1740">
        <v>1</v>
      </c>
      <c r="X1740" t="s">
        <v>9898</v>
      </c>
      <c r="Y1740" t="s">
        <v>9900</v>
      </c>
      <c r="Z1740" t="s">
        <v>9898</v>
      </c>
      <c r="AD1740">
        <f t="shared" si="55"/>
        <v>4</v>
      </c>
    </row>
    <row r="1741" spans="1:30" x14ac:dyDescent="0.25">
      <c r="A1741" t="s">
        <v>1765</v>
      </c>
      <c r="B1741" s="2">
        <v>45312</v>
      </c>
      <c r="C1741" s="2">
        <v>45313</v>
      </c>
      <c r="D1741" t="s">
        <v>5389</v>
      </c>
      <c r="E1741" t="s">
        <v>5889</v>
      </c>
      <c r="F1741" t="s">
        <v>6027</v>
      </c>
      <c r="G1741" t="s">
        <v>6030</v>
      </c>
      <c r="H1741" t="s">
        <v>6033</v>
      </c>
      <c r="I1741" t="s">
        <v>6047</v>
      </c>
      <c r="J1741" t="s">
        <v>6055</v>
      </c>
      <c r="K1741" t="s">
        <v>6063</v>
      </c>
      <c r="L1741" t="s">
        <v>7648</v>
      </c>
      <c r="M1741">
        <v>1530.87</v>
      </c>
      <c r="N1741">
        <v>4</v>
      </c>
      <c r="O1741">
        <v>0.26</v>
      </c>
      <c r="P1741">
        <v>-106.46</v>
      </c>
      <c r="Q1741" t="s">
        <v>9896</v>
      </c>
      <c r="R1741">
        <v>1</v>
      </c>
      <c r="S1741" s="5">
        <f t="shared" si="54"/>
        <v>-6.9542155767635394E-2</v>
      </c>
      <c r="T1741">
        <v>382.71749999999997</v>
      </c>
      <c r="U1741">
        <v>1</v>
      </c>
      <c r="V1741">
        <v>2024</v>
      </c>
      <c r="W1741">
        <v>1</v>
      </c>
      <c r="X1741" t="s">
        <v>9898</v>
      </c>
      <c r="Y1741" t="s">
        <v>9900</v>
      </c>
      <c r="Z1741" t="s">
        <v>9898</v>
      </c>
      <c r="AD1741">
        <f t="shared" si="55"/>
        <v>1</v>
      </c>
    </row>
    <row r="1742" spans="1:30" x14ac:dyDescent="0.25">
      <c r="A1742" t="s">
        <v>1766</v>
      </c>
      <c r="B1742" s="2">
        <v>44796</v>
      </c>
      <c r="C1742" s="2">
        <v>44798</v>
      </c>
      <c r="D1742" t="s">
        <v>5368</v>
      </c>
      <c r="E1742" t="s">
        <v>5868</v>
      </c>
      <c r="F1742" t="s">
        <v>6026</v>
      </c>
      <c r="G1742" t="s">
        <v>6031</v>
      </c>
      <c r="H1742" t="s">
        <v>6042</v>
      </c>
      <c r="I1742" t="s">
        <v>6048</v>
      </c>
      <c r="J1742" t="s">
        <v>6054</v>
      </c>
      <c r="K1742" t="s">
        <v>6060</v>
      </c>
      <c r="L1742" t="s">
        <v>7649</v>
      </c>
      <c r="M1742">
        <v>293.48</v>
      </c>
      <c r="N1742">
        <v>1</v>
      </c>
      <c r="O1742">
        <v>0.12</v>
      </c>
      <c r="P1742">
        <v>21.84</v>
      </c>
      <c r="Q1742" t="s">
        <v>9894</v>
      </c>
      <c r="R1742">
        <v>2</v>
      </c>
      <c r="S1742" s="5">
        <f t="shared" si="54"/>
        <v>7.441733678615238E-2</v>
      </c>
      <c r="T1742">
        <v>293.48</v>
      </c>
      <c r="U1742">
        <v>8</v>
      </c>
      <c r="V1742">
        <v>2022</v>
      </c>
      <c r="W1742">
        <v>3</v>
      </c>
      <c r="X1742" t="s">
        <v>9899</v>
      </c>
      <c r="Y1742" t="s">
        <v>9901</v>
      </c>
      <c r="Z1742" t="s">
        <v>9899</v>
      </c>
      <c r="AD1742">
        <f t="shared" si="55"/>
        <v>2</v>
      </c>
    </row>
    <row r="1743" spans="1:30" x14ac:dyDescent="0.25">
      <c r="A1743" t="s">
        <v>1767</v>
      </c>
      <c r="B1743" s="2">
        <v>45411</v>
      </c>
      <c r="C1743" s="2">
        <v>45416</v>
      </c>
      <c r="D1743" t="s">
        <v>5328</v>
      </c>
      <c r="E1743" t="s">
        <v>5828</v>
      </c>
      <c r="F1743" t="s">
        <v>6028</v>
      </c>
      <c r="G1743" t="s">
        <v>6031</v>
      </c>
      <c r="H1743" t="s">
        <v>6034</v>
      </c>
      <c r="I1743" t="s">
        <v>6048</v>
      </c>
      <c r="J1743" t="s">
        <v>6053</v>
      </c>
      <c r="K1743" t="s">
        <v>6058</v>
      </c>
      <c r="L1743" t="s">
        <v>7650</v>
      </c>
      <c r="M1743">
        <v>1089.19</v>
      </c>
      <c r="N1743">
        <v>5</v>
      </c>
      <c r="O1743">
        <v>0.32</v>
      </c>
      <c r="P1743">
        <v>-36.36</v>
      </c>
      <c r="Q1743" t="s">
        <v>9893</v>
      </c>
      <c r="R1743">
        <v>5</v>
      </c>
      <c r="S1743" s="5">
        <f t="shared" si="54"/>
        <v>-3.3382605422378094E-2</v>
      </c>
      <c r="T1743">
        <v>217.83799999999999</v>
      </c>
      <c r="U1743">
        <v>4</v>
      </c>
      <c r="V1743">
        <v>2024</v>
      </c>
      <c r="W1743">
        <v>2</v>
      </c>
      <c r="X1743" t="s">
        <v>9898</v>
      </c>
      <c r="Y1743" t="s">
        <v>9902</v>
      </c>
      <c r="Z1743" t="s">
        <v>9898</v>
      </c>
      <c r="AD1743">
        <f t="shared" si="55"/>
        <v>5</v>
      </c>
    </row>
    <row r="1744" spans="1:30" x14ac:dyDescent="0.25">
      <c r="A1744" t="s">
        <v>1768</v>
      </c>
      <c r="B1744" s="2">
        <v>45083</v>
      </c>
      <c r="C1744" s="2">
        <v>45087</v>
      </c>
      <c r="D1744" t="s">
        <v>5200</v>
      </c>
      <c r="E1744" t="s">
        <v>5700</v>
      </c>
      <c r="F1744" t="s">
        <v>6026</v>
      </c>
      <c r="G1744" t="s">
        <v>6030</v>
      </c>
      <c r="H1744" t="s">
        <v>6033</v>
      </c>
      <c r="I1744" t="s">
        <v>6051</v>
      </c>
      <c r="J1744" t="s">
        <v>6053</v>
      </c>
      <c r="K1744" t="s">
        <v>6058</v>
      </c>
      <c r="L1744" t="s">
        <v>6553</v>
      </c>
      <c r="M1744">
        <v>779.85</v>
      </c>
      <c r="N1744">
        <v>3</v>
      </c>
      <c r="O1744">
        <v>0.1</v>
      </c>
      <c r="P1744">
        <v>140.11000000000001</v>
      </c>
      <c r="Q1744" t="s">
        <v>9893</v>
      </c>
      <c r="R1744">
        <v>4</v>
      </c>
      <c r="S1744" s="5">
        <f t="shared" si="54"/>
        <v>0.17966275565813941</v>
      </c>
      <c r="T1744">
        <v>259.95</v>
      </c>
      <c r="U1744">
        <v>6</v>
      </c>
      <c r="V1744">
        <v>2023</v>
      </c>
      <c r="W1744">
        <v>2</v>
      </c>
      <c r="X1744" t="s">
        <v>9899</v>
      </c>
      <c r="Y1744" t="s">
        <v>9901</v>
      </c>
      <c r="Z1744" t="s">
        <v>9899</v>
      </c>
      <c r="AD1744">
        <f t="shared" si="55"/>
        <v>4</v>
      </c>
    </row>
    <row r="1745" spans="1:30" x14ac:dyDescent="0.25">
      <c r="A1745" t="s">
        <v>1769</v>
      </c>
      <c r="B1745" s="2">
        <v>45164</v>
      </c>
      <c r="C1745" s="2">
        <v>45165</v>
      </c>
      <c r="D1745" t="s">
        <v>5305</v>
      </c>
      <c r="E1745" t="s">
        <v>5805</v>
      </c>
      <c r="F1745" t="s">
        <v>6028</v>
      </c>
      <c r="G1745" t="s">
        <v>6030</v>
      </c>
      <c r="H1745" t="s">
        <v>6039</v>
      </c>
      <c r="I1745" t="s">
        <v>6051</v>
      </c>
      <c r="J1745" t="s">
        <v>6054</v>
      </c>
      <c r="K1745" t="s">
        <v>6059</v>
      </c>
      <c r="L1745" t="s">
        <v>7651</v>
      </c>
      <c r="M1745">
        <v>1230.4100000000001</v>
      </c>
      <c r="N1745">
        <v>7</v>
      </c>
      <c r="O1745">
        <v>0.11</v>
      </c>
      <c r="P1745">
        <v>72.540000000000006</v>
      </c>
      <c r="Q1745" t="s">
        <v>9895</v>
      </c>
      <c r="R1745">
        <v>1</v>
      </c>
      <c r="S1745" s="5">
        <f t="shared" si="54"/>
        <v>5.8955957770174171E-2</v>
      </c>
      <c r="T1745">
        <v>175.77285714285719</v>
      </c>
      <c r="U1745">
        <v>8</v>
      </c>
      <c r="V1745">
        <v>2023</v>
      </c>
      <c r="W1745">
        <v>3</v>
      </c>
      <c r="X1745" t="s">
        <v>9899</v>
      </c>
      <c r="Y1745" t="s">
        <v>9901</v>
      </c>
      <c r="Z1745" t="s">
        <v>9898</v>
      </c>
      <c r="AD1745">
        <f t="shared" si="55"/>
        <v>1</v>
      </c>
    </row>
    <row r="1746" spans="1:30" x14ac:dyDescent="0.25">
      <c r="A1746" t="s">
        <v>1770</v>
      </c>
      <c r="B1746" s="2">
        <v>45416</v>
      </c>
      <c r="C1746" s="2">
        <v>45418</v>
      </c>
      <c r="D1746" t="s">
        <v>5088</v>
      </c>
      <c r="E1746" t="s">
        <v>5588</v>
      </c>
      <c r="F1746" t="s">
        <v>6028</v>
      </c>
      <c r="G1746" t="s">
        <v>6030</v>
      </c>
      <c r="H1746" t="s">
        <v>6035</v>
      </c>
      <c r="I1746" t="s">
        <v>6051</v>
      </c>
      <c r="J1746" t="s">
        <v>6055</v>
      </c>
      <c r="K1746" t="s">
        <v>6063</v>
      </c>
      <c r="L1746" t="s">
        <v>7652</v>
      </c>
      <c r="M1746">
        <v>348.44</v>
      </c>
      <c r="N1746">
        <v>4</v>
      </c>
      <c r="O1746">
        <v>0.16</v>
      </c>
      <c r="P1746">
        <v>-6.72</v>
      </c>
      <c r="Q1746" t="s">
        <v>9894</v>
      </c>
      <c r="R1746">
        <v>2</v>
      </c>
      <c r="S1746" s="5">
        <f t="shared" si="54"/>
        <v>-1.9285960280105614E-2</v>
      </c>
      <c r="T1746">
        <v>87.11</v>
      </c>
      <c r="U1746">
        <v>5</v>
      </c>
      <c r="V1746">
        <v>2024</v>
      </c>
      <c r="W1746">
        <v>2</v>
      </c>
      <c r="X1746" t="s">
        <v>9898</v>
      </c>
      <c r="Y1746" t="s">
        <v>9900</v>
      </c>
      <c r="Z1746" t="s">
        <v>9899</v>
      </c>
      <c r="AD1746">
        <f t="shared" si="55"/>
        <v>2</v>
      </c>
    </row>
    <row r="1747" spans="1:30" x14ac:dyDescent="0.25">
      <c r="A1747" t="s">
        <v>1771</v>
      </c>
      <c r="B1747" s="2">
        <v>44754</v>
      </c>
      <c r="C1747" s="2">
        <v>44755</v>
      </c>
      <c r="D1747" t="s">
        <v>5186</v>
      </c>
      <c r="E1747" t="s">
        <v>5686</v>
      </c>
      <c r="F1747" t="s">
        <v>6027</v>
      </c>
      <c r="G1747" t="s">
        <v>6031</v>
      </c>
      <c r="H1747" t="s">
        <v>6042</v>
      </c>
      <c r="I1747" t="s">
        <v>6050</v>
      </c>
      <c r="J1747" t="s">
        <v>6054</v>
      </c>
      <c r="K1747" t="s">
        <v>6062</v>
      </c>
      <c r="L1747" t="s">
        <v>7653</v>
      </c>
      <c r="M1747">
        <v>289.49</v>
      </c>
      <c r="N1747">
        <v>1</v>
      </c>
      <c r="O1747">
        <v>0.05</v>
      </c>
      <c r="P1747">
        <v>65.67</v>
      </c>
      <c r="Q1747" t="s">
        <v>9894</v>
      </c>
      <c r="R1747">
        <v>1</v>
      </c>
      <c r="S1747" s="5">
        <f t="shared" si="54"/>
        <v>0.22684721406611627</v>
      </c>
      <c r="T1747">
        <v>289.49</v>
      </c>
      <c r="U1747">
        <v>7</v>
      </c>
      <c r="V1747">
        <v>2022</v>
      </c>
      <c r="W1747">
        <v>3</v>
      </c>
      <c r="X1747" t="s">
        <v>9899</v>
      </c>
      <c r="Y1747" t="s">
        <v>9901</v>
      </c>
      <c r="Z1747" t="s">
        <v>9899</v>
      </c>
      <c r="AD1747">
        <f t="shared" si="55"/>
        <v>1</v>
      </c>
    </row>
    <row r="1748" spans="1:30" x14ac:dyDescent="0.25">
      <c r="A1748" t="s">
        <v>1772</v>
      </c>
      <c r="B1748" s="2">
        <v>44947</v>
      </c>
      <c r="C1748" s="2">
        <v>44948</v>
      </c>
      <c r="D1748" t="s">
        <v>5359</v>
      </c>
      <c r="E1748" t="s">
        <v>5859</v>
      </c>
      <c r="F1748" t="s">
        <v>6026</v>
      </c>
      <c r="G1748" t="s">
        <v>6029</v>
      </c>
      <c r="H1748" t="s">
        <v>6036</v>
      </c>
      <c r="I1748" t="s">
        <v>6046</v>
      </c>
      <c r="J1748" t="s">
        <v>6053</v>
      </c>
      <c r="K1748" t="s">
        <v>6057</v>
      </c>
      <c r="L1748" t="s">
        <v>7654</v>
      </c>
      <c r="M1748">
        <v>1605.59</v>
      </c>
      <c r="N1748">
        <v>7</v>
      </c>
      <c r="O1748">
        <v>0.05</v>
      </c>
      <c r="P1748">
        <v>332.36</v>
      </c>
      <c r="Q1748" t="s">
        <v>9895</v>
      </c>
      <c r="R1748">
        <v>1</v>
      </c>
      <c r="S1748" s="5">
        <f t="shared" si="54"/>
        <v>0.20700178750490475</v>
      </c>
      <c r="T1748">
        <v>229.37</v>
      </c>
      <c r="U1748">
        <v>1</v>
      </c>
      <c r="V1748">
        <v>2023</v>
      </c>
      <c r="W1748">
        <v>1</v>
      </c>
      <c r="X1748" t="s">
        <v>9899</v>
      </c>
      <c r="Y1748" t="s">
        <v>9901</v>
      </c>
      <c r="Z1748" t="s">
        <v>9898</v>
      </c>
      <c r="AD1748">
        <f t="shared" si="55"/>
        <v>1</v>
      </c>
    </row>
    <row r="1749" spans="1:30" x14ac:dyDescent="0.25">
      <c r="A1749" t="s">
        <v>1773</v>
      </c>
      <c r="B1749" s="2">
        <v>44678</v>
      </c>
      <c r="C1749" s="2">
        <v>44679</v>
      </c>
      <c r="D1749" t="s">
        <v>5115</v>
      </c>
      <c r="E1749" t="s">
        <v>5615</v>
      </c>
      <c r="F1749" t="s">
        <v>6028</v>
      </c>
      <c r="G1749" t="s">
        <v>6030</v>
      </c>
      <c r="H1749" t="s">
        <v>6039</v>
      </c>
      <c r="I1749" t="s">
        <v>6047</v>
      </c>
      <c r="J1749" t="s">
        <v>6054</v>
      </c>
      <c r="K1749" t="s">
        <v>6062</v>
      </c>
      <c r="L1749" t="s">
        <v>7655</v>
      </c>
      <c r="M1749">
        <v>1787.28</v>
      </c>
      <c r="N1749">
        <v>8</v>
      </c>
      <c r="O1749">
        <v>0.04</v>
      </c>
      <c r="P1749">
        <v>295.47000000000003</v>
      </c>
      <c r="Q1749" t="s">
        <v>9896</v>
      </c>
      <c r="R1749">
        <v>1</v>
      </c>
      <c r="S1749" s="5">
        <f t="shared" si="54"/>
        <v>0.16531824895931249</v>
      </c>
      <c r="T1749">
        <v>223.41</v>
      </c>
      <c r="U1749">
        <v>4</v>
      </c>
      <c r="V1749">
        <v>2022</v>
      </c>
      <c r="W1749">
        <v>2</v>
      </c>
      <c r="X1749" t="s">
        <v>9899</v>
      </c>
      <c r="Y1749" t="s">
        <v>9901</v>
      </c>
      <c r="Z1749" t="s">
        <v>9898</v>
      </c>
      <c r="AD1749">
        <f t="shared" si="55"/>
        <v>1</v>
      </c>
    </row>
    <row r="1750" spans="1:30" x14ac:dyDescent="0.25">
      <c r="A1750" t="s">
        <v>1774</v>
      </c>
      <c r="B1750" s="2">
        <v>44613</v>
      </c>
      <c r="C1750" s="2">
        <v>44620</v>
      </c>
      <c r="D1750" t="s">
        <v>5105</v>
      </c>
      <c r="E1750" t="s">
        <v>5605</v>
      </c>
      <c r="F1750" t="s">
        <v>6027</v>
      </c>
      <c r="G1750" t="s">
        <v>6029</v>
      </c>
      <c r="H1750" t="s">
        <v>6044</v>
      </c>
      <c r="I1750" t="s">
        <v>6049</v>
      </c>
      <c r="J1750" t="s">
        <v>6054</v>
      </c>
      <c r="K1750" t="s">
        <v>6062</v>
      </c>
      <c r="L1750" t="s">
        <v>7656</v>
      </c>
      <c r="M1750">
        <v>564.87</v>
      </c>
      <c r="N1750">
        <v>6</v>
      </c>
      <c r="O1750">
        <v>0.21</v>
      </c>
      <c r="P1750">
        <v>12.71</v>
      </c>
      <c r="Q1750" t="s">
        <v>9893</v>
      </c>
      <c r="R1750">
        <v>7</v>
      </c>
      <c r="S1750" s="5">
        <f t="shared" si="54"/>
        <v>2.2500752385504631E-2</v>
      </c>
      <c r="T1750">
        <v>94.144999999999996</v>
      </c>
      <c r="U1750">
        <v>2</v>
      </c>
      <c r="V1750">
        <v>2022</v>
      </c>
      <c r="W1750">
        <v>1</v>
      </c>
      <c r="X1750" t="s">
        <v>9899</v>
      </c>
      <c r="Y1750" t="s">
        <v>9900</v>
      </c>
      <c r="Z1750" t="s">
        <v>9899</v>
      </c>
      <c r="AD1750">
        <f t="shared" si="55"/>
        <v>7</v>
      </c>
    </row>
    <row r="1751" spans="1:30" x14ac:dyDescent="0.25">
      <c r="A1751" t="s">
        <v>1775</v>
      </c>
      <c r="B1751" s="2">
        <v>44804</v>
      </c>
      <c r="C1751" s="2">
        <v>44807</v>
      </c>
      <c r="D1751" t="s">
        <v>5249</v>
      </c>
      <c r="E1751" t="s">
        <v>5749</v>
      </c>
      <c r="F1751" t="s">
        <v>6026</v>
      </c>
      <c r="G1751" t="s">
        <v>6030</v>
      </c>
      <c r="H1751" t="s">
        <v>6039</v>
      </c>
      <c r="I1751" t="s">
        <v>6051</v>
      </c>
      <c r="J1751" t="s">
        <v>6053</v>
      </c>
      <c r="K1751" t="s">
        <v>6057</v>
      </c>
      <c r="L1751" t="s">
        <v>6070</v>
      </c>
      <c r="M1751">
        <v>956.11</v>
      </c>
      <c r="N1751">
        <v>8</v>
      </c>
      <c r="O1751">
        <v>0.04</v>
      </c>
      <c r="P1751">
        <v>151.53</v>
      </c>
      <c r="Q1751" t="s">
        <v>9893</v>
      </c>
      <c r="R1751">
        <v>3</v>
      </c>
      <c r="S1751" s="5">
        <f t="shared" si="54"/>
        <v>0.15848594826955056</v>
      </c>
      <c r="T1751">
        <v>119.51375</v>
      </c>
      <c r="U1751">
        <v>8</v>
      </c>
      <c r="V1751">
        <v>2022</v>
      </c>
      <c r="W1751">
        <v>3</v>
      </c>
      <c r="X1751" t="s">
        <v>9899</v>
      </c>
      <c r="Y1751" t="s">
        <v>9901</v>
      </c>
      <c r="Z1751" t="s">
        <v>9899</v>
      </c>
      <c r="AD1751">
        <f t="shared" si="55"/>
        <v>3</v>
      </c>
    </row>
    <row r="1752" spans="1:30" x14ac:dyDescent="0.25">
      <c r="A1752" t="s">
        <v>1776</v>
      </c>
      <c r="B1752" s="2">
        <v>44696</v>
      </c>
      <c r="C1752" s="2">
        <v>44702</v>
      </c>
      <c r="D1752" t="s">
        <v>5465</v>
      </c>
      <c r="E1752" t="s">
        <v>5965</v>
      </c>
      <c r="F1752" t="s">
        <v>6026</v>
      </c>
      <c r="G1752" t="s">
        <v>6030</v>
      </c>
      <c r="H1752" t="s">
        <v>6038</v>
      </c>
      <c r="I1752" t="s">
        <v>6051</v>
      </c>
      <c r="J1752" t="s">
        <v>6054</v>
      </c>
      <c r="K1752" t="s">
        <v>6062</v>
      </c>
      <c r="L1752" t="s">
        <v>6800</v>
      </c>
      <c r="M1752">
        <v>1521.53</v>
      </c>
      <c r="N1752">
        <v>8</v>
      </c>
      <c r="O1752">
        <v>0.06</v>
      </c>
      <c r="P1752">
        <v>317.76</v>
      </c>
      <c r="Q1752" t="s">
        <v>9897</v>
      </c>
      <c r="R1752">
        <v>6</v>
      </c>
      <c r="S1752" s="5">
        <f t="shared" si="54"/>
        <v>0.20884241520048899</v>
      </c>
      <c r="T1752">
        <v>190.19125</v>
      </c>
      <c r="U1752">
        <v>5</v>
      </c>
      <c r="V1752">
        <v>2022</v>
      </c>
      <c r="W1752">
        <v>2</v>
      </c>
      <c r="X1752" t="s">
        <v>9899</v>
      </c>
      <c r="Y1752" t="s">
        <v>9901</v>
      </c>
      <c r="Z1752" t="s">
        <v>9898</v>
      </c>
      <c r="AD1752">
        <f t="shared" si="55"/>
        <v>6</v>
      </c>
    </row>
    <row r="1753" spans="1:30" x14ac:dyDescent="0.25">
      <c r="A1753" t="s">
        <v>1777</v>
      </c>
      <c r="B1753" s="2">
        <v>44771</v>
      </c>
      <c r="C1753" s="2">
        <v>44773</v>
      </c>
      <c r="D1753" t="s">
        <v>5308</v>
      </c>
      <c r="E1753" t="s">
        <v>5808</v>
      </c>
      <c r="F1753" t="s">
        <v>6028</v>
      </c>
      <c r="G1753" t="s">
        <v>6029</v>
      </c>
      <c r="H1753" t="s">
        <v>6032</v>
      </c>
      <c r="I1753" t="s">
        <v>6046</v>
      </c>
      <c r="J1753" t="s">
        <v>6053</v>
      </c>
      <c r="K1753" t="s">
        <v>6058</v>
      </c>
      <c r="L1753" t="s">
        <v>7657</v>
      </c>
      <c r="M1753">
        <v>1883.39</v>
      </c>
      <c r="N1753">
        <v>5</v>
      </c>
      <c r="O1753">
        <v>0.31</v>
      </c>
      <c r="P1753">
        <v>-217.57</v>
      </c>
      <c r="Q1753" t="s">
        <v>9897</v>
      </c>
      <c r="R1753">
        <v>2</v>
      </c>
      <c r="S1753" s="5">
        <f t="shared" si="54"/>
        <v>-0.1155204179697248</v>
      </c>
      <c r="T1753">
        <v>376.678</v>
      </c>
      <c r="U1753">
        <v>7</v>
      </c>
      <c r="V1753">
        <v>2022</v>
      </c>
      <c r="W1753">
        <v>3</v>
      </c>
      <c r="X1753" t="s">
        <v>9898</v>
      </c>
      <c r="Y1753" t="s">
        <v>9902</v>
      </c>
      <c r="Z1753" t="s">
        <v>9898</v>
      </c>
      <c r="AD1753">
        <f t="shared" si="55"/>
        <v>2</v>
      </c>
    </row>
    <row r="1754" spans="1:30" x14ac:dyDescent="0.25">
      <c r="A1754" t="s">
        <v>1778</v>
      </c>
      <c r="B1754" s="2">
        <v>45272</v>
      </c>
      <c r="C1754" s="2">
        <v>45278</v>
      </c>
      <c r="D1754" t="s">
        <v>5368</v>
      </c>
      <c r="E1754" t="s">
        <v>5868</v>
      </c>
      <c r="F1754" t="s">
        <v>6027</v>
      </c>
      <c r="G1754" t="s">
        <v>6030</v>
      </c>
      <c r="H1754" t="s">
        <v>6033</v>
      </c>
      <c r="I1754" t="s">
        <v>6051</v>
      </c>
      <c r="J1754" t="s">
        <v>6053</v>
      </c>
      <c r="K1754" t="s">
        <v>6058</v>
      </c>
      <c r="L1754" t="s">
        <v>7658</v>
      </c>
      <c r="M1754">
        <v>999.61</v>
      </c>
      <c r="N1754">
        <v>5</v>
      </c>
      <c r="O1754">
        <v>0.01</v>
      </c>
      <c r="P1754">
        <v>139.49</v>
      </c>
      <c r="Q1754" t="s">
        <v>9897</v>
      </c>
      <c r="R1754">
        <v>6</v>
      </c>
      <c r="S1754" s="5">
        <f t="shared" si="54"/>
        <v>0.13954442232470665</v>
      </c>
      <c r="T1754">
        <v>199.922</v>
      </c>
      <c r="U1754">
        <v>12</v>
      </c>
      <c r="V1754">
        <v>2023</v>
      </c>
      <c r="W1754">
        <v>4</v>
      </c>
      <c r="X1754" t="s">
        <v>9899</v>
      </c>
      <c r="Y1754" t="s">
        <v>9901</v>
      </c>
      <c r="Z1754" t="s">
        <v>9899</v>
      </c>
      <c r="AD1754">
        <f t="shared" si="55"/>
        <v>6</v>
      </c>
    </row>
    <row r="1755" spans="1:30" x14ac:dyDescent="0.25">
      <c r="A1755" t="s">
        <v>1779</v>
      </c>
      <c r="B1755" s="2">
        <v>44985</v>
      </c>
      <c r="C1755" s="2">
        <v>44990</v>
      </c>
      <c r="D1755" t="s">
        <v>5460</v>
      </c>
      <c r="E1755" t="s">
        <v>5960</v>
      </c>
      <c r="F1755" t="s">
        <v>6026</v>
      </c>
      <c r="G1755" t="s">
        <v>6031</v>
      </c>
      <c r="H1755" t="s">
        <v>6034</v>
      </c>
      <c r="I1755" t="s">
        <v>6048</v>
      </c>
      <c r="J1755" t="s">
        <v>6054</v>
      </c>
      <c r="K1755" t="s">
        <v>6062</v>
      </c>
      <c r="L1755" t="s">
        <v>7659</v>
      </c>
      <c r="M1755">
        <v>155.15</v>
      </c>
      <c r="N1755">
        <v>5</v>
      </c>
      <c r="O1755">
        <v>0.09</v>
      </c>
      <c r="P1755">
        <v>30.89</v>
      </c>
      <c r="Q1755" t="s">
        <v>9895</v>
      </c>
      <c r="R1755">
        <v>5</v>
      </c>
      <c r="S1755" s="5">
        <f t="shared" si="54"/>
        <v>0.19909764743796327</v>
      </c>
      <c r="T1755">
        <v>31.03</v>
      </c>
      <c r="U1755">
        <v>2</v>
      </c>
      <c r="V1755">
        <v>2023</v>
      </c>
      <c r="W1755">
        <v>1</v>
      </c>
      <c r="X1755" t="s">
        <v>9899</v>
      </c>
      <c r="Y1755" t="s">
        <v>9901</v>
      </c>
      <c r="Z1755" t="s">
        <v>9899</v>
      </c>
      <c r="AD1755">
        <f t="shared" si="55"/>
        <v>5</v>
      </c>
    </row>
    <row r="1756" spans="1:30" x14ac:dyDescent="0.25">
      <c r="A1756" t="s">
        <v>1780</v>
      </c>
      <c r="B1756" s="2">
        <v>45185</v>
      </c>
      <c r="C1756" s="2">
        <v>45188</v>
      </c>
      <c r="D1756" t="s">
        <v>5488</v>
      </c>
      <c r="E1756" t="s">
        <v>5988</v>
      </c>
      <c r="F1756" t="s">
        <v>6027</v>
      </c>
      <c r="G1756" t="s">
        <v>6031</v>
      </c>
      <c r="H1756" t="s">
        <v>6034</v>
      </c>
      <c r="I1756" t="s">
        <v>6048</v>
      </c>
      <c r="J1756" t="s">
        <v>6055</v>
      </c>
      <c r="K1756" t="s">
        <v>6064</v>
      </c>
      <c r="L1756" t="s">
        <v>7660</v>
      </c>
      <c r="M1756">
        <v>776.79</v>
      </c>
      <c r="N1756">
        <v>7</v>
      </c>
      <c r="O1756">
        <v>0.2</v>
      </c>
      <c r="P1756">
        <v>49.05</v>
      </c>
      <c r="Q1756" t="s">
        <v>9894</v>
      </c>
      <c r="R1756">
        <v>3</v>
      </c>
      <c r="S1756" s="5">
        <f t="shared" si="54"/>
        <v>6.314447920287336E-2</v>
      </c>
      <c r="T1756">
        <v>110.97</v>
      </c>
      <c r="U1756">
        <v>9</v>
      </c>
      <c r="V1756">
        <v>2023</v>
      </c>
      <c r="W1756">
        <v>3</v>
      </c>
      <c r="X1756" t="s">
        <v>9899</v>
      </c>
      <c r="Y1756" t="s">
        <v>9900</v>
      </c>
      <c r="Z1756" t="s">
        <v>9899</v>
      </c>
      <c r="AD1756">
        <f t="shared" si="55"/>
        <v>3</v>
      </c>
    </row>
    <row r="1757" spans="1:30" x14ac:dyDescent="0.25">
      <c r="A1757" t="s">
        <v>1781</v>
      </c>
      <c r="B1757" s="2">
        <v>44649</v>
      </c>
      <c r="C1757" s="2">
        <v>44650</v>
      </c>
      <c r="D1757" t="s">
        <v>5292</v>
      </c>
      <c r="E1757" t="s">
        <v>5792</v>
      </c>
      <c r="F1757" t="s">
        <v>6026</v>
      </c>
      <c r="G1757" t="s">
        <v>6030</v>
      </c>
      <c r="H1757" t="s">
        <v>6039</v>
      </c>
      <c r="I1757" t="s">
        <v>6047</v>
      </c>
      <c r="J1757" t="s">
        <v>6055</v>
      </c>
      <c r="K1757" t="s">
        <v>6061</v>
      </c>
      <c r="L1757" t="s">
        <v>7661</v>
      </c>
      <c r="M1757">
        <v>1566.34</v>
      </c>
      <c r="N1757">
        <v>2</v>
      </c>
      <c r="O1757">
        <v>0.13</v>
      </c>
      <c r="P1757">
        <v>207.08</v>
      </c>
      <c r="Q1757" t="s">
        <v>9893</v>
      </c>
      <c r="R1757">
        <v>1</v>
      </c>
      <c r="S1757" s="5">
        <f t="shared" si="54"/>
        <v>0.13220628982213314</v>
      </c>
      <c r="T1757">
        <v>783.17</v>
      </c>
      <c r="U1757">
        <v>3</v>
      </c>
      <c r="V1757">
        <v>2022</v>
      </c>
      <c r="W1757">
        <v>1</v>
      </c>
      <c r="X1757" t="s">
        <v>9899</v>
      </c>
      <c r="Y1757" t="s">
        <v>9901</v>
      </c>
      <c r="Z1757" t="s">
        <v>9898</v>
      </c>
      <c r="AD1757">
        <f t="shared" si="55"/>
        <v>1</v>
      </c>
    </row>
    <row r="1758" spans="1:30" x14ac:dyDescent="0.25">
      <c r="A1758" t="s">
        <v>1782</v>
      </c>
      <c r="B1758" s="2">
        <v>45147</v>
      </c>
      <c r="C1758" s="2">
        <v>45153</v>
      </c>
      <c r="D1758" t="s">
        <v>5441</v>
      </c>
      <c r="E1758" t="s">
        <v>5941</v>
      </c>
      <c r="F1758" t="s">
        <v>6026</v>
      </c>
      <c r="G1758" t="s">
        <v>6030</v>
      </c>
      <c r="H1758" t="s">
        <v>6035</v>
      </c>
      <c r="I1758" t="s">
        <v>6051</v>
      </c>
      <c r="J1758" t="s">
        <v>6055</v>
      </c>
      <c r="K1758" t="s">
        <v>6064</v>
      </c>
      <c r="L1758" t="s">
        <v>6279</v>
      </c>
      <c r="M1758">
        <v>836.43</v>
      </c>
      <c r="N1758">
        <v>2</v>
      </c>
      <c r="O1758">
        <v>0.25</v>
      </c>
      <c r="P1758">
        <v>-112.15</v>
      </c>
      <c r="Q1758" t="s">
        <v>9896</v>
      </c>
      <c r="R1758">
        <v>6</v>
      </c>
      <c r="S1758" s="5">
        <f t="shared" si="54"/>
        <v>-0.13408175220879215</v>
      </c>
      <c r="T1758">
        <v>418.21499999999997</v>
      </c>
      <c r="U1758">
        <v>8</v>
      </c>
      <c r="V1758">
        <v>2023</v>
      </c>
      <c r="W1758">
        <v>3</v>
      </c>
      <c r="X1758" t="s">
        <v>9898</v>
      </c>
      <c r="Y1758" t="s">
        <v>9900</v>
      </c>
      <c r="Z1758" t="s">
        <v>9899</v>
      </c>
      <c r="AD1758">
        <f t="shared" si="55"/>
        <v>6</v>
      </c>
    </row>
    <row r="1759" spans="1:30" x14ac:dyDescent="0.25">
      <c r="A1759" t="s">
        <v>1783</v>
      </c>
      <c r="B1759" s="2">
        <v>45168</v>
      </c>
      <c r="C1759" s="2">
        <v>45172</v>
      </c>
      <c r="D1759" t="s">
        <v>5308</v>
      </c>
      <c r="E1759" t="s">
        <v>5808</v>
      </c>
      <c r="F1759" t="s">
        <v>6026</v>
      </c>
      <c r="G1759" t="s">
        <v>6031</v>
      </c>
      <c r="H1759" t="s">
        <v>6034</v>
      </c>
      <c r="I1759" t="s">
        <v>6050</v>
      </c>
      <c r="J1759" t="s">
        <v>6055</v>
      </c>
      <c r="K1759" t="s">
        <v>6063</v>
      </c>
      <c r="L1759" t="s">
        <v>7553</v>
      </c>
      <c r="M1759">
        <v>573.96</v>
      </c>
      <c r="N1759">
        <v>1</v>
      </c>
      <c r="O1759">
        <v>0.14000000000000001</v>
      </c>
      <c r="P1759">
        <v>-2.13</v>
      </c>
      <c r="Q1759" t="s">
        <v>9894</v>
      </c>
      <c r="R1759">
        <v>4</v>
      </c>
      <c r="S1759" s="5">
        <f t="shared" si="54"/>
        <v>-3.7110600041814754E-3</v>
      </c>
      <c r="T1759">
        <v>573.96</v>
      </c>
      <c r="U1759">
        <v>8</v>
      </c>
      <c r="V1759">
        <v>2023</v>
      </c>
      <c r="W1759">
        <v>3</v>
      </c>
      <c r="X1759" t="s">
        <v>9898</v>
      </c>
      <c r="Y1759" t="s">
        <v>9901</v>
      </c>
      <c r="Z1759" t="s">
        <v>9899</v>
      </c>
      <c r="AD1759">
        <f t="shared" si="55"/>
        <v>4</v>
      </c>
    </row>
    <row r="1760" spans="1:30" x14ac:dyDescent="0.25">
      <c r="A1760" t="s">
        <v>1784</v>
      </c>
      <c r="B1760" s="2">
        <v>44599</v>
      </c>
      <c r="C1760" s="2">
        <v>44603</v>
      </c>
      <c r="D1760" t="s">
        <v>5356</v>
      </c>
      <c r="E1760" t="s">
        <v>5856</v>
      </c>
      <c r="F1760" t="s">
        <v>6027</v>
      </c>
      <c r="G1760" t="s">
        <v>6029</v>
      </c>
      <c r="H1760" t="s">
        <v>6041</v>
      </c>
      <c r="I1760" t="s">
        <v>6049</v>
      </c>
      <c r="J1760" t="s">
        <v>6053</v>
      </c>
      <c r="K1760" t="s">
        <v>6058</v>
      </c>
      <c r="L1760" t="s">
        <v>7662</v>
      </c>
      <c r="M1760">
        <v>1757.29</v>
      </c>
      <c r="N1760">
        <v>6</v>
      </c>
      <c r="O1760">
        <v>0.06</v>
      </c>
      <c r="P1760">
        <v>201.7</v>
      </c>
      <c r="Q1760" t="s">
        <v>9895</v>
      </c>
      <c r="R1760">
        <v>4</v>
      </c>
      <c r="S1760" s="5">
        <f t="shared" si="54"/>
        <v>0.11477900631085364</v>
      </c>
      <c r="T1760">
        <v>292.88166666666672</v>
      </c>
      <c r="U1760">
        <v>2</v>
      </c>
      <c r="V1760">
        <v>2022</v>
      </c>
      <c r="W1760">
        <v>1</v>
      </c>
      <c r="X1760" t="s">
        <v>9899</v>
      </c>
      <c r="Y1760" t="s">
        <v>9901</v>
      </c>
      <c r="Z1760" t="s">
        <v>9898</v>
      </c>
      <c r="AD1760">
        <f t="shared" si="55"/>
        <v>4</v>
      </c>
    </row>
    <row r="1761" spans="1:30" x14ac:dyDescent="0.25">
      <c r="A1761" t="s">
        <v>1785</v>
      </c>
      <c r="B1761" s="2">
        <v>45124</v>
      </c>
      <c r="C1761" s="2">
        <v>45125</v>
      </c>
      <c r="D1761" t="s">
        <v>5105</v>
      </c>
      <c r="E1761" t="s">
        <v>5605</v>
      </c>
      <c r="F1761" t="s">
        <v>6028</v>
      </c>
      <c r="G1761" t="s">
        <v>6030</v>
      </c>
      <c r="H1761" t="s">
        <v>6038</v>
      </c>
      <c r="I1761" t="s">
        <v>6047</v>
      </c>
      <c r="J1761" t="s">
        <v>6055</v>
      </c>
      <c r="K1761" t="s">
        <v>6061</v>
      </c>
      <c r="L1761" t="s">
        <v>7663</v>
      </c>
      <c r="M1761">
        <v>1445.72</v>
      </c>
      <c r="N1761">
        <v>5</v>
      </c>
      <c r="O1761">
        <v>0</v>
      </c>
      <c r="P1761">
        <v>423.95</v>
      </c>
      <c r="Q1761" t="s">
        <v>9897</v>
      </c>
      <c r="R1761">
        <v>1</v>
      </c>
      <c r="S1761" s="5">
        <f t="shared" si="54"/>
        <v>0.29324488836012502</v>
      </c>
      <c r="T1761">
        <v>289.14400000000001</v>
      </c>
      <c r="U1761">
        <v>7</v>
      </c>
      <c r="V1761">
        <v>2023</v>
      </c>
      <c r="W1761">
        <v>3</v>
      </c>
      <c r="X1761" t="s">
        <v>9899</v>
      </c>
      <c r="Y1761" t="s">
        <v>9901</v>
      </c>
      <c r="Z1761" t="s">
        <v>9898</v>
      </c>
      <c r="AD1761">
        <f t="shared" si="55"/>
        <v>1</v>
      </c>
    </row>
    <row r="1762" spans="1:30" x14ac:dyDescent="0.25">
      <c r="A1762" t="s">
        <v>1786</v>
      </c>
      <c r="B1762" s="2">
        <v>45101</v>
      </c>
      <c r="C1762" s="2">
        <v>45104</v>
      </c>
      <c r="D1762" t="s">
        <v>5313</v>
      </c>
      <c r="E1762" t="s">
        <v>5813</v>
      </c>
      <c r="F1762" t="s">
        <v>6026</v>
      </c>
      <c r="G1762" t="s">
        <v>6031</v>
      </c>
      <c r="H1762" t="s">
        <v>6040</v>
      </c>
      <c r="I1762" t="s">
        <v>6048</v>
      </c>
      <c r="J1762" t="s">
        <v>6053</v>
      </c>
      <c r="K1762" t="s">
        <v>6056</v>
      </c>
      <c r="L1762" t="s">
        <v>7664</v>
      </c>
      <c r="M1762">
        <v>1973.07</v>
      </c>
      <c r="N1762">
        <v>4</v>
      </c>
      <c r="O1762">
        <v>0.25</v>
      </c>
      <c r="P1762">
        <v>3.63</v>
      </c>
      <c r="Q1762" t="s">
        <v>9893</v>
      </c>
      <c r="R1762">
        <v>3</v>
      </c>
      <c r="S1762" s="5">
        <f t="shared" si="54"/>
        <v>1.8397725372135808E-3</v>
      </c>
      <c r="T1762">
        <v>493.26749999999998</v>
      </c>
      <c r="U1762">
        <v>6</v>
      </c>
      <c r="V1762">
        <v>2023</v>
      </c>
      <c r="W1762">
        <v>2</v>
      </c>
      <c r="X1762" t="s">
        <v>9899</v>
      </c>
      <c r="Y1762" t="s">
        <v>9900</v>
      </c>
      <c r="Z1762" t="s">
        <v>9898</v>
      </c>
      <c r="AD1762">
        <f t="shared" si="55"/>
        <v>3</v>
      </c>
    </row>
    <row r="1763" spans="1:30" x14ac:dyDescent="0.25">
      <c r="A1763" t="s">
        <v>1787</v>
      </c>
      <c r="B1763" s="2">
        <v>44821</v>
      </c>
      <c r="C1763" s="2">
        <v>44828</v>
      </c>
      <c r="D1763" t="s">
        <v>5166</v>
      </c>
      <c r="E1763" t="s">
        <v>5666</v>
      </c>
      <c r="F1763" t="s">
        <v>6026</v>
      </c>
      <c r="G1763" t="s">
        <v>6031</v>
      </c>
      <c r="H1763" t="s">
        <v>6042</v>
      </c>
      <c r="I1763" t="s">
        <v>6048</v>
      </c>
      <c r="J1763" t="s">
        <v>6055</v>
      </c>
      <c r="K1763" t="s">
        <v>6061</v>
      </c>
      <c r="L1763" t="s">
        <v>7665</v>
      </c>
      <c r="M1763">
        <v>1043.82</v>
      </c>
      <c r="N1763">
        <v>8</v>
      </c>
      <c r="O1763">
        <v>0.04</v>
      </c>
      <c r="P1763">
        <v>77.17</v>
      </c>
      <c r="Q1763" t="s">
        <v>9897</v>
      </c>
      <c r="R1763">
        <v>7</v>
      </c>
      <c r="S1763" s="5">
        <f t="shared" si="54"/>
        <v>7.3930371136786036E-2</v>
      </c>
      <c r="T1763">
        <v>130.47749999999999</v>
      </c>
      <c r="U1763">
        <v>9</v>
      </c>
      <c r="V1763">
        <v>2022</v>
      </c>
      <c r="W1763">
        <v>3</v>
      </c>
      <c r="X1763" t="s">
        <v>9899</v>
      </c>
      <c r="Y1763" t="s">
        <v>9901</v>
      </c>
      <c r="Z1763" t="s">
        <v>9898</v>
      </c>
      <c r="AD1763">
        <f t="shared" si="55"/>
        <v>7</v>
      </c>
    </row>
    <row r="1764" spans="1:30" x14ac:dyDescent="0.25">
      <c r="A1764" t="s">
        <v>1788</v>
      </c>
      <c r="B1764" s="2">
        <v>44908</v>
      </c>
      <c r="C1764" s="2">
        <v>44914</v>
      </c>
      <c r="D1764" t="s">
        <v>5243</v>
      </c>
      <c r="E1764" t="s">
        <v>5743</v>
      </c>
      <c r="F1764" t="s">
        <v>6027</v>
      </c>
      <c r="G1764" t="s">
        <v>6029</v>
      </c>
      <c r="H1764" t="s">
        <v>6032</v>
      </c>
      <c r="I1764" t="s">
        <v>6049</v>
      </c>
      <c r="J1764" t="s">
        <v>6054</v>
      </c>
      <c r="K1764" t="s">
        <v>6060</v>
      </c>
      <c r="L1764" t="s">
        <v>7666</v>
      </c>
      <c r="M1764">
        <v>1916.42</v>
      </c>
      <c r="N1764">
        <v>6</v>
      </c>
      <c r="O1764">
        <v>7.0000000000000007E-2</v>
      </c>
      <c r="P1764">
        <v>276.7</v>
      </c>
      <c r="Q1764" t="s">
        <v>9897</v>
      </c>
      <c r="R1764">
        <v>6</v>
      </c>
      <c r="S1764" s="5">
        <f t="shared" si="54"/>
        <v>0.14438379895847464</v>
      </c>
      <c r="T1764">
        <v>319.40333333333342</v>
      </c>
      <c r="U1764">
        <v>12</v>
      </c>
      <c r="V1764">
        <v>2022</v>
      </c>
      <c r="W1764">
        <v>4</v>
      </c>
      <c r="X1764" t="s">
        <v>9899</v>
      </c>
      <c r="Y1764" t="s">
        <v>9901</v>
      </c>
      <c r="Z1764" t="s">
        <v>9898</v>
      </c>
      <c r="AD1764">
        <f t="shared" si="55"/>
        <v>6</v>
      </c>
    </row>
    <row r="1765" spans="1:30" x14ac:dyDescent="0.25">
      <c r="A1765" t="s">
        <v>1789</v>
      </c>
      <c r="B1765" s="2">
        <v>45449</v>
      </c>
      <c r="C1765" s="2">
        <v>45452</v>
      </c>
      <c r="D1765" t="s">
        <v>5066</v>
      </c>
      <c r="E1765" t="s">
        <v>5566</v>
      </c>
      <c r="F1765" t="s">
        <v>6028</v>
      </c>
      <c r="G1765" t="s">
        <v>6030</v>
      </c>
      <c r="H1765" t="s">
        <v>6039</v>
      </c>
      <c r="I1765" t="s">
        <v>6047</v>
      </c>
      <c r="J1765" t="s">
        <v>6053</v>
      </c>
      <c r="K1765" t="s">
        <v>6058</v>
      </c>
      <c r="L1765" t="s">
        <v>6698</v>
      </c>
      <c r="M1765">
        <v>152.91</v>
      </c>
      <c r="N1765">
        <v>7</v>
      </c>
      <c r="O1765">
        <v>0.35</v>
      </c>
      <c r="P1765">
        <v>-15.89</v>
      </c>
      <c r="Q1765" t="s">
        <v>9894</v>
      </c>
      <c r="R1765">
        <v>3</v>
      </c>
      <c r="S1765" s="5">
        <f t="shared" si="54"/>
        <v>-0.10391733699561834</v>
      </c>
      <c r="T1765">
        <v>21.844285714285711</v>
      </c>
      <c r="U1765">
        <v>6</v>
      </c>
      <c r="V1765">
        <v>2024</v>
      </c>
      <c r="W1765">
        <v>2</v>
      </c>
      <c r="X1765" t="s">
        <v>9898</v>
      </c>
      <c r="Y1765" t="s">
        <v>9902</v>
      </c>
      <c r="Z1765" t="s">
        <v>9899</v>
      </c>
      <c r="AD1765">
        <f t="shared" si="55"/>
        <v>3</v>
      </c>
    </row>
    <row r="1766" spans="1:30" x14ac:dyDescent="0.25">
      <c r="A1766" t="s">
        <v>1790</v>
      </c>
      <c r="B1766" s="2">
        <v>45233</v>
      </c>
      <c r="C1766" s="2">
        <v>45236</v>
      </c>
      <c r="D1766" t="s">
        <v>5316</v>
      </c>
      <c r="E1766" t="s">
        <v>5816</v>
      </c>
      <c r="F1766" t="s">
        <v>6028</v>
      </c>
      <c r="G1766" t="s">
        <v>6030</v>
      </c>
      <c r="H1766" t="s">
        <v>6033</v>
      </c>
      <c r="I1766" t="s">
        <v>6047</v>
      </c>
      <c r="J1766" t="s">
        <v>6055</v>
      </c>
      <c r="K1766" t="s">
        <v>6061</v>
      </c>
      <c r="L1766" t="s">
        <v>7667</v>
      </c>
      <c r="M1766">
        <v>1481.31</v>
      </c>
      <c r="N1766">
        <v>8</v>
      </c>
      <c r="O1766">
        <v>0.32</v>
      </c>
      <c r="P1766">
        <v>-242.02</v>
      </c>
      <c r="Q1766" t="s">
        <v>9896</v>
      </c>
      <c r="R1766">
        <v>3</v>
      </c>
      <c r="S1766" s="5">
        <f t="shared" si="54"/>
        <v>-0.16338241151413277</v>
      </c>
      <c r="T1766">
        <v>185.16374999999999</v>
      </c>
      <c r="U1766">
        <v>11</v>
      </c>
      <c r="V1766">
        <v>2023</v>
      </c>
      <c r="W1766">
        <v>4</v>
      </c>
      <c r="X1766" t="s">
        <v>9898</v>
      </c>
      <c r="Y1766" t="s">
        <v>9902</v>
      </c>
      <c r="Z1766" t="s">
        <v>9898</v>
      </c>
      <c r="AD1766">
        <f t="shared" si="55"/>
        <v>3</v>
      </c>
    </row>
    <row r="1767" spans="1:30" x14ac:dyDescent="0.25">
      <c r="A1767" t="s">
        <v>1791</v>
      </c>
      <c r="B1767" s="2">
        <v>45348</v>
      </c>
      <c r="C1767" s="2">
        <v>45349</v>
      </c>
      <c r="D1767" t="s">
        <v>5273</v>
      </c>
      <c r="E1767" t="s">
        <v>5773</v>
      </c>
      <c r="F1767" t="s">
        <v>6027</v>
      </c>
      <c r="G1767" t="s">
        <v>6029</v>
      </c>
      <c r="H1767" t="s">
        <v>6044</v>
      </c>
      <c r="I1767" t="s">
        <v>6050</v>
      </c>
      <c r="J1767" t="s">
        <v>6054</v>
      </c>
      <c r="K1767" t="s">
        <v>6062</v>
      </c>
      <c r="L1767" t="s">
        <v>7668</v>
      </c>
      <c r="M1767">
        <v>1363.19</v>
      </c>
      <c r="N1767">
        <v>8</v>
      </c>
      <c r="O1767">
        <v>0.03</v>
      </c>
      <c r="P1767">
        <v>221.7</v>
      </c>
      <c r="Q1767" t="s">
        <v>9897</v>
      </c>
      <c r="R1767">
        <v>1</v>
      </c>
      <c r="S1767" s="5">
        <f t="shared" si="54"/>
        <v>0.16263323527901466</v>
      </c>
      <c r="T1767">
        <v>170.39875000000001</v>
      </c>
      <c r="U1767">
        <v>2</v>
      </c>
      <c r="V1767">
        <v>2024</v>
      </c>
      <c r="W1767">
        <v>1</v>
      </c>
      <c r="X1767" t="s">
        <v>9899</v>
      </c>
      <c r="Y1767" t="s">
        <v>9901</v>
      </c>
      <c r="Z1767" t="s">
        <v>9898</v>
      </c>
      <c r="AD1767">
        <f t="shared" si="55"/>
        <v>1</v>
      </c>
    </row>
    <row r="1768" spans="1:30" x14ac:dyDescent="0.25">
      <c r="A1768" t="s">
        <v>1792</v>
      </c>
      <c r="B1768" s="2">
        <v>45004</v>
      </c>
      <c r="C1768" s="2">
        <v>45009</v>
      </c>
      <c r="D1768" t="s">
        <v>5457</v>
      </c>
      <c r="E1768" t="s">
        <v>5957</v>
      </c>
      <c r="F1768" t="s">
        <v>6028</v>
      </c>
      <c r="G1768" t="s">
        <v>6030</v>
      </c>
      <c r="H1768" t="s">
        <v>6033</v>
      </c>
      <c r="I1768" t="s">
        <v>6047</v>
      </c>
      <c r="J1768" t="s">
        <v>6053</v>
      </c>
      <c r="K1768" t="s">
        <v>6057</v>
      </c>
      <c r="L1768" t="s">
        <v>7669</v>
      </c>
      <c r="M1768">
        <v>1625.33</v>
      </c>
      <c r="N1768">
        <v>4</v>
      </c>
      <c r="O1768">
        <v>0.17</v>
      </c>
      <c r="P1768">
        <v>209.39</v>
      </c>
      <c r="Q1768" t="s">
        <v>9894</v>
      </c>
      <c r="R1768">
        <v>5</v>
      </c>
      <c r="S1768" s="5">
        <f t="shared" si="54"/>
        <v>0.12882922237330266</v>
      </c>
      <c r="T1768">
        <v>406.33249999999998</v>
      </c>
      <c r="U1768">
        <v>3</v>
      </c>
      <c r="V1768">
        <v>2023</v>
      </c>
      <c r="W1768">
        <v>1</v>
      </c>
      <c r="X1768" t="s">
        <v>9899</v>
      </c>
      <c r="Y1768" t="s">
        <v>9900</v>
      </c>
      <c r="Z1768" t="s">
        <v>9898</v>
      </c>
      <c r="AD1768">
        <f t="shared" si="55"/>
        <v>5</v>
      </c>
    </row>
    <row r="1769" spans="1:30" x14ac:dyDescent="0.25">
      <c r="A1769" t="s">
        <v>1793</v>
      </c>
      <c r="B1769" s="2">
        <v>45421</v>
      </c>
      <c r="C1769" s="2">
        <v>45423</v>
      </c>
      <c r="D1769" t="s">
        <v>5474</v>
      </c>
      <c r="E1769" t="s">
        <v>5974</v>
      </c>
      <c r="F1769" t="s">
        <v>6026</v>
      </c>
      <c r="G1769" t="s">
        <v>6029</v>
      </c>
      <c r="H1769" t="s">
        <v>6036</v>
      </c>
      <c r="I1769" t="s">
        <v>6050</v>
      </c>
      <c r="J1769" t="s">
        <v>6055</v>
      </c>
      <c r="K1769" t="s">
        <v>6061</v>
      </c>
      <c r="L1769" t="s">
        <v>7670</v>
      </c>
      <c r="M1769">
        <v>1560.58</v>
      </c>
      <c r="N1769">
        <v>4</v>
      </c>
      <c r="O1769">
        <v>0.02</v>
      </c>
      <c r="P1769">
        <v>380.03</v>
      </c>
      <c r="Q1769" t="s">
        <v>9896</v>
      </c>
      <c r="R1769">
        <v>2</v>
      </c>
      <c r="S1769" s="5">
        <f t="shared" si="54"/>
        <v>0.24351843545348523</v>
      </c>
      <c r="T1769">
        <v>390.14499999999998</v>
      </c>
      <c r="U1769">
        <v>5</v>
      </c>
      <c r="V1769">
        <v>2024</v>
      </c>
      <c r="W1769">
        <v>2</v>
      </c>
      <c r="X1769" t="s">
        <v>9899</v>
      </c>
      <c r="Y1769" t="s">
        <v>9901</v>
      </c>
      <c r="Z1769" t="s">
        <v>9898</v>
      </c>
      <c r="AD1769">
        <f t="shared" si="55"/>
        <v>2</v>
      </c>
    </row>
    <row r="1770" spans="1:30" x14ac:dyDescent="0.25">
      <c r="A1770" t="s">
        <v>1794</v>
      </c>
      <c r="B1770" s="2">
        <v>45023</v>
      </c>
      <c r="C1770" s="2">
        <v>45026</v>
      </c>
      <c r="D1770" t="s">
        <v>5167</v>
      </c>
      <c r="E1770" t="s">
        <v>5667</v>
      </c>
      <c r="F1770" t="s">
        <v>6028</v>
      </c>
      <c r="G1770" t="s">
        <v>6030</v>
      </c>
      <c r="H1770" t="s">
        <v>6033</v>
      </c>
      <c r="I1770" t="s">
        <v>6051</v>
      </c>
      <c r="J1770" t="s">
        <v>6054</v>
      </c>
      <c r="K1770" t="s">
        <v>6059</v>
      </c>
      <c r="L1770" t="s">
        <v>7671</v>
      </c>
      <c r="M1770">
        <v>1517.82</v>
      </c>
      <c r="N1770">
        <v>2</v>
      </c>
      <c r="O1770">
        <v>0.15</v>
      </c>
      <c r="P1770">
        <v>118.93</v>
      </c>
      <c r="Q1770" t="s">
        <v>9895</v>
      </c>
      <c r="R1770">
        <v>3</v>
      </c>
      <c r="S1770" s="5">
        <f t="shared" si="54"/>
        <v>7.8355799765453094E-2</v>
      </c>
      <c r="T1770">
        <v>758.91</v>
      </c>
      <c r="U1770">
        <v>4</v>
      </c>
      <c r="V1770">
        <v>2023</v>
      </c>
      <c r="W1770">
        <v>2</v>
      </c>
      <c r="X1770" t="s">
        <v>9899</v>
      </c>
      <c r="Y1770" t="s">
        <v>9901</v>
      </c>
      <c r="Z1770" t="s">
        <v>9898</v>
      </c>
      <c r="AD1770">
        <f t="shared" si="55"/>
        <v>3</v>
      </c>
    </row>
    <row r="1771" spans="1:30" x14ac:dyDescent="0.25">
      <c r="A1771" t="s">
        <v>1795</v>
      </c>
      <c r="B1771" s="2">
        <v>44590</v>
      </c>
      <c r="C1771" s="2">
        <v>44593</v>
      </c>
      <c r="D1771" t="s">
        <v>5248</v>
      </c>
      <c r="E1771" t="s">
        <v>5748</v>
      </c>
      <c r="F1771" t="s">
        <v>6026</v>
      </c>
      <c r="G1771" t="s">
        <v>6029</v>
      </c>
      <c r="H1771" t="s">
        <v>6036</v>
      </c>
      <c r="I1771" t="s">
        <v>6049</v>
      </c>
      <c r="J1771" t="s">
        <v>6054</v>
      </c>
      <c r="K1771" t="s">
        <v>6059</v>
      </c>
      <c r="L1771" t="s">
        <v>7672</v>
      </c>
      <c r="M1771">
        <v>1437.36</v>
      </c>
      <c r="N1771">
        <v>6</v>
      </c>
      <c r="O1771">
        <v>0.08</v>
      </c>
      <c r="P1771">
        <v>175.24</v>
      </c>
      <c r="Q1771" t="s">
        <v>9896</v>
      </c>
      <c r="R1771">
        <v>3</v>
      </c>
      <c r="S1771" s="5">
        <f t="shared" si="54"/>
        <v>0.12191796070573831</v>
      </c>
      <c r="T1771">
        <v>239.56</v>
      </c>
      <c r="U1771">
        <v>1</v>
      </c>
      <c r="V1771">
        <v>2022</v>
      </c>
      <c r="W1771">
        <v>1</v>
      </c>
      <c r="X1771" t="s">
        <v>9899</v>
      </c>
      <c r="Y1771" t="s">
        <v>9901</v>
      </c>
      <c r="Z1771" t="s">
        <v>9898</v>
      </c>
      <c r="AD1771">
        <f t="shared" si="55"/>
        <v>3</v>
      </c>
    </row>
    <row r="1772" spans="1:30" x14ac:dyDescent="0.25">
      <c r="A1772" t="s">
        <v>1796</v>
      </c>
      <c r="B1772" s="2">
        <v>45277</v>
      </c>
      <c r="C1772" s="2">
        <v>45284</v>
      </c>
      <c r="D1772" t="s">
        <v>5239</v>
      </c>
      <c r="E1772" t="s">
        <v>5739</v>
      </c>
      <c r="F1772" t="s">
        <v>6028</v>
      </c>
      <c r="G1772" t="s">
        <v>6031</v>
      </c>
      <c r="H1772" t="s">
        <v>6034</v>
      </c>
      <c r="I1772" t="s">
        <v>6048</v>
      </c>
      <c r="J1772" t="s">
        <v>6053</v>
      </c>
      <c r="K1772" t="s">
        <v>6057</v>
      </c>
      <c r="L1772" t="s">
        <v>7673</v>
      </c>
      <c r="M1772">
        <v>926.86</v>
      </c>
      <c r="N1772">
        <v>7</v>
      </c>
      <c r="O1772">
        <v>0</v>
      </c>
      <c r="P1772">
        <v>255.94</v>
      </c>
      <c r="Q1772" t="s">
        <v>9894</v>
      </c>
      <c r="R1772">
        <v>7</v>
      </c>
      <c r="S1772" s="5">
        <f t="shared" si="54"/>
        <v>0.27613663336426214</v>
      </c>
      <c r="T1772">
        <v>132.40857142857141</v>
      </c>
      <c r="U1772">
        <v>12</v>
      </c>
      <c r="V1772">
        <v>2023</v>
      </c>
      <c r="W1772">
        <v>4</v>
      </c>
      <c r="X1772" t="s">
        <v>9899</v>
      </c>
      <c r="Y1772" t="s">
        <v>9901</v>
      </c>
      <c r="Z1772" t="s">
        <v>9899</v>
      </c>
      <c r="AD1772">
        <f t="shared" si="55"/>
        <v>7</v>
      </c>
    </row>
    <row r="1773" spans="1:30" x14ac:dyDescent="0.25">
      <c r="A1773" t="s">
        <v>1797</v>
      </c>
      <c r="B1773" s="2">
        <v>44563</v>
      </c>
      <c r="C1773" s="2">
        <v>44570</v>
      </c>
      <c r="D1773" t="s">
        <v>5446</v>
      </c>
      <c r="E1773" t="s">
        <v>5946</v>
      </c>
      <c r="F1773" t="s">
        <v>6026</v>
      </c>
      <c r="G1773" t="s">
        <v>6031</v>
      </c>
      <c r="H1773" t="s">
        <v>6037</v>
      </c>
      <c r="I1773" t="s">
        <v>6048</v>
      </c>
      <c r="J1773" t="s">
        <v>6054</v>
      </c>
      <c r="K1773" t="s">
        <v>6062</v>
      </c>
      <c r="L1773" t="s">
        <v>7674</v>
      </c>
      <c r="M1773">
        <v>1802.67</v>
      </c>
      <c r="N1773">
        <v>7</v>
      </c>
      <c r="O1773">
        <v>0.2</v>
      </c>
      <c r="P1773">
        <v>83.44</v>
      </c>
      <c r="Q1773" t="s">
        <v>9893</v>
      </c>
      <c r="R1773">
        <v>7</v>
      </c>
      <c r="S1773" s="5">
        <f t="shared" si="54"/>
        <v>4.6286896658844931E-2</v>
      </c>
      <c r="T1773">
        <v>257.52428571428572</v>
      </c>
      <c r="U1773">
        <v>1</v>
      </c>
      <c r="V1773">
        <v>2022</v>
      </c>
      <c r="W1773">
        <v>1</v>
      </c>
      <c r="X1773" t="s">
        <v>9899</v>
      </c>
      <c r="Y1773" t="s">
        <v>9900</v>
      </c>
      <c r="Z1773" t="s">
        <v>9898</v>
      </c>
      <c r="AD1773">
        <f t="shared" si="55"/>
        <v>7</v>
      </c>
    </row>
    <row r="1774" spans="1:30" x14ac:dyDescent="0.25">
      <c r="A1774" t="s">
        <v>1798</v>
      </c>
      <c r="B1774" s="2">
        <v>45005</v>
      </c>
      <c r="C1774" s="2">
        <v>45009</v>
      </c>
      <c r="D1774" t="s">
        <v>5106</v>
      </c>
      <c r="E1774" t="s">
        <v>5606</v>
      </c>
      <c r="F1774" t="s">
        <v>6026</v>
      </c>
      <c r="G1774" t="s">
        <v>6031</v>
      </c>
      <c r="H1774" t="s">
        <v>6040</v>
      </c>
      <c r="I1774" t="s">
        <v>6050</v>
      </c>
      <c r="J1774" t="s">
        <v>6053</v>
      </c>
      <c r="K1774" t="s">
        <v>6056</v>
      </c>
      <c r="L1774" t="s">
        <v>7675</v>
      </c>
      <c r="M1774">
        <v>1521.64</v>
      </c>
      <c r="N1774">
        <v>2</v>
      </c>
      <c r="O1774">
        <v>0.04</v>
      </c>
      <c r="P1774">
        <v>304.77999999999997</v>
      </c>
      <c r="Q1774" t="s">
        <v>9897</v>
      </c>
      <c r="R1774">
        <v>4</v>
      </c>
      <c r="S1774" s="5">
        <f t="shared" si="54"/>
        <v>0.20029704792197889</v>
      </c>
      <c r="T1774">
        <v>760.82</v>
      </c>
      <c r="U1774">
        <v>3</v>
      </c>
      <c r="V1774">
        <v>2023</v>
      </c>
      <c r="W1774">
        <v>1</v>
      </c>
      <c r="X1774" t="s">
        <v>9899</v>
      </c>
      <c r="Y1774" t="s">
        <v>9901</v>
      </c>
      <c r="Z1774" t="s">
        <v>9898</v>
      </c>
      <c r="AD1774">
        <f t="shared" si="55"/>
        <v>4</v>
      </c>
    </row>
    <row r="1775" spans="1:30" x14ac:dyDescent="0.25">
      <c r="A1775" t="s">
        <v>1799</v>
      </c>
      <c r="B1775" s="2">
        <v>45265</v>
      </c>
      <c r="C1775" s="2">
        <v>45267</v>
      </c>
      <c r="D1775" t="s">
        <v>5348</v>
      </c>
      <c r="E1775" t="s">
        <v>5848</v>
      </c>
      <c r="F1775" t="s">
        <v>6028</v>
      </c>
      <c r="G1775" t="s">
        <v>6030</v>
      </c>
      <c r="H1775" t="s">
        <v>6039</v>
      </c>
      <c r="I1775" t="s">
        <v>6047</v>
      </c>
      <c r="J1775" t="s">
        <v>6053</v>
      </c>
      <c r="K1775" t="s">
        <v>6058</v>
      </c>
      <c r="L1775" t="s">
        <v>7676</v>
      </c>
      <c r="M1775">
        <v>904.25</v>
      </c>
      <c r="N1775">
        <v>3</v>
      </c>
      <c r="O1775">
        <v>0.04</v>
      </c>
      <c r="P1775">
        <v>199.52</v>
      </c>
      <c r="Q1775" t="s">
        <v>9895</v>
      </c>
      <c r="R1775">
        <v>2</v>
      </c>
      <c r="S1775" s="5">
        <f t="shared" si="54"/>
        <v>0.22064694498202933</v>
      </c>
      <c r="T1775">
        <v>301.41666666666669</v>
      </c>
      <c r="U1775">
        <v>12</v>
      </c>
      <c r="V1775">
        <v>2023</v>
      </c>
      <c r="W1775">
        <v>4</v>
      </c>
      <c r="X1775" t="s">
        <v>9899</v>
      </c>
      <c r="Y1775" t="s">
        <v>9901</v>
      </c>
      <c r="Z1775" t="s">
        <v>9899</v>
      </c>
      <c r="AD1775">
        <f t="shared" si="55"/>
        <v>2</v>
      </c>
    </row>
    <row r="1776" spans="1:30" x14ac:dyDescent="0.25">
      <c r="A1776" t="s">
        <v>1800</v>
      </c>
      <c r="B1776" s="2">
        <v>45111</v>
      </c>
      <c r="C1776" s="2">
        <v>45113</v>
      </c>
      <c r="D1776" t="s">
        <v>5442</v>
      </c>
      <c r="E1776" t="s">
        <v>5942</v>
      </c>
      <c r="F1776" t="s">
        <v>6027</v>
      </c>
      <c r="G1776" t="s">
        <v>6030</v>
      </c>
      <c r="H1776" t="s">
        <v>6038</v>
      </c>
      <c r="I1776" t="s">
        <v>6051</v>
      </c>
      <c r="J1776" t="s">
        <v>6055</v>
      </c>
      <c r="K1776" t="s">
        <v>6061</v>
      </c>
      <c r="L1776" t="s">
        <v>7677</v>
      </c>
      <c r="M1776">
        <v>107.11</v>
      </c>
      <c r="N1776">
        <v>7</v>
      </c>
      <c r="O1776">
        <v>0.15</v>
      </c>
      <c r="P1776">
        <v>4.9400000000000004</v>
      </c>
      <c r="Q1776" t="s">
        <v>9895</v>
      </c>
      <c r="R1776">
        <v>2</v>
      </c>
      <c r="S1776" s="5">
        <f t="shared" si="54"/>
        <v>4.6120810381850438E-2</v>
      </c>
      <c r="T1776">
        <v>15.30142857142857</v>
      </c>
      <c r="U1776">
        <v>7</v>
      </c>
      <c r="V1776">
        <v>2023</v>
      </c>
      <c r="W1776">
        <v>3</v>
      </c>
      <c r="X1776" t="s">
        <v>9899</v>
      </c>
      <c r="Y1776" t="s">
        <v>9901</v>
      </c>
      <c r="Z1776" t="s">
        <v>9899</v>
      </c>
      <c r="AD1776">
        <f t="shared" si="55"/>
        <v>2</v>
      </c>
    </row>
    <row r="1777" spans="1:30" x14ac:dyDescent="0.25">
      <c r="A1777" t="s">
        <v>1801</v>
      </c>
      <c r="B1777" s="2">
        <v>45217</v>
      </c>
      <c r="C1777" s="2">
        <v>45222</v>
      </c>
      <c r="D1777" t="s">
        <v>5516</v>
      </c>
      <c r="E1777" t="s">
        <v>6016</v>
      </c>
      <c r="F1777" t="s">
        <v>6027</v>
      </c>
      <c r="G1777" t="s">
        <v>6031</v>
      </c>
      <c r="H1777" t="s">
        <v>6042</v>
      </c>
      <c r="I1777" t="s">
        <v>6050</v>
      </c>
      <c r="J1777" t="s">
        <v>6055</v>
      </c>
      <c r="K1777" t="s">
        <v>6064</v>
      </c>
      <c r="L1777" t="s">
        <v>7678</v>
      </c>
      <c r="M1777">
        <v>654.37</v>
      </c>
      <c r="N1777">
        <v>8</v>
      </c>
      <c r="O1777">
        <v>0.28999999999999998</v>
      </c>
      <c r="P1777">
        <v>-105.41</v>
      </c>
      <c r="Q1777" t="s">
        <v>9893</v>
      </c>
      <c r="R1777">
        <v>5</v>
      </c>
      <c r="S1777" s="5">
        <f t="shared" si="54"/>
        <v>-0.16108623561593594</v>
      </c>
      <c r="T1777">
        <v>81.796250000000001</v>
      </c>
      <c r="U1777">
        <v>10</v>
      </c>
      <c r="V1777">
        <v>2023</v>
      </c>
      <c r="W1777">
        <v>4</v>
      </c>
      <c r="X1777" t="s">
        <v>9898</v>
      </c>
      <c r="Y1777" t="s">
        <v>9900</v>
      </c>
      <c r="Z1777" t="s">
        <v>9899</v>
      </c>
      <c r="AD1777">
        <f t="shared" si="55"/>
        <v>5</v>
      </c>
    </row>
    <row r="1778" spans="1:30" x14ac:dyDescent="0.25">
      <c r="A1778" t="s">
        <v>1802</v>
      </c>
      <c r="B1778" s="2">
        <v>44646</v>
      </c>
      <c r="C1778" s="2">
        <v>44650</v>
      </c>
      <c r="D1778" t="s">
        <v>5452</v>
      </c>
      <c r="E1778" t="s">
        <v>5952</v>
      </c>
      <c r="F1778" t="s">
        <v>6028</v>
      </c>
      <c r="G1778" t="s">
        <v>6029</v>
      </c>
      <c r="H1778" t="s">
        <v>6044</v>
      </c>
      <c r="I1778" t="s">
        <v>6046</v>
      </c>
      <c r="J1778" t="s">
        <v>6054</v>
      </c>
      <c r="K1778" t="s">
        <v>6060</v>
      </c>
      <c r="L1778" t="s">
        <v>6132</v>
      </c>
      <c r="M1778">
        <v>1254.31</v>
      </c>
      <c r="N1778">
        <v>6</v>
      </c>
      <c r="O1778">
        <v>0.19</v>
      </c>
      <c r="P1778">
        <v>8.86</v>
      </c>
      <c r="Q1778" t="s">
        <v>9895</v>
      </c>
      <c r="R1778">
        <v>4</v>
      </c>
      <c r="S1778" s="5">
        <f t="shared" si="54"/>
        <v>7.0636445535792588E-3</v>
      </c>
      <c r="T1778">
        <v>209.05166666666659</v>
      </c>
      <c r="U1778">
        <v>3</v>
      </c>
      <c r="V1778">
        <v>2022</v>
      </c>
      <c r="W1778">
        <v>1</v>
      </c>
      <c r="X1778" t="s">
        <v>9899</v>
      </c>
      <c r="Y1778" t="s">
        <v>9900</v>
      </c>
      <c r="Z1778" t="s">
        <v>9898</v>
      </c>
      <c r="AD1778">
        <f t="shared" si="55"/>
        <v>4</v>
      </c>
    </row>
    <row r="1779" spans="1:30" x14ac:dyDescent="0.25">
      <c r="A1779" t="s">
        <v>1803</v>
      </c>
      <c r="B1779" s="2">
        <v>45228</v>
      </c>
      <c r="C1779" s="2">
        <v>45232</v>
      </c>
      <c r="D1779" t="s">
        <v>5131</v>
      </c>
      <c r="E1779" t="s">
        <v>5631</v>
      </c>
      <c r="F1779" t="s">
        <v>6027</v>
      </c>
      <c r="G1779" t="s">
        <v>6030</v>
      </c>
      <c r="H1779" t="s">
        <v>6035</v>
      </c>
      <c r="I1779" t="s">
        <v>6051</v>
      </c>
      <c r="J1779" t="s">
        <v>6055</v>
      </c>
      <c r="K1779" t="s">
        <v>6064</v>
      </c>
      <c r="L1779" t="s">
        <v>7679</v>
      </c>
      <c r="M1779">
        <v>1757.53</v>
      </c>
      <c r="N1779">
        <v>1</v>
      </c>
      <c r="O1779">
        <v>0.04</v>
      </c>
      <c r="P1779">
        <v>448.94</v>
      </c>
      <c r="Q1779" t="s">
        <v>9895</v>
      </c>
      <c r="R1779">
        <v>4</v>
      </c>
      <c r="S1779" s="5">
        <f t="shared" si="54"/>
        <v>0.25543802950731992</v>
      </c>
      <c r="T1779">
        <v>1757.53</v>
      </c>
      <c r="U1779">
        <v>10</v>
      </c>
      <c r="V1779">
        <v>2023</v>
      </c>
      <c r="W1779">
        <v>4</v>
      </c>
      <c r="X1779" t="s">
        <v>9899</v>
      </c>
      <c r="Y1779" t="s">
        <v>9901</v>
      </c>
      <c r="Z1779" t="s">
        <v>9898</v>
      </c>
      <c r="AD1779">
        <f t="shared" si="55"/>
        <v>4</v>
      </c>
    </row>
    <row r="1780" spans="1:30" x14ac:dyDescent="0.25">
      <c r="A1780" t="s">
        <v>1804</v>
      </c>
      <c r="B1780" s="2">
        <v>45117</v>
      </c>
      <c r="C1780" s="2">
        <v>45122</v>
      </c>
      <c r="D1780" t="s">
        <v>5296</v>
      </c>
      <c r="E1780" t="s">
        <v>5796</v>
      </c>
      <c r="F1780" t="s">
        <v>6028</v>
      </c>
      <c r="G1780" t="s">
        <v>6031</v>
      </c>
      <c r="H1780" t="s">
        <v>6040</v>
      </c>
      <c r="I1780" t="s">
        <v>6048</v>
      </c>
      <c r="J1780" t="s">
        <v>6053</v>
      </c>
      <c r="K1780" t="s">
        <v>6057</v>
      </c>
      <c r="L1780" t="s">
        <v>7680</v>
      </c>
      <c r="M1780">
        <v>685.25</v>
      </c>
      <c r="N1780">
        <v>3</v>
      </c>
      <c r="O1780">
        <v>0.27</v>
      </c>
      <c r="P1780">
        <v>-75.53</v>
      </c>
      <c r="Q1780" t="s">
        <v>9896</v>
      </c>
      <c r="R1780">
        <v>5</v>
      </c>
      <c r="S1780" s="5">
        <f t="shared" si="54"/>
        <v>-0.11022254651587013</v>
      </c>
      <c r="T1780">
        <v>228.41666666666671</v>
      </c>
      <c r="U1780">
        <v>7</v>
      </c>
      <c r="V1780">
        <v>2023</v>
      </c>
      <c r="W1780">
        <v>3</v>
      </c>
      <c r="X1780" t="s">
        <v>9898</v>
      </c>
      <c r="Y1780" t="s">
        <v>9900</v>
      </c>
      <c r="Z1780" t="s">
        <v>9899</v>
      </c>
      <c r="AD1780">
        <f t="shared" si="55"/>
        <v>5</v>
      </c>
    </row>
    <row r="1781" spans="1:30" x14ac:dyDescent="0.25">
      <c r="A1781" t="s">
        <v>1805</v>
      </c>
      <c r="B1781" s="2">
        <v>44834</v>
      </c>
      <c r="C1781" s="2">
        <v>44836</v>
      </c>
      <c r="D1781" t="s">
        <v>5052</v>
      </c>
      <c r="E1781" t="s">
        <v>5552</v>
      </c>
      <c r="F1781" t="s">
        <v>6028</v>
      </c>
      <c r="G1781" t="s">
        <v>6029</v>
      </c>
      <c r="H1781" t="s">
        <v>6041</v>
      </c>
      <c r="I1781" t="s">
        <v>6046</v>
      </c>
      <c r="J1781" t="s">
        <v>6055</v>
      </c>
      <c r="K1781" t="s">
        <v>6063</v>
      </c>
      <c r="L1781" t="s">
        <v>7681</v>
      </c>
      <c r="M1781">
        <v>557.87</v>
      </c>
      <c r="N1781">
        <v>3</v>
      </c>
      <c r="O1781">
        <v>0.33</v>
      </c>
      <c r="P1781">
        <v>-31.47</v>
      </c>
      <c r="Q1781" t="s">
        <v>9893</v>
      </c>
      <c r="R1781">
        <v>2</v>
      </c>
      <c r="S1781" s="5">
        <f t="shared" si="54"/>
        <v>-5.6410991808127336E-2</v>
      </c>
      <c r="T1781">
        <v>185.95666666666671</v>
      </c>
      <c r="U1781">
        <v>9</v>
      </c>
      <c r="V1781">
        <v>2022</v>
      </c>
      <c r="W1781">
        <v>3</v>
      </c>
      <c r="X1781" t="s">
        <v>9898</v>
      </c>
      <c r="Y1781" t="s">
        <v>9902</v>
      </c>
      <c r="Z1781" t="s">
        <v>9899</v>
      </c>
      <c r="AD1781">
        <f t="shared" si="55"/>
        <v>2</v>
      </c>
    </row>
    <row r="1782" spans="1:30" x14ac:dyDescent="0.25">
      <c r="A1782" t="s">
        <v>1806</v>
      </c>
      <c r="B1782" s="2">
        <v>45289</v>
      </c>
      <c r="C1782" s="2">
        <v>45295</v>
      </c>
      <c r="D1782" t="s">
        <v>5156</v>
      </c>
      <c r="E1782" t="s">
        <v>5656</v>
      </c>
      <c r="F1782" t="s">
        <v>6027</v>
      </c>
      <c r="G1782" t="s">
        <v>6029</v>
      </c>
      <c r="H1782" t="s">
        <v>6044</v>
      </c>
      <c r="I1782" t="s">
        <v>6049</v>
      </c>
      <c r="J1782" t="s">
        <v>6054</v>
      </c>
      <c r="K1782" t="s">
        <v>6059</v>
      </c>
      <c r="L1782" t="s">
        <v>7682</v>
      </c>
      <c r="M1782">
        <v>1952.04</v>
      </c>
      <c r="N1782">
        <v>4</v>
      </c>
      <c r="O1782">
        <v>0.06</v>
      </c>
      <c r="P1782">
        <v>177.5</v>
      </c>
      <c r="Q1782" t="s">
        <v>9896</v>
      </c>
      <c r="R1782">
        <v>6</v>
      </c>
      <c r="S1782" s="5">
        <f t="shared" si="54"/>
        <v>9.0930513718981171E-2</v>
      </c>
      <c r="T1782">
        <v>488.01</v>
      </c>
      <c r="U1782">
        <v>12</v>
      </c>
      <c r="V1782">
        <v>2023</v>
      </c>
      <c r="W1782">
        <v>4</v>
      </c>
      <c r="X1782" t="s">
        <v>9899</v>
      </c>
      <c r="Y1782" t="s">
        <v>9901</v>
      </c>
      <c r="Z1782" t="s">
        <v>9898</v>
      </c>
      <c r="AD1782">
        <f t="shared" si="55"/>
        <v>6</v>
      </c>
    </row>
    <row r="1783" spans="1:30" x14ac:dyDescent="0.25">
      <c r="A1783" t="s">
        <v>1807</v>
      </c>
      <c r="B1783" s="2">
        <v>44728</v>
      </c>
      <c r="C1783" s="2">
        <v>44731</v>
      </c>
      <c r="D1783" t="s">
        <v>5465</v>
      </c>
      <c r="E1783" t="s">
        <v>5965</v>
      </c>
      <c r="F1783" t="s">
        <v>6027</v>
      </c>
      <c r="G1783" t="s">
        <v>6030</v>
      </c>
      <c r="H1783" t="s">
        <v>6035</v>
      </c>
      <c r="I1783" t="s">
        <v>6047</v>
      </c>
      <c r="J1783" t="s">
        <v>6054</v>
      </c>
      <c r="K1783" t="s">
        <v>6060</v>
      </c>
      <c r="L1783" t="s">
        <v>7683</v>
      </c>
      <c r="M1783">
        <v>663.86</v>
      </c>
      <c r="N1783">
        <v>1</v>
      </c>
      <c r="O1783">
        <v>0.31</v>
      </c>
      <c r="P1783">
        <v>-100.89</v>
      </c>
      <c r="Q1783" t="s">
        <v>9893</v>
      </c>
      <c r="R1783">
        <v>3</v>
      </c>
      <c r="S1783" s="5">
        <f t="shared" si="54"/>
        <v>-0.15197481396680024</v>
      </c>
      <c r="T1783">
        <v>663.86</v>
      </c>
      <c r="U1783">
        <v>6</v>
      </c>
      <c r="V1783">
        <v>2022</v>
      </c>
      <c r="W1783">
        <v>2</v>
      </c>
      <c r="X1783" t="s">
        <v>9898</v>
      </c>
      <c r="Y1783" t="s">
        <v>9902</v>
      </c>
      <c r="Z1783" t="s">
        <v>9899</v>
      </c>
      <c r="AD1783">
        <f t="shared" si="55"/>
        <v>3</v>
      </c>
    </row>
    <row r="1784" spans="1:30" x14ac:dyDescent="0.25">
      <c r="A1784" t="s">
        <v>1808</v>
      </c>
      <c r="B1784" s="2">
        <v>45397</v>
      </c>
      <c r="C1784" s="2">
        <v>45402</v>
      </c>
      <c r="D1784" t="s">
        <v>5192</v>
      </c>
      <c r="E1784" t="s">
        <v>5692</v>
      </c>
      <c r="F1784" t="s">
        <v>6027</v>
      </c>
      <c r="G1784" t="s">
        <v>6031</v>
      </c>
      <c r="H1784" t="s">
        <v>6034</v>
      </c>
      <c r="I1784" t="s">
        <v>6052</v>
      </c>
      <c r="J1784" t="s">
        <v>6054</v>
      </c>
      <c r="K1784" t="s">
        <v>6059</v>
      </c>
      <c r="L1784" t="s">
        <v>7684</v>
      </c>
      <c r="M1784">
        <v>622</v>
      </c>
      <c r="N1784">
        <v>1</v>
      </c>
      <c r="O1784">
        <v>0.15</v>
      </c>
      <c r="P1784">
        <v>44.54</v>
      </c>
      <c r="Q1784" t="s">
        <v>9893</v>
      </c>
      <c r="R1784">
        <v>5</v>
      </c>
      <c r="S1784" s="5">
        <f t="shared" si="54"/>
        <v>7.1607717041800648E-2</v>
      </c>
      <c r="T1784">
        <v>622</v>
      </c>
      <c r="U1784">
        <v>4</v>
      </c>
      <c r="V1784">
        <v>2024</v>
      </c>
      <c r="W1784">
        <v>2</v>
      </c>
      <c r="X1784" t="s">
        <v>9899</v>
      </c>
      <c r="Y1784" t="s">
        <v>9901</v>
      </c>
      <c r="Z1784" t="s">
        <v>9899</v>
      </c>
      <c r="AD1784">
        <f t="shared" si="55"/>
        <v>5</v>
      </c>
    </row>
    <row r="1785" spans="1:30" x14ac:dyDescent="0.25">
      <c r="A1785" t="s">
        <v>1809</v>
      </c>
      <c r="B1785" s="2">
        <v>44861</v>
      </c>
      <c r="C1785" s="2">
        <v>44863</v>
      </c>
      <c r="D1785" t="s">
        <v>5026</v>
      </c>
      <c r="E1785" t="s">
        <v>5526</v>
      </c>
      <c r="F1785" t="s">
        <v>6028</v>
      </c>
      <c r="G1785" t="s">
        <v>6030</v>
      </c>
      <c r="H1785" t="s">
        <v>6038</v>
      </c>
      <c r="I1785" t="s">
        <v>6047</v>
      </c>
      <c r="J1785" t="s">
        <v>6055</v>
      </c>
      <c r="K1785" t="s">
        <v>6061</v>
      </c>
      <c r="L1785" t="s">
        <v>7685</v>
      </c>
      <c r="M1785">
        <v>1308.58</v>
      </c>
      <c r="N1785">
        <v>8</v>
      </c>
      <c r="O1785">
        <v>0.3</v>
      </c>
      <c r="P1785">
        <v>-136.37</v>
      </c>
      <c r="Q1785" t="s">
        <v>9896</v>
      </c>
      <c r="R1785">
        <v>2</v>
      </c>
      <c r="S1785" s="5">
        <f t="shared" si="54"/>
        <v>-0.10421219948340951</v>
      </c>
      <c r="T1785">
        <v>163.57249999999999</v>
      </c>
      <c r="U1785">
        <v>10</v>
      </c>
      <c r="V1785">
        <v>2022</v>
      </c>
      <c r="W1785">
        <v>4</v>
      </c>
      <c r="X1785" t="s">
        <v>9898</v>
      </c>
      <c r="Y1785" t="s">
        <v>9900</v>
      </c>
      <c r="Z1785" t="s">
        <v>9898</v>
      </c>
      <c r="AD1785">
        <f t="shared" si="55"/>
        <v>2</v>
      </c>
    </row>
    <row r="1786" spans="1:30" x14ac:dyDescent="0.25">
      <c r="A1786" t="s">
        <v>1810</v>
      </c>
      <c r="B1786" s="2">
        <v>45372</v>
      </c>
      <c r="C1786" s="2">
        <v>45375</v>
      </c>
      <c r="D1786" t="s">
        <v>5267</v>
      </c>
      <c r="E1786" t="s">
        <v>5767</v>
      </c>
      <c r="F1786" t="s">
        <v>6026</v>
      </c>
      <c r="G1786" t="s">
        <v>6030</v>
      </c>
      <c r="H1786" t="s">
        <v>6038</v>
      </c>
      <c r="I1786" t="s">
        <v>6047</v>
      </c>
      <c r="J1786" t="s">
        <v>6054</v>
      </c>
      <c r="K1786" t="s">
        <v>6059</v>
      </c>
      <c r="L1786" t="s">
        <v>7686</v>
      </c>
      <c r="M1786">
        <v>1308.03</v>
      </c>
      <c r="N1786">
        <v>1</v>
      </c>
      <c r="O1786">
        <v>0.13</v>
      </c>
      <c r="P1786">
        <v>210.82</v>
      </c>
      <c r="Q1786" t="s">
        <v>9897</v>
      </c>
      <c r="R1786">
        <v>3</v>
      </c>
      <c r="S1786" s="5">
        <f t="shared" si="54"/>
        <v>0.16117367338669603</v>
      </c>
      <c r="T1786">
        <v>1308.03</v>
      </c>
      <c r="U1786">
        <v>3</v>
      </c>
      <c r="V1786">
        <v>2024</v>
      </c>
      <c r="W1786">
        <v>1</v>
      </c>
      <c r="X1786" t="s">
        <v>9899</v>
      </c>
      <c r="Y1786" t="s">
        <v>9901</v>
      </c>
      <c r="Z1786" t="s">
        <v>9898</v>
      </c>
      <c r="AD1786">
        <f t="shared" si="55"/>
        <v>3</v>
      </c>
    </row>
    <row r="1787" spans="1:30" x14ac:dyDescent="0.25">
      <c r="A1787" t="s">
        <v>1811</v>
      </c>
      <c r="B1787" s="2">
        <v>45026</v>
      </c>
      <c r="C1787" s="2">
        <v>45030</v>
      </c>
      <c r="D1787" t="s">
        <v>5349</v>
      </c>
      <c r="E1787" t="s">
        <v>5849</v>
      </c>
      <c r="F1787" t="s">
        <v>6028</v>
      </c>
      <c r="G1787" t="s">
        <v>6031</v>
      </c>
      <c r="H1787" t="s">
        <v>6042</v>
      </c>
      <c r="I1787" t="s">
        <v>6050</v>
      </c>
      <c r="J1787" t="s">
        <v>6054</v>
      </c>
      <c r="K1787" t="s">
        <v>6060</v>
      </c>
      <c r="L1787" t="s">
        <v>7687</v>
      </c>
      <c r="M1787">
        <v>530.20000000000005</v>
      </c>
      <c r="N1787">
        <v>8</v>
      </c>
      <c r="O1787">
        <v>0.13</v>
      </c>
      <c r="P1787">
        <v>0.11</v>
      </c>
      <c r="Q1787" t="s">
        <v>9897</v>
      </c>
      <c r="R1787">
        <v>4</v>
      </c>
      <c r="S1787" s="5">
        <f t="shared" si="54"/>
        <v>2.0746887966804979E-4</v>
      </c>
      <c r="T1787">
        <v>66.275000000000006</v>
      </c>
      <c r="U1787">
        <v>4</v>
      </c>
      <c r="V1787">
        <v>2023</v>
      </c>
      <c r="W1787">
        <v>2</v>
      </c>
      <c r="X1787" t="s">
        <v>9899</v>
      </c>
      <c r="Y1787" t="s">
        <v>9901</v>
      </c>
      <c r="Z1787" t="s">
        <v>9899</v>
      </c>
      <c r="AD1787">
        <f t="shared" si="55"/>
        <v>4</v>
      </c>
    </row>
    <row r="1788" spans="1:30" x14ac:dyDescent="0.25">
      <c r="A1788" t="s">
        <v>1812</v>
      </c>
      <c r="B1788" s="2">
        <v>44741</v>
      </c>
      <c r="C1788" s="2">
        <v>44743</v>
      </c>
      <c r="D1788" t="s">
        <v>5167</v>
      </c>
      <c r="E1788" t="s">
        <v>5667</v>
      </c>
      <c r="F1788" t="s">
        <v>6028</v>
      </c>
      <c r="G1788" t="s">
        <v>6031</v>
      </c>
      <c r="H1788" t="s">
        <v>6037</v>
      </c>
      <c r="I1788" t="s">
        <v>6052</v>
      </c>
      <c r="J1788" t="s">
        <v>6055</v>
      </c>
      <c r="K1788" t="s">
        <v>6064</v>
      </c>
      <c r="L1788" t="s">
        <v>7688</v>
      </c>
      <c r="M1788">
        <v>1351.07</v>
      </c>
      <c r="N1788">
        <v>2</v>
      </c>
      <c r="O1788">
        <v>0.09</v>
      </c>
      <c r="P1788">
        <v>197.83</v>
      </c>
      <c r="Q1788" t="s">
        <v>9894</v>
      </c>
      <c r="R1788">
        <v>2</v>
      </c>
      <c r="S1788" s="5">
        <f t="shared" si="54"/>
        <v>0.146424685619546</v>
      </c>
      <c r="T1788">
        <v>675.53499999999997</v>
      </c>
      <c r="U1788">
        <v>6</v>
      </c>
      <c r="V1788">
        <v>2022</v>
      </c>
      <c r="W1788">
        <v>2</v>
      </c>
      <c r="X1788" t="s">
        <v>9899</v>
      </c>
      <c r="Y1788" t="s">
        <v>9901</v>
      </c>
      <c r="Z1788" t="s">
        <v>9898</v>
      </c>
      <c r="AD1788">
        <f t="shared" si="55"/>
        <v>2</v>
      </c>
    </row>
    <row r="1789" spans="1:30" x14ac:dyDescent="0.25">
      <c r="A1789" t="s">
        <v>1813</v>
      </c>
      <c r="B1789" s="2">
        <v>45124</v>
      </c>
      <c r="C1789" s="2">
        <v>45128</v>
      </c>
      <c r="D1789" t="s">
        <v>5438</v>
      </c>
      <c r="E1789" t="s">
        <v>5938</v>
      </c>
      <c r="F1789" t="s">
        <v>6028</v>
      </c>
      <c r="G1789" t="s">
        <v>6031</v>
      </c>
      <c r="H1789" t="s">
        <v>6034</v>
      </c>
      <c r="I1789" t="s">
        <v>6052</v>
      </c>
      <c r="J1789" t="s">
        <v>6054</v>
      </c>
      <c r="K1789" t="s">
        <v>6060</v>
      </c>
      <c r="L1789" t="s">
        <v>7689</v>
      </c>
      <c r="M1789">
        <v>1472.62</v>
      </c>
      <c r="N1789">
        <v>4</v>
      </c>
      <c r="O1789">
        <v>0.04</v>
      </c>
      <c r="P1789">
        <v>180.73</v>
      </c>
      <c r="Q1789" t="s">
        <v>9895</v>
      </c>
      <c r="R1789">
        <v>4</v>
      </c>
      <c r="S1789" s="5">
        <f t="shared" si="54"/>
        <v>0.12272684059703115</v>
      </c>
      <c r="T1789">
        <v>368.15499999999997</v>
      </c>
      <c r="U1789">
        <v>7</v>
      </c>
      <c r="V1789">
        <v>2023</v>
      </c>
      <c r="W1789">
        <v>3</v>
      </c>
      <c r="X1789" t="s">
        <v>9899</v>
      </c>
      <c r="Y1789" t="s">
        <v>9901</v>
      </c>
      <c r="Z1789" t="s">
        <v>9898</v>
      </c>
      <c r="AD1789">
        <f t="shared" si="55"/>
        <v>4</v>
      </c>
    </row>
    <row r="1790" spans="1:30" x14ac:dyDescent="0.25">
      <c r="A1790" t="s">
        <v>1814</v>
      </c>
      <c r="B1790" s="2">
        <v>44798</v>
      </c>
      <c r="C1790" s="2">
        <v>44805</v>
      </c>
      <c r="D1790" t="s">
        <v>5040</v>
      </c>
      <c r="E1790" t="s">
        <v>5540</v>
      </c>
      <c r="F1790" t="s">
        <v>6026</v>
      </c>
      <c r="G1790" t="s">
        <v>6029</v>
      </c>
      <c r="H1790" t="s">
        <v>6045</v>
      </c>
      <c r="I1790" t="s">
        <v>6050</v>
      </c>
      <c r="J1790" t="s">
        <v>6054</v>
      </c>
      <c r="K1790" t="s">
        <v>6062</v>
      </c>
      <c r="L1790" t="s">
        <v>7690</v>
      </c>
      <c r="M1790">
        <v>1451.16</v>
      </c>
      <c r="N1790">
        <v>3</v>
      </c>
      <c r="O1790">
        <v>0.35</v>
      </c>
      <c r="P1790">
        <v>-232.58</v>
      </c>
      <c r="Q1790" t="s">
        <v>9896</v>
      </c>
      <c r="R1790">
        <v>7</v>
      </c>
      <c r="S1790" s="5">
        <f t="shared" si="54"/>
        <v>-0.16027178257394084</v>
      </c>
      <c r="T1790">
        <v>483.72</v>
      </c>
      <c r="U1790">
        <v>8</v>
      </c>
      <c r="V1790">
        <v>2022</v>
      </c>
      <c r="W1790">
        <v>3</v>
      </c>
      <c r="X1790" t="s">
        <v>9898</v>
      </c>
      <c r="Y1790" t="s">
        <v>9902</v>
      </c>
      <c r="Z1790" t="s">
        <v>9898</v>
      </c>
      <c r="AD1790">
        <f t="shared" si="55"/>
        <v>7</v>
      </c>
    </row>
    <row r="1791" spans="1:30" x14ac:dyDescent="0.25">
      <c r="A1791" t="s">
        <v>1815</v>
      </c>
      <c r="B1791" s="2">
        <v>45454</v>
      </c>
      <c r="C1791" s="2">
        <v>45456</v>
      </c>
      <c r="D1791" t="s">
        <v>5501</v>
      </c>
      <c r="E1791" t="s">
        <v>6001</v>
      </c>
      <c r="F1791" t="s">
        <v>6026</v>
      </c>
      <c r="G1791" t="s">
        <v>6031</v>
      </c>
      <c r="H1791" t="s">
        <v>6040</v>
      </c>
      <c r="I1791" t="s">
        <v>6052</v>
      </c>
      <c r="J1791" t="s">
        <v>6053</v>
      </c>
      <c r="K1791" t="s">
        <v>6057</v>
      </c>
      <c r="L1791" t="s">
        <v>7691</v>
      </c>
      <c r="M1791">
        <v>1631.3</v>
      </c>
      <c r="N1791">
        <v>3</v>
      </c>
      <c r="O1791">
        <v>0.04</v>
      </c>
      <c r="P1791">
        <v>112.1</v>
      </c>
      <c r="Q1791" t="s">
        <v>9893</v>
      </c>
      <c r="R1791">
        <v>2</v>
      </c>
      <c r="S1791" s="5">
        <f t="shared" si="54"/>
        <v>6.8718200208422731E-2</v>
      </c>
      <c r="T1791">
        <v>543.76666666666665</v>
      </c>
      <c r="U1791">
        <v>6</v>
      </c>
      <c r="V1791">
        <v>2024</v>
      </c>
      <c r="W1791">
        <v>2</v>
      </c>
      <c r="X1791" t="s">
        <v>9899</v>
      </c>
      <c r="Y1791" t="s">
        <v>9901</v>
      </c>
      <c r="Z1791" t="s">
        <v>9898</v>
      </c>
      <c r="AD1791">
        <f t="shared" si="55"/>
        <v>2</v>
      </c>
    </row>
    <row r="1792" spans="1:30" x14ac:dyDescent="0.25">
      <c r="A1792" t="s">
        <v>1816</v>
      </c>
      <c r="B1792" s="2">
        <v>45357</v>
      </c>
      <c r="C1792" s="2">
        <v>45363</v>
      </c>
      <c r="D1792" t="s">
        <v>5315</v>
      </c>
      <c r="E1792" t="s">
        <v>5815</v>
      </c>
      <c r="F1792" t="s">
        <v>6027</v>
      </c>
      <c r="G1792" t="s">
        <v>6030</v>
      </c>
      <c r="H1792" t="s">
        <v>6035</v>
      </c>
      <c r="I1792" t="s">
        <v>6051</v>
      </c>
      <c r="J1792" t="s">
        <v>6053</v>
      </c>
      <c r="K1792" t="s">
        <v>6056</v>
      </c>
      <c r="L1792" t="s">
        <v>7692</v>
      </c>
      <c r="M1792">
        <v>1881.73</v>
      </c>
      <c r="N1792">
        <v>5</v>
      </c>
      <c r="O1792">
        <v>0.15</v>
      </c>
      <c r="P1792">
        <v>210.81</v>
      </c>
      <c r="Q1792" t="s">
        <v>9897</v>
      </c>
      <c r="R1792">
        <v>6</v>
      </c>
      <c r="S1792" s="5">
        <f t="shared" si="54"/>
        <v>0.11202988739085841</v>
      </c>
      <c r="T1792">
        <v>376.346</v>
      </c>
      <c r="U1792">
        <v>3</v>
      </c>
      <c r="V1792">
        <v>2024</v>
      </c>
      <c r="W1792">
        <v>1</v>
      </c>
      <c r="X1792" t="s">
        <v>9899</v>
      </c>
      <c r="Y1792" t="s">
        <v>9901</v>
      </c>
      <c r="Z1792" t="s">
        <v>9898</v>
      </c>
      <c r="AD1792">
        <f t="shared" si="55"/>
        <v>6</v>
      </c>
    </row>
    <row r="1793" spans="1:30" x14ac:dyDescent="0.25">
      <c r="A1793" t="s">
        <v>1817</v>
      </c>
      <c r="B1793" s="2">
        <v>44869</v>
      </c>
      <c r="C1793" s="2">
        <v>44874</v>
      </c>
      <c r="D1793" t="s">
        <v>5464</v>
      </c>
      <c r="E1793" t="s">
        <v>5964</v>
      </c>
      <c r="F1793" t="s">
        <v>6027</v>
      </c>
      <c r="G1793" t="s">
        <v>6031</v>
      </c>
      <c r="H1793" t="s">
        <v>6043</v>
      </c>
      <c r="I1793" t="s">
        <v>6048</v>
      </c>
      <c r="J1793" t="s">
        <v>6054</v>
      </c>
      <c r="K1793" t="s">
        <v>6062</v>
      </c>
      <c r="L1793" t="s">
        <v>7693</v>
      </c>
      <c r="M1793">
        <v>1842.45</v>
      </c>
      <c r="N1793">
        <v>2</v>
      </c>
      <c r="O1793">
        <v>0.22</v>
      </c>
      <c r="P1793">
        <v>-32.950000000000003</v>
      </c>
      <c r="Q1793" t="s">
        <v>9895</v>
      </c>
      <c r="R1793">
        <v>5</v>
      </c>
      <c r="S1793" s="5">
        <f t="shared" si="54"/>
        <v>-1.7883796032456784E-2</v>
      </c>
      <c r="T1793">
        <v>921.22500000000002</v>
      </c>
      <c r="U1793">
        <v>11</v>
      </c>
      <c r="V1793">
        <v>2022</v>
      </c>
      <c r="W1793">
        <v>4</v>
      </c>
      <c r="X1793" t="s">
        <v>9898</v>
      </c>
      <c r="Y1793" t="s">
        <v>9900</v>
      </c>
      <c r="Z1793" t="s">
        <v>9898</v>
      </c>
      <c r="AD1793">
        <f t="shared" si="55"/>
        <v>5</v>
      </c>
    </row>
    <row r="1794" spans="1:30" x14ac:dyDescent="0.25">
      <c r="A1794" t="s">
        <v>1818</v>
      </c>
      <c r="B1794" s="2">
        <v>45420</v>
      </c>
      <c r="C1794" s="2">
        <v>45427</v>
      </c>
      <c r="D1794" t="s">
        <v>5160</v>
      </c>
      <c r="E1794" t="s">
        <v>5660</v>
      </c>
      <c r="F1794" t="s">
        <v>6027</v>
      </c>
      <c r="G1794" t="s">
        <v>6030</v>
      </c>
      <c r="H1794" t="s">
        <v>6039</v>
      </c>
      <c r="I1794" t="s">
        <v>6051</v>
      </c>
      <c r="J1794" t="s">
        <v>6054</v>
      </c>
      <c r="K1794" t="s">
        <v>6059</v>
      </c>
      <c r="L1794" t="s">
        <v>7694</v>
      </c>
      <c r="M1794">
        <v>1727.02</v>
      </c>
      <c r="N1794">
        <v>8</v>
      </c>
      <c r="O1794">
        <v>0.13</v>
      </c>
      <c r="P1794">
        <v>103.13</v>
      </c>
      <c r="Q1794" t="s">
        <v>9897</v>
      </c>
      <c r="R1794">
        <v>7</v>
      </c>
      <c r="S1794" s="5">
        <f t="shared" si="54"/>
        <v>5.9715579437412417E-2</v>
      </c>
      <c r="T1794">
        <v>215.8775</v>
      </c>
      <c r="U1794">
        <v>5</v>
      </c>
      <c r="V1794">
        <v>2024</v>
      </c>
      <c r="W1794">
        <v>2</v>
      </c>
      <c r="X1794" t="s">
        <v>9899</v>
      </c>
      <c r="Y1794" t="s">
        <v>9901</v>
      </c>
      <c r="Z1794" t="s">
        <v>9898</v>
      </c>
      <c r="AD1794">
        <f t="shared" si="55"/>
        <v>7</v>
      </c>
    </row>
    <row r="1795" spans="1:30" x14ac:dyDescent="0.25">
      <c r="A1795" t="s">
        <v>1819</v>
      </c>
      <c r="B1795" s="2">
        <v>44976</v>
      </c>
      <c r="C1795" s="2">
        <v>44977</v>
      </c>
      <c r="D1795" t="s">
        <v>5330</v>
      </c>
      <c r="E1795" t="s">
        <v>5830</v>
      </c>
      <c r="F1795" t="s">
        <v>6027</v>
      </c>
      <c r="G1795" t="s">
        <v>6031</v>
      </c>
      <c r="H1795" t="s">
        <v>6043</v>
      </c>
      <c r="I1795" t="s">
        <v>6052</v>
      </c>
      <c r="J1795" t="s">
        <v>6054</v>
      </c>
      <c r="K1795" t="s">
        <v>6060</v>
      </c>
      <c r="L1795" t="s">
        <v>7695</v>
      </c>
      <c r="M1795">
        <v>635.59</v>
      </c>
      <c r="N1795">
        <v>6</v>
      </c>
      <c r="O1795">
        <v>0.1</v>
      </c>
      <c r="P1795">
        <v>79.59</v>
      </c>
      <c r="Q1795" t="s">
        <v>9895</v>
      </c>
      <c r="R1795">
        <v>1</v>
      </c>
      <c r="S1795" s="5">
        <f t="shared" ref="S1795:S1858" si="56">P1795/M1795</f>
        <v>0.12522223445932126</v>
      </c>
      <c r="T1795">
        <v>105.9316666666667</v>
      </c>
      <c r="U1795">
        <v>2</v>
      </c>
      <c r="V1795">
        <v>2023</v>
      </c>
      <c r="W1795">
        <v>1</v>
      </c>
      <c r="X1795" t="s">
        <v>9899</v>
      </c>
      <c r="Y1795" t="s">
        <v>9901</v>
      </c>
      <c r="Z1795" t="s">
        <v>9899</v>
      </c>
      <c r="AD1795">
        <f t="shared" ref="AD1795:AD1858" si="57">C1795-B1795</f>
        <v>1</v>
      </c>
    </row>
    <row r="1796" spans="1:30" x14ac:dyDescent="0.25">
      <c r="A1796" t="s">
        <v>1820</v>
      </c>
      <c r="B1796" s="2">
        <v>45061</v>
      </c>
      <c r="C1796" s="2">
        <v>45065</v>
      </c>
      <c r="D1796" t="s">
        <v>5082</v>
      </c>
      <c r="E1796" t="s">
        <v>5582</v>
      </c>
      <c r="F1796" t="s">
        <v>6027</v>
      </c>
      <c r="G1796" t="s">
        <v>6030</v>
      </c>
      <c r="H1796" t="s">
        <v>6038</v>
      </c>
      <c r="I1796" t="s">
        <v>6047</v>
      </c>
      <c r="J1796" t="s">
        <v>6055</v>
      </c>
      <c r="K1796" t="s">
        <v>6063</v>
      </c>
      <c r="L1796" t="s">
        <v>7696</v>
      </c>
      <c r="M1796">
        <v>1701.56</v>
      </c>
      <c r="N1796">
        <v>8</v>
      </c>
      <c r="O1796">
        <v>0.3</v>
      </c>
      <c r="P1796">
        <v>-93.89</v>
      </c>
      <c r="Q1796" t="s">
        <v>9893</v>
      </c>
      <c r="R1796">
        <v>4</v>
      </c>
      <c r="S1796" s="5">
        <f t="shared" si="56"/>
        <v>-5.5178777122170244E-2</v>
      </c>
      <c r="T1796">
        <v>212.69499999999999</v>
      </c>
      <c r="U1796">
        <v>5</v>
      </c>
      <c r="V1796">
        <v>2023</v>
      </c>
      <c r="W1796">
        <v>2</v>
      </c>
      <c r="X1796" t="s">
        <v>9898</v>
      </c>
      <c r="Y1796" t="s">
        <v>9900</v>
      </c>
      <c r="Z1796" t="s">
        <v>9898</v>
      </c>
      <c r="AD1796">
        <f t="shared" si="57"/>
        <v>4</v>
      </c>
    </row>
    <row r="1797" spans="1:30" x14ac:dyDescent="0.25">
      <c r="A1797" t="s">
        <v>1821</v>
      </c>
      <c r="B1797" s="2">
        <v>45024</v>
      </c>
      <c r="C1797" s="2">
        <v>45029</v>
      </c>
      <c r="D1797" t="s">
        <v>5261</v>
      </c>
      <c r="E1797" t="s">
        <v>5761</v>
      </c>
      <c r="F1797" t="s">
        <v>6027</v>
      </c>
      <c r="G1797" t="s">
        <v>6030</v>
      </c>
      <c r="H1797" t="s">
        <v>6038</v>
      </c>
      <c r="I1797" t="s">
        <v>6051</v>
      </c>
      <c r="J1797" t="s">
        <v>6055</v>
      </c>
      <c r="K1797" t="s">
        <v>6063</v>
      </c>
      <c r="L1797" t="s">
        <v>7697</v>
      </c>
      <c r="M1797">
        <v>1476.76</v>
      </c>
      <c r="N1797">
        <v>4</v>
      </c>
      <c r="O1797">
        <v>0.05</v>
      </c>
      <c r="P1797">
        <v>320.91000000000003</v>
      </c>
      <c r="Q1797" t="s">
        <v>9897</v>
      </c>
      <c r="R1797">
        <v>5</v>
      </c>
      <c r="S1797" s="5">
        <f t="shared" si="56"/>
        <v>0.2173068067932501</v>
      </c>
      <c r="T1797">
        <v>369.19</v>
      </c>
      <c r="U1797">
        <v>4</v>
      </c>
      <c r="V1797">
        <v>2023</v>
      </c>
      <c r="W1797">
        <v>2</v>
      </c>
      <c r="X1797" t="s">
        <v>9899</v>
      </c>
      <c r="Y1797" t="s">
        <v>9901</v>
      </c>
      <c r="Z1797" t="s">
        <v>9898</v>
      </c>
      <c r="AD1797">
        <f t="shared" si="57"/>
        <v>5</v>
      </c>
    </row>
    <row r="1798" spans="1:30" x14ac:dyDescent="0.25">
      <c r="A1798" t="s">
        <v>1822</v>
      </c>
      <c r="B1798" s="2">
        <v>45373</v>
      </c>
      <c r="C1798" s="2">
        <v>45377</v>
      </c>
      <c r="D1798" t="s">
        <v>5385</v>
      </c>
      <c r="E1798" t="s">
        <v>5885</v>
      </c>
      <c r="F1798" t="s">
        <v>6027</v>
      </c>
      <c r="G1798" t="s">
        <v>6030</v>
      </c>
      <c r="H1798" t="s">
        <v>6035</v>
      </c>
      <c r="I1798" t="s">
        <v>6051</v>
      </c>
      <c r="J1798" t="s">
        <v>6053</v>
      </c>
      <c r="K1798" t="s">
        <v>6056</v>
      </c>
      <c r="L1798" t="s">
        <v>7698</v>
      </c>
      <c r="M1798">
        <v>300.52</v>
      </c>
      <c r="N1798">
        <v>3</v>
      </c>
      <c r="O1798">
        <v>0.08</v>
      </c>
      <c r="P1798">
        <v>44.92</v>
      </c>
      <c r="Q1798" t="s">
        <v>9897</v>
      </c>
      <c r="R1798">
        <v>4</v>
      </c>
      <c r="S1798" s="5">
        <f t="shared" si="56"/>
        <v>0.14947424464261946</v>
      </c>
      <c r="T1798">
        <v>100.1733333333333</v>
      </c>
      <c r="U1798">
        <v>3</v>
      </c>
      <c r="V1798">
        <v>2024</v>
      </c>
      <c r="W1798">
        <v>1</v>
      </c>
      <c r="X1798" t="s">
        <v>9899</v>
      </c>
      <c r="Y1798" t="s">
        <v>9901</v>
      </c>
      <c r="Z1798" t="s">
        <v>9899</v>
      </c>
      <c r="AD1798">
        <f t="shared" si="57"/>
        <v>4</v>
      </c>
    </row>
    <row r="1799" spans="1:30" x14ac:dyDescent="0.25">
      <c r="A1799" t="s">
        <v>1823</v>
      </c>
      <c r="B1799" s="2">
        <v>44727</v>
      </c>
      <c r="C1799" s="2">
        <v>44729</v>
      </c>
      <c r="D1799" t="s">
        <v>5166</v>
      </c>
      <c r="E1799" t="s">
        <v>5666</v>
      </c>
      <c r="F1799" t="s">
        <v>6027</v>
      </c>
      <c r="G1799" t="s">
        <v>6029</v>
      </c>
      <c r="H1799" t="s">
        <v>6045</v>
      </c>
      <c r="I1799" t="s">
        <v>6049</v>
      </c>
      <c r="J1799" t="s">
        <v>6053</v>
      </c>
      <c r="K1799" t="s">
        <v>6058</v>
      </c>
      <c r="L1799" t="s">
        <v>6100</v>
      </c>
      <c r="M1799">
        <v>900.49</v>
      </c>
      <c r="N1799">
        <v>1</v>
      </c>
      <c r="O1799">
        <v>0.24</v>
      </c>
      <c r="P1799">
        <v>31.06</v>
      </c>
      <c r="Q1799" t="s">
        <v>9895</v>
      </c>
      <c r="R1799">
        <v>2</v>
      </c>
      <c r="S1799" s="5">
        <f t="shared" si="56"/>
        <v>3.449233195260358E-2</v>
      </c>
      <c r="T1799">
        <v>900.49</v>
      </c>
      <c r="U1799">
        <v>6</v>
      </c>
      <c r="V1799">
        <v>2022</v>
      </c>
      <c r="W1799">
        <v>2</v>
      </c>
      <c r="X1799" t="s">
        <v>9899</v>
      </c>
      <c r="Y1799" t="s">
        <v>9900</v>
      </c>
      <c r="Z1799" t="s">
        <v>9899</v>
      </c>
      <c r="AD1799">
        <f t="shared" si="57"/>
        <v>2</v>
      </c>
    </row>
    <row r="1800" spans="1:30" x14ac:dyDescent="0.25">
      <c r="A1800" t="s">
        <v>1824</v>
      </c>
      <c r="B1800" s="2">
        <v>44737</v>
      </c>
      <c r="C1800" s="2">
        <v>44744</v>
      </c>
      <c r="D1800" t="s">
        <v>5055</v>
      </c>
      <c r="E1800" t="s">
        <v>5555</v>
      </c>
      <c r="F1800" t="s">
        <v>6026</v>
      </c>
      <c r="G1800" t="s">
        <v>6030</v>
      </c>
      <c r="H1800" t="s">
        <v>6038</v>
      </c>
      <c r="I1800" t="s">
        <v>6051</v>
      </c>
      <c r="J1800" t="s">
        <v>6054</v>
      </c>
      <c r="K1800" t="s">
        <v>6060</v>
      </c>
      <c r="L1800" t="s">
        <v>7699</v>
      </c>
      <c r="M1800">
        <v>645.26</v>
      </c>
      <c r="N1800">
        <v>3</v>
      </c>
      <c r="O1800">
        <v>0.03</v>
      </c>
      <c r="P1800">
        <v>58.88</v>
      </c>
      <c r="Q1800" t="s">
        <v>9894</v>
      </c>
      <c r="R1800">
        <v>7</v>
      </c>
      <c r="S1800" s="5">
        <f t="shared" si="56"/>
        <v>9.1250038744072157E-2</v>
      </c>
      <c r="T1800">
        <v>215.0866666666667</v>
      </c>
      <c r="U1800">
        <v>6</v>
      </c>
      <c r="V1800">
        <v>2022</v>
      </c>
      <c r="W1800">
        <v>2</v>
      </c>
      <c r="X1800" t="s">
        <v>9899</v>
      </c>
      <c r="Y1800" t="s">
        <v>9901</v>
      </c>
      <c r="Z1800" t="s">
        <v>9899</v>
      </c>
      <c r="AD1800">
        <f t="shared" si="57"/>
        <v>7</v>
      </c>
    </row>
    <row r="1801" spans="1:30" x14ac:dyDescent="0.25">
      <c r="A1801" t="s">
        <v>1825</v>
      </c>
      <c r="B1801" s="2">
        <v>44988</v>
      </c>
      <c r="C1801" s="2">
        <v>44990</v>
      </c>
      <c r="D1801" t="s">
        <v>5438</v>
      </c>
      <c r="E1801" t="s">
        <v>5938</v>
      </c>
      <c r="F1801" t="s">
        <v>6027</v>
      </c>
      <c r="G1801" t="s">
        <v>6031</v>
      </c>
      <c r="H1801" t="s">
        <v>6042</v>
      </c>
      <c r="I1801" t="s">
        <v>6048</v>
      </c>
      <c r="J1801" t="s">
        <v>6054</v>
      </c>
      <c r="K1801" t="s">
        <v>6060</v>
      </c>
      <c r="L1801" t="s">
        <v>7700</v>
      </c>
      <c r="M1801">
        <v>1616.32</v>
      </c>
      <c r="N1801">
        <v>2</v>
      </c>
      <c r="O1801">
        <v>0.1</v>
      </c>
      <c r="P1801">
        <v>9.7799999999999994</v>
      </c>
      <c r="Q1801" t="s">
        <v>9897</v>
      </c>
      <c r="R1801">
        <v>2</v>
      </c>
      <c r="S1801" s="5">
        <f t="shared" si="56"/>
        <v>6.0507820233617103E-3</v>
      </c>
      <c r="T1801">
        <v>808.16</v>
      </c>
      <c r="U1801">
        <v>3</v>
      </c>
      <c r="V1801">
        <v>2023</v>
      </c>
      <c r="W1801">
        <v>1</v>
      </c>
      <c r="X1801" t="s">
        <v>9899</v>
      </c>
      <c r="Y1801" t="s">
        <v>9901</v>
      </c>
      <c r="Z1801" t="s">
        <v>9898</v>
      </c>
      <c r="AD1801">
        <f t="shared" si="57"/>
        <v>2</v>
      </c>
    </row>
    <row r="1802" spans="1:30" x14ac:dyDescent="0.25">
      <c r="A1802" t="s">
        <v>1826</v>
      </c>
      <c r="B1802" s="2">
        <v>45282</v>
      </c>
      <c r="C1802" s="2">
        <v>45288</v>
      </c>
      <c r="D1802" t="s">
        <v>5468</v>
      </c>
      <c r="E1802" t="s">
        <v>5968</v>
      </c>
      <c r="F1802" t="s">
        <v>6026</v>
      </c>
      <c r="G1802" t="s">
        <v>6029</v>
      </c>
      <c r="H1802" t="s">
        <v>6032</v>
      </c>
      <c r="I1802" t="s">
        <v>6049</v>
      </c>
      <c r="J1802" t="s">
        <v>6054</v>
      </c>
      <c r="K1802" t="s">
        <v>6062</v>
      </c>
      <c r="L1802" t="s">
        <v>7701</v>
      </c>
      <c r="M1802">
        <v>507.95</v>
      </c>
      <c r="N1802">
        <v>1</v>
      </c>
      <c r="O1802">
        <v>0.28999999999999998</v>
      </c>
      <c r="P1802">
        <v>-40.81</v>
      </c>
      <c r="Q1802" t="s">
        <v>9896</v>
      </c>
      <c r="R1802">
        <v>6</v>
      </c>
      <c r="S1802" s="5">
        <f t="shared" si="56"/>
        <v>-8.034255340092529E-2</v>
      </c>
      <c r="T1802">
        <v>507.95</v>
      </c>
      <c r="U1802">
        <v>12</v>
      </c>
      <c r="V1802">
        <v>2023</v>
      </c>
      <c r="W1802">
        <v>4</v>
      </c>
      <c r="X1802" t="s">
        <v>9898</v>
      </c>
      <c r="Y1802" t="s">
        <v>9900</v>
      </c>
      <c r="Z1802" t="s">
        <v>9899</v>
      </c>
      <c r="AD1802">
        <f t="shared" si="57"/>
        <v>6</v>
      </c>
    </row>
    <row r="1803" spans="1:30" x14ac:dyDescent="0.25">
      <c r="A1803" t="s">
        <v>1827</v>
      </c>
      <c r="B1803" s="2">
        <v>45058</v>
      </c>
      <c r="C1803" s="2">
        <v>45061</v>
      </c>
      <c r="D1803" t="s">
        <v>5101</v>
      </c>
      <c r="E1803" t="s">
        <v>5601</v>
      </c>
      <c r="F1803" t="s">
        <v>6027</v>
      </c>
      <c r="G1803" t="s">
        <v>6029</v>
      </c>
      <c r="H1803" t="s">
        <v>6032</v>
      </c>
      <c r="I1803" t="s">
        <v>6049</v>
      </c>
      <c r="J1803" t="s">
        <v>6055</v>
      </c>
      <c r="K1803" t="s">
        <v>6063</v>
      </c>
      <c r="L1803" t="s">
        <v>7702</v>
      </c>
      <c r="M1803">
        <v>576.88</v>
      </c>
      <c r="N1803">
        <v>8</v>
      </c>
      <c r="O1803">
        <v>0.35</v>
      </c>
      <c r="P1803">
        <v>-133.07</v>
      </c>
      <c r="Q1803" t="s">
        <v>9896</v>
      </c>
      <c r="R1803">
        <v>3</v>
      </c>
      <c r="S1803" s="5">
        <f t="shared" si="56"/>
        <v>-0.23067189016779918</v>
      </c>
      <c r="T1803">
        <v>72.11</v>
      </c>
      <c r="U1803">
        <v>5</v>
      </c>
      <c r="V1803">
        <v>2023</v>
      </c>
      <c r="W1803">
        <v>2</v>
      </c>
      <c r="X1803" t="s">
        <v>9898</v>
      </c>
      <c r="Y1803" t="s">
        <v>9902</v>
      </c>
      <c r="Z1803" t="s">
        <v>9899</v>
      </c>
      <c r="AD1803">
        <f t="shared" si="57"/>
        <v>3</v>
      </c>
    </row>
    <row r="1804" spans="1:30" x14ac:dyDescent="0.25">
      <c r="A1804" t="s">
        <v>1828</v>
      </c>
      <c r="B1804" s="2">
        <v>45313</v>
      </c>
      <c r="C1804" s="2">
        <v>45316</v>
      </c>
      <c r="D1804" t="s">
        <v>5262</v>
      </c>
      <c r="E1804" t="s">
        <v>5762</v>
      </c>
      <c r="F1804" t="s">
        <v>6026</v>
      </c>
      <c r="G1804" t="s">
        <v>6029</v>
      </c>
      <c r="H1804" t="s">
        <v>6036</v>
      </c>
      <c r="I1804" t="s">
        <v>6050</v>
      </c>
      <c r="J1804" t="s">
        <v>6055</v>
      </c>
      <c r="K1804" t="s">
        <v>6061</v>
      </c>
      <c r="L1804" t="s">
        <v>7703</v>
      </c>
      <c r="M1804">
        <v>765.07</v>
      </c>
      <c r="N1804">
        <v>6</v>
      </c>
      <c r="O1804">
        <v>0.17</v>
      </c>
      <c r="P1804">
        <v>-5.97</v>
      </c>
      <c r="Q1804" t="s">
        <v>9897</v>
      </c>
      <c r="R1804">
        <v>3</v>
      </c>
      <c r="S1804" s="5">
        <f t="shared" si="56"/>
        <v>-7.8032075496359803E-3</v>
      </c>
      <c r="T1804">
        <v>127.5116666666667</v>
      </c>
      <c r="U1804">
        <v>1</v>
      </c>
      <c r="V1804">
        <v>2024</v>
      </c>
      <c r="W1804">
        <v>1</v>
      </c>
      <c r="X1804" t="s">
        <v>9898</v>
      </c>
      <c r="Y1804" t="s">
        <v>9900</v>
      </c>
      <c r="Z1804" t="s">
        <v>9899</v>
      </c>
      <c r="AD1804">
        <f t="shared" si="57"/>
        <v>3</v>
      </c>
    </row>
    <row r="1805" spans="1:30" x14ac:dyDescent="0.25">
      <c r="A1805" t="s">
        <v>1829</v>
      </c>
      <c r="B1805" s="2">
        <v>44752</v>
      </c>
      <c r="C1805" s="2">
        <v>44753</v>
      </c>
      <c r="D1805" t="s">
        <v>5086</v>
      </c>
      <c r="E1805" t="s">
        <v>5586</v>
      </c>
      <c r="F1805" t="s">
        <v>6026</v>
      </c>
      <c r="G1805" t="s">
        <v>6030</v>
      </c>
      <c r="H1805" t="s">
        <v>6039</v>
      </c>
      <c r="I1805" t="s">
        <v>6047</v>
      </c>
      <c r="J1805" t="s">
        <v>6053</v>
      </c>
      <c r="K1805" t="s">
        <v>6058</v>
      </c>
      <c r="L1805" t="s">
        <v>7704</v>
      </c>
      <c r="M1805">
        <v>1662.08</v>
      </c>
      <c r="N1805">
        <v>7</v>
      </c>
      <c r="O1805">
        <v>0.18</v>
      </c>
      <c r="P1805">
        <v>-66.709999999999994</v>
      </c>
      <c r="Q1805" t="s">
        <v>9893</v>
      </c>
      <c r="R1805">
        <v>1</v>
      </c>
      <c r="S1805" s="5">
        <f t="shared" si="56"/>
        <v>-4.013645552560647E-2</v>
      </c>
      <c r="T1805">
        <v>237.44</v>
      </c>
      <c r="U1805">
        <v>7</v>
      </c>
      <c r="V1805">
        <v>2022</v>
      </c>
      <c r="W1805">
        <v>3</v>
      </c>
      <c r="X1805" t="s">
        <v>9898</v>
      </c>
      <c r="Y1805" t="s">
        <v>9900</v>
      </c>
      <c r="Z1805" t="s">
        <v>9898</v>
      </c>
      <c r="AD1805">
        <f t="shared" si="57"/>
        <v>1</v>
      </c>
    </row>
    <row r="1806" spans="1:30" x14ac:dyDescent="0.25">
      <c r="A1806" t="s">
        <v>1830</v>
      </c>
      <c r="B1806" s="2">
        <v>45093</v>
      </c>
      <c r="C1806" s="2">
        <v>45097</v>
      </c>
      <c r="D1806" t="s">
        <v>5461</v>
      </c>
      <c r="E1806" t="s">
        <v>5961</v>
      </c>
      <c r="F1806" t="s">
        <v>6027</v>
      </c>
      <c r="G1806" t="s">
        <v>6031</v>
      </c>
      <c r="H1806" t="s">
        <v>6043</v>
      </c>
      <c r="I1806" t="s">
        <v>6050</v>
      </c>
      <c r="J1806" t="s">
        <v>6054</v>
      </c>
      <c r="K1806" t="s">
        <v>6059</v>
      </c>
      <c r="L1806" t="s">
        <v>7705</v>
      </c>
      <c r="M1806">
        <v>373</v>
      </c>
      <c r="N1806">
        <v>3</v>
      </c>
      <c r="O1806">
        <v>0.01</v>
      </c>
      <c r="P1806">
        <v>64.819999999999993</v>
      </c>
      <c r="Q1806" t="s">
        <v>9897</v>
      </c>
      <c r="R1806">
        <v>4</v>
      </c>
      <c r="S1806" s="5">
        <f t="shared" si="56"/>
        <v>0.17378016085790882</v>
      </c>
      <c r="T1806">
        <v>124.3333333333333</v>
      </c>
      <c r="U1806">
        <v>6</v>
      </c>
      <c r="V1806">
        <v>2023</v>
      </c>
      <c r="W1806">
        <v>2</v>
      </c>
      <c r="X1806" t="s">
        <v>9899</v>
      </c>
      <c r="Y1806" t="s">
        <v>9901</v>
      </c>
      <c r="Z1806" t="s">
        <v>9899</v>
      </c>
      <c r="AD1806">
        <f t="shared" si="57"/>
        <v>4</v>
      </c>
    </row>
    <row r="1807" spans="1:30" x14ac:dyDescent="0.25">
      <c r="A1807" t="s">
        <v>1831</v>
      </c>
      <c r="B1807" s="2">
        <v>44888</v>
      </c>
      <c r="C1807" s="2">
        <v>44895</v>
      </c>
      <c r="D1807" t="s">
        <v>5325</v>
      </c>
      <c r="E1807" t="s">
        <v>5825</v>
      </c>
      <c r="F1807" t="s">
        <v>6028</v>
      </c>
      <c r="G1807" t="s">
        <v>6031</v>
      </c>
      <c r="H1807" t="s">
        <v>6040</v>
      </c>
      <c r="I1807" t="s">
        <v>6050</v>
      </c>
      <c r="J1807" t="s">
        <v>6055</v>
      </c>
      <c r="K1807" t="s">
        <v>6064</v>
      </c>
      <c r="L1807" t="s">
        <v>7706</v>
      </c>
      <c r="M1807">
        <v>1182.8499999999999</v>
      </c>
      <c r="N1807">
        <v>7</v>
      </c>
      <c r="O1807">
        <v>0.03</v>
      </c>
      <c r="P1807">
        <v>318.95999999999998</v>
      </c>
      <c r="Q1807" t="s">
        <v>9893</v>
      </c>
      <c r="R1807">
        <v>7</v>
      </c>
      <c r="S1807" s="5">
        <f t="shared" si="56"/>
        <v>0.26965380225725999</v>
      </c>
      <c r="T1807">
        <v>168.9785714285714</v>
      </c>
      <c r="U1807">
        <v>11</v>
      </c>
      <c r="V1807">
        <v>2022</v>
      </c>
      <c r="W1807">
        <v>4</v>
      </c>
      <c r="X1807" t="s">
        <v>9899</v>
      </c>
      <c r="Y1807" t="s">
        <v>9901</v>
      </c>
      <c r="Z1807" t="s">
        <v>9898</v>
      </c>
      <c r="AD1807">
        <f t="shared" si="57"/>
        <v>7</v>
      </c>
    </row>
    <row r="1808" spans="1:30" x14ac:dyDescent="0.25">
      <c r="A1808" t="s">
        <v>1832</v>
      </c>
      <c r="B1808" s="2">
        <v>45376</v>
      </c>
      <c r="C1808" s="2">
        <v>45383</v>
      </c>
      <c r="D1808" t="s">
        <v>5375</v>
      </c>
      <c r="E1808" t="s">
        <v>5875</v>
      </c>
      <c r="F1808" t="s">
        <v>6028</v>
      </c>
      <c r="G1808" t="s">
        <v>6029</v>
      </c>
      <c r="H1808" t="s">
        <v>6036</v>
      </c>
      <c r="I1808" t="s">
        <v>6050</v>
      </c>
      <c r="J1808" t="s">
        <v>6054</v>
      </c>
      <c r="K1808" t="s">
        <v>6060</v>
      </c>
      <c r="L1808" t="s">
        <v>6635</v>
      </c>
      <c r="M1808">
        <v>485.56</v>
      </c>
      <c r="N1808">
        <v>2</v>
      </c>
      <c r="O1808">
        <v>0.15</v>
      </c>
      <c r="P1808">
        <v>16.05</v>
      </c>
      <c r="Q1808" t="s">
        <v>9895</v>
      </c>
      <c r="R1808">
        <v>7</v>
      </c>
      <c r="S1808" s="5">
        <f t="shared" si="56"/>
        <v>3.3054617349040284E-2</v>
      </c>
      <c r="T1808">
        <v>242.78</v>
      </c>
      <c r="U1808">
        <v>3</v>
      </c>
      <c r="V1808">
        <v>2024</v>
      </c>
      <c r="W1808">
        <v>1</v>
      </c>
      <c r="X1808" t="s">
        <v>9899</v>
      </c>
      <c r="Y1808" t="s">
        <v>9901</v>
      </c>
      <c r="Z1808" t="s">
        <v>9899</v>
      </c>
      <c r="AD1808">
        <f t="shared" si="57"/>
        <v>7</v>
      </c>
    </row>
    <row r="1809" spans="1:30" x14ac:dyDescent="0.25">
      <c r="A1809" t="s">
        <v>1833</v>
      </c>
      <c r="B1809" s="2">
        <v>44593</v>
      </c>
      <c r="C1809" s="2">
        <v>44594</v>
      </c>
      <c r="D1809" t="s">
        <v>5204</v>
      </c>
      <c r="E1809" t="s">
        <v>5704</v>
      </c>
      <c r="F1809" t="s">
        <v>6027</v>
      </c>
      <c r="G1809" t="s">
        <v>6029</v>
      </c>
      <c r="H1809" t="s">
        <v>6041</v>
      </c>
      <c r="I1809" t="s">
        <v>6050</v>
      </c>
      <c r="J1809" t="s">
        <v>6055</v>
      </c>
      <c r="K1809" t="s">
        <v>6063</v>
      </c>
      <c r="L1809" t="s">
        <v>6138</v>
      </c>
      <c r="M1809">
        <v>1045.71</v>
      </c>
      <c r="N1809">
        <v>7</v>
      </c>
      <c r="O1809">
        <v>0.01</v>
      </c>
      <c r="P1809">
        <v>160.02000000000001</v>
      </c>
      <c r="Q1809" t="s">
        <v>9894</v>
      </c>
      <c r="R1809">
        <v>1</v>
      </c>
      <c r="S1809" s="5">
        <f t="shared" si="56"/>
        <v>0.15302521731646443</v>
      </c>
      <c r="T1809">
        <v>149.38714285714289</v>
      </c>
      <c r="U1809">
        <v>2</v>
      </c>
      <c r="V1809">
        <v>2022</v>
      </c>
      <c r="W1809">
        <v>1</v>
      </c>
      <c r="X1809" t="s">
        <v>9899</v>
      </c>
      <c r="Y1809" t="s">
        <v>9901</v>
      </c>
      <c r="Z1809" t="s">
        <v>9898</v>
      </c>
      <c r="AD1809">
        <f t="shared" si="57"/>
        <v>1</v>
      </c>
    </row>
    <row r="1810" spans="1:30" x14ac:dyDescent="0.25">
      <c r="A1810" t="s">
        <v>1834</v>
      </c>
      <c r="B1810" s="2">
        <v>44593</v>
      </c>
      <c r="C1810" s="2">
        <v>44598</v>
      </c>
      <c r="D1810" t="s">
        <v>5318</v>
      </c>
      <c r="E1810" t="s">
        <v>5818</v>
      </c>
      <c r="F1810" t="s">
        <v>6028</v>
      </c>
      <c r="G1810" t="s">
        <v>6029</v>
      </c>
      <c r="H1810" t="s">
        <v>6044</v>
      </c>
      <c r="I1810" t="s">
        <v>6049</v>
      </c>
      <c r="J1810" t="s">
        <v>6053</v>
      </c>
      <c r="K1810" t="s">
        <v>6058</v>
      </c>
      <c r="L1810" t="s">
        <v>7707</v>
      </c>
      <c r="M1810">
        <v>1711.89</v>
      </c>
      <c r="N1810">
        <v>6</v>
      </c>
      <c r="O1810">
        <v>0.34</v>
      </c>
      <c r="P1810">
        <v>-303.08999999999997</v>
      </c>
      <c r="Q1810" t="s">
        <v>9896</v>
      </c>
      <c r="R1810">
        <v>5</v>
      </c>
      <c r="S1810" s="5">
        <f t="shared" si="56"/>
        <v>-0.17704992727336449</v>
      </c>
      <c r="T1810">
        <v>285.315</v>
      </c>
      <c r="U1810">
        <v>2</v>
      </c>
      <c r="V1810">
        <v>2022</v>
      </c>
      <c r="W1810">
        <v>1</v>
      </c>
      <c r="X1810" t="s">
        <v>9898</v>
      </c>
      <c r="Y1810" t="s">
        <v>9902</v>
      </c>
      <c r="Z1810" t="s">
        <v>9898</v>
      </c>
      <c r="AD1810">
        <f t="shared" si="57"/>
        <v>5</v>
      </c>
    </row>
    <row r="1811" spans="1:30" x14ac:dyDescent="0.25">
      <c r="A1811" t="s">
        <v>1835</v>
      </c>
      <c r="B1811" s="2">
        <v>44646</v>
      </c>
      <c r="C1811" s="2">
        <v>44653</v>
      </c>
      <c r="D1811" t="s">
        <v>5263</v>
      </c>
      <c r="E1811" t="s">
        <v>5763</v>
      </c>
      <c r="F1811" t="s">
        <v>6026</v>
      </c>
      <c r="G1811" t="s">
        <v>6029</v>
      </c>
      <c r="H1811" t="s">
        <v>6044</v>
      </c>
      <c r="I1811" t="s">
        <v>6046</v>
      </c>
      <c r="J1811" t="s">
        <v>6055</v>
      </c>
      <c r="K1811" t="s">
        <v>6063</v>
      </c>
      <c r="L1811" t="s">
        <v>7708</v>
      </c>
      <c r="M1811">
        <v>1005.37</v>
      </c>
      <c r="N1811">
        <v>2</v>
      </c>
      <c r="O1811">
        <v>0.28999999999999998</v>
      </c>
      <c r="P1811">
        <v>-165.62</v>
      </c>
      <c r="Q1811" t="s">
        <v>9897</v>
      </c>
      <c r="R1811">
        <v>7</v>
      </c>
      <c r="S1811" s="5">
        <f t="shared" si="56"/>
        <v>-0.16473537105742164</v>
      </c>
      <c r="T1811">
        <v>502.685</v>
      </c>
      <c r="U1811">
        <v>3</v>
      </c>
      <c r="V1811">
        <v>2022</v>
      </c>
      <c r="W1811">
        <v>1</v>
      </c>
      <c r="X1811" t="s">
        <v>9898</v>
      </c>
      <c r="Y1811" t="s">
        <v>9900</v>
      </c>
      <c r="Z1811" t="s">
        <v>9898</v>
      </c>
      <c r="AD1811">
        <f t="shared" si="57"/>
        <v>7</v>
      </c>
    </row>
    <row r="1812" spans="1:30" x14ac:dyDescent="0.25">
      <c r="A1812" t="s">
        <v>1836</v>
      </c>
      <c r="B1812" s="2">
        <v>45145</v>
      </c>
      <c r="C1812" s="2">
        <v>45151</v>
      </c>
      <c r="D1812" t="s">
        <v>5314</v>
      </c>
      <c r="E1812" t="s">
        <v>5814</v>
      </c>
      <c r="F1812" t="s">
        <v>6027</v>
      </c>
      <c r="G1812" t="s">
        <v>6030</v>
      </c>
      <c r="H1812" t="s">
        <v>6035</v>
      </c>
      <c r="I1812" t="s">
        <v>6051</v>
      </c>
      <c r="J1812" t="s">
        <v>6055</v>
      </c>
      <c r="K1812" t="s">
        <v>6061</v>
      </c>
      <c r="L1812" t="s">
        <v>7709</v>
      </c>
      <c r="M1812">
        <v>1659.86</v>
      </c>
      <c r="N1812">
        <v>3</v>
      </c>
      <c r="O1812">
        <v>0.05</v>
      </c>
      <c r="P1812">
        <v>194.22</v>
      </c>
      <c r="Q1812" t="s">
        <v>9893</v>
      </c>
      <c r="R1812">
        <v>6</v>
      </c>
      <c r="S1812" s="5">
        <f t="shared" si="56"/>
        <v>0.11700986830214596</v>
      </c>
      <c r="T1812">
        <v>553.28666666666663</v>
      </c>
      <c r="U1812">
        <v>8</v>
      </c>
      <c r="V1812">
        <v>2023</v>
      </c>
      <c r="W1812">
        <v>3</v>
      </c>
      <c r="X1812" t="s">
        <v>9899</v>
      </c>
      <c r="Y1812" t="s">
        <v>9901</v>
      </c>
      <c r="Z1812" t="s">
        <v>9898</v>
      </c>
      <c r="AD1812">
        <f t="shared" si="57"/>
        <v>6</v>
      </c>
    </row>
    <row r="1813" spans="1:30" x14ac:dyDescent="0.25">
      <c r="A1813" t="s">
        <v>1837</v>
      </c>
      <c r="B1813" s="2">
        <v>44619</v>
      </c>
      <c r="C1813" s="2">
        <v>44620</v>
      </c>
      <c r="D1813" t="s">
        <v>5368</v>
      </c>
      <c r="E1813" t="s">
        <v>5868</v>
      </c>
      <c r="F1813" t="s">
        <v>6026</v>
      </c>
      <c r="G1813" t="s">
        <v>6029</v>
      </c>
      <c r="H1813" t="s">
        <v>6044</v>
      </c>
      <c r="I1813" t="s">
        <v>6050</v>
      </c>
      <c r="J1813" t="s">
        <v>6055</v>
      </c>
      <c r="K1813" t="s">
        <v>6063</v>
      </c>
      <c r="L1813" t="s">
        <v>7710</v>
      </c>
      <c r="M1813">
        <v>1648.75</v>
      </c>
      <c r="N1813">
        <v>3</v>
      </c>
      <c r="O1813">
        <v>0.05</v>
      </c>
      <c r="P1813">
        <v>206.48</v>
      </c>
      <c r="Q1813" t="s">
        <v>9895</v>
      </c>
      <c r="R1813">
        <v>1</v>
      </c>
      <c r="S1813" s="5">
        <f t="shared" si="56"/>
        <v>0.12523426838514026</v>
      </c>
      <c r="T1813">
        <v>549.58333333333337</v>
      </c>
      <c r="U1813">
        <v>2</v>
      </c>
      <c r="V1813">
        <v>2022</v>
      </c>
      <c r="W1813">
        <v>1</v>
      </c>
      <c r="X1813" t="s">
        <v>9899</v>
      </c>
      <c r="Y1813" t="s">
        <v>9901</v>
      </c>
      <c r="Z1813" t="s">
        <v>9898</v>
      </c>
      <c r="AD1813">
        <f t="shared" si="57"/>
        <v>1</v>
      </c>
    </row>
    <row r="1814" spans="1:30" x14ac:dyDescent="0.25">
      <c r="A1814" t="s">
        <v>1838</v>
      </c>
      <c r="B1814" s="2">
        <v>45012</v>
      </c>
      <c r="C1814" s="2">
        <v>45013</v>
      </c>
      <c r="D1814" t="s">
        <v>5083</v>
      </c>
      <c r="E1814" t="s">
        <v>5583</v>
      </c>
      <c r="F1814" t="s">
        <v>6027</v>
      </c>
      <c r="G1814" t="s">
        <v>6031</v>
      </c>
      <c r="H1814" t="s">
        <v>6043</v>
      </c>
      <c r="I1814" t="s">
        <v>6050</v>
      </c>
      <c r="J1814" t="s">
        <v>6054</v>
      </c>
      <c r="K1814" t="s">
        <v>6060</v>
      </c>
      <c r="L1814" t="s">
        <v>7711</v>
      </c>
      <c r="M1814">
        <v>689.55</v>
      </c>
      <c r="N1814">
        <v>2</v>
      </c>
      <c r="O1814">
        <v>0.03</v>
      </c>
      <c r="P1814">
        <v>75.7</v>
      </c>
      <c r="Q1814" t="s">
        <v>9897</v>
      </c>
      <c r="R1814">
        <v>1</v>
      </c>
      <c r="S1814" s="5">
        <f t="shared" si="56"/>
        <v>0.10978174171561164</v>
      </c>
      <c r="T1814">
        <v>344.77499999999998</v>
      </c>
      <c r="U1814">
        <v>3</v>
      </c>
      <c r="V1814">
        <v>2023</v>
      </c>
      <c r="W1814">
        <v>1</v>
      </c>
      <c r="X1814" t="s">
        <v>9899</v>
      </c>
      <c r="Y1814" t="s">
        <v>9901</v>
      </c>
      <c r="Z1814" t="s">
        <v>9899</v>
      </c>
      <c r="AD1814">
        <f t="shared" si="57"/>
        <v>1</v>
      </c>
    </row>
    <row r="1815" spans="1:30" x14ac:dyDescent="0.25">
      <c r="A1815" t="s">
        <v>1839</v>
      </c>
      <c r="B1815" s="2">
        <v>44577</v>
      </c>
      <c r="C1815" s="2">
        <v>44584</v>
      </c>
      <c r="D1815" t="s">
        <v>5085</v>
      </c>
      <c r="E1815" t="s">
        <v>5585</v>
      </c>
      <c r="F1815" t="s">
        <v>6026</v>
      </c>
      <c r="G1815" t="s">
        <v>6030</v>
      </c>
      <c r="H1815" t="s">
        <v>6035</v>
      </c>
      <c r="I1815" t="s">
        <v>6051</v>
      </c>
      <c r="J1815" t="s">
        <v>6055</v>
      </c>
      <c r="K1815" t="s">
        <v>6063</v>
      </c>
      <c r="L1815" t="s">
        <v>7712</v>
      </c>
      <c r="M1815">
        <v>768.22</v>
      </c>
      <c r="N1815">
        <v>2</v>
      </c>
      <c r="O1815">
        <v>0.17</v>
      </c>
      <c r="P1815">
        <v>57.46</v>
      </c>
      <c r="Q1815" t="s">
        <v>9897</v>
      </c>
      <c r="R1815">
        <v>7</v>
      </c>
      <c r="S1815" s="5">
        <f t="shared" si="56"/>
        <v>7.4796282314961854E-2</v>
      </c>
      <c r="T1815">
        <v>384.11</v>
      </c>
      <c r="U1815">
        <v>1</v>
      </c>
      <c r="V1815">
        <v>2022</v>
      </c>
      <c r="W1815">
        <v>1</v>
      </c>
      <c r="X1815" t="s">
        <v>9899</v>
      </c>
      <c r="Y1815" t="s">
        <v>9900</v>
      </c>
      <c r="Z1815" t="s">
        <v>9899</v>
      </c>
      <c r="AD1815">
        <f t="shared" si="57"/>
        <v>7</v>
      </c>
    </row>
    <row r="1816" spans="1:30" x14ac:dyDescent="0.25">
      <c r="A1816" t="s">
        <v>1840</v>
      </c>
      <c r="B1816" s="2">
        <v>45423</v>
      </c>
      <c r="C1816" s="2">
        <v>45425</v>
      </c>
      <c r="D1816" t="s">
        <v>5468</v>
      </c>
      <c r="E1816" t="s">
        <v>5968</v>
      </c>
      <c r="F1816" t="s">
        <v>6027</v>
      </c>
      <c r="G1816" t="s">
        <v>6029</v>
      </c>
      <c r="H1816" t="s">
        <v>6041</v>
      </c>
      <c r="I1816" t="s">
        <v>6050</v>
      </c>
      <c r="J1816" t="s">
        <v>6053</v>
      </c>
      <c r="K1816" t="s">
        <v>6058</v>
      </c>
      <c r="L1816" t="s">
        <v>7713</v>
      </c>
      <c r="M1816">
        <v>592.70000000000005</v>
      </c>
      <c r="N1816">
        <v>3</v>
      </c>
      <c r="O1816">
        <v>0.3</v>
      </c>
      <c r="P1816">
        <v>-70.180000000000007</v>
      </c>
      <c r="Q1816" t="s">
        <v>9894</v>
      </c>
      <c r="R1816">
        <v>2</v>
      </c>
      <c r="S1816" s="5">
        <f t="shared" si="56"/>
        <v>-0.11840728867892694</v>
      </c>
      <c r="T1816">
        <v>197.56666666666669</v>
      </c>
      <c r="U1816">
        <v>5</v>
      </c>
      <c r="V1816">
        <v>2024</v>
      </c>
      <c r="W1816">
        <v>2</v>
      </c>
      <c r="X1816" t="s">
        <v>9898</v>
      </c>
      <c r="Y1816" t="s">
        <v>9900</v>
      </c>
      <c r="Z1816" t="s">
        <v>9899</v>
      </c>
      <c r="AD1816">
        <f t="shared" si="57"/>
        <v>2</v>
      </c>
    </row>
    <row r="1817" spans="1:30" x14ac:dyDescent="0.25">
      <c r="A1817" t="s">
        <v>1841</v>
      </c>
      <c r="B1817" s="2">
        <v>45216</v>
      </c>
      <c r="C1817" s="2">
        <v>45223</v>
      </c>
      <c r="D1817" t="s">
        <v>5329</v>
      </c>
      <c r="E1817" t="s">
        <v>5829</v>
      </c>
      <c r="F1817" t="s">
        <v>6028</v>
      </c>
      <c r="G1817" t="s">
        <v>6029</v>
      </c>
      <c r="H1817" t="s">
        <v>6041</v>
      </c>
      <c r="I1817" t="s">
        <v>6049</v>
      </c>
      <c r="J1817" t="s">
        <v>6055</v>
      </c>
      <c r="K1817" t="s">
        <v>6064</v>
      </c>
      <c r="L1817" t="s">
        <v>6488</v>
      </c>
      <c r="M1817">
        <v>544.77</v>
      </c>
      <c r="N1817">
        <v>6</v>
      </c>
      <c r="O1817">
        <v>0.26</v>
      </c>
      <c r="P1817">
        <v>-19.04</v>
      </c>
      <c r="Q1817" t="s">
        <v>9896</v>
      </c>
      <c r="R1817">
        <v>7</v>
      </c>
      <c r="S1817" s="5">
        <f t="shared" si="56"/>
        <v>-3.495052958129119E-2</v>
      </c>
      <c r="T1817">
        <v>90.795000000000002</v>
      </c>
      <c r="U1817">
        <v>10</v>
      </c>
      <c r="V1817">
        <v>2023</v>
      </c>
      <c r="W1817">
        <v>4</v>
      </c>
      <c r="X1817" t="s">
        <v>9898</v>
      </c>
      <c r="Y1817" t="s">
        <v>9900</v>
      </c>
      <c r="Z1817" t="s">
        <v>9899</v>
      </c>
      <c r="AD1817">
        <f t="shared" si="57"/>
        <v>7</v>
      </c>
    </row>
    <row r="1818" spans="1:30" x14ac:dyDescent="0.25">
      <c r="A1818" t="s">
        <v>1842</v>
      </c>
      <c r="B1818" s="2">
        <v>45055</v>
      </c>
      <c r="C1818" s="2">
        <v>45057</v>
      </c>
      <c r="D1818" t="s">
        <v>5202</v>
      </c>
      <c r="E1818" t="s">
        <v>5702</v>
      </c>
      <c r="F1818" t="s">
        <v>6027</v>
      </c>
      <c r="G1818" t="s">
        <v>6031</v>
      </c>
      <c r="H1818" t="s">
        <v>6042</v>
      </c>
      <c r="I1818" t="s">
        <v>6048</v>
      </c>
      <c r="J1818" t="s">
        <v>6055</v>
      </c>
      <c r="K1818" t="s">
        <v>6064</v>
      </c>
      <c r="L1818" t="s">
        <v>7714</v>
      </c>
      <c r="M1818">
        <v>535.05999999999995</v>
      </c>
      <c r="N1818">
        <v>8</v>
      </c>
      <c r="O1818">
        <v>0.34</v>
      </c>
      <c r="P1818">
        <v>-54.9</v>
      </c>
      <c r="Q1818" t="s">
        <v>9896</v>
      </c>
      <c r="R1818">
        <v>2</v>
      </c>
      <c r="S1818" s="5">
        <f t="shared" si="56"/>
        <v>-0.10260531529174299</v>
      </c>
      <c r="T1818">
        <v>66.882499999999993</v>
      </c>
      <c r="U1818">
        <v>5</v>
      </c>
      <c r="V1818">
        <v>2023</v>
      </c>
      <c r="W1818">
        <v>2</v>
      </c>
      <c r="X1818" t="s">
        <v>9898</v>
      </c>
      <c r="Y1818" t="s">
        <v>9902</v>
      </c>
      <c r="Z1818" t="s">
        <v>9899</v>
      </c>
      <c r="AD1818">
        <f t="shared" si="57"/>
        <v>2</v>
      </c>
    </row>
    <row r="1819" spans="1:30" x14ac:dyDescent="0.25">
      <c r="A1819" t="s">
        <v>1843</v>
      </c>
      <c r="B1819" s="2">
        <v>44721</v>
      </c>
      <c r="C1819" s="2">
        <v>44725</v>
      </c>
      <c r="D1819" t="s">
        <v>5402</v>
      </c>
      <c r="E1819" t="s">
        <v>5902</v>
      </c>
      <c r="F1819" t="s">
        <v>6027</v>
      </c>
      <c r="G1819" t="s">
        <v>6031</v>
      </c>
      <c r="H1819" t="s">
        <v>6034</v>
      </c>
      <c r="I1819" t="s">
        <v>6050</v>
      </c>
      <c r="J1819" t="s">
        <v>6055</v>
      </c>
      <c r="K1819" t="s">
        <v>6061</v>
      </c>
      <c r="L1819" t="s">
        <v>7715</v>
      </c>
      <c r="M1819">
        <v>1662.82</v>
      </c>
      <c r="N1819">
        <v>1</v>
      </c>
      <c r="O1819">
        <v>0.01</v>
      </c>
      <c r="P1819">
        <v>360.15</v>
      </c>
      <c r="Q1819" t="s">
        <v>9897</v>
      </c>
      <c r="R1819">
        <v>4</v>
      </c>
      <c r="S1819" s="5">
        <f t="shared" si="56"/>
        <v>0.21658988946488494</v>
      </c>
      <c r="T1819">
        <v>1662.82</v>
      </c>
      <c r="U1819">
        <v>6</v>
      </c>
      <c r="V1819">
        <v>2022</v>
      </c>
      <c r="W1819">
        <v>2</v>
      </c>
      <c r="X1819" t="s">
        <v>9899</v>
      </c>
      <c r="Y1819" t="s">
        <v>9901</v>
      </c>
      <c r="Z1819" t="s">
        <v>9898</v>
      </c>
      <c r="AD1819">
        <f t="shared" si="57"/>
        <v>4</v>
      </c>
    </row>
    <row r="1820" spans="1:30" x14ac:dyDescent="0.25">
      <c r="A1820" t="s">
        <v>1844</v>
      </c>
      <c r="B1820" s="2">
        <v>45056</v>
      </c>
      <c r="C1820" s="2">
        <v>45058</v>
      </c>
      <c r="D1820" t="s">
        <v>5482</v>
      </c>
      <c r="E1820" t="s">
        <v>5982</v>
      </c>
      <c r="F1820" t="s">
        <v>6026</v>
      </c>
      <c r="G1820" t="s">
        <v>6031</v>
      </c>
      <c r="H1820" t="s">
        <v>6042</v>
      </c>
      <c r="I1820" t="s">
        <v>6050</v>
      </c>
      <c r="J1820" t="s">
        <v>6053</v>
      </c>
      <c r="K1820" t="s">
        <v>6057</v>
      </c>
      <c r="L1820" t="s">
        <v>6323</v>
      </c>
      <c r="M1820">
        <v>1350.46</v>
      </c>
      <c r="N1820">
        <v>6</v>
      </c>
      <c r="O1820">
        <v>0.21</v>
      </c>
      <c r="P1820">
        <v>-43.55</v>
      </c>
      <c r="Q1820" t="s">
        <v>9897</v>
      </c>
      <c r="R1820">
        <v>2</v>
      </c>
      <c r="S1820" s="5">
        <f t="shared" si="56"/>
        <v>-3.22482709595249E-2</v>
      </c>
      <c r="T1820">
        <v>225.07666666666671</v>
      </c>
      <c r="U1820">
        <v>5</v>
      </c>
      <c r="V1820">
        <v>2023</v>
      </c>
      <c r="W1820">
        <v>2</v>
      </c>
      <c r="X1820" t="s">
        <v>9898</v>
      </c>
      <c r="Y1820" t="s">
        <v>9900</v>
      </c>
      <c r="Z1820" t="s">
        <v>9898</v>
      </c>
      <c r="AD1820">
        <f t="shared" si="57"/>
        <v>2</v>
      </c>
    </row>
    <row r="1821" spans="1:30" x14ac:dyDescent="0.25">
      <c r="A1821" t="s">
        <v>1845</v>
      </c>
      <c r="B1821" s="2">
        <v>45217</v>
      </c>
      <c r="C1821" s="2">
        <v>45223</v>
      </c>
      <c r="D1821" t="s">
        <v>5203</v>
      </c>
      <c r="E1821" t="s">
        <v>5703</v>
      </c>
      <c r="F1821" t="s">
        <v>6026</v>
      </c>
      <c r="G1821" t="s">
        <v>6029</v>
      </c>
      <c r="H1821" t="s">
        <v>6032</v>
      </c>
      <c r="I1821" t="s">
        <v>6049</v>
      </c>
      <c r="J1821" t="s">
        <v>6054</v>
      </c>
      <c r="K1821" t="s">
        <v>6059</v>
      </c>
      <c r="L1821" t="s">
        <v>7716</v>
      </c>
      <c r="M1821">
        <v>744.9</v>
      </c>
      <c r="N1821">
        <v>2</v>
      </c>
      <c r="O1821">
        <v>0.33</v>
      </c>
      <c r="P1821">
        <v>-145.72</v>
      </c>
      <c r="Q1821" t="s">
        <v>9894</v>
      </c>
      <c r="R1821">
        <v>6</v>
      </c>
      <c r="S1821" s="5">
        <f t="shared" si="56"/>
        <v>-0.19562357363404484</v>
      </c>
      <c r="T1821">
        <v>372.45</v>
      </c>
      <c r="U1821">
        <v>10</v>
      </c>
      <c r="V1821">
        <v>2023</v>
      </c>
      <c r="W1821">
        <v>4</v>
      </c>
      <c r="X1821" t="s">
        <v>9898</v>
      </c>
      <c r="Y1821" t="s">
        <v>9902</v>
      </c>
      <c r="Z1821" t="s">
        <v>9899</v>
      </c>
      <c r="AD1821">
        <f t="shared" si="57"/>
        <v>6</v>
      </c>
    </row>
    <row r="1822" spans="1:30" x14ac:dyDescent="0.25">
      <c r="A1822" t="s">
        <v>1846</v>
      </c>
      <c r="B1822" s="2">
        <v>44880</v>
      </c>
      <c r="C1822" s="2">
        <v>44882</v>
      </c>
      <c r="D1822" t="s">
        <v>5225</v>
      </c>
      <c r="E1822" t="s">
        <v>5725</v>
      </c>
      <c r="F1822" t="s">
        <v>6026</v>
      </c>
      <c r="G1822" t="s">
        <v>6030</v>
      </c>
      <c r="H1822" t="s">
        <v>6035</v>
      </c>
      <c r="I1822" t="s">
        <v>6047</v>
      </c>
      <c r="J1822" t="s">
        <v>6053</v>
      </c>
      <c r="K1822" t="s">
        <v>6057</v>
      </c>
      <c r="L1822" t="s">
        <v>7717</v>
      </c>
      <c r="M1822">
        <v>781.84</v>
      </c>
      <c r="N1822">
        <v>2</v>
      </c>
      <c r="O1822">
        <v>0.04</v>
      </c>
      <c r="P1822">
        <v>58.76</v>
      </c>
      <c r="Q1822" t="s">
        <v>9896</v>
      </c>
      <c r="R1822">
        <v>2</v>
      </c>
      <c r="S1822" s="5">
        <f t="shared" si="56"/>
        <v>7.515604215696306E-2</v>
      </c>
      <c r="T1822">
        <v>390.92</v>
      </c>
      <c r="U1822">
        <v>11</v>
      </c>
      <c r="V1822">
        <v>2022</v>
      </c>
      <c r="W1822">
        <v>4</v>
      </c>
      <c r="X1822" t="s">
        <v>9899</v>
      </c>
      <c r="Y1822" t="s">
        <v>9901</v>
      </c>
      <c r="Z1822" t="s">
        <v>9899</v>
      </c>
      <c r="AD1822">
        <f t="shared" si="57"/>
        <v>2</v>
      </c>
    </row>
    <row r="1823" spans="1:30" x14ac:dyDescent="0.25">
      <c r="A1823" t="s">
        <v>1847</v>
      </c>
      <c r="B1823" s="2">
        <v>45167</v>
      </c>
      <c r="C1823" s="2">
        <v>45171</v>
      </c>
      <c r="D1823" t="s">
        <v>5517</v>
      </c>
      <c r="E1823" t="s">
        <v>6017</v>
      </c>
      <c r="F1823" t="s">
        <v>6027</v>
      </c>
      <c r="G1823" t="s">
        <v>6029</v>
      </c>
      <c r="H1823" t="s">
        <v>6032</v>
      </c>
      <c r="I1823" t="s">
        <v>6046</v>
      </c>
      <c r="J1823" t="s">
        <v>6055</v>
      </c>
      <c r="K1823" t="s">
        <v>6061</v>
      </c>
      <c r="L1823" t="s">
        <v>7718</v>
      </c>
      <c r="M1823">
        <v>336.01</v>
      </c>
      <c r="N1823">
        <v>2</v>
      </c>
      <c r="O1823">
        <v>0.06</v>
      </c>
      <c r="P1823">
        <v>19.48</v>
      </c>
      <c r="Q1823" t="s">
        <v>9897</v>
      </c>
      <c r="R1823">
        <v>4</v>
      </c>
      <c r="S1823" s="5">
        <f t="shared" si="56"/>
        <v>5.7974465045683168E-2</v>
      </c>
      <c r="T1823">
        <v>168.005</v>
      </c>
      <c r="U1823">
        <v>8</v>
      </c>
      <c r="V1823">
        <v>2023</v>
      </c>
      <c r="W1823">
        <v>3</v>
      </c>
      <c r="X1823" t="s">
        <v>9899</v>
      </c>
      <c r="Y1823" t="s">
        <v>9901</v>
      </c>
      <c r="Z1823" t="s">
        <v>9899</v>
      </c>
      <c r="AD1823">
        <f t="shared" si="57"/>
        <v>4</v>
      </c>
    </row>
    <row r="1824" spans="1:30" x14ac:dyDescent="0.25">
      <c r="A1824" t="s">
        <v>1848</v>
      </c>
      <c r="B1824" s="2">
        <v>45235</v>
      </c>
      <c r="C1824" s="2">
        <v>45237</v>
      </c>
      <c r="D1824" t="s">
        <v>5354</v>
      </c>
      <c r="E1824" t="s">
        <v>5854</v>
      </c>
      <c r="F1824" t="s">
        <v>6027</v>
      </c>
      <c r="G1824" t="s">
        <v>6030</v>
      </c>
      <c r="H1824" t="s">
        <v>6033</v>
      </c>
      <c r="I1824" t="s">
        <v>6047</v>
      </c>
      <c r="J1824" t="s">
        <v>6055</v>
      </c>
      <c r="K1824" t="s">
        <v>6063</v>
      </c>
      <c r="L1824" t="s">
        <v>7719</v>
      </c>
      <c r="M1824">
        <v>1658.85</v>
      </c>
      <c r="N1824">
        <v>1</v>
      </c>
      <c r="O1824">
        <v>0.27</v>
      </c>
      <c r="P1824">
        <v>-64.260000000000005</v>
      </c>
      <c r="Q1824" t="s">
        <v>9895</v>
      </c>
      <c r="R1824">
        <v>2</v>
      </c>
      <c r="S1824" s="5">
        <f t="shared" si="56"/>
        <v>-3.8737679717876845E-2</v>
      </c>
      <c r="T1824">
        <v>1658.85</v>
      </c>
      <c r="U1824">
        <v>11</v>
      </c>
      <c r="V1824">
        <v>2023</v>
      </c>
      <c r="W1824">
        <v>4</v>
      </c>
      <c r="X1824" t="s">
        <v>9898</v>
      </c>
      <c r="Y1824" t="s">
        <v>9900</v>
      </c>
      <c r="Z1824" t="s">
        <v>9898</v>
      </c>
      <c r="AD1824">
        <f t="shared" si="57"/>
        <v>2</v>
      </c>
    </row>
    <row r="1825" spans="1:30" x14ac:dyDescent="0.25">
      <c r="A1825" t="s">
        <v>1849</v>
      </c>
      <c r="B1825" s="2">
        <v>44945</v>
      </c>
      <c r="C1825" s="2">
        <v>44951</v>
      </c>
      <c r="D1825" t="s">
        <v>5319</v>
      </c>
      <c r="E1825" t="s">
        <v>5819</v>
      </c>
      <c r="F1825" t="s">
        <v>6028</v>
      </c>
      <c r="G1825" t="s">
        <v>6031</v>
      </c>
      <c r="H1825" t="s">
        <v>6034</v>
      </c>
      <c r="I1825" t="s">
        <v>6048</v>
      </c>
      <c r="J1825" t="s">
        <v>6053</v>
      </c>
      <c r="K1825" t="s">
        <v>6058</v>
      </c>
      <c r="L1825" t="s">
        <v>7720</v>
      </c>
      <c r="M1825">
        <v>242.74</v>
      </c>
      <c r="N1825">
        <v>4</v>
      </c>
      <c r="O1825">
        <v>0.34</v>
      </c>
      <c r="P1825">
        <v>-51.06</v>
      </c>
      <c r="Q1825" t="s">
        <v>9895</v>
      </c>
      <c r="R1825">
        <v>6</v>
      </c>
      <c r="S1825" s="5">
        <f t="shared" si="56"/>
        <v>-0.21034852105133064</v>
      </c>
      <c r="T1825">
        <v>60.685000000000002</v>
      </c>
      <c r="U1825">
        <v>1</v>
      </c>
      <c r="V1825">
        <v>2023</v>
      </c>
      <c r="W1825">
        <v>1</v>
      </c>
      <c r="X1825" t="s">
        <v>9898</v>
      </c>
      <c r="Y1825" t="s">
        <v>9902</v>
      </c>
      <c r="Z1825" t="s">
        <v>9899</v>
      </c>
      <c r="AD1825">
        <f t="shared" si="57"/>
        <v>6</v>
      </c>
    </row>
    <row r="1826" spans="1:30" x14ac:dyDescent="0.25">
      <c r="A1826" t="s">
        <v>1850</v>
      </c>
      <c r="B1826" s="2">
        <v>45258</v>
      </c>
      <c r="C1826" s="2">
        <v>45263</v>
      </c>
      <c r="D1826" t="s">
        <v>5464</v>
      </c>
      <c r="E1826" t="s">
        <v>5964</v>
      </c>
      <c r="F1826" t="s">
        <v>6028</v>
      </c>
      <c r="G1826" t="s">
        <v>6029</v>
      </c>
      <c r="H1826" t="s">
        <v>6032</v>
      </c>
      <c r="I1826" t="s">
        <v>6049</v>
      </c>
      <c r="J1826" t="s">
        <v>6054</v>
      </c>
      <c r="K1826" t="s">
        <v>6060</v>
      </c>
      <c r="L1826" t="s">
        <v>7721</v>
      </c>
      <c r="M1826">
        <v>396.14</v>
      </c>
      <c r="N1826">
        <v>4</v>
      </c>
      <c r="O1826">
        <v>0.16</v>
      </c>
      <c r="P1826">
        <v>-15.99</v>
      </c>
      <c r="Q1826" t="s">
        <v>9896</v>
      </c>
      <c r="R1826">
        <v>5</v>
      </c>
      <c r="S1826" s="5">
        <f t="shared" si="56"/>
        <v>-4.036451759478972E-2</v>
      </c>
      <c r="T1826">
        <v>99.034999999999997</v>
      </c>
      <c r="U1826">
        <v>11</v>
      </c>
      <c r="V1826">
        <v>2023</v>
      </c>
      <c r="W1826">
        <v>4</v>
      </c>
      <c r="X1826" t="s">
        <v>9898</v>
      </c>
      <c r="Y1826" t="s">
        <v>9900</v>
      </c>
      <c r="Z1826" t="s">
        <v>9899</v>
      </c>
      <c r="AD1826">
        <f t="shared" si="57"/>
        <v>5</v>
      </c>
    </row>
    <row r="1827" spans="1:30" x14ac:dyDescent="0.25">
      <c r="A1827" t="s">
        <v>1851</v>
      </c>
      <c r="B1827" s="2">
        <v>45400</v>
      </c>
      <c r="C1827" s="2">
        <v>45406</v>
      </c>
      <c r="D1827" t="s">
        <v>5331</v>
      </c>
      <c r="E1827" t="s">
        <v>5831</v>
      </c>
      <c r="F1827" t="s">
        <v>6026</v>
      </c>
      <c r="G1827" t="s">
        <v>6029</v>
      </c>
      <c r="H1827" t="s">
        <v>6032</v>
      </c>
      <c r="I1827" t="s">
        <v>6046</v>
      </c>
      <c r="J1827" t="s">
        <v>6053</v>
      </c>
      <c r="K1827" t="s">
        <v>6058</v>
      </c>
      <c r="L1827" t="s">
        <v>7461</v>
      </c>
      <c r="M1827">
        <v>1368.33</v>
      </c>
      <c r="N1827">
        <v>5</v>
      </c>
      <c r="O1827">
        <v>0</v>
      </c>
      <c r="P1827">
        <v>154.22999999999999</v>
      </c>
      <c r="Q1827" t="s">
        <v>9895</v>
      </c>
      <c r="R1827">
        <v>6</v>
      </c>
      <c r="S1827" s="5">
        <f t="shared" si="56"/>
        <v>0.11271403828023942</v>
      </c>
      <c r="T1827">
        <v>273.666</v>
      </c>
      <c r="U1827">
        <v>4</v>
      </c>
      <c r="V1827">
        <v>2024</v>
      </c>
      <c r="W1827">
        <v>2</v>
      </c>
      <c r="X1827" t="s">
        <v>9899</v>
      </c>
      <c r="Y1827" t="s">
        <v>9901</v>
      </c>
      <c r="Z1827" t="s">
        <v>9898</v>
      </c>
      <c r="AD1827">
        <f t="shared" si="57"/>
        <v>6</v>
      </c>
    </row>
    <row r="1828" spans="1:30" x14ac:dyDescent="0.25">
      <c r="A1828" t="s">
        <v>1852</v>
      </c>
      <c r="B1828" s="2">
        <v>44874</v>
      </c>
      <c r="C1828" s="2">
        <v>44875</v>
      </c>
      <c r="D1828" t="s">
        <v>5059</v>
      </c>
      <c r="E1828" t="s">
        <v>5559</v>
      </c>
      <c r="F1828" t="s">
        <v>6027</v>
      </c>
      <c r="G1828" t="s">
        <v>6031</v>
      </c>
      <c r="H1828" t="s">
        <v>6034</v>
      </c>
      <c r="I1828" t="s">
        <v>6048</v>
      </c>
      <c r="J1828" t="s">
        <v>6055</v>
      </c>
      <c r="K1828" t="s">
        <v>6064</v>
      </c>
      <c r="L1828" t="s">
        <v>7722</v>
      </c>
      <c r="M1828">
        <v>1667.2</v>
      </c>
      <c r="N1828">
        <v>3</v>
      </c>
      <c r="O1828">
        <v>0.25</v>
      </c>
      <c r="P1828">
        <v>-179.01</v>
      </c>
      <c r="Q1828" t="s">
        <v>9897</v>
      </c>
      <c r="R1828">
        <v>1</v>
      </c>
      <c r="S1828" s="5">
        <f t="shared" si="56"/>
        <v>-0.10737164107485604</v>
      </c>
      <c r="T1828">
        <v>555.73333333333335</v>
      </c>
      <c r="U1828">
        <v>11</v>
      </c>
      <c r="V1828">
        <v>2022</v>
      </c>
      <c r="W1828">
        <v>4</v>
      </c>
      <c r="X1828" t="s">
        <v>9898</v>
      </c>
      <c r="Y1828" t="s">
        <v>9900</v>
      </c>
      <c r="Z1828" t="s">
        <v>9898</v>
      </c>
      <c r="AD1828">
        <f t="shared" si="57"/>
        <v>1</v>
      </c>
    </row>
    <row r="1829" spans="1:30" x14ac:dyDescent="0.25">
      <c r="A1829" t="s">
        <v>1853</v>
      </c>
      <c r="B1829" s="2">
        <v>45392</v>
      </c>
      <c r="C1829" s="2">
        <v>45396</v>
      </c>
      <c r="D1829" t="s">
        <v>5352</v>
      </c>
      <c r="E1829" t="s">
        <v>5852</v>
      </c>
      <c r="F1829" t="s">
        <v>6026</v>
      </c>
      <c r="G1829" t="s">
        <v>6030</v>
      </c>
      <c r="H1829" t="s">
        <v>6033</v>
      </c>
      <c r="I1829" t="s">
        <v>6051</v>
      </c>
      <c r="J1829" t="s">
        <v>6053</v>
      </c>
      <c r="K1829" t="s">
        <v>6057</v>
      </c>
      <c r="L1829" t="s">
        <v>6715</v>
      </c>
      <c r="M1829">
        <v>1001.75</v>
      </c>
      <c r="N1829">
        <v>5</v>
      </c>
      <c r="O1829">
        <v>0.28999999999999998</v>
      </c>
      <c r="P1829">
        <v>-138.88999999999999</v>
      </c>
      <c r="Q1829" t="s">
        <v>9894</v>
      </c>
      <c r="R1829">
        <v>4</v>
      </c>
      <c r="S1829" s="5">
        <f t="shared" si="56"/>
        <v>-0.13864736710756176</v>
      </c>
      <c r="T1829">
        <v>200.35</v>
      </c>
      <c r="U1829">
        <v>4</v>
      </c>
      <c r="V1829">
        <v>2024</v>
      </c>
      <c r="W1829">
        <v>2</v>
      </c>
      <c r="X1829" t="s">
        <v>9898</v>
      </c>
      <c r="Y1829" t="s">
        <v>9900</v>
      </c>
      <c r="Z1829" t="s">
        <v>9898</v>
      </c>
      <c r="AD1829">
        <f t="shared" si="57"/>
        <v>4</v>
      </c>
    </row>
    <row r="1830" spans="1:30" x14ac:dyDescent="0.25">
      <c r="A1830" t="s">
        <v>1854</v>
      </c>
      <c r="B1830" s="2">
        <v>44573</v>
      </c>
      <c r="C1830" s="2">
        <v>44574</v>
      </c>
      <c r="D1830" t="s">
        <v>5431</v>
      </c>
      <c r="E1830" t="s">
        <v>5931</v>
      </c>
      <c r="F1830" t="s">
        <v>6026</v>
      </c>
      <c r="G1830" t="s">
        <v>6030</v>
      </c>
      <c r="H1830" t="s">
        <v>6038</v>
      </c>
      <c r="I1830" t="s">
        <v>6051</v>
      </c>
      <c r="J1830" t="s">
        <v>6053</v>
      </c>
      <c r="K1830" t="s">
        <v>6057</v>
      </c>
      <c r="L1830" t="s">
        <v>7723</v>
      </c>
      <c r="M1830">
        <v>1171.03</v>
      </c>
      <c r="N1830">
        <v>1</v>
      </c>
      <c r="O1830">
        <v>0.09</v>
      </c>
      <c r="P1830">
        <v>156.75</v>
      </c>
      <c r="Q1830" t="s">
        <v>9897</v>
      </c>
      <c r="R1830">
        <v>1</v>
      </c>
      <c r="S1830" s="5">
        <f t="shared" si="56"/>
        <v>0.13385651947430893</v>
      </c>
      <c r="T1830">
        <v>1171.03</v>
      </c>
      <c r="U1830">
        <v>1</v>
      </c>
      <c r="V1830">
        <v>2022</v>
      </c>
      <c r="W1830">
        <v>1</v>
      </c>
      <c r="X1830" t="s">
        <v>9899</v>
      </c>
      <c r="Y1830" t="s">
        <v>9901</v>
      </c>
      <c r="Z1830" t="s">
        <v>9898</v>
      </c>
      <c r="AD1830">
        <f t="shared" si="57"/>
        <v>1</v>
      </c>
    </row>
    <row r="1831" spans="1:30" x14ac:dyDescent="0.25">
      <c r="A1831" t="s">
        <v>1855</v>
      </c>
      <c r="B1831" s="2">
        <v>44823</v>
      </c>
      <c r="C1831" s="2">
        <v>44826</v>
      </c>
      <c r="D1831" t="s">
        <v>5091</v>
      </c>
      <c r="E1831" t="s">
        <v>5591</v>
      </c>
      <c r="F1831" t="s">
        <v>6027</v>
      </c>
      <c r="G1831" t="s">
        <v>6031</v>
      </c>
      <c r="H1831" t="s">
        <v>6034</v>
      </c>
      <c r="I1831" t="s">
        <v>6048</v>
      </c>
      <c r="J1831" t="s">
        <v>6055</v>
      </c>
      <c r="K1831" t="s">
        <v>6064</v>
      </c>
      <c r="L1831" t="s">
        <v>7724</v>
      </c>
      <c r="M1831">
        <v>1937.63</v>
      </c>
      <c r="N1831">
        <v>4</v>
      </c>
      <c r="O1831">
        <v>0.24</v>
      </c>
      <c r="P1831">
        <v>25.6</v>
      </c>
      <c r="Q1831" t="s">
        <v>9894</v>
      </c>
      <c r="R1831">
        <v>3</v>
      </c>
      <c r="S1831" s="5">
        <f t="shared" si="56"/>
        <v>1.3212016742102465E-2</v>
      </c>
      <c r="T1831">
        <v>484.40750000000003</v>
      </c>
      <c r="U1831">
        <v>9</v>
      </c>
      <c r="V1831">
        <v>2022</v>
      </c>
      <c r="W1831">
        <v>3</v>
      </c>
      <c r="X1831" t="s">
        <v>9899</v>
      </c>
      <c r="Y1831" t="s">
        <v>9900</v>
      </c>
      <c r="Z1831" t="s">
        <v>9898</v>
      </c>
      <c r="AD1831">
        <f t="shared" si="57"/>
        <v>3</v>
      </c>
    </row>
    <row r="1832" spans="1:30" x14ac:dyDescent="0.25">
      <c r="A1832" t="s">
        <v>1856</v>
      </c>
      <c r="B1832" s="2">
        <v>45399</v>
      </c>
      <c r="C1832" s="2">
        <v>45402</v>
      </c>
      <c r="D1832" t="s">
        <v>5412</v>
      </c>
      <c r="E1832" t="s">
        <v>5912</v>
      </c>
      <c r="F1832" t="s">
        <v>6026</v>
      </c>
      <c r="G1832" t="s">
        <v>6029</v>
      </c>
      <c r="H1832" t="s">
        <v>6045</v>
      </c>
      <c r="I1832" t="s">
        <v>6049</v>
      </c>
      <c r="J1832" t="s">
        <v>6055</v>
      </c>
      <c r="K1832" t="s">
        <v>6061</v>
      </c>
      <c r="L1832" t="s">
        <v>6819</v>
      </c>
      <c r="M1832">
        <v>1195.99</v>
      </c>
      <c r="N1832">
        <v>3</v>
      </c>
      <c r="O1832">
        <v>0.14000000000000001</v>
      </c>
      <c r="P1832">
        <v>23.58</v>
      </c>
      <c r="Q1832" t="s">
        <v>9895</v>
      </c>
      <c r="R1832">
        <v>3</v>
      </c>
      <c r="S1832" s="5">
        <f t="shared" si="56"/>
        <v>1.9715883912072841E-2</v>
      </c>
      <c r="T1832">
        <v>398.66333333333341</v>
      </c>
      <c r="U1832">
        <v>4</v>
      </c>
      <c r="V1832">
        <v>2024</v>
      </c>
      <c r="W1832">
        <v>2</v>
      </c>
      <c r="X1832" t="s">
        <v>9899</v>
      </c>
      <c r="Y1832" t="s">
        <v>9901</v>
      </c>
      <c r="Z1832" t="s">
        <v>9898</v>
      </c>
      <c r="AD1832">
        <f t="shared" si="57"/>
        <v>3</v>
      </c>
    </row>
    <row r="1833" spans="1:30" x14ac:dyDescent="0.25">
      <c r="A1833" t="s">
        <v>1857</v>
      </c>
      <c r="B1833" s="2">
        <v>45212</v>
      </c>
      <c r="C1833" s="2">
        <v>45216</v>
      </c>
      <c r="D1833" t="s">
        <v>5293</v>
      </c>
      <c r="E1833" t="s">
        <v>5793</v>
      </c>
      <c r="F1833" t="s">
        <v>6027</v>
      </c>
      <c r="G1833" t="s">
        <v>6029</v>
      </c>
      <c r="H1833" t="s">
        <v>6041</v>
      </c>
      <c r="I1833" t="s">
        <v>6049</v>
      </c>
      <c r="J1833" t="s">
        <v>6053</v>
      </c>
      <c r="K1833" t="s">
        <v>6057</v>
      </c>
      <c r="L1833" t="s">
        <v>7725</v>
      </c>
      <c r="M1833">
        <v>156.68</v>
      </c>
      <c r="N1833">
        <v>1</v>
      </c>
      <c r="O1833">
        <v>0.01</v>
      </c>
      <c r="P1833">
        <v>33.93</v>
      </c>
      <c r="Q1833" t="s">
        <v>9893</v>
      </c>
      <c r="R1833">
        <v>4</v>
      </c>
      <c r="S1833" s="5">
        <f t="shared" si="56"/>
        <v>0.21655603778401836</v>
      </c>
      <c r="T1833">
        <v>156.68</v>
      </c>
      <c r="U1833">
        <v>10</v>
      </c>
      <c r="V1833">
        <v>2023</v>
      </c>
      <c r="W1833">
        <v>4</v>
      </c>
      <c r="X1833" t="s">
        <v>9899</v>
      </c>
      <c r="Y1833" t="s">
        <v>9901</v>
      </c>
      <c r="Z1833" t="s">
        <v>9899</v>
      </c>
      <c r="AD1833">
        <f t="shared" si="57"/>
        <v>4</v>
      </c>
    </row>
    <row r="1834" spans="1:30" x14ac:dyDescent="0.25">
      <c r="A1834" t="s">
        <v>1858</v>
      </c>
      <c r="B1834" s="2">
        <v>44583</v>
      </c>
      <c r="C1834" s="2">
        <v>44584</v>
      </c>
      <c r="D1834" t="s">
        <v>5512</v>
      </c>
      <c r="E1834" t="s">
        <v>6012</v>
      </c>
      <c r="F1834" t="s">
        <v>6028</v>
      </c>
      <c r="G1834" t="s">
        <v>6030</v>
      </c>
      <c r="H1834" t="s">
        <v>6035</v>
      </c>
      <c r="I1834" t="s">
        <v>6051</v>
      </c>
      <c r="J1834" t="s">
        <v>6055</v>
      </c>
      <c r="K1834" t="s">
        <v>6063</v>
      </c>
      <c r="L1834" t="s">
        <v>7726</v>
      </c>
      <c r="M1834">
        <v>1760.19</v>
      </c>
      <c r="N1834">
        <v>5</v>
      </c>
      <c r="O1834">
        <v>0.14000000000000001</v>
      </c>
      <c r="P1834">
        <v>104</v>
      </c>
      <c r="Q1834" t="s">
        <v>9895</v>
      </c>
      <c r="R1834">
        <v>1</v>
      </c>
      <c r="S1834" s="5">
        <f t="shared" si="56"/>
        <v>5.9084530647259666E-2</v>
      </c>
      <c r="T1834">
        <v>352.03800000000001</v>
      </c>
      <c r="U1834">
        <v>1</v>
      </c>
      <c r="V1834">
        <v>2022</v>
      </c>
      <c r="W1834">
        <v>1</v>
      </c>
      <c r="X1834" t="s">
        <v>9899</v>
      </c>
      <c r="Y1834" t="s">
        <v>9901</v>
      </c>
      <c r="Z1834" t="s">
        <v>9898</v>
      </c>
      <c r="AD1834">
        <f t="shared" si="57"/>
        <v>1</v>
      </c>
    </row>
    <row r="1835" spans="1:30" x14ac:dyDescent="0.25">
      <c r="A1835" t="s">
        <v>1859</v>
      </c>
      <c r="B1835" s="2">
        <v>45014</v>
      </c>
      <c r="C1835" s="2">
        <v>45018</v>
      </c>
      <c r="D1835" t="s">
        <v>5165</v>
      </c>
      <c r="E1835" t="s">
        <v>5665</v>
      </c>
      <c r="F1835" t="s">
        <v>6028</v>
      </c>
      <c r="G1835" t="s">
        <v>6030</v>
      </c>
      <c r="H1835" t="s">
        <v>6039</v>
      </c>
      <c r="I1835" t="s">
        <v>6047</v>
      </c>
      <c r="J1835" t="s">
        <v>6053</v>
      </c>
      <c r="K1835" t="s">
        <v>6058</v>
      </c>
      <c r="L1835" t="s">
        <v>7727</v>
      </c>
      <c r="M1835">
        <v>768.75</v>
      </c>
      <c r="N1835">
        <v>5</v>
      </c>
      <c r="O1835">
        <v>0.31</v>
      </c>
      <c r="P1835">
        <v>-103.02</v>
      </c>
      <c r="Q1835" t="s">
        <v>9895</v>
      </c>
      <c r="R1835">
        <v>4</v>
      </c>
      <c r="S1835" s="5">
        <f t="shared" si="56"/>
        <v>-0.13400975609756097</v>
      </c>
      <c r="T1835">
        <v>153.75</v>
      </c>
      <c r="U1835">
        <v>3</v>
      </c>
      <c r="V1835">
        <v>2023</v>
      </c>
      <c r="W1835">
        <v>1</v>
      </c>
      <c r="X1835" t="s">
        <v>9898</v>
      </c>
      <c r="Y1835" t="s">
        <v>9902</v>
      </c>
      <c r="Z1835" t="s">
        <v>9899</v>
      </c>
      <c r="AD1835">
        <f t="shared" si="57"/>
        <v>4</v>
      </c>
    </row>
    <row r="1836" spans="1:30" x14ac:dyDescent="0.25">
      <c r="A1836" t="s">
        <v>1860</v>
      </c>
      <c r="B1836" s="2">
        <v>44819</v>
      </c>
      <c r="C1836" s="2">
        <v>44825</v>
      </c>
      <c r="D1836" t="s">
        <v>5214</v>
      </c>
      <c r="E1836" t="s">
        <v>5714</v>
      </c>
      <c r="F1836" t="s">
        <v>6027</v>
      </c>
      <c r="G1836" t="s">
        <v>6031</v>
      </c>
      <c r="H1836" t="s">
        <v>6040</v>
      </c>
      <c r="I1836" t="s">
        <v>6052</v>
      </c>
      <c r="J1836" t="s">
        <v>6054</v>
      </c>
      <c r="K1836" t="s">
        <v>6059</v>
      </c>
      <c r="L1836" t="s">
        <v>7728</v>
      </c>
      <c r="M1836">
        <v>1128.71</v>
      </c>
      <c r="N1836">
        <v>6</v>
      </c>
      <c r="O1836">
        <v>0.35</v>
      </c>
      <c r="P1836">
        <v>-63.64</v>
      </c>
      <c r="Q1836" t="s">
        <v>9894</v>
      </c>
      <c r="R1836">
        <v>6</v>
      </c>
      <c r="S1836" s="5">
        <f t="shared" si="56"/>
        <v>-5.6382950447856399E-2</v>
      </c>
      <c r="T1836">
        <v>188.11833333333331</v>
      </c>
      <c r="U1836">
        <v>9</v>
      </c>
      <c r="V1836">
        <v>2022</v>
      </c>
      <c r="W1836">
        <v>3</v>
      </c>
      <c r="X1836" t="s">
        <v>9898</v>
      </c>
      <c r="Y1836" t="s">
        <v>9902</v>
      </c>
      <c r="Z1836" t="s">
        <v>9898</v>
      </c>
      <c r="AD1836">
        <f t="shared" si="57"/>
        <v>6</v>
      </c>
    </row>
    <row r="1837" spans="1:30" x14ac:dyDescent="0.25">
      <c r="A1837" t="s">
        <v>1861</v>
      </c>
      <c r="B1837" s="2">
        <v>44621</v>
      </c>
      <c r="C1837" s="2">
        <v>44623</v>
      </c>
      <c r="D1837" t="s">
        <v>5359</v>
      </c>
      <c r="E1837" t="s">
        <v>5859</v>
      </c>
      <c r="F1837" t="s">
        <v>6028</v>
      </c>
      <c r="G1837" t="s">
        <v>6030</v>
      </c>
      <c r="H1837" t="s">
        <v>6039</v>
      </c>
      <c r="I1837" t="s">
        <v>6051</v>
      </c>
      <c r="J1837" t="s">
        <v>6055</v>
      </c>
      <c r="K1837" t="s">
        <v>6061</v>
      </c>
      <c r="L1837" t="s">
        <v>7729</v>
      </c>
      <c r="M1837">
        <v>874.11</v>
      </c>
      <c r="N1837">
        <v>8</v>
      </c>
      <c r="O1837">
        <v>0.1</v>
      </c>
      <c r="P1837">
        <v>115.88</v>
      </c>
      <c r="Q1837" t="s">
        <v>9895</v>
      </c>
      <c r="R1837">
        <v>2</v>
      </c>
      <c r="S1837" s="5">
        <f t="shared" si="56"/>
        <v>0.13256912745535457</v>
      </c>
      <c r="T1837">
        <v>109.26375</v>
      </c>
      <c r="U1837">
        <v>3</v>
      </c>
      <c r="V1837">
        <v>2022</v>
      </c>
      <c r="W1837">
        <v>1</v>
      </c>
      <c r="X1837" t="s">
        <v>9899</v>
      </c>
      <c r="Y1837" t="s">
        <v>9901</v>
      </c>
      <c r="Z1837" t="s">
        <v>9899</v>
      </c>
      <c r="AD1837">
        <f t="shared" si="57"/>
        <v>2</v>
      </c>
    </row>
    <row r="1838" spans="1:30" x14ac:dyDescent="0.25">
      <c r="A1838" t="s">
        <v>1862</v>
      </c>
      <c r="B1838" s="2">
        <v>44808</v>
      </c>
      <c r="C1838" s="2">
        <v>44813</v>
      </c>
      <c r="D1838" t="s">
        <v>5281</v>
      </c>
      <c r="E1838" t="s">
        <v>5781</v>
      </c>
      <c r="F1838" t="s">
        <v>6026</v>
      </c>
      <c r="G1838" t="s">
        <v>6029</v>
      </c>
      <c r="H1838" t="s">
        <v>6044</v>
      </c>
      <c r="I1838" t="s">
        <v>6050</v>
      </c>
      <c r="J1838" t="s">
        <v>6053</v>
      </c>
      <c r="K1838" t="s">
        <v>6058</v>
      </c>
      <c r="L1838" t="s">
        <v>7730</v>
      </c>
      <c r="M1838">
        <v>405.21</v>
      </c>
      <c r="N1838">
        <v>6</v>
      </c>
      <c r="O1838">
        <v>0.17</v>
      </c>
      <c r="P1838">
        <v>41.52</v>
      </c>
      <c r="Q1838" t="s">
        <v>9894</v>
      </c>
      <c r="R1838">
        <v>5</v>
      </c>
      <c r="S1838" s="5">
        <f t="shared" si="56"/>
        <v>0.10246538831716889</v>
      </c>
      <c r="T1838">
        <v>67.534999999999997</v>
      </c>
      <c r="U1838">
        <v>9</v>
      </c>
      <c r="V1838">
        <v>2022</v>
      </c>
      <c r="W1838">
        <v>3</v>
      </c>
      <c r="X1838" t="s">
        <v>9899</v>
      </c>
      <c r="Y1838" t="s">
        <v>9900</v>
      </c>
      <c r="Z1838" t="s">
        <v>9899</v>
      </c>
      <c r="AD1838">
        <f t="shared" si="57"/>
        <v>5</v>
      </c>
    </row>
    <row r="1839" spans="1:30" x14ac:dyDescent="0.25">
      <c r="A1839" t="s">
        <v>1863</v>
      </c>
      <c r="B1839" s="2">
        <v>45235</v>
      </c>
      <c r="C1839" s="2">
        <v>45238</v>
      </c>
      <c r="D1839" t="s">
        <v>5462</v>
      </c>
      <c r="E1839" t="s">
        <v>5962</v>
      </c>
      <c r="F1839" t="s">
        <v>6026</v>
      </c>
      <c r="G1839" t="s">
        <v>6030</v>
      </c>
      <c r="H1839" t="s">
        <v>6033</v>
      </c>
      <c r="I1839" t="s">
        <v>6047</v>
      </c>
      <c r="J1839" t="s">
        <v>6054</v>
      </c>
      <c r="K1839" t="s">
        <v>6062</v>
      </c>
      <c r="L1839" t="s">
        <v>7731</v>
      </c>
      <c r="M1839">
        <v>405.08</v>
      </c>
      <c r="N1839">
        <v>8</v>
      </c>
      <c r="O1839">
        <v>0.06</v>
      </c>
      <c r="P1839">
        <v>20.48</v>
      </c>
      <c r="Q1839" t="s">
        <v>9897</v>
      </c>
      <c r="R1839">
        <v>3</v>
      </c>
      <c r="S1839" s="5">
        <f t="shared" si="56"/>
        <v>5.0557914486027457E-2</v>
      </c>
      <c r="T1839">
        <v>50.634999999999998</v>
      </c>
      <c r="U1839">
        <v>11</v>
      </c>
      <c r="V1839">
        <v>2023</v>
      </c>
      <c r="W1839">
        <v>4</v>
      </c>
      <c r="X1839" t="s">
        <v>9899</v>
      </c>
      <c r="Y1839" t="s">
        <v>9901</v>
      </c>
      <c r="Z1839" t="s">
        <v>9899</v>
      </c>
      <c r="AD1839">
        <f t="shared" si="57"/>
        <v>3</v>
      </c>
    </row>
    <row r="1840" spans="1:30" x14ac:dyDescent="0.25">
      <c r="A1840" t="s">
        <v>1864</v>
      </c>
      <c r="B1840" s="2">
        <v>45189</v>
      </c>
      <c r="C1840" s="2">
        <v>45192</v>
      </c>
      <c r="D1840" t="s">
        <v>5349</v>
      </c>
      <c r="E1840" t="s">
        <v>5849</v>
      </c>
      <c r="F1840" t="s">
        <v>6026</v>
      </c>
      <c r="G1840" t="s">
        <v>6031</v>
      </c>
      <c r="H1840" t="s">
        <v>6034</v>
      </c>
      <c r="I1840" t="s">
        <v>6052</v>
      </c>
      <c r="J1840" t="s">
        <v>6054</v>
      </c>
      <c r="K1840" t="s">
        <v>6060</v>
      </c>
      <c r="L1840" t="s">
        <v>7732</v>
      </c>
      <c r="M1840">
        <v>1474.3</v>
      </c>
      <c r="N1840">
        <v>6</v>
      </c>
      <c r="O1840">
        <v>0.13</v>
      </c>
      <c r="P1840">
        <v>212.67</v>
      </c>
      <c r="Q1840" t="s">
        <v>9897</v>
      </c>
      <c r="R1840">
        <v>3</v>
      </c>
      <c r="S1840" s="5">
        <f t="shared" si="56"/>
        <v>0.1442515091908024</v>
      </c>
      <c r="T1840">
        <v>245.7166666666667</v>
      </c>
      <c r="U1840">
        <v>9</v>
      </c>
      <c r="V1840">
        <v>2023</v>
      </c>
      <c r="W1840">
        <v>3</v>
      </c>
      <c r="X1840" t="s">
        <v>9899</v>
      </c>
      <c r="Y1840" t="s">
        <v>9901</v>
      </c>
      <c r="Z1840" t="s">
        <v>9898</v>
      </c>
      <c r="AD1840">
        <f t="shared" si="57"/>
        <v>3</v>
      </c>
    </row>
    <row r="1841" spans="1:30" x14ac:dyDescent="0.25">
      <c r="A1841" t="s">
        <v>1865</v>
      </c>
      <c r="B1841" s="2">
        <v>45368</v>
      </c>
      <c r="C1841" s="2">
        <v>45370</v>
      </c>
      <c r="D1841" t="s">
        <v>5157</v>
      </c>
      <c r="E1841" t="s">
        <v>5657</v>
      </c>
      <c r="F1841" t="s">
        <v>6026</v>
      </c>
      <c r="G1841" t="s">
        <v>6029</v>
      </c>
      <c r="H1841" t="s">
        <v>6041</v>
      </c>
      <c r="I1841" t="s">
        <v>6049</v>
      </c>
      <c r="J1841" t="s">
        <v>6055</v>
      </c>
      <c r="K1841" t="s">
        <v>6061</v>
      </c>
      <c r="L1841" t="s">
        <v>7733</v>
      </c>
      <c r="M1841">
        <v>626.33000000000004</v>
      </c>
      <c r="N1841">
        <v>6</v>
      </c>
      <c r="O1841">
        <v>0.16</v>
      </c>
      <c r="P1841">
        <v>4.55</v>
      </c>
      <c r="Q1841" t="s">
        <v>9897</v>
      </c>
      <c r="R1841">
        <v>2</v>
      </c>
      <c r="S1841" s="5">
        <f t="shared" si="56"/>
        <v>7.2645410566314871E-3</v>
      </c>
      <c r="T1841">
        <v>104.38833333333331</v>
      </c>
      <c r="U1841">
        <v>3</v>
      </c>
      <c r="V1841">
        <v>2024</v>
      </c>
      <c r="W1841">
        <v>1</v>
      </c>
      <c r="X1841" t="s">
        <v>9899</v>
      </c>
      <c r="Y1841" t="s">
        <v>9900</v>
      </c>
      <c r="Z1841" t="s">
        <v>9899</v>
      </c>
      <c r="AD1841">
        <f t="shared" si="57"/>
        <v>2</v>
      </c>
    </row>
    <row r="1842" spans="1:30" x14ac:dyDescent="0.25">
      <c r="A1842" t="s">
        <v>1866</v>
      </c>
      <c r="B1842" s="2">
        <v>45239</v>
      </c>
      <c r="C1842" s="2">
        <v>45241</v>
      </c>
      <c r="D1842" t="s">
        <v>5261</v>
      </c>
      <c r="E1842" t="s">
        <v>5761</v>
      </c>
      <c r="F1842" t="s">
        <v>6027</v>
      </c>
      <c r="G1842" t="s">
        <v>6029</v>
      </c>
      <c r="H1842" t="s">
        <v>6045</v>
      </c>
      <c r="I1842" t="s">
        <v>6046</v>
      </c>
      <c r="J1842" t="s">
        <v>6055</v>
      </c>
      <c r="K1842" t="s">
        <v>6061</v>
      </c>
      <c r="L1842" t="s">
        <v>6828</v>
      </c>
      <c r="M1842">
        <v>1501.2</v>
      </c>
      <c r="N1842">
        <v>1</v>
      </c>
      <c r="O1842">
        <v>0.17</v>
      </c>
      <c r="P1842">
        <v>29.83</v>
      </c>
      <c r="Q1842" t="s">
        <v>9893</v>
      </c>
      <c r="R1842">
        <v>2</v>
      </c>
      <c r="S1842" s="5">
        <f t="shared" si="56"/>
        <v>1.9870770050626162E-2</v>
      </c>
      <c r="T1842">
        <v>1501.2</v>
      </c>
      <c r="U1842">
        <v>11</v>
      </c>
      <c r="V1842">
        <v>2023</v>
      </c>
      <c r="W1842">
        <v>4</v>
      </c>
      <c r="X1842" t="s">
        <v>9899</v>
      </c>
      <c r="Y1842" t="s">
        <v>9900</v>
      </c>
      <c r="Z1842" t="s">
        <v>9898</v>
      </c>
      <c r="AD1842">
        <f t="shared" si="57"/>
        <v>2</v>
      </c>
    </row>
    <row r="1843" spans="1:30" x14ac:dyDescent="0.25">
      <c r="A1843" t="s">
        <v>1867</v>
      </c>
      <c r="B1843" s="2">
        <v>44614</v>
      </c>
      <c r="C1843" s="2">
        <v>44618</v>
      </c>
      <c r="D1843" t="s">
        <v>5232</v>
      </c>
      <c r="E1843" t="s">
        <v>5732</v>
      </c>
      <c r="F1843" t="s">
        <v>6028</v>
      </c>
      <c r="G1843" t="s">
        <v>6030</v>
      </c>
      <c r="H1843" t="s">
        <v>6035</v>
      </c>
      <c r="I1843" t="s">
        <v>6047</v>
      </c>
      <c r="J1843" t="s">
        <v>6053</v>
      </c>
      <c r="K1843" t="s">
        <v>6058</v>
      </c>
      <c r="L1843" t="s">
        <v>7734</v>
      </c>
      <c r="M1843">
        <v>1596.66</v>
      </c>
      <c r="N1843">
        <v>3</v>
      </c>
      <c r="O1843">
        <v>7.0000000000000007E-2</v>
      </c>
      <c r="P1843">
        <v>271.02999999999997</v>
      </c>
      <c r="Q1843" t="s">
        <v>9894</v>
      </c>
      <c r="R1843">
        <v>4</v>
      </c>
      <c r="S1843" s="5">
        <f t="shared" si="56"/>
        <v>0.16974809915699018</v>
      </c>
      <c r="T1843">
        <v>532.22</v>
      </c>
      <c r="U1843">
        <v>2</v>
      </c>
      <c r="V1843">
        <v>2022</v>
      </c>
      <c r="W1843">
        <v>1</v>
      </c>
      <c r="X1843" t="s">
        <v>9899</v>
      </c>
      <c r="Y1843" t="s">
        <v>9901</v>
      </c>
      <c r="Z1843" t="s">
        <v>9898</v>
      </c>
      <c r="AD1843">
        <f t="shared" si="57"/>
        <v>4</v>
      </c>
    </row>
    <row r="1844" spans="1:30" x14ac:dyDescent="0.25">
      <c r="A1844" t="s">
        <v>1868</v>
      </c>
      <c r="B1844" s="2">
        <v>45397</v>
      </c>
      <c r="C1844" s="2">
        <v>45398</v>
      </c>
      <c r="D1844" t="s">
        <v>5463</v>
      </c>
      <c r="E1844" t="s">
        <v>5963</v>
      </c>
      <c r="F1844" t="s">
        <v>6028</v>
      </c>
      <c r="G1844" t="s">
        <v>6030</v>
      </c>
      <c r="H1844" t="s">
        <v>6038</v>
      </c>
      <c r="I1844" t="s">
        <v>6047</v>
      </c>
      <c r="J1844" t="s">
        <v>6055</v>
      </c>
      <c r="K1844" t="s">
        <v>6063</v>
      </c>
      <c r="L1844" t="s">
        <v>7735</v>
      </c>
      <c r="M1844">
        <v>585.37</v>
      </c>
      <c r="N1844">
        <v>4</v>
      </c>
      <c r="O1844">
        <v>0.2</v>
      </c>
      <c r="P1844">
        <v>-24.73</v>
      </c>
      <c r="Q1844" t="s">
        <v>9897</v>
      </c>
      <c r="R1844">
        <v>1</v>
      </c>
      <c r="S1844" s="5">
        <f t="shared" si="56"/>
        <v>-4.2246784085279397E-2</v>
      </c>
      <c r="T1844">
        <v>146.3425</v>
      </c>
      <c r="U1844">
        <v>4</v>
      </c>
      <c r="V1844">
        <v>2024</v>
      </c>
      <c r="W1844">
        <v>2</v>
      </c>
      <c r="X1844" t="s">
        <v>9898</v>
      </c>
      <c r="Y1844" t="s">
        <v>9900</v>
      </c>
      <c r="Z1844" t="s">
        <v>9899</v>
      </c>
      <c r="AD1844">
        <f t="shared" si="57"/>
        <v>1</v>
      </c>
    </row>
    <row r="1845" spans="1:30" x14ac:dyDescent="0.25">
      <c r="A1845" t="s">
        <v>1869</v>
      </c>
      <c r="B1845" s="2">
        <v>45276</v>
      </c>
      <c r="C1845" s="2">
        <v>45281</v>
      </c>
      <c r="D1845" t="s">
        <v>5168</v>
      </c>
      <c r="E1845" t="s">
        <v>5668</v>
      </c>
      <c r="F1845" t="s">
        <v>6026</v>
      </c>
      <c r="G1845" t="s">
        <v>6029</v>
      </c>
      <c r="H1845" t="s">
        <v>6041</v>
      </c>
      <c r="I1845" t="s">
        <v>6049</v>
      </c>
      <c r="J1845" t="s">
        <v>6053</v>
      </c>
      <c r="K1845" t="s">
        <v>6056</v>
      </c>
      <c r="L1845" t="s">
        <v>7736</v>
      </c>
      <c r="M1845">
        <v>864.34</v>
      </c>
      <c r="N1845">
        <v>8</v>
      </c>
      <c r="O1845">
        <v>0.05</v>
      </c>
      <c r="P1845">
        <v>182.9</v>
      </c>
      <c r="Q1845" t="s">
        <v>9896</v>
      </c>
      <c r="R1845">
        <v>5</v>
      </c>
      <c r="S1845" s="5">
        <f t="shared" si="56"/>
        <v>0.21160654372122081</v>
      </c>
      <c r="T1845">
        <v>108.0425</v>
      </c>
      <c r="U1845">
        <v>12</v>
      </c>
      <c r="V1845">
        <v>2023</v>
      </c>
      <c r="W1845">
        <v>4</v>
      </c>
      <c r="X1845" t="s">
        <v>9899</v>
      </c>
      <c r="Y1845" t="s">
        <v>9901</v>
      </c>
      <c r="Z1845" t="s">
        <v>9899</v>
      </c>
      <c r="AD1845">
        <f t="shared" si="57"/>
        <v>5</v>
      </c>
    </row>
    <row r="1846" spans="1:30" x14ac:dyDescent="0.25">
      <c r="A1846" t="s">
        <v>1870</v>
      </c>
      <c r="B1846" s="2">
        <v>44789</v>
      </c>
      <c r="C1846" s="2">
        <v>44793</v>
      </c>
      <c r="D1846" t="s">
        <v>5153</v>
      </c>
      <c r="E1846" t="s">
        <v>5653</v>
      </c>
      <c r="F1846" t="s">
        <v>6028</v>
      </c>
      <c r="G1846" t="s">
        <v>6030</v>
      </c>
      <c r="H1846" t="s">
        <v>6033</v>
      </c>
      <c r="I1846" t="s">
        <v>6051</v>
      </c>
      <c r="J1846" t="s">
        <v>6053</v>
      </c>
      <c r="K1846" t="s">
        <v>6058</v>
      </c>
      <c r="L1846" t="s">
        <v>7737</v>
      </c>
      <c r="M1846">
        <v>1565.56</v>
      </c>
      <c r="N1846">
        <v>6</v>
      </c>
      <c r="O1846">
        <v>0.32</v>
      </c>
      <c r="P1846">
        <v>-333.18</v>
      </c>
      <c r="Q1846" t="s">
        <v>9893</v>
      </c>
      <c r="R1846">
        <v>4</v>
      </c>
      <c r="S1846" s="5">
        <f t="shared" si="56"/>
        <v>-0.21281841641329621</v>
      </c>
      <c r="T1846">
        <v>260.92666666666668</v>
      </c>
      <c r="U1846">
        <v>8</v>
      </c>
      <c r="V1846">
        <v>2022</v>
      </c>
      <c r="W1846">
        <v>3</v>
      </c>
      <c r="X1846" t="s">
        <v>9898</v>
      </c>
      <c r="Y1846" t="s">
        <v>9902</v>
      </c>
      <c r="Z1846" t="s">
        <v>9898</v>
      </c>
      <c r="AD1846">
        <f t="shared" si="57"/>
        <v>4</v>
      </c>
    </row>
    <row r="1847" spans="1:30" x14ac:dyDescent="0.25">
      <c r="A1847" t="s">
        <v>1871</v>
      </c>
      <c r="B1847" s="2">
        <v>45340</v>
      </c>
      <c r="C1847" s="2">
        <v>45347</v>
      </c>
      <c r="D1847" t="s">
        <v>5452</v>
      </c>
      <c r="E1847" t="s">
        <v>5952</v>
      </c>
      <c r="F1847" t="s">
        <v>6028</v>
      </c>
      <c r="G1847" t="s">
        <v>6030</v>
      </c>
      <c r="H1847" t="s">
        <v>6033</v>
      </c>
      <c r="I1847" t="s">
        <v>6047</v>
      </c>
      <c r="J1847" t="s">
        <v>6055</v>
      </c>
      <c r="K1847" t="s">
        <v>6063</v>
      </c>
      <c r="L1847" t="s">
        <v>7738</v>
      </c>
      <c r="M1847">
        <v>914.36</v>
      </c>
      <c r="N1847">
        <v>2</v>
      </c>
      <c r="O1847">
        <v>0.09</v>
      </c>
      <c r="P1847">
        <v>89.16</v>
      </c>
      <c r="Q1847" t="s">
        <v>9896</v>
      </c>
      <c r="R1847">
        <v>7</v>
      </c>
      <c r="S1847" s="5">
        <f t="shared" si="56"/>
        <v>9.7510827245286313E-2</v>
      </c>
      <c r="T1847">
        <v>457.18</v>
      </c>
      <c r="U1847">
        <v>2</v>
      </c>
      <c r="V1847">
        <v>2024</v>
      </c>
      <c r="W1847">
        <v>1</v>
      </c>
      <c r="X1847" t="s">
        <v>9899</v>
      </c>
      <c r="Y1847" t="s">
        <v>9901</v>
      </c>
      <c r="Z1847" t="s">
        <v>9899</v>
      </c>
      <c r="AD1847">
        <f t="shared" si="57"/>
        <v>7</v>
      </c>
    </row>
    <row r="1848" spans="1:30" x14ac:dyDescent="0.25">
      <c r="A1848" t="s">
        <v>1872</v>
      </c>
      <c r="B1848" s="2">
        <v>44720</v>
      </c>
      <c r="C1848" s="2">
        <v>44721</v>
      </c>
      <c r="D1848" t="s">
        <v>5432</v>
      </c>
      <c r="E1848" t="s">
        <v>5932</v>
      </c>
      <c r="F1848" t="s">
        <v>6028</v>
      </c>
      <c r="G1848" t="s">
        <v>6031</v>
      </c>
      <c r="H1848" t="s">
        <v>6037</v>
      </c>
      <c r="I1848" t="s">
        <v>6048</v>
      </c>
      <c r="J1848" t="s">
        <v>6053</v>
      </c>
      <c r="K1848" t="s">
        <v>6058</v>
      </c>
      <c r="L1848" t="s">
        <v>7739</v>
      </c>
      <c r="M1848">
        <v>983.76</v>
      </c>
      <c r="N1848">
        <v>7</v>
      </c>
      <c r="O1848">
        <v>0.26</v>
      </c>
      <c r="P1848">
        <v>20.32</v>
      </c>
      <c r="Q1848" t="s">
        <v>9893</v>
      </c>
      <c r="R1848">
        <v>1</v>
      </c>
      <c r="S1848" s="5">
        <f t="shared" si="56"/>
        <v>2.0655444417337562E-2</v>
      </c>
      <c r="T1848">
        <v>140.5371428571429</v>
      </c>
      <c r="U1848">
        <v>6</v>
      </c>
      <c r="V1848">
        <v>2022</v>
      </c>
      <c r="W1848">
        <v>2</v>
      </c>
      <c r="X1848" t="s">
        <v>9899</v>
      </c>
      <c r="Y1848" t="s">
        <v>9900</v>
      </c>
      <c r="Z1848" t="s">
        <v>9899</v>
      </c>
      <c r="AD1848">
        <f t="shared" si="57"/>
        <v>1</v>
      </c>
    </row>
    <row r="1849" spans="1:30" x14ac:dyDescent="0.25">
      <c r="A1849" t="s">
        <v>1873</v>
      </c>
      <c r="B1849" s="2">
        <v>44665</v>
      </c>
      <c r="C1849" s="2">
        <v>44672</v>
      </c>
      <c r="D1849" t="s">
        <v>5221</v>
      </c>
      <c r="E1849" t="s">
        <v>5721</v>
      </c>
      <c r="F1849" t="s">
        <v>6027</v>
      </c>
      <c r="G1849" t="s">
        <v>6031</v>
      </c>
      <c r="H1849" t="s">
        <v>6037</v>
      </c>
      <c r="I1849" t="s">
        <v>6048</v>
      </c>
      <c r="J1849" t="s">
        <v>6055</v>
      </c>
      <c r="K1849" t="s">
        <v>6061</v>
      </c>
      <c r="L1849" t="s">
        <v>7740</v>
      </c>
      <c r="M1849">
        <v>1277.57</v>
      </c>
      <c r="N1849">
        <v>5</v>
      </c>
      <c r="O1849">
        <v>0.17</v>
      </c>
      <c r="P1849">
        <v>12.32</v>
      </c>
      <c r="Q1849" t="s">
        <v>9893</v>
      </c>
      <c r="R1849">
        <v>7</v>
      </c>
      <c r="S1849" s="5">
        <f t="shared" si="56"/>
        <v>9.6433072160429581E-3</v>
      </c>
      <c r="T1849">
        <v>255.51400000000001</v>
      </c>
      <c r="U1849">
        <v>4</v>
      </c>
      <c r="V1849">
        <v>2022</v>
      </c>
      <c r="W1849">
        <v>2</v>
      </c>
      <c r="X1849" t="s">
        <v>9899</v>
      </c>
      <c r="Y1849" t="s">
        <v>9900</v>
      </c>
      <c r="Z1849" t="s">
        <v>9898</v>
      </c>
      <c r="AD1849">
        <f t="shared" si="57"/>
        <v>7</v>
      </c>
    </row>
    <row r="1850" spans="1:30" x14ac:dyDescent="0.25">
      <c r="A1850" t="s">
        <v>1874</v>
      </c>
      <c r="B1850" s="2">
        <v>44638</v>
      </c>
      <c r="C1850" s="2">
        <v>44641</v>
      </c>
      <c r="D1850" t="s">
        <v>5185</v>
      </c>
      <c r="E1850" t="s">
        <v>5685</v>
      </c>
      <c r="F1850" t="s">
        <v>6027</v>
      </c>
      <c r="G1850" t="s">
        <v>6030</v>
      </c>
      <c r="H1850" t="s">
        <v>6039</v>
      </c>
      <c r="I1850" t="s">
        <v>6047</v>
      </c>
      <c r="J1850" t="s">
        <v>6054</v>
      </c>
      <c r="K1850" t="s">
        <v>6059</v>
      </c>
      <c r="L1850" t="s">
        <v>7741</v>
      </c>
      <c r="M1850">
        <v>1644.72</v>
      </c>
      <c r="N1850">
        <v>1</v>
      </c>
      <c r="O1850">
        <v>0.23</v>
      </c>
      <c r="P1850">
        <v>-132.82</v>
      </c>
      <c r="Q1850" t="s">
        <v>9894</v>
      </c>
      <c r="R1850">
        <v>3</v>
      </c>
      <c r="S1850" s="5">
        <f t="shared" si="56"/>
        <v>-8.075538693516221E-2</v>
      </c>
      <c r="T1850">
        <v>1644.72</v>
      </c>
      <c r="U1850">
        <v>3</v>
      </c>
      <c r="V1850">
        <v>2022</v>
      </c>
      <c r="W1850">
        <v>1</v>
      </c>
      <c r="X1850" t="s">
        <v>9898</v>
      </c>
      <c r="Y1850" t="s">
        <v>9900</v>
      </c>
      <c r="Z1850" t="s">
        <v>9898</v>
      </c>
      <c r="AD1850">
        <f t="shared" si="57"/>
        <v>3</v>
      </c>
    </row>
    <row r="1851" spans="1:30" x14ac:dyDescent="0.25">
      <c r="A1851" t="s">
        <v>1875</v>
      </c>
      <c r="B1851" s="2">
        <v>45204</v>
      </c>
      <c r="C1851" s="2">
        <v>45205</v>
      </c>
      <c r="D1851" t="s">
        <v>5124</v>
      </c>
      <c r="E1851" t="s">
        <v>5624</v>
      </c>
      <c r="F1851" t="s">
        <v>6027</v>
      </c>
      <c r="G1851" t="s">
        <v>6031</v>
      </c>
      <c r="H1851" t="s">
        <v>6043</v>
      </c>
      <c r="I1851" t="s">
        <v>6048</v>
      </c>
      <c r="J1851" t="s">
        <v>6054</v>
      </c>
      <c r="K1851" t="s">
        <v>6062</v>
      </c>
      <c r="L1851" t="s">
        <v>7742</v>
      </c>
      <c r="M1851">
        <v>1000.21</v>
      </c>
      <c r="N1851">
        <v>2</v>
      </c>
      <c r="O1851">
        <v>0.24</v>
      </c>
      <c r="P1851">
        <v>33.1</v>
      </c>
      <c r="Q1851" t="s">
        <v>9896</v>
      </c>
      <c r="R1851">
        <v>1</v>
      </c>
      <c r="S1851" s="5">
        <f t="shared" si="56"/>
        <v>3.3093050459403528E-2</v>
      </c>
      <c r="T1851">
        <v>500.10500000000002</v>
      </c>
      <c r="U1851">
        <v>10</v>
      </c>
      <c r="V1851">
        <v>2023</v>
      </c>
      <c r="W1851">
        <v>4</v>
      </c>
      <c r="X1851" t="s">
        <v>9899</v>
      </c>
      <c r="Y1851" t="s">
        <v>9900</v>
      </c>
      <c r="Z1851" t="s">
        <v>9898</v>
      </c>
      <c r="AD1851">
        <f t="shared" si="57"/>
        <v>1</v>
      </c>
    </row>
    <row r="1852" spans="1:30" x14ac:dyDescent="0.25">
      <c r="A1852" t="s">
        <v>1876</v>
      </c>
      <c r="B1852" s="2">
        <v>44616</v>
      </c>
      <c r="C1852" s="2">
        <v>44619</v>
      </c>
      <c r="D1852" t="s">
        <v>5243</v>
      </c>
      <c r="E1852" t="s">
        <v>5743</v>
      </c>
      <c r="F1852" t="s">
        <v>6028</v>
      </c>
      <c r="G1852" t="s">
        <v>6029</v>
      </c>
      <c r="H1852" t="s">
        <v>6041</v>
      </c>
      <c r="I1852" t="s">
        <v>6050</v>
      </c>
      <c r="J1852" t="s">
        <v>6054</v>
      </c>
      <c r="K1852" t="s">
        <v>6059</v>
      </c>
      <c r="L1852" t="s">
        <v>6183</v>
      </c>
      <c r="M1852">
        <v>331.21</v>
      </c>
      <c r="N1852">
        <v>7</v>
      </c>
      <c r="O1852">
        <v>0.31</v>
      </c>
      <c r="P1852">
        <v>-53.87</v>
      </c>
      <c r="Q1852" t="s">
        <v>9896</v>
      </c>
      <c r="R1852">
        <v>3</v>
      </c>
      <c r="S1852" s="5">
        <f t="shared" si="56"/>
        <v>-0.16264605537272425</v>
      </c>
      <c r="T1852">
        <v>47.315714285714293</v>
      </c>
      <c r="U1852">
        <v>2</v>
      </c>
      <c r="V1852">
        <v>2022</v>
      </c>
      <c r="W1852">
        <v>1</v>
      </c>
      <c r="X1852" t="s">
        <v>9898</v>
      </c>
      <c r="Y1852" t="s">
        <v>9902</v>
      </c>
      <c r="Z1852" t="s">
        <v>9899</v>
      </c>
      <c r="AD1852">
        <f t="shared" si="57"/>
        <v>3</v>
      </c>
    </row>
    <row r="1853" spans="1:30" x14ac:dyDescent="0.25">
      <c r="A1853" t="s">
        <v>1877</v>
      </c>
      <c r="B1853" s="2">
        <v>45437</v>
      </c>
      <c r="C1853" s="2">
        <v>45438</v>
      </c>
      <c r="D1853" t="s">
        <v>5255</v>
      </c>
      <c r="E1853" t="s">
        <v>5755</v>
      </c>
      <c r="F1853" t="s">
        <v>6027</v>
      </c>
      <c r="G1853" t="s">
        <v>6031</v>
      </c>
      <c r="H1853" t="s">
        <v>6042</v>
      </c>
      <c r="I1853" t="s">
        <v>6050</v>
      </c>
      <c r="J1853" t="s">
        <v>6053</v>
      </c>
      <c r="K1853" t="s">
        <v>6056</v>
      </c>
      <c r="L1853" t="s">
        <v>7743</v>
      </c>
      <c r="M1853">
        <v>1063.32</v>
      </c>
      <c r="N1853">
        <v>4</v>
      </c>
      <c r="O1853">
        <v>0.15</v>
      </c>
      <c r="P1853">
        <v>144.53</v>
      </c>
      <c r="Q1853" t="s">
        <v>9897</v>
      </c>
      <c r="R1853">
        <v>1</v>
      </c>
      <c r="S1853" s="5">
        <f t="shared" si="56"/>
        <v>0.13592333446187413</v>
      </c>
      <c r="T1853">
        <v>265.83</v>
      </c>
      <c r="U1853">
        <v>5</v>
      </c>
      <c r="V1853">
        <v>2024</v>
      </c>
      <c r="W1853">
        <v>2</v>
      </c>
      <c r="X1853" t="s">
        <v>9899</v>
      </c>
      <c r="Y1853" t="s">
        <v>9901</v>
      </c>
      <c r="Z1853" t="s">
        <v>9898</v>
      </c>
      <c r="AD1853">
        <f t="shared" si="57"/>
        <v>1</v>
      </c>
    </row>
    <row r="1854" spans="1:30" x14ac:dyDescent="0.25">
      <c r="A1854" t="s">
        <v>1878</v>
      </c>
      <c r="B1854" s="2">
        <v>45026</v>
      </c>
      <c r="C1854" s="2">
        <v>45031</v>
      </c>
      <c r="D1854" t="s">
        <v>5238</v>
      </c>
      <c r="E1854" t="s">
        <v>5738</v>
      </c>
      <c r="F1854" t="s">
        <v>6027</v>
      </c>
      <c r="G1854" t="s">
        <v>6030</v>
      </c>
      <c r="H1854" t="s">
        <v>6038</v>
      </c>
      <c r="I1854" t="s">
        <v>6051</v>
      </c>
      <c r="J1854" t="s">
        <v>6054</v>
      </c>
      <c r="K1854" t="s">
        <v>6059</v>
      </c>
      <c r="L1854" t="s">
        <v>7744</v>
      </c>
      <c r="M1854">
        <v>896.97</v>
      </c>
      <c r="N1854">
        <v>2</v>
      </c>
      <c r="O1854">
        <v>0.24</v>
      </c>
      <c r="P1854">
        <v>-108.2</v>
      </c>
      <c r="Q1854" t="s">
        <v>9897</v>
      </c>
      <c r="R1854">
        <v>5</v>
      </c>
      <c r="S1854" s="5">
        <f t="shared" si="56"/>
        <v>-0.12062833762556162</v>
      </c>
      <c r="T1854">
        <v>448.48500000000001</v>
      </c>
      <c r="U1854">
        <v>4</v>
      </c>
      <c r="V1854">
        <v>2023</v>
      </c>
      <c r="W1854">
        <v>2</v>
      </c>
      <c r="X1854" t="s">
        <v>9898</v>
      </c>
      <c r="Y1854" t="s">
        <v>9900</v>
      </c>
      <c r="Z1854" t="s">
        <v>9899</v>
      </c>
      <c r="AD1854">
        <f t="shared" si="57"/>
        <v>5</v>
      </c>
    </row>
    <row r="1855" spans="1:30" x14ac:dyDescent="0.25">
      <c r="A1855" t="s">
        <v>1879</v>
      </c>
      <c r="B1855" s="2">
        <v>45035</v>
      </c>
      <c r="C1855" s="2">
        <v>45037</v>
      </c>
      <c r="D1855" t="s">
        <v>5428</v>
      </c>
      <c r="E1855" t="s">
        <v>5928</v>
      </c>
      <c r="F1855" t="s">
        <v>6027</v>
      </c>
      <c r="G1855" t="s">
        <v>6031</v>
      </c>
      <c r="H1855" t="s">
        <v>6040</v>
      </c>
      <c r="I1855" t="s">
        <v>6050</v>
      </c>
      <c r="J1855" t="s">
        <v>6053</v>
      </c>
      <c r="K1855" t="s">
        <v>6056</v>
      </c>
      <c r="L1855" t="s">
        <v>7745</v>
      </c>
      <c r="M1855">
        <v>309.51</v>
      </c>
      <c r="N1855">
        <v>4</v>
      </c>
      <c r="O1855">
        <v>0.2</v>
      </c>
      <c r="P1855">
        <v>30.03</v>
      </c>
      <c r="Q1855" t="s">
        <v>9896</v>
      </c>
      <c r="R1855">
        <v>2</v>
      </c>
      <c r="S1855" s="5">
        <f t="shared" si="56"/>
        <v>9.7024328777745472E-2</v>
      </c>
      <c r="T1855">
        <v>77.377499999999998</v>
      </c>
      <c r="U1855">
        <v>4</v>
      </c>
      <c r="V1855">
        <v>2023</v>
      </c>
      <c r="W1855">
        <v>2</v>
      </c>
      <c r="X1855" t="s">
        <v>9899</v>
      </c>
      <c r="Y1855" t="s">
        <v>9900</v>
      </c>
      <c r="Z1855" t="s">
        <v>9899</v>
      </c>
      <c r="AD1855">
        <f t="shared" si="57"/>
        <v>2</v>
      </c>
    </row>
    <row r="1856" spans="1:30" x14ac:dyDescent="0.25">
      <c r="A1856" t="s">
        <v>1880</v>
      </c>
      <c r="B1856" s="2">
        <v>45275</v>
      </c>
      <c r="C1856" s="2">
        <v>45280</v>
      </c>
      <c r="D1856" t="s">
        <v>5169</v>
      </c>
      <c r="E1856" t="s">
        <v>5669</v>
      </c>
      <c r="F1856" t="s">
        <v>6027</v>
      </c>
      <c r="G1856" t="s">
        <v>6031</v>
      </c>
      <c r="H1856" t="s">
        <v>6042</v>
      </c>
      <c r="I1856" t="s">
        <v>6050</v>
      </c>
      <c r="J1856" t="s">
        <v>6055</v>
      </c>
      <c r="K1856" t="s">
        <v>6064</v>
      </c>
      <c r="L1856" t="s">
        <v>7618</v>
      </c>
      <c r="M1856">
        <v>960.33</v>
      </c>
      <c r="N1856">
        <v>1</v>
      </c>
      <c r="O1856">
        <v>0.18</v>
      </c>
      <c r="P1856">
        <v>12.67</v>
      </c>
      <c r="Q1856" t="s">
        <v>9896</v>
      </c>
      <c r="R1856">
        <v>5</v>
      </c>
      <c r="S1856" s="5">
        <f t="shared" si="56"/>
        <v>1.3193381441796048E-2</v>
      </c>
      <c r="T1856">
        <v>960.33</v>
      </c>
      <c r="U1856">
        <v>12</v>
      </c>
      <c r="V1856">
        <v>2023</v>
      </c>
      <c r="W1856">
        <v>4</v>
      </c>
      <c r="X1856" t="s">
        <v>9899</v>
      </c>
      <c r="Y1856" t="s">
        <v>9900</v>
      </c>
      <c r="Z1856" t="s">
        <v>9899</v>
      </c>
      <c r="AD1856">
        <f t="shared" si="57"/>
        <v>5</v>
      </c>
    </row>
    <row r="1857" spans="1:30" x14ac:dyDescent="0.25">
      <c r="A1857" t="s">
        <v>1881</v>
      </c>
      <c r="B1857" s="2">
        <v>44927</v>
      </c>
      <c r="C1857" s="2">
        <v>44933</v>
      </c>
      <c r="D1857" t="s">
        <v>5340</v>
      </c>
      <c r="E1857" t="s">
        <v>5840</v>
      </c>
      <c r="F1857" t="s">
        <v>6027</v>
      </c>
      <c r="G1857" t="s">
        <v>6029</v>
      </c>
      <c r="H1857" t="s">
        <v>6032</v>
      </c>
      <c r="I1857" t="s">
        <v>6046</v>
      </c>
      <c r="J1857" t="s">
        <v>6053</v>
      </c>
      <c r="K1857" t="s">
        <v>6058</v>
      </c>
      <c r="L1857" t="s">
        <v>7746</v>
      </c>
      <c r="M1857">
        <v>1580.08</v>
      </c>
      <c r="N1857">
        <v>8</v>
      </c>
      <c r="O1857">
        <v>0.1</v>
      </c>
      <c r="P1857">
        <v>32.78</v>
      </c>
      <c r="Q1857" t="s">
        <v>9893</v>
      </c>
      <c r="R1857">
        <v>6</v>
      </c>
      <c r="S1857" s="5">
        <f t="shared" si="56"/>
        <v>2.0745785023543115E-2</v>
      </c>
      <c r="T1857">
        <v>197.51</v>
      </c>
      <c r="U1857">
        <v>1</v>
      </c>
      <c r="V1857">
        <v>2023</v>
      </c>
      <c r="W1857">
        <v>1</v>
      </c>
      <c r="X1857" t="s">
        <v>9899</v>
      </c>
      <c r="Y1857" t="s">
        <v>9901</v>
      </c>
      <c r="Z1857" t="s">
        <v>9898</v>
      </c>
      <c r="AD1857">
        <f t="shared" si="57"/>
        <v>6</v>
      </c>
    </row>
    <row r="1858" spans="1:30" x14ac:dyDescent="0.25">
      <c r="A1858" t="s">
        <v>1882</v>
      </c>
      <c r="B1858" s="2">
        <v>45457</v>
      </c>
      <c r="C1858" s="2">
        <v>45458</v>
      </c>
      <c r="D1858" t="s">
        <v>5269</v>
      </c>
      <c r="E1858" t="s">
        <v>5769</v>
      </c>
      <c r="F1858" t="s">
        <v>6026</v>
      </c>
      <c r="G1858" t="s">
        <v>6030</v>
      </c>
      <c r="H1858" t="s">
        <v>6033</v>
      </c>
      <c r="I1858" t="s">
        <v>6047</v>
      </c>
      <c r="J1858" t="s">
        <v>6055</v>
      </c>
      <c r="K1858" t="s">
        <v>6063</v>
      </c>
      <c r="L1858" t="s">
        <v>7747</v>
      </c>
      <c r="M1858">
        <v>803.33</v>
      </c>
      <c r="N1858">
        <v>2</v>
      </c>
      <c r="O1858">
        <v>0.33</v>
      </c>
      <c r="P1858">
        <v>-112.58</v>
      </c>
      <c r="Q1858" t="s">
        <v>9894</v>
      </c>
      <c r="R1858">
        <v>1</v>
      </c>
      <c r="S1858" s="5">
        <f t="shared" si="56"/>
        <v>-0.14014166033883957</v>
      </c>
      <c r="T1858">
        <v>401.66500000000002</v>
      </c>
      <c r="U1858">
        <v>6</v>
      </c>
      <c r="V1858">
        <v>2024</v>
      </c>
      <c r="W1858">
        <v>2</v>
      </c>
      <c r="X1858" t="s">
        <v>9898</v>
      </c>
      <c r="Y1858" t="s">
        <v>9902</v>
      </c>
      <c r="Z1858" t="s">
        <v>9899</v>
      </c>
      <c r="AD1858">
        <f t="shared" si="57"/>
        <v>1</v>
      </c>
    </row>
    <row r="1859" spans="1:30" x14ac:dyDescent="0.25">
      <c r="A1859" t="s">
        <v>1883</v>
      </c>
      <c r="B1859" s="2">
        <v>45420</v>
      </c>
      <c r="C1859" s="2">
        <v>45424</v>
      </c>
      <c r="D1859" t="s">
        <v>5518</v>
      </c>
      <c r="E1859" t="s">
        <v>6018</v>
      </c>
      <c r="F1859" t="s">
        <v>6028</v>
      </c>
      <c r="G1859" t="s">
        <v>6030</v>
      </c>
      <c r="H1859" t="s">
        <v>6038</v>
      </c>
      <c r="I1859" t="s">
        <v>6047</v>
      </c>
      <c r="J1859" t="s">
        <v>6054</v>
      </c>
      <c r="K1859" t="s">
        <v>6060</v>
      </c>
      <c r="L1859" t="s">
        <v>6381</v>
      </c>
      <c r="M1859">
        <v>1315.1</v>
      </c>
      <c r="N1859">
        <v>3</v>
      </c>
      <c r="O1859">
        <v>0.14000000000000001</v>
      </c>
      <c r="P1859">
        <v>131.72999999999999</v>
      </c>
      <c r="Q1859" t="s">
        <v>9895</v>
      </c>
      <c r="R1859">
        <v>4</v>
      </c>
      <c r="S1859" s="5">
        <f t="shared" ref="S1859:S1922" si="58">P1859/M1859</f>
        <v>0.10016728765873317</v>
      </c>
      <c r="T1859">
        <v>438.36666666666662</v>
      </c>
      <c r="U1859">
        <v>5</v>
      </c>
      <c r="V1859">
        <v>2024</v>
      </c>
      <c r="W1859">
        <v>2</v>
      </c>
      <c r="X1859" t="s">
        <v>9899</v>
      </c>
      <c r="Y1859" t="s">
        <v>9901</v>
      </c>
      <c r="Z1859" t="s">
        <v>9898</v>
      </c>
      <c r="AD1859">
        <f t="shared" ref="AD1859:AD1922" si="59">C1859-B1859</f>
        <v>4</v>
      </c>
    </row>
    <row r="1860" spans="1:30" x14ac:dyDescent="0.25">
      <c r="A1860" t="s">
        <v>1884</v>
      </c>
      <c r="B1860" s="2">
        <v>44758</v>
      </c>
      <c r="C1860" s="2">
        <v>44763</v>
      </c>
      <c r="D1860" t="s">
        <v>5314</v>
      </c>
      <c r="E1860" t="s">
        <v>5814</v>
      </c>
      <c r="F1860" t="s">
        <v>6026</v>
      </c>
      <c r="G1860" t="s">
        <v>6030</v>
      </c>
      <c r="H1860" t="s">
        <v>6038</v>
      </c>
      <c r="I1860" t="s">
        <v>6047</v>
      </c>
      <c r="J1860" t="s">
        <v>6053</v>
      </c>
      <c r="K1860" t="s">
        <v>6057</v>
      </c>
      <c r="L1860" t="s">
        <v>7748</v>
      </c>
      <c r="M1860">
        <v>1713.34</v>
      </c>
      <c r="N1860">
        <v>4</v>
      </c>
      <c r="O1860">
        <v>0.09</v>
      </c>
      <c r="P1860">
        <v>113.26</v>
      </c>
      <c r="Q1860" t="s">
        <v>9893</v>
      </c>
      <c r="R1860">
        <v>5</v>
      </c>
      <c r="S1860" s="5">
        <f t="shared" si="58"/>
        <v>6.6104801148633666E-2</v>
      </c>
      <c r="T1860">
        <v>428.33499999999998</v>
      </c>
      <c r="U1860">
        <v>7</v>
      </c>
      <c r="V1860">
        <v>2022</v>
      </c>
      <c r="W1860">
        <v>3</v>
      </c>
      <c r="X1860" t="s">
        <v>9899</v>
      </c>
      <c r="Y1860" t="s">
        <v>9901</v>
      </c>
      <c r="Z1860" t="s">
        <v>9898</v>
      </c>
      <c r="AD1860">
        <f t="shared" si="59"/>
        <v>5</v>
      </c>
    </row>
    <row r="1861" spans="1:30" x14ac:dyDescent="0.25">
      <c r="A1861" t="s">
        <v>1885</v>
      </c>
      <c r="B1861" s="2">
        <v>45121</v>
      </c>
      <c r="C1861" s="2">
        <v>45124</v>
      </c>
      <c r="D1861" t="s">
        <v>5440</v>
      </c>
      <c r="E1861" t="s">
        <v>5940</v>
      </c>
      <c r="F1861" t="s">
        <v>6028</v>
      </c>
      <c r="G1861" t="s">
        <v>6031</v>
      </c>
      <c r="H1861" t="s">
        <v>6034</v>
      </c>
      <c r="I1861" t="s">
        <v>6048</v>
      </c>
      <c r="J1861" t="s">
        <v>6053</v>
      </c>
      <c r="K1861" t="s">
        <v>6058</v>
      </c>
      <c r="L1861" t="s">
        <v>7749</v>
      </c>
      <c r="M1861">
        <v>1866.46</v>
      </c>
      <c r="N1861">
        <v>6</v>
      </c>
      <c r="O1861">
        <v>0.04</v>
      </c>
      <c r="P1861">
        <v>246.6</v>
      </c>
      <c r="Q1861" t="s">
        <v>9893</v>
      </c>
      <c r="R1861">
        <v>3</v>
      </c>
      <c r="S1861" s="5">
        <f t="shared" si="58"/>
        <v>0.13212177062460487</v>
      </c>
      <c r="T1861">
        <v>311.07666666666671</v>
      </c>
      <c r="U1861">
        <v>7</v>
      </c>
      <c r="V1861">
        <v>2023</v>
      </c>
      <c r="W1861">
        <v>3</v>
      </c>
      <c r="X1861" t="s">
        <v>9899</v>
      </c>
      <c r="Y1861" t="s">
        <v>9901</v>
      </c>
      <c r="Z1861" t="s">
        <v>9898</v>
      </c>
      <c r="AD1861">
        <f t="shared" si="59"/>
        <v>3</v>
      </c>
    </row>
    <row r="1862" spans="1:30" x14ac:dyDescent="0.25">
      <c r="A1862" t="s">
        <v>1886</v>
      </c>
      <c r="B1862" s="2">
        <v>45056</v>
      </c>
      <c r="C1862" s="2">
        <v>45058</v>
      </c>
      <c r="D1862" t="s">
        <v>5356</v>
      </c>
      <c r="E1862" t="s">
        <v>5856</v>
      </c>
      <c r="F1862" t="s">
        <v>6027</v>
      </c>
      <c r="G1862" t="s">
        <v>6030</v>
      </c>
      <c r="H1862" t="s">
        <v>6038</v>
      </c>
      <c r="I1862" t="s">
        <v>6047</v>
      </c>
      <c r="J1862" t="s">
        <v>6055</v>
      </c>
      <c r="K1862" t="s">
        <v>6063</v>
      </c>
      <c r="L1862" t="s">
        <v>7750</v>
      </c>
      <c r="M1862">
        <v>1804.66</v>
      </c>
      <c r="N1862">
        <v>6</v>
      </c>
      <c r="O1862">
        <v>0.28000000000000003</v>
      </c>
      <c r="P1862">
        <v>-250.36</v>
      </c>
      <c r="Q1862" t="s">
        <v>9893</v>
      </c>
      <c r="R1862">
        <v>2</v>
      </c>
      <c r="S1862" s="5">
        <f t="shared" si="58"/>
        <v>-0.13872973302450323</v>
      </c>
      <c r="T1862">
        <v>300.7766666666667</v>
      </c>
      <c r="U1862">
        <v>5</v>
      </c>
      <c r="V1862">
        <v>2023</v>
      </c>
      <c r="W1862">
        <v>2</v>
      </c>
      <c r="X1862" t="s">
        <v>9898</v>
      </c>
      <c r="Y1862" t="s">
        <v>9900</v>
      </c>
      <c r="Z1862" t="s">
        <v>9898</v>
      </c>
      <c r="AD1862">
        <f t="shared" si="59"/>
        <v>2</v>
      </c>
    </row>
    <row r="1863" spans="1:30" x14ac:dyDescent="0.25">
      <c r="A1863" t="s">
        <v>1887</v>
      </c>
      <c r="B1863" s="2">
        <v>44715</v>
      </c>
      <c r="C1863" s="2">
        <v>44719</v>
      </c>
      <c r="D1863" t="s">
        <v>5110</v>
      </c>
      <c r="E1863" t="s">
        <v>5610</v>
      </c>
      <c r="F1863" t="s">
        <v>6028</v>
      </c>
      <c r="G1863" t="s">
        <v>6030</v>
      </c>
      <c r="H1863" t="s">
        <v>6038</v>
      </c>
      <c r="I1863" t="s">
        <v>6051</v>
      </c>
      <c r="J1863" t="s">
        <v>6054</v>
      </c>
      <c r="K1863" t="s">
        <v>6062</v>
      </c>
      <c r="L1863" t="s">
        <v>7751</v>
      </c>
      <c r="M1863">
        <v>1256.54</v>
      </c>
      <c r="N1863">
        <v>3</v>
      </c>
      <c r="O1863">
        <v>0.16</v>
      </c>
      <c r="P1863">
        <v>84.69</v>
      </c>
      <c r="Q1863" t="s">
        <v>9893</v>
      </c>
      <c r="R1863">
        <v>4</v>
      </c>
      <c r="S1863" s="5">
        <f t="shared" si="58"/>
        <v>6.739936651439668E-2</v>
      </c>
      <c r="T1863">
        <v>418.84666666666658</v>
      </c>
      <c r="U1863">
        <v>6</v>
      </c>
      <c r="V1863">
        <v>2022</v>
      </c>
      <c r="W1863">
        <v>2</v>
      </c>
      <c r="X1863" t="s">
        <v>9899</v>
      </c>
      <c r="Y1863" t="s">
        <v>9900</v>
      </c>
      <c r="Z1863" t="s">
        <v>9898</v>
      </c>
      <c r="AD1863">
        <f t="shared" si="59"/>
        <v>4</v>
      </c>
    </row>
    <row r="1864" spans="1:30" x14ac:dyDescent="0.25">
      <c r="A1864" t="s">
        <v>1888</v>
      </c>
      <c r="B1864" s="2">
        <v>45017</v>
      </c>
      <c r="C1864" s="2">
        <v>45022</v>
      </c>
      <c r="D1864" t="s">
        <v>5507</v>
      </c>
      <c r="E1864" t="s">
        <v>6007</v>
      </c>
      <c r="F1864" t="s">
        <v>6028</v>
      </c>
      <c r="G1864" t="s">
        <v>6029</v>
      </c>
      <c r="H1864" t="s">
        <v>6044</v>
      </c>
      <c r="I1864" t="s">
        <v>6046</v>
      </c>
      <c r="J1864" t="s">
        <v>6055</v>
      </c>
      <c r="K1864" t="s">
        <v>6063</v>
      </c>
      <c r="L1864" t="s">
        <v>7752</v>
      </c>
      <c r="M1864">
        <v>947.51</v>
      </c>
      <c r="N1864">
        <v>1</v>
      </c>
      <c r="O1864">
        <v>0.28000000000000003</v>
      </c>
      <c r="P1864">
        <v>-89.07</v>
      </c>
      <c r="Q1864" t="s">
        <v>9893</v>
      </c>
      <c r="R1864">
        <v>5</v>
      </c>
      <c r="S1864" s="5">
        <f t="shared" si="58"/>
        <v>-9.4004284915198771E-2</v>
      </c>
      <c r="T1864">
        <v>947.51</v>
      </c>
      <c r="U1864">
        <v>4</v>
      </c>
      <c r="V1864">
        <v>2023</v>
      </c>
      <c r="W1864">
        <v>2</v>
      </c>
      <c r="X1864" t="s">
        <v>9898</v>
      </c>
      <c r="Y1864" t="s">
        <v>9900</v>
      </c>
      <c r="Z1864" t="s">
        <v>9899</v>
      </c>
      <c r="AD1864">
        <f t="shared" si="59"/>
        <v>5</v>
      </c>
    </row>
    <row r="1865" spans="1:30" x14ac:dyDescent="0.25">
      <c r="A1865" t="s">
        <v>1889</v>
      </c>
      <c r="B1865" s="2">
        <v>45116</v>
      </c>
      <c r="C1865" s="2">
        <v>45123</v>
      </c>
      <c r="D1865" t="s">
        <v>5179</v>
      </c>
      <c r="E1865" t="s">
        <v>5679</v>
      </c>
      <c r="F1865" t="s">
        <v>6027</v>
      </c>
      <c r="G1865" t="s">
        <v>6029</v>
      </c>
      <c r="H1865" t="s">
        <v>6036</v>
      </c>
      <c r="I1865" t="s">
        <v>6046</v>
      </c>
      <c r="J1865" t="s">
        <v>6055</v>
      </c>
      <c r="K1865" t="s">
        <v>6064</v>
      </c>
      <c r="L1865" t="s">
        <v>7753</v>
      </c>
      <c r="M1865">
        <v>1369.78</v>
      </c>
      <c r="N1865">
        <v>7</v>
      </c>
      <c r="O1865">
        <v>0.19</v>
      </c>
      <c r="P1865">
        <v>59.68</v>
      </c>
      <c r="Q1865" t="s">
        <v>9894</v>
      </c>
      <c r="R1865">
        <v>7</v>
      </c>
      <c r="S1865" s="5">
        <f t="shared" si="58"/>
        <v>4.3569040283841204E-2</v>
      </c>
      <c r="T1865">
        <v>195.6828571428571</v>
      </c>
      <c r="U1865">
        <v>7</v>
      </c>
      <c r="V1865">
        <v>2023</v>
      </c>
      <c r="W1865">
        <v>3</v>
      </c>
      <c r="X1865" t="s">
        <v>9899</v>
      </c>
      <c r="Y1865" t="s">
        <v>9900</v>
      </c>
      <c r="Z1865" t="s">
        <v>9898</v>
      </c>
      <c r="AD1865">
        <f t="shared" si="59"/>
        <v>7</v>
      </c>
    </row>
    <row r="1866" spans="1:30" x14ac:dyDescent="0.25">
      <c r="A1866" t="s">
        <v>1890</v>
      </c>
      <c r="B1866" s="2">
        <v>45442</v>
      </c>
      <c r="C1866" s="2">
        <v>45448</v>
      </c>
      <c r="D1866" t="s">
        <v>5519</v>
      </c>
      <c r="E1866" t="s">
        <v>6019</v>
      </c>
      <c r="F1866" t="s">
        <v>6026</v>
      </c>
      <c r="G1866" t="s">
        <v>6030</v>
      </c>
      <c r="H1866" t="s">
        <v>6035</v>
      </c>
      <c r="I1866" t="s">
        <v>6051</v>
      </c>
      <c r="J1866" t="s">
        <v>6053</v>
      </c>
      <c r="K1866" t="s">
        <v>6057</v>
      </c>
      <c r="L1866" t="s">
        <v>7754</v>
      </c>
      <c r="M1866">
        <v>322.93</v>
      </c>
      <c r="N1866">
        <v>8</v>
      </c>
      <c r="O1866">
        <v>0.18</v>
      </c>
      <c r="P1866">
        <v>-1.25</v>
      </c>
      <c r="Q1866" t="s">
        <v>9895</v>
      </c>
      <c r="R1866">
        <v>6</v>
      </c>
      <c r="S1866" s="5">
        <f t="shared" si="58"/>
        <v>-3.8708079150280247E-3</v>
      </c>
      <c r="T1866">
        <v>40.366250000000001</v>
      </c>
      <c r="U1866">
        <v>5</v>
      </c>
      <c r="V1866">
        <v>2024</v>
      </c>
      <c r="W1866">
        <v>2</v>
      </c>
      <c r="X1866" t="s">
        <v>9898</v>
      </c>
      <c r="Y1866" t="s">
        <v>9900</v>
      </c>
      <c r="Z1866" t="s">
        <v>9899</v>
      </c>
      <c r="AD1866">
        <f t="shared" si="59"/>
        <v>6</v>
      </c>
    </row>
    <row r="1867" spans="1:30" x14ac:dyDescent="0.25">
      <c r="A1867" t="s">
        <v>1891</v>
      </c>
      <c r="B1867" s="2">
        <v>45240</v>
      </c>
      <c r="C1867" s="2">
        <v>45241</v>
      </c>
      <c r="D1867" t="s">
        <v>5155</v>
      </c>
      <c r="E1867" t="s">
        <v>5655</v>
      </c>
      <c r="F1867" t="s">
        <v>6028</v>
      </c>
      <c r="G1867" t="s">
        <v>6031</v>
      </c>
      <c r="H1867" t="s">
        <v>6037</v>
      </c>
      <c r="I1867" t="s">
        <v>6048</v>
      </c>
      <c r="J1867" t="s">
        <v>6055</v>
      </c>
      <c r="K1867" t="s">
        <v>6063</v>
      </c>
      <c r="L1867" t="s">
        <v>7755</v>
      </c>
      <c r="M1867">
        <v>1133.24</v>
      </c>
      <c r="N1867">
        <v>5</v>
      </c>
      <c r="O1867">
        <v>0.33</v>
      </c>
      <c r="P1867">
        <v>-114</v>
      </c>
      <c r="Q1867" t="s">
        <v>9896</v>
      </c>
      <c r="R1867">
        <v>1</v>
      </c>
      <c r="S1867" s="5">
        <f t="shared" si="58"/>
        <v>-0.10059651971338816</v>
      </c>
      <c r="T1867">
        <v>226.648</v>
      </c>
      <c r="U1867">
        <v>11</v>
      </c>
      <c r="V1867">
        <v>2023</v>
      </c>
      <c r="W1867">
        <v>4</v>
      </c>
      <c r="X1867" t="s">
        <v>9898</v>
      </c>
      <c r="Y1867" t="s">
        <v>9902</v>
      </c>
      <c r="Z1867" t="s">
        <v>9898</v>
      </c>
      <c r="AD1867">
        <f t="shared" si="59"/>
        <v>1</v>
      </c>
    </row>
    <row r="1868" spans="1:30" x14ac:dyDescent="0.25">
      <c r="A1868" t="s">
        <v>1892</v>
      </c>
      <c r="B1868" s="2">
        <v>44589</v>
      </c>
      <c r="C1868" s="2">
        <v>44596</v>
      </c>
      <c r="D1868" t="s">
        <v>5424</v>
      </c>
      <c r="E1868" t="s">
        <v>5924</v>
      </c>
      <c r="F1868" t="s">
        <v>6028</v>
      </c>
      <c r="G1868" t="s">
        <v>6030</v>
      </c>
      <c r="H1868" t="s">
        <v>6035</v>
      </c>
      <c r="I1868" t="s">
        <v>6051</v>
      </c>
      <c r="J1868" t="s">
        <v>6055</v>
      </c>
      <c r="K1868" t="s">
        <v>6063</v>
      </c>
      <c r="L1868" t="s">
        <v>7756</v>
      </c>
      <c r="M1868">
        <v>222.99</v>
      </c>
      <c r="N1868">
        <v>8</v>
      </c>
      <c r="O1868">
        <v>0.21</v>
      </c>
      <c r="P1868">
        <v>16.45</v>
      </c>
      <c r="Q1868" t="s">
        <v>9893</v>
      </c>
      <c r="R1868">
        <v>7</v>
      </c>
      <c r="S1868" s="5">
        <f t="shared" si="58"/>
        <v>7.3770124220817065E-2</v>
      </c>
      <c r="T1868">
        <v>27.873750000000001</v>
      </c>
      <c r="U1868">
        <v>1</v>
      </c>
      <c r="V1868">
        <v>2022</v>
      </c>
      <c r="W1868">
        <v>1</v>
      </c>
      <c r="X1868" t="s">
        <v>9899</v>
      </c>
      <c r="Y1868" t="s">
        <v>9900</v>
      </c>
      <c r="Z1868" t="s">
        <v>9899</v>
      </c>
      <c r="AD1868">
        <f t="shared" si="59"/>
        <v>7</v>
      </c>
    </row>
    <row r="1869" spans="1:30" x14ac:dyDescent="0.25">
      <c r="A1869" t="s">
        <v>1893</v>
      </c>
      <c r="B1869" s="2">
        <v>45247</v>
      </c>
      <c r="C1869" s="2">
        <v>45249</v>
      </c>
      <c r="D1869" t="s">
        <v>5348</v>
      </c>
      <c r="E1869" t="s">
        <v>5848</v>
      </c>
      <c r="F1869" t="s">
        <v>6027</v>
      </c>
      <c r="G1869" t="s">
        <v>6031</v>
      </c>
      <c r="H1869" t="s">
        <v>6043</v>
      </c>
      <c r="I1869" t="s">
        <v>6048</v>
      </c>
      <c r="J1869" t="s">
        <v>6053</v>
      </c>
      <c r="K1869" t="s">
        <v>6058</v>
      </c>
      <c r="L1869" t="s">
        <v>7757</v>
      </c>
      <c r="M1869">
        <v>1766.9</v>
      </c>
      <c r="N1869">
        <v>6</v>
      </c>
      <c r="O1869">
        <v>0.24</v>
      </c>
      <c r="P1869">
        <v>16.29</v>
      </c>
      <c r="Q1869" t="s">
        <v>9897</v>
      </c>
      <c r="R1869">
        <v>2</v>
      </c>
      <c r="S1869" s="5">
        <f t="shared" si="58"/>
        <v>9.2195370422774349E-3</v>
      </c>
      <c r="T1869">
        <v>294.48333333333329</v>
      </c>
      <c r="U1869">
        <v>11</v>
      </c>
      <c r="V1869">
        <v>2023</v>
      </c>
      <c r="W1869">
        <v>4</v>
      </c>
      <c r="X1869" t="s">
        <v>9899</v>
      </c>
      <c r="Y1869" t="s">
        <v>9900</v>
      </c>
      <c r="Z1869" t="s">
        <v>9898</v>
      </c>
      <c r="AD1869">
        <f t="shared" si="59"/>
        <v>2</v>
      </c>
    </row>
    <row r="1870" spans="1:30" x14ac:dyDescent="0.25">
      <c r="A1870" t="s">
        <v>1894</v>
      </c>
      <c r="B1870" s="2">
        <v>45256</v>
      </c>
      <c r="C1870" s="2">
        <v>45260</v>
      </c>
      <c r="D1870" t="s">
        <v>5360</v>
      </c>
      <c r="E1870" t="s">
        <v>5860</v>
      </c>
      <c r="F1870" t="s">
        <v>6028</v>
      </c>
      <c r="G1870" t="s">
        <v>6030</v>
      </c>
      <c r="H1870" t="s">
        <v>6035</v>
      </c>
      <c r="I1870" t="s">
        <v>6047</v>
      </c>
      <c r="J1870" t="s">
        <v>6053</v>
      </c>
      <c r="K1870" t="s">
        <v>6057</v>
      </c>
      <c r="L1870" t="s">
        <v>7758</v>
      </c>
      <c r="M1870">
        <v>460.18</v>
      </c>
      <c r="N1870">
        <v>8</v>
      </c>
      <c r="O1870">
        <v>0.05</v>
      </c>
      <c r="P1870">
        <v>111.3</v>
      </c>
      <c r="Q1870" t="s">
        <v>9893</v>
      </c>
      <c r="R1870">
        <v>4</v>
      </c>
      <c r="S1870" s="5">
        <f t="shared" si="58"/>
        <v>0.24186188013386065</v>
      </c>
      <c r="T1870">
        <v>57.522500000000001</v>
      </c>
      <c r="U1870">
        <v>11</v>
      </c>
      <c r="V1870">
        <v>2023</v>
      </c>
      <c r="W1870">
        <v>4</v>
      </c>
      <c r="X1870" t="s">
        <v>9899</v>
      </c>
      <c r="Y1870" t="s">
        <v>9901</v>
      </c>
      <c r="Z1870" t="s">
        <v>9899</v>
      </c>
      <c r="AD1870">
        <f t="shared" si="59"/>
        <v>4</v>
      </c>
    </row>
    <row r="1871" spans="1:30" x14ac:dyDescent="0.25">
      <c r="A1871" t="s">
        <v>1895</v>
      </c>
      <c r="B1871" s="2">
        <v>44747</v>
      </c>
      <c r="C1871" s="2">
        <v>44752</v>
      </c>
      <c r="D1871" t="s">
        <v>5363</v>
      </c>
      <c r="E1871" t="s">
        <v>5863</v>
      </c>
      <c r="F1871" t="s">
        <v>6028</v>
      </c>
      <c r="G1871" t="s">
        <v>6031</v>
      </c>
      <c r="H1871" t="s">
        <v>6040</v>
      </c>
      <c r="I1871" t="s">
        <v>6050</v>
      </c>
      <c r="J1871" t="s">
        <v>6054</v>
      </c>
      <c r="K1871" t="s">
        <v>6062</v>
      </c>
      <c r="L1871" t="s">
        <v>7759</v>
      </c>
      <c r="M1871">
        <v>1556.5</v>
      </c>
      <c r="N1871">
        <v>7</v>
      </c>
      <c r="O1871">
        <v>0.26</v>
      </c>
      <c r="P1871">
        <v>-146.66999999999999</v>
      </c>
      <c r="Q1871" t="s">
        <v>9893</v>
      </c>
      <c r="R1871">
        <v>5</v>
      </c>
      <c r="S1871" s="5">
        <f t="shared" si="58"/>
        <v>-9.423064567940892E-2</v>
      </c>
      <c r="T1871">
        <v>222.35714285714289</v>
      </c>
      <c r="U1871">
        <v>7</v>
      </c>
      <c r="V1871">
        <v>2022</v>
      </c>
      <c r="W1871">
        <v>3</v>
      </c>
      <c r="X1871" t="s">
        <v>9898</v>
      </c>
      <c r="Y1871" t="s">
        <v>9900</v>
      </c>
      <c r="Z1871" t="s">
        <v>9898</v>
      </c>
      <c r="AD1871">
        <f t="shared" si="59"/>
        <v>5</v>
      </c>
    </row>
    <row r="1872" spans="1:30" x14ac:dyDescent="0.25">
      <c r="A1872" t="s">
        <v>1896</v>
      </c>
      <c r="B1872" s="2">
        <v>44898</v>
      </c>
      <c r="C1872" s="2">
        <v>44905</v>
      </c>
      <c r="D1872" t="s">
        <v>5384</v>
      </c>
      <c r="E1872" t="s">
        <v>5884</v>
      </c>
      <c r="F1872" t="s">
        <v>6027</v>
      </c>
      <c r="G1872" t="s">
        <v>6030</v>
      </c>
      <c r="H1872" t="s">
        <v>6038</v>
      </c>
      <c r="I1872" t="s">
        <v>6047</v>
      </c>
      <c r="J1872" t="s">
        <v>6055</v>
      </c>
      <c r="K1872" t="s">
        <v>6063</v>
      </c>
      <c r="L1872" t="s">
        <v>7760</v>
      </c>
      <c r="M1872">
        <v>1987.01</v>
      </c>
      <c r="N1872">
        <v>2</v>
      </c>
      <c r="O1872">
        <v>0.12</v>
      </c>
      <c r="P1872">
        <v>31.14</v>
      </c>
      <c r="Q1872" t="s">
        <v>9895</v>
      </c>
      <c r="R1872">
        <v>7</v>
      </c>
      <c r="S1872" s="5">
        <f t="shared" si="58"/>
        <v>1.5671788264779746E-2</v>
      </c>
      <c r="T1872">
        <v>993.505</v>
      </c>
      <c r="U1872">
        <v>12</v>
      </c>
      <c r="V1872">
        <v>2022</v>
      </c>
      <c r="W1872">
        <v>4</v>
      </c>
      <c r="X1872" t="s">
        <v>9899</v>
      </c>
      <c r="Y1872" t="s">
        <v>9901</v>
      </c>
      <c r="Z1872" t="s">
        <v>9898</v>
      </c>
      <c r="AD1872">
        <f t="shared" si="59"/>
        <v>7</v>
      </c>
    </row>
    <row r="1873" spans="1:30" x14ac:dyDescent="0.25">
      <c r="A1873" t="s">
        <v>1897</v>
      </c>
      <c r="B1873" s="2">
        <v>44790</v>
      </c>
      <c r="C1873" s="2">
        <v>44796</v>
      </c>
      <c r="D1873" t="s">
        <v>5051</v>
      </c>
      <c r="E1873" t="s">
        <v>5551</v>
      </c>
      <c r="F1873" t="s">
        <v>6027</v>
      </c>
      <c r="G1873" t="s">
        <v>6029</v>
      </c>
      <c r="H1873" t="s">
        <v>6032</v>
      </c>
      <c r="I1873" t="s">
        <v>6046</v>
      </c>
      <c r="J1873" t="s">
        <v>6053</v>
      </c>
      <c r="K1873" t="s">
        <v>6056</v>
      </c>
      <c r="L1873" t="s">
        <v>7761</v>
      </c>
      <c r="M1873">
        <v>563.12</v>
      </c>
      <c r="N1873">
        <v>1</v>
      </c>
      <c r="O1873">
        <v>0.03</v>
      </c>
      <c r="P1873">
        <v>105.12</v>
      </c>
      <c r="Q1873" t="s">
        <v>9894</v>
      </c>
      <c r="R1873">
        <v>6</v>
      </c>
      <c r="S1873" s="5">
        <f t="shared" si="58"/>
        <v>0.18667424350049724</v>
      </c>
      <c r="T1873">
        <v>563.12</v>
      </c>
      <c r="U1873">
        <v>8</v>
      </c>
      <c r="V1873">
        <v>2022</v>
      </c>
      <c r="W1873">
        <v>3</v>
      </c>
      <c r="X1873" t="s">
        <v>9899</v>
      </c>
      <c r="Y1873" t="s">
        <v>9901</v>
      </c>
      <c r="Z1873" t="s">
        <v>9899</v>
      </c>
      <c r="AD1873">
        <f t="shared" si="59"/>
        <v>6</v>
      </c>
    </row>
    <row r="1874" spans="1:30" x14ac:dyDescent="0.25">
      <c r="A1874" t="s">
        <v>1898</v>
      </c>
      <c r="B1874" s="2">
        <v>45208</v>
      </c>
      <c r="C1874" s="2">
        <v>45209</v>
      </c>
      <c r="D1874" t="s">
        <v>5131</v>
      </c>
      <c r="E1874" t="s">
        <v>5631</v>
      </c>
      <c r="F1874" t="s">
        <v>6026</v>
      </c>
      <c r="G1874" t="s">
        <v>6030</v>
      </c>
      <c r="H1874" t="s">
        <v>6038</v>
      </c>
      <c r="I1874" t="s">
        <v>6047</v>
      </c>
      <c r="J1874" t="s">
        <v>6053</v>
      </c>
      <c r="K1874" t="s">
        <v>6056</v>
      </c>
      <c r="L1874" t="s">
        <v>7762</v>
      </c>
      <c r="M1874">
        <v>1254.2</v>
      </c>
      <c r="N1874">
        <v>2</v>
      </c>
      <c r="O1874">
        <v>0.26</v>
      </c>
      <c r="P1874">
        <v>-112.91</v>
      </c>
      <c r="Q1874" t="s">
        <v>9893</v>
      </c>
      <c r="R1874">
        <v>1</v>
      </c>
      <c r="S1874" s="5">
        <f t="shared" si="58"/>
        <v>-9.0025514272045914E-2</v>
      </c>
      <c r="T1874">
        <v>627.1</v>
      </c>
      <c r="U1874">
        <v>10</v>
      </c>
      <c r="V1874">
        <v>2023</v>
      </c>
      <c r="W1874">
        <v>4</v>
      </c>
      <c r="X1874" t="s">
        <v>9898</v>
      </c>
      <c r="Y1874" t="s">
        <v>9900</v>
      </c>
      <c r="Z1874" t="s">
        <v>9898</v>
      </c>
      <c r="AD1874">
        <f t="shared" si="59"/>
        <v>1</v>
      </c>
    </row>
    <row r="1875" spans="1:30" x14ac:dyDescent="0.25">
      <c r="A1875" t="s">
        <v>1899</v>
      </c>
      <c r="B1875" s="2">
        <v>44989</v>
      </c>
      <c r="C1875" s="2">
        <v>44992</v>
      </c>
      <c r="D1875" t="s">
        <v>5165</v>
      </c>
      <c r="E1875" t="s">
        <v>5665</v>
      </c>
      <c r="F1875" t="s">
        <v>6027</v>
      </c>
      <c r="G1875" t="s">
        <v>6031</v>
      </c>
      <c r="H1875" t="s">
        <v>6040</v>
      </c>
      <c r="I1875" t="s">
        <v>6050</v>
      </c>
      <c r="J1875" t="s">
        <v>6054</v>
      </c>
      <c r="K1875" t="s">
        <v>6062</v>
      </c>
      <c r="L1875" t="s">
        <v>7763</v>
      </c>
      <c r="M1875">
        <v>780.27</v>
      </c>
      <c r="N1875">
        <v>6</v>
      </c>
      <c r="O1875">
        <v>0.12</v>
      </c>
      <c r="P1875">
        <v>14.14</v>
      </c>
      <c r="Q1875" t="s">
        <v>9895</v>
      </c>
      <c r="R1875">
        <v>3</v>
      </c>
      <c r="S1875" s="5">
        <f t="shared" si="58"/>
        <v>1.8121932151691084E-2</v>
      </c>
      <c r="T1875">
        <v>130.04499999999999</v>
      </c>
      <c r="U1875">
        <v>3</v>
      </c>
      <c r="V1875">
        <v>2023</v>
      </c>
      <c r="W1875">
        <v>1</v>
      </c>
      <c r="X1875" t="s">
        <v>9899</v>
      </c>
      <c r="Y1875" t="s">
        <v>9901</v>
      </c>
      <c r="Z1875" t="s">
        <v>9899</v>
      </c>
      <c r="AD1875">
        <f t="shared" si="59"/>
        <v>3</v>
      </c>
    </row>
    <row r="1876" spans="1:30" x14ac:dyDescent="0.25">
      <c r="A1876" t="s">
        <v>1900</v>
      </c>
      <c r="B1876" s="2">
        <v>45453</v>
      </c>
      <c r="C1876" s="2">
        <v>45456</v>
      </c>
      <c r="D1876" t="s">
        <v>5146</v>
      </c>
      <c r="E1876" t="s">
        <v>5646</v>
      </c>
      <c r="F1876" t="s">
        <v>6027</v>
      </c>
      <c r="G1876" t="s">
        <v>6031</v>
      </c>
      <c r="H1876" t="s">
        <v>6040</v>
      </c>
      <c r="I1876" t="s">
        <v>6048</v>
      </c>
      <c r="J1876" t="s">
        <v>6055</v>
      </c>
      <c r="K1876" t="s">
        <v>6064</v>
      </c>
      <c r="L1876" t="s">
        <v>7764</v>
      </c>
      <c r="M1876">
        <v>1469.88</v>
      </c>
      <c r="N1876">
        <v>3</v>
      </c>
      <c r="O1876">
        <v>0.22</v>
      </c>
      <c r="P1876">
        <v>-132.57</v>
      </c>
      <c r="Q1876" t="s">
        <v>9896</v>
      </c>
      <c r="R1876">
        <v>3</v>
      </c>
      <c r="S1876" s="5">
        <f t="shared" si="58"/>
        <v>-9.0191036002938998E-2</v>
      </c>
      <c r="T1876">
        <v>489.96</v>
      </c>
      <c r="U1876">
        <v>6</v>
      </c>
      <c r="V1876">
        <v>2024</v>
      </c>
      <c r="W1876">
        <v>2</v>
      </c>
      <c r="X1876" t="s">
        <v>9898</v>
      </c>
      <c r="Y1876" t="s">
        <v>9900</v>
      </c>
      <c r="Z1876" t="s">
        <v>9898</v>
      </c>
      <c r="AD1876">
        <f t="shared" si="59"/>
        <v>3</v>
      </c>
    </row>
    <row r="1877" spans="1:30" x14ac:dyDescent="0.25">
      <c r="A1877" t="s">
        <v>1901</v>
      </c>
      <c r="B1877" s="2">
        <v>45060</v>
      </c>
      <c r="C1877" s="2">
        <v>45061</v>
      </c>
      <c r="D1877" t="s">
        <v>5382</v>
      </c>
      <c r="E1877" t="s">
        <v>5882</v>
      </c>
      <c r="F1877" t="s">
        <v>6026</v>
      </c>
      <c r="G1877" t="s">
        <v>6031</v>
      </c>
      <c r="H1877" t="s">
        <v>6043</v>
      </c>
      <c r="I1877" t="s">
        <v>6052</v>
      </c>
      <c r="J1877" t="s">
        <v>6054</v>
      </c>
      <c r="K1877" t="s">
        <v>6060</v>
      </c>
      <c r="L1877" t="s">
        <v>7765</v>
      </c>
      <c r="M1877">
        <v>1681.69</v>
      </c>
      <c r="N1877">
        <v>2</v>
      </c>
      <c r="O1877">
        <v>0.05</v>
      </c>
      <c r="P1877">
        <v>172.47</v>
      </c>
      <c r="Q1877" t="s">
        <v>9897</v>
      </c>
      <c r="R1877">
        <v>1</v>
      </c>
      <c r="S1877" s="5">
        <f t="shared" si="58"/>
        <v>0.10255754627785145</v>
      </c>
      <c r="T1877">
        <v>840.84500000000003</v>
      </c>
      <c r="U1877">
        <v>5</v>
      </c>
      <c r="V1877">
        <v>2023</v>
      </c>
      <c r="W1877">
        <v>2</v>
      </c>
      <c r="X1877" t="s">
        <v>9899</v>
      </c>
      <c r="Y1877" t="s">
        <v>9901</v>
      </c>
      <c r="Z1877" t="s">
        <v>9898</v>
      </c>
      <c r="AD1877">
        <f t="shared" si="59"/>
        <v>1</v>
      </c>
    </row>
    <row r="1878" spans="1:30" x14ac:dyDescent="0.25">
      <c r="A1878" t="s">
        <v>1902</v>
      </c>
      <c r="B1878" s="2">
        <v>45344</v>
      </c>
      <c r="C1878" s="2">
        <v>45351</v>
      </c>
      <c r="D1878" t="s">
        <v>5077</v>
      </c>
      <c r="E1878" t="s">
        <v>5577</v>
      </c>
      <c r="F1878" t="s">
        <v>6028</v>
      </c>
      <c r="G1878" t="s">
        <v>6029</v>
      </c>
      <c r="H1878" t="s">
        <v>6045</v>
      </c>
      <c r="I1878" t="s">
        <v>6050</v>
      </c>
      <c r="J1878" t="s">
        <v>6055</v>
      </c>
      <c r="K1878" t="s">
        <v>6064</v>
      </c>
      <c r="L1878" t="s">
        <v>7063</v>
      </c>
      <c r="M1878">
        <v>1100.1300000000001</v>
      </c>
      <c r="N1878">
        <v>8</v>
      </c>
      <c r="O1878">
        <v>0.28000000000000003</v>
      </c>
      <c r="P1878">
        <v>12.56</v>
      </c>
      <c r="Q1878" t="s">
        <v>9896</v>
      </c>
      <c r="R1878">
        <v>7</v>
      </c>
      <c r="S1878" s="5">
        <f t="shared" si="58"/>
        <v>1.1416832556152454E-2</v>
      </c>
      <c r="T1878">
        <v>137.51625000000001</v>
      </c>
      <c r="U1878">
        <v>2</v>
      </c>
      <c r="V1878">
        <v>2024</v>
      </c>
      <c r="W1878">
        <v>1</v>
      </c>
      <c r="X1878" t="s">
        <v>9899</v>
      </c>
      <c r="Y1878" t="s">
        <v>9900</v>
      </c>
      <c r="Z1878" t="s">
        <v>9898</v>
      </c>
      <c r="AD1878">
        <f t="shared" si="59"/>
        <v>7</v>
      </c>
    </row>
    <row r="1879" spans="1:30" x14ac:dyDescent="0.25">
      <c r="A1879" t="s">
        <v>1903</v>
      </c>
      <c r="B1879" s="2">
        <v>44870</v>
      </c>
      <c r="C1879" s="2">
        <v>44874</v>
      </c>
      <c r="D1879" t="s">
        <v>5203</v>
      </c>
      <c r="E1879" t="s">
        <v>5703</v>
      </c>
      <c r="F1879" t="s">
        <v>6027</v>
      </c>
      <c r="G1879" t="s">
        <v>6029</v>
      </c>
      <c r="H1879" t="s">
        <v>6041</v>
      </c>
      <c r="I1879" t="s">
        <v>6049</v>
      </c>
      <c r="J1879" t="s">
        <v>6053</v>
      </c>
      <c r="K1879" t="s">
        <v>6058</v>
      </c>
      <c r="L1879" t="s">
        <v>7766</v>
      </c>
      <c r="M1879">
        <v>1718.89</v>
      </c>
      <c r="N1879">
        <v>2</v>
      </c>
      <c r="O1879">
        <v>7.0000000000000007E-2</v>
      </c>
      <c r="P1879">
        <v>143.94</v>
      </c>
      <c r="Q1879" t="s">
        <v>9894</v>
      </c>
      <c r="R1879">
        <v>4</v>
      </c>
      <c r="S1879" s="5">
        <f t="shared" si="58"/>
        <v>8.3740088080098196E-2</v>
      </c>
      <c r="T1879">
        <v>859.44500000000005</v>
      </c>
      <c r="U1879">
        <v>11</v>
      </c>
      <c r="V1879">
        <v>2022</v>
      </c>
      <c r="W1879">
        <v>4</v>
      </c>
      <c r="X1879" t="s">
        <v>9899</v>
      </c>
      <c r="Y1879" t="s">
        <v>9901</v>
      </c>
      <c r="Z1879" t="s">
        <v>9898</v>
      </c>
      <c r="AD1879">
        <f t="shared" si="59"/>
        <v>4</v>
      </c>
    </row>
    <row r="1880" spans="1:30" x14ac:dyDescent="0.25">
      <c r="A1880" t="s">
        <v>1904</v>
      </c>
      <c r="B1880" s="2">
        <v>44841</v>
      </c>
      <c r="C1880" s="2">
        <v>44845</v>
      </c>
      <c r="D1880" t="s">
        <v>5170</v>
      </c>
      <c r="E1880" t="s">
        <v>5670</v>
      </c>
      <c r="F1880" t="s">
        <v>6028</v>
      </c>
      <c r="G1880" t="s">
        <v>6031</v>
      </c>
      <c r="H1880" t="s">
        <v>6043</v>
      </c>
      <c r="I1880" t="s">
        <v>6048</v>
      </c>
      <c r="J1880" t="s">
        <v>6054</v>
      </c>
      <c r="K1880" t="s">
        <v>6060</v>
      </c>
      <c r="L1880" t="s">
        <v>7767</v>
      </c>
      <c r="M1880">
        <v>766.18</v>
      </c>
      <c r="N1880">
        <v>4</v>
      </c>
      <c r="O1880">
        <v>0.26</v>
      </c>
      <c r="P1880">
        <v>-8.1999999999999993</v>
      </c>
      <c r="Q1880" t="s">
        <v>9896</v>
      </c>
      <c r="R1880">
        <v>4</v>
      </c>
      <c r="S1880" s="5">
        <f t="shared" si="58"/>
        <v>-1.070244590044115E-2</v>
      </c>
      <c r="T1880">
        <v>191.54499999999999</v>
      </c>
      <c r="U1880">
        <v>10</v>
      </c>
      <c r="V1880">
        <v>2022</v>
      </c>
      <c r="W1880">
        <v>4</v>
      </c>
      <c r="X1880" t="s">
        <v>9898</v>
      </c>
      <c r="Y1880" t="s">
        <v>9900</v>
      </c>
      <c r="Z1880" t="s">
        <v>9899</v>
      </c>
      <c r="AD1880">
        <f t="shared" si="59"/>
        <v>4</v>
      </c>
    </row>
    <row r="1881" spans="1:30" x14ac:dyDescent="0.25">
      <c r="A1881" t="s">
        <v>1905</v>
      </c>
      <c r="B1881" s="2">
        <v>44903</v>
      </c>
      <c r="C1881" s="2">
        <v>44907</v>
      </c>
      <c r="D1881" t="s">
        <v>5348</v>
      </c>
      <c r="E1881" t="s">
        <v>5848</v>
      </c>
      <c r="F1881" t="s">
        <v>6027</v>
      </c>
      <c r="G1881" t="s">
        <v>6029</v>
      </c>
      <c r="H1881" t="s">
        <v>6036</v>
      </c>
      <c r="I1881" t="s">
        <v>6050</v>
      </c>
      <c r="J1881" t="s">
        <v>6055</v>
      </c>
      <c r="K1881" t="s">
        <v>6064</v>
      </c>
      <c r="L1881" t="s">
        <v>7768</v>
      </c>
      <c r="M1881">
        <v>1648.99</v>
      </c>
      <c r="N1881">
        <v>8</v>
      </c>
      <c r="O1881">
        <v>0.14000000000000001</v>
      </c>
      <c r="P1881">
        <v>130.74</v>
      </c>
      <c r="Q1881" t="s">
        <v>9897</v>
      </c>
      <c r="R1881">
        <v>4</v>
      </c>
      <c r="S1881" s="5">
        <f t="shared" si="58"/>
        <v>7.9284895602762903E-2</v>
      </c>
      <c r="T1881">
        <v>206.12375</v>
      </c>
      <c r="U1881">
        <v>12</v>
      </c>
      <c r="V1881">
        <v>2022</v>
      </c>
      <c r="W1881">
        <v>4</v>
      </c>
      <c r="X1881" t="s">
        <v>9899</v>
      </c>
      <c r="Y1881" t="s">
        <v>9901</v>
      </c>
      <c r="Z1881" t="s">
        <v>9898</v>
      </c>
      <c r="AD1881">
        <f t="shared" si="59"/>
        <v>4</v>
      </c>
    </row>
    <row r="1882" spans="1:30" x14ac:dyDescent="0.25">
      <c r="A1882" t="s">
        <v>1906</v>
      </c>
      <c r="B1882" s="2">
        <v>44575</v>
      </c>
      <c r="C1882" s="2">
        <v>44578</v>
      </c>
      <c r="D1882" t="s">
        <v>5425</v>
      </c>
      <c r="E1882" t="s">
        <v>5925</v>
      </c>
      <c r="F1882" t="s">
        <v>6027</v>
      </c>
      <c r="G1882" t="s">
        <v>6031</v>
      </c>
      <c r="H1882" t="s">
        <v>6037</v>
      </c>
      <c r="I1882" t="s">
        <v>6050</v>
      </c>
      <c r="J1882" t="s">
        <v>6054</v>
      </c>
      <c r="K1882" t="s">
        <v>6062</v>
      </c>
      <c r="L1882" t="s">
        <v>7395</v>
      </c>
      <c r="M1882">
        <v>963.23</v>
      </c>
      <c r="N1882">
        <v>5</v>
      </c>
      <c r="O1882">
        <v>0.16</v>
      </c>
      <c r="P1882">
        <v>38.49</v>
      </c>
      <c r="Q1882" t="s">
        <v>9893</v>
      </c>
      <c r="R1882">
        <v>3</v>
      </c>
      <c r="S1882" s="5">
        <f t="shared" si="58"/>
        <v>3.9959303593118986E-2</v>
      </c>
      <c r="T1882">
        <v>192.64599999999999</v>
      </c>
      <c r="U1882">
        <v>1</v>
      </c>
      <c r="V1882">
        <v>2022</v>
      </c>
      <c r="W1882">
        <v>1</v>
      </c>
      <c r="X1882" t="s">
        <v>9899</v>
      </c>
      <c r="Y1882" t="s">
        <v>9900</v>
      </c>
      <c r="Z1882" t="s">
        <v>9899</v>
      </c>
      <c r="AD1882">
        <f t="shared" si="59"/>
        <v>3</v>
      </c>
    </row>
    <row r="1883" spans="1:30" x14ac:dyDescent="0.25">
      <c r="A1883" t="s">
        <v>1907</v>
      </c>
      <c r="B1883" s="2">
        <v>44960</v>
      </c>
      <c r="C1883" s="2">
        <v>44967</v>
      </c>
      <c r="D1883" t="s">
        <v>5126</v>
      </c>
      <c r="E1883" t="s">
        <v>5626</v>
      </c>
      <c r="F1883" t="s">
        <v>6026</v>
      </c>
      <c r="G1883" t="s">
        <v>6030</v>
      </c>
      <c r="H1883" t="s">
        <v>6033</v>
      </c>
      <c r="I1883" t="s">
        <v>6047</v>
      </c>
      <c r="J1883" t="s">
        <v>6053</v>
      </c>
      <c r="K1883" t="s">
        <v>6057</v>
      </c>
      <c r="L1883" t="s">
        <v>7769</v>
      </c>
      <c r="M1883">
        <v>1456.17</v>
      </c>
      <c r="N1883">
        <v>8</v>
      </c>
      <c r="O1883">
        <v>0.31</v>
      </c>
      <c r="P1883">
        <v>-289.89999999999998</v>
      </c>
      <c r="Q1883" t="s">
        <v>9893</v>
      </c>
      <c r="R1883">
        <v>7</v>
      </c>
      <c r="S1883" s="5">
        <f t="shared" si="58"/>
        <v>-0.19908389817122998</v>
      </c>
      <c r="T1883">
        <v>182.02125000000001</v>
      </c>
      <c r="U1883">
        <v>2</v>
      </c>
      <c r="V1883">
        <v>2023</v>
      </c>
      <c r="W1883">
        <v>1</v>
      </c>
      <c r="X1883" t="s">
        <v>9898</v>
      </c>
      <c r="Y1883" t="s">
        <v>9902</v>
      </c>
      <c r="Z1883" t="s">
        <v>9898</v>
      </c>
      <c r="AD1883">
        <f t="shared" si="59"/>
        <v>7</v>
      </c>
    </row>
    <row r="1884" spans="1:30" x14ac:dyDescent="0.25">
      <c r="A1884" t="s">
        <v>1908</v>
      </c>
      <c r="B1884" s="2">
        <v>45397</v>
      </c>
      <c r="C1884" s="2">
        <v>45398</v>
      </c>
      <c r="D1884" t="s">
        <v>5251</v>
      </c>
      <c r="E1884" t="s">
        <v>5751</v>
      </c>
      <c r="F1884" t="s">
        <v>6026</v>
      </c>
      <c r="G1884" t="s">
        <v>6030</v>
      </c>
      <c r="H1884" t="s">
        <v>6039</v>
      </c>
      <c r="I1884" t="s">
        <v>6051</v>
      </c>
      <c r="J1884" t="s">
        <v>6053</v>
      </c>
      <c r="K1884" t="s">
        <v>6057</v>
      </c>
      <c r="L1884" t="s">
        <v>7770</v>
      </c>
      <c r="M1884">
        <v>635.79999999999995</v>
      </c>
      <c r="N1884">
        <v>3</v>
      </c>
      <c r="O1884">
        <v>0.28000000000000003</v>
      </c>
      <c r="P1884">
        <v>-57.46</v>
      </c>
      <c r="Q1884" t="s">
        <v>9897</v>
      </c>
      <c r="R1884">
        <v>1</v>
      </c>
      <c r="S1884" s="5">
        <f t="shared" si="58"/>
        <v>-9.0374331550802142E-2</v>
      </c>
      <c r="T1884">
        <v>211.93333333333331</v>
      </c>
      <c r="U1884">
        <v>4</v>
      </c>
      <c r="V1884">
        <v>2024</v>
      </c>
      <c r="W1884">
        <v>2</v>
      </c>
      <c r="X1884" t="s">
        <v>9898</v>
      </c>
      <c r="Y1884" t="s">
        <v>9900</v>
      </c>
      <c r="Z1884" t="s">
        <v>9899</v>
      </c>
      <c r="AD1884">
        <f t="shared" si="59"/>
        <v>1</v>
      </c>
    </row>
    <row r="1885" spans="1:30" x14ac:dyDescent="0.25">
      <c r="A1885" t="s">
        <v>1909</v>
      </c>
      <c r="B1885" s="2">
        <v>45140</v>
      </c>
      <c r="C1885" s="2">
        <v>45146</v>
      </c>
      <c r="D1885" t="s">
        <v>5112</v>
      </c>
      <c r="E1885" t="s">
        <v>5612</v>
      </c>
      <c r="F1885" t="s">
        <v>6028</v>
      </c>
      <c r="G1885" t="s">
        <v>6031</v>
      </c>
      <c r="H1885" t="s">
        <v>6037</v>
      </c>
      <c r="I1885" t="s">
        <v>6048</v>
      </c>
      <c r="J1885" t="s">
        <v>6054</v>
      </c>
      <c r="K1885" t="s">
        <v>6059</v>
      </c>
      <c r="L1885" t="s">
        <v>7771</v>
      </c>
      <c r="M1885">
        <v>1977.71</v>
      </c>
      <c r="N1885">
        <v>8</v>
      </c>
      <c r="O1885">
        <v>0.02</v>
      </c>
      <c r="P1885">
        <v>528.24</v>
      </c>
      <c r="Q1885" t="s">
        <v>9896</v>
      </c>
      <c r="R1885">
        <v>6</v>
      </c>
      <c r="S1885" s="5">
        <f t="shared" si="58"/>
        <v>0.26709679376652795</v>
      </c>
      <c r="T1885">
        <v>247.21375</v>
      </c>
      <c r="U1885">
        <v>8</v>
      </c>
      <c r="V1885">
        <v>2023</v>
      </c>
      <c r="W1885">
        <v>3</v>
      </c>
      <c r="X1885" t="s">
        <v>9899</v>
      </c>
      <c r="Y1885" t="s">
        <v>9901</v>
      </c>
      <c r="Z1885" t="s">
        <v>9898</v>
      </c>
      <c r="AD1885">
        <f t="shared" si="59"/>
        <v>6</v>
      </c>
    </row>
    <row r="1886" spans="1:30" x14ac:dyDescent="0.25">
      <c r="A1886" t="s">
        <v>1910</v>
      </c>
      <c r="B1886" s="2">
        <v>45448</v>
      </c>
      <c r="C1886" s="2">
        <v>45449</v>
      </c>
      <c r="D1886" t="s">
        <v>5157</v>
      </c>
      <c r="E1886" t="s">
        <v>5657</v>
      </c>
      <c r="F1886" t="s">
        <v>6026</v>
      </c>
      <c r="G1886" t="s">
        <v>6029</v>
      </c>
      <c r="H1886" t="s">
        <v>6041</v>
      </c>
      <c r="I1886" t="s">
        <v>6050</v>
      </c>
      <c r="J1886" t="s">
        <v>6055</v>
      </c>
      <c r="K1886" t="s">
        <v>6063</v>
      </c>
      <c r="L1886" t="s">
        <v>7772</v>
      </c>
      <c r="M1886">
        <v>1833.96</v>
      </c>
      <c r="N1886">
        <v>8</v>
      </c>
      <c r="O1886">
        <v>0.09</v>
      </c>
      <c r="P1886">
        <v>135.24</v>
      </c>
      <c r="Q1886" t="s">
        <v>9895</v>
      </c>
      <c r="R1886">
        <v>1</v>
      </c>
      <c r="S1886" s="5">
        <f t="shared" si="58"/>
        <v>7.3742066348230065E-2</v>
      </c>
      <c r="T1886">
        <v>229.245</v>
      </c>
      <c r="U1886">
        <v>6</v>
      </c>
      <c r="V1886">
        <v>2024</v>
      </c>
      <c r="W1886">
        <v>2</v>
      </c>
      <c r="X1886" t="s">
        <v>9899</v>
      </c>
      <c r="Y1886" t="s">
        <v>9901</v>
      </c>
      <c r="Z1886" t="s">
        <v>9898</v>
      </c>
      <c r="AD1886">
        <f t="shared" si="59"/>
        <v>1</v>
      </c>
    </row>
    <row r="1887" spans="1:30" x14ac:dyDescent="0.25">
      <c r="A1887" t="s">
        <v>1911</v>
      </c>
      <c r="B1887" s="2">
        <v>45021</v>
      </c>
      <c r="C1887" s="2">
        <v>45025</v>
      </c>
      <c r="D1887" t="s">
        <v>5423</v>
      </c>
      <c r="E1887" t="s">
        <v>5923</v>
      </c>
      <c r="F1887" t="s">
        <v>6027</v>
      </c>
      <c r="G1887" t="s">
        <v>6030</v>
      </c>
      <c r="H1887" t="s">
        <v>6033</v>
      </c>
      <c r="I1887" t="s">
        <v>6051</v>
      </c>
      <c r="J1887" t="s">
        <v>6053</v>
      </c>
      <c r="K1887" t="s">
        <v>6057</v>
      </c>
      <c r="L1887" t="s">
        <v>7773</v>
      </c>
      <c r="M1887">
        <v>1788.58</v>
      </c>
      <c r="N1887">
        <v>4</v>
      </c>
      <c r="O1887">
        <v>0.28999999999999998</v>
      </c>
      <c r="P1887">
        <v>-11.68</v>
      </c>
      <c r="Q1887" t="s">
        <v>9894</v>
      </c>
      <c r="R1887">
        <v>4</v>
      </c>
      <c r="S1887" s="5">
        <f t="shared" si="58"/>
        <v>-6.5303201422357406E-3</v>
      </c>
      <c r="T1887">
        <v>447.14499999999998</v>
      </c>
      <c r="U1887">
        <v>4</v>
      </c>
      <c r="V1887">
        <v>2023</v>
      </c>
      <c r="W1887">
        <v>2</v>
      </c>
      <c r="X1887" t="s">
        <v>9898</v>
      </c>
      <c r="Y1887" t="s">
        <v>9900</v>
      </c>
      <c r="Z1887" t="s">
        <v>9898</v>
      </c>
      <c r="AD1887">
        <f t="shared" si="59"/>
        <v>4</v>
      </c>
    </row>
    <row r="1888" spans="1:30" x14ac:dyDescent="0.25">
      <c r="A1888" t="s">
        <v>1912</v>
      </c>
      <c r="B1888" s="2">
        <v>44927</v>
      </c>
      <c r="C1888" s="2">
        <v>44934</v>
      </c>
      <c r="D1888" t="s">
        <v>5083</v>
      </c>
      <c r="E1888" t="s">
        <v>5583</v>
      </c>
      <c r="F1888" t="s">
        <v>6028</v>
      </c>
      <c r="G1888" t="s">
        <v>6030</v>
      </c>
      <c r="H1888" t="s">
        <v>6039</v>
      </c>
      <c r="I1888" t="s">
        <v>6051</v>
      </c>
      <c r="J1888" t="s">
        <v>6054</v>
      </c>
      <c r="K1888" t="s">
        <v>6059</v>
      </c>
      <c r="L1888" t="s">
        <v>7774</v>
      </c>
      <c r="M1888">
        <v>556.76</v>
      </c>
      <c r="N1888">
        <v>6</v>
      </c>
      <c r="O1888">
        <v>0.35</v>
      </c>
      <c r="P1888">
        <v>-86.62</v>
      </c>
      <c r="Q1888" t="s">
        <v>9894</v>
      </c>
      <c r="R1888">
        <v>7</v>
      </c>
      <c r="S1888" s="5">
        <f t="shared" si="58"/>
        <v>-0.15557870536676485</v>
      </c>
      <c r="T1888">
        <v>92.793333333333337</v>
      </c>
      <c r="U1888">
        <v>1</v>
      </c>
      <c r="V1888">
        <v>2023</v>
      </c>
      <c r="W1888">
        <v>1</v>
      </c>
      <c r="X1888" t="s">
        <v>9898</v>
      </c>
      <c r="Y1888" t="s">
        <v>9902</v>
      </c>
      <c r="Z1888" t="s">
        <v>9899</v>
      </c>
      <c r="AD1888">
        <f t="shared" si="59"/>
        <v>7</v>
      </c>
    </row>
    <row r="1889" spans="1:30" x14ac:dyDescent="0.25">
      <c r="A1889" t="s">
        <v>1913</v>
      </c>
      <c r="B1889" s="2">
        <v>45031</v>
      </c>
      <c r="C1889" s="2">
        <v>45032</v>
      </c>
      <c r="D1889" t="s">
        <v>5122</v>
      </c>
      <c r="E1889" t="s">
        <v>5622</v>
      </c>
      <c r="F1889" t="s">
        <v>6028</v>
      </c>
      <c r="G1889" t="s">
        <v>6030</v>
      </c>
      <c r="H1889" t="s">
        <v>6033</v>
      </c>
      <c r="I1889" t="s">
        <v>6047</v>
      </c>
      <c r="J1889" t="s">
        <v>6054</v>
      </c>
      <c r="K1889" t="s">
        <v>6062</v>
      </c>
      <c r="L1889" t="s">
        <v>7775</v>
      </c>
      <c r="M1889">
        <v>720.52</v>
      </c>
      <c r="N1889">
        <v>7</v>
      </c>
      <c r="O1889">
        <v>0.15</v>
      </c>
      <c r="P1889">
        <v>35.549999999999997</v>
      </c>
      <c r="Q1889" t="s">
        <v>9897</v>
      </c>
      <c r="R1889">
        <v>1</v>
      </c>
      <c r="S1889" s="5">
        <f t="shared" si="58"/>
        <v>4.9339366013434742E-2</v>
      </c>
      <c r="T1889">
        <v>102.9314285714286</v>
      </c>
      <c r="U1889">
        <v>4</v>
      </c>
      <c r="V1889">
        <v>2023</v>
      </c>
      <c r="W1889">
        <v>2</v>
      </c>
      <c r="X1889" t="s">
        <v>9899</v>
      </c>
      <c r="Y1889" t="s">
        <v>9901</v>
      </c>
      <c r="Z1889" t="s">
        <v>9899</v>
      </c>
      <c r="AD1889">
        <f t="shared" si="59"/>
        <v>1</v>
      </c>
    </row>
    <row r="1890" spans="1:30" x14ac:dyDescent="0.25">
      <c r="A1890" t="s">
        <v>1914</v>
      </c>
      <c r="B1890" s="2">
        <v>45070</v>
      </c>
      <c r="C1890" s="2">
        <v>45077</v>
      </c>
      <c r="D1890" t="s">
        <v>5327</v>
      </c>
      <c r="E1890" t="s">
        <v>5827</v>
      </c>
      <c r="F1890" t="s">
        <v>6028</v>
      </c>
      <c r="G1890" t="s">
        <v>6031</v>
      </c>
      <c r="H1890" t="s">
        <v>6040</v>
      </c>
      <c r="I1890" t="s">
        <v>6052</v>
      </c>
      <c r="J1890" t="s">
        <v>6054</v>
      </c>
      <c r="K1890" t="s">
        <v>6062</v>
      </c>
      <c r="L1890" t="s">
        <v>6890</v>
      </c>
      <c r="M1890">
        <v>1151.1199999999999</v>
      </c>
      <c r="N1890">
        <v>3</v>
      </c>
      <c r="O1890">
        <v>0.21</v>
      </c>
      <c r="P1890">
        <v>39.89</v>
      </c>
      <c r="Q1890" t="s">
        <v>9895</v>
      </c>
      <c r="R1890">
        <v>7</v>
      </c>
      <c r="S1890" s="5">
        <f t="shared" si="58"/>
        <v>3.4653207311140459E-2</v>
      </c>
      <c r="T1890">
        <v>383.70666666666659</v>
      </c>
      <c r="U1890">
        <v>5</v>
      </c>
      <c r="V1890">
        <v>2023</v>
      </c>
      <c r="W1890">
        <v>2</v>
      </c>
      <c r="X1890" t="s">
        <v>9899</v>
      </c>
      <c r="Y1890" t="s">
        <v>9900</v>
      </c>
      <c r="Z1890" t="s">
        <v>9898</v>
      </c>
      <c r="AD1890">
        <f t="shared" si="59"/>
        <v>7</v>
      </c>
    </row>
    <row r="1891" spans="1:30" x14ac:dyDescent="0.25">
      <c r="A1891" t="s">
        <v>1915</v>
      </c>
      <c r="B1891" s="2">
        <v>44836</v>
      </c>
      <c r="C1891" s="2">
        <v>44841</v>
      </c>
      <c r="D1891" t="s">
        <v>5222</v>
      </c>
      <c r="E1891" t="s">
        <v>5722</v>
      </c>
      <c r="F1891" t="s">
        <v>6027</v>
      </c>
      <c r="G1891" t="s">
        <v>6031</v>
      </c>
      <c r="H1891" t="s">
        <v>6040</v>
      </c>
      <c r="I1891" t="s">
        <v>6052</v>
      </c>
      <c r="J1891" t="s">
        <v>6053</v>
      </c>
      <c r="K1891" t="s">
        <v>6056</v>
      </c>
      <c r="L1891" t="s">
        <v>7776</v>
      </c>
      <c r="M1891">
        <v>1714.82</v>
      </c>
      <c r="N1891">
        <v>1</v>
      </c>
      <c r="O1891">
        <v>0.28000000000000003</v>
      </c>
      <c r="P1891">
        <v>-43.65</v>
      </c>
      <c r="Q1891" t="s">
        <v>9894</v>
      </c>
      <c r="R1891">
        <v>5</v>
      </c>
      <c r="S1891" s="5">
        <f t="shared" si="58"/>
        <v>-2.5454566660057614E-2</v>
      </c>
      <c r="T1891">
        <v>1714.82</v>
      </c>
      <c r="U1891">
        <v>10</v>
      </c>
      <c r="V1891">
        <v>2022</v>
      </c>
      <c r="W1891">
        <v>4</v>
      </c>
      <c r="X1891" t="s">
        <v>9898</v>
      </c>
      <c r="Y1891" t="s">
        <v>9900</v>
      </c>
      <c r="Z1891" t="s">
        <v>9898</v>
      </c>
      <c r="AD1891">
        <f t="shared" si="59"/>
        <v>5</v>
      </c>
    </row>
    <row r="1892" spans="1:30" x14ac:dyDescent="0.25">
      <c r="A1892" t="s">
        <v>1916</v>
      </c>
      <c r="B1892" s="2">
        <v>44716</v>
      </c>
      <c r="C1892" s="2">
        <v>44722</v>
      </c>
      <c r="D1892" t="s">
        <v>5337</v>
      </c>
      <c r="E1892" t="s">
        <v>5837</v>
      </c>
      <c r="F1892" t="s">
        <v>6026</v>
      </c>
      <c r="G1892" t="s">
        <v>6029</v>
      </c>
      <c r="H1892" t="s">
        <v>6044</v>
      </c>
      <c r="I1892" t="s">
        <v>6050</v>
      </c>
      <c r="J1892" t="s">
        <v>6055</v>
      </c>
      <c r="K1892" t="s">
        <v>6064</v>
      </c>
      <c r="L1892" t="s">
        <v>7777</v>
      </c>
      <c r="M1892">
        <v>1585.29</v>
      </c>
      <c r="N1892">
        <v>7</v>
      </c>
      <c r="O1892">
        <v>0.12</v>
      </c>
      <c r="P1892">
        <v>247.55</v>
      </c>
      <c r="Q1892" t="s">
        <v>9895</v>
      </c>
      <c r="R1892">
        <v>6</v>
      </c>
      <c r="S1892" s="5">
        <f t="shared" si="58"/>
        <v>0.15615439446410437</v>
      </c>
      <c r="T1892">
        <v>226.47</v>
      </c>
      <c r="U1892">
        <v>6</v>
      </c>
      <c r="V1892">
        <v>2022</v>
      </c>
      <c r="W1892">
        <v>2</v>
      </c>
      <c r="X1892" t="s">
        <v>9899</v>
      </c>
      <c r="Y1892" t="s">
        <v>9901</v>
      </c>
      <c r="Z1892" t="s">
        <v>9898</v>
      </c>
      <c r="AD1892">
        <f t="shared" si="59"/>
        <v>6</v>
      </c>
    </row>
    <row r="1893" spans="1:30" x14ac:dyDescent="0.25">
      <c r="A1893" t="s">
        <v>1917</v>
      </c>
      <c r="B1893" s="2">
        <v>44573</v>
      </c>
      <c r="C1893" s="2">
        <v>44575</v>
      </c>
      <c r="D1893" t="s">
        <v>5428</v>
      </c>
      <c r="E1893" t="s">
        <v>5928</v>
      </c>
      <c r="F1893" t="s">
        <v>6028</v>
      </c>
      <c r="G1893" t="s">
        <v>6031</v>
      </c>
      <c r="H1893" t="s">
        <v>6043</v>
      </c>
      <c r="I1893" t="s">
        <v>6048</v>
      </c>
      <c r="J1893" t="s">
        <v>6055</v>
      </c>
      <c r="K1893" t="s">
        <v>6063</v>
      </c>
      <c r="L1893" t="s">
        <v>7778</v>
      </c>
      <c r="M1893">
        <v>1025.8800000000001</v>
      </c>
      <c r="N1893">
        <v>7</v>
      </c>
      <c r="O1893">
        <v>0.14000000000000001</v>
      </c>
      <c r="P1893">
        <v>59.62</v>
      </c>
      <c r="Q1893" t="s">
        <v>9893</v>
      </c>
      <c r="R1893">
        <v>2</v>
      </c>
      <c r="S1893" s="5">
        <f t="shared" si="58"/>
        <v>5.8115958981557289E-2</v>
      </c>
      <c r="T1893">
        <v>146.5542857142857</v>
      </c>
      <c r="U1893">
        <v>1</v>
      </c>
      <c r="V1893">
        <v>2022</v>
      </c>
      <c r="W1893">
        <v>1</v>
      </c>
      <c r="X1893" t="s">
        <v>9899</v>
      </c>
      <c r="Y1893" t="s">
        <v>9901</v>
      </c>
      <c r="Z1893" t="s">
        <v>9898</v>
      </c>
      <c r="AD1893">
        <f t="shared" si="59"/>
        <v>2</v>
      </c>
    </row>
    <row r="1894" spans="1:30" x14ac:dyDescent="0.25">
      <c r="A1894" t="s">
        <v>1918</v>
      </c>
      <c r="B1894" s="2">
        <v>44741</v>
      </c>
      <c r="C1894" s="2">
        <v>44742</v>
      </c>
      <c r="D1894" t="s">
        <v>5198</v>
      </c>
      <c r="E1894" t="s">
        <v>5698</v>
      </c>
      <c r="F1894" t="s">
        <v>6027</v>
      </c>
      <c r="G1894" t="s">
        <v>6030</v>
      </c>
      <c r="H1894" t="s">
        <v>6038</v>
      </c>
      <c r="I1894" t="s">
        <v>6047</v>
      </c>
      <c r="J1894" t="s">
        <v>6055</v>
      </c>
      <c r="K1894" t="s">
        <v>6061</v>
      </c>
      <c r="L1894" t="s">
        <v>7779</v>
      </c>
      <c r="M1894">
        <v>1553.58</v>
      </c>
      <c r="N1894">
        <v>7</v>
      </c>
      <c r="O1894">
        <v>7.0000000000000007E-2</v>
      </c>
      <c r="P1894">
        <v>189.57</v>
      </c>
      <c r="Q1894" t="s">
        <v>9895</v>
      </c>
      <c r="R1894">
        <v>1</v>
      </c>
      <c r="S1894" s="5">
        <f t="shared" si="58"/>
        <v>0.12202139574402349</v>
      </c>
      <c r="T1894">
        <v>221.94</v>
      </c>
      <c r="U1894">
        <v>6</v>
      </c>
      <c r="V1894">
        <v>2022</v>
      </c>
      <c r="W1894">
        <v>2</v>
      </c>
      <c r="X1894" t="s">
        <v>9899</v>
      </c>
      <c r="Y1894" t="s">
        <v>9901</v>
      </c>
      <c r="Z1894" t="s">
        <v>9898</v>
      </c>
      <c r="AD1894">
        <f t="shared" si="59"/>
        <v>1</v>
      </c>
    </row>
    <row r="1895" spans="1:30" x14ac:dyDescent="0.25">
      <c r="A1895" t="s">
        <v>1919</v>
      </c>
      <c r="B1895" s="2">
        <v>45013</v>
      </c>
      <c r="C1895" s="2">
        <v>45019</v>
      </c>
      <c r="D1895" t="s">
        <v>5064</v>
      </c>
      <c r="E1895" t="s">
        <v>5564</v>
      </c>
      <c r="F1895" t="s">
        <v>6026</v>
      </c>
      <c r="G1895" t="s">
        <v>6031</v>
      </c>
      <c r="H1895" t="s">
        <v>6034</v>
      </c>
      <c r="I1895" t="s">
        <v>6048</v>
      </c>
      <c r="J1895" t="s">
        <v>6055</v>
      </c>
      <c r="K1895" t="s">
        <v>6064</v>
      </c>
      <c r="L1895" t="s">
        <v>7780</v>
      </c>
      <c r="M1895">
        <v>420.45</v>
      </c>
      <c r="N1895">
        <v>4</v>
      </c>
      <c r="O1895">
        <v>0.34</v>
      </c>
      <c r="P1895">
        <v>-42.99</v>
      </c>
      <c r="Q1895" t="s">
        <v>9896</v>
      </c>
      <c r="R1895">
        <v>6</v>
      </c>
      <c r="S1895" s="5">
        <f t="shared" si="58"/>
        <v>-0.10224759186585802</v>
      </c>
      <c r="T1895">
        <v>105.1125</v>
      </c>
      <c r="U1895">
        <v>3</v>
      </c>
      <c r="V1895">
        <v>2023</v>
      </c>
      <c r="W1895">
        <v>1</v>
      </c>
      <c r="X1895" t="s">
        <v>9898</v>
      </c>
      <c r="Y1895" t="s">
        <v>9902</v>
      </c>
      <c r="Z1895" t="s">
        <v>9899</v>
      </c>
      <c r="AD1895">
        <f t="shared" si="59"/>
        <v>6</v>
      </c>
    </row>
    <row r="1896" spans="1:30" x14ac:dyDescent="0.25">
      <c r="A1896" t="s">
        <v>1920</v>
      </c>
      <c r="B1896" s="2">
        <v>44613</v>
      </c>
      <c r="C1896" s="2">
        <v>44617</v>
      </c>
      <c r="D1896" t="s">
        <v>5513</v>
      </c>
      <c r="E1896" t="s">
        <v>6013</v>
      </c>
      <c r="F1896" t="s">
        <v>6028</v>
      </c>
      <c r="G1896" t="s">
        <v>6031</v>
      </c>
      <c r="H1896" t="s">
        <v>6043</v>
      </c>
      <c r="I1896" t="s">
        <v>6050</v>
      </c>
      <c r="J1896" t="s">
        <v>6054</v>
      </c>
      <c r="K1896" t="s">
        <v>6059</v>
      </c>
      <c r="L1896" t="s">
        <v>7781</v>
      </c>
      <c r="M1896">
        <v>1664.23</v>
      </c>
      <c r="N1896">
        <v>1</v>
      </c>
      <c r="O1896">
        <v>0.1</v>
      </c>
      <c r="P1896">
        <v>100.56</v>
      </c>
      <c r="Q1896" t="s">
        <v>9894</v>
      </c>
      <c r="R1896">
        <v>4</v>
      </c>
      <c r="S1896" s="5">
        <f t="shared" si="58"/>
        <v>6.0424340385643809E-2</v>
      </c>
      <c r="T1896">
        <v>1664.23</v>
      </c>
      <c r="U1896">
        <v>2</v>
      </c>
      <c r="V1896">
        <v>2022</v>
      </c>
      <c r="W1896">
        <v>1</v>
      </c>
      <c r="X1896" t="s">
        <v>9899</v>
      </c>
      <c r="Y1896" t="s">
        <v>9901</v>
      </c>
      <c r="Z1896" t="s">
        <v>9898</v>
      </c>
      <c r="AD1896">
        <f t="shared" si="59"/>
        <v>4</v>
      </c>
    </row>
    <row r="1897" spans="1:30" x14ac:dyDescent="0.25">
      <c r="A1897" t="s">
        <v>1921</v>
      </c>
      <c r="B1897" s="2">
        <v>44991</v>
      </c>
      <c r="C1897" s="2">
        <v>44997</v>
      </c>
      <c r="D1897" t="s">
        <v>5332</v>
      </c>
      <c r="E1897" t="s">
        <v>5832</v>
      </c>
      <c r="F1897" t="s">
        <v>6027</v>
      </c>
      <c r="G1897" t="s">
        <v>6031</v>
      </c>
      <c r="H1897" t="s">
        <v>6034</v>
      </c>
      <c r="I1897" t="s">
        <v>6048</v>
      </c>
      <c r="J1897" t="s">
        <v>6055</v>
      </c>
      <c r="K1897" t="s">
        <v>6063</v>
      </c>
      <c r="L1897" t="s">
        <v>7702</v>
      </c>
      <c r="M1897">
        <v>1204.44</v>
      </c>
      <c r="N1897">
        <v>4</v>
      </c>
      <c r="O1897">
        <v>0.24</v>
      </c>
      <c r="P1897">
        <v>-88.69</v>
      </c>
      <c r="Q1897" t="s">
        <v>9897</v>
      </c>
      <c r="R1897">
        <v>6</v>
      </c>
      <c r="S1897" s="5">
        <f t="shared" si="58"/>
        <v>-7.3635880575205065E-2</v>
      </c>
      <c r="T1897">
        <v>301.11</v>
      </c>
      <c r="U1897">
        <v>3</v>
      </c>
      <c r="V1897">
        <v>2023</v>
      </c>
      <c r="W1897">
        <v>1</v>
      </c>
      <c r="X1897" t="s">
        <v>9898</v>
      </c>
      <c r="Y1897" t="s">
        <v>9900</v>
      </c>
      <c r="Z1897" t="s">
        <v>9898</v>
      </c>
      <c r="AD1897">
        <f t="shared" si="59"/>
        <v>6</v>
      </c>
    </row>
    <row r="1898" spans="1:30" x14ac:dyDescent="0.25">
      <c r="A1898" t="s">
        <v>1922</v>
      </c>
      <c r="B1898" s="2">
        <v>45286</v>
      </c>
      <c r="C1898" s="2">
        <v>45292</v>
      </c>
      <c r="D1898" t="s">
        <v>5497</v>
      </c>
      <c r="E1898" t="s">
        <v>5997</v>
      </c>
      <c r="F1898" t="s">
        <v>6026</v>
      </c>
      <c r="G1898" t="s">
        <v>6029</v>
      </c>
      <c r="H1898" t="s">
        <v>6036</v>
      </c>
      <c r="I1898" t="s">
        <v>6050</v>
      </c>
      <c r="J1898" t="s">
        <v>6054</v>
      </c>
      <c r="K1898" t="s">
        <v>6062</v>
      </c>
      <c r="L1898" t="s">
        <v>7782</v>
      </c>
      <c r="M1898">
        <v>1520.22</v>
      </c>
      <c r="N1898">
        <v>7</v>
      </c>
      <c r="O1898">
        <v>0.11</v>
      </c>
      <c r="P1898">
        <v>24.54</v>
      </c>
      <c r="Q1898" t="s">
        <v>9894</v>
      </c>
      <c r="R1898">
        <v>6</v>
      </c>
      <c r="S1898" s="5">
        <f t="shared" si="58"/>
        <v>1.6142400442041283E-2</v>
      </c>
      <c r="T1898">
        <v>217.1742857142857</v>
      </c>
      <c r="U1898">
        <v>12</v>
      </c>
      <c r="V1898">
        <v>2023</v>
      </c>
      <c r="W1898">
        <v>4</v>
      </c>
      <c r="X1898" t="s">
        <v>9899</v>
      </c>
      <c r="Y1898" t="s">
        <v>9901</v>
      </c>
      <c r="Z1898" t="s">
        <v>9898</v>
      </c>
      <c r="AD1898">
        <f t="shared" si="59"/>
        <v>6</v>
      </c>
    </row>
    <row r="1899" spans="1:30" x14ac:dyDescent="0.25">
      <c r="A1899" t="s">
        <v>1923</v>
      </c>
      <c r="B1899" s="2">
        <v>45308</v>
      </c>
      <c r="C1899" s="2">
        <v>45309</v>
      </c>
      <c r="D1899" t="s">
        <v>5118</v>
      </c>
      <c r="E1899" t="s">
        <v>5618</v>
      </c>
      <c r="F1899" t="s">
        <v>6028</v>
      </c>
      <c r="G1899" t="s">
        <v>6031</v>
      </c>
      <c r="H1899" t="s">
        <v>6037</v>
      </c>
      <c r="I1899" t="s">
        <v>6052</v>
      </c>
      <c r="J1899" t="s">
        <v>6053</v>
      </c>
      <c r="K1899" t="s">
        <v>6058</v>
      </c>
      <c r="L1899" t="s">
        <v>6521</v>
      </c>
      <c r="M1899">
        <v>1650.06</v>
      </c>
      <c r="N1899">
        <v>5</v>
      </c>
      <c r="O1899">
        <v>0.04</v>
      </c>
      <c r="P1899">
        <v>239.46</v>
      </c>
      <c r="Q1899" t="s">
        <v>9896</v>
      </c>
      <c r="R1899">
        <v>1</v>
      </c>
      <c r="S1899" s="5">
        <f t="shared" si="58"/>
        <v>0.14512199556379768</v>
      </c>
      <c r="T1899">
        <v>330.012</v>
      </c>
      <c r="U1899">
        <v>1</v>
      </c>
      <c r="V1899">
        <v>2024</v>
      </c>
      <c r="W1899">
        <v>1</v>
      </c>
      <c r="X1899" t="s">
        <v>9899</v>
      </c>
      <c r="Y1899" t="s">
        <v>9901</v>
      </c>
      <c r="Z1899" t="s">
        <v>9898</v>
      </c>
      <c r="AD1899">
        <f t="shared" si="59"/>
        <v>1</v>
      </c>
    </row>
    <row r="1900" spans="1:30" x14ac:dyDescent="0.25">
      <c r="A1900" t="s">
        <v>1924</v>
      </c>
      <c r="B1900" s="2">
        <v>44898</v>
      </c>
      <c r="C1900" s="2">
        <v>44900</v>
      </c>
      <c r="D1900" t="s">
        <v>5364</v>
      </c>
      <c r="E1900" t="s">
        <v>5864</v>
      </c>
      <c r="F1900" t="s">
        <v>6027</v>
      </c>
      <c r="G1900" t="s">
        <v>6031</v>
      </c>
      <c r="H1900" t="s">
        <v>6037</v>
      </c>
      <c r="I1900" t="s">
        <v>6052</v>
      </c>
      <c r="J1900" t="s">
        <v>6055</v>
      </c>
      <c r="K1900" t="s">
        <v>6064</v>
      </c>
      <c r="L1900" t="s">
        <v>7783</v>
      </c>
      <c r="M1900">
        <v>1571.5</v>
      </c>
      <c r="N1900">
        <v>5</v>
      </c>
      <c r="O1900">
        <v>0.3</v>
      </c>
      <c r="P1900">
        <v>-122.79</v>
      </c>
      <c r="Q1900" t="s">
        <v>9897</v>
      </c>
      <c r="R1900">
        <v>2</v>
      </c>
      <c r="S1900" s="5">
        <f t="shared" si="58"/>
        <v>-7.8135539293668468E-2</v>
      </c>
      <c r="T1900">
        <v>314.3</v>
      </c>
      <c r="U1900">
        <v>12</v>
      </c>
      <c r="V1900">
        <v>2022</v>
      </c>
      <c r="W1900">
        <v>4</v>
      </c>
      <c r="X1900" t="s">
        <v>9898</v>
      </c>
      <c r="Y1900" t="s">
        <v>9900</v>
      </c>
      <c r="Z1900" t="s">
        <v>9898</v>
      </c>
      <c r="AD1900">
        <f t="shared" si="59"/>
        <v>2</v>
      </c>
    </row>
    <row r="1901" spans="1:30" x14ac:dyDescent="0.25">
      <c r="A1901" t="s">
        <v>1925</v>
      </c>
      <c r="B1901" s="2">
        <v>44783</v>
      </c>
      <c r="C1901" s="2">
        <v>44785</v>
      </c>
      <c r="D1901" t="s">
        <v>5372</v>
      </c>
      <c r="E1901" t="s">
        <v>5872</v>
      </c>
      <c r="F1901" t="s">
        <v>6027</v>
      </c>
      <c r="G1901" t="s">
        <v>6031</v>
      </c>
      <c r="H1901" t="s">
        <v>6043</v>
      </c>
      <c r="I1901" t="s">
        <v>6050</v>
      </c>
      <c r="J1901" t="s">
        <v>6054</v>
      </c>
      <c r="K1901" t="s">
        <v>6060</v>
      </c>
      <c r="L1901" t="s">
        <v>6463</v>
      </c>
      <c r="M1901">
        <v>406.22</v>
      </c>
      <c r="N1901">
        <v>2</v>
      </c>
      <c r="O1901">
        <v>0.19</v>
      </c>
      <c r="P1901">
        <v>-34.36</v>
      </c>
      <c r="Q1901" t="s">
        <v>9897</v>
      </c>
      <c r="R1901">
        <v>2</v>
      </c>
      <c r="S1901" s="5">
        <f t="shared" si="58"/>
        <v>-8.4584707793806307E-2</v>
      </c>
      <c r="T1901">
        <v>203.11</v>
      </c>
      <c r="U1901">
        <v>8</v>
      </c>
      <c r="V1901">
        <v>2022</v>
      </c>
      <c r="W1901">
        <v>3</v>
      </c>
      <c r="X1901" t="s">
        <v>9898</v>
      </c>
      <c r="Y1901" t="s">
        <v>9900</v>
      </c>
      <c r="Z1901" t="s">
        <v>9899</v>
      </c>
      <c r="AD1901">
        <f t="shared" si="59"/>
        <v>2</v>
      </c>
    </row>
    <row r="1902" spans="1:30" x14ac:dyDescent="0.25">
      <c r="A1902" t="s">
        <v>1926</v>
      </c>
      <c r="B1902" s="2">
        <v>45132</v>
      </c>
      <c r="C1902" s="2">
        <v>45139</v>
      </c>
      <c r="D1902" t="s">
        <v>5364</v>
      </c>
      <c r="E1902" t="s">
        <v>5864</v>
      </c>
      <c r="F1902" t="s">
        <v>6028</v>
      </c>
      <c r="G1902" t="s">
        <v>6029</v>
      </c>
      <c r="H1902" t="s">
        <v>6044</v>
      </c>
      <c r="I1902" t="s">
        <v>6049</v>
      </c>
      <c r="J1902" t="s">
        <v>6053</v>
      </c>
      <c r="K1902" t="s">
        <v>6058</v>
      </c>
      <c r="L1902" t="s">
        <v>7784</v>
      </c>
      <c r="M1902">
        <v>1810.3</v>
      </c>
      <c r="N1902">
        <v>8</v>
      </c>
      <c r="O1902">
        <v>0.12</v>
      </c>
      <c r="P1902">
        <v>83.9</v>
      </c>
      <c r="Q1902" t="s">
        <v>9897</v>
      </c>
      <c r="R1902">
        <v>7</v>
      </c>
      <c r="S1902" s="5">
        <f t="shared" si="58"/>
        <v>4.6345909517759493E-2</v>
      </c>
      <c r="T1902">
        <v>226.28749999999999</v>
      </c>
      <c r="U1902">
        <v>7</v>
      </c>
      <c r="V1902">
        <v>2023</v>
      </c>
      <c r="W1902">
        <v>3</v>
      </c>
      <c r="X1902" t="s">
        <v>9899</v>
      </c>
      <c r="Y1902" t="s">
        <v>9901</v>
      </c>
      <c r="Z1902" t="s">
        <v>9898</v>
      </c>
      <c r="AD1902">
        <f t="shared" si="59"/>
        <v>7</v>
      </c>
    </row>
    <row r="1903" spans="1:30" x14ac:dyDescent="0.25">
      <c r="A1903" t="s">
        <v>1927</v>
      </c>
      <c r="B1903" s="2">
        <v>44965</v>
      </c>
      <c r="C1903" s="2">
        <v>44972</v>
      </c>
      <c r="D1903" t="s">
        <v>5457</v>
      </c>
      <c r="E1903" t="s">
        <v>5957</v>
      </c>
      <c r="F1903" t="s">
        <v>6026</v>
      </c>
      <c r="G1903" t="s">
        <v>6030</v>
      </c>
      <c r="H1903" t="s">
        <v>6033</v>
      </c>
      <c r="I1903" t="s">
        <v>6051</v>
      </c>
      <c r="J1903" t="s">
        <v>6053</v>
      </c>
      <c r="K1903" t="s">
        <v>6056</v>
      </c>
      <c r="L1903" t="s">
        <v>7785</v>
      </c>
      <c r="M1903">
        <v>1621.17</v>
      </c>
      <c r="N1903">
        <v>6</v>
      </c>
      <c r="O1903">
        <v>0.28000000000000003</v>
      </c>
      <c r="P1903">
        <v>-174.84</v>
      </c>
      <c r="Q1903" t="s">
        <v>9895</v>
      </c>
      <c r="R1903">
        <v>7</v>
      </c>
      <c r="S1903" s="5">
        <f t="shared" si="58"/>
        <v>-0.1078480356779363</v>
      </c>
      <c r="T1903">
        <v>270.19499999999999</v>
      </c>
      <c r="U1903">
        <v>2</v>
      </c>
      <c r="V1903">
        <v>2023</v>
      </c>
      <c r="W1903">
        <v>1</v>
      </c>
      <c r="X1903" t="s">
        <v>9898</v>
      </c>
      <c r="Y1903" t="s">
        <v>9900</v>
      </c>
      <c r="Z1903" t="s">
        <v>9898</v>
      </c>
      <c r="AD1903">
        <f t="shared" si="59"/>
        <v>7</v>
      </c>
    </row>
    <row r="1904" spans="1:30" x14ac:dyDescent="0.25">
      <c r="A1904" t="s">
        <v>1928</v>
      </c>
      <c r="B1904" s="2">
        <v>44878</v>
      </c>
      <c r="C1904" s="2">
        <v>44884</v>
      </c>
      <c r="D1904" t="s">
        <v>5377</v>
      </c>
      <c r="E1904" t="s">
        <v>5877</v>
      </c>
      <c r="F1904" t="s">
        <v>6026</v>
      </c>
      <c r="G1904" t="s">
        <v>6030</v>
      </c>
      <c r="H1904" t="s">
        <v>6035</v>
      </c>
      <c r="I1904" t="s">
        <v>6051</v>
      </c>
      <c r="J1904" t="s">
        <v>6055</v>
      </c>
      <c r="K1904" t="s">
        <v>6061</v>
      </c>
      <c r="L1904" t="s">
        <v>7786</v>
      </c>
      <c r="M1904">
        <v>183.78</v>
      </c>
      <c r="N1904">
        <v>4</v>
      </c>
      <c r="O1904">
        <v>0.27</v>
      </c>
      <c r="P1904">
        <v>-4.8499999999999996</v>
      </c>
      <c r="Q1904" t="s">
        <v>9897</v>
      </c>
      <c r="R1904">
        <v>6</v>
      </c>
      <c r="S1904" s="5">
        <f t="shared" si="58"/>
        <v>-2.6390249211013166E-2</v>
      </c>
      <c r="T1904">
        <v>45.945</v>
      </c>
      <c r="U1904">
        <v>11</v>
      </c>
      <c r="V1904">
        <v>2022</v>
      </c>
      <c r="W1904">
        <v>4</v>
      </c>
      <c r="X1904" t="s">
        <v>9898</v>
      </c>
      <c r="Y1904" t="s">
        <v>9900</v>
      </c>
      <c r="Z1904" t="s">
        <v>9899</v>
      </c>
      <c r="AD1904">
        <f t="shared" si="59"/>
        <v>6</v>
      </c>
    </row>
    <row r="1905" spans="1:30" x14ac:dyDescent="0.25">
      <c r="A1905" t="s">
        <v>1929</v>
      </c>
      <c r="B1905" s="2">
        <v>44955</v>
      </c>
      <c r="C1905" s="2">
        <v>44957</v>
      </c>
      <c r="D1905" t="s">
        <v>5157</v>
      </c>
      <c r="E1905" t="s">
        <v>5657</v>
      </c>
      <c r="F1905" t="s">
        <v>6026</v>
      </c>
      <c r="G1905" t="s">
        <v>6031</v>
      </c>
      <c r="H1905" t="s">
        <v>6043</v>
      </c>
      <c r="I1905" t="s">
        <v>6048</v>
      </c>
      <c r="J1905" t="s">
        <v>6054</v>
      </c>
      <c r="K1905" t="s">
        <v>6062</v>
      </c>
      <c r="L1905" t="s">
        <v>7787</v>
      </c>
      <c r="M1905">
        <v>694.73</v>
      </c>
      <c r="N1905">
        <v>6</v>
      </c>
      <c r="O1905">
        <v>0.19</v>
      </c>
      <c r="P1905">
        <v>68.08</v>
      </c>
      <c r="Q1905" t="s">
        <v>9896</v>
      </c>
      <c r="R1905">
        <v>2</v>
      </c>
      <c r="S1905" s="5">
        <f t="shared" si="58"/>
        <v>9.799490449527154E-2</v>
      </c>
      <c r="T1905">
        <v>115.7883333333333</v>
      </c>
      <c r="U1905">
        <v>1</v>
      </c>
      <c r="V1905">
        <v>2023</v>
      </c>
      <c r="W1905">
        <v>1</v>
      </c>
      <c r="X1905" t="s">
        <v>9899</v>
      </c>
      <c r="Y1905" t="s">
        <v>9900</v>
      </c>
      <c r="Z1905" t="s">
        <v>9899</v>
      </c>
      <c r="AD1905">
        <f t="shared" si="59"/>
        <v>2</v>
      </c>
    </row>
    <row r="1906" spans="1:30" x14ac:dyDescent="0.25">
      <c r="A1906" t="s">
        <v>1930</v>
      </c>
      <c r="B1906" s="2">
        <v>45436</v>
      </c>
      <c r="C1906" s="2">
        <v>45437</v>
      </c>
      <c r="D1906" t="s">
        <v>5520</v>
      </c>
      <c r="E1906" t="s">
        <v>6020</v>
      </c>
      <c r="F1906" t="s">
        <v>6028</v>
      </c>
      <c r="G1906" t="s">
        <v>6031</v>
      </c>
      <c r="H1906" t="s">
        <v>6040</v>
      </c>
      <c r="I1906" t="s">
        <v>6052</v>
      </c>
      <c r="J1906" t="s">
        <v>6053</v>
      </c>
      <c r="K1906" t="s">
        <v>6057</v>
      </c>
      <c r="L1906" t="s">
        <v>7788</v>
      </c>
      <c r="M1906">
        <v>1632.62</v>
      </c>
      <c r="N1906">
        <v>2</v>
      </c>
      <c r="O1906">
        <v>0.12</v>
      </c>
      <c r="P1906">
        <v>235.79</v>
      </c>
      <c r="Q1906" t="s">
        <v>9897</v>
      </c>
      <c r="R1906">
        <v>1</v>
      </c>
      <c r="S1906" s="5">
        <f t="shared" si="58"/>
        <v>0.14442429959206673</v>
      </c>
      <c r="T1906">
        <v>816.31</v>
      </c>
      <c r="U1906">
        <v>5</v>
      </c>
      <c r="V1906">
        <v>2024</v>
      </c>
      <c r="W1906">
        <v>2</v>
      </c>
      <c r="X1906" t="s">
        <v>9899</v>
      </c>
      <c r="Y1906" t="s">
        <v>9901</v>
      </c>
      <c r="Z1906" t="s">
        <v>9898</v>
      </c>
      <c r="AD1906">
        <f t="shared" si="59"/>
        <v>1</v>
      </c>
    </row>
    <row r="1907" spans="1:30" x14ac:dyDescent="0.25">
      <c r="A1907" t="s">
        <v>1931</v>
      </c>
      <c r="B1907" s="2">
        <v>45046</v>
      </c>
      <c r="C1907" s="2">
        <v>45051</v>
      </c>
      <c r="D1907" t="s">
        <v>5300</v>
      </c>
      <c r="E1907" t="s">
        <v>5800</v>
      </c>
      <c r="F1907" t="s">
        <v>6027</v>
      </c>
      <c r="G1907" t="s">
        <v>6031</v>
      </c>
      <c r="H1907" t="s">
        <v>6043</v>
      </c>
      <c r="I1907" t="s">
        <v>6052</v>
      </c>
      <c r="J1907" t="s">
        <v>6055</v>
      </c>
      <c r="K1907" t="s">
        <v>6063</v>
      </c>
      <c r="L1907" t="s">
        <v>7789</v>
      </c>
      <c r="M1907">
        <v>1778.64</v>
      </c>
      <c r="N1907">
        <v>8</v>
      </c>
      <c r="O1907">
        <v>0.05</v>
      </c>
      <c r="P1907">
        <v>401.17</v>
      </c>
      <c r="Q1907" t="s">
        <v>9894</v>
      </c>
      <c r="R1907">
        <v>5</v>
      </c>
      <c r="S1907" s="5">
        <f t="shared" si="58"/>
        <v>0.22554873386407592</v>
      </c>
      <c r="T1907">
        <v>222.33</v>
      </c>
      <c r="U1907">
        <v>4</v>
      </c>
      <c r="V1907">
        <v>2023</v>
      </c>
      <c r="W1907">
        <v>2</v>
      </c>
      <c r="X1907" t="s">
        <v>9899</v>
      </c>
      <c r="Y1907" t="s">
        <v>9901</v>
      </c>
      <c r="Z1907" t="s">
        <v>9898</v>
      </c>
      <c r="AD1907">
        <f t="shared" si="59"/>
        <v>5</v>
      </c>
    </row>
    <row r="1908" spans="1:30" x14ac:dyDescent="0.25">
      <c r="A1908" t="s">
        <v>1932</v>
      </c>
      <c r="B1908" s="2">
        <v>44823</v>
      </c>
      <c r="C1908" s="2">
        <v>44824</v>
      </c>
      <c r="D1908" t="s">
        <v>5471</v>
      </c>
      <c r="E1908" t="s">
        <v>5971</v>
      </c>
      <c r="F1908" t="s">
        <v>6027</v>
      </c>
      <c r="G1908" t="s">
        <v>6030</v>
      </c>
      <c r="H1908" t="s">
        <v>6038</v>
      </c>
      <c r="I1908" t="s">
        <v>6051</v>
      </c>
      <c r="J1908" t="s">
        <v>6053</v>
      </c>
      <c r="K1908" t="s">
        <v>6058</v>
      </c>
      <c r="L1908" t="s">
        <v>7790</v>
      </c>
      <c r="M1908">
        <v>1128.18</v>
      </c>
      <c r="N1908">
        <v>6</v>
      </c>
      <c r="O1908">
        <v>0.21</v>
      </c>
      <c r="P1908">
        <v>-68.900000000000006</v>
      </c>
      <c r="Q1908" t="s">
        <v>9896</v>
      </c>
      <c r="R1908">
        <v>1</v>
      </c>
      <c r="S1908" s="5">
        <f t="shared" si="58"/>
        <v>-6.1071814781329219E-2</v>
      </c>
      <c r="T1908">
        <v>188.03</v>
      </c>
      <c r="U1908">
        <v>9</v>
      </c>
      <c r="V1908">
        <v>2022</v>
      </c>
      <c r="W1908">
        <v>3</v>
      </c>
      <c r="X1908" t="s">
        <v>9898</v>
      </c>
      <c r="Y1908" t="s">
        <v>9900</v>
      </c>
      <c r="Z1908" t="s">
        <v>9898</v>
      </c>
      <c r="AD1908">
        <f t="shared" si="59"/>
        <v>1</v>
      </c>
    </row>
    <row r="1909" spans="1:30" x14ac:dyDescent="0.25">
      <c r="A1909" t="s">
        <v>1933</v>
      </c>
      <c r="B1909" s="2">
        <v>45397</v>
      </c>
      <c r="C1909" s="2">
        <v>45404</v>
      </c>
      <c r="D1909" t="s">
        <v>5219</v>
      </c>
      <c r="E1909" t="s">
        <v>5719</v>
      </c>
      <c r="F1909" t="s">
        <v>6028</v>
      </c>
      <c r="G1909" t="s">
        <v>6031</v>
      </c>
      <c r="H1909" t="s">
        <v>6042</v>
      </c>
      <c r="I1909" t="s">
        <v>6052</v>
      </c>
      <c r="J1909" t="s">
        <v>6053</v>
      </c>
      <c r="K1909" t="s">
        <v>6056</v>
      </c>
      <c r="L1909" t="s">
        <v>7791</v>
      </c>
      <c r="M1909">
        <v>1853.15</v>
      </c>
      <c r="N1909">
        <v>8</v>
      </c>
      <c r="O1909">
        <v>0.02</v>
      </c>
      <c r="P1909">
        <v>473.84</v>
      </c>
      <c r="Q1909" t="s">
        <v>9897</v>
      </c>
      <c r="R1909">
        <v>7</v>
      </c>
      <c r="S1909" s="5">
        <f t="shared" si="58"/>
        <v>0.25569435825486331</v>
      </c>
      <c r="T1909">
        <v>231.64375000000001</v>
      </c>
      <c r="U1909">
        <v>4</v>
      </c>
      <c r="V1909">
        <v>2024</v>
      </c>
      <c r="W1909">
        <v>2</v>
      </c>
      <c r="X1909" t="s">
        <v>9899</v>
      </c>
      <c r="Y1909" t="s">
        <v>9901</v>
      </c>
      <c r="Z1909" t="s">
        <v>9898</v>
      </c>
      <c r="AD1909">
        <f t="shared" si="59"/>
        <v>7</v>
      </c>
    </row>
    <row r="1910" spans="1:30" x14ac:dyDescent="0.25">
      <c r="A1910" t="s">
        <v>1934</v>
      </c>
      <c r="B1910" s="2">
        <v>45422</v>
      </c>
      <c r="C1910" s="2">
        <v>45426</v>
      </c>
      <c r="D1910" t="s">
        <v>5178</v>
      </c>
      <c r="E1910" t="s">
        <v>5678</v>
      </c>
      <c r="F1910" t="s">
        <v>6028</v>
      </c>
      <c r="G1910" t="s">
        <v>6031</v>
      </c>
      <c r="H1910" t="s">
        <v>6042</v>
      </c>
      <c r="I1910" t="s">
        <v>6048</v>
      </c>
      <c r="J1910" t="s">
        <v>6054</v>
      </c>
      <c r="K1910" t="s">
        <v>6060</v>
      </c>
      <c r="L1910" t="s">
        <v>7792</v>
      </c>
      <c r="M1910">
        <v>828.49</v>
      </c>
      <c r="N1910">
        <v>5</v>
      </c>
      <c r="O1910">
        <v>0.03</v>
      </c>
      <c r="P1910">
        <v>71.739999999999995</v>
      </c>
      <c r="Q1910" t="s">
        <v>9894</v>
      </c>
      <c r="R1910">
        <v>4</v>
      </c>
      <c r="S1910" s="5">
        <f t="shared" si="58"/>
        <v>8.6591268452244435E-2</v>
      </c>
      <c r="T1910">
        <v>165.69800000000001</v>
      </c>
      <c r="U1910">
        <v>5</v>
      </c>
      <c r="V1910">
        <v>2024</v>
      </c>
      <c r="W1910">
        <v>2</v>
      </c>
      <c r="X1910" t="s">
        <v>9899</v>
      </c>
      <c r="Y1910" t="s">
        <v>9901</v>
      </c>
      <c r="Z1910" t="s">
        <v>9899</v>
      </c>
      <c r="AD1910">
        <f t="shared" si="59"/>
        <v>4</v>
      </c>
    </row>
    <row r="1911" spans="1:30" x14ac:dyDescent="0.25">
      <c r="A1911" t="s">
        <v>1935</v>
      </c>
      <c r="B1911" s="2">
        <v>45195</v>
      </c>
      <c r="C1911" s="2">
        <v>45201</v>
      </c>
      <c r="D1911" t="s">
        <v>5028</v>
      </c>
      <c r="E1911" t="s">
        <v>5528</v>
      </c>
      <c r="F1911" t="s">
        <v>6028</v>
      </c>
      <c r="G1911" t="s">
        <v>6029</v>
      </c>
      <c r="H1911" t="s">
        <v>6045</v>
      </c>
      <c r="I1911" t="s">
        <v>6049</v>
      </c>
      <c r="J1911" t="s">
        <v>6054</v>
      </c>
      <c r="K1911" t="s">
        <v>6060</v>
      </c>
      <c r="L1911" t="s">
        <v>6426</v>
      </c>
      <c r="M1911">
        <v>1234.24</v>
      </c>
      <c r="N1911">
        <v>2</v>
      </c>
      <c r="O1911">
        <v>0.1</v>
      </c>
      <c r="P1911">
        <v>241</v>
      </c>
      <c r="Q1911" t="s">
        <v>9894</v>
      </c>
      <c r="R1911">
        <v>6</v>
      </c>
      <c r="S1911" s="5">
        <f t="shared" si="58"/>
        <v>0.1952618615504278</v>
      </c>
      <c r="T1911">
        <v>617.12</v>
      </c>
      <c r="U1911">
        <v>9</v>
      </c>
      <c r="V1911">
        <v>2023</v>
      </c>
      <c r="W1911">
        <v>3</v>
      </c>
      <c r="X1911" t="s">
        <v>9899</v>
      </c>
      <c r="Y1911" t="s">
        <v>9901</v>
      </c>
      <c r="Z1911" t="s">
        <v>9898</v>
      </c>
      <c r="AD1911">
        <f t="shared" si="59"/>
        <v>6</v>
      </c>
    </row>
    <row r="1912" spans="1:30" x14ac:dyDescent="0.25">
      <c r="A1912" t="s">
        <v>1936</v>
      </c>
      <c r="B1912" s="2">
        <v>45045</v>
      </c>
      <c r="C1912" s="2">
        <v>45051</v>
      </c>
      <c r="D1912" t="s">
        <v>5402</v>
      </c>
      <c r="E1912" t="s">
        <v>5902</v>
      </c>
      <c r="F1912" t="s">
        <v>6028</v>
      </c>
      <c r="G1912" t="s">
        <v>6029</v>
      </c>
      <c r="H1912" t="s">
        <v>6032</v>
      </c>
      <c r="I1912" t="s">
        <v>6050</v>
      </c>
      <c r="J1912" t="s">
        <v>6053</v>
      </c>
      <c r="K1912" t="s">
        <v>6057</v>
      </c>
      <c r="L1912" t="s">
        <v>6406</v>
      </c>
      <c r="M1912">
        <v>944.88</v>
      </c>
      <c r="N1912">
        <v>2</v>
      </c>
      <c r="O1912">
        <v>0.13</v>
      </c>
      <c r="P1912">
        <v>136.55000000000001</v>
      </c>
      <c r="Q1912" t="s">
        <v>9897</v>
      </c>
      <c r="R1912">
        <v>6</v>
      </c>
      <c r="S1912" s="5">
        <f t="shared" si="58"/>
        <v>0.14451570569807806</v>
      </c>
      <c r="T1912">
        <v>472.44</v>
      </c>
      <c r="U1912">
        <v>4</v>
      </c>
      <c r="V1912">
        <v>2023</v>
      </c>
      <c r="W1912">
        <v>2</v>
      </c>
      <c r="X1912" t="s">
        <v>9899</v>
      </c>
      <c r="Y1912" t="s">
        <v>9901</v>
      </c>
      <c r="Z1912" t="s">
        <v>9899</v>
      </c>
      <c r="AD1912">
        <f t="shared" si="59"/>
        <v>6</v>
      </c>
    </row>
    <row r="1913" spans="1:30" x14ac:dyDescent="0.25">
      <c r="A1913" t="s">
        <v>1937</v>
      </c>
      <c r="B1913" s="2">
        <v>44742</v>
      </c>
      <c r="C1913" s="2">
        <v>44745</v>
      </c>
      <c r="D1913" t="s">
        <v>5162</v>
      </c>
      <c r="E1913" t="s">
        <v>5662</v>
      </c>
      <c r="F1913" t="s">
        <v>6027</v>
      </c>
      <c r="G1913" t="s">
        <v>6030</v>
      </c>
      <c r="H1913" t="s">
        <v>6038</v>
      </c>
      <c r="I1913" t="s">
        <v>6047</v>
      </c>
      <c r="J1913" t="s">
        <v>6053</v>
      </c>
      <c r="K1913" t="s">
        <v>6058</v>
      </c>
      <c r="L1913" t="s">
        <v>7793</v>
      </c>
      <c r="M1913">
        <v>1819.35</v>
      </c>
      <c r="N1913">
        <v>6</v>
      </c>
      <c r="O1913">
        <v>0.14000000000000001</v>
      </c>
      <c r="P1913">
        <v>-30.03</v>
      </c>
      <c r="Q1913" t="s">
        <v>9893</v>
      </c>
      <c r="R1913">
        <v>3</v>
      </c>
      <c r="S1913" s="5">
        <f t="shared" si="58"/>
        <v>-1.6505894962486604E-2</v>
      </c>
      <c r="T1913">
        <v>303.22500000000002</v>
      </c>
      <c r="U1913">
        <v>6</v>
      </c>
      <c r="V1913">
        <v>2022</v>
      </c>
      <c r="W1913">
        <v>2</v>
      </c>
      <c r="X1913" t="s">
        <v>9898</v>
      </c>
      <c r="Y1913" t="s">
        <v>9901</v>
      </c>
      <c r="Z1913" t="s">
        <v>9898</v>
      </c>
      <c r="AD1913">
        <f t="shared" si="59"/>
        <v>3</v>
      </c>
    </row>
    <row r="1914" spans="1:30" x14ac:dyDescent="0.25">
      <c r="A1914" t="s">
        <v>1938</v>
      </c>
      <c r="B1914" s="2">
        <v>45394</v>
      </c>
      <c r="C1914" s="2">
        <v>45399</v>
      </c>
      <c r="D1914" t="s">
        <v>5089</v>
      </c>
      <c r="E1914" t="s">
        <v>5589</v>
      </c>
      <c r="F1914" t="s">
        <v>6026</v>
      </c>
      <c r="G1914" t="s">
        <v>6031</v>
      </c>
      <c r="H1914" t="s">
        <v>6034</v>
      </c>
      <c r="I1914" t="s">
        <v>6048</v>
      </c>
      <c r="J1914" t="s">
        <v>6055</v>
      </c>
      <c r="K1914" t="s">
        <v>6061</v>
      </c>
      <c r="L1914" t="s">
        <v>7794</v>
      </c>
      <c r="M1914">
        <v>1703.5</v>
      </c>
      <c r="N1914">
        <v>1</v>
      </c>
      <c r="O1914">
        <v>0.12</v>
      </c>
      <c r="P1914">
        <v>152.69999999999999</v>
      </c>
      <c r="Q1914" t="s">
        <v>9894</v>
      </c>
      <c r="R1914">
        <v>5</v>
      </c>
      <c r="S1914" s="5">
        <f t="shared" si="58"/>
        <v>8.9638978573525083E-2</v>
      </c>
      <c r="T1914">
        <v>1703.5</v>
      </c>
      <c r="U1914">
        <v>4</v>
      </c>
      <c r="V1914">
        <v>2024</v>
      </c>
      <c r="W1914">
        <v>2</v>
      </c>
      <c r="X1914" t="s">
        <v>9899</v>
      </c>
      <c r="Y1914" t="s">
        <v>9901</v>
      </c>
      <c r="Z1914" t="s">
        <v>9898</v>
      </c>
      <c r="AD1914">
        <f t="shared" si="59"/>
        <v>5</v>
      </c>
    </row>
    <row r="1915" spans="1:30" x14ac:dyDescent="0.25">
      <c r="A1915" t="s">
        <v>1939</v>
      </c>
      <c r="B1915" s="2">
        <v>44738</v>
      </c>
      <c r="C1915" s="2">
        <v>44740</v>
      </c>
      <c r="D1915" t="s">
        <v>5074</v>
      </c>
      <c r="E1915" t="s">
        <v>5574</v>
      </c>
      <c r="F1915" t="s">
        <v>6028</v>
      </c>
      <c r="G1915" t="s">
        <v>6030</v>
      </c>
      <c r="H1915" t="s">
        <v>6039</v>
      </c>
      <c r="I1915" t="s">
        <v>6047</v>
      </c>
      <c r="J1915" t="s">
        <v>6053</v>
      </c>
      <c r="K1915" t="s">
        <v>6056</v>
      </c>
      <c r="L1915" t="s">
        <v>7795</v>
      </c>
      <c r="M1915">
        <v>720.34</v>
      </c>
      <c r="N1915">
        <v>5</v>
      </c>
      <c r="O1915">
        <v>0.12</v>
      </c>
      <c r="P1915">
        <v>116.25</v>
      </c>
      <c r="Q1915" t="s">
        <v>9897</v>
      </c>
      <c r="R1915">
        <v>2</v>
      </c>
      <c r="S1915" s="5">
        <f t="shared" si="58"/>
        <v>0.16138212510758806</v>
      </c>
      <c r="T1915">
        <v>144.06800000000001</v>
      </c>
      <c r="U1915">
        <v>6</v>
      </c>
      <c r="V1915">
        <v>2022</v>
      </c>
      <c r="W1915">
        <v>2</v>
      </c>
      <c r="X1915" t="s">
        <v>9899</v>
      </c>
      <c r="Y1915" t="s">
        <v>9901</v>
      </c>
      <c r="Z1915" t="s">
        <v>9899</v>
      </c>
      <c r="AD1915">
        <f t="shared" si="59"/>
        <v>2</v>
      </c>
    </row>
    <row r="1916" spans="1:30" x14ac:dyDescent="0.25">
      <c r="A1916" t="s">
        <v>1940</v>
      </c>
      <c r="B1916" s="2">
        <v>45184</v>
      </c>
      <c r="C1916" s="2">
        <v>45188</v>
      </c>
      <c r="D1916" t="s">
        <v>5153</v>
      </c>
      <c r="E1916" t="s">
        <v>5653</v>
      </c>
      <c r="F1916" t="s">
        <v>6028</v>
      </c>
      <c r="G1916" t="s">
        <v>6031</v>
      </c>
      <c r="H1916" t="s">
        <v>6043</v>
      </c>
      <c r="I1916" t="s">
        <v>6048</v>
      </c>
      <c r="J1916" t="s">
        <v>6053</v>
      </c>
      <c r="K1916" t="s">
        <v>6058</v>
      </c>
      <c r="L1916" t="s">
        <v>7796</v>
      </c>
      <c r="M1916">
        <v>1198.47</v>
      </c>
      <c r="N1916">
        <v>2</v>
      </c>
      <c r="O1916">
        <v>0.11</v>
      </c>
      <c r="P1916">
        <v>-2.0299999999999998</v>
      </c>
      <c r="Q1916" t="s">
        <v>9893</v>
      </c>
      <c r="R1916">
        <v>4</v>
      </c>
      <c r="S1916" s="5">
        <f t="shared" si="58"/>
        <v>-1.6938262951930376E-3</v>
      </c>
      <c r="T1916">
        <v>599.23500000000001</v>
      </c>
      <c r="U1916">
        <v>9</v>
      </c>
      <c r="V1916">
        <v>2023</v>
      </c>
      <c r="W1916">
        <v>3</v>
      </c>
      <c r="X1916" t="s">
        <v>9898</v>
      </c>
      <c r="Y1916" t="s">
        <v>9901</v>
      </c>
      <c r="Z1916" t="s">
        <v>9898</v>
      </c>
      <c r="AD1916">
        <f t="shared" si="59"/>
        <v>4</v>
      </c>
    </row>
    <row r="1917" spans="1:30" x14ac:dyDescent="0.25">
      <c r="A1917" t="s">
        <v>1941</v>
      </c>
      <c r="B1917" s="2">
        <v>45220</v>
      </c>
      <c r="C1917" s="2">
        <v>45224</v>
      </c>
      <c r="D1917" t="s">
        <v>5180</v>
      </c>
      <c r="E1917" t="s">
        <v>5680</v>
      </c>
      <c r="F1917" t="s">
        <v>6028</v>
      </c>
      <c r="G1917" t="s">
        <v>6031</v>
      </c>
      <c r="H1917" t="s">
        <v>6042</v>
      </c>
      <c r="I1917" t="s">
        <v>6048</v>
      </c>
      <c r="J1917" t="s">
        <v>6055</v>
      </c>
      <c r="K1917" t="s">
        <v>6064</v>
      </c>
      <c r="L1917" t="s">
        <v>7797</v>
      </c>
      <c r="M1917">
        <v>876.85</v>
      </c>
      <c r="N1917">
        <v>1</v>
      </c>
      <c r="O1917">
        <v>0.22</v>
      </c>
      <c r="P1917">
        <v>-0.59</v>
      </c>
      <c r="Q1917" t="s">
        <v>9895</v>
      </c>
      <c r="R1917">
        <v>4</v>
      </c>
      <c r="S1917" s="5">
        <f t="shared" si="58"/>
        <v>-6.7286308946798196E-4</v>
      </c>
      <c r="T1917">
        <v>876.85</v>
      </c>
      <c r="U1917">
        <v>10</v>
      </c>
      <c r="V1917">
        <v>2023</v>
      </c>
      <c r="W1917">
        <v>4</v>
      </c>
      <c r="X1917" t="s">
        <v>9898</v>
      </c>
      <c r="Y1917" t="s">
        <v>9900</v>
      </c>
      <c r="Z1917" t="s">
        <v>9899</v>
      </c>
      <c r="AD1917">
        <f t="shared" si="59"/>
        <v>4</v>
      </c>
    </row>
    <row r="1918" spans="1:30" x14ac:dyDescent="0.25">
      <c r="A1918" t="s">
        <v>1942</v>
      </c>
      <c r="B1918" s="2">
        <v>45211</v>
      </c>
      <c r="C1918" s="2">
        <v>45216</v>
      </c>
      <c r="D1918" t="s">
        <v>5411</v>
      </c>
      <c r="E1918" t="s">
        <v>5911</v>
      </c>
      <c r="F1918" t="s">
        <v>6027</v>
      </c>
      <c r="G1918" t="s">
        <v>6031</v>
      </c>
      <c r="H1918" t="s">
        <v>6034</v>
      </c>
      <c r="I1918" t="s">
        <v>6050</v>
      </c>
      <c r="J1918" t="s">
        <v>6054</v>
      </c>
      <c r="K1918" t="s">
        <v>6062</v>
      </c>
      <c r="L1918" t="s">
        <v>7798</v>
      </c>
      <c r="M1918">
        <v>958.67</v>
      </c>
      <c r="N1918">
        <v>1</v>
      </c>
      <c r="O1918">
        <v>0.19</v>
      </c>
      <c r="P1918">
        <v>-41.74</v>
      </c>
      <c r="Q1918" t="s">
        <v>9895</v>
      </c>
      <c r="R1918">
        <v>5</v>
      </c>
      <c r="S1918" s="5">
        <f t="shared" si="58"/>
        <v>-4.3539486997611281E-2</v>
      </c>
      <c r="T1918">
        <v>958.67</v>
      </c>
      <c r="U1918">
        <v>10</v>
      </c>
      <c r="V1918">
        <v>2023</v>
      </c>
      <c r="W1918">
        <v>4</v>
      </c>
      <c r="X1918" t="s">
        <v>9898</v>
      </c>
      <c r="Y1918" t="s">
        <v>9900</v>
      </c>
      <c r="Z1918" t="s">
        <v>9899</v>
      </c>
      <c r="AD1918">
        <f t="shared" si="59"/>
        <v>5</v>
      </c>
    </row>
    <row r="1919" spans="1:30" x14ac:dyDescent="0.25">
      <c r="A1919" t="s">
        <v>1943</v>
      </c>
      <c r="B1919" s="2">
        <v>44820</v>
      </c>
      <c r="C1919" s="2">
        <v>44827</v>
      </c>
      <c r="D1919" t="s">
        <v>5262</v>
      </c>
      <c r="E1919" t="s">
        <v>5762</v>
      </c>
      <c r="F1919" t="s">
        <v>6027</v>
      </c>
      <c r="G1919" t="s">
        <v>6030</v>
      </c>
      <c r="H1919" t="s">
        <v>6033</v>
      </c>
      <c r="I1919" t="s">
        <v>6047</v>
      </c>
      <c r="J1919" t="s">
        <v>6054</v>
      </c>
      <c r="K1919" t="s">
        <v>6062</v>
      </c>
      <c r="L1919" t="s">
        <v>7799</v>
      </c>
      <c r="M1919">
        <v>1878.71</v>
      </c>
      <c r="N1919">
        <v>5</v>
      </c>
      <c r="O1919">
        <v>0.15</v>
      </c>
      <c r="P1919">
        <v>253.56</v>
      </c>
      <c r="Q1919" t="s">
        <v>9897</v>
      </c>
      <c r="R1919">
        <v>7</v>
      </c>
      <c r="S1919" s="5">
        <f t="shared" si="58"/>
        <v>0.13496494935354578</v>
      </c>
      <c r="T1919">
        <v>375.74200000000002</v>
      </c>
      <c r="U1919">
        <v>9</v>
      </c>
      <c r="V1919">
        <v>2022</v>
      </c>
      <c r="W1919">
        <v>3</v>
      </c>
      <c r="X1919" t="s">
        <v>9899</v>
      </c>
      <c r="Y1919" t="s">
        <v>9901</v>
      </c>
      <c r="Z1919" t="s">
        <v>9898</v>
      </c>
      <c r="AD1919">
        <f t="shared" si="59"/>
        <v>7</v>
      </c>
    </row>
    <row r="1920" spans="1:30" x14ac:dyDescent="0.25">
      <c r="A1920" t="s">
        <v>1944</v>
      </c>
      <c r="B1920" s="2">
        <v>44910</v>
      </c>
      <c r="C1920" s="2">
        <v>44917</v>
      </c>
      <c r="D1920" t="s">
        <v>5503</v>
      </c>
      <c r="E1920" t="s">
        <v>6003</v>
      </c>
      <c r="F1920" t="s">
        <v>6027</v>
      </c>
      <c r="G1920" t="s">
        <v>6029</v>
      </c>
      <c r="H1920" t="s">
        <v>6041</v>
      </c>
      <c r="I1920" t="s">
        <v>6050</v>
      </c>
      <c r="J1920" t="s">
        <v>6053</v>
      </c>
      <c r="K1920" t="s">
        <v>6057</v>
      </c>
      <c r="L1920" t="s">
        <v>7800</v>
      </c>
      <c r="M1920">
        <v>1015.56</v>
      </c>
      <c r="N1920">
        <v>8</v>
      </c>
      <c r="O1920">
        <v>0.34</v>
      </c>
      <c r="P1920">
        <v>-173.66</v>
      </c>
      <c r="Q1920" t="s">
        <v>9897</v>
      </c>
      <c r="R1920">
        <v>7</v>
      </c>
      <c r="S1920" s="5">
        <f t="shared" si="58"/>
        <v>-0.17099925164441293</v>
      </c>
      <c r="T1920">
        <v>126.94499999999999</v>
      </c>
      <c r="U1920">
        <v>12</v>
      </c>
      <c r="V1920">
        <v>2022</v>
      </c>
      <c r="W1920">
        <v>4</v>
      </c>
      <c r="X1920" t="s">
        <v>9898</v>
      </c>
      <c r="Y1920" t="s">
        <v>9902</v>
      </c>
      <c r="Z1920" t="s">
        <v>9898</v>
      </c>
      <c r="AD1920">
        <f t="shared" si="59"/>
        <v>7</v>
      </c>
    </row>
    <row r="1921" spans="1:30" x14ac:dyDescent="0.25">
      <c r="A1921" t="s">
        <v>1945</v>
      </c>
      <c r="B1921" s="2">
        <v>45098</v>
      </c>
      <c r="C1921" s="2">
        <v>45102</v>
      </c>
      <c r="D1921" t="s">
        <v>5051</v>
      </c>
      <c r="E1921" t="s">
        <v>5551</v>
      </c>
      <c r="F1921" t="s">
        <v>6026</v>
      </c>
      <c r="G1921" t="s">
        <v>6029</v>
      </c>
      <c r="H1921" t="s">
        <v>6045</v>
      </c>
      <c r="I1921" t="s">
        <v>6050</v>
      </c>
      <c r="J1921" t="s">
        <v>6053</v>
      </c>
      <c r="K1921" t="s">
        <v>6057</v>
      </c>
      <c r="L1921" t="s">
        <v>7801</v>
      </c>
      <c r="M1921">
        <v>1401.58</v>
      </c>
      <c r="N1921">
        <v>1</v>
      </c>
      <c r="O1921">
        <v>0.09</v>
      </c>
      <c r="P1921">
        <v>43.7</v>
      </c>
      <c r="Q1921" t="s">
        <v>9893</v>
      </c>
      <c r="R1921">
        <v>4</v>
      </c>
      <c r="S1921" s="5">
        <f t="shared" si="58"/>
        <v>3.1179097875255073E-2</v>
      </c>
      <c r="T1921">
        <v>1401.58</v>
      </c>
      <c r="U1921">
        <v>6</v>
      </c>
      <c r="V1921">
        <v>2023</v>
      </c>
      <c r="W1921">
        <v>2</v>
      </c>
      <c r="X1921" t="s">
        <v>9899</v>
      </c>
      <c r="Y1921" t="s">
        <v>9901</v>
      </c>
      <c r="Z1921" t="s">
        <v>9898</v>
      </c>
      <c r="AD1921">
        <f t="shared" si="59"/>
        <v>4</v>
      </c>
    </row>
    <row r="1922" spans="1:30" x14ac:dyDescent="0.25">
      <c r="A1922" t="s">
        <v>1946</v>
      </c>
      <c r="B1922" s="2">
        <v>44959</v>
      </c>
      <c r="C1922" s="2">
        <v>44966</v>
      </c>
      <c r="D1922" t="s">
        <v>5047</v>
      </c>
      <c r="E1922" t="s">
        <v>5547</v>
      </c>
      <c r="F1922" t="s">
        <v>6026</v>
      </c>
      <c r="G1922" t="s">
        <v>6031</v>
      </c>
      <c r="H1922" t="s">
        <v>6042</v>
      </c>
      <c r="I1922" t="s">
        <v>6052</v>
      </c>
      <c r="J1922" t="s">
        <v>6053</v>
      </c>
      <c r="K1922" t="s">
        <v>6058</v>
      </c>
      <c r="L1922" t="s">
        <v>7802</v>
      </c>
      <c r="M1922">
        <v>1571.5</v>
      </c>
      <c r="N1922">
        <v>8</v>
      </c>
      <c r="O1922">
        <v>0.13</v>
      </c>
      <c r="P1922">
        <v>4.3099999999999996</v>
      </c>
      <c r="Q1922" t="s">
        <v>9895</v>
      </c>
      <c r="R1922">
        <v>7</v>
      </c>
      <c r="S1922" s="5">
        <f t="shared" si="58"/>
        <v>2.742602608972319E-3</v>
      </c>
      <c r="T1922">
        <v>196.4375</v>
      </c>
      <c r="U1922">
        <v>2</v>
      </c>
      <c r="V1922">
        <v>2023</v>
      </c>
      <c r="W1922">
        <v>1</v>
      </c>
      <c r="X1922" t="s">
        <v>9899</v>
      </c>
      <c r="Y1922" t="s">
        <v>9901</v>
      </c>
      <c r="Z1922" t="s">
        <v>9898</v>
      </c>
      <c r="AD1922">
        <f t="shared" si="59"/>
        <v>7</v>
      </c>
    </row>
    <row r="1923" spans="1:30" x14ac:dyDescent="0.25">
      <c r="A1923" t="s">
        <v>1947</v>
      </c>
      <c r="B1923" s="2">
        <v>44760</v>
      </c>
      <c r="C1923" s="2">
        <v>44763</v>
      </c>
      <c r="D1923" t="s">
        <v>5255</v>
      </c>
      <c r="E1923" t="s">
        <v>5755</v>
      </c>
      <c r="F1923" t="s">
        <v>6028</v>
      </c>
      <c r="G1923" t="s">
        <v>6030</v>
      </c>
      <c r="H1923" t="s">
        <v>6035</v>
      </c>
      <c r="I1923" t="s">
        <v>6047</v>
      </c>
      <c r="J1923" t="s">
        <v>6055</v>
      </c>
      <c r="K1923" t="s">
        <v>6061</v>
      </c>
      <c r="L1923" t="s">
        <v>7685</v>
      </c>
      <c r="M1923">
        <v>482.47</v>
      </c>
      <c r="N1923">
        <v>3</v>
      </c>
      <c r="O1923">
        <v>0.06</v>
      </c>
      <c r="P1923">
        <v>108.19</v>
      </c>
      <c r="Q1923" t="s">
        <v>9895</v>
      </c>
      <c r="R1923">
        <v>3</v>
      </c>
      <c r="S1923" s="5">
        <f t="shared" ref="S1923:S1986" si="60">P1923/M1923</f>
        <v>0.22424192177751984</v>
      </c>
      <c r="T1923">
        <v>160.82333333333341</v>
      </c>
      <c r="U1923">
        <v>7</v>
      </c>
      <c r="V1923">
        <v>2022</v>
      </c>
      <c r="W1923">
        <v>3</v>
      </c>
      <c r="X1923" t="s">
        <v>9899</v>
      </c>
      <c r="Y1923" t="s">
        <v>9901</v>
      </c>
      <c r="Z1923" t="s">
        <v>9899</v>
      </c>
      <c r="AD1923">
        <f t="shared" ref="AD1923:AD1986" si="61">C1923-B1923</f>
        <v>3</v>
      </c>
    </row>
    <row r="1924" spans="1:30" x14ac:dyDescent="0.25">
      <c r="A1924" t="s">
        <v>1948</v>
      </c>
      <c r="B1924" s="2">
        <v>45249</v>
      </c>
      <c r="C1924" s="2">
        <v>45255</v>
      </c>
      <c r="D1924" t="s">
        <v>5473</v>
      </c>
      <c r="E1924" t="s">
        <v>5973</v>
      </c>
      <c r="F1924" t="s">
        <v>6027</v>
      </c>
      <c r="G1924" t="s">
        <v>6029</v>
      </c>
      <c r="H1924" t="s">
        <v>6044</v>
      </c>
      <c r="I1924" t="s">
        <v>6049</v>
      </c>
      <c r="J1924" t="s">
        <v>6055</v>
      </c>
      <c r="K1924" t="s">
        <v>6064</v>
      </c>
      <c r="L1924" t="s">
        <v>6725</v>
      </c>
      <c r="M1924">
        <v>946.13</v>
      </c>
      <c r="N1924">
        <v>3</v>
      </c>
      <c r="O1924">
        <v>0.34</v>
      </c>
      <c r="P1924">
        <v>-218.8</v>
      </c>
      <c r="Q1924" t="s">
        <v>9894</v>
      </c>
      <c r="R1924">
        <v>6</v>
      </c>
      <c r="S1924" s="5">
        <f t="shared" si="60"/>
        <v>-0.23125786097047976</v>
      </c>
      <c r="T1924">
        <v>315.37666666666672</v>
      </c>
      <c r="U1924">
        <v>11</v>
      </c>
      <c r="V1924">
        <v>2023</v>
      </c>
      <c r="W1924">
        <v>4</v>
      </c>
      <c r="X1924" t="s">
        <v>9898</v>
      </c>
      <c r="Y1924" t="s">
        <v>9902</v>
      </c>
      <c r="Z1924" t="s">
        <v>9899</v>
      </c>
      <c r="AD1924">
        <f t="shared" si="61"/>
        <v>6</v>
      </c>
    </row>
    <row r="1925" spans="1:30" x14ac:dyDescent="0.25">
      <c r="A1925" t="s">
        <v>1949</v>
      </c>
      <c r="B1925" s="2">
        <v>44973</v>
      </c>
      <c r="C1925" s="2">
        <v>44978</v>
      </c>
      <c r="D1925" t="s">
        <v>5405</v>
      </c>
      <c r="E1925" t="s">
        <v>5905</v>
      </c>
      <c r="F1925" t="s">
        <v>6028</v>
      </c>
      <c r="G1925" t="s">
        <v>6030</v>
      </c>
      <c r="H1925" t="s">
        <v>6033</v>
      </c>
      <c r="I1925" t="s">
        <v>6051</v>
      </c>
      <c r="J1925" t="s">
        <v>6055</v>
      </c>
      <c r="K1925" t="s">
        <v>6061</v>
      </c>
      <c r="L1925" t="s">
        <v>7803</v>
      </c>
      <c r="M1925">
        <v>1896.09</v>
      </c>
      <c r="N1925">
        <v>3</v>
      </c>
      <c r="O1925">
        <v>0.26</v>
      </c>
      <c r="P1925">
        <v>-123.95</v>
      </c>
      <c r="Q1925" t="s">
        <v>9895</v>
      </c>
      <c r="R1925">
        <v>5</v>
      </c>
      <c r="S1925" s="5">
        <f t="shared" si="60"/>
        <v>-6.5371369502502524E-2</v>
      </c>
      <c r="T1925">
        <v>632.03</v>
      </c>
      <c r="U1925">
        <v>2</v>
      </c>
      <c r="V1925">
        <v>2023</v>
      </c>
      <c r="W1925">
        <v>1</v>
      </c>
      <c r="X1925" t="s">
        <v>9898</v>
      </c>
      <c r="Y1925" t="s">
        <v>9900</v>
      </c>
      <c r="Z1925" t="s">
        <v>9898</v>
      </c>
      <c r="AD1925">
        <f t="shared" si="61"/>
        <v>5</v>
      </c>
    </row>
    <row r="1926" spans="1:30" x14ac:dyDescent="0.25">
      <c r="A1926" t="s">
        <v>1950</v>
      </c>
      <c r="B1926" s="2">
        <v>44741</v>
      </c>
      <c r="C1926" s="2">
        <v>44748</v>
      </c>
      <c r="D1926" t="s">
        <v>5114</v>
      </c>
      <c r="E1926" t="s">
        <v>5614</v>
      </c>
      <c r="F1926" t="s">
        <v>6028</v>
      </c>
      <c r="G1926" t="s">
        <v>6031</v>
      </c>
      <c r="H1926" t="s">
        <v>6037</v>
      </c>
      <c r="I1926" t="s">
        <v>6048</v>
      </c>
      <c r="J1926" t="s">
        <v>6055</v>
      </c>
      <c r="K1926" t="s">
        <v>6064</v>
      </c>
      <c r="L1926" t="s">
        <v>7804</v>
      </c>
      <c r="M1926">
        <v>980.8</v>
      </c>
      <c r="N1926">
        <v>3</v>
      </c>
      <c r="O1926">
        <v>0.22</v>
      </c>
      <c r="P1926">
        <v>-38.92</v>
      </c>
      <c r="Q1926" t="s">
        <v>9897</v>
      </c>
      <c r="R1926">
        <v>7</v>
      </c>
      <c r="S1926" s="5">
        <f t="shared" si="60"/>
        <v>-3.9681892332789563E-2</v>
      </c>
      <c r="T1926">
        <v>326.93333333333328</v>
      </c>
      <c r="U1926">
        <v>6</v>
      </c>
      <c r="V1926">
        <v>2022</v>
      </c>
      <c r="W1926">
        <v>2</v>
      </c>
      <c r="X1926" t="s">
        <v>9898</v>
      </c>
      <c r="Y1926" t="s">
        <v>9900</v>
      </c>
      <c r="Z1926" t="s">
        <v>9899</v>
      </c>
      <c r="AD1926">
        <f t="shared" si="61"/>
        <v>7</v>
      </c>
    </row>
    <row r="1927" spans="1:30" x14ac:dyDescent="0.25">
      <c r="A1927" t="s">
        <v>1951</v>
      </c>
      <c r="B1927" s="2">
        <v>44844</v>
      </c>
      <c r="C1927" s="2">
        <v>44849</v>
      </c>
      <c r="D1927" t="s">
        <v>5364</v>
      </c>
      <c r="E1927" t="s">
        <v>5864</v>
      </c>
      <c r="F1927" t="s">
        <v>6027</v>
      </c>
      <c r="G1927" t="s">
        <v>6030</v>
      </c>
      <c r="H1927" t="s">
        <v>6035</v>
      </c>
      <c r="I1927" t="s">
        <v>6051</v>
      </c>
      <c r="J1927" t="s">
        <v>6054</v>
      </c>
      <c r="K1927" t="s">
        <v>6059</v>
      </c>
      <c r="L1927" t="s">
        <v>7805</v>
      </c>
      <c r="M1927">
        <v>658.76</v>
      </c>
      <c r="N1927">
        <v>3</v>
      </c>
      <c r="O1927">
        <v>0.31</v>
      </c>
      <c r="P1927">
        <v>-63.77</v>
      </c>
      <c r="Q1927" t="s">
        <v>9893</v>
      </c>
      <c r="R1927">
        <v>5</v>
      </c>
      <c r="S1927" s="5">
        <f t="shared" si="60"/>
        <v>-9.6803084583156243E-2</v>
      </c>
      <c r="T1927">
        <v>219.5866666666667</v>
      </c>
      <c r="U1927">
        <v>10</v>
      </c>
      <c r="V1927">
        <v>2022</v>
      </c>
      <c r="W1927">
        <v>4</v>
      </c>
      <c r="X1927" t="s">
        <v>9898</v>
      </c>
      <c r="Y1927" t="s">
        <v>9902</v>
      </c>
      <c r="Z1927" t="s">
        <v>9899</v>
      </c>
      <c r="AD1927">
        <f t="shared" si="61"/>
        <v>5</v>
      </c>
    </row>
    <row r="1928" spans="1:30" x14ac:dyDescent="0.25">
      <c r="A1928" t="s">
        <v>1952</v>
      </c>
      <c r="B1928" s="2">
        <v>44591</v>
      </c>
      <c r="C1928" s="2">
        <v>44596</v>
      </c>
      <c r="D1928" t="s">
        <v>5227</v>
      </c>
      <c r="E1928" t="s">
        <v>5727</v>
      </c>
      <c r="F1928" t="s">
        <v>6027</v>
      </c>
      <c r="G1928" t="s">
        <v>6031</v>
      </c>
      <c r="H1928" t="s">
        <v>6043</v>
      </c>
      <c r="I1928" t="s">
        <v>6050</v>
      </c>
      <c r="J1928" t="s">
        <v>6054</v>
      </c>
      <c r="K1928" t="s">
        <v>6062</v>
      </c>
      <c r="L1928" t="s">
        <v>7806</v>
      </c>
      <c r="M1928">
        <v>772.75</v>
      </c>
      <c r="N1928">
        <v>7</v>
      </c>
      <c r="O1928">
        <v>0.23</v>
      </c>
      <c r="P1928">
        <v>34.47</v>
      </c>
      <c r="Q1928" t="s">
        <v>9894</v>
      </c>
      <c r="R1928">
        <v>5</v>
      </c>
      <c r="S1928" s="5">
        <f t="shared" si="60"/>
        <v>4.4606923325784531E-2</v>
      </c>
      <c r="T1928">
        <v>110.3928571428571</v>
      </c>
      <c r="U1928">
        <v>1</v>
      </c>
      <c r="V1928">
        <v>2022</v>
      </c>
      <c r="W1928">
        <v>1</v>
      </c>
      <c r="X1928" t="s">
        <v>9899</v>
      </c>
      <c r="Y1928" t="s">
        <v>9900</v>
      </c>
      <c r="Z1928" t="s">
        <v>9899</v>
      </c>
      <c r="AD1928">
        <f t="shared" si="61"/>
        <v>5</v>
      </c>
    </row>
    <row r="1929" spans="1:30" x14ac:dyDescent="0.25">
      <c r="A1929" t="s">
        <v>1953</v>
      </c>
      <c r="B1929" s="2">
        <v>44804</v>
      </c>
      <c r="C1929" s="2">
        <v>44808</v>
      </c>
      <c r="D1929" t="s">
        <v>5484</v>
      </c>
      <c r="E1929" t="s">
        <v>5984</v>
      </c>
      <c r="F1929" t="s">
        <v>6027</v>
      </c>
      <c r="G1929" t="s">
        <v>6029</v>
      </c>
      <c r="H1929" t="s">
        <v>6032</v>
      </c>
      <c r="I1929" t="s">
        <v>6049</v>
      </c>
      <c r="J1929" t="s">
        <v>6054</v>
      </c>
      <c r="K1929" t="s">
        <v>6060</v>
      </c>
      <c r="L1929" t="s">
        <v>6269</v>
      </c>
      <c r="M1929">
        <v>1948.9</v>
      </c>
      <c r="N1929">
        <v>8</v>
      </c>
      <c r="O1929">
        <v>0.3</v>
      </c>
      <c r="P1929">
        <v>-306.55</v>
      </c>
      <c r="Q1929" t="s">
        <v>9897</v>
      </c>
      <c r="R1929">
        <v>4</v>
      </c>
      <c r="S1929" s="5">
        <f t="shared" si="60"/>
        <v>-0.15729385807378521</v>
      </c>
      <c r="T1929">
        <v>243.61250000000001</v>
      </c>
      <c r="U1929">
        <v>8</v>
      </c>
      <c r="V1929">
        <v>2022</v>
      </c>
      <c r="W1929">
        <v>3</v>
      </c>
      <c r="X1929" t="s">
        <v>9898</v>
      </c>
      <c r="Y1929" t="s">
        <v>9900</v>
      </c>
      <c r="Z1929" t="s">
        <v>9898</v>
      </c>
      <c r="AD1929">
        <f t="shared" si="61"/>
        <v>4</v>
      </c>
    </row>
    <row r="1930" spans="1:30" x14ac:dyDescent="0.25">
      <c r="A1930" t="s">
        <v>1954</v>
      </c>
      <c r="B1930" s="2">
        <v>45387</v>
      </c>
      <c r="C1930" s="2">
        <v>45394</v>
      </c>
      <c r="D1930" t="s">
        <v>5435</v>
      </c>
      <c r="E1930" t="s">
        <v>5935</v>
      </c>
      <c r="F1930" t="s">
        <v>6027</v>
      </c>
      <c r="G1930" t="s">
        <v>6031</v>
      </c>
      <c r="H1930" t="s">
        <v>6040</v>
      </c>
      <c r="I1930" t="s">
        <v>6050</v>
      </c>
      <c r="J1930" t="s">
        <v>6053</v>
      </c>
      <c r="K1930" t="s">
        <v>6056</v>
      </c>
      <c r="L1930" t="s">
        <v>7807</v>
      </c>
      <c r="M1930">
        <v>1677.32</v>
      </c>
      <c r="N1930">
        <v>8</v>
      </c>
      <c r="O1930">
        <v>0.22</v>
      </c>
      <c r="P1930">
        <v>127.35</v>
      </c>
      <c r="Q1930" t="s">
        <v>9895</v>
      </c>
      <c r="R1930">
        <v>7</v>
      </c>
      <c r="S1930" s="5">
        <f t="shared" si="60"/>
        <v>7.5924689385448219E-2</v>
      </c>
      <c r="T1930">
        <v>209.66499999999999</v>
      </c>
      <c r="U1930">
        <v>4</v>
      </c>
      <c r="V1930">
        <v>2024</v>
      </c>
      <c r="W1930">
        <v>2</v>
      </c>
      <c r="X1930" t="s">
        <v>9899</v>
      </c>
      <c r="Y1930" t="s">
        <v>9900</v>
      </c>
      <c r="Z1930" t="s">
        <v>9898</v>
      </c>
      <c r="AD1930">
        <f t="shared" si="61"/>
        <v>7</v>
      </c>
    </row>
    <row r="1931" spans="1:30" x14ac:dyDescent="0.25">
      <c r="A1931" t="s">
        <v>1955</v>
      </c>
      <c r="B1931" s="2">
        <v>45117</v>
      </c>
      <c r="C1931" s="2">
        <v>45119</v>
      </c>
      <c r="D1931" t="s">
        <v>5190</v>
      </c>
      <c r="E1931" t="s">
        <v>5690</v>
      </c>
      <c r="F1931" t="s">
        <v>6026</v>
      </c>
      <c r="G1931" t="s">
        <v>6030</v>
      </c>
      <c r="H1931" t="s">
        <v>6039</v>
      </c>
      <c r="I1931" t="s">
        <v>6047</v>
      </c>
      <c r="J1931" t="s">
        <v>6053</v>
      </c>
      <c r="K1931" t="s">
        <v>6058</v>
      </c>
      <c r="L1931" t="s">
        <v>7808</v>
      </c>
      <c r="M1931">
        <v>569.61</v>
      </c>
      <c r="N1931">
        <v>1</v>
      </c>
      <c r="O1931">
        <v>0.06</v>
      </c>
      <c r="P1931">
        <v>83.77</v>
      </c>
      <c r="Q1931" t="s">
        <v>9897</v>
      </c>
      <c r="R1931">
        <v>2</v>
      </c>
      <c r="S1931" s="5">
        <f t="shared" si="60"/>
        <v>0.14706553606853812</v>
      </c>
      <c r="T1931">
        <v>569.61</v>
      </c>
      <c r="U1931">
        <v>7</v>
      </c>
      <c r="V1931">
        <v>2023</v>
      </c>
      <c r="W1931">
        <v>3</v>
      </c>
      <c r="X1931" t="s">
        <v>9899</v>
      </c>
      <c r="Y1931" t="s">
        <v>9901</v>
      </c>
      <c r="Z1931" t="s">
        <v>9899</v>
      </c>
      <c r="AD1931">
        <f t="shared" si="61"/>
        <v>2</v>
      </c>
    </row>
    <row r="1932" spans="1:30" x14ac:dyDescent="0.25">
      <c r="A1932" t="s">
        <v>1956</v>
      </c>
      <c r="B1932" s="2">
        <v>44676</v>
      </c>
      <c r="C1932" s="2">
        <v>44678</v>
      </c>
      <c r="D1932" t="s">
        <v>5102</v>
      </c>
      <c r="E1932" t="s">
        <v>5602</v>
      </c>
      <c r="F1932" t="s">
        <v>6026</v>
      </c>
      <c r="G1932" t="s">
        <v>6030</v>
      </c>
      <c r="H1932" t="s">
        <v>6033</v>
      </c>
      <c r="I1932" t="s">
        <v>6051</v>
      </c>
      <c r="J1932" t="s">
        <v>6055</v>
      </c>
      <c r="K1932" t="s">
        <v>6061</v>
      </c>
      <c r="L1932" t="s">
        <v>7809</v>
      </c>
      <c r="M1932">
        <v>953.67</v>
      </c>
      <c r="N1932">
        <v>4</v>
      </c>
      <c r="O1932">
        <v>7.0000000000000007E-2</v>
      </c>
      <c r="P1932">
        <v>44.82</v>
      </c>
      <c r="Q1932" t="s">
        <v>9894</v>
      </c>
      <c r="R1932">
        <v>2</v>
      </c>
      <c r="S1932" s="5">
        <f t="shared" si="60"/>
        <v>4.6997389033942558E-2</v>
      </c>
      <c r="T1932">
        <v>238.41749999999999</v>
      </c>
      <c r="U1932">
        <v>4</v>
      </c>
      <c r="V1932">
        <v>2022</v>
      </c>
      <c r="W1932">
        <v>2</v>
      </c>
      <c r="X1932" t="s">
        <v>9899</v>
      </c>
      <c r="Y1932" t="s">
        <v>9901</v>
      </c>
      <c r="Z1932" t="s">
        <v>9899</v>
      </c>
      <c r="AD1932">
        <f t="shared" si="61"/>
        <v>2</v>
      </c>
    </row>
    <row r="1933" spans="1:30" x14ac:dyDescent="0.25">
      <c r="A1933" t="s">
        <v>1957</v>
      </c>
      <c r="B1933" s="2">
        <v>45295</v>
      </c>
      <c r="C1933" s="2">
        <v>45302</v>
      </c>
      <c r="D1933" t="s">
        <v>5370</v>
      </c>
      <c r="E1933" t="s">
        <v>5870</v>
      </c>
      <c r="F1933" t="s">
        <v>6027</v>
      </c>
      <c r="G1933" t="s">
        <v>6030</v>
      </c>
      <c r="H1933" t="s">
        <v>6039</v>
      </c>
      <c r="I1933" t="s">
        <v>6051</v>
      </c>
      <c r="J1933" t="s">
        <v>6054</v>
      </c>
      <c r="K1933" t="s">
        <v>6059</v>
      </c>
      <c r="L1933" t="s">
        <v>7810</v>
      </c>
      <c r="M1933">
        <v>413.09</v>
      </c>
      <c r="N1933">
        <v>5</v>
      </c>
      <c r="O1933">
        <v>0.02</v>
      </c>
      <c r="P1933">
        <v>67.11</v>
      </c>
      <c r="Q1933" t="s">
        <v>9896</v>
      </c>
      <c r="R1933">
        <v>7</v>
      </c>
      <c r="S1933" s="5">
        <f t="shared" si="60"/>
        <v>0.16245854414292285</v>
      </c>
      <c r="T1933">
        <v>82.617999999999995</v>
      </c>
      <c r="U1933">
        <v>1</v>
      </c>
      <c r="V1933">
        <v>2024</v>
      </c>
      <c r="W1933">
        <v>1</v>
      </c>
      <c r="X1933" t="s">
        <v>9899</v>
      </c>
      <c r="Y1933" t="s">
        <v>9901</v>
      </c>
      <c r="Z1933" t="s">
        <v>9899</v>
      </c>
      <c r="AD1933">
        <f t="shared" si="61"/>
        <v>7</v>
      </c>
    </row>
    <row r="1934" spans="1:30" x14ac:dyDescent="0.25">
      <c r="A1934" t="s">
        <v>1958</v>
      </c>
      <c r="B1934" s="2">
        <v>45340</v>
      </c>
      <c r="C1934" s="2">
        <v>45343</v>
      </c>
      <c r="D1934" t="s">
        <v>5203</v>
      </c>
      <c r="E1934" t="s">
        <v>5703</v>
      </c>
      <c r="F1934" t="s">
        <v>6027</v>
      </c>
      <c r="G1934" t="s">
        <v>6031</v>
      </c>
      <c r="H1934" t="s">
        <v>6037</v>
      </c>
      <c r="I1934" t="s">
        <v>6052</v>
      </c>
      <c r="J1934" t="s">
        <v>6055</v>
      </c>
      <c r="K1934" t="s">
        <v>6063</v>
      </c>
      <c r="L1934" t="s">
        <v>7811</v>
      </c>
      <c r="M1934">
        <v>389.53</v>
      </c>
      <c r="N1934">
        <v>5</v>
      </c>
      <c r="O1934">
        <v>0.11</v>
      </c>
      <c r="P1934">
        <v>19.09</v>
      </c>
      <c r="Q1934" t="s">
        <v>9896</v>
      </c>
      <c r="R1934">
        <v>3</v>
      </c>
      <c r="S1934" s="5">
        <f t="shared" si="60"/>
        <v>4.9007778604985501E-2</v>
      </c>
      <c r="T1934">
        <v>77.905999999999992</v>
      </c>
      <c r="U1934">
        <v>2</v>
      </c>
      <c r="V1934">
        <v>2024</v>
      </c>
      <c r="W1934">
        <v>1</v>
      </c>
      <c r="X1934" t="s">
        <v>9899</v>
      </c>
      <c r="Y1934" t="s">
        <v>9901</v>
      </c>
      <c r="Z1934" t="s">
        <v>9899</v>
      </c>
      <c r="AD1934">
        <f t="shared" si="61"/>
        <v>3</v>
      </c>
    </row>
    <row r="1935" spans="1:30" x14ac:dyDescent="0.25">
      <c r="A1935" t="s">
        <v>1959</v>
      </c>
      <c r="B1935" s="2">
        <v>45347</v>
      </c>
      <c r="C1935" s="2">
        <v>45353</v>
      </c>
      <c r="D1935" t="s">
        <v>5197</v>
      </c>
      <c r="E1935" t="s">
        <v>5697</v>
      </c>
      <c r="F1935" t="s">
        <v>6026</v>
      </c>
      <c r="G1935" t="s">
        <v>6029</v>
      </c>
      <c r="H1935" t="s">
        <v>6044</v>
      </c>
      <c r="I1935" t="s">
        <v>6049</v>
      </c>
      <c r="J1935" t="s">
        <v>6054</v>
      </c>
      <c r="K1935" t="s">
        <v>6060</v>
      </c>
      <c r="L1935" t="s">
        <v>7812</v>
      </c>
      <c r="M1935">
        <v>870.04</v>
      </c>
      <c r="N1935">
        <v>3</v>
      </c>
      <c r="O1935">
        <v>0.09</v>
      </c>
      <c r="P1935">
        <v>77.09</v>
      </c>
      <c r="Q1935" t="s">
        <v>9897</v>
      </c>
      <c r="R1935">
        <v>6</v>
      </c>
      <c r="S1935" s="5">
        <f t="shared" si="60"/>
        <v>8.8605121603604439E-2</v>
      </c>
      <c r="T1935">
        <v>290.01333333333332</v>
      </c>
      <c r="U1935">
        <v>2</v>
      </c>
      <c r="V1935">
        <v>2024</v>
      </c>
      <c r="W1935">
        <v>1</v>
      </c>
      <c r="X1935" t="s">
        <v>9899</v>
      </c>
      <c r="Y1935" t="s">
        <v>9901</v>
      </c>
      <c r="Z1935" t="s">
        <v>9899</v>
      </c>
      <c r="AD1935">
        <f t="shared" si="61"/>
        <v>6</v>
      </c>
    </row>
    <row r="1936" spans="1:30" x14ac:dyDescent="0.25">
      <c r="A1936" t="s">
        <v>1960</v>
      </c>
      <c r="B1936" s="2">
        <v>44930</v>
      </c>
      <c r="C1936" s="2">
        <v>44932</v>
      </c>
      <c r="D1936" t="s">
        <v>5060</v>
      </c>
      <c r="E1936" t="s">
        <v>5560</v>
      </c>
      <c r="F1936" t="s">
        <v>6026</v>
      </c>
      <c r="G1936" t="s">
        <v>6031</v>
      </c>
      <c r="H1936" t="s">
        <v>6034</v>
      </c>
      <c r="I1936" t="s">
        <v>6052</v>
      </c>
      <c r="J1936" t="s">
        <v>6053</v>
      </c>
      <c r="K1936" t="s">
        <v>6056</v>
      </c>
      <c r="L1936" t="s">
        <v>7813</v>
      </c>
      <c r="M1936">
        <v>958.83</v>
      </c>
      <c r="N1936">
        <v>8</v>
      </c>
      <c r="O1936">
        <v>0.12</v>
      </c>
      <c r="P1936">
        <v>61.15</v>
      </c>
      <c r="Q1936" t="s">
        <v>9896</v>
      </c>
      <c r="R1936">
        <v>2</v>
      </c>
      <c r="S1936" s="5">
        <f t="shared" si="60"/>
        <v>6.3775643231855486E-2</v>
      </c>
      <c r="T1936">
        <v>119.85375000000001</v>
      </c>
      <c r="U1936">
        <v>1</v>
      </c>
      <c r="V1936">
        <v>2023</v>
      </c>
      <c r="W1936">
        <v>1</v>
      </c>
      <c r="X1936" t="s">
        <v>9899</v>
      </c>
      <c r="Y1936" t="s">
        <v>9901</v>
      </c>
      <c r="Z1936" t="s">
        <v>9899</v>
      </c>
      <c r="AD1936">
        <f t="shared" si="61"/>
        <v>2</v>
      </c>
    </row>
    <row r="1937" spans="1:30" x14ac:dyDescent="0.25">
      <c r="A1937" t="s">
        <v>1961</v>
      </c>
      <c r="B1937" s="2">
        <v>45431</v>
      </c>
      <c r="C1937" s="2">
        <v>45437</v>
      </c>
      <c r="D1937" t="s">
        <v>5413</v>
      </c>
      <c r="E1937" t="s">
        <v>5913</v>
      </c>
      <c r="F1937" t="s">
        <v>6028</v>
      </c>
      <c r="G1937" t="s">
        <v>6029</v>
      </c>
      <c r="H1937" t="s">
        <v>6041</v>
      </c>
      <c r="I1937" t="s">
        <v>6050</v>
      </c>
      <c r="J1937" t="s">
        <v>6055</v>
      </c>
      <c r="K1937" t="s">
        <v>6064</v>
      </c>
      <c r="L1937" t="s">
        <v>7814</v>
      </c>
      <c r="M1937">
        <v>1996.43</v>
      </c>
      <c r="N1937">
        <v>1</v>
      </c>
      <c r="O1937">
        <v>0.02</v>
      </c>
      <c r="P1937">
        <v>487.24</v>
      </c>
      <c r="Q1937" t="s">
        <v>9897</v>
      </c>
      <c r="R1937">
        <v>6</v>
      </c>
      <c r="S1937" s="5">
        <f t="shared" si="60"/>
        <v>0.24405563931617938</v>
      </c>
      <c r="T1937">
        <v>1996.43</v>
      </c>
      <c r="U1937">
        <v>5</v>
      </c>
      <c r="V1937">
        <v>2024</v>
      </c>
      <c r="W1937">
        <v>2</v>
      </c>
      <c r="X1937" t="s">
        <v>9899</v>
      </c>
      <c r="Y1937" t="s">
        <v>9901</v>
      </c>
      <c r="Z1937" t="s">
        <v>9898</v>
      </c>
      <c r="AD1937">
        <f t="shared" si="61"/>
        <v>6</v>
      </c>
    </row>
    <row r="1938" spans="1:30" x14ac:dyDescent="0.25">
      <c r="A1938" t="s">
        <v>1962</v>
      </c>
      <c r="B1938" s="2">
        <v>44830</v>
      </c>
      <c r="C1938" s="2">
        <v>44837</v>
      </c>
      <c r="D1938" t="s">
        <v>5203</v>
      </c>
      <c r="E1938" t="s">
        <v>5703</v>
      </c>
      <c r="F1938" t="s">
        <v>6028</v>
      </c>
      <c r="G1938" t="s">
        <v>6029</v>
      </c>
      <c r="H1938" t="s">
        <v>6032</v>
      </c>
      <c r="I1938" t="s">
        <v>6046</v>
      </c>
      <c r="J1938" t="s">
        <v>6055</v>
      </c>
      <c r="K1938" t="s">
        <v>6064</v>
      </c>
      <c r="L1938" t="s">
        <v>7815</v>
      </c>
      <c r="M1938">
        <v>322.07</v>
      </c>
      <c r="N1938">
        <v>2</v>
      </c>
      <c r="O1938">
        <v>0.25</v>
      </c>
      <c r="P1938">
        <v>-39.69</v>
      </c>
      <c r="Q1938" t="s">
        <v>9897</v>
      </c>
      <c r="R1938">
        <v>7</v>
      </c>
      <c r="S1938" s="5">
        <f t="shared" si="60"/>
        <v>-0.12323407954792436</v>
      </c>
      <c r="T1938">
        <v>161.035</v>
      </c>
      <c r="U1938">
        <v>9</v>
      </c>
      <c r="V1938">
        <v>2022</v>
      </c>
      <c r="W1938">
        <v>3</v>
      </c>
      <c r="X1938" t="s">
        <v>9898</v>
      </c>
      <c r="Y1938" t="s">
        <v>9900</v>
      </c>
      <c r="Z1938" t="s">
        <v>9899</v>
      </c>
      <c r="AD1938">
        <f t="shared" si="61"/>
        <v>7</v>
      </c>
    </row>
    <row r="1939" spans="1:30" x14ac:dyDescent="0.25">
      <c r="A1939" t="s">
        <v>1963</v>
      </c>
      <c r="B1939" s="2">
        <v>44901</v>
      </c>
      <c r="C1939" s="2">
        <v>44905</v>
      </c>
      <c r="D1939" t="s">
        <v>5408</v>
      </c>
      <c r="E1939" t="s">
        <v>5908</v>
      </c>
      <c r="F1939" t="s">
        <v>6026</v>
      </c>
      <c r="G1939" t="s">
        <v>6031</v>
      </c>
      <c r="H1939" t="s">
        <v>6042</v>
      </c>
      <c r="I1939" t="s">
        <v>6052</v>
      </c>
      <c r="J1939" t="s">
        <v>6053</v>
      </c>
      <c r="K1939" t="s">
        <v>6058</v>
      </c>
      <c r="L1939" t="s">
        <v>7816</v>
      </c>
      <c r="M1939">
        <v>1920.11</v>
      </c>
      <c r="N1939">
        <v>8</v>
      </c>
      <c r="O1939">
        <v>0.34</v>
      </c>
      <c r="P1939">
        <v>-432.85</v>
      </c>
      <c r="Q1939" t="s">
        <v>9897</v>
      </c>
      <c r="R1939">
        <v>4</v>
      </c>
      <c r="S1939" s="5">
        <f t="shared" si="60"/>
        <v>-0.22542979308477121</v>
      </c>
      <c r="T1939">
        <v>240.01374999999999</v>
      </c>
      <c r="U1939">
        <v>12</v>
      </c>
      <c r="V1939">
        <v>2022</v>
      </c>
      <c r="W1939">
        <v>4</v>
      </c>
      <c r="X1939" t="s">
        <v>9898</v>
      </c>
      <c r="Y1939" t="s">
        <v>9902</v>
      </c>
      <c r="Z1939" t="s">
        <v>9898</v>
      </c>
      <c r="AD1939">
        <f t="shared" si="61"/>
        <v>4</v>
      </c>
    </row>
    <row r="1940" spans="1:30" x14ac:dyDescent="0.25">
      <c r="A1940" t="s">
        <v>1964</v>
      </c>
      <c r="B1940" s="2">
        <v>45353</v>
      </c>
      <c r="C1940" s="2">
        <v>45360</v>
      </c>
      <c r="D1940" t="s">
        <v>5248</v>
      </c>
      <c r="E1940" t="s">
        <v>5748</v>
      </c>
      <c r="F1940" t="s">
        <v>6026</v>
      </c>
      <c r="G1940" t="s">
        <v>6029</v>
      </c>
      <c r="H1940" t="s">
        <v>6036</v>
      </c>
      <c r="I1940" t="s">
        <v>6049</v>
      </c>
      <c r="J1940" t="s">
        <v>6055</v>
      </c>
      <c r="K1940" t="s">
        <v>6064</v>
      </c>
      <c r="L1940" t="s">
        <v>7817</v>
      </c>
      <c r="M1940">
        <v>1059</v>
      </c>
      <c r="N1940">
        <v>3</v>
      </c>
      <c r="O1940">
        <v>0.33</v>
      </c>
      <c r="P1940">
        <v>-179.83</v>
      </c>
      <c r="Q1940" t="s">
        <v>9897</v>
      </c>
      <c r="R1940">
        <v>7</v>
      </c>
      <c r="S1940" s="5">
        <f t="shared" si="60"/>
        <v>-0.16981114258734656</v>
      </c>
      <c r="T1940">
        <v>353</v>
      </c>
      <c r="U1940">
        <v>3</v>
      </c>
      <c r="V1940">
        <v>2024</v>
      </c>
      <c r="W1940">
        <v>1</v>
      </c>
      <c r="X1940" t="s">
        <v>9898</v>
      </c>
      <c r="Y1940" t="s">
        <v>9902</v>
      </c>
      <c r="Z1940" t="s">
        <v>9898</v>
      </c>
      <c r="AD1940">
        <f t="shared" si="61"/>
        <v>7</v>
      </c>
    </row>
    <row r="1941" spans="1:30" x14ac:dyDescent="0.25">
      <c r="A1941" t="s">
        <v>1965</v>
      </c>
      <c r="B1941" s="2">
        <v>45309</v>
      </c>
      <c r="C1941" s="2">
        <v>45315</v>
      </c>
      <c r="D1941" t="s">
        <v>5053</v>
      </c>
      <c r="E1941" t="s">
        <v>5553</v>
      </c>
      <c r="F1941" t="s">
        <v>6026</v>
      </c>
      <c r="G1941" t="s">
        <v>6029</v>
      </c>
      <c r="H1941" t="s">
        <v>6045</v>
      </c>
      <c r="I1941" t="s">
        <v>6046</v>
      </c>
      <c r="J1941" t="s">
        <v>6054</v>
      </c>
      <c r="K1941" t="s">
        <v>6059</v>
      </c>
      <c r="L1941" t="s">
        <v>7818</v>
      </c>
      <c r="M1941">
        <v>312.55</v>
      </c>
      <c r="N1941">
        <v>5</v>
      </c>
      <c r="O1941">
        <v>0.16</v>
      </c>
      <c r="P1941">
        <v>6.77</v>
      </c>
      <c r="Q1941" t="s">
        <v>9893</v>
      </c>
      <c r="R1941">
        <v>6</v>
      </c>
      <c r="S1941" s="5">
        <f t="shared" si="60"/>
        <v>2.1660534314509677E-2</v>
      </c>
      <c r="T1941">
        <v>62.510000000000012</v>
      </c>
      <c r="U1941">
        <v>1</v>
      </c>
      <c r="V1941">
        <v>2024</v>
      </c>
      <c r="W1941">
        <v>1</v>
      </c>
      <c r="X1941" t="s">
        <v>9899</v>
      </c>
      <c r="Y1941" t="s">
        <v>9900</v>
      </c>
      <c r="Z1941" t="s">
        <v>9899</v>
      </c>
      <c r="AD1941">
        <f t="shared" si="61"/>
        <v>6</v>
      </c>
    </row>
    <row r="1942" spans="1:30" x14ac:dyDescent="0.25">
      <c r="A1942" t="s">
        <v>1966</v>
      </c>
      <c r="B1942" s="2">
        <v>45111</v>
      </c>
      <c r="C1942" s="2">
        <v>45116</v>
      </c>
      <c r="D1942" t="s">
        <v>5403</v>
      </c>
      <c r="E1942" t="s">
        <v>5903</v>
      </c>
      <c r="F1942" t="s">
        <v>6027</v>
      </c>
      <c r="G1942" t="s">
        <v>6029</v>
      </c>
      <c r="H1942" t="s">
        <v>6036</v>
      </c>
      <c r="I1942" t="s">
        <v>6049</v>
      </c>
      <c r="J1942" t="s">
        <v>6055</v>
      </c>
      <c r="K1942" t="s">
        <v>6061</v>
      </c>
      <c r="L1942" t="s">
        <v>7819</v>
      </c>
      <c r="M1942">
        <v>896.5</v>
      </c>
      <c r="N1942">
        <v>8</v>
      </c>
      <c r="O1942">
        <v>0.11</v>
      </c>
      <c r="P1942">
        <v>35.229999999999997</v>
      </c>
      <c r="Q1942" t="s">
        <v>9894</v>
      </c>
      <c r="R1942">
        <v>5</v>
      </c>
      <c r="S1942" s="5">
        <f t="shared" si="60"/>
        <v>3.9297267150027883E-2</v>
      </c>
      <c r="T1942">
        <v>112.0625</v>
      </c>
      <c r="U1942">
        <v>7</v>
      </c>
      <c r="V1942">
        <v>2023</v>
      </c>
      <c r="W1942">
        <v>3</v>
      </c>
      <c r="X1942" t="s">
        <v>9899</v>
      </c>
      <c r="Y1942" t="s">
        <v>9901</v>
      </c>
      <c r="Z1942" t="s">
        <v>9899</v>
      </c>
      <c r="AD1942">
        <f t="shared" si="61"/>
        <v>5</v>
      </c>
    </row>
    <row r="1943" spans="1:30" x14ac:dyDescent="0.25">
      <c r="A1943" t="s">
        <v>1967</v>
      </c>
      <c r="B1943" s="2">
        <v>45343</v>
      </c>
      <c r="C1943" s="2">
        <v>45350</v>
      </c>
      <c r="D1943" t="s">
        <v>5092</v>
      </c>
      <c r="E1943" t="s">
        <v>5592</v>
      </c>
      <c r="F1943" t="s">
        <v>6028</v>
      </c>
      <c r="G1943" t="s">
        <v>6030</v>
      </c>
      <c r="H1943" t="s">
        <v>6038</v>
      </c>
      <c r="I1943" t="s">
        <v>6047</v>
      </c>
      <c r="J1943" t="s">
        <v>6053</v>
      </c>
      <c r="K1943" t="s">
        <v>6057</v>
      </c>
      <c r="L1943" t="s">
        <v>7820</v>
      </c>
      <c r="M1943">
        <v>789.04</v>
      </c>
      <c r="N1943">
        <v>1</v>
      </c>
      <c r="O1943">
        <v>0.17</v>
      </c>
      <c r="P1943">
        <v>74.760000000000005</v>
      </c>
      <c r="Q1943" t="s">
        <v>9893</v>
      </c>
      <c r="R1943">
        <v>7</v>
      </c>
      <c r="S1943" s="5">
        <f t="shared" si="60"/>
        <v>9.474804826117815E-2</v>
      </c>
      <c r="T1943">
        <v>789.04</v>
      </c>
      <c r="U1943">
        <v>2</v>
      </c>
      <c r="V1943">
        <v>2024</v>
      </c>
      <c r="W1943">
        <v>1</v>
      </c>
      <c r="X1943" t="s">
        <v>9899</v>
      </c>
      <c r="Y1943" t="s">
        <v>9900</v>
      </c>
      <c r="Z1943" t="s">
        <v>9899</v>
      </c>
      <c r="AD1943">
        <f t="shared" si="61"/>
        <v>7</v>
      </c>
    </row>
    <row r="1944" spans="1:30" x14ac:dyDescent="0.25">
      <c r="A1944" t="s">
        <v>1968</v>
      </c>
      <c r="B1944" s="2">
        <v>45182</v>
      </c>
      <c r="C1944" s="2">
        <v>45186</v>
      </c>
      <c r="D1944" t="s">
        <v>5106</v>
      </c>
      <c r="E1944" t="s">
        <v>5606</v>
      </c>
      <c r="F1944" t="s">
        <v>6026</v>
      </c>
      <c r="G1944" t="s">
        <v>6031</v>
      </c>
      <c r="H1944" t="s">
        <v>6034</v>
      </c>
      <c r="I1944" t="s">
        <v>6052</v>
      </c>
      <c r="J1944" t="s">
        <v>6054</v>
      </c>
      <c r="K1944" t="s">
        <v>6062</v>
      </c>
      <c r="L1944" t="s">
        <v>7821</v>
      </c>
      <c r="M1944">
        <v>655.84</v>
      </c>
      <c r="N1944">
        <v>5</v>
      </c>
      <c r="O1944">
        <v>0.06</v>
      </c>
      <c r="P1944">
        <v>113.95</v>
      </c>
      <c r="Q1944" t="s">
        <v>9896</v>
      </c>
      <c r="R1944">
        <v>4</v>
      </c>
      <c r="S1944" s="5">
        <f t="shared" si="60"/>
        <v>0.17374664552329835</v>
      </c>
      <c r="T1944">
        <v>131.16800000000001</v>
      </c>
      <c r="U1944">
        <v>9</v>
      </c>
      <c r="V1944">
        <v>2023</v>
      </c>
      <c r="W1944">
        <v>3</v>
      </c>
      <c r="X1944" t="s">
        <v>9899</v>
      </c>
      <c r="Y1944" t="s">
        <v>9901</v>
      </c>
      <c r="Z1944" t="s">
        <v>9899</v>
      </c>
      <c r="AD1944">
        <f t="shared" si="61"/>
        <v>4</v>
      </c>
    </row>
    <row r="1945" spans="1:30" x14ac:dyDescent="0.25">
      <c r="A1945" t="s">
        <v>1969</v>
      </c>
      <c r="B1945" s="2">
        <v>45285</v>
      </c>
      <c r="C1945" s="2">
        <v>45288</v>
      </c>
      <c r="D1945" t="s">
        <v>5184</v>
      </c>
      <c r="E1945" t="s">
        <v>5684</v>
      </c>
      <c r="F1945" t="s">
        <v>6027</v>
      </c>
      <c r="G1945" t="s">
        <v>6031</v>
      </c>
      <c r="H1945" t="s">
        <v>6037</v>
      </c>
      <c r="I1945" t="s">
        <v>6048</v>
      </c>
      <c r="J1945" t="s">
        <v>6055</v>
      </c>
      <c r="K1945" t="s">
        <v>6064</v>
      </c>
      <c r="L1945" t="s">
        <v>7822</v>
      </c>
      <c r="M1945">
        <v>541.84</v>
      </c>
      <c r="N1945">
        <v>1</v>
      </c>
      <c r="O1945">
        <v>0.16</v>
      </c>
      <c r="P1945">
        <v>14.07</v>
      </c>
      <c r="Q1945" t="s">
        <v>9897</v>
      </c>
      <c r="R1945">
        <v>3</v>
      </c>
      <c r="S1945" s="5">
        <f t="shared" si="60"/>
        <v>2.5967075151336186E-2</v>
      </c>
      <c r="T1945">
        <v>541.84</v>
      </c>
      <c r="U1945">
        <v>12</v>
      </c>
      <c r="V1945">
        <v>2023</v>
      </c>
      <c r="W1945">
        <v>4</v>
      </c>
      <c r="X1945" t="s">
        <v>9899</v>
      </c>
      <c r="Y1945" t="s">
        <v>9900</v>
      </c>
      <c r="Z1945" t="s">
        <v>9899</v>
      </c>
      <c r="AD1945">
        <f t="shared" si="61"/>
        <v>3</v>
      </c>
    </row>
    <row r="1946" spans="1:30" x14ac:dyDescent="0.25">
      <c r="A1946" t="s">
        <v>1970</v>
      </c>
      <c r="B1946" s="2">
        <v>44945</v>
      </c>
      <c r="C1946" s="2">
        <v>44952</v>
      </c>
      <c r="D1946" t="s">
        <v>5162</v>
      </c>
      <c r="E1946" t="s">
        <v>5662</v>
      </c>
      <c r="F1946" t="s">
        <v>6027</v>
      </c>
      <c r="G1946" t="s">
        <v>6031</v>
      </c>
      <c r="H1946" t="s">
        <v>6040</v>
      </c>
      <c r="I1946" t="s">
        <v>6052</v>
      </c>
      <c r="J1946" t="s">
        <v>6053</v>
      </c>
      <c r="K1946" t="s">
        <v>6056</v>
      </c>
      <c r="L1946" t="s">
        <v>7823</v>
      </c>
      <c r="M1946">
        <v>1365.53</v>
      </c>
      <c r="N1946">
        <v>2</v>
      </c>
      <c r="O1946">
        <v>0.35</v>
      </c>
      <c r="P1946">
        <v>-181.33</v>
      </c>
      <c r="Q1946" t="s">
        <v>9895</v>
      </c>
      <c r="R1946">
        <v>7</v>
      </c>
      <c r="S1946" s="5">
        <f t="shared" si="60"/>
        <v>-0.13279093099382658</v>
      </c>
      <c r="T1946">
        <v>682.76499999999999</v>
      </c>
      <c r="U1946">
        <v>1</v>
      </c>
      <c r="V1946">
        <v>2023</v>
      </c>
      <c r="W1946">
        <v>1</v>
      </c>
      <c r="X1946" t="s">
        <v>9898</v>
      </c>
      <c r="Y1946" t="s">
        <v>9902</v>
      </c>
      <c r="Z1946" t="s">
        <v>9898</v>
      </c>
      <c r="AD1946">
        <f t="shared" si="61"/>
        <v>7</v>
      </c>
    </row>
    <row r="1947" spans="1:30" x14ac:dyDescent="0.25">
      <c r="A1947" t="s">
        <v>1971</v>
      </c>
      <c r="B1947" s="2">
        <v>44955</v>
      </c>
      <c r="C1947" s="2">
        <v>44956</v>
      </c>
      <c r="D1947" t="s">
        <v>5521</v>
      </c>
      <c r="E1947" t="s">
        <v>6021</v>
      </c>
      <c r="F1947" t="s">
        <v>6028</v>
      </c>
      <c r="G1947" t="s">
        <v>6029</v>
      </c>
      <c r="H1947" t="s">
        <v>6032</v>
      </c>
      <c r="I1947" t="s">
        <v>6050</v>
      </c>
      <c r="J1947" t="s">
        <v>6053</v>
      </c>
      <c r="K1947" t="s">
        <v>6056</v>
      </c>
      <c r="L1947" t="s">
        <v>7333</v>
      </c>
      <c r="M1947">
        <v>896.48</v>
      </c>
      <c r="N1947">
        <v>1</v>
      </c>
      <c r="O1947">
        <v>0.08</v>
      </c>
      <c r="P1947">
        <v>158.34</v>
      </c>
      <c r="Q1947" t="s">
        <v>9897</v>
      </c>
      <c r="R1947">
        <v>1</v>
      </c>
      <c r="S1947" s="5">
        <f t="shared" si="60"/>
        <v>0.17662412993039442</v>
      </c>
      <c r="T1947">
        <v>896.48</v>
      </c>
      <c r="U1947">
        <v>1</v>
      </c>
      <c r="V1947">
        <v>2023</v>
      </c>
      <c r="W1947">
        <v>1</v>
      </c>
      <c r="X1947" t="s">
        <v>9899</v>
      </c>
      <c r="Y1947" t="s">
        <v>9901</v>
      </c>
      <c r="Z1947" t="s">
        <v>9899</v>
      </c>
      <c r="AD1947">
        <f t="shared" si="61"/>
        <v>1</v>
      </c>
    </row>
    <row r="1948" spans="1:30" x14ac:dyDescent="0.25">
      <c r="A1948" t="s">
        <v>1972</v>
      </c>
      <c r="B1948" s="2">
        <v>44780</v>
      </c>
      <c r="C1948" s="2">
        <v>44784</v>
      </c>
      <c r="D1948" t="s">
        <v>5115</v>
      </c>
      <c r="E1948" t="s">
        <v>5615</v>
      </c>
      <c r="F1948" t="s">
        <v>6026</v>
      </c>
      <c r="G1948" t="s">
        <v>6030</v>
      </c>
      <c r="H1948" t="s">
        <v>6039</v>
      </c>
      <c r="I1948" t="s">
        <v>6047</v>
      </c>
      <c r="J1948" t="s">
        <v>6054</v>
      </c>
      <c r="K1948" t="s">
        <v>6062</v>
      </c>
      <c r="L1948" t="s">
        <v>6565</v>
      </c>
      <c r="M1948">
        <v>222.54</v>
      </c>
      <c r="N1948">
        <v>8</v>
      </c>
      <c r="O1948">
        <v>0.21</v>
      </c>
      <c r="P1948">
        <v>-18.579999999999998</v>
      </c>
      <c r="Q1948" t="s">
        <v>9893</v>
      </c>
      <c r="R1948">
        <v>4</v>
      </c>
      <c r="S1948" s="5">
        <f t="shared" si="60"/>
        <v>-8.3490608429945171E-2</v>
      </c>
      <c r="T1948">
        <v>27.817499999999999</v>
      </c>
      <c r="U1948">
        <v>8</v>
      </c>
      <c r="V1948">
        <v>2022</v>
      </c>
      <c r="W1948">
        <v>3</v>
      </c>
      <c r="X1948" t="s">
        <v>9898</v>
      </c>
      <c r="Y1948" t="s">
        <v>9900</v>
      </c>
      <c r="Z1948" t="s">
        <v>9899</v>
      </c>
      <c r="AD1948">
        <f t="shared" si="61"/>
        <v>4</v>
      </c>
    </row>
    <row r="1949" spans="1:30" x14ac:dyDescent="0.25">
      <c r="A1949" t="s">
        <v>1973</v>
      </c>
      <c r="B1949" s="2">
        <v>45213</v>
      </c>
      <c r="C1949" s="2">
        <v>45216</v>
      </c>
      <c r="D1949" t="s">
        <v>5239</v>
      </c>
      <c r="E1949" t="s">
        <v>5739</v>
      </c>
      <c r="F1949" t="s">
        <v>6026</v>
      </c>
      <c r="G1949" t="s">
        <v>6030</v>
      </c>
      <c r="H1949" t="s">
        <v>6039</v>
      </c>
      <c r="I1949" t="s">
        <v>6047</v>
      </c>
      <c r="J1949" t="s">
        <v>6053</v>
      </c>
      <c r="K1949" t="s">
        <v>6058</v>
      </c>
      <c r="L1949" t="s">
        <v>7824</v>
      </c>
      <c r="M1949">
        <v>1107.68</v>
      </c>
      <c r="N1949">
        <v>7</v>
      </c>
      <c r="O1949">
        <v>0.25</v>
      </c>
      <c r="P1949">
        <v>-19.43</v>
      </c>
      <c r="Q1949" t="s">
        <v>9897</v>
      </c>
      <c r="R1949">
        <v>3</v>
      </c>
      <c r="S1949" s="5">
        <f t="shared" si="60"/>
        <v>-1.7541167124079157E-2</v>
      </c>
      <c r="T1949">
        <v>158.24</v>
      </c>
      <c r="U1949">
        <v>10</v>
      </c>
      <c r="V1949">
        <v>2023</v>
      </c>
      <c r="W1949">
        <v>4</v>
      </c>
      <c r="X1949" t="s">
        <v>9898</v>
      </c>
      <c r="Y1949" t="s">
        <v>9900</v>
      </c>
      <c r="Z1949" t="s">
        <v>9898</v>
      </c>
      <c r="AD1949">
        <f t="shared" si="61"/>
        <v>3</v>
      </c>
    </row>
    <row r="1950" spans="1:30" x14ac:dyDescent="0.25">
      <c r="A1950" t="s">
        <v>1974</v>
      </c>
      <c r="B1950" s="2">
        <v>44910</v>
      </c>
      <c r="C1950" s="2">
        <v>44917</v>
      </c>
      <c r="D1950" t="s">
        <v>5165</v>
      </c>
      <c r="E1950" t="s">
        <v>5665</v>
      </c>
      <c r="F1950" t="s">
        <v>6028</v>
      </c>
      <c r="G1950" t="s">
        <v>6031</v>
      </c>
      <c r="H1950" t="s">
        <v>6037</v>
      </c>
      <c r="I1950" t="s">
        <v>6048</v>
      </c>
      <c r="J1950" t="s">
        <v>6054</v>
      </c>
      <c r="K1950" t="s">
        <v>6059</v>
      </c>
      <c r="L1950" t="s">
        <v>7825</v>
      </c>
      <c r="M1950">
        <v>1779.97</v>
      </c>
      <c r="N1950">
        <v>6</v>
      </c>
      <c r="O1950">
        <v>0.03</v>
      </c>
      <c r="P1950">
        <v>281.42</v>
      </c>
      <c r="Q1950" t="s">
        <v>9896</v>
      </c>
      <c r="R1950">
        <v>7</v>
      </c>
      <c r="S1950" s="5">
        <f t="shared" si="60"/>
        <v>0.15810378826609439</v>
      </c>
      <c r="T1950">
        <v>296.66166666666669</v>
      </c>
      <c r="U1950">
        <v>12</v>
      </c>
      <c r="V1950">
        <v>2022</v>
      </c>
      <c r="W1950">
        <v>4</v>
      </c>
      <c r="X1950" t="s">
        <v>9899</v>
      </c>
      <c r="Y1950" t="s">
        <v>9901</v>
      </c>
      <c r="Z1950" t="s">
        <v>9898</v>
      </c>
      <c r="AD1950">
        <f t="shared" si="61"/>
        <v>7</v>
      </c>
    </row>
    <row r="1951" spans="1:30" x14ac:dyDescent="0.25">
      <c r="A1951" t="s">
        <v>1975</v>
      </c>
      <c r="B1951" s="2">
        <v>45404</v>
      </c>
      <c r="C1951" s="2">
        <v>45409</v>
      </c>
      <c r="D1951" t="s">
        <v>5308</v>
      </c>
      <c r="E1951" t="s">
        <v>5808</v>
      </c>
      <c r="F1951" t="s">
        <v>6027</v>
      </c>
      <c r="G1951" t="s">
        <v>6030</v>
      </c>
      <c r="H1951" t="s">
        <v>6038</v>
      </c>
      <c r="I1951" t="s">
        <v>6047</v>
      </c>
      <c r="J1951" t="s">
        <v>6053</v>
      </c>
      <c r="K1951" t="s">
        <v>6057</v>
      </c>
      <c r="L1951" t="s">
        <v>7826</v>
      </c>
      <c r="M1951">
        <v>1984.25</v>
      </c>
      <c r="N1951">
        <v>5</v>
      </c>
      <c r="O1951">
        <v>0.11</v>
      </c>
      <c r="P1951">
        <v>187.4</v>
      </c>
      <c r="Q1951" t="s">
        <v>9894</v>
      </c>
      <c r="R1951">
        <v>5</v>
      </c>
      <c r="S1951" s="5">
        <f t="shared" si="60"/>
        <v>9.4443744487841763E-2</v>
      </c>
      <c r="T1951">
        <v>396.85</v>
      </c>
      <c r="U1951">
        <v>4</v>
      </c>
      <c r="V1951">
        <v>2024</v>
      </c>
      <c r="W1951">
        <v>2</v>
      </c>
      <c r="X1951" t="s">
        <v>9899</v>
      </c>
      <c r="Y1951" t="s">
        <v>9901</v>
      </c>
      <c r="Z1951" t="s">
        <v>9898</v>
      </c>
      <c r="AD1951">
        <f t="shared" si="61"/>
        <v>5</v>
      </c>
    </row>
    <row r="1952" spans="1:30" x14ac:dyDescent="0.25">
      <c r="A1952" t="s">
        <v>1976</v>
      </c>
      <c r="B1952" s="2">
        <v>44826</v>
      </c>
      <c r="C1952" s="2">
        <v>44832</v>
      </c>
      <c r="D1952" t="s">
        <v>5273</v>
      </c>
      <c r="E1952" t="s">
        <v>5773</v>
      </c>
      <c r="F1952" t="s">
        <v>6028</v>
      </c>
      <c r="G1952" t="s">
        <v>6029</v>
      </c>
      <c r="H1952" t="s">
        <v>6044</v>
      </c>
      <c r="I1952" t="s">
        <v>6050</v>
      </c>
      <c r="J1952" t="s">
        <v>6053</v>
      </c>
      <c r="K1952" t="s">
        <v>6056</v>
      </c>
      <c r="L1952" t="s">
        <v>7827</v>
      </c>
      <c r="M1952">
        <v>1903.21</v>
      </c>
      <c r="N1952">
        <v>5</v>
      </c>
      <c r="O1952">
        <v>0.2</v>
      </c>
      <c r="P1952">
        <v>-153.25</v>
      </c>
      <c r="Q1952" t="s">
        <v>9895</v>
      </c>
      <c r="R1952">
        <v>6</v>
      </c>
      <c r="S1952" s="5">
        <f t="shared" si="60"/>
        <v>-8.052185518150913E-2</v>
      </c>
      <c r="T1952">
        <v>380.642</v>
      </c>
      <c r="U1952">
        <v>9</v>
      </c>
      <c r="V1952">
        <v>2022</v>
      </c>
      <c r="W1952">
        <v>3</v>
      </c>
      <c r="X1952" t="s">
        <v>9898</v>
      </c>
      <c r="Y1952" t="s">
        <v>9900</v>
      </c>
      <c r="Z1952" t="s">
        <v>9898</v>
      </c>
      <c r="AD1952">
        <f t="shared" si="61"/>
        <v>6</v>
      </c>
    </row>
    <row r="1953" spans="1:30" x14ac:dyDescent="0.25">
      <c r="A1953" t="s">
        <v>1977</v>
      </c>
      <c r="B1953" s="2">
        <v>44565</v>
      </c>
      <c r="C1953" s="2">
        <v>44571</v>
      </c>
      <c r="D1953" t="s">
        <v>5493</v>
      </c>
      <c r="E1953" t="s">
        <v>5993</v>
      </c>
      <c r="F1953" t="s">
        <v>6026</v>
      </c>
      <c r="G1953" t="s">
        <v>6029</v>
      </c>
      <c r="H1953" t="s">
        <v>6041</v>
      </c>
      <c r="I1953" t="s">
        <v>6050</v>
      </c>
      <c r="J1953" t="s">
        <v>6053</v>
      </c>
      <c r="K1953" t="s">
        <v>6056</v>
      </c>
      <c r="L1953" t="s">
        <v>7828</v>
      </c>
      <c r="M1953">
        <v>439.56</v>
      </c>
      <c r="N1953">
        <v>2</v>
      </c>
      <c r="O1953">
        <v>0.28000000000000003</v>
      </c>
      <c r="P1953">
        <v>-16.64</v>
      </c>
      <c r="Q1953" t="s">
        <v>9894</v>
      </c>
      <c r="R1953">
        <v>6</v>
      </c>
      <c r="S1953" s="5">
        <f t="shared" si="60"/>
        <v>-3.7856037856037854E-2</v>
      </c>
      <c r="T1953">
        <v>219.78</v>
      </c>
      <c r="U1953">
        <v>1</v>
      </c>
      <c r="V1953">
        <v>2022</v>
      </c>
      <c r="W1953">
        <v>1</v>
      </c>
      <c r="X1953" t="s">
        <v>9898</v>
      </c>
      <c r="Y1953" t="s">
        <v>9900</v>
      </c>
      <c r="Z1953" t="s">
        <v>9899</v>
      </c>
      <c r="AD1953">
        <f t="shared" si="61"/>
        <v>6</v>
      </c>
    </row>
    <row r="1954" spans="1:30" x14ac:dyDescent="0.25">
      <c r="A1954" t="s">
        <v>1978</v>
      </c>
      <c r="B1954" s="2">
        <v>45368</v>
      </c>
      <c r="C1954" s="2">
        <v>45374</v>
      </c>
      <c r="D1954" t="s">
        <v>5397</v>
      </c>
      <c r="E1954" t="s">
        <v>5897</v>
      </c>
      <c r="F1954" t="s">
        <v>6027</v>
      </c>
      <c r="G1954" t="s">
        <v>6031</v>
      </c>
      <c r="H1954" t="s">
        <v>6037</v>
      </c>
      <c r="I1954" t="s">
        <v>6050</v>
      </c>
      <c r="J1954" t="s">
        <v>6054</v>
      </c>
      <c r="K1954" t="s">
        <v>6060</v>
      </c>
      <c r="L1954" t="s">
        <v>6811</v>
      </c>
      <c r="M1954">
        <v>1666.5</v>
      </c>
      <c r="N1954">
        <v>6</v>
      </c>
      <c r="O1954">
        <v>0.19</v>
      </c>
      <c r="P1954">
        <v>69.290000000000006</v>
      </c>
      <c r="Q1954" t="s">
        <v>9894</v>
      </c>
      <c r="R1954">
        <v>6</v>
      </c>
      <c r="S1954" s="5">
        <f t="shared" si="60"/>
        <v>4.1578157815781579E-2</v>
      </c>
      <c r="T1954">
        <v>277.75</v>
      </c>
      <c r="U1954">
        <v>3</v>
      </c>
      <c r="V1954">
        <v>2024</v>
      </c>
      <c r="W1954">
        <v>1</v>
      </c>
      <c r="X1954" t="s">
        <v>9899</v>
      </c>
      <c r="Y1954" t="s">
        <v>9900</v>
      </c>
      <c r="Z1954" t="s">
        <v>9898</v>
      </c>
      <c r="AD1954">
        <f t="shared" si="61"/>
        <v>6</v>
      </c>
    </row>
    <row r="1955" spans="1:30" x14ac:dyDescent="0.25">
      <c r="A1955" t="s">
        <v>1979</v>
      </c>
      <c r="B1955" s="2">
        <v>44974</v>
      </c>
      <c r="C1955" s="2">
        <v>44981</v>
      </c>
      <c r="D1955" t="s">
        <v>5046</v>
      </c>
      <c r="E1955" t="s">
        <v>5546</v>
      </c>
      <c r="F1955" t="s">
        <v>6026</v>
      </c>
      <c r="G1955" t="s">
        <v>6030</v>
      </c>
      <c r="H1955" t="s">
        <v>6035</v>
      </c>
      <c r="I1955" t="s">
        <v>6051</v>
      </c>
      <c r="J1955" t="s">
        <v>6053</v>
      </c>
      <c r="K1955" t="s">
        <v>6058</v>
      </c>
      <c r="L1955" t="s">
        <v>7829</v>
      </c>
      <c r="M1955">
        <v>1612.2</v>
      </c>
      <c r="N1955">
        <v>1</v>
      </c>
      <c r="O1955">
        <v>0.14000000000000001</v>
      </c>
      <c r="P1955">
        <v>31.89</v>
      </c>
      <c r="Q1955" t="s">
        <v>9893</v>
      </c>
      <c r="R1955">
        <v>7</v>
      </c>
      <c r="S1955" s="5">
        <f t="shared" si="60"/>
        <v>1.9780424264979529E-2</v>
      </c>
      <c r="T1955">
        <v>1612.2</v>
      </c>
      <c r="U1955">
        <v>2</v>
      </c>
      <c r="V1955">
        <v>2023</v>
      </c>
      <c r="W1955">
        <v>1</v>
      </c>
      <c r="X1955" t="s">
        <v>9899</v>
      </c>
      <c r="Y1955" t="s">
        <v>9901</v>
      </c>
      <c r="Z1955" t="s">
        <v>9898</v>
      </c>
      <c r="AD1955">
        <f t="shared" si="61"/>
        <v>7</v>
      </c>
    </row>
    <row r="1956" spans="1:30" x14ac:dyDescent="0.25">
      <c r="A1956" t="s">
        <v>1980</v>
      </c>
      <c r="B1956" s="2">
        <v>45362</v>
      </c>
      <c r="C1956" s="2">
        <v>45363</v>
      </c>
      <c r="D1956" t="s">
        <v>5085</v>
      </c>
      <c r="E1956" t="s">
        <v>5585</v>
      </c>
      <c r="F1956" t="s">
        <v>6026</v>
      </c>
      <c r="G1956" t="s">
        <v>6029</v>
      </c>
      <c r="H1956" t="s">
        <v>6036</v>
      </c>
      <c r="I1956" t="s">
        <v>6049</v>
      </c>
      <c r="J1956" t="s">
        <v>6055</v>
      </c>
      <c r="K1956" t="s">
        <v>6064</v>
      </c>
      <c r="L1956" t="s">
        <v>7830</v>
      </c>
      <c r="M1956">
        <v>557.99</v>
      </c>
      <c r="N1956">
        <v>8</v>
      </c>
      <c r="O1956">
        <v>0.03</v>
      </c>
      <c r="P1956">
        <v>133.12</v>
      </c>
      <c r="Q1956" t="s">
        <v>9896</v>
      </c>
      <c r="R1956">
        <v>1</v>
      </c>
      <c r="S1956" s="5">
        <f t="shared" si="60"/>
        <v>0.2385705837022169</v>
      </c>
      <c r="T1956">
        <v>69.748750000000001</v>
      </c>
      <c r="U1956">
        <v>3</v>
      </c>
      <c r="V1956">
        <v>2024</v>
      </c>
      <c r="W1956">
        <v>1</v>
      </c>
      <c r="X1956" t="s">
        <v>9899</v>
      </c>
      <c r="Y1956" t="s">
        <v>9901</v>
      </c>
      <c r="Z1956" t="s">
        <v>9899</v>
      </c>
      <c r="AD1956">
        <f t="shared" si="61"/>
        <v>1</v>
      </c>
    </row>
    <row r="1957" spans="1:30" x14ac:dyDescent="0.25">
      <c r="A1957" t="s">
        <v>1981</v>
      </c>
      <c r="B1957" s="2">
        <v>44874</v>
      </c>
      <c r="C1957" s="2">
        <v>44880</v>
      </c>
      <c r="D1957" t="s">
        <v>5094</v>
      </c>
      <c r="E1957" t="s">
        <v>5594</v>
      </c>
      <c r="F1957" t="s">
        <v>6026</v>
      </c>
      <c r="G1957" t="s">
        <v>6031</v>
      </c>
      <c r="H1957" t="s">
        <v>6034</v>
      </c>
      <c r="I1957" t="s">
        <v>6048</v>
      </c>
      <c r="J1957" t="s">
        <v>6054</v>
      </c>
      <c r="K1957" t="s">
        <v>6059</v>
      </c>
      <c r="L1957" t="s">
        <v>7831</v>
      </c>
      <c r="M1957">
        <v>619.49</v>
      </c>
      <c r="N1957">
        <v>4</v>
      </c>
      <c r="O1957">
        <v>0.2</v>
      </c>
      <c r="P1957">
        <v>49.93</v>
      </c>
      <c r="Q1957" t="s">
        <v>9896</v>
      </c>
      <c r="R1957">
        <v>6</v>
      </c>
      <c r="S1957" s="5">
        <f t="shared" si="60"/>
        <v>8.0598556877431435E-2</v>
      </c>
      <c r="T1957">
        <v>154.8725</v>
      </c>
      <c r="U1957">
        <v>11</v>
      </c>
      <c r="V1957">
        <v>2022</v>
      </c>
      <c r="W1957">
        <v>4</v>
      </c>
      <c r="X1957" t="s">
        <v>9899</v>
      </c>
      <c r="Y1957" t="s">
        <v>9900</v>
      </c>
      <c r="Z1957" t="s">
        <v>9899</v>
      </c>
      <c r="AD1957">
        <f t="shared" si="61"/>
        <v>6</v>
      </c>
    </row>
    <row r="1958" spans="1:30" x14ac:dyDescent="0.25">
      <c r="A1958" t="s">
        <v>1982</v>
      </c>
      <c r="B1958" s="2">
        <v>45069</v>
      </c>
      <c r="C1958" s="2">
        <v>45075</v>
      </c>
      <c r="D1958" t="s">
        <v>5465</v>
      </c>
      <c r="E1958" t="s">
        <v>5965</v>
      </c>
      <c r="F1958" t="s">
        <v>6026</v>
      </c>
      <c r="G1958" t="s">
        <v>6031</v>
      </c>
      <c r="H1958" t="s">
        <v>6042</v>
      </c>
      <c r="I1958" t="s">
        <v>6052</v>
      </c>
      <c r="J1958" t="s">
        <v>6055</v>
      </c>
      <c r="K1958" t="s">
        <v>6064</v>
      </c>
      <c r="L1958" t="s">
        <v>7832</v>
      </c>
      <c r="M1958">
        <v>461.45</v>
      </c>
      <c r="N1958">
        <v>5</v>
      </c>
      <c r="O1958">
        <v>0.26</v>
      </c>
      <c r="P1958">
        <v>14.32</v>
      </c>
      <c r="Q1958" t="s">
        <v>9896</v>
      </c>
      <c r="R1958">
        <v>6</v>
      </c>
      <c r="S1958" s="5">
        <f t="shared" si="60"/>
        <v>3.1032614584462024E-2</v>
      </c>
      <c r="T1958">
        <v>92.289999999999992</v>
      </c>
      <c r="U1958">
        <v>5</v>
      </c>
      <c r="V1958">
        <v>2023</v>
      </c>
      <c r="W1958">
        <v>2</v>
      </c>
      <c r="X1958" t="s">
        <v>9899</v>
      </c>
      <c r="Y1958" t="s">
        <v>9900</v>
      </c>
      <c r="Z1958" t="s">
        <v>9899</v>
      </c>
      <c r="AD1958">
        <f t="shared" si="61"/>
        <v>6</v>
      </c>
    </row>
    <row r="1959" spans="1:30" x14ac:dyDescent="0.25">
      <c r="A1959" t="s">
        <v>1983</v>
      </c>
      <c r="B1959" s="2">
        <v>45329</v>
      </c>
      <c r="C1959" s="2">
        <v>45330</v>
      </c>
      <c r="D1959" t="s">
        <v>5517</v>
      </c>
      <c r="E1959" t="s">
        <v>6017</v>
      </c>
      <c r="F1959" t="s">
        <v>6027</v>
      </c>
      <c r="G1959" t="s">
        <v>6029</v>
      </c>
      <c r="H1959" t="s">
        <v>6032</v>
      </c>
      <c r="I1959" t="s">
        <v>6046</v>
      </c>
      <c r="J1959" t="s">
        <v>6055</v>
      </c>
      <c r="K1959" t="s">
        <v>6064</v>
      </c>
      <c r="L1959" t="s">
        <v>7833</v>
      </c>
      <c r="M1959">
        <v>1935.15</v>
      </c>
      <c r="N1959">
        <v>2</v>
      </c>
      <c r="O1959">
        <v>0.33</v>
      </c>
      <c r="P1959">
        <v>-323.89999999999998</v>
      </c>
      <c r="Q1959" t="s">
        <v>9895</v>
      </c>
      <c r="R1959">
        <v>1</v>
      </c>
      <c r="S1959" s="5">
        <f t="shared" si="60"/>
        <v>-0.1673772059013513</v>
      </c>
      <c r="T1959">
        <v>967.57500000000005</v>
      </c>
      <c r="U1959">
        <v>2</v>
      </c>
      <c r="V1959">
        <v>2024</v>
      </c>
      <c r="W1959">
        <v>1</v>
      </c>
      <c r="X1959" t="s">
        <v>9898</v>
      </c>
      <c r="Y1959" t="s">
        <v>9902</v>
      </c>
      <c r="Z1959" t="s">
        <v>9898</v>
      </c>
      <c r="AD1959">
        <f t="shared" si="61"/>
        <v>1</v>
      </c>
    </row>
    <row r="1960" spans="1:30" x14ac:dyDescent="0.25">
      <c r="A1960" t="s">
        <v>1984</v>
      </c>
      <c r="B1960" s="2">
        <v>45245</v>
      </c>
      <c r="C1960" s="2">
        <v>45252</v>
      </c>
      <c r="D1960" t="s">
        <v>5486</v>
      </c>
      <c r="E1960" t="s">
        <v>5986</v>
      </c>
      <c r="F1960" t="s">
        <v>6026</v>
      </c>
      <c r="G1960" t="s">
        <v>6029</v>
      </c>
      <c r="H1960" t="s">
        <v>6032</v>
      </c>
      <c r="I1960" t="s">
        <v>6049</v>
      </c>
      <c r="J1960" t="s">
        <v>6053</v>
      </c>
      <c r="K1960" t="s">
        <v>6057</v>
      </c>
      <c r="L1960" t="s">
        <v>7470</v>
      </c>
      <c r="M1960">
        <v>1170.72</v>
      </c>
      <c r="N1960">
        <v>2</v>
      </c>
      <c r="O1960">
        <v>0.25</v>
      </c>
      <c r="P1960">
        <v>-119.62</v>
      </c>
      <c r="Q1960" t="s">
        <v>9893</v>
      </c>
      <c r="R1960">
        <v>7</v>
      </c>
      <c r="S1960" s="5">
        <f t="shared" si="60"/>
        <v>-0.10217643843105098</v>
      </c>
      <c r="T1960">
        <v>585.36</v>
      </c>
      <c r="U1960">
        <v>11</v>
      </c>
      <c r="V1960">
        <v>2023</v>
      </c>
      <c r="W1960">
        <v>4</v>
      </c>
      <c r="X1960" t="s">
        <v>9898</v>
      </c>
      <c r="Y1960" t="s">
        <v>9900</v>
      </c>
      <c r="Z1960" t="s">
        <v>9898</v>
      </c>
      <c r="AD1960">
        <f t="shared" si="61"/>
        <v>7</v>
      </c>
    </row>
    <row r="1961" spans="1:30" x14ac:dyDescent="0.25">
      <c r="A1961" t="s">
        <v>1985</v>
      </c>
      <c r="B1961" s="2">
        <v>44690</v>
      </c>
      <c r="C1961" s="2">
        <v>44697</v>
      </c>
      <c r="D1961" t="s">
        <v>5096</v>
      </c>
      <c r="E1961" t="s">
        <v>5596</v>
      </c>
      <c r="F1961" t="s">
        <v>6027</v>
      </c>
      <c r="G1961" t="s">
        <v>6029</v>
      </c>
      <c r="H1961" t="s">
        <v>6032</v>
      </c>
      <c r="I1961" t="s">
        <v>6050</v>
      </c>
      <c r="J1961" t="s">
        <v>6054</v>
      </c>
      <c r="K1961" t="s">
        <v>6060</v>
      </c>
      <c r="L1961" t="s">
        <v>7834</v>
      </c>
      <c r="M1961">
        <v>1579.6</v>
      </c>
      <c r="N1961">
        <v>6</v>
      </c>
      <c r="O1961">
        <v>0.13</v>
      </c>
      <c r="P1961">
        <v>226.72</v>
      </c>
      <c r="Q1961" t="s">
        <v>9894</v>
      </c>
      <c r="R1961">
        <v>7</v>
      </c>
      <c r="S1961" s="5">
        <f t="shared" si="60"/>
        <v>0.14353000759685997</v>
      </c>
      <c r="T1961">
        <v>263.26666666666671</v>
      </c>
      <c r="U1961">
        <v>5</v>
      </c>
      <c r="V1961">
        <v>2022</v>
      </c>
      <c r="W1961">
        <v>2</v>
      </c>
      <c r="X1961" t="s">
        <v>9899</v>
      </c>
      <c r="Y1961" t="s">
        <v>9901</v>
      </c>
      <c r="Z1961" t="s">
        <v>9898</v>
      </c>
      <c r="AD1961">
        <f t="shared" si="61"/>
        <v>7</v>
      </c>
    </row>
    <row r="1962" spans="1:30" x14ac:dyDescent="0.25">
      <c r="A1962" t="s">
        <v>1986</v>
      </c>
      <c r="B1962" s="2">
        <v>45376</v>
      </c>
      <c r="C1962" s="2">
        <v>45381</v>
      </c>
      <c r="D1962" t="s">
        <v>5089</v>
      </c>
      <c r="E1962" t="s">
        <v>5589</v>
      </c>
      <c r="F1962" t="s">
        <v>6026</v>
      </c>
      <c r="G1962" t="s">
        <v>6029</v>
      </c>
      <c r="H1962" t="s">
        <v>6045</v>
      </c>
      <c r="I1962" t="s">
        <v>6049</v>
      </c>
      <c r="J1962" t="s">
        <v>6055</v>
      </c>
      <c r="K1962" t="s">
        <v>6061</v>
      </c>
      <c r="L1962" t="s">
        <v>7835</v>
      </c>
      <c r="M1962">
        <v>277.35000000000002</v>
      </c>
      <c r="N1962">
        <v>1</v>
      </c>
      <c r="O1962">
        <v>0.18</v>
      </c>
      <c r="P1962">
        <v>17.71</v>
      </c>
      <c r="Q1962" t="s">
        <v>9895</v>
      </c>
      <c r="R1962">
        <v>5</v>
      </c>
      <c r="S1962" s="5">
        <f t="shared" si="60"/>
        <v>6.3854335676942486E-2</v>
      </c>
      <c r="T1962">
        <v>277.35000000000002</v>
      </c>
      <c r="U1962">
        <v>3</v>
      </c>
      <c r="V1962">
        <v>2024</v>
      </c>
      <c r="W1962">
        <v>1</v>
      </c>
      <c r="X1962" t="s">
        <v>9899</v>
      </c>
      <c r="Y1962" t="s">
        <v>9900</v>
      </c>
      <c r="Z1962" t="s">
        <v>9899</v>
      </c>
      <c r="AD1962">
        <f t="shared" si="61"/>
        <v>5</v>
      </c>
    </row>
    <row r="1963" spans="1:30" x14ac:dyDescent="0.25">
      <c r="A1963" t="s">
        <v>1987</v>
      </c>
      <c r="B1963" s="2">
        <v>44592</v>
      </c>
      <c r="C1963" s="2">
        <v>44593</v>
      </c>
      <c r="D1963" t="s">
        <v>5490</v>
      </c>
      <c r="E1963" t="s">
        <v>5990</v>
      </c>
      <c r="F1963" t="s">
        <v>6027</v>
      </c>
      <c r="G1963" t="s">
        <v>6030</v>
      </c>
      <c r="H1963" t="s">
        <v>6035</v>
      </c>
      <c r="I1963" t="s">
        <v>6047</v>
      </c>
      <c r="J1963" t="s">
        <v>6053</v>
      </c>
      <c r="K1963" t="s">
        <v>6056</v>
      </c>
      <c r="L1963" t="s">
        <v>7836</v>
      </c>
      <c r="M1963">
        <v>1035.9000000000001</v>
      </c>
      <c r="N1963">
        <v>1</v>
      </c>
      <c r="O1963">
        <v>0.08</v>
      </c>
      <c r="P1963">
        <v>94.59</v>
      </c>
      <c r="Q1963" t="s">
        <v>9893</v>
      </c>
      <c r="R1963">
        <v>1</v>
      </c>
      <c r="S1963" s="5">
        <f t="shared" si="60"/>
        <v>9.131190269331016E-2</v>
      </c>
      <c r="T1963">
        <v>1035.9000000000001</v>
      </c>
      <c r="U1963">
        <v>1</v>
      </c>
      <c r="V1963">
        <v>2022</v>
      </c>
      <c r="W1963">
        <v>1</v>
      </c>
      <c r="X1963" t="s">
        <v>9899</v>
      </c>
      <c r="Y1963" t="s">
        <v>9901</v>
      </c>
      <c r="Z1963" t="s">
        <v>9898</v>
      </c>
      <c r="AD1963">
        <f t="shared" si="61"/>
        <v>1</v>
      </c>
    </row>
    <row r="1964" spans="1:30" x14ac:dyDescent="0.25">
      <c r="A1964" t="s">
        <v>1988</v>
      </c>
      <c r="B1964" s="2">
        <v>44927</v>
      </c>
      <c r="C1964" s="2">
        <v>44932</v>
      </c>
      <c r="D1964" t="s">
        <v>5273</v>
      </c>
      <c r="E1964" t="s">
        <v>5773</v>
      </c>
      <c r="F1964" t="s">
        <v>6027</v>
      </c>
      <c r="G1964" t="s">
        <v>6029</v>
      </c>
      <c r="H1964" t="s">
        <v>6036</v>
      </c>
      <c r="I1964" t="s">
        <v>6050</v>
      </c>
      <c r="J1964" t="s">
        <v>6054</v>
      </c>
      <c r="K1964" t="s">
        <v>6062</v>
      </c>
      <c r="L1964" t="s">
        <v>6879</v>
      </c>
      <c r="M1964">
        <v>559.12</v>
      </c>
      <c r="N1964">
        <v>3</v>
      </c>
      <c r="O1964">
        <v>0.19</v>
      </c>
      <c r="P1964">
        <v>7.73</v>
      </c>
      <c r="Q1964" t="s">
        <v>9895</v>
      </c>
      <c r="R1964">
        <v>5</v>
      </c>
      <c r="S1964" s="5">
        <f t="shared" si="60"/>
        <v>1.3825296895120905E-2</v>
      </c>
      <c r="T1964">
        <v>186.37333333333331</v>
      </c>
      <c r="U1964">
        <v>1</v>
      </c>
      <c r="V1964">
        <v>2023</v>
      </c>
      <c r="W1964">
        <v>1</v>
      </c>
      <c r="X1964" t="s">
        <v>9899</v>
      </c>
      <c r="Y1964" t="s">
        <v>9900</v>
      </c>
      <c r="Z1964" t="s">
        <v>9899</v>
      </c>
      <c r="AD1964">
        <f t="shared" si="61"/>
        <v>5</v>
      </c>
    </row>
    <row r="1965" spans="1:30" x14ac:dyDescent="0.25">
      <c r="A1965" t="s">
        <v>1989</v>
      </c>
      <c r="B1965" s="2">
        <v>45069</v>
      </c>
      <c r="C1965" s="2">
        <v>45071</v>
      </c>
      <c r="D1965" t="s">
        <v>5290</v>
      </c>
      <c r="E1965" t="s">
        <v>5790</v>
      </c>
      <c r="F1965" t="s">
        <v>6028</v>
      </c>
      <c r="G1965" t="s">
        <v>6030</v>
      </c>
      <c r="H1965" t="s">
        <v>6033</v>
      </c>
      <c r="I1965" t="s">
        <v>6047</v>
      </c>
      <c r="J1965" t="s">
        <v>6054</v>
      </c>
      <c r="K1965" t="s">
        <v>6062</v>
      </c>
      <c r="L1965" t="s">
        <v>7520</v>
      </c>
      <c r="M1965">
        <v>758.91</v>
      </c>
      <c r="N1965">
        <v>5</v>
      </c>
      <c r="O1965">
        <v>0.16</v>
      </c>
      <c r="P1965">
        <v>-15.56</v>
      </c>
      <c r="Q1965" t="s">
        <v>9897</v>
      </c>
      <c r="R1965">
        <v>2</v>
      </c>
      <c r="S1965" s="5">
        <f t="shared" si="60"/>
        <v>-2.0503089957966032E-2</v>
      </c>
      <c r="T1965">
        <v>151.78200000000001</v>
      </c>
      <c r="U1965">
        <v>5</v>
      </c>
      <c r="V1965">
        <v>2023</v>
      </c>
      <c r="W1965">
        <v>2</v>
      </c>
      <c r="X1965" t="s">
        <v>9898</v>
      </c>
      <c r="Y1965" t="s">
        <v>9900</v>
      </c>
      <c r="Z1965" t="s">
        <v>9899</v>
      </c>
      <c r="AD1965">
        <f t="shared" si="61"/>
        <v>2</v>
      </c>
    </row>
    <row r="1966" spans="1:30" x14ac:dyDescent="0.25">
      <c r="A1966" t="s">
        <v>1990</v>
      </c>
      <c r="B1966" s="2">
        <v>45409</v>
      </c>
      <c r="C1966" s="2">
        <v>45414</v>
      </c>
      <c r="D1966" t="s">
        <v>5357</v>
      </c>
      <c r="E1966" t="s">
        <v>5857</v>
      </c>
      <c r="F1966" t="s">
        <v>6027</v>
      </c>
      <c r="G1966" t="s">
        <v>6030</v>
      </c>
      <c r="H1966" t="s">
        <v>6039</v>
      </c>
      <c r="I1966" t="s">
        <v>6051</v>
      </c>
      <c r="J1966" t="s">
        <v>6053</v>
      </c>
      <c r="K1966" t="s">
        <v>6057</v>
      </c>
      <c r="L1966" t="s">
        <v>7837</v>
      </c>
      <c r="M1966">
        <v>402.68</v>
      </c>
      <c r="N1966">
        <v>5</v>
      </c>
      <c r="O1966">
        <v>0.33</v>
      </c>
      <c r="P1966">
        <v>-22.3</v>
      </c>
      <c r="Q1966" t="s">
        <v>9897</v>
      </c>
      <c r="R1966">
        <v>5</v>
      </c>
      <c r="S1966" s="5">
        <f t="shared" si="60"/>
        <v>-5.5378960961557568E-2</v>
      </c>
      <c r="T1966">
        <v>80.536000000000001</v>
      </c>
      <c r="U1966">
        <v>4</v>
      </c>
      <c r="V1966">
        <v>2024</v>
      </c>
      <c r="W1966">
        <v>2</v>
      </c>
      <c r="X1966" t="s">
        <v>9898</v>
      </c>
      <c r="Y1966" t="s">
        <v>9902</v>
      </c>
      <c r="Z1966" t="s">
        <v>9899</v>
      </c>
      <c r="AD1966">
        <f t="shared" si="61"/>
        <v>5</v>
      </c>
    </row>
    <row r="1967" spans="1:30" x14ac:dyDescent="0.25">
      <c r="A1967" t="s">
        <v>1991</v>
      </c>
      <c r="B1967" s="2">
        <v>44873</v>
      </c>
      <c r="C1967" s="2">
        <v>44874</v>
      </c>
      <c r="D1967" t="s">
        <v>5170</v>
      </c>
      <c r="E1967" t="s">
        <v>5670</v>
      </c>
      <c r="F1967" t="s">
        <v>6027</v>
      </c>
      <c r="G1967" t="s">
        <v>6029</v>
      </c>
      <c r="H1967" t="s">
        <v>6036</v>
      </c>
      <c r="I1967" t="s">
        <v>6046</v>
      </c>
      <c r="J1967" t="s">
        <v>6055</v>
      </c>
      <c r="K1967" t="s">
        <v>6064</v>
      </c>
      <c r="L1967" t="s">
        <v>7466</v>
      </c>
      <c r="M1967">
        <v>333.02</v>
      </c>
      <c r="N1967">
        <v>1</v>
      </c>
      <c r="O1967">
        <v>0.27</v>
      </c>
      <c r="P1967">
        <v>-6.78</v>
      </c>
      <c r="Q1967" t="s">
        <v>9894</v>
      </c>
      <c r="R1967">
        <v>1</v>
      </c>
      <c r="S1967" s="5">
        <f t="shared" si="60"/>
        <v>-2.0359137589333977E-2</v>
      </c>
      <c r="T1967">
        <v>333.02</v>
      </c>
      <c r="U1967">
        <v>11</v>
      </c>
      <c r="V1967">
        <v>2022</v>
      </c>
      <c r="W1967">
        <v>4</v>
      </c>
      <c r="X1967" t="s">
        <v>9898</v>
      </c>
      <c r="Y1967" t="s">
        <v>9900</v>
      </c>
      <c r="Z1967" t="s">
        <v>9899</v>
      </c>
      <c r="AD1967">
        <f t="shared" si="61"/>
        <v>1</v>
      </c>
    </row>
    <row r="1968" spans="1:30" x14ac:dyDescent="0.25">
      <c r="A1968" t="s">
        <v>1992</v>
      </c>
      <c r="B1968" s="2">
        <v>45422</v>
      </c>
      <c r="C1968" s="2">
        <v>45427</v>
      </c>
      <c r="D1968" t="s">
        <v>5266</v>
      </c>
      <c r="E1968" t="s">
        <v>5766</v>
      </c>
      <c r="F1968" t="s">
        <v>6027</v>
      </c>
      <c r="G1968" t="s">
        <v>6031</v>
      </c>
      <c r="H1968" t="s">
        <v>6043</v>
      </c>
      <c r="I1968" t="s">
        <v>6052</v>
      </c>
      <c r="J1968" t="s">
        <v>6055</v>
      </c>
      <c r="K1968" t="s">
        <v>6061</v>
      </c>
      <c r="L1968" t="s">
        <v>7838</v>
      </c>
      <c r="M1968">
        <v>1158.94</v>
      </c>
      <c r="N1968">
        <v>3</v>
      </c>
      <c r="O1968">
        <v>0.1</v>
      </c>
      <c r="P1968">
        <v>155.02000000000001</v>
      </c>
      <c r="Q1968" t="s">
        <v>9895</v>
      </c>
      <c r="R1968">
        <v>5</v>
      </c>
      <c r="S1968" s="5">
        <f t="shared" si="60"/>
        <v>0.13376016014634062</v>
      </c>
      <c r="T1968">
        <v>386.31333333333328</v>
      </c>
      <c r="U1968">
        <v>5</v>
      </c>
      <c r="V1968">
        <v>2024</v>
      </c>
      <c r="W1968">
        <v>2</v>
      </c>
      <c r="X1968" t="s">
        <v>9899</v>
      </c>
      <c r="Y1968" t="s">
        <v>9901</v>
      </c>
      <c r="Z1968" t="s">
        <v>9898</v>
      </c>
      <c r="AD1968">
        <f t="shared" si="61"/>
        <v>5</v>
      </c>
    </row>
    <row r="1969" spans="1:30" x14ac:dyDescent="0.25">
      <c r="A1969" t="s">
        <v>1993</v>
      </c>
      <c r="B1969" s="2">
        <v>44600</v>
      </c>
      <c r="C1969" s="2">
        <v>44601</v>
      </c>
      <c r="D1969" t="s">
        <v>5101</v>
      </c>
      <c r="E1969" t="s">
        <v>5601</v>
      </c>
      <c r="F1969" t="s">
        <v>6028</v>
      </c>
      <c r="G1969" t="s">
        <v>6030</v>
      </c>
      <c r="H1969" t="s">
        <v>6033</v>
      </c>
      <c r="I1969" t="s">
        <v>6051</v>
      </c>
      <c r="J1969" t="s">
        <v>6054</v>
      </c>
      <c r="K1969" t="s">
        <v>6062</v>
      </c>
      <c r="L1969" t="s">
        <v>7381</v>
      </c>
      <c r="M1969">
        <v>1320.59</v>
      </c>
      <c r="N1969">
        <v>7</v>
      </c>
      <c r="O1969">
        <v>0.21</v>
      </c>
      <c r="P1969">
        <v>-73.78</v>
      </c>
      <c r="Q1969" t="s">
        <v>9896</v>
      </c>
      <c r="R1969">
        <v>1</v>
      </c>
      <c r="S1969" s="5">
        <f t="shared" si="60"/>
        <v>-5.5868967658395115E-2</v>
      </c>
      <c r="T1969">
        <v>188.65571428571431</v>
      </c>
      <c r="U1969">
        <v>2</v>
      </c>
      <c r="V1969">
        <v>2022</v>
      </c>
      <c r="W1969">
        <v>1</v>
      </c>
      <c r="X1969" t="s">
        <v>9898</v>
      </c>
      <c r="Y1969" t="s">
        <v>9900</v>
      </c>
      <c r="Z1969" t="s">
        <v>9898</v>
      </c>
      <c r="AD1969">
        <f t="shared" si="61"/>
        <v>1</v>
      </c>
    </row>
    <row r="1970" spans="1:30" x14ac:dyDescent="0.25">
      <c r="A1970" t="s">
        <v>1994</v>
      </c>
      <c r="B1970" s="2">
        <v>44958</v>
      </c>
      <c r="C1970" s="2">
        <v>44963</v>
      </c>
      <c r="D1970" t="s">
        <v>5197</v>
      </c>
      <c r="E1970" t="s">
        <v>5697</v>
      </c>
      <c r="F1970" t="s">
        <v>6026</v>
      </c>
      <c r="G1970" t="s">
        <v>6029</v>
      </c>
      <c r="H1970" t="s">
        <v>6041</v>
      </c>
      <c r="I1970" t="s">
        <v>6046</v>
      </c>
      <c r="J1970" t="s">
        <v>6055</v>
      </c>
      <c r="K1970" t="s">
        <v>6061</v>
      </c>
      <c r="L1970" t="s">
        <v>6234</v>
      </c>
      <c r="M1970">
        <v>685.18</v>
      </c>
      <c r="N1970">
        <v>4</v>
      </c>
      <c r="O1970">
        <v>0.14000000000000001</v>
      </c>
      <c r="P1970">
        <v>2.12</v>
      </c>
      <c r="Q1970" t="s">
        <v>9897</v>
      </c>
      <c r="R1970">
        <v>5</v>
      </c>
      <c r="S1970" s="5">
        <f t="shared" si="60"/>
        <v>3.0940774686943583E-3</v>
      </c>
      <c r="T1970">
        <v>171.29499999999999</v>
      </c>
      <c r="U1970">
        <v>2</v>
      </c>
      <c r="V1970">
        <v>2023</v>
      </c>
      <c r="W1970">
        <v>1</v>
      </c>
      <c r="X1970" t="s">
        <v>9899</v>
      </c>
      <c r="Y1970" t="s">
        <v>9901</v>
      </c>
      <c r="Z1970" t="s">
        <v>9899</v>
      </c>
      <c r="AD1970">
        <f t="shared" si="61"/>
        <v>5</v>
      </c>
    </row>
    <row r="1971" spans="1:30" x14ac:dyDescent="0.25">
      <c r="A1971" t="s">
        <v>1995</v>
      </c>
      <c r="B1971" s="2">
        <v>45327</v>
      </c>
      <c r="C1971" s="2">
        <v>45330</v>
      </c>
      <c r="D1971" t="s">
        <v>5439</v>
      </c>
      <c r="E1971" t="s">
        <v>5939</v>
      </c>
      <c r="F1971" t="s">
        <v>6026</v>
      </c>
      <c r="G1971" t="s">
        <v>6031</v>
      </c>
      <c r="H1971" t="s">
        <v>6034</v>
      </c>
      <c r="I1971" t="s">
        <v>6050</v>
      </c>
      <c r="J1971" t="s">
        <v>6055</v>
      </c>
      <c r="K1971" t="s">
        <v>6064</v>
      </c>
      <c r="L1971" t="s">
        <v>7839</v>
      </c>
      <c r="M1971">
        <v>1992.61</v>
      </c>
      <c r="N1971">
        <v>5</v>
      </c>
      <c r="O1971">
        <v>0.09</v>
      </c>
      <c r="P1971">
        <v>277.20999999999998</v>
      </c>
      <c r="Q1971" t="s">
        <v>9896</v>
      </c>
      <c r="R1971">
        <v>3</v>
      </c>
      <c r="S1971" s="5">
        <f t="shared" si="60"/>
        <v>0.1391190448707976</v>
      </c>
      <c r="T1971">
        <v>398.52199999999999</v>
      </c>
      <c r="U1971">
        <v>2</v>
      </c>
      <c r="V1971">
        <v>2024</v>
      </c>
      <c r="W1971">
        <v>1</v>
      </c>
      <c r="X1971" t="s">
        <v>9899</v>
      </c>
      <c r="Y1971" t="s">
        <v>9901</v>
      </c>
      <c r="Z1971" t="s">
        <v>9898</v>
      </c>
      <c r="AD1971">
        <f t="shared" si="61"/>
        <v>3</v>
      </c>
    </row>
    <row r="1972" spans="1:30" x14ac:dyDescent="0.25">
      <c r="A1972" t="s">
        <v>1996</v>
      </c>
      <c r="B1972" s="2">
        <v>45301</v>
      </c>
      <c r="C1972" s="2">
        <v>45306</v>
      </c>
      <c r="D1972" t="s">
        <v>5121</v>
      </c>
      <c r="E1972" t="s">
        <v>5621</v>
      </c>
      <c r="F1972" t="s">
        <v>6028</v>
      </c>
      <c r="G1972" t="s">
        <v>6031</v>
      </c>
      <c r="H1972" t="s">
        <v>6034</v>
      </c>
      <c r="I1972" t="s">
        <v>6052</v>
      </c>
      <c r="J1972" t="s">
        <v>6055</v>
      </c>
      <c r="K1972" t="s">
        <v>6064</v>
      </c>
      <c r="L1972" t="s">
        <v>6588</v>
      </c>
      <c r="M1972">
        <v>902.19</v>
      </c>
      <c r="N1972">
        <v>3</v>
      </c>
      <c r="O1972">
        <v>0.1</v>
      </c>
      <c r="P1972">
        <v>5.35</v>
      </c>
      <c r="Q1972" t="s">
        <v>9895</v>
      </c>
      <c r="R1972">
        <v>5</v>
      </c>
      <c r="S1972" s="5">
        <f t="shared" si="60"/>
        <v>5.9300147419058058E-3</v>
      </c>
      <c r="T1972">
        <v>300.73</v>
      </c>
      <c r="U1972">
        <v>1</v>
      </c>
      <c r="V1972">
        <v>2024</v>
      </c>
      <c r="W1972">
        <v>1</v>
      </c>
      <c r="X1972" t="s">
        <v>9899</v>
      </c>
      <c r="Y1972" t="s">
        <v>9901</v>
      </c>
      <c r="Z1972" t="s">
        <v>9899</v>
      </c>
      <c r="AD1972">
        <f t="shared" si="61"/>
        <v>5</v>
      </c>
    </row>
    <row r="1973" spans="1:30" x14ac:dyDescent="0.25">
      <c r="A1973" t="s">
        <v>1997</v>
      </c>
      <c r="B1973" s="2">
        <v>45239</v>
      </c>
      <c r="C1973" s="2">
        <v>45240</v>
      </c>
      <c r="D1973" t="s">
        <v>5295</v>
      </c>
      <c r="E1973" t="s">
        <v>5795</v>
      </c>
      <c r="F1973" t="s">
        <v>6028</v>
      </c>
      <c r="G1973" t="s">
        <v>6030</v>
      </c>
      <c r="H1973" t="s">
        <v>6033</v>
      </c>
      <c r="I1973" t="s">
        <v>6051</v>
      </c>
      <c r="J1973" t="s">
        <v>6054</v>
      </c>
      <c r="K1973" t="s">
        <v>6062</v>
      </c>
      <c r="L1973" t="s">
        <v>7840</v>
      </c>
      <c r="M1973">
        <v>1440.94</v>
      </c>
      <c r="N1973">
        <v>1</v>
      </c>
      <c r="O1973">
        <v>0.01</v>
      </c>
      <c r="P1973">
        <v>364.7</v>
      </c>
      <c r="Q1973" t="s">
        <v>9897</v>
      </c>
      <c r="R1973">
        <v>1</v>
      </c>
      <c r="S1973" s="5">
        <f t="shared" si="60"/>
        <v>0.25309867170041778</v>
      </c>
      <c r="T1973">
        <v>1440.94</v>
      </c>
      <c r="U1973">
        <v>11</v>
      </c>
      <c r="V1973">
        <v>2023</v>
      </c>
      <c r="W1973">
        <v>4</v>
      </c>
      <c r="X1973" t="s">
        <v>9899</v>
      </c>
      <c r="Y1973" t="s">
        <v>9901</v>
      </c>
      <c r="Z1973" t="s">
        <v>9898</v>
      </c>
      <c r="AD1973">
        <f t="shared" si="61"/>
        <v>1</v>
      </c>
    </row>
    <row r="1974" spans="1:30" x14ac:dyDescent="0.25">
      <c r="A1974" t="s">
        <v>1998</v>
      </c>
      <c r="B1974" s="2">
        <v>44797</v>
      </c>
      <c r="C1974" s="2">
        <v>44804</v>
      </c>
      <c r="D1974" t="s">
        <v>5186</v>
      </c>
      <c r="E1974" t="s">
        <v>5686</v>
      </c>
      <c r="F1974" t="s">
        <v>6026</v>
      </c>
      <c r="G1974" t="s">
        <v>6029</v>
      </c>
      <c r="H1974" t="s">
        <v>6045</v>
      </c>
      <c r="I1974" t="s">
        <v>6050</v>
      </c>
      <c r="J1974" t="s">
        <v>6053</v>
      </c>
      <c r="K1974" t="s">
        <v>6056</v>
      </c>
      <c r="L1974" t="s">
        <v>7841</v>
      </c>
      <c r="M1974">
        <v>1438.95</v>
      </c>
      <c r="N1974">
        <v>2</v>
      </c>
      <c r="O1974">
        <v>0.25</v>
      </c>
      <c r="P1974">
        <v>-194.03</v>
      </c>
      <c r="Q1974" t="s">
        <v>9894</v>
      </c>
      <c r="R1974">
        <v>7</v>
      </c>
      <c r="S1974" s="5">
        <f t="shared" si="60"/>
        <v>-0.13484137739323812</v>
      </c>
      <c r="T1974">
        <v>719.47500000000002</v>
      </c>
      <c r="U1974">
        <v>8</v>
      </c>
      <c r="V1974">
        <v>2022</v>
      </c>
      <c r="W1974">
        <v>3</v>
      </c>
      <c r="X1974" t="s">
        <v>9898</v>
      </c>
      <c r="Y1974" t="s">
        <v>9900</v>
      </c>
      <c r="Z1974" t="s">
        <v>9898</v>
      </c>
      <c r="AD1974">
        <f t="shared" si="61"/>
        <v>7</v>
      </c>
    </row>
    <row r="1975" spans="1:30" x14ac:dyDescent="0.25">
      <c r="A1975" t="s">
        <v>1999</v>
      </c>
      <c r="B1975" s="2">
        <v>45350</v>
      </c>
      <c r="C1975" s="2">
        <v>45356</v>
      </c>
      <c r="D1975" t="s">
        <v>5495</v>
      </c>
      <c r="E1975" t="s">
        <v>5995</v>
      </c>
      <c r="F1975" t="s">
        <v>6027</v>
      </c>
      <c r="G1975" t="s">
        <v>6029</v>
      </c>
      <c r="H1975" t="s">
        <v>6044</v>
      </c>
      <c r="I1975" t="s">
        <v>6050</v>
      </c>
      <c r="J1975" t="s">
        <v>6055</v>
      </c>
      <c r="K1975" t="s">
        <v>6064</v>
      </c>
      <c r="L1975" t="s">
        <v>7842</v>
      </c>
      <c r="M1975">
        <v>1404.77</v>
      </c>
      <c r="N1975">
        <v>3</v>
      </c>
      <c r="O1975">
        <v>0.02</v>
      </c>
      <c r="P1975">
        <v>145.21</v>
      </c>
      <c r="Q1975" t="s">
        <v>9894</v>
      </c>
      <c r="R1975">
        <v>6</v>
      </c>
      <c r="S1975" s="5">
        <f t="shared" si="60"/>
        <v>0.10336923482135867</v>
      </c>
      <c r="T1975">
        <v>468.25666666666672</v>
      </c>
      <c r="U1975">
        <v>2</v>
      </c>
      <c r="V1975">
        <v>2024</v>
      </c>
      <c r="W1975">
        <v>1</v>
      </c>
      <c r="X1975" t="s">
        <v>9899</v>
      </c>
      <c r="Y1975" t="s">
        <v>9901</v>
      </c>
      <c r="Z1975" t="s">
        <v>9898</v>
      </c>
      <c r="AD1975">
        <f t="shared" si="61"/>
        <v>6</v>
      </c>
    </row>
    <row r="1976" spans="1:30" x14ac:dyDescent="0.25">
      <c r="A1976" t="s">
        <v>2000</v>
      </c>
      <c r="B1976" s="2">
        <v>45035</v>
      </c>
      <c r="C1976" s="2">
        <v>45040</v>
      </c>
      <c r="D1976" t="s">
        <v>5217</v>
      </c>
      <c r="E1976" t="s">
        <v>5717</v>
      </c>
      <c r="F1976" t="s">
        <v>6027</v>
      </c>
      <c r="G1976" t="s">
        <v>6029</v>
      </c>
      <c r="H1976" t="s">
        <v>6041</v>
      </c>
      <c r="I1976" t="s">
        <v>6046</v>
      </c>
      <c r="J1976" t="s">
        <v>6054</v>
      </c>
      <c r="K1976" t="s">
        <v>6059</v>
      </c>
      <c r="L1976" t="s">
        <v>7843</v>
      </c>
      <c r="M1976">
        <v>1437.25</v>
      </c>
      <c r="N1976">
        <v>6</v>
      </c>
      <c r="O1976">
        <v>0.32</v>
      </c>
      <c r="P1976">
        <v>-86.06</v>
      </c>
      <c r="Q1976" t="s">
        <v>9893</v>
      </c>
      <c r="R1976">
        <v>5</v>
      </c>
      <c r="S1976" s="5">
        <f t="shared" si="60"/>
        <v>-5.9878239693859803E-2</v>
      </c>
      <c r="T1976">
        <v>239.54166666666671</v>
      </c>
      <c r="U1976">
        <v>4</v>
      </c>
      <c r="V1976">
        <v>2023</v>
      </c>
      <c r="W1976">
        <v>2</v>
      </c>
      <c r="X1976" t="s">
        <v>9898</v>
      </c>
      <c r="Y1976" t="s">
        <v>9902</v>
      </c>
      <c r="Z1976" t="s">
        <v>9898</v>
      </c>
      <c r="AD1976">
        <f t="shared" si="61"/>
        <v>5</v>
      </c>
    </row>
    <row r="1977" spans="1:30" x14ac:dyDescent="0.25">
      <c r="A1977" t="s">
        <v>2001</v>
      </c>
      <c r="B1977" s="2">
        <v>44719</v>
      </c>
      <c r="C1977" s="2">
        <v>44722</v>
      </c>
      <c r="D1977" t="s">
        <v>5239</v>
      </c>
      <c r="E1977" t="s">
        <v>5739</v>
      </c>
      <c r="F1977" t="s">
        <v>6027</v>
      </c>
      <c r="G1977" t="s">
        <v>6030</v>
      </c>
      <c r="H1977" t="s">
        <v>6038</v>
      </c>
      <c r="I1977" t="s">
        <v>6047</v>
      </c>
      <c r="J1977" t="s">
        <v>6055</v>
      </c>
      <c r="K1977" t="s">
        <v>6064</v>
      </c>
      <c r="L1977" t="s">
        <v>7844</v>
      </c>
      <c r="M1977">
        <v>1970.47</v>
      </c>
      <c r="N1977">
        <v>7</v>
      </c>
      <c r="O1977">
        <v>0.24</v>
      </c>
      <c r="P1977">
        <v>-121.54</v>
      </c>
      <c r="Q1977" t="s">
        <v>9893</v>
      </c>
      <c r="R1977">
        <v>3</v>
      </c>
      <c r="S1977" s="5">
        <f t="shared" si="60"/>
        <v>-6.1680715768319239E-2</v>
      </c>
      <c r="T1977">
        <v>281.49571428571431</v>
      </c>
      <c r="U1977">
        <v>6</v>
      </c>
      <c r="V1977">
        <v>2022</v>
      </c>
      <c r="W1977">
        <v>2</v>
      </c>
      <c r="X1977" t="s">
        <v>9898</v>
      </c>
      <c r="Y1977" t="s">
        <v>9900</v>
      </c>
      <c r="Z1977" t="s">
        <v>9898</v>
      </c>
      <c r="AD1977">
        <f t="shared" si="61"/>
        <v>3</v>
      </c>
    </row>
    <row r="1978" spans="1:30" x14ac:dyDescent="0.25">
      <c r="A1978" t="s">
        <v>2002</v>
      </c>
      <c r="B1978" s="2">
        <v>45227</v>
      </c>
      <c r="C1978" s="2">
        <v>45233</v>
      </c>
      <c r="D1978" t="s">
        <v>5220</v>
      </c>
      <c r="E1978" t="s">
        <v>5720</v>
      </c>
      <c r="F1978" t="s">
        <v>6026</v>
      </c>
      <c r="G1978" t="s">
        <v>6031</v>
      </c>
      <c r="H1978" t="s">
        <v>6034</v>
      </c>
      <c r="I1978" t="s">
        <v>6048</v>
      </c>
      <c r="J1978" t="s">
        <v>6055</v>
      </c>
      <c r="K1978" t="s">
        <v>6064</v>
      </c>
      <c r="L1978" t="s">
        <v>6279</v>
      </c>
      <c r="M1978">
        <v>1109.22</v>
      </c>
      <c r="N1978">
        <v>1</v>
      </c>
      <c r="O1978">
        <v>0.25</v>
      </c>
      <c r="P1978">
        <v>2.84</v>
      </c>
      <c r="Q1978" t="s">
        <v>9893</v>
      </c>
      <c r="R1978">
        <v>6</v>
      </c>
      <c r="S1978" s="5">
        <f t="shared" si="60"/>
        <v>2.5603577288545103E-3</v>
      </c>
      <c r="T1978">
        <v>1109.22</v>
      </c>
      <c r="U1978">
        <v>10</v>
      </c>
      <c r="V1978">
        <v>2023</v>
      </c>
      <c r="W1978">
        <v>4</v>
      </c>
      <c r="X1978" t="s">
        <v>9899</v>
      </c>
      <c r="Y1978" t="s">
        <v>9900</v>
      </c>
      <c r="Z1978" t="s">
        <v>9898</v>
      </c>
      <c r="AD1978">
        <f t="shared" si="61"/>
        <v>6</v>
      </c>
    </row>
    <row r="1979" spans="1:30" x14ac:dyDescent="0.25">
      <c r="A1979" t="s">
        <v>2003</v>
      </c>
      <c r="B1979" s="2">
        <v>44660</v>
      </c>
      <c r="C1979" s="2">
        <v>44663</v>
      </c>
      <c r="D1979" t="s">
        <v>5255</v>
      </c>
      <c r="E1979" t="s">
        <v>5755</v>
      </c>
      <c r="F1979" t="s">
        <v>6028</v>
      </c>
      <c r="G1979" t="s">
        <v>6029</v>
      </c>
      <c r="H1979" t="s">
        <v>6044</v>
      </c>
      <c r="I1979" t="s">
        <v>6050</v>
      </c>
      <c r="J1979" t="s">
        <v>6053</v>
      </c>
      <c r="K1979" t="s">
        <v>6058</v>
      </c>
      <c r="L1979" t="s">
        <v>7845</v>
      </c>
      <c r="M1979">
        <v>737.52</v>
      </c>
      <c r="N1979">
        <v>2</v>
      </c>
      <c r="O1979">
        <v>0.28999999999999998</v>
      </c>
      <c r="P1979">
        <v>-73.88</v>
      </c>
      <c r="Q1979" t="s">
        <v>9897</v>
      </c>
      <c r="R1979">
        <v>3</v>
      </c>
      <c r="S1979" s="5">
        <f t="shared" si="60"/>
        <v>-0.10017355461546805</v>
      </c>
      <c r="T1979">
        <v>368.76</v>
      </c>
      <c r="U1979">
        <v>4</v>
      </c>
      <c r="V1979">
        <v>2022</v>
      </c>
      <c r="W1979">
        <v>2</v>
      </c>
      <c r="X1979" t="s">
        <v>9898</v>
      </c>
      <c r="Y1979" t="s">
        <v>9900</v>
      </c>
      <c r="Z1979" t="s">
        <v>9899</v>
      </c>
      <c r="AD1979">
        <f t="shared" si="61"/>
        <v>3</v>
      </c>
    </row>
    <row r="1980" spans="1:30" x14ac:dyDescent="0.25">
      <c r="A1980" t="s">
        <v>2004</v>
      </c>
      <c r="B1980" s="2">
        <v>45213</v>
      </c>
      <c r="C1980" s="2">
        <v>45217</v>
      </c>
      <c r="D1980" t="s">
        <v>5438</v>
      </c>
      <c r="E1980" t="s">
        <v>5938</v>
      </c>
      <c r="F1980" t="s">
        <v>6028</v>
      </c>
      <c r="G1980" t="s">
        <v>6031</v>
      </c>
      <c r="H1980" t="s">
        <v>6037</v>
      </c>
      <c r="I1980" t="s">
        <v>6052</v>
      </c>
      <c r="J1980" t="s">
        <v>6053</v>
      </c>
      <c r="K1980" t="s">
        <v>6056</v>
      </c>
      <c r="L1980" t="s">
        <v>7397</v>
      </c>
      <c r="M1980">
        <v>799.53</v>
      </c>
      <c r="N1980">
        <v>2</v>
      </c>
      <c r="O1980">
        <v>0.17</v>
      </c>
      <c r="P1980">
        <v>48.77</v>
      </c>
      <c r="Q1980" t="s">
        <v>9897</v>
      </c>
      <c r="R1980">
        <v>4</v>
      </c>
      <c r="S1980" s="5">
        <f t="shared" si="60"/>
        <v>6.0998336522707093E-2</v>
      </c>
      <c r="T1980">
        <v>399.76499999999999</v>
      </c>
      <c r="U1980">
        <v>10</v>
      </c>
      <c r="V1980">
        <v>2023</v>
      </c>
      <c r="W1980">
        <v>4</v>
      </c>
      <c r="X1980" t="s">
        <v>9899</v>
      </c>
      <c r="Y1980" t="s">
        <v>9900</v>
      </c>
      <c r="Z1980" t="s">
        <v>9899</v>
      </c>
      <c r="AD1980">
        <f t="shared" si="61"/>
        <v>4</v>
      </c>
    </row>
    <row r="1981" spans="1:30" x14ac:dyDescent="0.25">
      <c r="A1981" t="s">
        <v>2005</v>
      </c>
      <c r="B1981" s="2">
        <v>45193</v>
      </c>
      <c r="C1981" s="2">
        <v>45200</v>
      </c>
      <c r="D1981" t="s">
        <v>5072</v>
      </c>
      <c r="E1981" t="s">
        <v>5572</v>
      </c>
      <c r="F1981" t="s">
        <v>6028</v>
      </c>
      <c r="G1981" t="s">
        <v>6030</v>
      </c>
      <c r="H1981" t="s">
        <v>6035</v>
      </c>
      <c r="I1981" t="s">
        <v>6051</v>
      </c>
      <c r="J1981" t="s">
        <v>6054</v>
      </c>
      <c r="K1981" t="s">
        <v>6060</v>
      </c>
      <c r="L1981" t="s">
        <v>7846</v>
      </c>
      <c r="M1981">
        <v>641.64</v>
      </c>
      <c r="N1981">
        <v>5</v>
      </c>
      <c r="O1981">
        <v>0.18</v>
      </c>
      <c r="P1981">
        <v>44.95</v>
      </c>
      <c r="Q1981" t="s">
        <v>9895</v>
      </c>
      <c r="R1981">
        <v>7</v>
      </c>
      <c r="S1981" s="5">
        <f t="shared" si="60"/>
        <v>7.0054859422729265E-2</v>
      </c>
      <c r="T1981">
        <v>128.328</v>
      </c>
      <c r="U1981">
        <v>9</v>
      </c>
      <c r="V1981">
        <v>2023</v>
      </c>
      <c r="W1981">
        <v>3</v>
      </c>
      <c r="X1981" t="s">
        <v>9899</v>
      </c>
      <c r="Y1981" t="s">
        <v>9900</v>
      </c>
      <c r="Z1981" t="s">
        <v>9899</v>
      </c>
      <c r="AD1981">
        <f t="shared" si="61"/>
        <v>7</v>
      </c>
    </row>
    <row r="1982" spans="1:30" x14ac:dyDescent="0.25">
      <c r="A1982" t="s">
        <v>2006</v>
      </c>
      <c r="B1982" s="2">
        <v>44952</v>
      </c>
      <c r="C1982" s="2">
        <v>44955</v>
      </c>
      <c r="D1982" t="s">
        <v>5395</v>
      </c>
      <c r="E1982" t="s">
        <v>5895</v>
      </c>
      <c r="F1982" t="s">
        <v>6028</v>
      </c>
      <c r="G1982" t="s">
        <v>6030</v>
      </c>
      <c r="H1982" t="s">
        <v>6039</v>
      </c>
      <c r="I1982" t="s">
        <v>6047</v>
      </c>
      <c r="J1982" t="s">
        <v>6055</v>
      </c>
      <c r="K1982" t="s">
        <v>6061</v>
      </c>
      <c r="L1982" t="s">
        <v>7838</v>
      </c>
      <c r="M1982">
        <v>1045.81</v>
      </c>
      <c r="N1982">
        <v>5</v>
      </c>
      <c r="O1982">
        <v>0.19</v>
      </c>
      <c r="P1982">
        <v>-6.77</v>
      </c>
      <c r="Q1982" t="s">
        <v>9895</v>
      </c>
      <c r="R1982">
        <v>3</v>
      </c>
      <c r="S1982" s="5">
        <f t="shared" si="60"/>
        <v>-6.4734512005048721E-3</v>
      </c>
      <c r="T1982">
        <v>209.16200000000001</v>
      </c>
      <c r="U1982">
        <v>1</v>
      </c>
      <c r="V1982">
        <v>2023</v>
      </c>
      <c r="W1982">
        <v>1</v>
      </c>
      <c r="X1982" t="s">
        <v>9898</v>
      </c>
      <c r="Y1982" t="s">
        <v>9900</v>
      </c>
      <c r="Z1982" t="s">
        <v>9898</v>
      </c>
      <c r="AD1982">
        <f t="shared" si="61"/>
        <v>3</v>
      </c>
    </row>
    <row r="1983" spans="1:30" x14ac:dyDescent="0.25">
      <c r="A1983" t="s">
        <v>2007</v>
      </c>
      <c r="B1983" s="2">
        <v>44767</v>
      </c>
      <c r="C1983" s="2">
        <v>44768</v>
      </c>
      <c r="D1983" t="s">
        <v>5027</v>
      </c>
      <c r="E1983" t="s">
        <v>5527</v>
      </c>
      <c r="F1983" t="s">
        <v>6028</v>
      </c>
      <c r="G1983" t="s">
        <v>6031</v>
      </c>
      <c r="H1983" t="s">
        <v>6034</v>
      </c>
      <c r="I1983" t="s">
        <v>6050</v>
      </c>
      <c r="J1983" t="s">
        <v>6054</v>
      </c>
      <c r="K1983" t="s">
        <v>6062</v>
      </c>
      <c r="L1983" t="s">
        <v>7847</v>
      </c>
      <c r="M1983">
        <v>1463.45</v>
      </c>
      <c r="N1983">
        <v>5</v>
      </c>
      <c r="O1983">
        <v>0.08</v>
      </c>
      <c r="P1983">
        <v>38.26</v>
      </c>
      <c r="Q1983" t="s">
        <v>9895</v>
      </c>
      <c r="R1983">
        <v>1</v>
      </c>
      <c r="S1983" s="5">
        <f t="shared" si="60"/>
        <v>2.6143701527213091E-2</v>
      </c>
      <c r="T1983">
        <v>292.69</v>
      </c>
      <c r="U1983">
        <v>7</v>
      </c>
      <c r="V1983">
        <v>2022</v>
      </c>
      <c r="W1983">
        <v>3</v>
      </c>
      <c r="X1983" t="s">
        <v>9899</v>
      </c>
      <c r="Y1983" t="s">
        <v>9901</v>
      </c>
      <c r="Z1983" t="s">
        <v>9898</v>
      </c>
      <c r="AD1983">
        <f t="shared" si="61"/>
        <v>1</v>
      </c>
    </row>
    <row r="1984" spans="1:30" x14ac:dyDescent="0.25">
      <c r="A1984" t="s">
        <v>2008</v>
      </c>
      <c r="B1984" s="2">
        <v>45342</v>
      </c>
      <c r="C1984" s="2">
        <v>45344</v>
      </c>
      <c r="D1984" t="s">
        <v>5412</v>
      </c>
      <c r="E1984" t="s">
        <v>5912</v>
      </c>
      <c r="F1984" t="s">
        <v>6027</v>
      </c>
      <c r="G1984" t="s">
        <v>6029</v>
      </c>
      <c r="H1984" t="s">
        <v>6036</v>
      </c>
      <c r="I1984" t="s">
        <v>6050</v>
      </c>
      <c r="J1984" t="s">
        <v>6055</v>
      </c>
      <c r="K1984" t="s">
        <v>6063</v>
      </c>
      <c r="L1984" t="s">
        <v>7848</v>
      </c>
      <c r="M1984">
        <v>432.57</v>
      </c>
      <c r="N1984">
        <v>2</v>
      </c>
      <c r="O1984">
        <v>0.31</v>
      </c>
      <c r="P1984">
        <v>-76.8</v>
      </c>
      <c r="Q1984" t="s">
        <v>9895</v>
      </c>
      <c r="R1984">
        <v>2</v>
      </c>
      <c r="S1984" s="5">
        <f t="shared" si="60"/>
        <v>-0.17754351896802828</v>
      </c>
      <c r="T1984">
        <v>216.285</v>
      </c>
      <c r="U1984">
        <v>2</v>
      </c>
      <c r="V1984">
        <v>2024</v>
      </c>
      <c r="W1984">
        <v>1</v>
      </c>
      <c r="X1984" t="s">
        <v>9898</v>
      </c>
      <c r="Y1984" t="s">
        <v>9902</v>
      </c>
      <c r="Z1984" t="s">
        <v>9899</v>
      </c>
      <c r="AD1984">
        <f t="shared" si="61"/>
        <v>2</v>
      </c>
    </row>
    <row r="1985" spans="1:30" x14ac:dyDescent="0.25">
      <c r="A1985" t="s">
        <v>2009</v>
      </c>
      <c r="B1985" s="2">
        <v>44827</v>
      </c>
      <c r="C1985" s="2">
        <v>44831</v>
      </c>
      <c r="D1985" t="s">
        <v>5494</v>
      </c>
      <c r="E1985" t="s">
        <v>5994</v>
      </c>
      <c r="F1985" t="s">
        <v>6026</v>
      </c>
      <c r="G1985" t="s">
        <v>6031</v>
      </c>
      <c r="H1985" t="s">
        <v>6034</v>
      </c>
      <c r="I1985" t="s">
        <v>6050</v>
      </c>
      <c r="J1985" t="s">
        <v>6054</v>
      </c>
      <c r="K1985" t="s">
        <v>6059</v>
      </c>
      <c r="L1985" t="s">
        <v>7849</v>
      </c>
      <c r="M1985">
        <v>531.07000000000005</v>
      </c>
      <c r="N1985">
        <v>8</v>
      </c>
      <c r="O1985">
        <v>0.13</v>
      </c>
      <c r="P1985">
        <v>38.01</v>
      </c>
      <c r="Q1985" t="s">
        <v>9897</v>
      </c>
      <c r="R1985">
        <v>4</v>
      </c>
      <c r="S1985" s="5">
        <f t="shared" si="60"/>
        <v>7.1572485736343602E-2</v>
      </c>
      <c r="T1985">
        <v>66.383750000000006</v>
      </c>
      <c r="U1985">
        <v>9</v>
      </c>
      <c r="V1985">
        <v>2022</v>
      </c>
      <c r="W1985">
        <v>3</v>
      </c>
      <c r="X1985" t="s">
        <v>9899</v>
      </c>
      <c r="Y1985" t="s">
        <v>9901</v>
      </c>
      <c r="Z1985" t="s">
        <v>9899</v>
      </c>
      <c r="AD1985">
        <f t="shared" si="61"/>
        <v>4</v>
      </c>
    </row>
    <row r="1986" spans="1:30" x14ac:dyDescent="0.25">
      <c r="A1986" t="s">
        <v>2010</v>
      </c>
      <c r="B1986" s="2">
        <v>44843</v>
      </c>
      <c r="C1986" s="2">
        <v>44847</v>
      </c>
      <c r="D1986" t="s">
        <v>5099</v>
      </c>
      <c r="E1986" t="s">
        <v>5599</v>
      </c>
      <c r="F1986" t="s">
        <v>6028</v>
      </c>
      <c r="G1986" t="s">
        <v>6029</v>
      </c>
      <c r="H1986" t="s">
        <v>6041</v>
      </c>
      <c r="I1986" t="s">
        <v>6050</v>
      </c>
      <c r="J1986" t="s">
        <v>6053</v>
      </c>
      <c r="K1986" t="s">
        <v>6056</v>
      </c>
      <c r="L1986" t="s">
        <v>7850</v>
      </c>
      <c r="M1986">
        <v>683.12</v>
      </c>
      <c r="N1986">
        <v>8</v>
      </c>
      <c r="O1986">
        <v>0.33</v>
      </c>
      <c r="P1986">
        <v>-32.25</v>
      </c>
      <c r="Q1986" t="s">
        <v>9895</v>
      </c>
      <c r="R1986">
        <v>4</v>
      </c>
      <c r="S1986" s="5">
        <f t="shared" si="60"/>
        <v>-4.7209860639419135E-2</v>
      </c>
      <c r="T1986">
        <v>85.39</v>
      </c>
      <c r="U1986">
        <v>10</v>
      </c>
      <c r="V1986">
        <v>2022</v>
      </c>
      <c r="W1986">
        <v>4</v>
      </c>
      <c r="X1986" t="s">
        <v>9898</v>
      </c>
      <c r="Y1986" t="s">
        <v>9902</v>
      </c>
      <c r="Z1986" t="s">
        <v>9899</v>
      </c>
      <c r="AD1986">
        <f t="shared" si="61"/>
        <v>4</v>
      </c>
    </row>
    <row r="1987" spans="1:30" x14ac:dyDescent="0.25">
      <c r="A1987" t="s">
        <v>2011</v>
      </c>
      <c r="B1987" s="2">
        <v>45058</v>
      </c>
      <c r="C1987" s="2">
        <v>45060</v>
      </c>
      <c r="D1987" t="s">
        <v>5514</v>
      </c>
      <c r="E1987" t="s">
        <v>6014</v>
      </c>
      <c r="F1987" t="s">
        <v>6027</v>
      </c>
      <c r="G1987" t="s">
        <v>6031</v>
      </c>
      <c r="H1987" t="s">
        <v>6043</v>
      </c>
      <c r="I1987" t="s">
        <v>6052</v>
      </c>
      <c r="J1987" t="s">
        <v>6054</v>
      </c>
      <c r="K1987" t="s">
        <v>6059</v>
      </c>
      <c r="L1987" t="s">
        <v>7851</v>
      </c>
      <c r="M1987">
        <v>979.73</v>
      </c>
      <c r="N1987">
        <v>5</v>
      </c>
      <c r="O1987">
        <v>0.31</v>
      </c>
      <c r="P1987">
        <v>-203.77</v>
      </c>
      <c r="Q1987" t="s">
        <v>9897</v>
      </c>
      <c r="R1987">
        <v>2</v>
      </c>
      <c r="S1987" s="5">
        <f t="shared" ref="S1987:S2050" si="62">P1987/M1987</f>
        <v>-0.20798587365906934</v>
      </c>
      <c r="T1987">
        <v>195.946</v>
      </c>
      <c r="U1987">
        <v>5</v>
      </c>
      <c r="V1987">
        <v>2023</v>
      </c>
      <c r="W1987">
        <v>2</v>
      </c>
      <c r="X1987" t="s">
        <v>9898</v>
      </c>
      <c r="Y1987" t="s">
        <v>9902</v>
      </c>
      <c r="Z1987" t="s">
        <v>9899</v>
      </c>
      <c r="AD1987">
        <f t="shared" ref="AD1987:AD2050" si="63">C1987-B1987</f>
        <v>2</v>
      </c>
    </row>
    <row r="1988" spans="1:30" x14ac:dyDescent="0.25">
      <c r="A1988" t="s">
        <v>2012</v>
      </c>
      <c r="B1988" s="2">
        <v>45043</v>
      </c>
      <c r="C1988" s="2">
        <v>45048</v>
      </c>
      <c r="D1988" t="s">
        <v>5038</v>
      </c>
      <c r="E1988" t="s">
        <v>5538</v>
      </c>
      <c r="F1988" t="s">
        <v>6028</v>
      </c>
      <c r="G1988" t="s">
        <v>6029</v>
      </c>
      <c r="H1988" t="s">
        <v>6032</v>
      </c>
      <c r="I1988" t="s">
        <v>6046</v>
      </c>
      <c r="J1988" t="s">
        <v>6055</v>
      </c>
      <c r="K1988" t="s">
        <v>6061</v>
      </c>
      <c r="L1988" t="s">
        <v>7852</v>
      </c>
      <c r="M1988">
        <v>807.98</v>
      </c>
      <c r="N1988">
        <v>5</v>
      </c>
      <c r="O1988">
        <v>0.17</v>
      </c>
      <c r="P1988">
        <v>91.26</v>
      </c>
      <c r="Q1988" t="s">
        <v>9895</v>
      </c>
      <c r="R1988">
        <v>5</v>
      </c>
      <c r="S1988" s="5">
        <f t="shared" si="62"/>
        <v>0.11294834030545312</v>
      </c>
      <c r="T1988">
        <v>161.596</v>
      </c>
      <c r="U1988">
        <v>4</v>
      </c>
      <c r="V1988">
        <v>2023</v>
      </c>
      <c r="W1988">
        <v>2</v>
      </c>
      <c r="X1988" t="s">
        <v>9899</v>
      </c>
      <c r="Y1988" t="s">
        <v>9900</v>
      </c>
      <c r="Z1988" t="s">
        <v>9899</v>
      </c>
      <c r="AD1988">
        <f t="shared" si="63"/>
        <v>5</v>
      </c>
    </row>
    <row r="1989" spans="1:30" x14ac:dyDescent="0.25">
      <c r="A1989" t="s">
        <v>2013</v>
      </c>
      <c r="B1989" s="2">
        <v>44829</v>
      </c>
      <c r="C1989" s="2">
        <v>44836</v>
      </c>
      <c r="D1989" t="s">
        <v>5141</v>
      </c>
      <c r="E1989" t="s">
        <v>5641</v>
      </c>
      <c r="F1989" t="s">
        <v>6026</v>
      </c>
      <c r="G1989" t="s">
        <v>6031</v>
      </c>
      <c r="H1989" t="s">
        <v>6040</v>
      </c>
      <c r="I1989" t="s">
        <v>6052</v>
      </c>
      <c r="J1989" t="s">
        <v>6053</v>
      </c>
      <c r="K1989" t="s">
        <v>6057</v>
      </c>
      <c r="L1989" t="s">
        <v>7853</v>
      </c>
      <c r="M1989">
        <v>1419.35</v>
      </c>
      <c r="N1989">
        <v>8</v>
      </c>
      <c r="O1989">
        <v>0.01</v>
      </c>
      <c r="P1989">
        <v>358.26</v>
      </c>
      <c r="Q1989" t="s">
        <v>9897</v>
      </c>
      <c r="R1989">
        <v>7</v>
      </c>
      <c r="S1989" s="5">
        <f t="shared" si="62"/>
        <v>0.252411315038574</v>
      </c>
      <c r="T1989">
        <v>177.41874999999999</v>
      </c>
      <c r="U1989">
        <v>9</v>
      </c>
      <c r="V1989">
        <v>2022</v>
      </c>
      <c r="W1989">
        <v>3</v>
      </c>
      <c r="X1989" t="s">
        <v>9899</v>
      </c>
      <c r="Y1989" t="s">
        <v>9901</v>
      </c>
      <c r="Z1989" t="s">
        <v>9898</v>
      </c>
      <c r="AD1989">
        <f t="shared" si="63"/>
        <v>7</v>
      </c>
    </row>
    <row r="1990" spans="1:30" x14ac:dyDescent="0.25">
      <c r="A1990" t="s">
        <v>2014</v>
      </c>
      <c r="B1990" s="2">
        <v>45337</v>
      </c>
      <c r="C1990" s="2">
        <v>45339</v>
      </c>
      <c r="D1990" t="s">
        <v>5351</v>
      </c>
      <c r="E1990" t="s">
        <v>5851</v>
      </c>
      <c r="F1990" t="s">
        <v>6027</v>
      </c>
      <c r="G1990" t="s">
        <v>6030</v>
      </c>
      <c r="H1990" t="s">
        <v>6033</v>
      </c>
      <c r="I1990" t="s">
        <v>6047</v>
      </c>
      <c r="J1990" t="s">
        <v>6054</v>
      </c>
      <c r="K1990" t="s">
        <v>6060</v>
      </c>
      <c r="L1990" t="s">
        <v>7854</v>
      </c>
      <c r="M1990">
        <v>175.62</v>
      </c>
      <c r="N1990">
        <v>4</v>
      </c>
      <c r="O1990">
        <v>0.06</v>
      </c>
      <c r="P1990">
        <v>38.69</v>
      </c>
      <c r="Q1990" t="s">
        <v>9894</v>
      </c>
      <c r="R1990">
        <v>2</v>
      </c>
      <c r="S1990" s="5">
        <f t="shared" si="62"/>
        <v>0.22030520441863111</v>
      </c>
      <c r="T1990">
        <v>43.905000000000001</v>
      </c>
      <c r="U1990">
        <v>2</v>
      </c>
      <c r="V1990">
        <v>2024</v>
      </c>
      <c r="W1990">
        <v>1</v>
      </c>
      <c r="X1990" t="s">
        <v>9899</v>
      </c>
      <c r="Y1990" t="s">
        <v>9901</v>
      </c>
      <c r="Z1990" t="s">
        <v>9899</v>
      </c>
      <c r="AD1990">
        <f t="shared" si="63"/>
        <v>2</v>
      </c>
    </row>
    <row r="1991" spans="1:30" x14ac:dyDescent="0.25">
      <c r="A1991" t="s">
        <v>2015</v>
      </c>
      <c r="B1991" s="2">
        <v>45287</v>
      </c>
      <c r="C1991" s="2">
        <v>45291</v>
      </c>
      <c r="D1991" t="s">
        <v>5456</v>
      </c>
      <c r="E1991" t="s">
        <v>5956</v>
      </c>
      <c r="F1991" t="s">
        <v>6028</v>
      </c>
      <c r="G1991" t="s">
        <v>6030</v>
      </c>
      <c r="H1991" t="s">
        <v>6039</v>
      </c>
      <c r="I1991" t="s">
        <v>6051</v>
      </c>
      <c r="J1991" t="s">
        <v>6055</v>
      </c>
      <c r="K1991" t="s">
        <v>6061</v>
      </c>
      <c r="L1991" t="s">
        <v>7855</v>
      </c>
      <c r="M1991">
        <v>1651.27</v>
      </c>
      <c r="N1991">
        <v>1</v>
      </c>
      <c r="O1991">
        <v>0.05</v>
      </c>
      <c r="P1991">
        <v>190.77</v>
      </c>
      <c r="Q1991" t="s">
        <v>9893</v>
      </c>
      <c r="R1991">
        <v>4</v>
      </c>
      <c r="S1991" s="5">
        <f t="shared" si="62"/>
        <v>0.11552925929738929</v>
      </c>
      <c r="T1991">
        <v>1651.27</v>
      </c>
      <c r="U1991">
        <v>12</v>
      </c>
      <c r="V1991">
        <v>2023</v>
      </c>
      <c r="W1991">
        <v>4</v>
      </c>
      <c r="X1991" t="s">
        <v>9899</v>
      </c>
      <c r="Y1991" t="s">
        <v>9901</v>
      </c>
      <c r="Z1991" t="s">
        <v>9898</v>
      </c>
      <c r="AD1991">
        <f t="shared" si="63"/>
        <v>4</v>
      </c>
    </row>
    <row r="1992" spans="1:30" x14ac:dyDescent="0.25">
      <c r="A1992" t="s">
        <v>2016</v>
      </c>
      <c r="B1992" s="2">
        <v>44610</v>
      </c>
      <c r="C1992" s="2">
        <v>44613</v>
      </c>
      <c r="D1992" t="s">
        <v>5516</v>
      </c>
      <c r="E1992" t="s">
        <v>6016</v>
      </c>
      <c r="F1992" t="s">
        <v>6027</v>
      </c>
      <c r="G1992" t="s">
        <v>6030</v>
      </c>
      <c r="H1992" t="s">
        <v>6038</v>
      </c>
      <c r="I1992" t="s">
        <v>6051</v>
      </c>
      <c r="J1992" t="s">
        <v>6054</v>
      </c>
      <c r="K1992" t="s">
        <v>6062</v>
      </c>
      <c r="L1992" t="s">
        <v>7856</v>
      </c>
      <c r="M1992">
        <v>545.12</v>
      </c>
      <c r="N1992">
        <v>3</v>
      </c>
      <c r="O1992">
        <v>0.34</v>
      </c>
      <c r="P1992">
        <v>-34.979999999999997</v>
      </c>
      <c r="Q1992" t="s">
        <v>9896</v>
      </c>
      <c r="R1992">
        <v>3</v>
      </c>
      <c r="S1992" s="5">
        <f t="shared" si="62"/>
        <v>-6.4169357205752856E-2</v>
      </c>
      <c r="T1992">
        <v>181.70666666666671</v>
      </c>
      <c r="U1992">
        <v>2</v>
      </c>
      <c r="V1992">
        <v>2022</v>
      </c>
      <c r="W1992">
        <v>1</v>
      </c>
      <c r="X1992" t="s">
        <v>9898</v>
      </c>
      <c r="Y1992" t="s">
        <v>9902</v>
      </c>
      <c r="Z1992" t="s">
        <v>9899</v>
      </c>
      <c r="AD1992">
        <f t="shared" si="63"/>
        <v>3</v>
      </c>
    </row>
    <row r="1993" spans="1:30" x14ac:dyDescent="0.25">
      <c r="A1993" t="s">
        <v>2017</v>
      </c>
      <c r="B1993" s="2">
        <v>45264</v>
      </c>
      <c r="C1993" s="2">
        <v>45269</v>
      </c>
      <c r="D1993" t="s">
        <v>5339</v>
      </c>
      <c r="E1993" t="s">
        <v>5839</v>
      </c>
      <c r="F1993" t="s">
        <v>6027</v>
      </c>
      <c r="G1993" t="s">
        <v>6030</v>
      </c>
      <c r="H1993" t="s">
        <v>6038</v>
      </c>
      <c r="I1993" t="s">
        <v>6047</v>
      </c>
      <c r="J1993" t="s">
        <v>6054</v>
      </c>
      <c r="K1993" t="s">
        <v>6060</v>
      </c>
      <c r="L1993" t="s">
        <v>7514</v>
      </c>
      <c r="M1993">
        <v>1923.99</v>
      </c>
      <c r="N1993">
        <v>3</v>
      </c>
      <c r="O1993">
        <v>0.17</v>
      </c>
      <c r="P1993">
        <v>13.46</v>
      </c>
      <c r="Q1993" t="s">
        <v>9896</v>
      </c>
      <c r="R1993">
        <v>5</v>
      </c>
      <c r="S1993" s="5">
        <f t="shared" si="62"/>
        <v>6.995878356956118E-3</v>
      </c>
      <c r="T1993">
        <v>641.33000000000004</v>
      </c>
      <c r="U1993">
        <v>12</v>
      </c>
      <c r="V1993">
        <v>2023</v>
      </c>
      <c r="W1993">
        <v>4</v>
      </c>
      <c r="X1993" t="s">
        <v>9899</v>
      </c>
      <c r="Y1993" t="s">
        <v>9900</v>
      </c>
      <c r="Z1993" t="s">
        <v>9898</v>
      </c>
      <c r="AD1993">
        <f t="shared" si="63"/>
        <v>5</v>
      </c>
    </row>
    <row r="1994" spans="1:30" x14ac:dyDescent="0.25">
      <c r="A1994" t="s">
        <v>2018</v>
      </c>
      <c r="B1994" s="2">
        <v>45079</v>
      </c>
      <c r="C1994" s="2">
        <v>45082</v>
      </c>
      <c r="D1994" t="s">
        <v>5472</v>
      </c>
      <c r="E1994" t="s">
        <v>5972</v>
      </c>
      <c r="F1994" t="s">
        <v>6026</v>
      </c>
      <c r="G1994" t="s">
        <v>6029</v>
      </c>
      <c r="H1994" t="s">
        <v>6032</v>
      </c>
      <c r="I1994" t="s">
        <v>6046</v>
      </c>
      <c r="J1994" t="s">
        <v>6053</v>
      </c>
      <c r="K1994" t="s">
        <v>6057</v>
      </c>
      <c r="L1994" t="s">
        <v>7857</v>
      </c>
      <c r="M1994">
        <v>349.9</v>
      </c>
      <c r="N1994">
        <v>3</v>
      </c>
      <c r="O1994">
        <v>0.15</v>
      </c>
      <c r="P1994">
        <v>49.68</v>
      </c>
      <c r="Q1994" t="s">
        <v>9897</v>
      </c>
      <c r="R1994">
        <v>3</v>
      </c>
      <c r="S1994" s="5">
        <f t="shared" si="62"/>
        <v>0.14198342383538154</v>
      </c>
      <c r="T1994">
        <v>116.6333333333333</v>
      </c>
      <c r="U1994">
        <v>6</v>
      </c>
      <c r="V1994">
        <v>2023</v>
      </c>
      <c r="W1994">
        <v>2</v>
      </c>
      <c r="X1994" t="s">
        <v>9899</v>
      </c>
      <c r="Y1994" t="s">
        <v>9901</v>
      </c>
      <c r="Z1994" t="s">
        <v>9899</v>
      </c>
      <c r="AD1994">
        <f t="shared" si="63"/>
        <v>3</v>
      </c>
    </row>
    <row r="1995" spans="1:30" x14ac:dyDescent="0.25">
      <c r="A1995" t="s">
        <v>2019</v>
      </c>
      <c r="B1995" s="2">
        <v>45297</v>
      </c>
      <c r="C1995" s="2">
        <v>45298</v>
      </c>
      <c r="D1995" t="s">
        <v>5217</v>
      </c>
      <c r="E1995" t="s">
        <v>5717</v>
      </c>
      <c r="F1995" t="s">
        <v>6028</v>
      </c>
      <c r="G1995" t="s">
        <v>6029</v>
      </c>
      <c r="H1995" t="s">
        <v>6041</v>
      </c>
      <c r="I1995" t="s">
        <v>6050</v>
      </c>
      <c r="J1995" t="s">
        <v>6054</v>
      </c>
      <c r="K1995" t="s">
        <v>6059</v>
      </c>
      <c r="L1995" t="s">
        <v>7858</v>
      </c>
      <c r="M1995">
        <v>1504.42</v>
      </c>
      <c r="N1995">
        <v>7</v>
      </c>
      <c r="O1995">
        <v>0.04</v>
      </c>
      <c r="P1995">
        <v>285.75</v>
      </c>
      <c r="Q1995" t="s">
        <v>9896</v>
      </c>
      <c r="R1995">
        <v>1</v>
      </c>
      <c r="S1995" s="5">
        <f t="shared" si="62"/>
        <v>0.18994030922215871</v>
      </c>
      <c r="T1995">
        <v>214.91714285714289</v>
      </c>
      <c r="U1995">
        <v>1</v>
      </c>
      <c r="V1995">
        <v>2024</v>
      </c>
      <c r="W1995">
        <v>1</v>
      </c>
      <c r="X1995" t="s">
        <v>9899</v>
      </c>
      <c r="Y1995" t="s">
        <v>9901</v>
      </c>
      <c r="Z1995" t="s">
        <v>9898</v>
      </c>
      <c r="AD1995">
        <f t="shared" si="63"/>
        <v>1</v>
      </c>
    </row>
    <row r="1996" spans="1:30" x14ac:dyDescent="0.25">
      <c r="A1996" t="s">
        <v>2020</v>
      </c>
      <c r="B1996" s="2">
        <v>45080</v>
      </c>
      <c r="C1996" s="2">
        <v>45085</v>
      </c>
      <c r="D1996" t="s">
        <v>5468</v>
      </c>
      <c r="E1996" t="s">
        <v>5968</v>
      </c>
      <c r="F1996" t="s">
        <v>6028</v>
      </c>
      <c r="G1996" t="s">
        <v>6029</v>
      </c>
      <c r="H1996" t="s">
        <v>6045</v>
      </c>
      <c r="I1996" t="s">
        <v>6046</v>
      </c>
      <c r="J1996" t="s">
        <v>6055</v>
      </c>
      <c r="K1996" t="s">
        <v>6063</v>
      </c>
      <c r="L1996" t="s">
        <v>7859</v>
      </c>
      <c r="M1996">
        <v>428.76</v>
      </c>
      <c r="N1996">
        <v>1</v>
      </c>
      <c r="O1996">
        <v>0.16</v>
      </c>
      <c r="P1996">
        <v>-22.81</v>
      </c>
      <c r="Q1996" t="s">
        <v>9893</v>
      </c>
      <c r="R1996">
        <v>5</v>
      </c>
      <c r="S1996" s="5">
        <f t="shared" si="62"/>
        <v>-5.3199925366172213E-2</v>
      </c>
      <c r="T1996">
        <v>428.76</v>
      </c>
      <c r="U1996">
        <v>6</v>
      </c>
      <c r="V1996">
        <v>2023</v>
      </c>
      <c r="W1996">
        <v>2</v>
      </c>
      <c r="X1996" t="s">
        <v>9898</v>
      </c>
      <c r="Y1996" t="s">
        <v>9900</v>
      </c>
      <c r="Z1996" t="s">
        <v>9899</v>
      </c>
      <c r="AD1996">
        <f t="shared" si="63"/>
        <v>5</v>
      </c>
    </row>
    <row r="1997" spans="1:30" x14ac:dyDescent="0.25">
      <c r="A1997" t="s">
        <v>2021</v>
      </c>
      <c r="B1997" s="2">
        <v>44931</v>
      </c>
      <c r="C1997" s="2">
        <v>44932</v>
      </c>
      <c r="D1997" t="s">
        <v>5358</v>
      </c>
      <c r="E1997" t="s">
        <v>5858</v>
      </c>
      <c r="F1997" t="s">
        <v>6027</v>
      </c>
      <c r="G1997" t="s">
        <v>6029</v>
      </c>
      <c r="H1997" t="s">
        <v>6044</v>
      </c>
      <c r="I1997" t="s">
        <v>6049</v>
      </c>
      <c r="J1997" t="s">
        <v>6053</v>
      </c>
      <c r="K1997" t="s">
        <v>6057</v>
      </c>
      <c r="L1997" t="s">
        <v>7860</v>
      </c>
      <c r="M1997">
        <v>547.46</v>
      </c>
      <c r="N1997">
        <v>2</v>
      </c>
      <c r="O1997">
        <v>0.28000000000000003</v>
      </c>
      <c r="P1997">
        <v>-38.06</v>
      </c>
      <c r="Q1997" t="s">
        <v>9897</v>
      </c>
      <c r="R1997">
        <v>1</v>
      </c>
      <c r="S1997" s="5">
        <f t="shared" si="62"/>
        <v>-6.9521060899426446E-2</v>
      </c>
      <c r="T1997">
        <v>273.73</v>
      </c>
      <c r="U1997">
        <v>1</v>
      </c>
      <c r="V1997">
        <v>2023</v>
      </c>
      <c r="W1997">
        <v>1</v>
      </c>
      <c r="X1997" t="s">
        <v>9898</v>
      </c>
      <c r="Y1997" t="s">
        <v>9900</v>
      </c>
      <c r="Z1997" t="s">
        <v>9899</v>
      </c>
      <c r="AD1997">
        <f t="shared" si="63"/>
        <v>1</v>
      </c>
    </row>
    <row r="1998" spans="1:30" x14ac:dyDescent="0.25">
      <c r="A1998" t="s">
        <v>2022</v>
      </c>
      <c r="B1998" s="2">
        <v>44925</v>
      </c>
      <c r="C1998" s="2">
        <v>44926</v>
      </c>
      <c r="D1998" t="s">
        <v>5428</v>
      </c>
      <c r="E1998" t="s">
        <v>5928</v>
      </c>
      <c r="F1998" t="s">
        <v>6027</v>
      </c>
      <c r="G1998" t="s">
        <v>6031</v>
      </c>
      <c r="H1998" t="s">
        <v>6037</v>
      </c>
      <c r="I1998" t="s">
        <v>6052</v>
      </c>
      <c r="J1998" t="s">
        <v>6054</v>
      </c>
      <c r="K1998" t="s">
        <v>6062</v>
      </c>
      <c r="L1998" t="s">
        <v>7316</v>
      </c>
      <c r="M1998">
        <v>1787.7</v>
      </c>
      <c r="N1998">
        <v>4</v>
      </c>
      <c r="O1998">
        <v>0.17</v>
      </c>
      <c r="P1998">
        <v>113.42</v>
      </c>
      <c r="Q1998" t="s">
        <v>9895</v>
      </c>
      <c r="R1998">
        <v>1</v>
      </c>
      <c r="S1998" s="5">
        <f t="shared" si="62"/>
        <v>6.3444649549700735E-2</v>
      </c>
      <c r="T1998">
        <v>446.92500000000001</v>
      </c>
      <c r="U1998">
        <v>12</v>
      </c>
      <c r="V1998">
        <v>2022</v>
      </c>
      <c r="W1998">
        <v>4</v>
      </c>
      <c r="X1998" t="s">
        <v>9899</v>
      </c>
      <c r="Y1998" t="s">
        <v>9900</v>
      </c>
      <c r="Z1998" t="s">
        <v>9898</v>
      </c>
      <c r="AD1998">
        <f t="shared" si="63"/>
        <v>1</v>
      </c>
    </row>
    <row r="1999" spans="1:30" x14ac:dyDescent="0.25">
      <c r="A1999" t="s">
        <v>2023</v>
      </c>
      <c r="B1999" s="2">
        <v>44911</v>
      </c>
      <c r="C1999" s="2">
        <v>44912</v>
      </c>
      <c r="D1999" t="s">
        <v>5280</v>
      </c>
      <c r="E1999" t="s">
        <v>5780</v>
      </c>
      <c r="F1999" t="s">
        <v>6027</v>
      </c>
      <c r="G1999" t="s">
        <v>6029</v>
      </c>
      <c r="H1999" t="s">
        <v>6041</v>
      </c>
      <c r="I1999" t="s">
        <v>6046</v>
      </c>
      <c r="J1999" t="s">
        <v>6054</v>
      </c>
      <c r="K1999" t="s">
        <v>6062</v>
      </c>
      <c r="L1999" t="s">
        <v>7861</v>
      </c>
      <c r="M1999">
        <v>848.38</v>
      </c>
      <c r="N1999">
        <v>2</v>
      </c>
      <c r="O1999">
        <v>0.1</v>
      </c>
      <c r="P1999">
        <v>135.83000000000001</v>
      </c>
      <c r="Q1999" t="s">
        <v>9893</v>
      </c>
      <c r="R1999">
        <v>1</v>
      </c>
      <c r="S1999" s="5">
        <f t="shared" si="62"/>
        <v>0.16010514156392183</v>
      </c>
      <c r="T1999">
        <v>424.19</v>
      </c>
      <c r="U1999">
        <v>12</v>
      </c>
      <c r="V1999">
        <v>2022</v>
      </c>
      <c r="W1999">
        <v>4</v>
      </c>
      <c r="X1999" t="s">
        <v>9899</v>
      </c>
      <c r="Y1999" t="s">
        <v>9901</v>
      </c>
      <c r="Z1999" t="s">
        <v>9899</v>
      </c>
      <c r="AD1999">
        <f t="shared" si="63"/>
        <v>1</v>
      </c>
    </row>
    <row r="2000" spans="1:30" x14ac:dyDescent="0.25">
      <c r="A2000" t="s">
        <v>2024</v>
      </c>
      <c r="B2000" s="2">
        <v>44839</v>
      </c>
      <c r="C2000" s="2">
        <v>44845</v>
      </c>
      <c r="D2000" t="s">
        <v>5405</v>
      </c>
      <c r="E2000" t="s">
        <v>5905</v>
      </c>
      <c r="F2000" t="s">
        <v>6027</v>
      </c>
      <c r="G2000" t="s">
        <v>6029</v>
      </c>
      <c r="H2000" t="s">
        <v>6044</v>
      </c>
      <c r="I2000" t="s">
        <v>6046</v>
      </c>
      <c r="J2000" t="s">
        <v>6053</v>
      </c>
      <c r="K2000" t="s">
        <v>6057</v>
      </c>
      <c r="L2000" t="s">
        <v>7862</v>
      </c>
      <c r="M2000">
        <v>882.95</v>
      </c>
      <c r="N2000">
        <v>3</v>
      </c>
      <c r="O2000">
        <v>0.27</v>
      </c>
      <c r="P2000">
        <v>17.329999999999998</v>
      </c>
      <c r="Q2000" t="s">
        <v>9895</v>
      </c>
      <c r="R2000">
        <v>6</v>
      </c>
      <c r="S2000" s="5">
        <f t="shared" si="62"/>
        <v>1.9627385469165863E-2</v>
      </c>
      <c r="T2000">
        <v>294.31666666666672</v>
      </c>
      <c r="U2000">
        <v>10</v>
      </c>
      <c r="V2000">
        <v>2022</v>
      </c>
      <c r="W2000">
        <v>4</v>
      </c>
      <c r="X2000" t="s">
        <v>9899</v>
      </c>
      <c r="Y2000" t="s">
        <v>9900</v>
      </c>
      <c r="Z2000" t="s">
        <v>9899</v>
      </c>
      <c r="AD2000">
        <f t="shared" si="63"/>
        <v>6</v>
      </c>
    </row>
    <row r="2001" spans="1:30" x14ac:dyDescent="0.25">
      <c r="A2001" t="s">
        <v>2025</v>
      </c>
      <c r="B2001" s="2">
        <v>44894</v>
      </c>
      <c r="C2001" s="2">
        <v>44897</v>
      </c>
      <c r="D2001" t="s">
        <v>5036</v>
      </c>
      <c r="E2001" t="s">
        <v>5536</v>
      </c>
      <c r="F2001" t="s">
        <v>6027</v>
      </c>
      <c r="G2001" t="s">
        <v>6029</v>
      </c>
      <c r="H2001" t="s">
        <v>6032</v>
      </c>
      <c r="I2001" t="s">
        <v>6050</v>
      </c>
      <c r="J2001" t="s">
        <v>6055</v>
      </c>
      <c r="K2001" t="s">
        <v>6061</v>
      </c>
      <c r="L2001" t="s">
        <v>7863</v>
      </c>
      <c r="M2001">
        <v>1854.27</v>
      </c>
      <c r="N2001">
        <v>3</v>
      </c>
      <c r="O2001">
        <v>0.17</v>
      </c>
      <c r="P2001">
        <v>-7.56</v>
      </c>
      <c r="Q2001" t="s">
        <v>9894</v>
      </c>
      <c r="R2001">
        <v>3</v>
      </c>
      <c r="S2001" s="5">
        <f t="shared" si="62"/>
        <v>-4.0770761539581611E-3</v>
      </c>
      <c r="T2001">
        <v>618.09</v>
      </c>
      <c r="U2001">
        <v>11</v>
      </c>
      <c r="V2001">
        <v>2022</v>
      </c>
      <c r="W2001">
        <v>4</v>
      </c>
      <c r="X2001" t="s">
        <v>9898</v>
      </c>
      <c r="Y2001" t="s">
        <v>9900</v>
      </c>
      <c r="Z2001" t="s">
        <v>9898</v>
      </c>
      <c r="AD2001">
        <f t="shared" si="63"/>
        <v>3</v>
      </c>
    </row>
    <row r="2002" spans="1:30" x14ac:dyDescent="0.25">
      <c r="A2002" t="s">
        <v>2026</v>
      </c>
      <c r="B2002" s="2">
        <v>45424</v>
      </c>
      <c r="C2002" s="2">
        <v>45426</v>
      </c>
      <c r="D2002" t="s">
        <v>5477</v>
      </c>
      <c r="E2002" t="s">
        <v>5977</v>
      </c>
      <c r="F2002" t="s">
        <v>6026</v>
      </c>
      <c r="G2002" t="s">
        <v>6030</v>
      </c>
      <c r="H2002" t="s">
        <v>6033</v>
      </c>
      <c r="I2002" t="s">
        <v>6051</v>
      </c>
      <c r="J2002" t="s">
        <v>6053</v>
      </c>
      <c r="K2002" t="s">
        <v>6057</v>
      </c>
      <c r="L2002" t="s">
        <v>7864</v>
      </c>
      <c r="M2002">
        <v>315.64999999999998</v>
      </c>
      <c r="N2002">
        <v>3</v>
      </c>
      <c r="O2002">
        <v>0.2</v>
      </c>
      <c r="P2002">
        <v>-26.14</v>
      </c>
      <c r="Q2002" t="s">
        <v>9895</v>
      </c>
      <c r="R2002">
        <v>2</v>
      </c>
      <c r="S2002" s="5">
        <f t="shared" si="62"/>
        <v>-8.2813242515444335E-2</v>
      </c>
      <c r="T2002">
        <v>105.2166666666667</v>
      </c>
      <c r="U2002">
        <v>5</v>
      </c>
      <c r="V2002">
        <v>2024</v>
      </c>
      <c r="W2002">
        <v>2</v>
      </c>
      <c r="X2002" t="s">
        <v>9898</v>
      </c>
      <c r="Y2002" t="s">
        <v>9900</v>
      </c>
      <c r="Z2002" t="s">
        <v>9899</v>
      </c>
      <c r="AD2002">
        <f t="shared" si="63"/>
        <v>2</v>
      </c>
    </row>
    <row r="2003" spans="1:30" x14ac:dyDescent="0.25">
      <c r="A2003" t="s">
        <v>2027</v>
      </c>
      <c r="B2003" s="2">
        <v>45401</v>
      </c>
      <c r="C2003" s="2">
        <v>45402</v>
      </c>
      <c r="D2003" t="s">
        <v>5252</v>
      </c>
      <c r="E2003" t="s">
        <v>5752</v>
      </c>
      <c r="F2003" t="s">
        <v>6026</v>
      </c>
      <c r="G2003" t="s">
        <v>6031</v>
      </c>
      <c r="H2003" t="s">
        <v>6040</v>
      </c>
      <c r="I2003" t="s">
        <v>6048</v>
      </c>
      <c r="J2003" t="s">
        <v>6053</v>
      </c>
      <c r="K2003" t="s">
        <v>6056</v>
      </c>
      <c r="L2003" t="s">
        <v>7865</v>
      </c>
      <c r="M2003">
        <v>1336.44</v>
      </c>
      <c r="N2003">
        <v>3</v>
      </c>
      <c r="O2003">
        <v>0.2</v>
      </c>
      <c r="P2003">
        <v>-70.91</v>
      </c>
      <c r="Q2003" t="s">
        <v>9896</v>
      </c>
      <c r="R2003">
        <v>1</v>
      </c>
      <c r="S2003" s="5">
        <f t="shared" si="62"/>
        <v>-5.3058872826314683E-2</v>
      </c>
      <c r="T2003">
        <v>445.48</v>
      </c>
      <c r="U2003">
        <v>4</v>
      </c>
      <c r="V2003">
        <v>2024</v>
      </c>
      <c r="W2003">
        <v>2</v>
      </c>
      <c r="X2003" t="s">
        <v>9898</v>
      </c>
      <c r="Y2003" t="s">
        <v>9900</v>
      </c>
      <c r="Z2003" t="s">
        <v>9898</v>
      </c>
      <c r="AD2003">
        <f t="shared" si="63"/>
        <v>1</v>
      </c>
    </row>
    <row r="2004" spans="1:30" x14ac:dyDescent="0.25">
      <c r="A2004" t="s">
        <v>2028</v>
      </c>
      <c r="B2004" s="2">
        <v>45450</v>
      </c>
      <c r="C2004" s="2">
        <v>45451</v>
      </c>
      <c r="D2004" t="s">
        <v>5171</v>
      </c>
      <c r="E2004" t="s">
        <v>5671</v>
      </c>
      <c r="F2004" t="s">
        <v>6027</v>
      </c>
      <c r="G2004" t="s">
        <v>6030</v>
      </c>
      <c r="H2004" t="s">
        <v>6035</v>
      </c>
      <c r="I2004" t="s">
        <v>6051</v>
      </c>
      <c r="J2004" t="s">
        <v>6055</v>
      </c>
      <c r="K2004" t="s">
        <v>6063</v>
      </c>
      <c r="L2004" t="s">
        <v>7866</v>
      </c>
      <c r="M2004">
        <v>567.20000000000005</v>
      </c>
      <c r="N2004">
        <v>7</v>
      </c>
      <c r="O2004">
        <v>0.06</v>
      </c>
      <c r="P2004">
        <v>23.53</v>
      </c>
      <c r="Q2004" t="s">
        <v>9894</v>
      </c>
      <c r="R2004">
        <v>1</v>
      </c>
      <c r="S2004" s="5">
        <f t="shared" si="62"/>
        <v>4.1484485190409023E-2</v>
      </c>
      <c r="T2004">
        <v>81.028571428571439</v>
      </c>
      <c r="U2004">
        <v>6</v>
      </c>
      <c r="V2004">
        <v>2024</v>
      </c>
      <c r="W2004">
        <v>2</v>
      </c>
      <c r="X2004" t="s">
        <v>9899</v>
      </c>
      <c r="Y2004" t="s">
        <v>9901</v>
      </c>
      <c r="Z2004" t="s">
        <v>9899</v>
      </c>
      <c r="AD2004">
        <f t="shared" si="63"/>
        <v>1</v>
      </c>
    </row>
    <row r="2005" spans="1:30" x14ac:dyDescent="0.25">
      <c r="A2005" t="s">
        <v>2029</v>
      </c>
      <c r="B2005" s="2">
        <v>44826</v>
      </c>
      <c r="C2005" s="2">
        <v>44831</v>
      </c>
      <c r="D2005" t="s">
        <v>5459</v>
      </c>
      <c r="E2005" t="s">
        <v>5959</v>
      </c>
      <c r="F2005" t="s">
        <v>6026</v>
      </c>
      <c r="G2005" t="s">
        <v>6029</v>
      </c>
      <c r="H2005" t="s">
        <v>6032</v>
      </c>
      <c r="I2005" t="s">
        <v>6050</v>
      </c>
      <c r="J2005" t="s">
        <v>6054</v>
      </c>
      <c r="K2005" t="s">
        <v>6062</v>
      </c>
      <c r="L2005" t="s">
        <v>7867</v>
      </c>
      <c r="M2005">
        <v>561.41</v>
      </c>
      <c r="N2005">
        <v>3</v>
      </c>
      <c r="O2005">
        <v>0.01</v>
      </c>
      <c r="P2005">
        <v>137.99</v>
      </c>
      <c r="Q2005" t="s">
        <v>9896</v>
      </c>
      <c r="R2005">
        <v>5</v>
      </c>
      <c r="S2005" s="5">
        <f t="shared" si="62"/>
        <v>0.24579184553178607</v>
      </c>
      <c r="T2005">
        <v>187.13666666666671</v>
      </c>
      <c r="U2005">
        <v>9</v>
      </c>
      <c r="V2005">
        <v>2022</v>
      </c>
      <c r="W2005">
        <v>3</v>
      </c>
      <c r="X2005" t="s">
        <v>9899</v>
      </c>
      <c r="Y2005" t="s">
        <v>9901</v>
      </c>
      <c r="Z2005" t="s">
        <v>9899</v>
      </c>
      <c r="AD2005">
        <f t="shared" si="63"/>
        <v>5</v>
      </c>
    </row>
    <row r="2006" spans="1:30" x14ac:dyDescent="0.25">
      <c r="A2006" t="s">
        <v>2030</v>
      </c>
      <c r="B2006" s="2">
        <v>44700</v>
      </c>
      <c r="C2006" s="2">
        <v>44707</v>
      </c>
      <c r="D2006" t="s">
        <v>5270</v>
      </c>
      <c r="E2006" t="s">
        <v>5770</v>
      </c>
      <c r="F2006" t="s">
        <v>6027</v>
      </c>
      <c r="G2006" t="s">
        <v>6031</v>
      </c>
      <c r="H2006" t="s">
        <v>6043</v>
      </c>
      <c r="I2006" t="s">
        <v>6048</v>
      </c>
      <c r="J2006" t="s">
        <v>6055</v>
      </c>
      <c r="K2006" t="s">
        <v>6061</v>
      </c>
      <c r="L2006" t="s">
        <v>7868</v>
      </c>
      <c r="M2006">
        <v>1963.79</v>
      </c>
      <c r="N2006">
        <v>7</v>
      </c>
      <c r="O2006">
        <v>0.24</v>
      </c>
      <c r="P2006">
        <v>-33.770000000000003</v>
      </c>
      <c r="Q2006" t="s">
        <v>9893</v>
      </c>
      <c r="R2006">
        <v>7</v>
      </c>
      <c r="S2006" s="5">
        <f t="shared" si="62"/>
        <v>-1.7196339730826619E-2</v>
      </c>
      <c r="T2006">
        <v>280.54142857142858</v>
      </c>
      <c r="U2006">
        <v>5</v>
      </c>
      <c r="V2006">
        <v>2022</v>
      </c>
      <c r="W2006">
        <v>2</v>
      </c>
      <c r="X2006" t="s">
        <v>9898</v>
      </c>
      <c r="Y2006" t="s">
        <v>9900</v>
      </c>
      <c r="Z2006" t="s">
        <v>9898</v>
      </c>
      <c r="AD2006">
        <f t="shared" si="63"/>
        <v>7</v>
      </c>
    </row>
    <row r="2007" spans="1:30" x14ac:dyDescent="0.25">
      <c r="A2007" t="s">
        <v>2031</v>
      </c>
      <c r="B2007" s="2">
        <v>45139</v>
      </c>
      <c r="C2007" s="2">
        <v>45141</v>
      </c>
      <c r="D2007" t="s">
        <v>5084</v>
      </c>
      <c r="E2007" t="s">
        <v>5584</v>
      </c>
      <c r="F2007" t="s">
        <v>6027</v>
      </c>
      <c r="G2007" t="s">
        <v>6030</v>
      </c>
      <c r="H2007" t="s">
        <v>6035</v>
      </c>
      <c r="I2007" t="s">
        <v>6047</v>
      </c>
      <c r="J2007" t="s">
        <v>6054</v>
      </c>
      <c r="K2007" t="s">
        <v>6062</v>
      </c>
      <c r="L2007" t="s">
        <v>6666</v>
      </c>
      <c r="M2007">
        <v>995.03</v>
      </c>
      <c r="N2007">
        <v>6</v>
      </c>
      <c r="O2007">
        <v>0.18</v>
      </c>
      <c r="P2007">
        <v>18.579999999999998</v>
      </c>
      <c r="Q2007" t="s">
        <v>9897</v>
      </c>
      <c r="R2007">
        <v>2</v>
      </c>
      <c r="S2007" s="5">
        <f t="shared" si="62"/>
        <v>1.8672803835060248E-2</v>
      </c>
      <c r="T2007">
        <v>165.83833333333331</v>
      </c>
      <c r="U2007">
        <v>8</v>
      </c>
      <c r="V2007">
        <v>2023</v>
      </c>
      <c r="W2007">
        <v>3</v>
      </c>
      <c r="X2007" t="s">
        <v>9899</v>
      </c>
      <c r="Y2007" t="s">
        <v>9900</v>
      </c>
      <c r="Z2007" t="s">
        <v>9899</v>
      </c>
      <c r="AD2007">
        <f t="shared" si="63"/>
        <v>2</v>
      </c>
    </row>
    <row r="2008" spans="1:30" x14ac:dyDescent="0.25">
      <c r="A2008" t="s">
        <v>2032</v>
      </c>
      <c r="B2008" s="2">
        <v>45112</v>
      </c>
      <c r="C2008" s="2">
        <v>45113</v>
      </c>
      <c r="D2008" t="s">
        <v>5319</v>
      </c>
      <c r="E2008" t="s">
        <v>5819</v>
      </c>
      <c r="F2008" t="s">
        <v>6026</v>
      </c>
      <c r="G2008" t="s">
        <v>6031</v>
      </c>
      <c r="H2008" t="s">
        <v>6040</v>
      </c>
      <c r="I2008" t="s">
        <v>6050</v>
      </c>
      <c r="J2008" t="s">
        <v>6053</v>
      </c>
      <c r="K2008" t="s">
        <v>6058</v>
      </c>
      <c r="L2008" t="s">
        <v>7563</v>
      </c>
      <c r="M2008">
        <v>1475.75</v>
      </c>
      <c r="N2008">
        <v>6</v>
      </c>
      <c r="O2008">
        <v>0.16</v>
      </c>
      <c r="P2008">
        <v>49.43</v>
      </c>
      <c r="Q2008" t="s">
        <v>9897</v>
      </c>
      <c r="R2008">
        <v>1</v>
      </c>
      <c r="S2008" s="5">
        <f t="shared" si="62"/>
        <v>3.3494833135693715E-2</v>
      </c>
      <c r="T2008">
        <v>245.95833333333329</v>
      </c>
      <c r="U2008">
        <v>7</v>
      </c>
      <c r="V2008">
        <v>2023</v>
      </c>
      <c r="W2008">
        <v>3</v>
      </c>
      <c r="X2008" t="s">
        <v>9899</v>
      </c>
      <c r="Y2008" t="s">
        <v>9900</v>
      </c>
      <c r="Z2008" t="s">
        <v>9898</v>
      </c>
      <c r="AD2008">
        <f t="shared" si="63"/>
        <v>1</v>
      </c>
    </row>
    <row r="2009" spans="1:30" x14ac:dyDescent="0.25">
      <c r="A2009" t="s">
        <v>2033</v>
      </c>
      <c r="B2009" s="2">
        <v>44604</v>
      </c>
      <c r="C2009" s="2">
        <v>44606</v>
      </c>
      <c r="D2009" t="s">
        <v>5136</v>
      </c>
      <c r="E2009" t="s">
        <v>5636</v>
      </c>
      <c r="F2009" t="s">
        <v>6028</v>
      </c>
      <c r="G2009" t="s">
        <v>6030</v>
      </c>
      <c r="H2009" t="s">
        <v>6039</v>
      </c>
      <c r="I2009" t="s">
        <v>6051</v>
      </c>
      <c r="J2009" t="s">
        <v>6055</v>
      </c>
      <c r="K2009" t="s">
        <v>6064</v>
      </c>
      <c r="L2009" t="s">
        <v>7869</v>
      </c>
      <c r="M2009">
        <v>1267.97</v>
      </c>
      <c r="N2009">
        <v>1</v>
      </c>
      <c r="O2009">
        <v>0.31</v>
      </c>
      <c r="P2009">
        <v>-15.05</v>
      </c>
      <c r="Q2009" t="s">
        <v>9894</v>
      </c>
      <c r="R2009">
        <v>2</v>
      </c>
      <c r="S2009" s="5">
        <f t="shared" si="62"/>
        <v>-1.1869365994463591E-2</v>
      </c>
      <c r="T2009">
        <v>1267.97</v>
      </c>
      <c r="U2009">
        <v>2</v>
      </c>
      <c r="V2009">
        <v>2022</v>
      </c>
      <c r="W2009">
        <v>1</v>
      </c>
      <c r="X2009" t="s">
        <v>9898</v>
      </c>
      <c r="Y2009" t="s">
        <v>9902</v>
      </c>
      <c r="Z2009" t="s">
        <v>9898</v>
      </c>
      <c r="AD2009">
        <f t="shared" si="63"/>
        <v>2</v>
      </c>
    </row>
    <row r="2010" spans="1:30" x14ac:dyDescent="0.25">
      <c r="A2010" t="s">
        <v>2034</v>
      </c>
      <c r="B2010" s="2">
        <v>44727</v>
      </c>
      <c r="C2010" s="2">
        <v>44732</v>
      </c>
      <c r="D2010" t="s">
        <v>5092</v>
      </c>
      <c r="E2010" t="s">
        <v>5592</v>
      </c>
      <c r="F2010" t="s">
        <v>6027</v>
      </c>
      <c r="G2010" t="s">
        <v>6031</v>
      </c>
      <c r="H2010" t="s">
        <v>6043</v>
      </c>
      <c r="I2010" t="s">
        <v>6050</v>
      </c>
      <c r="J2010" t="s">
        <v>6054</v>
      </c>
      <c r="K2010" t="s">
        <v>6059</v>
      </c>
      <c r="L2010" t="s">
        <v>7870</v>
      </c>
      <c r="M2010">
        <v>385.75</v>
      </c>
      <c r="N2010">
        <v>7</v>
      </c>
      <c r="O2010">
        <v>0.03</v>
      </c>
      <c r="P2010">
        <v>51.39</v>
      </c>
      <c r="Q2010" t="s">
        <v>9893</v>
      </c>
      <c r="R2010">
        <v>5</v>
      </c>
      <c r="S2010" s="5">
        <f t="shared" si="62"/>
        <v>0.13322099805573559</v>
      </c>
      <c r="T2010">
        <v>55.107142857142847</v>
      </c>
      <c r="U2010">
        <v>6</v>
      </c>
      <c r="V2010">
        <v>2022</v>
      </c>
      <c r="W2010">
        <v>2</v>
      </c>
      <c r="X2010" t="s">
        <v>9899</v>
      </c>
      <c r="Y2010" t="s">
        <v>9901</v>
      </c>
      <c r="Z2010" t="s">
        <v>9899</v>
      </c>
      <c r="AD2010">
        <f t="shared" si="63"/>
        <v>5</v>
      </c>
    </row>
    <row r="2011" spans="1:30" x14ac:dyDescent="0.25">
      <c r="A2011" t="s">
        <v>2035</v>
      </c>
      <c r="B2011" s="2">
        <v>44763</v>
      </c>
      <c r="C2011" s="2">
        <v>44769</v>
      </c>
      <c r="D2011" t="s">
        <v>5154</v>
      </c>
      <c r="E2011" t="s">
        <v>5654</v>
      </c>
      <c r="F2011" t="s">
        <v>6026</v>
      </c>
      <c r="G2011" t="s">
        <v>6030</v>
      </c>
      <c r="H2011" t="s">
        <v>6039</v>
      </c>
      <c r="I2011" t="s">
        <v>6047</v>
      </c>
      <c r="J2011" t="s">
        <v>6053</v>
      </c>
      <c r="K2011" t="s">
        <v>6056</v>
      </c>
      <c r="L2011" t="s">
        <v>7871</v>
      </c>
      <c r="M2011">
        <v>1294.18</v>
      </c>
      <c r="N2011">
        <v>1</v>
      </c>
      <c r="O2011">
        <v>0.18</v>
      </c>
      <c r="P2011">
        <v>107.34</v>
      </c>
      <c r="Q2011" t="s">
        <v>9894</v>
      </c>
      <c r="R2011">
        <v>6</v>
      </c>
      <c r="S2011" s="5">
        <f t="shared" si="62"/>
        <v>8.2940549228082652E-2</v>
      </c>
      <c r="T2011">
        <v>1294.18</v>
      </c>
      <c r="U2011">
        <v>7</v>
      </c>
      <c r="V2011">
        <v>2022</v>
      </c>
      <c r="W2011">
        <v>3</v>
      </c>
      <c r="X2011" t="s">
        <v>9899</v>
      </c>
      <c r="Y2011" t="s">
        <v>9900</v>
      </c>
      <c r="Z2011" t="s">
        <v>9898</v>
      </c>
      <c r="AD2011">
        <f t="shared" si="63"/>
        <v>6</v>
      </c>
    </row>
    <row r="2012" spans="1:30" x14ac:dyDescent="0.25">
      <c r="A2012" t="s">
        <v>2036</v>
      </c>
      <c r="B2012" s="2">
        <v>44914</v>
      </c>
      <c r="C2012" s="2">
        <v>44917</v>
      </c>
      <c r="D2012" t="s">
        <v>5436</v>
      </c>
      <c r="E2012" t="s">
        <v>5936</v>
      </c>
      <c r="F2012" t="s">
        <v>6026</v>
      </c>
      <c r="G2012" t="s">
        <v>6029</v>
      </c>
      <c r="H2012" t="s">
        <v>6044</v>
      </c>
      <c r="I2012" t="s">
        <v>6049</v>
      </c>
      <c r="J2012" t="s">
        <v>6055</v>
      </c>
      <c r="K2012" t="s">
        <v>6063</v>
      </c>
      <c r="L2012" t="s">
        <v>7872</v>
      </c>
      <c r="M2012">
        <v>1933.72</v>
      </c>
      <c r="N2012">
        <v>3</v>
      </c>
      <c r="O2012">
        <v>0.3</v>
      </c>
      <c r="P2012">
        <v>-377.16</v>
      </c>
      <c r="Q2012" t="s">
        <v>9895</v>
      </c>
      <c r="R2012">
        <v>3</v>
      </c>
      <c r="S2012" s="5">
        <f t="shared" si="62"/>
        <v>-0.19504374987071552</v>
      </c>
      <c r="T2012">
        <v>644.57333333333338</v>
      </c>
      <c r="U2012">
        <v>12</v>
      </c>
      <c r="V2012">
        <v>2022</v>
      </c>
      <c r="W2012">
        <v>4</v>
      </c>
      <c r="X2012" t="s">
        <v>9898</v>
      </c>
      <c r="Y2012" t="s">
        <v>9900</v>
      </c>
      <c r="Z2012" t="s">
        <v>9898</v>
      </c>
      <c r="AD2012">
        <f t="shared" si="63"/>
        <v>3</v>
      </c>
    </row>
    <row r="2013" spans="1:30" x14ac:dyDescent="0.25">
      <c r="A2013" t="s">
        <v>2037</v>
      </c>
      <c r="B2013" s="2">
        <v>44926</v>
      </c>
      <c r="C2013" s="2">
        <v>44933</v>
      </c>
      <c r="D2013" t="s">
        <v>5293</v>
      </c>
      <c r="E2013" t="s">
        <v>5793</v>
      </c>
      <c r="F2013" t="s">
        <v>6028</v>
      </c>
      <c r="G2013" t="s">
        <v>6031</v>
      </c>
      <c r="H2013" t="s">
        <v>6040</v>
      </c>
      <c r="I2013" t="s">
        <v>6052</v>
      </c>
      <c r="J2013" t="s">
        <v>6055</v>
      </c>
      <c r="K2013" t="s">
        <v>6063</v>
      </c>
      <c r="L2013" t="s">
        <v>7872</v>
      </c>
      <c r="M2013">
        <v>1773.52</v>
      </c>
      <c r="N2013">
        <v>7</v>
      </c>
      <c r="O2013">
        <v>0.12</v>
      </c>
      <c r="P2013">
        <v>182.7</v>
      </c>
      <c r="Q2013" t="s">
        <v>9897</v>
      </c>
      <c r="R2013">
        <v>7</v>
      </c>
      <c r="S2013" s="5">
        <f t="shared" si="62"/>
        <v>0.1030154720555731</v>
      </c>
      <c r="T2013">
        <v>253.36</v>
      </c>
      <c r="U2013">
        <v>12</v>
      </c>
      <c r="V2013">
        <v>2022</v>
      </c>
      <c r="W2013">
        <v>4</v>
      </c>
      <c r="X2013" t="s">
        <v>9899</v>
      </c>
      <c r="Y2013" t="s">
        <v>9901</v>
      </c>
      <c r="Z2013" t="s">
        <v>9898</v>
      </c>
      <c r="AD2013">
        <f t="shared" si="63"/>
        <v>7</v>
      </c>
    </row>
    <row r="2014" spans="1:30" x14ac:dyDescent="0.25">
      <c r="A2014" t="s">
        <v>2038</v>
      </c>
      <c r="B2014" s="2">
        <v>45014</v>
      </c>
      <c r="C2014" s="2">
        <v>45019</v>
      </c>
      <c r="D2014" t="s">
        <v>5216</v>
      </c>
      <c r="E2014" t="s">
        <v>5716</v>
      </c>
      <c r="F2014" t="s">
        <v>6027</v>
      </c>
      <c r="G2014" t="s">
        <v>6030</v>
      </c>
      <c r="H2014" t="s">
        <v>6033</v>
      </c>
      <c r="I2014" t="s">
        <v>6051</v>
      </c>
      <c r="J2014" t="s">
        <v>6053</v>
      </c>
      <c r="K2014" t="s">
        <v>6058</v>
      </c>
      <c r="L2014" t="s">
        <v>7873</v>
      </c>
      <c r="M2014">
        <v>1472.07</v>
      </c>
      <c r="N2014">
        <v>7</v>
      </c>
      <c r="O2014">
        <v>0.16</v>
      </c>
      <c r="P2014">
        <v>98.34</v>
      </c>
      <c r="Q2014" t="s">
        <v>9893</v>
      </c>
      <c r="R2014">
        <v>5</v>
      </c>
      <c r="S2014" s="5">
        <f t="shared" si="62"/>
        <v>6.680388840204611E-2</v>
      </c>
      <c r="T2014">
        <v>210.2957142857143</v>
      </c>
      <c r="U2014">
        <v>3</v>
      </c>
      <c r="V2014">
        <v>2023</v>
      </c>
      <c r="W2014">
        <v>1</v>
      </c>
      <c r="X2014" t="s">
        <v>9899</v>
      </c>
      <c r="Y2014" t="s">
        <v>9900</v>
      </c>
      <c r="Z2014" t="s">
        <v>9898</v>
      </c>
      <c r="AD2014">
        <f t="shared" si="63"/>
        <v>5</v>
      </c>
    </row>
    <row r="2015" spans="1:30" x14ac:dyDescent="0.25">
      <c r="A2015" t="s">
        <v>2039</v>
      </c>
      <c r="B2015" s="2">
        <v>45224</v>
      </c>
      <c r="C2015" s="2">
        <v>45228</v>
      </c>
      <c r="D2015" t="s">
        <v>5518</v>
      </c>
      <c r="E2015" t="s">
        <v>6018</v>
      </c>
      <c r="F2015" t="s">
        <v>6026</v>
      </c>
      <c r="G2015" t="s">
        <v>6030</v>
      </c>
      <c r="H2015" t="s">
        <v>6038</v>
      </c>
      <c r="I2015" t="s">
        <v>6047</v>
      </c>
      <c r="J2015" t="s">
        <v>6053</v>
      </c>
      <c r="K2015" t="s">
        <v>6058</v>
      </c>
      <c r="L2015" t="s">
        <v>7874</v>
      </c>
      <c r="M2015">
        <v>645.46</v>
      </c>
      <c r="N2015">
        <v>4</v>
      </c>
      <c r="O2015">
        <v>0.13</v>
      </c>
      <c r="P2015">
        <v>10.47</v>
      </c>
      <c r="Q2015" t="s">
        <v>9893</v>
      </c>
      <c r="R2015">
        <v>4</v>
      </c>
      <c r="S2015" s="5">
        <f t="shared" si="62"/>
        <v>1.6220989681777338E-2</v>
      </c>
      <c r="T2015">
        <v>161.36500000000001</v>
      </c>
      <c r="U2015">
        <v>10</v>
      </c>
      <c r="V2015">
        <v>2023</v>
      </c>
      <c r="W2015">
        <v>4</v>
      </c>
      <c r="X2015" t="s">
        <v>9899</v>
      </c>
      <c r="Y2015" t="s">
        <v>9901</v>
      </c>
      <c r="Z2015" t="s">
        <v>9899</v>
      </c>
      <c r="AD2015">
        <f t="shared" si="63"/>
        <v>4</v>
      </c>
    </row>
    <row r="2016" spans="1:30" x14ac:dyDescent="0.25">
      <c r="A2016" t="s">
        <v>2040</v>
      </c>
      <c r="B2016" s="2">
        <v>44909</v>
      </c>
      <c r="C2016" s="2">
        <v>44916</v>
      </c>
      <c r="D2016" t="s">
        <v>5165</v>
      </c>
      <c r="E2016" t="s">
        <v>5665</v>
      </c>
      <c r="F2016" t="s">
        <v>6026</v>
      </c>
      <c r="G2016" t="s">
        <v>6029</v>
      </c>
      <c r="H2016" t="s">
        <v>6032</v>
      </c>
      <c r="I2016" t="s">
        <v>6046</v>
      </c>
      <c r="J2016" t="s">
        <v>6055</v>
      </c>
      <c r="K2016" t="s">
        <v>6063</v>
      </c>
      <c r="L2016" t="s">
        <v>7875</v>
      </c>
      <c r="M2016">
        <v>1680.09</v>
      </c>
      <c r="N2016">
        <v>7</v>
      </c>
      <c r="O2016">
        <v>7.0000000000000007E-2</v>
      </c>
      <c r="P2016">
        <v>69.98</v>
      </c>
      <c r="Q2016" t="s">
        <v>9896</v>
      </c>
      <c r="R2016">
        <v>7</v>
      </c>
      <c r="S2016" s="5">
        <f t="shared" si="62"/>
        <v>4.1652530519198379E-2</v>
      </c>
      <c r="T2016">
        <v>240.01285714285709</v>
      </c>
      <c r="U2016">
        <v>12</v>
      </c>
      <c r="V2016">
        <v>2022</v>
      </c>
      <c r="W2016">
        <v>4</v>
      </c>
      <c r="X2016" t="s">
        <v>9899</v>
      </c>
      <c r="Y2016" t="s">
        <v>9901</v>
      </c>
      <c r="Z2016" t="s">
        <v>9898</v>
      </c>
      <c r="AD2016">
        <f t="shared" si="63"/>
        <v>7</v>
      </c>
    </row>
    <row r="2017" spans="1:30" x14ac:dyDescent="0.25">
      <c r="A2017" t="s">
        <v>2041</v>
      </c>
      <c r="B2017" s="2">
        <v>44633</v>
      </c>
      <c r="C2017" s="2">
        <v>44639</v>
      </c>
      <c r="D2017" t="s">
        <v>5270</v>
      </c>
      <c r="E2017" t="s">
        <v>5770</v>
      </c>
      <c r="F2017" t="s">
        <v>6027</v>
      </c>
      <c r="G2017" t="s">
        <v>6029</v>
      </c>
      <c r="H2017" t="s">
        <v>6044</v>
      </c>
      <c r="I2017" t="s">
        <v>6046</v>
      </c>
      <c r="J2017" t="s">
        <v>6054</v>
      </c>
      <c r="K2017" t="s">
        <v>6060</v>
      </c>
      <c r="L2017" t="s">
        <v>7876</v>
      </c>
      <c r="M2017">
        <v>1284.06</v>
      </c>
      <c r="N2017">
        <v>7</v>
      </c>
      <c r="O2017">
        <v>0.18</v>
      </c>
      <c r="P2017">
        <v>-88.49</v>
      </c>
      <c r="Q2017" t="s">
        <v>9896</v>
      </c>
      <c r="R2017">
        <v>6</v>
      </c>
      <c r="S2017" s="5">
        <f t="shared" si="62"/>
        <v>-6.8914225191969228E-2</v>
      </c>
      <c r="T2017">
        <v>183.43714285714279</v>
      </c>
      <c r="U2017">
        <v>3</v>
      </c>
      <c r="V2017">
        <v>2022</v>
      </c>
      <c r="W2017">
        <v>1</v>
      </c>
      <c r="X2017" t="s">
        <v>9898</v>
      </c>
      <c r="Y2017" t="s">
        <v>9900</v>
      </c>
      <c r="Z2017" t="s">
        <v>9898</v>
      </c>
      <c r="AD2017">
        <f t="shared" si="63"/>
        <v>6</v>
      </c>
    </row>
    <row r="2018" spans="1:30" x14ac:dyDescent="0.25">
      <c r="A2018" t="s">
        <v>2042</v>
      </c>
      <c r="B2018" s="2">
        <v>44683</v>
      </c>
      <c r="C2018" s="2">
        <v>44684</v>
      </c>
      <c r="D2018" t="s">
        <v>5177</v>
      </c>
      <c r="E2018" t="s">
        <v>5677</v>
      </c>
      <c r="F2018" t="s">
        <v>6027</v>
      </c>
      <c r="G2018" t="s">
        <v>6029</v>
      </c>
      <c r="H2018" t="s">
        <v>6036</v>
      </c>
      <c r="I2018" t="s">
        <v>6046</v>
      </c>
      <c r="J2018" t="s">
        <v>6054</v>
      </c>
      <c r="K2018" t="s">
        <v>6059</v>
      </c>
      <c r="L2018" t="s">
        <v>7877</v>
      </c>
      <c r="M2018">
        <v>678.55</v>
      </c>
      <c r="N2018">
        <v>1</v>
      </c>
      <c r="O2018">
        <v>0.12</v>
      </c>
      <c r="P2018">
        <v>30.88</v>
      </c>
      <c r="Q2018" t="s">
        <v>9894</v>
      </c>
      <c r="R2018">
        <v>1</v>
      </c>
      <c r="S2018" s="5">
        <f t="shared" si="62"/>
        <v>4.5508805541227618E-2</v>
      </c>
      <c r="T2018">
        <v>678.55</v>
      </c>
      <c r="U2018">
        <v>5</v>
      </c>
      <c r="V2018">
        <v>2022</v>
      </c>
      <c r="W2018">
        <v>2</v>
      </c>
      <c r="X2018" t="s">
        <v>9899</v>
      </c>
      <c r="Y2018" t="s">
        <v>9901</v>
      </c>
      <c r="Z2018" t="s">
        <v>9899</v>
      </c>
      <c r="AD2018">
        <f t="shared" si="63"/>
        <v>1</v>
      </c>
    </row>
    <row r="2019" spans="1:30" x14ac:dyDescent="0.25">
      <c r="A2019" t="s">
        <v>2043</v>
      </c>
      <c r="B2019" s="2">
        <v>44617</v>
      </c>
      <c r="C2019" s="2">
        <v>44620</v>
      </c>
      <c r="D2019" t="s">
        <v>5255</v>
      </c>
      <c r="E2019" t="s">
        <v>5755</v>
      </c>
      <c r="F2019" t="s">
        <v>6026</v>
      </c>
      <c r="G2019" t="s">
        <v>6031</v>
      </c>
      <c r="H2019" t="s">
        <v>6042</v>
      </c>
      <c r="I2019" t="s">
        <v>6052</v>
      </c>
      <c r="J2019" t="s">
        <v>6055</v>
      </c>
      <c r="K2019" t="s">
        <v>6064</v>
      </c>
      <c r="L2019" t="s">
        <v>7839</v>
      </c>
      <c r="M2019">
        <v>360.5</v>
      </c>
      <c r="N2019">
        <v>4</v>
      </c>
      <c r="O2019">
        <v>0.25</v>
      </c>
      <c r="P2019">
        <v>6.99</v>
      </c>
      <c r="Q2019" t="s">
        <v>9897</v>
      </c>
      <c r="R2019">
        <v>3</v>
      </c>
      <c r="S2019" s="5">
        <f t="shared" si="62"/>
        <v>1.9389736477115119E-2</v>
      </c>
      <c r="T2019">
        <v>90.125</v>
      </c>
      <c r="U2019">
        <v>2</v>
      </c>
      <c r="V2019">
        <v>2022</v>
      </c>
      <c r="W2019">
        <v>1</v>
      </c>
      <c r="X2019" t="s">
        <v>9899</v>
      </c>
      <c r="Y2019" t="s">
        <v>9900</v>
      </c>
      <c r="Z2019" t="s">
        <v>9899</v>
      </c>
      <c r="AD2019">
        <f t="shared" si="63"/>
        <v>3</v>
      </c>
    </row>
    <row r="2020" spans="1:30" x14ac:dyDescent="0.25">
      <c r="A2020" t="s">
        <v>2044</v>
      </c>
      <c r="B2020" s="2">
        <v>44715</v>
      </c>
      <c r="C2020" s="2">
        <v>44717</v>
      </c>
      <c r="D2020" t="s">
        <v>5375</v>
      </c>
      <c r="E2020" t="s">
        <v>5875</v>
      </c>
      <c r="F2020" t="s">
        <v>6027</v>
      </c>
      <c r="G2020" t="s">
        <v>6029</v>
      </c>
      <c r="H2020" t="s">
        <v>6044</v>
      </c>
      <c r="I2020" t="s">
        <v>6046</v>
      </c>
      <c r="J2020" t="s">
        <v>6054</v>
      </c>
      <c r="K2020" t="s">
        <v>6060</v>
      </c>
      <c r="L2020" t="s">
        <v>7878</v>
      </c>
      <c r="M2020">
        <v>114.51</v>
      </c>
      <c r="N2020">
        <v>6</v>
      </c>
      <c r="O2020">
        <v>0.12</v>
      </c>
      <c r="P2020">
        <v>6.39</v>
      </c>
      <c r="Q2020" t="s">
        <v>9896</v>
      </c>
      <c r="R2020">
        <v>2</v>
      </c>
      <c r="S2020" s="5">
        <f t="shared" si="62"/>
        <v>5.5802986638721505E-2</v>
      </c>
      <c r="T2020">
        <v>19.085000000000001</v>
      </c>
      <c r="U2020">
        <v>6</v>
      </c>
      <c r="V2020">
        <v>2022</v>
      </c>
      <c r="W2020">
        <v>2</v>
      </c>
      <c r="X2020" t="s">
        <v>9899</v>
      </c>
      <c r="Y2020" t="s">
        <v>9901</v>
      </c>
      <c r="Z2020" t="s">
        <v>9899</v>
      </c>
      <c r="AD2020">
        <f t="shared" si="63"/>
        <v>2</v>
      </c>
    </row>
    <row r="2021" spans="1:30" x14ac:dyDescent="0.25">
      <c r="A2021" t="s">
        <v>2045</v>
      </c>
      <c r="B2021" s="2">
        <v>45024</v>
      </c>
      <c r="C2021" s="2">
        <v>45029</v>
      </c>
      <c r="D2021" t="s">
        <v>5026</v>
      </c>
      <c r="E2021" t="s">
        <v>5526</v>
      </c>
      <c r="F2021" t="s">
        <v>6028</v>
      </c>
      <c r="G2021" t="s">
        <v>6030</v>
      </c>
      <c r="H2021" t="s">
        <v>6035</v>
      </c>
      <c r="I2021" t="s">
        <v>6051</v>
      </c>
      <c r="J2021" t="s">
        <v>6054</v>
      </c>
      <c r="K2021" t="s">
        <v>6062</v>
      </c>
      <c r="L2021" t="s">
        <v>7763</v>
      </c>
      <c r="M2021">
        <v>407.43</v>
      </c>
      <c r="N2021">
        <v>7</v>
      </c>
      <c r="O2021">
        <v>0.23</v>
      </c>
      <c r="P2021">
        <v>-25.77</v>
      </c>
      <c r="Q2021" t="s">
        <v>9894</v>
      </c>
      <c r="R2021">
        <v>5</v>
      </c>
      <c r="S2021" s="5">
        <f t="shared" si="62"/>
        <v>-6.3250128856490687E-2</v>
      </c>
      <c r="T2021">
        <v>58.204285714285717</v>
      </c>
      <c r="U2021">
        <v>4</v>
      </c>
      <c r="V2021">
        <v>2023</v>
      </c>
      <c r="W2021">
        <v>2</v>
      </c>
      <c r="X2021" t="s">
        <v>9898</v>
      </c>
      <c r="Y2021" t="s">
        <v>9900</v>
      </c>
      <c r="Z2021" t="s">
        <v>9899</v>
      </c>
      <c r="AD2021">
        <f t="shared" si="63"/>
        <v>5</v>
      </c>
    </row>
    <row r="2022" spans="1:30" x14ac:dyDescent="0.25">
      <c r="A2022" t="s">
        <v>2046</v>
      </c>
      <c r="B2022" s="2">
        <v>44574</v>
      </c>
      <c r="C2022" s="2">
        <v>44581</v>
      </c>
      <c r="D2022" t="s">
        <v>5493</v>
      </c>
      <c r="E2022" t="s">
        <v>5993</v>
      </c>
      <c r="F2022" t="s">
        <v>6026</v>
      </c>
      <c r="G2022" t="s">
        <v>6029</v>
      </c>
      <c r="H2022" t="s">
        <v>6045</v>
      </c>
      <c r="I2022" t="s">
        <v>6046</v>
      </c>
      <c r="J2022" t="s">
        <v>6055</v>
      </c>
      <c r="K2022" t="s">
        <v>6063</v>
      </c>
      <c r="L2022" t="s">
        <v>7879</v>
      </c>
      <c r="M2022">
        <v>1113.27</v>
      </c>
      <c r="N2022">
        <v>6</v>
      </c>
      <c r="O2022">
        <v>0.28000000000000003</v>
      </c>
      <c r="P2022">
        <v>-150.55000000000001</v>
      </c>
      <c r="Q2022" t="s">
        <v>9895</v>
      </c>
      <c r="R2022">
        <v>7</v>
      </c>
      <c r="S2022" s="5">
        <f t="shared" si="62"/>
        <v>-0.135232243750393</v>
      </c>
      <c r="T2022">
        <v>185.54499999999999</v>
      </c>
      <c r="U2022">
        <v>1</v>
      </c>
      <c r="V2022">
        <v>2022</v>
      </c>
      <c r="W2022">
        <v>1</v>
      </c>
      <c r="X2022" t="s">
        <v>9898</v>
      </c>
      <c r="Y2022" t="s">
        <v>9900</v>
      </c>
      <c r="Z2022" t="s">
        <v>9898</v>
      </c>
      <c r="AD2022">
        <f t="shared" si="63"/>
        <v>7</v>
      </c>
    </row>
    <row r="2023" spans="1:30" x14ac:dyDescent="0.25">
      <c r="A2023" t="s">
        <v>2047</v>
      </c>
      <c r="B2023" s="2">
        <v>45023</v>
      </c>
      <c r="C2023" s="2">
        <v>45029</v>
      </c>
      <c r="D2023" t="s">
        <v>5297</v>
      </c>
      <c r="E2023" t="s">
        <v>5797</v>
      </c>
      <c r="F2023" t="s">
        <v>6027</v>
      </c>
      <c r="G2023" t="s">
        <v>6030</v>
      </c>
      <c r="H2023" t="s">
        <v>6038</v>
      </c>
      <c r="I2023" t="s">
        <v>6051</v>
      </c>
      <c r="J2023" t="s">
        <v>6053</v>
      </c>
      <c r="K2023" t="s">
        <v>6058</v>
      </c>
      <c r="L2023" t="s">
        <v>7880</v>
      </c>
      <c r="M2023">
        <v>637.12</v>
      </c>
      <c r="N2023">
        <v>5</v>
      </c>
      <c r="O2023">
        <v>0.13</v>
      </c>
      <c r="P2023">
        <v>8.07</v>
      </c>
      <c r="Q2023" t="s">
        <v>9897</v>
      </c>
      <c r="R2023">
        <v>6</v>
      </c>
      <c r="S2023" s="5">
        <f t="shared" si="62"/>
        <v>1.2666373681567053E-2</v>
      </c>
      <c r="T2023">
        <v>127.42400000000001</v>
      </c>
      <c r="U2023">
        <v>4</v>
      </c>
      <c r="V2023">
        <v>2023</v>
      </c>
      <c r="W2023">
        <v>2</v>
      </c>
      <c r="X2023" t="s">
        <v>9899</v>
      </c>
      <c r="Y2023" t="s">
        <v>9901</v>
      </c>
      <c r="Z2023" t="s">
        <v>9899</v>
      </c>
      <c r="AD2023">
        <f t="shared" si="63"/>
        <v>6</v>
      </c>
    </row>
    <row r="2024" spans="1:30" x14ac:dyDescent="0.25">
      <c r="A2024" t="s">
        <v>2048</v>
      </c>
      <c r="B2024" s="2">
        <v>44928</v>
      </c>
      <c r="C2024" s="2">
        <v>44930</v>
      </c>
      <c r="D2024" t="s">
        <v>5242</v>
      </c>
      <c r="E2024" t="s">
        <v>5742</v>
      </c>
      <c r="F2024" t="s">
        <v>6028</v>
      </c>
      <c r="G2024" t="s">
        <v>6030</v>
      </c>
      <c r="H2024" t="s">
        <v>6038</v>
      </c>
      <c r="I2024" t="s">
        <v>6051</v>
      </c>
      <c r="J2024" t="s">
        <v>6055</v>
      </c>
      <c r="K2024" t="s">
        <v>6064</v>
      </c>
      <c r="L2024" t="s">
        <v>7881</v>
      </c>
      <c r="M2024">
        <v>1776.67</v>
      </c>
      <c r="N2024">
        <v>7</v>
      </c>
      <c r="O2024">
        <v>0.28000000000000003</v>
      </c>
      <c r="P2024">
        <v>-129.44999999999999</v>
      </c>
      <c r="Q2024" t="s">
        <v>9896</v>
      </c>
      <c r="R2024">
        <v>2</v>
      </c>
      <c r="S2024" s="5">
        <f t="shared" si="62"/>
        <v>-7.2861026527154718E-2</v>
      </c>
      <c r="T2024">
        <v>253.81</v>
      </c>
      <c r="U2024">
        <v>1</v>
      </c>
      <c r="V2024">
        <v>2023</v>
      </c>
      <c r="W2024">
        <v>1</v>
      </c>
      <c r="X2024" t="s">
        <v>9898</v>
      </c>
      <c r="Y2024" t="s">
        <v>9900</v>
      </c>
      <c r="Z2024" t="s">
        <v>9898</v>
      </c>
      <c r="AD2024">
        <f t="shared" si="63"/>
        <v>2</v>
      </c>
    </row>
    <row r="2025" spans="1:30" x14ac:dyDescent="0.25">
      <c r="A2025" t="s">
        <v>2049</v>
      </c>
      <c r="B2025" s="2">
        <v>45429</v>
      </c>
      <c r="C2025" s="2">
        <v>45432</v>
      </c>
      <c r="D2025" t="s">
        <v>5103</v>
      </c>
      <c r="E2025" t="s">
        <v>5603</v>
      </c>
      <c r="F2025" t="s">
        <v>6026</v>
      </c>
      <c r="G2025" t="s">
        <v>6029</v>
      </c>
      <c r="H2025" t="s">
        <v>6041</v>
      </c>
      <c r="I2025" t="s">
        <v>6049</v>
      </c>
      <c r="J2025" t="s">
        <v>6053</v>
      </c>
      <c r="K2025" t="s">
        <v>6057</v>
      </c>
      <c r="L2025" t="s">
        <v>7691</v>
      </c>
      <c r="M2025">
        <v>616.37</v>
      </c>
      <c r="N2025">
        <v>8</v>
      </c>
      <c r="O2025">
        <v>0.28999999999999998</v>
      </c>
      <c r="P2025">
        <v>-1.24</v>
      </c>
      <c r="Q2025" t="s">
        <v>9895</v>
      </c>
      <c r="R2025">
        <v>3</v>
      </c>
      <c r="S2025" s="5">
        <f t="shared" si="62"/>
        <v>-2.0117786394535748E-3</v>
      </c>
      <c r="T2025">
        <v>77.046250000000001</v>
      </c>
      <c r="U2025">
        <v>5</v>
      </c>
      <c r="V2025">
        <v>2024</v>
      </c>
      <c r="W2025">
        <v>2</v>
      </c>
      <c r="X2025" t="s">
        <v>9898</v>
      </c>
      <c r="Y2025" t="s">
        <v>9900</v>
      </c>
      <c r="Z2025" t="s">
        <v>9899</v>
      </c>
      <c r="AD2025">
        <f t="shared" si="63"/>
        <v>3</v>
      </c>
    </row>
    <row r="2026" spans="1:30" x14ac:dyDescent="0.25">
      <c r="A2026" t="s">
        <v>2050</v>
      </c>
      <c r="B2026" s="2">
        <v>45046</v>
      </c>
      <c r="C2026" s="2">
        <v>45053</v>
      </c>
      <c r="D2026" t="s">
        <v>5049</v>
      </c>
      <c r="E2026" t="s">
        <v>5549</v>
      </c>
      <c r="F2026" t="s">
        <v>6028</v>
      </c>
      <c r="G2026" t="s">
        <v>6030</v>
      </c>
      <c r="H2026" t="s">
        <v>6035</v>
      </c>
      <c r="I2026" t="s">
        <v>6051</v>
      </c>
      <c r="J2026" t="s">
        <v>6055</v>
      </c>
      <c r="K2026" t="s">
        <v>6063</v>
      </c>
      <c r="L2026" t="s">
        <v>7882</v>
      </c>
      <c r="M2026">
        <v>1104.1500000000001</v>
      </c>
      <c r="N2026">
        <v>6</v>
      </c>
      <c r="O2026">
        <v>0.21</v>
      </c>
      <c r="P2026">
        <v>87.73</v>
      </c>
      <c r="Q2026" t="s">
        <v>9895</v>
      </c>
      <c r="R2026">
        <v>7</v>
      </c>
      <c r="S2026" s="5">
        <f t="shared" si="62"/>
        <v>7.9454784223158076E-2</v>
      </c>
      <c r="T2026">
        <v>184.02500000000001</v>
      </c>
      <c r="U2026">
        <v>4</v>
      </c>
      <c r="V2026">
        <v>2023</v>
      </c>
      <c r="W2026">
        <v>2</v>
      </c>
      <c r="X2026" t="s">
        <v>9899</v>
      </c>
      <c r="Y2026" t="s">
        <v>9900</v>
      </c>
      <c r="Z2026" t="s">
        <v>9898</v>
      </c>
      <c r="AD2026">
        <f t="shared" si="63"/>
        <v>7</v>
      </c>
    </row>
    <row r="2027" spans="1:30" x14ac:dyDescent="0.25">
      <c r="A2027" t="s">
        <v>2051</v>
      </c>
      <c r="B2027" s="2">
        <v>45173</v>
      </c>
      <c r="C2027" s="2">
        <v>45178</v>
      </c>
      <c r="D2027" t="s">
        <v>5225</v>
      </c>
      <c r="E2027" t="s">
        <v>5725</v>
      </c>
      <c r="F2027" t="s">
        <v>6026</v>
      </c>
      <c r="G2027" t="s">
        <v>6029</v>
      </c>
      <c r="H2027" t="s">
        <v>6044</v>
      </c>
      <c r="I2027" t="s">
        <v>6046</v>
      </c>
      <c r="J2027" t="s">
        <v>6055</v>
      </c>
      <c r="K2027" t="s">
        <v>6064</v>
      </c>
      <c r="L2027" t="s">
        <v>7706</v>
      </c>
      <c r="M2027">
        <v>1411.29</v>
      </c>
      <c r="N2027">
        <v>8</v>
      </c>
      <c r="O2027">
        <v>0.08</v>
      </c>
      <c r="P2027">
        <v>98.21</v>
      </c>
      <c r="Q2027" t="s">
        <v>9897</v>
      </c>
      <c r="R2027">
        <v>5</v>
      </c>
      <c r="S2027" s="5">
        <f t="shared" si="62"/>
        <v>6.9588815906015067E-2</v>
      </c>
      <c r="T2027">
        <v>176.41125</v>
      </c>
      <c r="U2027">
        <v>9</v>
      </c>
      <c r="V2027">
        <v>2023</v>
      </c>
      <c r="W2027">
        <v>3</v>
      </c>
      <c r="X2027" t="s">
        <v>9899</v>
      </c>
      <c r="Y2027" t="s">
        <v>9901</v>
      </c>
      <c r="Z2027" t="s">
        <v>9898</v>
      </c>
      <c r="AD2027">
        <f t="shared" si="63"/>
        <v>5</v>
      </c>
    </row>
    <row r="2028" spans="1:30" x14ac:dyDescent="0.25">
      <c r="A2028" t="s">
        <v>2052</v>
      </c>
      <c r="B2028" s="2">
        <v>44856</v>
      </c>
      <c r="C2028" s="2">
        <v>44859</v>
      </c>
      <c r="D2028" t="s">
        <v>5096</v>
      </c>
      <c r="E2028" t="s">
        <v>5596</v>
      </c>
      <c r="F2028" t="s">
        <v>6028</v>
      </c>
      <c r="G2028" t="s">
        <v>6031</v>
      </c>
      <c r="H2028" t="s">
        <v>6042</v>
      </c>
      <c r="I2028" t="s">
        <v>6048</v>
      </c>
      <c r="J2028" t="s">
        <v>6055</v>
      </c>
      <c r="K2028" t="s">
        <v>6063</v>
      </c>
      <c r="L2028" t="s">
        <v>7883</v>
      </c>
      <c r="M2028">
        <v>1830.32</v>
      </c>
      <c r="N2028">
        <v>8</v>
      </c>
      <c r="O2028">
        <v>0.18</v>
      </c>
      <c r="P2028">
        <v>109.48</v>
      </c>
      <c r="Q2028" t="s">
        <v>9894</v>
      </c>
      <c r="R2028">
        <v>3</v>
      </c>
      <c r="S2028" s="5">
        <f t="shared" si="62"/>
        <v>5.9814677214913244E-2</v>
      </c>
      <c r="T2028">
        <v>228.79</v>
      </c>
      <c r="U2028">
        <v>10</v>
      </c>
      <c r="V2028">
        <v>2022</v>
      </c>
      <c r="W2028">
        <v>4</v>
      </c>
      <c r="X2028" t="s">
        <v>9899</v>
      </c>
      <c r="Y2028" t="s">
        <v>9900</v>
      </c>
      <c r="Z2028" t="s">
        <v>9898</v>
      </c>
      <c r="AD2028">
        <f t="shared" si="63"/>
        <v>3</v>
      </c>
    </row>
    <row r="2029" spans="1:30" x14ac:dyDescent="0.25">
      <c r="A2029" t="s">
        <v>2053</v>
      </c>
      <c r="B2029" s="2">
        <v>44979</v>
      </c>
      <c r="C2029" s="2">
        <v>44983</v>
      </c>
      <c r="D2029" t="s">
        <v>5281</v>
      </c>
      <c r="E2029" t="s">
        <v>5781</v>
      </c>
      <c r="F2029" t="s">
        <v>6028</v>
      </c>
      <c r="G2029" t="s">
        <v>6031</v>
      </c>
      <c r="H2029" t="s">
        <v>6042</v>
      </c>
      <c r="I2029" t="s">
        <v>6050</v>
      </c>
      <c r="J2029" t="s">
        <v>6053</v>
      </c>
      <c r="K2029" t="s">
        <v>6057</v>
      </c>
      <c r="L2029" t="s">
        <v>7884</v>
      </c>
      <c r="M2029">
        <v>104.44</v>
      </c>
      <c r="N2029">
        <v>7</v>
      </c>
      <c r="O2029">
        <v>0.24</v>
      </c>
      <c r="P2029">
        <v>4.46</v>
      </c>
      <c r="Q2029" t="s">
        <v>9893</v>
      </c>
      <c r="R2029">
        <v>4</v>
      </c>
      <c r="S2029" s="5">
        <f t="shared" si="62"/>
        <v>4.2703944848716965E-2</v>
      </c>
      <c r="T2029">
        <v>14.92</v>
      </c>
      <c r="U2029">
        <v>2</v>
      </c>
      <c r="V2029">
        <v>2023</v>
      </c>
      <c r="W2029">
        <v>1</v>
      </c>
      <c r="X2029" t="s">
        <v>9899</v>
      </c>
      <c r="Y2029" t="s">
        <v>9900</v>
      </c>
      <c r="Z2029" t="s">
        <v>9899</v>
      </c>
      <c r="AD2029">
        <f t="shared" si="63"/>
        <v>4</v>
      </c>
    </row>
    <row r="2030" spans="1:30" x14ac:dyDescent="0.25">
      <c r="A2030" t="s">
        <v>2054</v>
      </c>
      <c r="B2030" s="2">
        <v>44983</v>
      </c>
      <c r="C2030" s="2">
        <v>44986</v>
      </c>
      <c r="D2030" t="s">
        <v>5289</v>
      </c>
      <c r="E2030" t="s">
        <v>5789</v>
      </c>
      <c r="F2030" t="s">
        <v>6028</v>
      </c>
      <c r="G2030" t="s">
        <v>6031</v>
      </c>
      <c r="H2030" t="s">
        <v>6034</v>
      </c>
      <c r="I2030" t="s">
        <v>6048</v>
      </c>
      <c r="J2030" t="s">
        <v>6053</v>
      </c>
      <c r="K2030" t="s">
        <v>6056</v>
      </c>
      <c r="L2030" t="s">
        <v>7885</v>
      </c>
      <c r="M2030">
        <v>1101.72</v>
      </c>
      <c r="N2030">
        <v>6</v>
      </c>
      <c r="O2030">
        <v>0.17</v>
      </c>
      <c r="P2030">
        <v>-26.89</v>
      </c>
      <c r="Q2030" t="s">
        <v>9896</v>
      </c>
      <c r="R2030">
        <v>3</v>
      </c>
      <c r="S2030" s="5">
        <f t="shared" si="62"/>
        <v>-2.4407290418618159E-2</v>
      </c>
      <c r="T2030">
        <v>183.62</v>
      </c>
      <c r="U2030">
        <v>2</v>
      </c>
      <c r="V2030">
        <v>2023</v>
      </c>
      <c r="W2030">
        <v>1</v>
      </c>
      <c r="X2030" t="s">
        <v>9898</v>
      </c>
      <c r="Y2030" t="s">
        <v>9900</v>
      </c>
      <c r="Z2030" t="s">
        <v>9898</v>
      </c>
      <c r="AD2030">
        <f t="shared" si="63"/>
        <v>3</v>
      </c>
    </row>
    <row r="2031" spans="1:30" x14ac:dyDescent="0.25">
      <c r="A2031" t="s">
        <v>2055</v>
      </c>
      <c r="B2031" s="2">
        <v>45324</v>
      </c>
      <c r="C2031" s="2">
        <v>45326</v>
      </c>
      <c r="D2031" t="s">
        <v>5318</v>
      </c>
      <c r="E2031" t="s">
        <v>5818</v>
      </c>
      <c r="F2031" t="s">
        <v>6028</v>
      </c>
      <c r="G2031" t="s">
        <v>6030</v>
      </c>
      <c r="H2031" t="s">
        <v>6033</v>
      </c>
      <c r="I2031" t="s">
        <v>6051</v>
      </c>
      <c r="J2031" t="s">
        <v>6053</v>
      </c>
      <c r="K2031" t="s">
        <v>6057</v>
      </c>
      <c r="L2031" t="s">
        <v>7886</v>
      </c>
      <c r="M2031">
        <v>584.07000000000005</v>
      </c>
      <c r="N2031">
        <v>4</v>
      </c>
      <c r="O2031">
        <v>0</v>
      </c>
      <c r="P2031">
        <v>104.32</v>
      </c>
      <c r="Q2031" t="s">
        <v>9897</v>
      </c>
      <c r="R2031">
        <v>2</v>
      </c>
      <c r="S2031" s="5">
        <f t="shared" si="62"/>
        <v>0.17860872840584174</v>
      </c>
      <c r="T2031">
        <v>146.01750000000001</v>
      </c>
      <c r="U2031">
        <v>2</v>
      </c>
      <c r="V2031">
        <v>2024</v>
      </c>
      <c r="W2031">
        <v>1</v>
      </c>
      <c r="X2031" t="s">
        <v>9899</v>
      </c>
      <c r="Y2031" t="s">
        <v>9901</v>
      </c>
      <c r="Z2031" t="s">
        <v>9899</v>
      </c>
      <c r="AD2031">
        <f t="shared" si="63"/>
        <v>2</v>
      </c>
    </row>
    <row r="2032" spans="1:30" x14ac:dyDescent="0.25">
      <c r="A2032" t="s">
        <v>2056</v>
      </c>
      <c r="B2032" s="2">
        <v>45157</v>
      </c>
      <c r="C2032" s="2">
        <v>45159</v>
      </c>
      <c r="D2032" t="s">
        <v>5367</v>
      </c>
      <c r="E2032" t="s">
        <v>5867</v>
      </c>
      <c r="F2032" t="s">
        <v>6027</v>
      </c>
      <c r="G2032" t="s">
        <v>6030</v>
      </c>
      <c r="H2032" t="s">
        <v>6039</v>
      </c>
      <c r="I2032" t="s">
        <v>6047</v>
      </c>
      <c r="J2032" t="s">
        <v>6053</v>
      </c>
      <c r="K2032" t="s">
        <v>6056</v>
      </c>
      <c r="L2032" t="s">
        <v>7887</v>
      </c>
      <c r="M2032">
        <v>933.64</v>
      </c>
      <c r="N2032">
        <v>6</v>
      </c>
      <c r="O2032">
        <v>0.13</v>
      </c>
      <c r="P2032">
        <v>80.19</v>
      </c>
      <c r="Q2032" t="s">
        <v>9896</v>
      </c>
      <c r="R2032">
        <v>2</v>
      </c>
      <c r="S2032" s="5">
        <f t="shared" si="62"/>
        <v>8.5889636262370936E-2</v>
      </c>
      <c r="T2032">
        <v>155.60666666666671</v>
      </c>
      <c r="U2032">
        <v>8</v>
      </c>
      <c r="V2032">
        <v>2023</v>
      </c>
      <c r="W2032">
        <v>3</v>
      </c>
      <c r="X2032" t="s">
        <v>9899</v>
      </c>
      <c r="Y2032" t="s">
        <v>9901</v>
      </c>
      <c r="Z2032" t="s">
        <v>9899</v>
      </c>
      <c r="AD2032">
        <f t="shared" si="63"/>
        <v>2</v>
      </c>
    </row>
    <row r="2033" spans="1:30" x14ac:dyDescent="0.25">
      <c r="A2033" t="s">
        <v>2057</v>
      </c>
      <c r="B2033" s="2">
        <v>44589</v>
      </c>
      <c r="C2033" s="2">
        <v>44594</v>
      </c>
      <c r="D2033" t="s">
        <v>5175</v>
      </c>
      <c r="E2033" t="s">
        <v>5675</v>
      </c>
      <c r="F2033" t="s">
        <v>6026</v>
      </c>
      <c r="G2033" t="s">
        <v>6029</v>
      </c>
      <c r="H2033" t="s">
        <v>6041</v>
      </c>
      <c r="I2033" t="s">
        <v>6049</v>
      </c>
      <c r="J2033" t="s">
        <v>6054</v>
      </c>
      <c r="K2033" t="s">
        <v>6062</v>
      </c>
      <c r="L2033" t="s">
        <v>7888</v>
      </c>
      <c r="M2033">
        <v>1770.48</v>
      </c>
      <c r="N2033">
        <v>2</v>
      </c>
      <c r="O2033">
        <v>0.04</v>
      </c>
      <c r="P2033">
        <v>214.83</v>
      </c>
      <c r="Q2033" t="s">
        <v>9897</v>
      </c>
      <c r="R2033">
        <v>5</v>
      </c>
      <c r="S2033" s="5">
        <f t="shared" si="62"/>
        <v>0.12133997559983734</v>
      </c>
      <c r="T2033">
        <v>885.24</v>
      </c>
      <c r="U2033">
        <v>1</v>
      </c>
      <c r="V2033">
        <v>2022</v>
      </c>
      <c r="W2033">
        <v>1</v>
      </c>
      <c r="X2033" t="s">
        <v>9899</v>
      </c>
      <c r="Y2033" t="s">
        <v>9901</v>
      </c>
      <c r="Z2033" t="s">
        <v>9898</v>
      </c>
      <c r="AD2033">
        <f t="shared" si="63"/>
        <v>5</v>
      </c>
    </row>
    <row r="2034" spans="1:30" x14ac:dyDescent="0.25">
      <c r="A2034" t="s">
        <v>2058</v>
      </c>
      <c r="B2034" s="2">
        <v>45137</v>
      </c>
      <c r="C2034" s="2">
        <v>45142</v>
      </c>
      <c r="D2034" t="s">
        <v>5124</v>
      </c>
      <c r="E2034" t="s">
        <v>5624</v>
      </c>
      <c r="F2034" t="s">
        <v>6028</v>
      </c>
      <c r="G2034" t="s">
        <v>6030</v>
      </c>
      <c r="H2034" t="s">
        <v>6038</v>
      </c>
      <c r="I2034" t="s">
        <v>6047</v>
      </c>
      <c r="J2034" t="s">
        <v>6053</v>
      </c>
      <c r="K2034" t="s">
        <v>6057</v>
      </c>
      <c r="L2034" t="s">
        <v>7889</v>
      </c>
      <c r="M2034">
        <v>1444.95</v>
      </c>
      <c r="N2034">
        <v>2</v>
      </c>
      <c r="O2034">
        <v>0.17</v>
      </c>
      <c r="P2034">
        <v>-9.6</v>
      </c>
      <c r="Q2034" t="s">
        <v>9897</v>
      </c>
      <c r="R2034">
        <v>5</v>
      </c>
      <c r="S2034" s="5">
        <f t="shared" si="62"/>
        <v>-6.643828506176684E-3</v>
      </c>
      <c r="T2034">
        <v>722.47500000000002</v>
      </c>
      <c r="U2034">
        <v>7</v>
      </c>
      <c r="V2034">
        <v>2023</v>
      </c>
      <c r="W2034">
        <v>3</v>
      </c>
      <c r="X2034" t="s">
        <v>9898</v>
      </c>
      <c r="Y2034" t="s">
        <v>9900</v>
      </c>
      <c r="Z2034" t="s">
        <v>9898</v>
      </c>
      <c r="AD2034">
        <f t="shared" si="63"/>
        <v>5</v>
      </c>
    </row>
    <row r="2035" spans="1:30" x14ac:dyDescent="0.25">
      <c r="A2035" t="s">
        <v>2059</v>
      </c>
      <c r="B2035" s="2">
        <v>45038</v>
      </c>
      <c r="C2035" s="2">
        <v>45041</v>
      </c>
      <c r="D2035" t="s">
        <v>5148</v>
      </c>
      <c r="E2035" t="s">
        <v>5648</v>
      </c>
      <c r="F2035" t="s">
        <v>6027</v>
      </c>
      <c r="G2035" t="s">
        <v>6029</v>
      </c>
      <c r="H2035" t="s">
        <v>6041</v>
      </c>
      <c r="I2035" t="s">
        <v>6049</v>
      </c>
      <c r="J2035" t="s">
        <v>6054</v>
      </c>
      <c r="K2035" t="s">
        <v>6062</v>
      </c>
      <c r="L2035" t="s">
        <v>7890</v>
      </c>
      <c r="M2035">
        <v>202.17</v>
      </c>
      <c r="N2035">
        <v>8</v>
      </c>
      <c r="O2035">
        <v>0.32</v>
      </c>
      <c r="P2035">
        <v>-16.29</v>
      </c>
      <c r="Q2035" t="s">
        <v>9896</v>
      </c>
      <c r="R2035">
        <v>3</v>
      </c>
      <c r="S2035" s="5">
        <f t="shared" si="62"/>
        <v>-8.0575753079091858E-2</v>
      </c>
      <c r="T2035">
        <v>25.271249999999998</v>
      </c>
      <c r="U2035">
        <v>4</v>
      </c>
      <c r="V2035">
        <v>2023</v>
      </c>
      <c r="W2035">
        <v>2</v>
      </c>
      <c r="X2035" t="s">
        <v>9898</v>
      </c>
      <c r="Y2035" t="s">
        <v>9902</v>
      </c>
      <c r="Z2035" t="s">
        <v>9899</v>
      </c>
      <c r="AD2035">
        <f t="shared" si="63"/>
        <v>3</v>
      </c>
    </row>
    <row r="2036" spans="1:30" x14ac:dyDescent="0.25">
      <c r="A2036" t="s">
        <v>2060</v>
      </c>
      <c r="B2036" s="2">
        <v>44664</v>
      </c>
      <c r="C2036" s="2">
        <v>44668</v>
      </c>
      <c r="D2036" t="s">
        <v>5152</v>
      </c>
      <c r="E2036" t="s">
        <v>5652</v>
      </c>
      <c r="F2036" t="s">
        <v>6028</v>
      </c>
      <c r="G2036" t="s">
        <v>6031</v>
      </c>
      <c r="H2036" t="s">
        <v>6040</v>
      </c>
      <c r="I2036" t="s">
        <v>6050</v>
      </c>
      <c r="J2036" t="s">
        <v>6055</v>
      </c>
      <c r="K2036" t="s">
        <v>6063</v>
      </c>
      <c r="L2036" t="s">
        <v>7891</v>
      </c>
      <c r="M2036">
        <v>777.6</v>
      </c>
      <c r="N2036">
        <v>3</v>
      </c>
      <c r="O2036">
        <v>0.3</v>
      </c>
      <c r="P2036">
        <v>-153.04</v>
      </c>
      <c r="Q2036" t="s">
        <v>9896</v>
      </c>
      <c r="R2036">
        <v>4</v>
      </c>
      <c r="S2036" s="5">
        <f t="shared" si="62"/>
        <v>-0.19681069958847736</v>
      </c>
      <c r="T2036">
        <v>259.2</v>
      </c>
      <c r="U2036">
        <v>4</v>
      </c>
      <c r="V2036">
        <v>2022</v>
      </c>
      <c r="W2036">
        <v>2</v>
      </c>
      <c r="X2036" t="s">
        <v>9898</v>
      </c>
      <c r="Y2036" t="s">
        <v>9900</v>
      </c>
      <c r="Z2036" t="s">
        <v>9899</v>
      </c>
      <c r="AD2036">
        <f t="shared" si="63"/>
        <v>4</v>
      </c>
    </row>
    <row r="2037" spans="1:30" x14ac:dyDescent="0.25">
      <c r="A2037" t="s">
        <v>2061</v>
      </c>
      <c r="B2037" s="2">
        <v>45095</v>
      </c>
      <c r="C2037" s="2">
        <v>45102</v>
      </c>
      <c r="D2037" t="s">
        <v>5329</v>
      </c>
      <c r="E2037" t="s">
        <v>5829</v>
      </c>
      <c r="F2037" t="s">
        <v>6027</v>
      </c>
      <c r="G2037" t="s">
        <v>6030</v>
      </c>
      <c r="H2037" t="s">
        <v>6039</v>
      </c>
      <c r="I2037" t="s">
        <v>6047</v>
      </c>
      <c r="J2037" t="s">
        <v>6053</v>
      </c>
      <c r="K2037" t="s">
        <v>6058</v>
      </c>
      <c r="L2037" t="s">
        <v>7892</v>
      </c>
      <c r="M2037">
        <v>704.06</v>
      </c>
      <c r="N2037">
        <v>7</v>
      </c>
      <c r="O2037">
        <v>0.09</v>
      </c>
      <c r="P2037">
        <v>31.84</v>
      </c>
      <c r="Q2037" t="s">
        <v>9895</v>
      </c>
      <c r="R2037">
        <v>7</v>
      </c>
      <c r="S2037" s="5">
        <f t="shared" si="62"/>
        <v>4.5223418458654095E-2</v>
      </c>
      <c r="T2037">
        <v>100.58</v>
      </c>
      <c r="U2037">
        <v>6</v>
      </c>
      <c r="V2037">
        <v>2023</v>
      </c>
      <c r="W2037">
        <v>2</v>
      </c>
      <c r="X2037" t="s">
        <v>9899</v>
      </c>
      <c r="Y2037" t="s">
        <v>9901</v>
      </c>
      <c r="Z2037" t="s">
        <v>9899</v>
      </c>
      <c r="AD2037">
        <f t="shared" si="63"/>
        <v>7</v>
      </c>
    </row>
    <row r="2038" spans="1:30" x14ac:dyDescent="0.25">
      <c r="A2038" t="s">
        <v>2062</v>
      </c>
      <c r="B2038" s="2">
        <v>45302</v>
      </c>
      <c r="C2038" s="2">
        <v>45307</v>
      </c>
      <c r="D2038" t="s">
        <v>5371</v>
      </c>
      <c r="E2038" t="s">
        <v>5871</v>
      </c>
      <c r="F2038" t="s">
        <v>6026</v>
      </c>
      <c r="G2038" t="s">
        <v>6029</v>
      </c>
      <c r="H2038" t="s">
        <v>6044</v>
      </c>
      <c r="I2038" t="s">
        <v>6046</v>
      </c>
      <c r="J2038" t="s">
        <v>6055</v>
      </c>
      <c r="K2038" t="s">
        <v>6064</v>
      </c>
      <c r="L2038" t="s">
        <v>7893</v>
      </c>
      <c r="M2038">
        <v>1446.41</v>
      </c>
      <c r="N2038">
        <v>6</v>
      </c>
      <c r="O2038">
        <v>0.21</v>
      </c>
      <c r="P2038">
        <v>-37.229999999999997</v>
      </c>
      <c r="Q2038" t="s">
        <v>9896</v>
      </c>
      <c r="R2038">
        <v>5</v>
      </c>
      <c r="S2038" s="5">
        <f t="shared" si="62"/>
        <v>-2.5739589742880646E-2</v>
      </c>
      <c r="T2038">
        <v>241.06833333333341</v>
      </c>
      <c r="U2038">
        <v>1</v>
      </c>
      <c r="V2038">
        <v>2024</v>
      </c>
      <c r="W2038">
        <v>1</v>
      </c>
      <c r="X2038" t="s">
        <v>9898</v>
      </c>
      <c r="Y2038" t="s">
        <v>9900</v>
      </c>
      <c r="Z2038" t="s">
        <v>9898</v>
      </c>
      <c r="AD2038">
        <f t="shared" si="63"/>
        <v>5</v>
      </c>
    </row>
    <row r="2039" spans="1:30" x14ac:dyDescent="0.25">
      <c r="A2039" t="s">
        <v>2063</v>
      </c>
      <c r="B2039" s="2">
        <v>45461</v>
      </c>
      <c r="C2039" s="2">
        <v>45467</v>
      </c>
      <c r="D2039" t="s">
        <v>5365</v>
      </c>
      <c r="E2039" t="s">
        <v>5865</v>
      </c>
      <c r="F2039" t="s">
        <v>6028</v>
      </c>
      <c r="G2039" t="s">
        <v>6029</v>
      </c>
      <c r="H2039" t="s">
        <v>6032</v>
      </c>
      <c r="I2039" t="s">
        <v>6046</v>
      </c>
      <c r="J2039" t="s">
        <v>6055</v>
      </c>
      <c r="K2039" t="s">
        <v>6064</v>
      </c>
      <c r="L2039" t="s">
        <v>7894</v>
      </c>
      <c r="M2039">
        <v>140.66</v>
      </c>
      <c r="N2039">
        <v>2</v>
      </c>
      <c r="O2039">
        <v>0.1</v>
      </c>
      <c r="P2039">
        <v>10.32</v>
      </c>
      <c r="Q2039" t="s">
        <v>9896</v>
      </c>
      <c r="R2039">
        <v>6</v>
      </c>
      <c r="S2039" s="5">
        <f t="shared" si="62"/>
        <v>7.3368406085596471E-2</v>
      </c>
      <c r="T2039">
        <v>70.33</v>
      </c>
      <c r="U2039">
        <v>6</v>
      </c>
      <c r="V2039">
        <v>2024</v>
      </c>
      <c r="W2039">
        <v>2</v>
      </c>
      <c r="X2039" t="s">
        <v>9899</v>
      </c>
      <c r="Y2039" t="s">
        <v>9901</v>
      </c>
      <c r="Z2039" t="s">
        <v>9899</v>
      </c>
      <c r="AD2039">
        <f t="shared" si="63"/>
        <v>6</v>
      </c>
    </row>
    <row r="2040" spans="1:30" x14ac:dyDescent="0.25">
      <c r="A2040" t="s">
        <v>2064</v>
      </c>
      <c r="B2040" s="2">
        <v>44699</v>
      </c>
      <c r="C2040" s="2">
        <v>44700</v>
      </c>
      <c r="D2040" t="s">
        <v>5207</v>
      </c>
      <c r="E2040" t="s">
        <v>5707</v>
      </c>
      <c r="F2040" t="s">
        <v>6027</v>
      </c>
      <c r="G2040" t="s">
        <v>6029</v>
      </c>
      <c r="H2040" t="s">
        <v>6032</v>
      </c>
      <c r="I2040" t="s">
        <v>6046</v>
      </c>
      <c r="J2040" t="s">
        <v>6054</v>
      </c>
      <c r="K2040" t="s">
        <v>6062</v>
      </c>
      <c r="L2040" t="s">
        <v>6637</v>
      </c>
      <c r="M2040">
        <v>232.39</v>
      </c>
      <c r="N2040">
        <v>1</v>
      </c>
      <c r="O2040">
        <v>0.02</v>
      </c>
      <c r="P2040">
        <v>48.28</v>
      </c>
      <c r="Q2040" t="s">
        <v>9893</v>
      </c>
      <c r="R2040">
        <v>1</v>
      </c>
      <c r="S2040" s="5">
        <f t="shared" si="62"/>
        <v>0.20775420629114852</v>
      </c>
      <c r="T2040">
        <v>232.39</v>
      </c>
      <c r="U2040">
        <v>5</v>
      </c>
      <c r="V2040">
        <v>2022</v>
      </c>
      <c r="W2040">
        <v>2</v>
      </c>
      <c r="X2040" t="s">
        <v>9899</v>
      </c>
      <c r="Y2040" t="s">
        <v>9901</v>
      </c>
      <c r="Z2040" t="s">
        <v>9899</v>
      </c>
      <c r="AD2040">
        <f t="shared" si="63"/>
        <v>1</v>
      </c>
    </row>
    <row r="2041" spans="1:30" x14ac:dyDescent="0.25">
      <c r="A2041" t="s">
        <v>2065</v>
      </c>
      <c r="B2041" s="2">
        <v>45139</v>
      </c>
      <c r="C2041" s="2">
        <v>45143</v>
      </c>
      <c r="D2041" t="s">
        <v>5506</v>
      </c>
      <c r="E2041" t="s">
        <v>6006</v>
      </c>
      <c r="F2041" t="s">
        <v>6027</v>
      </c>
      <c r="G2041" t="s">
        <v>6029</v>
      </c>
      <c r="H2041" t="s">
        <v>6032</v>
      </c>
      <c r="I2041" t="s">
        <v>6050</v>
      </c>
      <c r="J2041" t="s">
        <v>6055</v>
      </c>
      <c r="K2041" t="s">
        <v>6061</v>
      </c>
      <c r="L2041" t="s">
        <v>7895</v>
      </c>
      <c r="M2041">
        <v>1455.54</v>
      </c>
      <c r="N2041">
        <v>4</v>
      </c>
      <c r="O2041">
        <v>0.12</v>
      </c>
      <c r="P2041">
        <v>85.21</v>
      </c>
      <c r="Q2041" t="s">
        <v>9894</v>
      </c>
      <c r="R2041">
        <v>4</v>
      </c>
      <c r="S2041" s="5">
        <f t="shared" si="62"/>
        <v>5.854184701210547E-2</v>
      </c>
      <c r="T2041">
        <v>363.88499999999999</v>
      </c>
      <c r="U2041">
        <v>8</v>
      </c>
      <c r="V2041">
        <v>2023</v>
      </c>
      <c r="W2041">
        <v>3</v>
      </c>
      <c r="X2041" t="s">
        <v>9899</v>
      </c>
      <c r="Y2041" t="s">
        <v>9901</v>
      </c>
      <c r="Z2041" t="s">
        <v>9898</v>
      </c>
      <c r="AD2041">
        <f t="shared" si="63"/>
        <v>4</v>
      </c>
    </row>
    <row r="2042" spans="1:30" x14ac:dyDescent="0.25">
      <c r="A2042" t="s">
        <v>2066</v>
      </c>
      <c r="B2042" s="2">
        <v>45116</v>
      </c>
      <c r="C2042" s="2">
        <v>45118</v>
      </c>
      <c r="D2042" t="s">
        <v>5083</v>
      </c>
      <c r="E2042" t="s">
        <v>5583</v>
      </c>
      <c r="F2042" t="s">
        <v>6028</v>
      </c>
      <c r="G2042" t="s">
        <v>6030</v>
      </c>
      <c r="H2042" t="s">
        <v>6035</v>
      </c>
      <c r="I2042" t="s">
        <v>6047</v>
      </c>
      <c r="J2042" t="s">
        <v>6055</v>
      </c>
      <c r="K2042" t="s">
        <v>6061</v>
      </c>
      <c r="L2042" t="s">
        <v>7896</v>
      </c>
      <c r="M2042">
        <v>1939.97</v>
      </c>
      <c r="N2042">
        <v>5</v>
      </c>
      <c r="O2042">
        <v>0.26</v>
      </c>
      <c r="P2042">
        <v>22.1</v>
      </c>
      <c r="Q2042" t="s">
        <v>9895</v>
      </c>
      <c r="R2042">
        <v>2</v>
      </c>
      <c r="S2042" s="5">
        <f t="shared" si="62"/>
        <v>1.1391928741166102E-2</v>
      </c>
      <c r="T2042">
        <v>387.99400000000003</v>
      </c>
      <c r="U2042">
        <v>7</v>
      </c>
      <c r="V2042">
        <v>2023</v>
      </c>
      <c r="W2042">
        <v>3</v>
      </c>
      <c r="X2042" t="s">
        <v>9899</v>
      </c>
      <c r="Y2042" t="s">
        <v>9900</v>
      </c>
      <c r="Z2042" t="s">
        <v>9898</v>
      </c>
      <c r="AD2042">
        <f t="shared" si="63"/>
        <v>2</v>
      </c>
    </row>
    <row r="2043" spans="1:30" x14ac:dyDescent="0.25">
      <c r="A2043" t="s">
        <v>2067</v>
      </c>
      <c r="B2043" s="2">
        <v>44666</v>
      </c>
      <c r="C2043" s="2">
        <v>44667</v>
      </c>
      <c r="D2043" t="s">
        <v>5387</v>
      </c>
      <c r="E2043" t="s">
        <v>5887</v>
      </c>
      <c r="F2043" t="s">
        <v>6027</v>
      </c>
      <c r="G2043" t="s">
        <v>6031</v>
      </c>
      <c r="H2043" t="s">
        <v>6043</v>
      </c>
      <c r="I2043" t="s">
        <v>6052</v>
      </c>
      <c r="J2043" t="s">
        <v>6053</v>
      </c>
      <c r="K2043" t="s">
        <v>6057</v>
      </c>
      <c r="L2043" t="s">
        <v>7897</v>
      </c>
      <c r="M2043">
        <v>1489.05</v>
      </c>
      <c r="N2043">
        <v>8</v>
      </c>
      <c r="O2043">
        <v>7.0000000000000007E-2</v>
      </c>
      <c r="P2043">
        <v>203.87</v>
      </c>
      <c r="Q2043" t="s">
        <v>9893</v>
      </c>
      <c r="R2043">
        <v>1</v>
      </c>
      <c r="S2043" s="5">
        <f t="shared" si="62"/>
        <v>0.13691279674960546</v>
      </c>
      <c r="T2043">
        <v>186.13124999999999</v>
      </c>
      <c r="U2043">
        <v>4</v>
      </c>
      <c r="V2043">
        <v>2022</v>
      </c>
      <c r="W2043">
        <v>2</v>
      </c>
      <c r="X2043" t="s">
        <v>9899</v>
      </c>
      <c r="Y2043" t="s">
        <v>9901</v>
      </c>
      <c r="Z2043" t="s">
        <v>9898</v>
      </c>
      <c r="AD2043">
        <f t="shared" si="63"/>
        <v>1</v>
      </c>
    </row>
    <row r="2044" spans="1:30" x14ac:dyDescent="0.25">
      <c r="A2044" t="s">
        <v>2068</v>
      </c>
      <c r="B2044" s="2">
        <v>44964</v>
      </c>
      <c r="C2044" s="2">
        <v>44965</v>
      </c>
      <c r="D2044" t="s">
        <v>5305</v>
      </c>
      <c r="E2044" t="s">
        <v>5805</v>
      </c>
      <c r="F2044" t="s">
        <v>6028</v>
      </c>
      <c r="G2044" t="s">
        <v>6029</v>
      </c>
      <c r="H2044" t="s">
        <v>6032</v>
      </c>
      <c r="I2044" t="s">
        <v>6046</v>
      </c>
      <c r="J2044" t="s">
        <v>6053</v>
      </c>
      <c r="K2044" t="s">
        <v>6056</v>
      </c>
      <c r="L2044" t="s">
        <v>7898</v>
      </c>
      <c r="M2044">
        <v>1230.17</v>
      </c>
      <c r="N2044">
        <v>6</v>
      </c>
      <c r="O2044">
        <v>0.12</v>
      </c>
      <c r="P2044">
        <v>-22.17</v>
      </c>
      <c r="Q2044" t="s">
        <v>9895</v>
      </c>
      <c r="R2044">
        <v>1</v>
      </c>
      <c r="S2044" s="5">
        <f t="shared" si="62"/>
        <v>-1.8021899412276353E-2</v>
      </c>
      <c r="T2044">
        <v>205.02833333333331</v>
      </c>
      <c r="U2044">
        <v>2</v>
      </c>
      <c r="V2044">
        <v>2023</v>
      </c>
      <c r="W2044">
        <v>1</v>
      </c>
      <c r="X2044" t="s">
        <v>9898</v>
      </c>
      <c r="Y2044" t="s">
        <v>9901</v>
      </c>
      <c r="Z2044" t="s">
        <v>9898</v>
      </c>
      <c r="AD2044">
        <f t="shared" si="63"/>
        <v>1</v>
      </c>
    </row>
    <row r="2045" spans="1:30" x14ac:dyDescent="0.25">
      <c r="A2045" t="s">
        <v>2069</v>
      </c>
      <c r="B2045" s="2">
        <v>45338</v>
      </c>
      <c r="C2045" s="2">
        <v>45339</v>
      </c>
      <c r="D2045" t="s">
        <v>5522</v>
      </c>
      <c r="E2045" t="s">
        <v>6022</v>
      </c>
      <c r="F2045" t="s">
        <v>6027</v>
      </c>
      <c r="G2045" t="s">
        <v>6030</v>
      </c>
      <c r="H2045" t="s">
        <v>6038</v>
      </c>
      <c r="I2045" t="s">
        <v>6051</v>
      </c>
      <c r="J2045" t="s">
        <v>6054</v>
      </c>
      <c r="K2045" t="s">
        <v>6062</v>
      </c>
      <c r="L2045" t="s">
        <v>7899</v>
      </c>
      <c r="M2045">
        <v>1501.61</v>
      </c>
      <c r="N2045">
        <v>6</v>
      </c>
      <c r="O2045">
        <v>0.09</v>
      </c>
      <c r="P2045">
        <v>257.82</v>
      </c>
      <c r="Q2045" t="s">
        <v>9895</v>
      </c>
      <c r="R2045">
        <v>1</v>
      </c>
      <c r="S2045" s="5">
        <f t="shared" si="62"/>
        <v>0.17169571326775929</v>
      </c>
      <c r="T2045">
        <v>250.26833333333329</v>
      </c>
      <c r="U2045">
        <v>2</v>
      </c>
      <c r="V2045">
        <v>2024</v>
      </c>
      <c r="W2045">
        <v>1</v>
      </c>
      <c r="X2045" t="s">
        <v>9899</v>
      </c>
      <c r="Y2045" t="s">
        <v>9901</v>
      </c>
      <c r="Z2045" t="s">
        <v>9898</v>
      </c>
      <c r="AD2045">
        <f t="shared" si="63"/>
        <v>1</v>
      </c>
    </row>
    <row r="2046" spans="1:30" x14ac:dyDescent="0.25">
      <c r="A2046" t="s">
        <v>2070</v>
      </c>
      <c r="B2046" s="2">
        <v>45148</v>
      </c>
      <c r="C2046" s="2">
        <v>45152</v>
      </c>
      <c r="D2046" t="s">
        <v>5472</v>
      </c>
      <c r="E2046" t="s">
        <v>5972</v>
      </c>
      <c r="F2046" t="s">
        <v>6026</v>
      </c>
      <c r="G2046" t="s">
        <v>6030</v>
      </c>
      <c r="H2046" t="s">
        <v>6035</v>
      </c>
      <c r="I2046" t="s">
        <v>6051</v>
      </c>
      <c r="J2046" t="s">
        <v>6055</v>
      </c>
      <c r="K2046" t="s">
        <v>6061</v>
      </c>
      <c r="L2046" t="s">
        <v>7900</v>
      </c>
      <c r="M2046">
        <v>1514.93</v>
      </c>
      <c r="N2046">
        <v>4</v>
      </c>
      <c r="O2046">
        <v>0.05</v>
      </c>
      <c r="P2046">
        <v>332.65</v>
      </c>
      <c r="Q2046" t="s">
        <v>9895</v>
      </c>
      <c r="R2046">
        <v>4</v>
      </c>
      <c r="S2046" s="5">
        <f t="shared" si="62"/>
        <v>0.21958110275722309</v>
      </c>
      <c r="T2046">
        <v>378.73250000000002</v>
      </c>
      <c r="U2046">
        <v>8</v>
      </c>
      <c r="V2046">
        <v>2023</v>
      </c>
      <c r="W2046">
        <v>3</v>
      </c>
      <c r="X2046" t="s">
        <v>9899</v>
      </c>
      <c r="Y2046" t="s">
        <v>9901</v>
      </c>
      <c r="Z2046" t="s">
        <v>9898</v>
      </c>
      <c r="AD2046">
        <f t="shared" si="63"/>
        <v>4</v>
      </c>
    </row>
    <row r="2047" spans="1:30" x14ac:dyDescent="0.25">
      <c r="A2047" t="s">
        <v>2071</v>
      </c>
      <c r="B2047" s="2">
        <v>44948</v>
      </c>
      <c r="C2047" s="2">
        <v>44952</v>
      </c>
      <c r="D2047" t="s">
        <v>5289</v>
      </c>
      <c r="E2047" t="s">
        <v>5789</v>
      </c>
      <c r="F2047" t="s">
        <v>6027</v>
      </c>
      <c r="G2047" t="s">
        <v>6029</v>
      </c>
      <c r="H2047" t="s">
        <v>6044</v>
      </c>
      <c r="I2047" t="s">
        <v>6049</v>
      </c>
      <c r="J2047" t="s">
        <v>6053</v>
      </c>
      <c r="K2047" t="s">
        <v>6057</v>
      </c>
      <c r="L2047" t="s">
        <v>7901</v>
      </c>
      <c r="M2047">
        <v>1057.02</v>
      </c>
      <c r="N2047">
        <v>4</v>
      </c>
      <c r="O2047">
        <v>0</v>
      </c>
      <c r="P2047">
        <v>228.87</v>
      </c>
      <c r="Q2047" t="s">
        <v>9897</v>
      </c>
      <c r="R2047">
        <v>4</v>
      </c>
      <c r="S2047" s="5">
        <f t="shared" si="62"/>
        <v>0.21652381222682637</v>
      </c>
      <c r="T2047">
        <v>264.255</v>
      </c>
      <c r="U2047">
        <v>1</v>
      </c>
      <c r="V2047">
        <v>2023</v>
      </c>
      <c r="W2047">
        <v>1</v>
      </c>
      <c r="X2047" t="s">
        <v>9899</v>
      </c>
      <c r="Y2047" t="s">
        <v>9901</v>
      </c>
      <c r="Z2047" t="s">
        <v>9898</v>
      </c>
      <c r="AD2047">
        <f t="shared" si="63"/>
        <v>4</v>
      </c>
    </row>
    <row r="2048" spans="1:30" x14ac:dyDescent="0.25">
      <c r="A2048" t="s">
        <v>2072</v>
      </c>
      <c r="B2048" s="2">
        <v>45435</v>
      </c>
      <c r="C2048" s="2">
        <v>45440</v>
      </c>
      <c r="D2048" t="s">
        <v>5036</v>
      </c>
      <c r="E2048" t="s">
        <v>5536</v>
      </c>
      <c r="F2048" t="s">
        <v>6027</v>
      </c>
      <c r="G2048" t="s">
        <v>6029</v>
      </c>
      <c r="H2048" t="s">
        <v>6045</v>
      </c>
      <c r="I2048" t="s">
        <v>6049</v>
      </c>
      <c r="J2048" t="s">
        <v>6053</v>
      </c>
      <c r="K2048" t="s">
        <v>6058</v>
      </c>
      <c r="L2048" t="s">
        <v>7766</v>
      </c>
      <c r="M2048">
        <v>1419.65</v>
      </c>
      <c r="N2048">
        <v>7</v>
      </c>
      <c r="O2048">
        <v>0.17</v>
      </c>
      <c r="P2048">
        <v>73.650000000000006</v>
      </c>
      <c r="Q2048" t="s">
        <v>9894</v>
      </c>
      <c r="R2048">
        <v>5</v>
      </c>
      <c r="S2048" s="5">
        <f t="shared" si="62"/>
        <v>5.1878984256682983E-2</v>
      </c>
      <c r="T2048">
        <v>202.80714285714291</v>
      </c>
      <c r="U2048">
        <v>5</v>
      </c>
      <c r="V2048">
        <v>2024</v>
      </c>
      <c r="W2048">
        <v>2</v>
      </c>
      <c r="X2048" t="s">
        <v>9899</v>
      </c>
      <c r="Y2048" t="s">
        <v>9900</v>
      </c>
      <c r="Z2048" t="s">
        <v>9898</v>
      </c>
      <c r="AD2048">
        <f t="shared" si="63"/>
        <v>5</v>
      </c>
    </row>
    <row r="2049" spans="1:30" x14ac:dyDescent="0.25">
      <c r="A2049" t="s">
        <v>2073</v>
      </c>
      <c r="B2049" s="2">
        <v>44644</v>
      </c>
      <c r="C2049" s="2">
        <v>44645</v>
      </c>
      <c r="D2049" t="s">
        <v>5315</v>
      </c>
      <c r="E2049" t="s">
        <v>5815</v>
      </c>
      <c r="F2049" t="s">
        <v>6027</v>
      </c>
      <c r="G2049" t="s">
        <v>6030</v>
      </c>
      <c r="H2049" t="s">
        <v>6035</v>
      </c>
      <c r="I2049" t="s">
        <v>6047</v>
      </c>
      <c r="J2049" t="s">
        <v>6053</v>
      </c>
      <c r="K2049" t="s">
        <v>6057</v>
      </c>
      <c r="L2049" t="s">
        <v>7902</v>
      </c>
      <c r="M2049">
        <v>1685.24</v>
      </c>
      <c r="N2049">
        <v>4</v>
      </c>
      <c r="O2049">
        <v>0.21</v>
      </c>
      <c r="P2049">
        <v>-97.05</v>
      </c>
      <c r="Q2049" t="s">
        <v>9894</v>
      </c>
      <c r="R2049">
        <v>1</v>
      </c>
      <c r="S2049" s="5">
        <f t="shared" si="62"/>
        <v>-5.7588236690323036E-2</v>
      </c>
      <c r="T2049">
        <v>421.31</v>
      </c>
      <c r="U2049">
        <v>3</v>
      </c>
      <c r="V2049">
        <v>2022</v>
      </c>
      <c r="W2049">
        <v>1</v>
      </c>
      <c r="X2049" t="s">
        <v>9898</v>
      </c>
      <c r="Y2049" t="s">
        <v>9900</v>
      </c>
      <c r="Z2049" t="s">
        <v>9898</v>
      </c>
      <c r="AD2049">
        <f t="shared" si="63"/>
        <v>1</v>
      </c>
    </row>
    <row r="2050" spans="1:30" x14ac:dyDescent="0.25">
      <c r="A2050" t="s">
        <v>2074</v>
      </c>
      <c r="B2050" s="2">
        <v>44739</v>
      </c>
      <c r="C2050" s="2">
        <v>44743</v>
      </c>
      <c r="D2050" t="s">
        <v>5253</v>
      </c>
      <c r="E2050" t="s">
        <v>5753</v>
      </c>
      <c r="F2050" t="s">
        <v>6027</v>
      </c>
      <c r="G2050" t="s">
        <v>6031</v>
      </c>
      <c r="H2050" t="s">
        <v>6037</v>
      </c>
      <c r="I2050" t="s">
        <v>6048</v>
      </c>
      <c r="J2050" t="s">
        <v>6055</v>
      </c>
      <c r="K2050" t="s">
        <v>6063</v>
      </c>
      <c r="L2050" t="s">
        <v>7903</v>
      </c>
      <c r="M2050">
        <v>667.24</v>
      </c>
      <c r="N2050">
        <v>4</v>
      </c>
      <c r="O2050">
        <v>0.04</v>
      </c>
      <c r="P2050">
        <v>92.79</v>
      </c>
      <c r="Q2050" t="s">
        <v>9897</v>
      </c>
      <c r="R2050">
        <v>4</v>
      </c>
      <c r="S2050" s="5">
        <f t="shared" si="62"/>
        <v>0.13906540375277263</v>
      </c>
      <c r="T2050">
        <v>166.81</v>
      </c>
      <c r="U2050">
        <v>6</v>
      </c>
      <c r="V2050">
        <v>2022</v>
      </c>
      <c r="W2050">
        <v>2</v>
      </c>
      <c r="X2050" t="s">
        <v>9899</v>
      </c>
      <c r="Y2050" t="s">
        <v>9901</v>
      </c>
      <c r="Z2050" t="s">
        <v>9899</v>
      </c>
      <c r="AD2050">
        <f t="shared" si="63"/>
        <v>4</v>
      </c>
    </row>
    <row r="2051" spans="1:30" x14ac:dyDescent="0.25">
      <c r="A2051" t="s">
        <v>2075</v>
      </c>
      <c r="B2051" s="2">
        <v>44714</v>
      </c>
      <c r="C2051" s="2">
        <v>44720</v>
      </c>
      <c r="D2051" t="s">
        <v>5064</v>
      </c>
      <c r="E2051" t="s">
        <v>5564</v>
      </c>
      <c r="F2051" t="s">
        <v>6028</v>
      </c>
      <c r="G2051" t="s">
        <v>6031</v>
      </c>
      <c r="H2051" t="s">
        <v>6043</v>
      </c>
      <c r="I2051" t="s">
        <v>6052</v>
      </c>
      <c r="J2051" t="s">
        <v>6055</v>
      </c>
      <c r="K2051" t="s">
        <v>6063</v>
      </c>
      <c r="L2051" t="s">
        <v>7904</v>
      </c>
      <c r="M2051">
        <v>459.65</v>
      </c>
      <c r="N2051">
        <v>1</v>
      </c>
      <c r="O2051">
        <v>0.1</v>
      </c>
      <c r="P2051">
        <v>47.02</v>
      </c>
      <c r="Q2051" t="s">
        <v>9897</v>
      </c>
      <c r="R2051">
        <v>6</v>
      </c>
      <c r="S2051" s="5">
        <f t="shared" ref="S2051:S2114" si="64">P2051/M2051</f>
        <v>0.10229522462743393</v>
      </c>
      <c r="T2051">
        <v>459.65</v>
      </c>
      <c r="U2051">
        <v>6</v>
      </c>
      <c r="V2051">
        <v>2022</v>
      </c>
      <c r="W2051">
        <v>2</v>
      </c>
      <c r="X2051" t="s">
        <v>9899</v>
      </c>
      <c r="Y2051" t="s">
        <v>9901</v>
      </c>
      <c r="Z2051" t="s">
        <v>9899</v>
      </c>
      <c r="AD2051">
        <f t="shared" ref="AD2051:AD2114" si="65">C2051-B2051</f>
        <v>6</v>
      </c>
    </row>
    <row r="2052" spans="1:30" x14ac:dyDescent="0.25">
      <c r="A2052" t="s">
        <v>2076</v>
      </c>
      <c r="B2052" s="2">
        <v>45400</v>
      </c>
      <c r="C2052" s="2">
        <v>45402</v>
      </c>
      <c r="D2052" t="s">
        <v>5201</v>
      </c>
      <c r="E2052" t="s">
        <v>5701</v>
      </c>
      <c r="F2052" t="s">
        <v>6027</v>
      </c>
      <c r="G2052" t="s">
        <v>6029</v>
      </c>
      <c r="H2052" t="s">
        <v>6044</v>
      </c>
      <c r="I2052" t="s">
        <v>6046</v>
      </c>
      <c r="J2052" t="s">
        <v>6055</v>
      </c>
      <c r="K2052" t="s">
        <v>6063</v>
      </c>
      <c r="L2052" t="s">
        <v>7738</v>
      </c>
      <c r="M2052">
        <v>1341.13</v>
      </c>
      <c r="N2052">
        <v>8</v>
      </c>
      <c r="O2052">
        <v>0.27</v>
      </c>
      <c r="P2052">
        <v>-225.68</v>
      </c>
      <c r="Q2052" t="s">
        <v>9894</v>
      </c>
      <c r="R2052">
        <v>2</v>
      </c>
      <c r="S2052" s="5">
        <f t="shared" si="64"/>
        <v>-0.16827600605459575</v>
      </c>
      <c r="T2052">
        <v>167.64125000000001</v>
      </c>
      <c r="U2052">
        <v>4</v>
      </c>
      <c r="V2052">
        <v>2024</v>
      </c>
      <c r="W2052">
        <v>2</v>
      </c>
      <c r="X2052" t="s">
        <v>9898</v>
      </c>
      <c r="Y2052" t="s">
        <v>9900</v>
      </c>
      <c r="Z2052" t="s">
        <v>9898</v>
      </c>
      <c r="AD2052">
        <f t="shared" si="65"/>
        <v>2</v>
      </c>
    </row>
    <row r="2053" spans="1:30" x14ac:dyDescent="0.25">
      <c r="A2053" t="s">
        <v>2077</v>
      </c>
      <c r="B2053" s="2">
        <v>44618</v>
      </c>
      <c r="C2053" s="2">
        <v>44622</v>
      </c>
      <c r="D2053" t="s">
        <v>5101</v>
      </c>
      <c r="E2053" t="s">
        <v>5601</v>
      </c>
      <c r="F2053" t="s">
        <v>6027</v>
      </c>
      <c r="G2053" t="s">
        <v>6029</v>
      </c>
      <c r="H2053" t="s">
        <v>6045</v>
      </c>
      <c r="I2053" t="s">
        <v>6049</v>
      </c>
      <c r="J2053" t="s">
        <v>6055</v>
      </c>
      <c r="K2053" t="s">
        <v>6063</v>
      </c>
      <c r="L2053" t="s">
        <v>6699</v>
      </c>
      <c r="M2053">
        <v>246.34</v>
      </c>
      <c r="N2053">
        <v>7</v>
      </c>
      <c r="O2053">
        <v>0.18</v>
      </c>
      <c r="P2053">
        <v>19.91</v>
      </c>
      <c r="Q2053" t="s">
        <v>9894</v>
      </c>
      <c r="R2053">
        <v>4</v>
      </c>
      <c r="S2053" s="5">
        <f t="shared" si="64"/>
        <v>8.0823252415360883E-2</v>
      </c>
      <c r="T2053">
        <v>35.191428571428567</v>
      </c>
      <c r="U2053">
        <v>2</v>
      </c>
      <c r="V2053">
        <v>2022</v>
      </c>
      <c r="W2053">
        <v>1</v>
      </c>
      <c r="X2053" t="s">
        <v>9899</v>
      </c>
      <c r="Y2053" t="s">
        <v>9900</v>
      </c>
      <c r="Z2053" t="s">
        <v>9899</v>
      </c>
      <c r="AD2053">
        <f t="shared" si="65"/>
        <v>4</v>
      </c>
    </row>
    <row r="2054" spans="1:30" x14ac:dyDescent="0.25">
      <c r="A2054" t="s">
        <v>2078</v>
      </c>
      <c r="B2054" s="2">
        <v>45086</v>
      </c>
      <c r="C2054" s="2">
        <v>45092</v>
      </c>
      <c r="D2054" t="s">
        <v>5317</v>
      </c>
      <c r="E2054" t="s">
        <v>5817</v>
      </c>
      <c r="F2054" t="s">
        <v>6026</v>
      </c>
      <c r="G2054" t="s">
        <v>6029</v>
      </c>
      <c r="H2054" t="s">
        <v>6036</v>
      </c>
      <c r="I2054" t="s">
        <v>6049</v>
      </c>
      <c r="J2054" t="s">
        <v>6053</v>
      </c>
      <c r="K2054" t="s">
        <v>6057</v>
      </c>
      <c r="L2054" t="s">
        <v>7905</v>
      </c>
      <c r="M2054">
        <v>1962.65</v>
      </c>
      <c r="N2054">
        <v>6</v>
      </c>
      <c r="O2054">
        <v>7.0000000000000007E-2</v>
      </c>
      <c r="P2054">
        <v>284.14</v>
      </c>
      <c r="Q2054" t="s">
        <v>9897</v>
      </c>
      <c r="R2054">
        <v>6</v>
      </c>
      <c r="S2054" s="5">
        <f t="shared" si="64"/>
        <v>0.14477364787404784</v>
      </c>
      <c r="T2054">
        <v>327.10833333333329</v>
      </c>
      <c r="U2054">
        <v>6</v>
      </c>
      <c r="V2054">
        <v>2023</v>
      </c>
      <c r="W2054">
        <v>2</v>
      </c>
      <c r="X2054" t="s">
        <v>9899</v>
      </c>
      <c r="Y2054" t="s">
        <v>9901</v>
      </c>
      <c r="Z2054" t="s">
        <v>9898</v>
      </c>
      <c r="AD2054">
        <f t="shared" si="65"/>
        <v>6</v>
      </c>
    </row>
    <row r="2055" spans="1:30" x14ac:dyDescent="0.25">
      <c r="A2055" t="s">
        <v>2079</v>
      </c>
      <c r="B2055" s="2">
        <v>44766</v>
      </c>
      <c r="C2055" s="2">
        <v>44768</v>
      </c>
      <c r="D2055" t="s">
        <v>5228</v>
      </c>
      <c r="E2055" t="s">
        <v>5728</v>
      </c>
      <c r="F2055" t="s">
        <v>6028</v>
      </c>
      <c r="G2055" t="s">
        <v>6030</v>
      </c>
      <c r="H2055" t="s">
        <v>6035</v>
      </c>
      <c r="I2055" t="s">
        <v>6051</v>
      </c>
      <c r="J2055" t="s">
        <v>6054</v>
      </c>
      <c r="K2055" t="s">
        <v>6060</v>
      </c>
      <c r="L2055" t="s">
        <v>7906</v>
      </c>
      <c r="M2055">
        <v>1316.6</v>
      </c>
      <c r="N2055">
        <v>1</v>
      </c>
      <c r="O2055">
        <v>0.32</v>
      </c>
      <c r="P2055">
        <v>-37.61</v>
      </c>
      <c r="Q2055" t="s">
        <v>9895</v>
      </c>
      <c r="R2055">
        <v>2</v>
      </c>
      <c r="S2055" s="5">
        <f t="shared" si="64"/>
        <v>-2.8566003341941367E-2</v>
      </c>
      <c r="T2055">
        <v>1316.6</v>
      </c>
      <c r="U2055">
        <v>7</v>
      </c>
      <c r="V2055">
        <v>2022</v>
      </c>
      <c r="W2055">
        <v>3</v>
      </c>
      <c r="X2055" t="s">
        <v>9898</v>
      </c>
      <c r="Y2055" t="s">
        <v>9902</v>
      </c>
      <c r="Z2055" t="s">
        <v>9898</v>
      </c>
      <c r="AD2055">
        <f t="shared" si="65"/>
        <v>2</v>
      </c>
    </row>
    <row r="2056" spans="1:30" x14ac:dyDescent="0.25">
      <c r="A2056" t="s">
        <v>2080</v>
      </c>
      <c r="B2056" s="2">
        <v>44628</v>
      </c>
      <c r="C2056" s="2">
        <v>44631</v>
      </c>
      <c r="D2056" t="s">
        <v>5512</v>
      </c>
      <c r="E2056" t="s">
        <v>6012</v>
      </c>
      <c r="F2056" t="s">
        <v>6028</v>
      </c>
      <c r="G2056" t="s">
        <v>6029</v>
      </c>
      <c r="H2056" t="s">
        <v>6045</v>
      </c>
      <c r="I2056" t="s">
        <v>6049</v>
      </c>
      <c r="J2056" t="s">
        <v>6053</v>
      </c>
      <c r="K2056" t="s">
        <v>6056</v>
      </c>
      <c r="L2056" t="s">
        <v>7388</v>
      </c>
      <c r="M2056">
        <v>732.48</v>
      </c>
      <c r="N2056">
        <v>7</v>
      </c>
      <c r="O2056">
        <v>0.14000000000000001</v>
      </c>
      <c r="P2056">
        <v>37.369999999999997</v>
      </c>
      <c r="Q2056" t="s">
        <v>9894</v>
      </c>
      <c r="R2056">
        <v>3</v>
      </c>
      <c r="S2056" s="5">
        <f t="shared" si="64"/>
        <v>5.1018457841852334E-2</v>
      </c>
      <c r="T2056">
        <v>104.64</v>
      </c>
      <c r="U2056">
        <v>3</v>
      </c>
      <c r="V2056">
        <v>2022</v>
      </c>
      <c r="W2056">
        <v>1</v>
      </c>
      <c r="X2056" t="s">
        <v>9899</v>
      </c>
      <c r="Y2056" t="s">
        <v>9901</v>
      </c>
      <c r="Z2056" t="s">
        <v>9899</v>
      </c>
      <c r="AD2056">
        <f t="shared" si="65"/>
        <v>3</v>
      </c>
    </row>
    <row r="2057" spans="1:30" x14ac:dyDescent="0.25">
      <c r="A2057" t="s">
        <v>2081</v>
      </c>
      <c r="B2057" s="2">
        <v>45260</v>
      </c>
      <c r="C2057" s="2">
        <v>45263</v>
      </c>
      <c r="D2057" t="s">
        <v>5487</v>
      </c>
      <c r="E2057" t="s">
        <v>5987</v>
      </c>
      <c r="F2057" t="s">
        <v>6027</v>
      </c>
      <c r="G2057" t="s">
        <v>6029</v>
      </c>
      <c r="H2057" t="s">
        <v>6045</v>
      </c>
      <c r="I2057" t="s">
        <v>6049</v>
      </c>
      <c r="J2057" t="s">
        <v>6055</v>
      </c>
      <c r="K2057" t="s">
        <v>6064</v>
      </c>
      <c r="L2057" t="s">
        <v>7907</v>
      </c>
      <c r="M2057">
        <v>544.28</v>
      </c>
      <c r="N2057">
        <v>8</v>
      </c>
      <c r="O2057">
        <v>0.16</v>
      </c>
      <c r="P2057">
        <v>16.57</v>
      </c>
      <c r="Q2057" t="s">
        <v>9895</v>
      </c>
      <c r="R2057">
        <v>3</v>
      </c>
      <c r="S2057" s="5">
        <f t="shared" si="64"/>
        <v>3.0443889174689501E-2</v>
      </c>
      <c r="T2057">
        <v>68.034999999999997</v>
      </c>
      <c r="U2057">
        <v>11</v>
      </c>
      <c r="V2057">
        <v>2023</v>
      </c>
      <c r="W2057">
        <v>4</v>
      </c>
      <c r="X2057" t="s">
        <v>9899</v>
      </c>
      <c r="Y2057" t="s">
        <v>9900</v>
      </c>
      <c r="Z2057" t="s">
        <v>9899</v>
      </c>
      <c r="AD2057">
        <f t="shared" si="65"/>
        <v>3</v>
      </c>
    </row>
    <row r="2058" spans="1:30" x14ac:dyDescent="0.25">
      <c r="A2058" t="s">
        <v>2082</v>
      </c>
      <c r="B2058" s="2">
        <v>44836</v>
      </c>
      <c r="C2058" s="2">
        <v>44839</v>
      </c>
      <c r="D2058" t="s">
        <v>5381</v>
      </c>
      <c r="E2058" t="s">
        <v>5881</v>
      </c>
      <c r="F2058" t="s">
        <v>6028</v>
      </c>
      <c r="G2058" t="s">
        <v>6030</v>
      </c>
      <c r="H2058" t="s">
        <v>6038</v>
      </c>
      <c r="I2058" t="s">
        <v>6051</v>
      </c>
      <c r="J2058" t="s">
        <v>6055</v>
      </c>
      <c r="K2058" t="s">
        <v>6063</v>
      </c>
      <c r="L2058" t="s">
        <v>7908</v>
      </c>
      <c r="M2058">
        <v>428.82</v>
      </c>
      <c r="N2058">
        <v>4</v>
      </c>
      <c r="O2058">
        <v>0.13</v>
      </c>
      <c r="P2058">
        <v>13.82</v>
      </c>
      <c r="Q2058" t="s">
        <v>9895</v>
      </c>
      <c r="R2058">
        <v>3</v>
      </c>
      <c r="S2058" s="5">
        <f t="shared" si="64"/>
        <v>3.2227974441490601E-2</v>
      </c>
      <c r="T2058">
        <v>107.205</v>
      </c>
      <c r="U2058">
        <v>10</v>
      </c>
      <c r="V2058">
        <v>2022</v>
      </c>
      <c r="W2058">
        <v>4</v>
      </c>
      <c r="X2058" t="s">
        <v>9899</v>
      </c>
      <c r="Y2058" t="s">
        <v>9901</v>
      </c>
      <c r="Z2058" t="s">
        <v>9899</v>
      </c>
      <c r="AD2058">
        <f t="shared" si="65"/>
        <v>3</v>
      </c>
    </row>
    <row r="2059" spans="1:30" x14ac:dyDescent="0.25">
      <c r="A2059" t="s">
        <v>2083</v>
      </c>
      <c r="B2059" s="2">
        <v>44583</v>
      </c>
      <c r="C2059" s="2">
        <v>44589</v>
      </c>
      <c r="D2059" t="s">
        <v>5479</v>
      </c>
      <c r="E2059" t="s">
        <v>5979</v>
      </c>
      <c r="F2059" t="s">
        <v>6026</v>
      </c>
      <c r="G2059" t="s">
        <v>6029</v>
      </c>
      <c r="H2059" t="s">
        <v>6044</v>
      </c>
      <c r="I2059" t="s">
        <v>6049</v>
      </c>
      <c r="J2059" t="s">
        <v>6055</v>
      </c>
      <c r="K2059" t="s">
        <v>6061</v>
      </c>
      <c r="L2059" t="s">
        <v>7909</v>
      </c>
      <c r="M2059">
        <v>577.49</v>
      </c>
      <c r="N2059">
        <v>5</v>
      </c>
      <c r="O2059">
        <v>0.28000000000000003</v>
      </c>
      <c r="P2059">
        <v>-45.49</v>
      </c>
      <c r="Q2059" t="s">
        <v>9897</v>
      </c>
      <c r="R2059">
        <v>6</v>
      </c>
      <c r="S2059" s="5">
        <f t="shared" si="64"/>
        <v>-7.8771926786611032E-2</v>
      </c>
      <c r="T2059">
        <v>115.498</v>
      </c>
      <c r="U2059">
        <v>1</v>
      </c>
      <c r="V2059">
        <v>2022</v>
      </c>
      <c r="W2059">
        <v>1</v>
      </c>
      <c r="X2059" t="s">
        <v>9898</v>
      </c>
      <c r="Y2059" t="s">
        <v>9900</v>
      </c>
      <c r="Z2059" t="s">
        <v>9899</v>
      </c>
      <c r="AD2059">
        <f t="shared" si="65"/>
        <v>6</v>
      </c>
    </row>
    <row r="2060" spans="1:30" x14ac:dyDescent="0.25">
      <c r="A2060" t="s">
        <v>2084</v>
      </c>
      <c r="B2060" s="2">
        <v>45080</v>
      </c>
      <c r="C2060" s="2">
        <v>45085</v>
      </c>
      <c r="D2060" t="s">
        <v>5223</v>
      </c>
      <c r="E2060" t="s">
        <v>5723</v>
      </c>
      <c r="F2060" t="s">
        <v>6027</v>
      </c>
      <c r="G2060" t="s">
        <v>6031</v>
      </c>
      <c r="H2060" t="s">
        <v>6034</v>
      </c>
      <c r="I2060" t="s">
        <v>6048</v>
      </c>
      <c r="J2060" t="s">
        <v>6054</v>
      </c>
      <c r="K2060" t="s">
        <v>6060</v>
      </c>
      <c r="L2060" t="s">
        <v>7910</v>
      </c>
      <c r="M2060">
        <v>1890.73</v>
      </c>
      <c r="N2060">
        <v>6</v>
      </c>
      <c r="O2060">
        <v>0.02</v>
      </c>
      <c r="P2060">
        <v>340.02</v>
      </c>
      <c r="Q2060" t="s">
        <v>9893</v>
      </c>
      <c r="R2060">
        <v>5</v>
      </c>
      <c r="S2060" s="5">
        <f t="shared" si="64"/>
        <v>0.17983530170886375</v>
      </c>
      <c r="T2060">
        <v>315.12166666666673</v>
      </c>
      <c r="U2060">
        <v>6</v>
      </c>
      <c r="V2060">
        <v>2023</v>
      </c>
      <c r="W2060">
        <v>2</v>
      </c>
      <c r="X2060" t="s">
        <v>9899</v>
      </c>
      <c r="Y2060" t="s">
        <v>9901</v>
      </c>
      <c r="Z2060" t="s">
        <v>9898</v>
      </c>
      <c r="AD2060">
        <f t="shared" si="65"/>
        <v>5</v>
      </c>
    </row>
    <row r="2061" spans="1:30" x14ac:dyDescent="0.25">
      <c r="A2061" t="s">
        <v>2085</v>
      </c>
      <c r="B2061" s="2">
        <v>44821</v>
      </c>
      <c r="C2061" s="2">
        <v>44823</v>
      </c>
      <c r="D2061" t="s">
        <v>5427</v>
      </c>
      <c r="E2061" t="s">
        <v>5927</v>
      </c>
      <c r="F2061" t="s">
        <v>6028</v>
      </c>
      <c r="G2061" t="s">
        <v>6031</v>
      </c>
      <c r="H2061" t="s">
        <v>6034</v>
      </c>
      <c r="I2061" t="s">
        <v>6050</v>
      </c>
      <c r="J2061" t="s">
        <v>6054</v>
      </c>
      <c r="K2061" t="s">
        <v>6062</v>
      </c>
      <c r="L2061" t="s">
        <v>7911</v>
      </c>
      <c r="M2061">
        <v>945.22</v>
      </c>
      <c r="N2061">
        <v>3</v>
      </c>
      <c r="O2061">
        <v>0.05</v>
      </c>
      <c r="P2061">
        <v>145.06</v>
      </c>
      <c r="Q2061" t="s">
        <v>9895</v>
      </c>
      <c r="R2061">
        <v>2</v>
      </c>
      <c r="S2061" s="5">
        <f t="shared" si="64"/>
        <v>0.15346691775459681</v>
      </c>
      <c r="T2061">
        <v>315.07333333333332</v>
      </c>
      <c r="U2061">
        <v>9</v>
      </c>
      <c r="V2061">
        <v>2022</v>
      </c>
      <c r="W2061">
        <v>3</v>
      </c>
      <c r="X2061" t="s">
        <v>9899</v>
      </c>
      <c r="Y2061" t="s">
        <v>9901</v>
      </c>
      <c r="Z2061" t="s">
        <v>9899</v>
      </c>
      <c r="AD2061">
        <f t="shared" si="65"/>
        <v>2</v>
      </c>
    </row>
    <row r="2062" spans="1:30" x14ac:dyDescent="0.25">
      <c r="A2062" t="s">
        <v>2086</v>
      </c>
      <c r="B2062" s="2">
        <v>45266</v>
      </c>
      <c r="C2062" s="2">
        <v>45273</v>
      </c>
      <c r="D2062" t="s">
        <v>5423</v>
      </c>
      <c r="E2062" t="s">
        <v>5923</v>
      </c>
      <c r="F2062" t="s">
        <v>6027</v>
      </c>
      <c r="G2062" t="s">
        <v>6029</v>
      </c>
      <c r="H2062" t="s">
        <v>6032</v>
      </c>
      <c r="I2062" t="s">
        <v>6050</v>
      </c>
      <c r="J2062" t="s">
        <v>6054</v>
      </c>
      <c r="K2062" t="s">
        <v>6059</v>
      </c>
      <c r="L2062" t="s">
        <v>7912</v>
      </c>
      <c r="M2062">
        <v>309.07</v>
      </c>
      <c r="N2062">
        <v>6</v>
      </c>
      <c r="O2062">
        <v>0.28999999999999998</v>
      </c>
      <c r="P2062">
        <v>-41.78</v>
      </c>
      <c r="Q2062" t="s">
        <v>9897</v>
      </c>
      <c r="R2062">
        <v>7</v>
      </c>
      <c r="S2062" s="5">
        <f t="shared" si="64"/>
        <v>-0.13517973274662698</v>
      </c>
      <c r="T2062">
        <v>51.511666666666663</v>
      </c>
      <c r="U2062">
        <v>12</v>
      </c>
      <c r="V2062">
        <v>2023</v>
      </c>
      <c r="W2062">
        <v>4</v>
      </c>
      <c r="X2062" t="s">
        <v>9898</v>
      </c>
      <c r="Y2062" t="s">
        <v>9900</v>
      </c>
      <c r="Z2062" t="s">
        <v>9899</v>
      </c>
      <c r="AD2062">
        <f t="shared" si="65"/>
        <v>7</v>
      </c>
    </row>
    <row r="2063" spans="1:30" x14ac:dyDescent="0.25">
      <c r="A2063" t="s">
        <v>2087</v>
      </c>
      <c r="B2063" s="2">
        <v>44702</v>
      </c>
      <c r="C2063" s="2">
        <v>44708</v>
      </c>
      <c r="D2063" t="s">
        <v>5453</v>
      </c>
      <c r="E2063" t="s">
        <v>5953</v>
      </c>
      <c r="F2063" t="s">
        <v>6026</v>
      </c>
      <c r="G2063" t="s">
        <v>6030</v>
      </c>
      <c r="H2063" t="s">
        <v>6038</v>
      </c>
      <c r="I2063" t="s">
        <v>6051</v>
      </c>
      <c r="J2063" t="s">
        <v>6055</v>
      </c>
      <c r="K2063" t="s">
        <v>6064</v>
      </c>
      <c r="L2063" t="s">
        <v>7913</v>
      </c>
      <c r="M2063">
        <v>1265.79</v>
      </c>
      <c r="N2063">
        <v>4</v>
      </c>
      <c r="O2063">
        <v>0.28999999999999998</v>
      </c>
      <c r="P2063">
        <v>-178.54</v>
      </c>
      <c r="Q2063" t="s">
        <v>9897</v>
      </c>
      <c r="R2063">
        <v>6</v>
      </c>
      <c r="S2063" s="5">
        <f t="shared" si="64"/>
        <v>-0.14105025320155792</v>
      </c>
      <c r="T2063">
        <v>316.44749999999999</v>
      </c>
      <c r="U2063">
        <v>5</v>
      </c>
      <c r="V2063">
        <v>2022</v>
      </c>
      <c r="W2063">
        <v>2</v>
      </c>
      <c r="X2063" t="s">
        <v>9898</v>
      </c>
      <c r="Y2063" t="s">
        <v>9900</v>
      </c>
      <c r="Z2063" t="s">
        <v>9898</v>
      </c>
      <c r="AD2063">
        <f t="shared" si="65"/>
        <v>6</v>
      </c>
    </row>
    <row r="2064" spans="1:30" x14ac:dyDescent="0.25">
      <c r="A2064" t="s">
        <v>2088</v>
      </c>
      <c r="B2064" s="2">
        <v>45164</v>
      </c>
      <c r="C2064" s="2">
        <v>45171</v>
      </c>
      <c r="D2064" t="s">
        <v>5265</v>
      </c>
      <c r="E2064" t="s">
        <v>5765</v>
      </c>
      <c r="F2064" t="s">
        <v>6027</v>
      </c>
      <c r="G2064" t="s">
        <v>6029</v>
      </c>
      <c r="H2064" t="s">
        <v>6044</v>
      </c>
      <c r="I2064" t="s">
        <v>6050</v>
      </c>
      <c r="J2064" t="s">
        <v>6054</v>
      </c>
      <c r="K2064" t="s">
        <v>6062</v>
      </c>
      <c r="L2064" t="s">
        <v>7914</v>
      </c>
      <c r="M2064">
        <v>661.7</v>
      </c>
      <c r="N2064">
        <v>8</v>
      </c>
      <c r="O2064">
        <v>0.11</v>
      </c>
      <c r="P2064">
        <v>40.07</v>
      </c>
      <c r="Q2064" t="s">
        <v>9894</v>
      </c>
      <c r="R2064">
        <v>7</v>
      </c>
      <c r="S2064" s="5">
        <f t="shared" si="64"/>
        <v>6.055614326734169E-2</v>
      </c>
      <c r="T2064">
        <v>82.712500000000006</v>
      </c>
      <c r="U2064">
        <v>8</v>
      </c>
      <c r="V2064">
        <v>2023</v>
      </c>
      <c r="W2064">
        <v>3</v>
      </c>
      <c r="X2064" t="s">
        <v>9899</v>
      </c>
      <c r="Y2064" t="s">
        <v>9901</v>
      </c>
      <c r="Z2064" t="s">
        <v>9899</v>
      </c>
      <c r="AD2064">
        <f t="shared" si="65"/>
        <v>7</v>
      </c>
    </row>
    <row r="2065" spans="1:30" x14ac:dyDescent="0.25">
      <c r="A2065" t="s">
        <v>2089</v>
      </c>
      <c r="B2065" s="2">
        <v>45034</v>
      </c>
      <c r="C2065" s="2">
        <v>45040</v>
      </c>
      <c r="D2065" t="s">
        <v>5265</v>
      </c>
      <c r="E2065" t="s">
        <v>5765</v>
      </c>
      <c r="F2065" t="s">
        <v>6026</v>
      </c>
      <c r="G2065" t="s">
        <v>6031</v>
      </c>
      <c r="H2065" t="s">
        <v>6034</v>
      </c>
      <c r="I2065" t="s">
        <v>6050</v>
      </c>
      <c r="J2065" t="s">
        <v>6053</v>
      </c>
      <c r="K2065" t="s">
        <v>6056</v>
      </c>
      <c r="L2065" t="s">
        <v>7915</v>
      </c>
      <c r="M2065">
        <v>1728.75</v>
      </c>
      <c r="N2065">
        <v>1</v>
      </c>
      <c r="O2065">
        <v>0.12</v>
      </c>
      <c r="P2065">
        <v>112.52</v>
      </c>
      <c r="Q2065" t="s">
        <v>9895</v>
      </c>
      <c r="R2065">
        <v>6</v>
      </c>
      <c r="S2065" s="5">
        <f t="shared" si="64"/>
        <v>6.5087490961677513E-2</v>
      </c>
      <c r="T2065">
        <v>1728.75</v>
      </c>
      <c r="U2065">
        <v>4</v>
      </c>
      <c r="V2065">
        <v>2023</v>
      </c>
      <c r="W2065">
        <v>2</v>
      </c>
      <c r="X2065" t="s">
        <v>9899</v>
      </c>
      <c r="Y2065" t="s">
        <v>9901</v>
      </c>
      <c r="Z2065" t="s">
        <v>9898</v>
      </c>
      <c r="AD2065">
        <f t="shared" si="65"/>
        <v>6</v>
      </c>
    </row>
    <row r="2066" spans="1:30" x14ac:dyDescent="0.25">
      <c r="A2066" t="s">
        <v>2090</v>
      </c>
      <c r="B2066" s="2">
        <v>45458</v>
      </c>
      <c r="C2066" s="2">
        <v>45462</v>
      </c>
      <c r="D2066" t="s">
        <v>5421</v>
      </c>
      <c r="E2066" t="s">
        <v>5921</v>
      </c>
      <c r="F2066" t="s">
        <v>6027</v>
      </c>
      <c r="G2066" t="s">
        <v>6029</v>
      </c>
      <c r="H2066" t="s">
        <v>6044</v>
      </c>
      <c r="I2066" t="s">
        <v>6050</v>
      </c>
      <c r="J2066" t="s">
        <v>6054</v>
      </c>
      <c r="K2066" t="s">
        <v>6060</v>
      </c>
      <c r="L2066" t="s">
        <v>7916</v>
      </c>
      <c r="M2066">
        <v>1100.4000000000001</v>
      </c>
      <c r="N2066">
        <v>4</v>
      </c>
      <c r="O2066">
        <v>0.13</v>
      </c>
      <c r="P2066">
        <v>169.95</v>
      </c>
      <c r="Q2066" t="s">
        <v>9895</v>
      </c>
      <c r="R2066">
        <v>4</v>
      </c>
      <c r="S2066" s="5">
        <f t="shared" si="64"/>
        <v>0.15444383860414393</v>
      </c>
      <c r="T2066">
        <v>275.10000000000002</v>
      </c>
      <c r="U2066">
        <v>6</v>
      </c>
      <c r="V2066">
        <v>2024</v>
      </c>
      <c r="W2066">
        <v>2</v>
      </c>
      <c r="X2066" t="s">
        <v>9899</v>
      </c>
      <c r="Y2066" t="s">
        <v>9901</v>
      </c>
      <c r="Z2066" t="s">
        <v>9898</v>
      </c>
      <c r="AD2066">
        <f t="shared" si="65"/>
        <v>4</v>
      </c>
    </row>
    <row r="2067" spans="1:30" x14ac:dyDescent="0.25">
      <c r="A2067" t="s">
        <v>2091</v>
      </c>
      <c r="B2067" s="2">
        <v>45287</v>
      </c>
      <c r="C2067" s="2">
        <v>45289</v>
      </c>
      <c r="D2067" t="s">
        <v>5045</v>
      </c>
      <c r="E2067" t="s">
        <v>5545</v>
      </c>
      <c r="F2067" t="s">
        <v>6027</v>
      </c>
      <c r="G2067" t="s">
        <v>6029</v>
      </c>
      <c r="H2067" t="s">
        <v>6045</v>
      </c>
      <c r="I2067" t="s">
        <v>6046</v>
      </c>
      <c r="J2067" t="s">
        <v>6055</v>
      </c>
      <c r="K2067" t="s">
        <v>6061</v>
      </c>
      <c r="L2067" t="s">
        <v>7917</v>
      </c>
      <c r="M2067">
        <v>777.92</v>
      </c>
      <c r="N2067">
        <v>6</v>
      </c>
      <c r="O2067">
        <v>0.05</v>
      </c>
      <c r="P2067">
        <v>188</v>
      </c>
      <c r="Q2067" t="s">
        <v>9897</v>
      </c>
      <c r="R2067">
        <v>2</v>
      </c>
      <c r="S2067" s="5">
        <f t="shared" si="64"/>
        <v>0.24167009461127109</v>
      </c>
      <c r="T2067">
        <v>129.65333333333331</v>
      </c>
      <c r="U2067">
        <v>12</v>
      </c>
      <c r="V2067">
        <v>2023</v>
      </c>
      <c r="W2067">
        <v>4</v>
      </c>
      <c r="X2067" t="s">
        <v>9899</v>
      </c>
      <c r="Y2067" t="s">
        <v>9901</v>
      </c>
      <c r="Z2067" t="s">
        <v>9899</v>
      </c>
      <c r="AD2067">
        <f t="shared" si="65"/>
        <v>2</v>
      </c>
    </row>
    <row r="2068" spans="1:30" x14ac:dyDescent="0.25">
      <c r="A2068" t="s">
        <v>2092</v>
      </c>
      <c r="B2068" s="2">
        <v>45092</v>
      </c>
      <c r="C2068" s="2">
        <v>45098</v>
      </c>
      <c r="D2068" t="s">
        <v>5510</v>
      </c>
      <c r="E2068" t="s">
        <v>6010</v>
      </c>
      <c r="F2068" t="s">
        <v>6026</v>
      </c>
      <c r="G2068" t="s">
        <v>6031</v>
      </c>
      <c r="H2068" t="s">
        <v>6037</v>
      </c>
      <c r="I2068" t="s">
        <v>6048</v>
      </c>
      <c r="J2068" t="s">
        <v>6054</v>
      </c>
      <c r="K2068" t="s">
        <v>6059</v>
      </c>
      <c r="L2068" t="s">
        <v>7918</v>
      </c>
      <c r="M2068">
        <v>312.79000000000002</v>
      </c>
      <c r="N2068">
        <v>7</v>
      </c>
      <c r="O2068">
        <v>0.3</v>
      </c>
      <c r="P2068">
        <v>-50.53</v>
      </c>
      <c r="Q2068" t="s">
        <v>9895</v>
      </c>
      <c r="R2068">
        <v>6</v>
      </c>
      <c r="S2068" s="5">
        <f t="shared" si="64"/>
        <v>-0.16154608523290387</v>
      </c>
      <c r="T2068">
        <v>44.684285714285707</v>
      </c>
      <c r="U2068">
        <v>6</v>
      </c>
      <c r="V2068">
        <v>2023</v>
      </c>
      <c r="W2068">
        <v>2</v>
      </c>
      <c r="X2068" t="s">
        <v>9898</v>
      </c>
      <c r="Y2068" t="s">
        <v>9900</v>
      </c>
      <c r="Z2068" t="s">
        <v>9899</v>
      </c>
      <c r="AD2068">
        <f t="shared" si="65"/>
        <v>6</v>
      </c>
    </row>
    <row r="2069" spans="1:30" x14ac:dyDescent="0.25">
      <c r="A2069" t="s">
        <v>2093</v>
      </c>
      <c r="B2069" s="2">
        <v>44627</v>
      </c>
      <c r="C2069" s="2">
        <v>44629</v>
      </c>
      <c r="D2069" t="s">
        <v>5465</v>
      </c>
      <c r="E2069" t="s">
        <v>5965</v>
      </c>
      <c r="F2069" t="s">
        <v>6027</v>
      </c>
      <c r="G2069" t="s">
        <v>6029</v>
      </c>
      <c r="H2069" t="s">
        <v>6044</v>
      </c>
      <c r="I2069" t="s">
        <v>6046</v>
      </c>
      <c r="J2069" t="s">
        <v>6054</v>
      </c>
      <c r="K2069" t="s">
        <v>6060</v>
      </c>
      <c r="L2069" t="s">
        <v>6622</v>
      </c>
      <c r="M2069">
        <v>138.82</v>
      </c>
      <c r="N2069">
        <v>1</v>
      </c>
      <c r="O2069">
        <v>0.18</v>
      </c>
      <c r="P2069">
        <v>10.48</v>
      </c>
      <c r="Q2069" t="s">
        <v>9896</v>
      </c>
      <c r="R2069">
        <v>2</v>
      </c>
      <c r="S2069" s="5">
        <f t="shared" si="64"/>
        <v>7.5493444748595304E-2</v>
      </c>
      <c r="T2069">
        <v>138.82</v>
      </c>
      <c r="U2069">
        <v>3</v>
      </c>
      <c r="V2069">
        <v>2022</v>
      </c>
      <c r="W2069">
        <v>1</v>
      </c>
      <c r="X2069" t="s">
        <v>9899</v>
      </c>
      <c r="Y2069" t="s">
        <v>9900</v>
      </c>
      <c r="Z2069" t="s">
        <v>9899</v>
      </c>
      <c r="AD2069">
        <f t="shared" si="65"/>
        <v>2</v>
      </c>
    </row>
    <row r="2070" spans="1:30" x14ac:dyDescent="0.25">
      <c r="A2070" t="s">
        <v>2094</v>
      </c>
      <c r="B2070" s="2">
        <v>44813</v>
      </c>
      <c r="C2070" s="2">
        <v>44815</v>
      </c>
      <c r="D2070" t="s">
        <v>5284</v>
      </c>
      <c r="E2070" t="s">
        <v>5784</v>
      </c>
      <c r="F2070" t="s">
        <v>6027</v>
      </c>
      <c r="G2070" t="s">
        <v>6031</v>
      </c>
      <c r="H2070" t="s">
        <v>6040</v>
      </c>
      <c r="I2070" t="s">
        <v>6048</v>
      </c>
      <c r="J2070" t="s">
        <v>6053</v>
      </c>
      <c r="K2070" t="s">
        <v>6058</v>
      </c>
      <c r="L2070" t="s">
        <v>6505</v>
      </c>
      <c r="M2070">
        <v>1887.16</v>
      </c>
      <c r="N2070">
        <v>6</v>
      </c>
      <c r="O2070">
        <v>0.11</v>
      </c>
      <c r="P2070">
        <v>230.46</v>
      </c>
      <c r="Q2070" t="s">
        <v>9894</v>
      </c>
      <c r="R2070">
        <v>2</v>
      </c>
      <c r="S2070" s="5">
        <f t="shared" si="64"/>
        <v>0.12212001102185294</v>
      </c>
      <c r="T2070">
        <v>314.5266666666667</v>
      </c>
      <c r="U2070">
        <v>9</v>
      </c>
      <c r="V2070">
        <v>2022</v>
      </c>
      <c r="W2070">
        <v>3</v>
      </c>
      <c r="X2070" t="s">
        <v>9899</v>
      </c>
      <c r="Y2070" t="s">
        <v>9901</v>
      </c>
      <c r="Z2070" t="s">
        <v>9898</v>
      </c>
      <c r="AD2070">
        <f t="shared" si="65"/>
        <v>2</v>
      </c>
    </row>
    <row r="2071" spans="1:30" x14ac:dyDescent="0.25">
      <c r="A2071" t="s">
        <v>2095</v>
      </c>
      <c r="B2071" s="2">
        <v>44753</v>
      </c>
      <c r="C2071" s="2">
        <v>44755</v>
      </c>
      <c r="D2071" t="s">
        <v>5084</v>
      </c>
      <c r="E2071" t="s">
        <v>5584</v>
      </c>
      <c r="F2071" t="s">
        <v>6028</v>
      </c>
      <c r="G2071" t="s">
        <v>6030</v>
      </c>
      <c r="H2071" t="s">
        <v>6035</v>
      </c>
      <c r="I2071" t="s">
        <v>6051</v>
      </c>
      <c r="J2071" t="s">
        <v>6053</v>
      </c>
      <c r="K2071" t="s">
        <v>6057</v>
      </c>
      <c r="L2071" t="s">
        <v>7919</v>
      </c>
      <c r="M2071">
        <v>1570.33</v>
      </c>
      <c r="N2071">
        <v>4</v>
      </c>
      <c r="O2071">
        <v>0.09</v>
      </c>
      <c r="P2071">
        <v>41.28</v>
      </c>
      <c r="Q2071" t="s">
        <v>9895</v>
      </c>
      <c r="R2071">
        <v>2</v>
      </c>
      <c r="S2071" s="5">
        <f t="shared" si="64"/>
        <v>2.6287468239159922E-2</v>
      </c>
      <c r="T2071">
        <v>392.58249999999998</v>
      </c>
      <c r="U2071">
        <v>7</v>
      </c>
      <c r="V2071">
        <v>2022</v>
      </c>
      <c r="W2071">
        <v>3</v>
      </c>
      <c r="X2071" t="s">
        <v>9899</v>
      </c>
      <c r="Y2071" t="s">
        <v>9901</v>
      </c>
      <c r="Z2071" t="s">
        <v>9898</v>
      </c>
      <c r="AD2071">
        <f t="shared" si="65"/>
        <v>2</v>
      </c>
    </row>
    <row r="2072" spans="1:30" x14ac:dyDescent="0.25">
      <c r="A2072" t="s">
        <v>2096</v>
      </c>
      <c r="B2072" s="2">
        <v>45192</v>
      </c>
      <c r="C2072" s="2">
        <v>45193</v>
      </c>
      <c r="D2072" t="s">
        <v>5513</v>
      </c>
      <c r="E2072" t="s">
        <v>6013</v>
      </c>
      <c r="F2072" t="s">
        <v>6026</v>
      </c>
      <c r="G2072" t="s">
        <v>6031</v>
      </c>
      <c r="H2072" t="s">
        <v>6040</v>
      </c>
      <c r="I2072" t="s">
        <v>6050</v>
      </c>
      <c r="J2072" t="s">
        <v>6055</v>
      </c>
      <c r="K2072" t="s">
        <v>6061</v>
      </c>
      <c r="L2072" t="s">
        <v>7920</v>
      </c>
      <c r="M2072">
        <v>131.19</v>
      </c>
      <c r="N2072">
        <v>4</v>
      </c>
      <c r="O2072">
        <v>0.16</v>
      </c>
      <c r="P2072">
        <v>0.47</v>
      </c>
      <c r="Q2072" t="s">
        <v>9893</v>
      </c>
      <c r="R2072">
        <v>1</v>
      </c>
      <c r="S2072" s="5">
        <f t="shared" si="64"/>
        <v>3.5825901364433263E-3</v>
      </c>
      <c r="T2072">
        <v>32.797499999999999</v>
      </c>
      <c r="U2072">
        <v>9</v>
      </c>
      <c r="V2072">
        <v>2023</v>
      </c>
      <c r="W2072">
        <v>3</v>
      </c>
      <c r="X2072" t="s">
        <v>9899</v>
      </c>
      <c r="Y2072" t="s">
        <v>9900</v>
      </c>
      <c r="Z2072" t="s">
        <v>9899</v>
      </c>
      <c r="AD2072">
        <f t="shared" si="65"/>
        <v>1</v>
      </c>
    </row>
    <row r="2073" spans="1:30" x14ac:dyDescent="0.25">
      <c r="A2073" t="s">
        <v>2097</v>
      </c>
      <c r="B2073" s="2">
        <v>45135</v>
      </c>
      <c r="C2073" s="2">
        <v>45139</v>
      </c>
      <c r="D2073" t="s">
        <v>5131</v>
      </c>
      <c r="E2073" t="s">
        <v>5631</v>
      </c>
      <c r="F2073" t="s">
        <v>6027</v>
      </c>
      <c r="G2073" t="s">
        <v>6030</v>
      </c>
      <c r="H2073" t="s">
        <v>6039</v>
      </c>
      <c r="I2073" t="s">
        <v>6051</v>
      </c>
      <c r="J2073" t="s">
        <v>6055</v>
      </c>
      <c r="K2073" t="s">
        <v>6063</v>
      </c>
      <c r="L2073" t="s">
        <v>7921</v>
      </c>
      <c r="M2073">
        <v>568.52</v>
      </c>
      <c r="N2073">
        <v>6</v>
      </c>
      <c r="O2073">
        <v>0.1</v>
      </c>
      <c r="P2073">
        <v>40.61</v>
      </c>
      <c r="Q2073" t="s">
        <v>9895</v>
      </c>
      <c r="R2073">
        <v>4</v>
      </c>
      <c r="S2073" s="5">
        <f t="shared" si="64"/>
        <v>7.1431084218673044E-2</v>
      </c>
      <c r="T2073">
        <v>94.75333333333333</v>
      </c>
      <c r="U2073">
        <v>7</v>
      </c>
      <c r="V2073">
        <v>2023</v>
      </c>
      <c r="W2073">
        <v>3</v>
      </c>
      <c r="X2073" t="s">
        <v>9899</v>
      </c>
      <c r="Y2073" t="s">
        <v>9901</v>
      </c>
      <c r="Z2073" t="s">
        <v>9899</v>
      </c>
      <c r="AD2073">
        <f t="shared" si="65"/>
        <v>4</v>
      </c>
    </row>
    <row r="2074" spans="1:30" x14ac:dyDescent="0.25">
      <c r="A2074" t="s">
        <v>2098</v>
      </c>
      <c r="B2074" s="2">
        <v>45232</v>
      </c>
      <c r="C2074" s="2">
        <v>45237</v>
      </c>
      <c r="D2074" t="s">
        <v>5271</v>
      </c>
      <c r="E2074" t="s">
        <v>5771</v>
      </c>
      <c r="F2074" t="s">
        <v>6027</v>
      </c>
      <c r="G2074" t="s">
        <v>6029</v>
      </c>
      <c r="H2074" t="s">
        <v>6032</v>
      </c>
      <c r="I2074" t="s">
        <v>6046</v>
      </c>
      <c r="J2074" t="s">
        <v>6054</v>
      </c>
      <c r="K2074" t="s">
        <v>6062</v>
      </c>
      <c r="L2074" t="s">
        <v>7922</v>
      </c>
      <c r="M2074">
        <v>1268.78</v>
      </c>
      <c r="N2074">
        <v>1</v>
      </c>
      <c r="O2074">
        <v>0.28000000000000003</v>
      </c>
      <c r="P2074">
        <v>-73.52</v>
      </c>
      <c r="Q2074" t="s">
        <v>9895</v>
      </c>
      <c r="R2074">
        <v>5</v>
      </c>
      <c r="S2074" s="5">
        <f t="shared" si="64"/>
        <v>-5.7945427891360202E-2</v>
      </c>
      <c r="T2074">
        <v>1268.78</v>
      </c>
      <c r="U2074">
        <v>11</v>
      </c>
      <c r="V2074">
        <v>2023</v>
      </c>
      <c r="W2074">
        <v>4</v>
      </c>
      <c r="X2074" t="s">
        <v>9898</v>
      </c>
      <c r="Y2074" t="s">
        <v>9900</v>
      </c>
      <c r="Z2074" t="s">
        <v>9898</v>
      </c>
      <c r="AD2074">
        <f t="shared" si="65"/>
        <v>5</v>
      </c>
    </row>
    <row r="2075" spans="1:30" x14ac:dyDescent="0.25">
      <c r="A2075" t="s">
        <v>2099</v>
      </c>
      <c r="B2075" s="2">
        <v>44885</v>
      </c>
      <c r="C2075" s="2">
        <v>44891</v>
      </c>
      <c r="D2075" t="s">
        <v>5314</v>
      </c>
      <c r="E2075" t="s">
        <v>5814</v>
      </c>
      <c r="F2075" t="s">
        <v>6026</v>
      </c>
      <c r="G2075" t="s">
        <v>6030</v>
      </c>
      <c r="H2075" t="s">
        <v>6033</v>
      </c>
      <c r="I2075" t="s">
        <v>6051</v>
      </c>
      <c r="J2075" t="s">
        <v>6055</v>
      </c>
      <c r="K2075" t="s">
        <v>6064</v>
      </c>
      <c r="L2075" t="s">
        <v>7923</v>
      </c>
      <c r="M2075">
        <v>1123.3599999999999</v>
      </c>
      <c r="N2075">
        <v>2</v>
      </c>
      <c r="O2075">
        <v>0.16</v>
      </c>
      <c r="P2075">
        <v>68.099999999999994</v>
      </c>
      <c r="Q2075" t="s">
        <v>9895</v>
      </c>
      <c r="R2075">
        <v>6</v>
      </c>
      <c r="S2075" s="5">
        <f t="shared" si="64"/>
        <v>6.0621706309642504E-2</v>
      </c>
      <c r="T2075">
        <v>561.67999999999995</v>
      </c>
      <c r="U2075">
        <v>11</v>
      </c>
      <c r="V2075">
        <v>2022</v>
      </c>
      <c r="W2075">
        <v>4</v>
      </c>
      <c r="X2075" t="s">
        <v>9899</v>
      </c>
      <c r="Y2075" t="s">
        <v>9900</v>
      </c>
      <c r="Z2075" t="s">
        <v>9898</v>
      </c>
      <c r="AD2075">
        <f t="shared" si="65"/>
        <v>6</v>
      </c>
    </row>
    <row r="2076" spans="1:30" x14ac:dyDescent="0.25">
      <c r="A2076" t="s">
        <v>2100</v>
      </c>
      <c r="B2076" s="2">
        <v>45358</v>
      </c>
      <c r="C2076" s="2">
        <v>45364</v>
      </c>
      <c r="D2076" t="s">
        <v>5206</v>
      </c>
      <c r="E2076" t="s">
        <v>5706</v>
      </c>
      <c r="F2076" t="s">
        <v>6028</v>
      </c>
      <c r="G2076" t="s">
        <v>6029</v>
      </c>
      <c r="H2076" t="s">
        <v>6032</v>
      </c>
      <c r="I2076" t="s">
        <v>6050</v>
      </c>
      <c r="J2076" t="s">
        <v>6054</v>
      </c>
      <c r="K2076" t="s">
        <v>6062</v>
      </c>
      <c r="L2076" t="s">
        <v>7693</v>
      </c>
      <c r="M2076">
        <v>258.49</v>
      </c>
      <c r="N2076">
        <v>4</v>
      </c>
      <c r="O2076">
        <v>0.11</v>
      </c>
      <c r="P2076">
        <v>6.81</v>
      </c>
      <c r="Q2076" t="s">
        <v>9897</v>
      </c>
      <c r="R2076">
        <v>6</v>
      </c>
      <c r="S2076" s="5">
        <f t="shared" si="64"/>
        <v>2.6345313164919337E-2</v>
      </c>
      <c r="T2076">
        <v>64.622500000000002</v>
      </c>
      <c r="U2076">
        <v>3</v>
      </c>
      <c r="V2076">
        <v>2024</v>
      </c>
      <c r="W2076">
        <v>1</v>
      </c>
      <c r="X2076" t="s">
        <v>9899</v>
      </c>
      <c r="Y2076" t="s">
        <v>9901</v>
      </c>
      <c r="Z2076" t="s">
        <v>9899</v>
      </c>
      <c r="AD2076">
        <f t="shared" si="65"/>
        <v>6</v>
      </c>
    </row>
    <row r="2077" spans="1:30" x14ac:dyDescent="0.25">
      <c r="A2077" t="s">
        <v>2101</v>
      </c>
      <c r="B2077" s="2">
        <v>44842</v>
      </c>
      <c r="C2077" s="2">
        <v>44843</v>
      </c>
      <c r="D2077" t="s">
        <v>5070</v>
      </c>
      <c r="E2077" t="s">
        <v>5570</v>
      </c>
      <c r="F2077" t="s">
        <v>6027</v>
      </c>
      <c r="G2077" t="s">
        <v>6030</v>
      </c>
      <c r="H2077" t="s">
        <v>6038</v>
      </c>
      <c r="I2077" t="s">
        <v>6047</v>
      </c>
      <c r="J2077" t="s">
        <v>6055</v>
      </c>
      <c r="K2077" t="s">
        <v>6063</v>
      </c>
      <c r="L2077" t="s">
        <v>6902</v>
      </c>
      <c r="M2077">
        <v>1596.87</v>
      </c>
      <c r="N2077">
        <v>1</v>
      </c>
      <c r="O2077">
        <v>0.19</v>
      </c>
      <c r="P2077">
        <v>112.88</v>
      </c>
      <c r="Q2077" t="s">
        <v>9897</v>
      </c>
      <c r="R2077">
        <v>1</v>
      </c>
      <c r="S2077" s="5">
        <f t="shared" si="64"/>
        <v>7.0688283955487929E-2</v>
      </c>
      <c r="T2077">
        <v>1596.87</v>
      </c>
      <c r="U2077">
        <v>10</v>
      </c>
      <c r="V2077">
        <v>2022</v>
      </c>
      <c r="W2077">
        <v>4</v>
      </c>
      <c r="X2077" t="s">
        <v>9899</v>
      </c>
      <c r="Y2077" t="s">
        <v>9900</v>
      </c>
      <c r="Z2077" t="s">
        <v>9898</v>
      </c>
      <c r="AD2077">
        <f t="shared" si="65"/>
        <v>1</v>
      </c>
    </row>
    <row r="2078" spans="1:30" x14ac:dyDescent="0.25">
      <c r="A2078" t="s">
        <v>2102</v>
      </c>
      <c r="B2078" s="2">
        <v>44642</v>
      </c>
      <c r="C2078" s="2">
        <v>44647</v>
      </c>
      <c r="D2078" t="s">
        <v>5200</v>
      </c>
      <c r="E2078" t="s">
        <v>5700</v>
      </c>
      <c r="F2078" t="s">
        <v>6026</v>
      </c>
      <c r="G2078" t="s">
        <v>6031</v>
      </c>
      <c r="H2078" t="s">
        <v>6037</v>
      </c>
      <c r="I2078" t="s">
        <v>6050</v>
      </c>
      <c r="J2078" t="s">
        <v>6053</v>
      </c>
      <c r="K2078" t="s">
        <v>6057</v>
      </c>
      <c r="L2078" t="s">
        <v>7924</v>
      </c>
      <c r="M2078">
        <v>1731.71</v>
      </c>
      <c r="N2078">
        <v>3</v>
      </c>
      <c r="O2078">
        <v>0.08</v>
      </c>
      <c r="P2078">
        <v>56.67</v>
      </c>
      <c r="Q2078" t="s">
        <v>9895</v>
      </c>
      <c r="R2078">
        <v>5</v>
      </c>
      <c r="S2078" s="5">
        <f t="shared" si="64"/>
        <v>3.2724878876948221E-2</v>
      </c>
      <c r="T2078">
        <v>577.23666666666668</v>
      </c>
      <c r="U2078">
        <v>3</v>
      </c>
      <c r="V2078">
        <v>2022</v>
      </c>
      <c r="W2078">
        <v>1</v>
      </c>
      <c r="X2078" t="s">
        <v>9899</v>
      </c>
      <c r="Y2078" t="s">
        <v>9901</v>
      </c>
      <c r="Z2078" t="s">
        <v>9898</v>
      </c>
      <c r="AD2078">
        <f t="shared" si="65"/>
        <v>5</v>
      </c>
    </row>
    <row r="2079" spans="1:30" x14ac:dyDescent="0.25">
      <c r="A2079" t="s">
        <v>2103</v>
      </c>
      <c r="B2079" s="2">
        <v>44572</v>
      </c>
      <c r="C2079" s="2">
        <v>44574</v>
      </c>
      <c r="D2079" t="s">
        <v>5295</v>
      </c>
      <c r="E2079" t="s">
        <v>5795</v>
      </c>
      <c r="F2079" t="s">
        <v>6028</v>
      </c>
      <c r="G2079" t="s">
        <v>6030</v>
      </c>
      <c r="H2079" t="s">
        <v>6039</v>
      </c>
      <c r="I2079" t="s">
        <v>6051</v>
      </c>
      <c r="J2079" t="s">
        <v>6054</v>
      </c>
      <c r="K2079" t="s">
        <v>6062</v>
      </c>
      <c r="L2079" t="s">
        <v>7925</v>
      </c>
      <c r="M2079">
        <v>961.36</v>
      </c>
      <c r="N2079">
        <v>1</v>
      </c>
      <c r="O2079">
        <v>0.01</v>
      </c>
      <c r="P2079">
        <v>169.14</v>
      </c>
      <c r="Q2079" t="s">
        <v>9896</v>
      </c>
      <c r="R2079">
        <v>2</v>
      </c>
      <c r="S2079" s="5">
        <f t="shared" si="64"/>
        <v>0.17593825413996836</v>
      </c>
      <c r="T2079">
        <v>961.36</v>
      </c>
      <c r="U2079">
        <v>1</v>
      </c>
      <c r="V2079">
        <v>2022</v>
      </c>
      <c r="W2079">
        <v>1</v>
      </c>
      <c r="X2079" t="s">
        <v>9899</v>
      </c>
      <c r="Y2079" t="s">
        <v>9901</v>
      </c>
      <c r="Z2079" t="s">
        <v>9899</v>
      </c>
      <c r="AD2079">
        <f t="shared" si="65"/>
        <v>2</v>
      </c>
    </row>
    <row r="2080" spans="1:30" x14ac:dyDescent="0.25">
      <c r="A2080" t="s">
        <v>2104</v>
      </c>
      <c r="B2080" s="2">
        <v>44966</v>
      </c>
      <c r="C2080" s="2">
        <v>44970</v>
      </c>
      <c r="D2080" t="s">
        <v>5340</v>
      </c>
      <c r="E2080" t="s">
        <v>5840</v>
      </c>
      <c r="F2080" t="s">
        <v>6027</v>
      </c>
      <c r="G2080" t="s">
        <v>6031</v>
      </c>
      <c r="H2080" t="s">
        <v>6042</v>
      </c>
      <c r="I2080" t="s">
        <v>6052</v>
      </c>
      <c r="J2080" t="s">
        <v>6054</v>
      </c>
      <c r="K2080" t="s">
        <v>6060</v>
      </c>
      <c r="L2080" t="s">
        <v>7926</v>
      </c>
      <c r="M2080">
        <v>558.05999999999995</v>
      </c>
      <c r="N2080">
        <v>5</v>
      </c>
      <c r="O2080">
        <v>0.34</v>
      </c>
      <c r="P2080">
        <v>-79.13</v>
      </c>
      <c r="Q2080" t="s">
        <v>9894</v>
      </c>
      <c r="R2080">
        <v>4</v>
      </c>
      <c r="S2080" s="5">
        <f t="shared" si="64"/>
        <v>-0.14179478909077878</v>
      </c>
      <c r="T2080">
        <v>111.61199999999999</v>
      </c>
      <c r="U2080">
        <v>2</v>
      </c>
      <c r="V2080">
        <v>2023</v>
      </c>
      <c r="W2080">
        <v>1</v>
      </c>
      <c r="X2080" t="s">
        <v>9898</v>
      </c>
      <c r="Y2080" t="s">
        <v>9902</v>
      </c>
      <c r="Z2080" t="s">
        <v>9899</v>
      </c>
      <c r="AD2080">
        <f t="shared" si="65"/>
        <v>4</v>
      </c>
    </row>
    <row r="2081" spans="1:30" x14ac:dyDescent="0.25">
      <c r="A2081" t="s">
        <v>2105</v>
      </c>
      <c r="B2081" s="2">
        <v>44866</v>
      </c>
      <c r="C2081" s="2">
        <v>44871</v>
      </c>
      <c r="D2081" t="s">
        <v>5241</v>
      </c>
      <c r="E2081" t="s">
        <v>5741</v>
      </c>
      <c r="F2081" t="s">
        <v>6028</v>
      </c>
      <c r="G2081" t="s">
        <v>6030</v>
      </c>
      <c r="H2081" t="s">
        <v>6039</v>
      </c>
      <c r="I2081" t="s">
        <v>6051</v>
      </c>
      <c r="J2081" t="s">
        <v>6054</v>
      </c>
      <c r="K2081" t="s">
        <v>6060</v>
      </c>
      <c r="L2081" t="s">
        <v>7927</v>
      </c>
      <c r="M2081">
        <v>1562.55</v>
      </c>
      <c r="N2081">
        <v>1</v>
      </c>
      <c r="O2081">
        <v>0.14000000000000001</v>
      </c>
      <c r="P2081">
        <v>34.700000000000003</v>
      </c>
      <c r="Q2081" t="s">
        <v>9896</v>
      </c>
      <c r="R2081">
        <v>5</v>
      </c>
      <c r="S2081" s="5">
        <f t="shared" si="64"/>
        <v>2.2207289366740268E-2</v>
      </c>
      <c r="T2081">
        <v>1562.55</v>
      </c>
      <c r="U2081">
        <v>11</v>
      </c>
      <c r="V2081">
        <v>2022</v>
      </c>
      <c r="W2081">
        <v>4</v>
      </c>
      <c r="X2081" t="s">
        <v>9899</v>
      </c>
      <c r="Y2081" t="s">
        <v>9901</v>
      </c>
      <c r="Z2081" t="s">
        <v>9898</v>
      </c>
      <c r="AD2081">
        <f t="shared" si="65"/>
        <v>5</v>
      </c>
    </row>
    <row r="2082" spans="1:30" x14ac:dyDescent="0.25">
      <c r="A2082" t="s">
        <v>2106</v>
      </c>
      <c r="B2082" s="2">
        <v>44932</v>
      </c>
      <c r="C2082" s="2">
        <v>44938</v>
      </c>
      <c r="D2082" t="s">
        <v>5216</v>
      </c>
      <c r="E2082" t="s">
        <v>5716</v>
      </c>
      <c r="F2082" t="s">
        <v>6027</v>
      </c>
      <c r="G2082" t="s">
        <v>6031</v>
      </c>
      <c r="H2082" t="s">
        <v>6042</v>
      </c>
      <c r="I2082" t="s">
        <v>6050</v>
      </c>
      <c r="J2082" t="s">
        <v>6053</v>
      </c>
      <c r="K2082" t="s">
        <v>6057</v>
      </c>
      <c r="L2082" t="s">
        <v>6700</v>
      </c>
      <c r="M2082">
        <v>1100.03</v>
      </c>
      <c r="N2082">
        <v>6</v>
      </c>
      <c r="O2082">
        <v>0.31</v>
      </c>
      <c r="P2082">
        <v>-133.75</v>
      </c>
      <c r="Q2082" t="s">
        <v>9896</v>
      </c>
      <c r="R2082">
        <v>6</v>
      </c>
      <c r="S2082" s="5">
        <f t="shared" si="64"/>
        <v>-0.12158759306564366</v>
      </c>
      <c r="T2082">
        <v>183.33833333333331</v>
      </c>
      <c r="U2082">
        <v>1</v>
      </c>
      <c r="V2082">
        <v>2023</v>
      </c>
      <c r="W2082">
        <v>1</v>
      </c>
      <c r="X2082" t="s">
        <v>9898</v>
      </c>
      <c r="Y2082" t="s">
        <v>9902</v>
      </c>
      <c r="Z2082" t="s">
        <v>9898</v>
      </c>
      <c r="AD2082">
        <f t="shared" si="65"/>
        <v>6</v>
      </c>
    </row>
    <row r="2083" spans="1:30" x14ac:dyDescent="0.25">
      <c r="A2083" t="s">
        <v>2107</v>
      </c>
      <c r="B2083" s="2">
        <v>44839</v>
      </c>
      <c r="C2083" s="2">
        <v>44845</v>
      </c>
      <c r="D2083" t="s">
        <v>5273</v>
      </c>
      <c r="E2083" t="s">
        <v>5773</v>
      </c>
      <c r="F2083" t="s">
        <v>6026</v>
      </c>
      <c r="G2083" t="s">
        <v>6030</v>
      </c>
      <c r="H2083" t="s">
        <v>6035</v>
      </c>
      <c r="I2083" t="s">
        <v>6047</v>
      </c>
      <c r="J2083" t="s">
        <v>6054</v>
      </c>
      <c r="K2083" t="s">
        <v>6059</v>
      </c>
      <c r="L2083" t="s">
        <v>7928</v>
      </c>
      <c r="M2083">
        <v>976.32</v>
      </c>
      <c r="N2083">
        <v>7</v>
      </c>
      <c r="O2083">
        <v>0.28000000000000003</v>
      </c>
      <c r="P2083">
        <v>-66.36</v>
      </c>
      <c r="Q2083" t="s">
        <v>9896</v>
      </c>
      <c r="R2083">
        <v>6</v>
      </c>
      <c r="S2083" s="5">
        <f t="shared" si="64"/>
        <v>-6.7969518190757125E-2</v>
      </c>
      <c r="T2083">
        <v>139.47428571428571</v>
      </c>
      <c r="U2083">
        <v>10</v>
      </c>
      <c r="V2083">
        <v>2022</v>
      </c>
      <c r="W2083">
        <v>4</v>
      </c>
      <c r="X2083" t="s">
        <v>9898</v>
      </c>
      <c r="Y2083" t="s">
        <v>9900</v>
      </c>
      <c r="Z2083" t="s">
        <v>9899</v>
      </c>
      <c r="AD2083">
        <f t="shared" si="65"/>
        <v>6</v>
      </c>
    </row>
    <row r="2084" spans="1:30" x14ac:dyDescent="0.25">
      <c r="A2084" t="s">
        <v>2108</v>
      </c>
      <c r="B2084" s="2">
        <v>44707</v>
      </c>
      <c r="C2084" s="2">
        <v>44714</v>
      </c>
      <c r="D2084" t="s">
        <v>5277</v>
      </c>
      <c r="E2084" t="s">
        <v>5777</v>
      </c>
      <c r="F2084" t="s">
        <v>6027</v>
      </c>
      <c r="G2084" t="s">
        <v>6031</v>
      </c>
      <c r="H2084" t="s">
        <v>6043</v>
      </c>
      <c r="I2084" t="s">
        <v>6052</v>
      </c>
      <c r="J2084" t="s">
        <v>6054</v>
      </c>
      <c r="K2084" t="s">
        <v>6062</v>
      </c>
      <c r="L2084" t="s">
        <v>7599</v>
      </c>
      <c r="M2084">
        <v>647.21</v>
      </c>
      <c r="N2084">
        <v>8</v>
      </c>
      <c r="O2084">
        <v>0.16</v>
      </c>
      <c r="P2084">
        <v>62.5</v>
      </c>
      <c r="Q2084" t="s">
        <v>9897</v>
      </c>
      <c r="R2084">
        <v>7</v>
      </c>
      <c r="S2084" s="5">
        <f t="shared" si="64"/>
        <v>9.6568347213423764E-2</v>
      </c>
      <c r="T2084">
        <v>80.901250000000005</v>
      </c>
      <c r="U2084">
        <v>5</v>
      </c>
      <c r="V2084">
        <v>2022</v>
      </c>
      <c r="W2084">
        <v>2</v>
      </c>
      <c r="X2084" t="s">
        <v>9899</v>
      </c>
      <c r="Y2084" t="s">
        <v>9900</v>
      </c>
      <c r="Z2084" t="s">
        <v>9899</v>
      </c>
      <c r="AD2084">
        <f t="shared" si="65"/>
        <v>7</v>
      </c>
    </row>
    <row r="2085" spans="1:30" x14ac:dyDescent="0.25">
      <c r="A2085" t="s">
        <v>2109</v>
      </c>
      <c r="B2085" s="2">
        <v>45047</v>
      </c>
      <c r="C2085" s="2">
        <v>45053</v>
      </c>
      <c r="D2085" t="s">
        <v>5237</v>
      </c>
      <c r="E2085" t="s">
        <v>5737</v>
      </c>
      <c r="F2085" t="s">
        <v>6027</v>
      </c>
      <c r="G2085" t="s">
        <v>6030</v>
      </c>
      <c r="H2085" t="s">
        <v>6035</v>
      </c>
      <c r="I2085" t="s">
        <v>6051</v>
      </c>
      <c r="J2085" t="s">
        <v>6053</v>
      </c>
      <c r="K2085" t="s">
        <v>6057</v>
      </c>
      <c r="L2085" t="s">
        <v>7929</v>
      </c>
      <c r="M2085">
        <v>831.05</v>
      </c>
      <c r="N2085">
        <v>7</v>
      </c>
      <c r="O2085">
        <v>0.28000000000000003</v>
      </c>
      <c r="P2085">
        <v>-43.27</v>
      </c>
      <c r="Q2085" t="s">
        <v>9896</v>
      </c>
      <c r="R2085">
        <v>6</v>
      </c>
      <c r="S2085" s="5">
        <f t="shared" si="64"/>
        <v>-5.2066662655676561E-2</v>
      </c>
      <c r="T2085">
        <v>118.7214285714286</v>
      </c>
      <c r="U2085">
        <v>5</v>
      </c>
      <c r="V2085">
        <v>2023</v>
      </c>
      <c r="W2085">
        <v>2</v>
      </c>
      <c r="X2085" t="s">
        <v>9898</v>
      </c>
      <c r="Y2085" t="s">
        <v>9900</v>
      </c>
      <c r="Z2085" t="s">
        <v>9899</v>
      </c>
      <c r="AD2085">
        <f t="shared" si="65"/>
        <v>6</v>
      </c>
    </row>
    <row r="2086" spans="1:30" x14ac:dyDescent="0.25">
      <c r="A2086" t="s">
        <v>2110</v>
      </c>
      <c r="B2086" s="2">
        <v>44650</v>
      </c>
      <c r="C2086" s="2">
        <v>44657</v>
      </c>
      <c r="D2086" t="s">
        <v>5419</v>
      </c>
      <c r="E2086" t="s">
        <v>5919</v>
      </c>
      <c r="F2086" t="s">
        <v>6027</v>
      </c>
      <c r="G2086" t="s">
        <v>6029</v>
      </c>
      <c r="H2086" t="s">
        <v>6041</v>
      </c>
      <c r="I2086" t="s">
        <v>6049</v>
      </c>
      <c r="J2086" t="s">
        <v>6053</v>
      </c>
      <c r="K2086" t="s">
        <v>6057</v>
      </c>
      <c r="L2086" t="s">
        <v>6131</v>
      </c>
      <c r="M2086">
        <v>763.2</v>
      </c>
      <c r="N2086">
        <v>2</v>
      </c>
      <c r="O2086">
        <v>0.25</v>
      </c>
      <c r="P2086">
        <v>-89.13</v>
      </c>
      <c r="Q2086" t="s">
        <v>9895</v>
      </c>
      <c r="R2086">
        <v>7</v>
      </c>
      <c r="S2086" s="5">
        <f t="shared" si="64"/>
        <v>-0.11678459119496853</v>
      </c>
      <c r="T2086">
        <v>381.6</v>
      </c>
      <c r="U2086">
        <v>3</v>
      </c>
      <c r="V2086">
        <v>2022</v>
      </c>
      <c r="W2086">
        <v>1</v>
      </c>
      <c r="X2086" t="s">
        <v>9898</v>
      </c>
      <c r="Y2086" t="s">
        <v>9900</v>
      </c>
      <c r="Z2086" t="s">
        <v>9899</v>
      </c>
      <c r="AD2086">
        <f t="shared" si="65"/>
        <v>7</v>
      </c>
    </row>
    <row r="2087" spans="1:30" x14ac:dyDescent="0.25">
      <c r="A2087" t="s">
        <v>2111</v>
      </c>
      <c r="B2087" s="2">
        <v>45461</v>
      </c>
      <c r="C2087" s="2">
        <v>45464</v>
      </c>
      <c r="D2087" t="s">
        <v>5159</v>
      </c>
      <c r="E2087" t="s">
        <v>5659</v>
      </c>
      <c r="F2087" t="s">
        <v>6026</v>
      </c>
      <c r="G2087" t="s">
        <v>6030</v>
      </c>
      <c r="H2087" t="s">
        <v>6035</v>
      </c>
      <c r="I2087" t="s">
        <v>6047</v>
      </c>
      <c r="J2087" t="s">
        <v>6055</v>
      </c>
      <c r="K2087" t="s">
        <v>6063</v>
      </c>
      <c r="L2087" t="s">
        <v>7930</v>
      </c>
      <c r="M2087">
        <v>644.51</v>
      </c>
      <c r="N2087">
        <v>4</v>
      </c>
      <c r="O2087">
        <v>0.27</v>
      </c>
      <c r="P2087">
        <v>0.46</v>
      </c>
      <c r="Q2087" t="s">
        <v>9894</v>
      </c>
      <c r="R2087">
        <v>3</v>
      </c>
      <c r="S2087" s="5">
        <f t="shared" si="64"/>
        <v>7.1372050084560364E-4</v>
      </c>
      <c r="T2087">
        <v>161.1275</v>
      </c>
      <c r="U2087">
        <v>6</v>
      </c>
      <c r="V2087">
        <v>2024</v>
      </c>
      <c r="W2087">
        <v>2</v>
      </c>
      <c r="X2087" t="s">
        <v>9899</v>
      </c>
      <c r="Y2087" t="s">
        <v>9900</v>
      </c>
      <c r="Z2087" t="s">
        <v>9899</v>
      </c>
      <c r="AD2087">
        <f t="shared" si="65"/>
        <v>3</v>
      </c>
    </row>
    <row r="2088" spans="1:30" x14ac:dyDescent="0.25">
      <c r="A2088" t="s">
        <v>2112</v>
      </c>
      <c r="B2088" s="2">
        <v>44732</v>
      </c>
      <c r="C2088" s="2">
        <v>44734</v>
      </c>
      <c r="D2088" t="s">
        <v>5443</v>
      </c>
      <c r="E2088" t="s">
        <v>5943</v>
      </c>
      <c r="F2088" t="s">
        <v>6028</v>
      </c>
      <c r="G2088" t="s">
        <v>6031</v>
      </c>
      <c r="H2088" t="s">
        <v>6037</v>
      </c>
      <c r="I2088" t="s">
        <v>6050</v>
      </c>
      <c r="J2088" t="s">
        <v>6054</v>
      </c>
      <c r="K2088" t="s">
        <v>6059</v>
      </c>
      <c r="L2088" t="s">
        <v>7931</v>
      </c>
      <c r="M2088">
        <v>1065.74</v>
      </c>
      <c r="N2088">
        <v>7</v>
      </c>
      <c r="O2088">
        <v>0.33</v>
      </c>
      <c r="P2088">
        <v>-131.27000000000001</v>
      </c>
      <c r="Q2088" t="s">
        <v>9895</v>
      </c>
      <c r="R2088">
        <v>2</v>
      </c>
      <c r="S2088" s="5">
        <f t="shared" si="64"/>
        <v>-0.12317263122337531</v>
      </c>
      <c r="T2088">
        <v>152.24857142857141</v>
      </c>
      <c r="U2088">
        <v>6</v>
      </c>
      <c r="V2088">
        <v>2022</v>
      </c>
      <c r="W2088">
        <v>2</v>
      </c>
      <c r="X2088" t="s">
        <v>9898</v>
      </c>
      <c r="Y2088" t="s">
        <v>9902</v>
      </c>
      <c r="Z2088" t="s">
        <v>9898</v>
      </c>
      <c r="AD2088">
        <f t="shared" si="65"/>
        <v>2</v>
      </c>
    </row>
    <row r="2089" spans="1:30" x14ac:dyDescent="0.25">
      <c r="A2089" t="s">
        <v>2113</v>
      </c>
      <c r="B2089" s="2">
        <v>44813</v>
      </c>
      <c r="C2089" s="2">
        <v>44814</v>
      </c>
      <c r="D2089" t="s">
        <v>5368</v>
      </c>
      <c r="E2089" t="s">
        <v>5868</v>
      </c>
      <c r="F2089" t="s">
        <v>6026</v>
      </c>
      <c r="G2089" t="s">
        <v>6029</v>
      </c>
      <c r="H2089" t="s">
        <v>6032</v>
      </c>
      <c r="I2089" t="s">
        <v>6046</v>
      </c>
      <c r="J2089" t="s">
        <v>6054</v>
      </c>
      <c r="K2089" t="s">
        <v>6060</v>
      </c>
      <c r="L2089" t="s">
        <v>7427</v>
      </c>
      <c r="M2089">
        <v>1876.3</v>
      </c>
      <c r="N2089">
        <v>4</v>
      </c>
      <c r="O2089">
        <v>0.12</v>
      </c>
      <c r="P2089">
        <v>-18.12</v>
      </c>
      <c r="Q2089" t="s">
        <v>9895</v>
      </c>
      <c r="R2089">
        <v>1</v>
      </c>
      <c r="S2089" s="5">
        <f t="shared" si="64"/>
        <v>-9.6573042690401324E-3</v>
      </c>
      <c r="T2089">
        <v>469.07499999999999</v>
      </c>
      <c r="U2089">
        <v>9</v>
      </c>
      <c r="V2089">
        <v>2022</v>
      </c>
      <c r="W2089">
        <v>3</v>
      </c>
      <c r="X2089" t="s">
        <v>9898</v>
      </c>
      <c r="Y2089" t="s">
        <v>9901</v>
      </c>
      <c r="Z2089" t="s">
        <v>9898</v>
      </c>
      <c r="AD2089">
        <f t="shared" si="65"/>
        <v>1</v>
      </c>
    </row>
    <row r="2090" spans="1:30" x14ac:dyDescent="0.25">
      <c r="A2090" t="s">
        <v>2114</v>
      </c>
      <c r="B2090" s="2">
        <v>44768</v>
      </c>
      <c r="C2090" s="2">
        <v>44774</v>
      </c>
      <c r="D2090" t="s">
        <v>5239</v>
      </c>
      <c r="E2090" t="s">
        <v>5739</v>
      </c>
      <c r="F2090" t="s">
        <v>6027</v>
      </c>
      <c r="G2090" t="s">
        <v>6029</v>
      </c>
      <c r="H2090" t="s">
        <v>6032</v>
      </c>
      <c r="I2090" t="s">
        <v>6050</v>
      </c>
      <c r="J2090" t="s">
        <v>6053</v>
      </c>
      <c r="K2090" t="s">
        <v>6056</v>
      </c>
      <c r="L2090" t="s">
        <v>6808</v>
      </c>
      <c r="M2090">
        <v>531.07000000000005</v>
      </c>
      <c r="N2090">
        <v>6</v>
      </c>
      <c r="O2090">
        <v>0.09</v>
      </c>
      <c r="P2090">
        <v>5.33</v>
      </c>
      <c r="Q2090" t="s">
        <v>9897</v>
      </c>
      <c r="R2090">
        <v>6</v>
      </c>
      <c r="S2090" s="5">
        <f t="shared" si="64"/>
        <v>1.0036341725196301E-2</v>
      </c>
      <c r="T2090">
        <v>88.51166666666667</v>
      </c>
      <c r="U2090">
        <v>7</v>
      </c>
      <c r="V2090">
        <v>2022</v>
      </c>
      <c r="W2090">
        <v>3</v>
      </c>
      <c r="X2090" t="s">
        <v>9899</v>
      </c>
      <c r="Y2090" t="s">
        <v>9901</v>
      </c>
      <c r="Z2090" t="s">
        <v>9899</v>
      </c>
      <c r="AD2090">
        <f t="shared" si="65"/>
        <v>6</v>
      </c>
    </row>
    <row r="2091" spans="1:30" x14ac:dyDescent="0.25">
      <c r="A2091" t="s">
        <v>2115</v>
      </c>
      <c r="B2091" s="2">
        <v>44914</v>
      </c>
      <c r="C2091" s="2">
        <v>44916</v>
      </c>
      <c r="D2091" t="s">
        <v>5084</v>
      </c>
      <c r="E2091" t="s">
        <v>5584</v>
      </c>
      <c r="F2091" t="s">
        <v>6026</v>
      </c>
      <c r="G2091" t="s">
        <v>6029</v>
      </c>
      <c r="H2091" t="s">
        <v>6036</v>
      </c>
      <c r="I2091" t="s">
        <v>6046</v>
      </c>
      <c r="J2091" t="s">
        <v>6053</v>
      </c>
      <c r="K2091" t="s">
        <v>6057</v>
      </c>
      <c r="L2091" t="s">
        <v>7932</v>
      </c>
      <c r="M2091">
        <v>1474.25</v>
      </c>
      <c r="N2091">
        <v>4</v>
      </c>
      <c r="O2091">
        <v>0.16</v>
      </c>
      <c r="P2091">
        <v>118.31</v>
      </c>
      <c r="Q2091" t="s">
        <v>9896</v>
      </c>
      <c r="R2091">
        <v>2</v>
      </c>
      <c r="S2091" s="5">
        <f t="shared" si="64"/>
        <v>8.0250975072070546E-2</v>
      </c>
      <c r="T2091">
        <v>368.5625</v>
      </c>
      <c r="U2091">
        <v>12</v>
      </c>
      <c r="V2091">
        <v>2022</v>
      </c>
      <c r="W2091">
        <v>4</v>
      </c>
      <c r="X2091" t="s">
        <v>9899</v>
      </c>
      <c r="Y2091" t="s">
        <v>9900</v>
      </c>
      <c r="Z2091" t="s">
        <v>9898</v>
      </c>
      <c r="AD2091">
        <f t="shared" si="65"/>
        <v>2</v>
      </c>
    </row>
    <row r="2092" spans="1:30" x14ac:dyDescent="0.25">
      <c r="A2092" t="s">
        <v>2116</v>
      </c>
      <c r="B2092" s="2">
        <v>45410</v>
      </c>
      <c r="C2092" s="2">
        <v>45412</v>
      </c>
      <c r="D2092" t="s">
        <v>5261</v>
      </c>
      <c r="E2092" t="s">
        <v>5761</v>
      </c>
      <c r="F2092" t="s">
        <v>6027</v>
      </c>
      <c r="G2092" t="s">
        <v>6031</v>
      </c>
      <c r="H2092" t="s">
        <v>6037</v>
      </c>
      <c r="I2092" t="s">
        <v>6050</v>
      </c>
      <c r="J2092" t="s">
        <v>6055</v>
      </c>
      <c r="K2092" t="s">
        <v>6064</v>
      </c>
      <c r="L2092" t="s">
        <v>7933</v>
      </c>
      <c r="M2092">
        <v>326.68</v>
      </c>
      <c r="N2092">
        <v>1</v>
      </c>
      <c r="O2092">
        <v>0.16</v>
      </c>
      <c r="P2092">
        <v>-4.6100000000000003</v>
      </c>
      <c r="Q2092" t="s">
        <v>9895</v>
      </c>
      <c r="R2092">
        <v>2</v>
      </c>
      <c r="S2092" s="5">
        <f t="shared" si="64"/>
        <v>-1.4111668911473002E-2</v>
      </c>
      <c r="T2092">
        <v>326.68</v>
      </c>
      <c r="U2092">
        <v>4</v>
      </c>
      <c r="V2092">
        <v>2024</v>
      </c>
      <c r="W2092">
        <v>2</v>
      </c>
      <c r="X2092" t="s">
        <v>9898</v>
      </c>
      <c r="Y2092" t="s">
        <v>9900</v>
      </c>
      <c r="Z2092" t="s">
        <v>9899</v>
      </c>
      <c r="AD2092">
        <f t="shared" si="65"/>
        <v>2</v>
      </c>
    </row>
    <row r="2093" spans="1:30" x14ac:dyDescent="0.25">
      <c r="A2093" t="s">
        <v>2117</v>
      </c>
      <c r="B2093" s="2">
        <v>45136</v>
      </c>
      <c r="C2093" s="2">
        <v>45143</v>
      </c>
      <c r="D2093" t="s">
        <v>5492</v>
      </c>
      <c r="E2093" t="s">
        <v>5992</v>
      </c>
      <c r="F2093" t="s">
        <v>6026</v>
      </c>
      <c r="G2093" t="s">
        <v>6031</v>
      </c>
      <c r="H2093" t="s">
        <v>6040</v>
      </c>
      <c r="I2093" t="s">
        <v>6048</v>
      </c>
      <c r="J2093" t="s">
        <v>6055</v>
      </c>
      <c r="K2093" t="s">
        <v>6061</v>
      </c>
      <c r="L2093" t="s">
        <v>7934</v>
      </c>
      <c r="M2093">
        <v>1658.4</v>
      </c>
      <c r="N2093">
        <v>4</v>
      </c>
      <c r="O2093">
        <v>0.22</v>
      </c>
      <c r="P2093">
        <v>-29.89</v>
      </c>
      <c r="Q2093" t="s">
        <v>9894</v>
      </c>
      <c r="R2093">
        <v>7</v>
      </c>
      <c r="S2093" s="5">
        <f t="shared" si="64"/>
        <v>-1.8023396044380125E-2</v>
      </c>
      <c r="T2093">
        <v>414.6</v>
      </c>
      <c r="U2093">
        <v>7</v>
      </c>
      <c r="V2093">
        <v>2023</v>
      </c>
      <c r="W2093">
        <v>3</v>
      </c>
      <c r="X2093" t="s">
        <v>9898</v>
      </c>
      <c r="Y2093" t="s">
        <v>9900</v>
      </c>
      <c r="Z2093" t="s">
        <v>9898</v>
      </c>
      <c r="AD2093">
        <f t="shared" si="65"/>
        <v>7</v>
      </c>
    </row>
    <row r="2094" spans="1:30" x14ac:dyDescent="0.25">
      <c r="A2094" t="s">
        <v>2118</v>
      </c>
      <c r="B2094" s="2">
        <v>44805</v>
      </c>
      <c r="C2094" s="2">
        <v>44811</v>
      </c>
      <c r="D2094" t="s">
        <v>5518</v>
      </c>
      <c r="E2094" t="s">
        <v>6018</v>
      </c>
      <c r="F2094" t="s">
        <v>6027</v>
      </c>
      <c r="G2094" t="s">
        <v>6031</v>
      </c>
      <c r="H2094" t="s">
        <v>6040</v>
      </c>
      <c r="I2094" t="s">
        <v>6050</v>
      </c>
      <c r="J2094" t="s">
        <v>6053</v>
      </c>
      <c r="K2094" t="s">
        <v>6057</v>
      </c>
      <c r="L2094" t="s">
        <v>7935</v>
      </c>
      <c r="M2094">
        <v>408.18</v>
      </c>
      <c r="N2094">
        <v>5</v>
      </c>
      <c r="O2094">
        <v>0.32</v>
      </c>
      <c r="P2094">
        <v>-45.95</v>
      </c>
      <c r="Q2094" t="s">
        <v>9893</v>
      </c>
      <c r="R2094">
        <v>6</v>
      </c>
      <c r="S2094" s="5">
        <f t="shared" si="64"/>
        <v>-0.11257288451173503</v>
      </c>
      <c r="T2094">
        <v>81.635999999999996</v>
      </c>
      <c r="U2094">
        <v>9</v>
      </c>
      <c r="V2094">
        <v>2022</v>
      </c>
      <c r="W2094">
        <v>3</v>
      </c>
      <c r="X2094" t="s">
        <v>9898</v>
      </c>
      <c r="Y2094" t="s">
        <v>9902</v>
      </c>
      <c r="Z2094" t="s">
        <v>9899</v>
      </c>
      <c r="AD2094">
        <f t="shared" si="65"/>
        <v>6</v>
      </c>
    </row>
    <row r="2095" spans="1:30" x14ac:dyDescent="0.25">
      <c r="A2095" t="s">
        <v>2119</v>
      </c>
      <c r="B2095" s="2">
        <v>44937</v>
      </c>
      <c r="C2095" s="2">
        <v>44944</v>
      </c>
      <c r="D2095" t="s">
        <v>5228</v>
      </c>
      <c r="E2095" t="s">
        <v>5728</v>
      </c>
      <c r="F2095" t="s">
        <v>6028</v>
      </c>
      <c r="G2095" t="s">
        <v>6031</v>
      </c>
      <c r="H2095" t="s">
        <v>6043</v>
      </c>
      <c r="I2095" t="s">
        <v>6048</v>
      </c>
      <c r="J2095" t="s">
        <v>6054</v>
      </c>
      <c r="K2095" t="s">
        <v>6059</v>
      </c>
      <c r="L2095" t="s">
        <v>7936</v>
      </c>
      <c r="M2095">
        <v>1830.62</v>
      </c>
      <c r="N2095">
        <v>2</v>
      </c>
      <c r="O2095">
        <v>0.03</v>
      </c>
      <c r="P2095">
        <v>438.97</v>
      </c>
      <c r="Q2095" t="s">
        <v>9895</v>
      </c>
      <c r="R2095">
        <v>7</v>
      </c>
      <c r="S2095" s="5">
        <f t="shared" si="64"/>
        <v>0.23979307557002549</v>
      </c>
      <c r="T2095">
        <v>915.31</v>
      </c>
      <c r="U2095">
        <v>1</v>
      </c>
      <c r="V2095">
        <v>2023</v>
      </c>
      <c r="W2095">
        <v>1</v>
      </c>
      <c r="X2095" t="s">
        <v>9899</v>
      </c>
      <c r="Y2095" t="s">
        <v>9901</v>
      </c>
      <c r="Z2095" t="s">
        <v>9898</v>
      </c>
      <c r="AD2095">
        <f t="shared" si="65"/>
        <v>7</v>
      </c>
    </row>
    <row r="2096" spans="1:30" x14ac:dyDescent="0.25">
      <c r="A2096" t="s">
        <v>2120</v>
      </c>
      <c r="B2096" s="2">
        <v>45105</v>
      </c>
      <c r="C2096" s="2">
        <v>45109</v>
      </c>
      <c r="D2096" t="s">
        <v>5047</v>
      </c>
      <c r="E2096" t="s">
        <v>5547</v>
      </c>
      <c r="F2096" t="s">
        <v>6028</v>
      </c>
      <c r="G2096" t="s">
        <v>6030</v>
      </c>
      <c r="H2096" t="s">
        <v>6039</v>
      </c>
      <c r="I2096" t="s">
        <v>6051</v>
      </c>
      <c r="J2096" t="s">
        <v>6055</v>
      </c>
      <c r="K2096" t="s">
        <v>6063</v>
      </c>
      <c r="L2096" t="s">
        <v>7937</v>
      </c>
      <c r="M2096">
        <v>866.14</v>
      </c>
      <c r="N2096">
        <v>5</v>
      </c>
      <c r="O2096">
        <v>0.21</v>
      </c>
      <c r="P2096">
        <v>-51.68</v>
      </c>
      <c r="Q2096" t="s">
        <v>9897</v>
      </c>
      <c r="R2096">
        <v>4</v>
      </c>
      <c r="S2096" s="5">
        <f t="shared" si="64"/>
        <v>-5.9667028424965941E-2</v>
      </c>
      <c r="T2096">
        <v>173.22800000000001</v>
      </c>
      <c r="U2096">
        <v>6</v>
      </c>
      <c r="V2096">
        <v>2023</v>
      </c>
      <c r="W2096">
        <v>2</v>
      </c>
      <c r="X2096" t="s">
        <v>9898</v>
      </c>
      <c r="Y2096" t="s">
        <v>9900</v>
      </c>
      <c r="Z2096" t="s">
        <v>9899</v>
      </c>
      <c r="AD2096">
        <f t="shared" si="65"/>
        <v>4</v>
      </c>
    </row>
    <row r="2097" spans="1:30" x14ac:dyDescent="0.25">
      <c r="A2097" t="s">
        <v>2121</v>
      </c>
      <c r="B2097" s="2">
        <v>45104</v>
      </c>
      <c r="C2097" s="2">
        <v>45106</v>
      </c>
      <c r="D2097" t="s">
        <v>5060</v>
      </c>
      <c r="E2097" t="s">
        <v>5560</v>
      </c>
      <c r="F2097" t="s">
        <v>6027</v>
      </c>
      <c r="G2097" t="s">
        <v>6031</v>
      </c>
      <c r="H2097" t="s">
        <v>6037</v>
      </c>
      <c r="I2097" t="s">
        <v>6050</v>
      </c>
      <c r="J2097" t="s">
        <v>6055</v>
      </c>
      <c r="K2097" t="s">
        <v>6064</v>
      </c>
      <c r="L2097" t="s">
        <v>7938</v>
      </c>
      <c r="M2097">
        <v>367.24</v>
      </c>
      <c r="N2097">
        <v>5</v>
      </c>
      <c r="O2097">
        <v>0.28999999999999998</v>
      </c>
      <c r="P2097">
        <v>-17.489999999999998</v>
      </c>
      <c r="Q2097" t="s">
        <v>9894</v>
      </c>
      <c r="R2097">
        <v>2</v>
      </c>
      <c r="S2097" s="5">
        <f t="shared" si="64"/>
        <v>-4.7625530987909809E-2</v>
      </c>
      <c r="T2097">
        <v>73.448000000000008</v>
      </c>
      <c r="U2097">
        <v>6</v>
      </c>
      <c r="V2097">
        <v>2023</v>
      </c>
      <c r="W2097">
        <v>2</v>
      </c>
      <c r="X2097" t="s">
        <v>9898</v>
      </c>
      <c r="Y2097" t="s">
        <v>9900</v>
      </c>
      <c r="Z2097" t="s">
        <v>9899</v>
      </c>
      <c r="AD2097">
        <f t="shared" si="65"/>
        <v>2</v>
      </c>
    </row>
    <row r="2098" spans="1:30" x14ac:dyDescent="0.25">
      <c r="A2098" t="s">
        <v>2122</v>
      </c>
      <c r="B2098" s="2">
        <v>45320</v>
      </c>
      <c r="C2098" s="2">
        <v>45321</v>
      </c>
      <c r="D2098" t="s">
        <v>5510</v>
      </c>
      <c r="E2098" t="s">
        <v>6010</v>
      </c>
      <c r="F2098" t="s">
        <v>6027</v>
      </c>
      <c r="G2098" t="s">
        <v>6031</v>
      </c>
      <c r="H2098" t="s">
        <v>6037</v>
      </c>
      <c r="I2098" t="s">
        <v>6048</v>
      </c>
      <c r="J2098" t="s">
        <v>6055</v>
      </c>
      <c r="K2098" t="s">
        <v>6063</v>
      </c>
      <c r="L2098" t="s">
        <v>7939</v>
      </c>
      <c r="M2098">
        <v>284.58999999999997</v>
      </c>
      <c r="N2098">
        <v>5</v>
      </c>
      <c r="O2098">
        <v>0</v>
      </c>
      <c r="P2098">
        <v>35.729999999999997</v>
      </c>
      <c r="Q2098" t="s">
        <v>9894</v>
      </c>
      <c r="R2098">
        <v>1</v>
      </c>
      <c r="S2098" s="5">
        <f t="shared" si="64"/>
        <v>0.12554903545451351</v>
      </c>
      <c r="T2098">
        <v>56.917999999999992</v>
      </c>
      <c r="U2098">
        <v>1</v>
      </c>
      <c r="V2098">
        <v>2024</v>
      </c>
      <c r="W2098">
        <v>1</v>
      </c>
      <c r="X2098" t="s">
        <v>9899</v>
      </c>
      <c r="Y2098" t="s">
        <v>9901</v>
      </c>
      <c r="Z2098" t="s">
        <v>9899</v>
      </c>
      <c r="AD2098">
        <f t="shared" si="65"/>
        <v>1</v>
      </c>
    </row>
    <row r="2099" spans="1:30" x14ac:dyDescent="0.25">
      <c r="A2099" t="s">
        <v>2123</v>
      </c>
      <c r="B2099" s="2">
        <v>44991</v>
      </c>
      <c r="C2099" s="2">
        <v>44995</v>
      </c>
      <c r="D2099" t="s">
        <v>5232</v>
      </c>
      <c r="E2099" t="s">
        <v>5732</v>
      </c>
      <c r="F2099" t="s">
        <v>6027</v>
      </c>
      <c r="G2099" t="s">
        <v>6030</v>
      </c>
      <c r="H2099" t="s">
        <v>6035</v>
      </c>
      <c r="I2099" t="s">
        <v>6051</v>
      </c>
      <c r="J2099" t="s">
        <v>6053</v>
      </c>
      <c r="K2099" t="s">
        <v>6058</v>
      </c>
      <c r="L2099" t="s">
        <v>7328</v>
      </c>
      <c r="M2099">
        <v>1777.93</v>
      </c>
      <c r="N2099">
        <v>2</v>
      </c>
      <c r="O2099">
        <v>0.15</v>
      </c>
      <c r="P2099">
        <v>46.56</v>
      </c>
      <c r="Q2099" t="s">
        <v>9895</v>
      </c>
      <c r="R2099">
        <v>4</v>
      </c>
      <c r="S2099" s="5">
        <f t="shared" si="64"/>
        <v>2.618775767324923E-2</v>
      </c>
      <c r="T2099">
        <v>888.96500000000003</v>
      </c>
      <c r="U2099">
        <v>3</v>
      </c>
      <c r="V2099">
        <v>2023</v>
      </c>
      <c r="W2099">
        <v>1</v>
      </c>
      <c r="X2099" t="s">
        <v>9899</v>
      </c>
      <c r="Y2099" t="s">
        <v>9901</v>
      </c>
      <c r="Z2099" t="s">
        <v>9898</v>
      </c>
      <c r="AD2099">
        <f t="shared" si="65"/>
        <v>4</v>
      </c>
    </row>
    <row r="2100" spans="1:30" x14ac:dyDescent="0.25">
      <c r="A2100" t="s">
        <v>2124</v>
      </c>
      <c r="B2100" s="2">
        <v>45305</v>
      </c>
      <c r="C2100" s="2">
        <v>45306</v>
      </c>
      <c r="D2100" t="s">
        <v>5351</v>
      </c>
      <c r="E2100" t="s">
        <v>5851</v>
      </c>
      <c r="F2100" t="s">
        <v>6028</v>
      </c>
      <c r="G2100" t="s">
        <v>6029</v>
      </c>
      <c r="H2100" t="s">
        <v>6044</v>
      </c>
      <c r="I2100" t="s">
        <v>6046</v>
      </c>
      <c r="J2100" t="s">
        <v>6054</v>
      </c>
      <c r="K2100" t="s">
        <v>6062</v>
      </c>
      <c r="L2100" t="s">
        <v>7940</v>
      </c>
      <c r="M2100">
        <v>671.26</v>
      </c>
      <c r="N2100">
        <v>8</v>
      </c>
      <c r="O2100">
        <v>0.32</v>
      </c>
      <c r="P2100">
        <v>-86.32</v>
      </c>
      <c r="Q2100" t="s">
        <v>9894</v>
      </c>
      <c r="R2100">
        <v>1</v>
      </c>
      <c r="S2100" s="5">
        <f t="shared" si="64"/>
        <v>-0.1285939874266305</v>
      </c>
      <c r="T2100">
        <v>83.907499999999999</v>
      </c>
      <c r="U2100">
        <v>1</v>
      </c>
      <c r="V2100">
        <v>2024</v>
      </c>
      <c r="W2100">
        <v>1</v>
      </c>
      <c r="X2100" t="s">
        <v>9898</v>
      </c>
      <c r="Y2100" t="s">
        <v>9902</v>
      </c>
      <c r="Z2100" t="s">
        <v>9899</v>
      </c>
      <c r="AD2100">
        <f t="shared" si="65"/>
        <v>1</v>
      </c>
    </row>
    <row r="2101" spans="1:30" x14ac:dyDescent="0.25">
      <c r="A2101" t="s">
        <v>2125</v>
      </c>
      <c r="B2101" s="2">
        <v>44891</v>
      </c>
      <c r="C2101" s="2">
        <v>44894</v>
      </c>
      <c r="D2101" t="s">
        <v>5421</v>
      </c>
      <c r="E2101" t="s">
        <v>5921</v>
      </c>
      <c r="F2101" t="s">
        <v>6028</v>
      </c>
      <c r="G2101" t="s">
        <v>6029</v>
      </c>
      <c r="H2101" t="s">
        <v>6036</v>
      </c>
      <c r="I2101" t="s">
        <v>6046</v>
      </c>
      <c r="J2101" t="s">
        <v>6053</v>
      </c>
      <c r="K2101" t="s">
        <v>6056</v>
      </c>
      <c r="L2101" t="s">
        <v>7941</v>
      </c>
      <c r="M2101">
        <v>230.72</v>
      </c>
      <c r="N2101">
        <v>4</v>
      </c>
      <c r="O2101">
        <v>0.17</v>
      </c>
      <c r="P2101">
        <v>1.47</v>
      </c>
      <c r="Q2101" t="s">
        <v>9897</v>
      </c>
      <c r="R2101">
        <v>3</v>
      </c>
      <c r="S2101" s="5">
        <f t="shared" si="64"/>
        <v>6.3713592233009706E-3</v>
      </c>
      <c r="T2101">
        <v>57.68</v>
      </c>
      <c r="U2101">
        <v>11</v>
      </c>
      <c r="V2101">
        <v>2022</v>
      </c>
      <c r="W2101">
        <v>4</v>
      </c>
      <c r="X2101" t="s">
        <v>9899</v>
      </c>
      <c r="Y2101" t="s">
        <v>9900</v>
      </c>
      <c r="Z2101" t="s">
        <v>9899</v>
      </c>
      <c r="AD2101">
        <f t="shared" si="65"/>
        <v>3</v>
      </c>
    </row>
    <row r="2102" spans="1:30" x14ac:dyDescent="0.25">
      <c r="A2102" t="s">
        <v>2126</v>
      </c>
      <c r="B2102" s="2">
        <v>44836</v>
      </c>
      <c r="C2102" s="2">
        <v>44838</v>
      </c>
      <c r="D2102" t="s">
        <v>5194</v>
      </c>
      <c r="E2102" t="s">
        <v>5694</v>
      </c>
      <c r="F2102" t="s">
        <v>6026</v>
      </c>
      <c r="G2102" t="s">
        <v>6031</v>
      </c>
      <c r="H2102" t="s">
        <v>6042</v>
      </c>
      <c r="I2102" t="s">
        <v>6048</v>
      </c>
      <c r="J2102" t="s">
        <v>6055</v>
      </c>
      <c r="K2102" t="s">
        <v>6063</v>
      </c>
      <c r="L2102" t="s">
        <v>7942</v>
      </c>
      <c r="M2102">
        <v>1041.3900000000001</v>
      </c>
      <c r="N2102">
        <v>3</v>
      </c>
      <c r="O2102">
        <v>0.24</v>
      </c>
      <c r="P2102">
        <v>-91.03</v>
      </c>
      <c r="Q2102" t="s">
        <v>9895</v>
      </c>
      <c r="R2102">
        <v>2</v>
      </c>
      <c r="S2102" s="5">
        <f t="shared" si="64"/>
        <v>-8.7412016631617351E-2</v>
      </c>
      <c r="T2102">
        <v>347.13000000000011</v>
      </c>
      <c r="U2102">
        <v>10</v>
      </c>
      <c r="V2102">
        <v>2022</v>
      </c>
      <c r="W2102">
        <v>4</v>
      </c>
      <c r="X2102" t="s">
        <v>9898</v>
      </c>
      <c r="Y2102" t="s">
        <v>9900</v>
      </c>
      <c r="Z2102" t="s">
        <v>9898</v>
      </c>
      <c r="AD2102">
        <f t="shared" si="65"/>
        <v>2</v>
      </c>
    </row>
    <row r="2103" spans="1:30" x14ac:dyDescent="0.25">
      <c r="A2103" t="s">
        <v>2127</v>
      </c>
      <c r="B2103" s="2">
        <v>44839</v>
      </c>
      <c r="C2103" s="2">
        <v>44841</v>
      </c>
      <c r="D2103" t="s">
        <v>5291</v>
      </c>
      <c r="E2103" t="s">
        <v>5791</v>
      </c>
      <c r="F2103" t="s">
        <v>6028</v>
      </c>
      <c r="G2103" t="s">
        <v>6031</v>
      </c>
      <c r="H2103" t="s">
        <v>6042</v>
      </c>
      <c r="I2103" t="s">
        <v>6050</v>
      </c>
      <c r="J2103" t="s">
        <v>6054</v>
      </c>
      <c r="K2103" t="s">
        <v>6060</v>
      </c>
      <c r="L2103" t="s">
        <v>7943</v>
      </c>
      <c r="M2103">
        <v>1635.26</v>
      </c>
      <c r="N2103">
        <v>1</v>
      </c>
      <c r="O2103">
        <v>0.04</v>
      </c>
      <c r="P2103">
        <v>165.41</v>
      </c>
      <c r="Q2103" t="s">
        <v>9893</v>
      </c>
      <c r="R2103">
        <v>2</v>
      </c>
      <c r="S2103" s="5">
        <f t="shared" si="64"/>
        <v>0.10115211036777026</v>
      </c>
      <c r="T2103">
        <v>1635.26</v>
      </c>
      <c r="U2103">
        <v>10</v>
      </c>
      <c r="V2103">
        <v>2022</v>
      </c>
      <c r="W2103">
        <v>4</v>
      </c>
      <c r="X2103" t="s">
        <v>9899</v>
      </c>
      <c r="Y2103" t="s">
        <v>9901</v>
      </c>
      <c r="Z2103" t="s">
        <v>9898</v>
      </c>
      <c r="AD2103">
        <f t="shared" si="65"/>
        <v>2</v>
      </c>
    </row>
    <row r="2104" spans="1:30" x14ac:dyDescent="0.25">
      <c r="A2104" t="s">
        <v>2128</v>
      </c>
      <c r="B2104" s="2">
        <v>44733</v>
      </c>
      <c r="C2104" s="2">
        <v>44734</v>
      </c>
      <c r="D2104" t="s">
        <v>5095</v>
      </c>
      <c r="E2104" t="s">
        <v>5595</v>
      </c>
      <c r="F2104" t="s">
        <v>6027</v>
      </c>
      <c r="G2104" t="s">
        <v>6030</v>
      </c>
      <c r="H2104" t="s">
        <v>6033</v>
      </c>
      <c r="I2104" t="s">
        <v>6047</v>
      </c>
      <c r="J2104" t="s">
        <v>6054</v>
      </c>
      <c r="K2104" t="s">
        <v>6060</v>
      </c>
      <c r="L2104" t="s">
        <v>7944</v>
      </c>
      <c r="M2104">
        <v>400.94</v>
      </c>
      <c r="N2104">
        <v>7</v>
      </c>
      <c r="O2104">
        <v>0.19</v>
      </c>
      <c r="P2104">
        <v>13.38</v>
      </c>
      <c r="Q2104" t="s">
        <v>9894</v>
      </c>
      <c r="R2104">
        <v>1</v>
      </c>
      <c r="S2104" s="5">
        <f t="shared" si="64"/>
        <v>3.3371576794532849E-2</v>
      </c>
      <c r="T2104">
        <v>57.277142857142863</v>
      </c>
      <c r="U2104">
        <v>6</v>
      </c>
      <c r="V2104">
        <v>2022</v>
      </c>
      <c r="W2104">
        <v>2</v>
      </c>
      <c r="X2104" t="s">
        <v>9899</v>
      </c>
      <c r="Y2104" t="s">
        <v>9900</v>
      </c>
      <c r="Z2104" t="s">
        <v>9899</v>
      </c>
      <c r="AD2104">
        <f t="shared" si="65"/>
        <v>1</v>
      </c>
    </row>
    <row r="2105" spans="1:30" x14ac:dyDescent="0.25">
      <c r="A2105" t="s">
        <v>2129</v>
      </c>
      <c r="B2105" s="2">
        <v>45225</v>
      </c>
      <c r="C2105" s="2">
        <v>45226</v>
      </c>
      <c r="D2105" t="s">
        <v>5231</v>
      </c>
      <c r="E2105" t="s">
        <v>5731</v>
      </c>
      <c r="F2105" t="s">
        <v>6026</v>
      </c>
      <c r="G2105" t="s">
        <v>6030</v>
      </c>
      <c r="H2105" t="s">
        <v>6035</v>
      </c>
      <c r="I2105" t="s">
        <v>6047</v>
      </c>
      <c r="J2105" t="s">
        <v>6053</v>
      </c>
      <c r="K2105" t="s">
        <v>6056</v>
      </c>
      <c r="L2105" t="s">
        <v>7945</v>
      </c>
      <c r="M2105">
        <v>1127.24</v>
      </c>
      <c r="N2105">
        <v>6</v>
      </c>
      <c r="O2105">
        <v>0.28999999999999998</v>
      </c>
      <c r="P2105">
        <v>-0.82</v>
      </c>
      <c r="Q2105" t="s">
        <v>9894</v>
      </c>
      <c r="R2105">
        <v>1</v>
      </c>
      <c r="S2105" s="5">
        <f t="shared" si="64"/>
        <v>-7.2744047407827966E-4</v>
      </c>
      <c r="T2105">
        <v>187.87333333333331</v>
      </c>
      <c r="U2105">
        <v>10</v>
      </c>
      <c r="V2105">
        <v>2023</v>
      </c>
      <c r="W2105">
        <v>4</v>
      </c>
      <c r="X2105" t="s">
        <v>9898</v>
      </c>
      <c r="Y2105" t="s">
        <v>9900</v>
      </c>
      <c r="Z2105" t="s">
        <v>9898</v>
      </c>
      <c r="AD2105">
        <f t="shared" si="65"/>
        <v>1</v>
      </c>
    </row>
    <row r="2106" spans="1:30" x14ac:dyDescent="0.25">
      <c r="A2106" t="s">
        <v>2130</v>
      </c>
      <c r="B2106" s="2">
        <v>45415</v>
      </c>
      <c r="C2106" s="2">
        <v>45422</v>
      </c>
      <c r="D2106" t="s">
        <v>5288</v>
      </c>
      <c r="E2106" t="s">
        <v>5788</v>
      </c>
      <c r="F2106" t="s">
        <v>6027</v>
      </c>
      <c r="G2106" t="s">
        <v>6031</v>
      </c>
      <c r="H2106" t="s">
        <v>6043</v>
      </c>
      <c r="I2106" t="s">
        <v>6050</v>
      </c>
      <c r="J2106" t="s">
        <v>6053</v>
      </c>
      <c r="K2106" t="s">
        <v>6057</v>
      </c>
      <c r="L2106" t="s">
        <v>6952</v>
      </c>
      <c r="M2106">
        <v>1178.9000000000001</v>
      </c>
      <c r="N2106">
        <v>1</v>
      </c>
      <c r="O2106">
        <v>0.28999999999999998</v>
      </c>
      <c r="P2106">
        <v>-160.21</v>
      </c>
      <c r="Q2106" t="s">
        <v>9893</v>
      </c>
      <c r="R2106">
        <v>7</v>
      </c>
      <c r="S2106" s="5">
        <f t="shared" si="64"/>
        <v>-0.13589787089659852</v>
      </c>
      <c r="T2106">
        <v>1178.9000000000001</v>
      </c>
      <c r="U2106">
        <v>5</v>
      </c>
      <c r="V2106">
        <v>2024</v>
      </c>
      <c r="W2106">
        <v>2</v>
      </c>
      <c r="X2106" t="s">
        <v>9898</v>
      </c>
      <c r="Y2106" t="s">
        <v>9900</v>
      </c>
      <c r="Z2106" t="s">
        <v>9898</v>
      </c>
      <c r="AD2106">
        <f t="shared" si="65"/>
        <v>7</v>
      </c>
    </row>
    <row r="2107" spans="1:30" x14ac:dyDescent="0.25">
      <c r="A2107" t="s">
        <v>2131</v>
      </c>
      <c r="B2107" s="2">
        <v>44683</v>
      </c>
      <c r="C2107" s="2">
        <v>44687</v>
      </c>
      <c r="D2107" t="s">
        <v>5217</v>
      </c>
      <c r="E2107" t="s">
        <v>5717</v>
      </c>
      <c r="F2107" t="s">
        <v>6026</v>
      </c>
      <c r="G2107" t="s">
        <v>6030</v>
      </c>
      <c r="H2107" t="s">
        <v>6035</v>
      </c>
      <c r="I2107" t="s">
        <v>6047</v>
      </c>
      <c r="J2107" t="s">
        <v>6054</v>
      </c>
      <c r="K2107" t="s">
        <v>6062</v>
      </c>
      <c r="L2107" t="s">
        <v>7646</v>
      </c>
      <c r="M2107">
        <v>940.72</v>
      </c>
      <c r="N2107">
        <v>8</v>
      </c>
      <c r="O2107">
        <v>0.11</v>
      </c>
      <c r="P2107">
        <v>47.07</v>
      </c>
      <c r="Q2107" t="s">
        <v>9893</v>
      </c>
      <c r="R2107">
        <v>4</v>
      </c>
      <c r="S2107" s="5">
        <f t="shared" si="64"/>
        <v>5.0036142529126623E-2</v>
      </c>
      <c r="T2107">
        <v>117.59</v>
      </c>
      <c r="U2107">
        <v>5</v>
      </c>
      <c r="V2107">
        <v>2022</v>
      </c>
      <c r="W2107">
        <v>2</v>
      </c>
      <c r="X2107" t="s">
        <v>9899</v>
      </c>
      <c r="Y2107" t="s">
        <v>9901</v>
      </c>
      <c r="Z2107" t="s">
        <v>9899</v>
      </c>
      <c r="AD2107">
        <f t="shared" si="65"/>
        <v>4</v>
      </c>
    </row>
    <row r="2108" spans="1:30" x14ac:dyDescent="0.25">
      <c r="A2108" t="s">
        <v>2132</v>
      </c>
      <c r="B2108" s="2">
        <v>44879</v>
      </c>
      <c r="C2108" s="2">
        <v>44880</v>
      </c>
      <c r="D2108" t="s">
        <v>5083</v>
      </c>
      <c r="E2108" t="s">
        <v>5583</v>
      </c>
      <c r="F2108" t="s">
        <v>6028</v>
      </c>
      <c r="G2108" t="s">
        <v>6031</v>
      </c>
      <c r="H2108" t="s">
        <v>6037</v>
      </c>
      <c r="I2108" t="s">
        <v>6050</v>
      </c>
      <c r="J2108" t="s">
        <v>6054</v>
      </c>
      <c r="K2108" t="s">
        <v>6060</v>
      </c>
      <c r="L2108" t="s">
        <v>7946</v>
      </c>
      <c r="M2108">
        <v>1207.02</v>
      </c>
      <c r="N2108">
        <v>2</v>
      </c>
      <c r="O2108">
        <v>0.21</v>
      </c>
      <c r="P2108">
        <v>49.09</v>
      </c>
      <c r="Q2108" t="s">
        <v>9893</v>
      </c>
      <c r="R2108">
        <v>1</v>
      </c>
      <c r="S2108" s="5">
        <f t="shared" si="64"/>
        <v>4.0670411426488383E-2</v>
      </c>
      <c r="T2108">
        <v>603.51</v>
      </c>
      <c r="U2108">
        <v>11</v>
      </c>
      <c r="V2108">
        <v>2022</v>
      </c>
      <c r="W2108">
        <v>4</v>
      </c>
      <c r="X2108" t="s">
        <v>9899</v>
      </c>
      <c r="Y2108" t="s">
        <v>9900</v>
      </c>
      <c r="Z2108" t="s">
        <v>9898</v>
      </c>
      <c r="AD2108">
        <f t="shared" si="65"/>
        <v>1</v>
      </c>
    </row>
    <row r="2109" spans="1:30" x14ac:dyDescent="0.25">
      <c r="A2109" t="s">
        <v>2133</v>
      </c>
      <c r="B2109" s="2">
        <v>45183</v>
      </c>
      <c r="C2109" s="2">
        <v>45185</v>
      </c>
      <c r="D2109" t="s">
        <v>5496</v>
      </c>
      <c r="E2109" t="s">
        <v>5996</v>
      </c>
      <c r="F2109" t="s">
        <v>6028</v>
      </c>
      <c r="G2109" t="s">
        <v>6031</v>
      </c>
      <c r="H2109" t="s">
        <v>6043</v>
      </c>
      <c r="I2109" t="s">
        <v>6048</v>
      </c>
      <c r="J2109" t="s">
        <v>6053</v>
      </c>
      <c r="K2109" t="s">
        <v>6057</v>
      </c>
      <c r="L2109" t="s">
        <v>7947</v>
      </c>
      <c r="M2109">
        <v>586.66</v>
      </c>
      <c r="N2109">
        <v>8</v>
      </c>
      <c r="O2109">
        <v>0.18</v>
      </c>
      <c r="P2109">
        <v>-36.19</v>
      </c>
      <c r="Q2109" t="s">
        <v>9896</v>
      </c>
      <c r="R2109">
        <v>2</v>
      </c>
      <c r="S2109" s="5">
        <f t="shared" si="64"/>
        <v>-6.1688201002284115E-2</v>
      </c>
      <c r="T2109">
        <v>73.332499999999996</v>
      </c>
      <c r="U2109">
        <v>9</v>
      </c>
      <c r="V2109">
        <v>2023</v>
      </c>
      <c r="W2109">
        <v>3</v>
      </c>
      <c r="X2109" t="s">
        <v>9898</v>
      </c>
      <c r="Y2109" t="s">
        <v>9900</v>
      </c>
      <c r="Z2109" t="s">
        <v>9899</v>
      </c>
      <c r="AD2109">
        <f t="shared" si="65"/>
        <v>2</v>
      </c>
    </row>
    <row r="2110" spans="1:30" x14ac:dyDescent="0.25">
      <c r="A2110" t="s">
        <v>2134</v>
      </c>
      <c r="B2110" s="2">
        <v>45055</v>
      </c>
      <c r="C2110" s="2">
        <v>45056</v>
      </c>
      <c r="D2110" t="s">
        <v>5404</v>
      </c>
      <c r="E2110" t="s">
        <v>5904</v>
      </c>
      <c r="F2110" t="s">
        <v>6028</v>
      </c>
      <c r="G2110" t="s">
        <v>6029</v>
      </c>
      <c r="H2110" t="s">
        <v>6036</v>
      </c>
      <c r="I2110" t="s">
        <v>6046</v>
      </c>
      <c r="J2110" t="s">
        <v>6054</v>
      </c>
      <c r="K2110" t="s">
        <v>6062</v>
      </c>
      <c r="L2110" t="s">
        <v>7948</v>
      </c>
      <c r="M2110">
        <v>268.95999999999998</v>
      </c>
      <c r="N2110">
        <v>2</v>
      </c>
      <c r="O2110">
        <v>0.02</v>
      </c>
      <c r="P2110">
        <v>22.06</v>
      </c>
      <c r="Q2110" t="s">
        <v>9895</v>
      </c>
      <c r="R2110">
        <v>1</v>
      </c>
      <c r="S2110" s="5">
        <f t="shared" si="64"/>
        <v>8.2019631171921473E-2</v>
      </c>
      <c r="T2110">
        <v>134.47999999999999</v>
      </c>
      <c r="U2110">
        <v>5</v>
      </c>
      <c r="V2110">
        <v>2023</v>
      </c>
      <c r="W2110">
        <v>2</v>
      </c>
      <c r="X2110" t="s">
        <v>9899</v>
      </c>
      <c r="Y2110" t="s">
        <v>9901</v>
      </c>
      <c r="Z2110" t="s">
        <v>9899</v>
      </c>
      <c r="AD2110">
        <f t="shared" si="65"/>
        <v>1</v>
      </c>
    </row>
    <row r="2111" spans="1:30" x14ac:dyDescent="0.25">
      <c r="A2111" t="s">
        <v>2135</v>
      </c>
      <c r="B2111" s="2">
        <v>45308</v>
      </c>
      <c r="C2111" s="2">
        <v>45315</v>
      </c>
      <c r="D2111" t="s">
        <v>5027</v>
      </c>
      <c r="E2111" t="s">
        <v>5527</v>
      </c>
      <c r="F2111" t="s">
        <v>6027</v>
      </c>
      <c r="G2111" t="s">
        <v>6030</v>
      </c>
      <c r="H2111" t="s">
        <v>6038</v>
      </c>
      <c r="I2111" t="s">
        <v>6051</v>
      </c>
      <c r="J2111" t="s">
        <v>6055</v>
      </c>
      <c r="K2111" t="s">
        <v>6063</v>
      </c>
      <c r="L2111" t="s">
        <v>7949</v>
      </c>
      <c r="M2111">
        <v>243.98</v>
      </c>
      <c r="N2111">
        <v>3</v>
      </c>
      <c r="O2111">
        <v>0.31</v>
      </c>
      <c r="P2111">
        <v>-41.68</v>
      </c>
      <c r="Q2111" t="s">
        <v>9896</v>
      </c>
      <c r="R2111">
        <v>7</v>
      </c>
      <c r="S2111" s="5">
        <f t="shared" si="64"/>
        <v>-0.17083367489138454</v>
      </c>
      <c r="T2111">
        <v>81.326666666666668</v>
      </c>
      <c r="U2111">
        <v>1</v>
      </c>
      <c r="V2111">
        <v>2024</v>
      </c>
      <c r="W2111">
        <v>1</v>
      </c>
      <c r="X2111" t="s">
        <v>9898</v>
      </c>
      <c r="Y2111" t="s">
        <v>9902</v>
      </c>
      <c r="Z2111" t="s">
        <v>9899</v>
      </c>
      <c r="AD2111">
        <f t="shared" si="65"/>
        <v>7</v>
      </c>
    </row>
    <row r="2112" spans="1:30" x14ac:dyDescent="0.25">
      <c r="A2112" t="s">
        <v>2136</v>
      </c>
      <c r="B2112" s="2">
        <v>45388</v>
      </c>
      <c r="C2112" s="2">
        <v>45394</v>
      </c>
      <c r="D2112" t="s">
        <v>5081</v>
      </c>
      <c r="E2112" t="s">
        <v>5581</v>
      </c>
      <c r="F2112" t="s">
        <v>6028</v>
      </c>
      <c r="G2112" t="s">
        <v>6031</v>
      </c>
      <c r="H2112" t="s">
        <v>6043</v>
      </c>
      <c r="I2112" t="s">
        <v>6052</v>
      </c>
      <c r="J2112" t="s">
        <v>6055</v>
      </c>
      <c r="K2112" t="s">
        <v>6064</v>
      </c>
      <c r="L2112" t="s">
        <v>7950</v>
      </c>
      <c r="M2112">
        <v>117.06</v>
      </c>
      <c r="N2112">
        <v>8</v>
      </c>
      <c r="O2112">
        <v>0.33</v>
      </c>
      <c r="P2112">
        <v>-22.58</v>
      </c>
      <c r="Q2112" t="s">
        <v>9896</v>
      </c>
      <c r="R2112">
        <v>6</v>
      </c>
      <c r="S2112" s="5">
        <f t="shared" si="64"/>
        <v>-0.19289253374337945</v>
      </c>
      <c r="T2112">
        <v>14.6325</v>
      </c>
      <c r="U2112">
        <v>4</v>
      </c>
      <c r="V2112">
        <v>2024</v>
      </c>
      <c r="W2112">
        <v>2</v>
      </c>
      <c r="X2112" t="s">
        <v>9898</v>
      </c>
      <c r="Y2112" t="s">
        <v>9902</v>
      </c>
      <c r="Z2112" t="s">
        <v>9899</v>
      </c>
      <c r="AD2112">
        <f t="shared" si="65"/>
        <v>6</v>
      </c>
    </row>
    <row r="2113" spans="1:30" x14ac:dyDescent="0.25">
      <c r="A2113" t="s">
        <v>2137</v>
      </c>
      <c r="B2113" s="2">
        <v>45043</v>
      </c>
      <c r="C2113" s="2">
        <v>45048</v>
      </c>
      <c r="D2113" t="s">
        <v>5404</v>
      </c>
      <c r="E2113" t="s">
        <v>5904</v>
      </c>
      <c r="F2113" t="s">
        <v>6027</v>
      </c>
      <c r="G2113" t="s">
        <v>6030</v>
      </c>
      <c r="H2113" t="s">
        <v>6033</v>
      </c>
      <c r="I2113" t="s">
        <v>6047</v>
      </c>
      <c r="J2113" t="s">
        <v>6054</v>
      </c>
      <c r="K2113" t="s">
        <v>6059</v>
      </c>
      <c r="L2113" t="s">
        <v>7951</v>
      </c>
      <c r="M2113">
        <v>588.17999999999995</v>
      </c>
      <c r="N2113">
        <v>8</v>
      </c>
      <c r="O2113">
        <v>0.18</v>
      </c>
      <c r="P2113">
        <v>-21.02</v>
      </c>
      <c r="Q2113" t="s">
        <v>9893</v>
      </c>
      <c r="R2113">
        <v>5</v>
      </c>
      <c r="S2113" s="5">
        <f t="shared" si="64"/>
        <v>-3.573735931177531E-2</v>
      </c>
      <c r="T2113">
        <v>73.522499999999994</v>
      </c>
      <c r="U2113">
        <v>4</v>
      </c>
      <c r="V2113">
        <v>2023</v>
      </c>
      <c r="W2113">
        <v>2</v>
      </c>
      <c r="X2113" t="s">
        <v>9898</v>
      </c>
      <c r="Y2113" t="s">
        <v>9900</v>
      </c>
      <c r="Z2113" t="s">
        <v>9899</v>
      </c>
      <c r="AD2113">
        <f t="shared" si="65"/>
        <v>5</v>
      </c>
    </row>
    <row r="2114" spans="1:30" x14ac:dyDescent="0.25">
      <c r="A2114" t="s">
        <v>2138</v>
      </c>
      <c r="B2114" s="2">
        <v>44666</v>
      </c>
      <c r="C2114" s="2">
        <v>44667</v>
      </c>
      <c r="D2114" t="s">
        <v>5266</v>
      </c>
      <c r="E2114" t="s">
        <v>5766</v>
      </c>
      <c r="F2114" t="s">
        <v>6026</v>
      </c>
      <c r="G2114" t="s">
        <v>6030</v>
      </c>
      <c r="H2114" t="s">
        <v>6038</v>
      </c>
      <c r="I2114" t="s">
        <v>6051</v>
      </c>
      <c r="J2114" t="s">
        <v>6053</v>
      </c>
      <c r="K2114" t="s">
        <v>6057</v>
      </c>
      <c r="L2114" t="s">
        <v>7952</v>
      </c>
      <c r="M2114">
        <v>1880.4</v>
      </c>
      <c r="N2114">
        <v>7</v>
      </c>
      <c r="O2114">
        <v>0.02</v>
      </c>
      <c r="P2114">
        <v>353.11</v>
      </c>
      <c r="Q2114" t="s">
        <v>9897</v>
      </c>
      <c r="R2114">
        <v>1</v>
      </c>
      <c r="S2114" s="5">
        <f t="shared" si="64"/>
        <v>0.18778451393320569</v>
      </c>
      <c r="T2114">
        <v>268.62857142857138</v>
      </c>
      <c r="U2114">
        <v>4</v>
      </c>
      <c r="V2114">
        <v>2022</v>
      </c>
      <c r="W2114">
        <v>2</v>
      </c>
      <c r="X2114" t="s">
        <v>9899</v>
      </c>
      <c r="Y2114" t="s">
        <v>9901</v>
      </c>
      <c r="Z2114" t="s">
        <v>9898</v>
      </c>
      <c r="AD2114">
        <f t="shared" si="65"/>
        <v>1</v>
      </c>
    </row>
    <row r="2115" spans="1:30" x14ac:dyDescent="0.25">
      <c r="A2115" t="s">
        <v>2139</v>
      </c>
      <c r="B2115" s="2">
        <v>45037</v>
      </c>
      <c r="C2115" s="2">
        <v>45043</v>
      </c>
      <c r="D2115" t="s">
        <v>5384</v>
      </c>
      <c r="E2115" t="s">
        <v>5884</v>
      </c>
      <c r="F2115" t="s">
        <v>6026</v>
      </c>
      <c r="G2115" t="s">
        <v>6029</v>
      </c>
      <c r="H2115" t="s">
        <v>6036</v>
      </c>
      <c r="I2115" t="s">
        <v>6049</v>
      </c>
      <c r="J2115" t="s">
        <v>6054</v>
      </c>
      <c r="K2115" t="s">
        <v>6062</v>
      </c>
      <c r="L2115" t="s">
        <v>7953</v>
      </c>
      <c r="M2115">
        <v>1629.59</v>
      </c>
      <c r="N2115">
        <v>8</v>
      </c>
      <c r="O2115">
        <v>0.02</v>
      </c>
      <c r="P2115">
        <v>240.69</v>
      </c>
      <c r="Q2115" t="s">
        <v>9896</v>
      </c>
      <c r="R2115">
        <v>6</v>
      </c>
      <c r="S2115" s="5">
        <f t="shared" ref="S2115:S2178" si="66">P2115/M2115</f>
        <v>0.14769972815248009</v>
      </c>
      <c r="T2115">
        <v>203.69874999999999</v>
      </c>
      <c r="U2115">
        <v>4</v>
      </c>
      <c r="V2115">
        <v>2023</v>
      </c>
      <c r="W2115">
        <v>2</v>
      </c>
      <c r="X2115" t="s">
        <v>9899</v>
      </c>
      <c r="Y2115" t="s">
        <v>9901</v>
      </c>
      <c r="Z2115" t="s">
        <v>9898</v>
      </c>
      <c r="AD2115">
        <f t="shared" ref="AD2115:AD2178" si="67">C2115-B2115</f>
        <v>6</v>
      </c>
    </row>
    <row r="2116" spans="1:30" x14ac:dyDescent="0.25">
      <c r="A2116" t="s">
        <v>2140</v>
      </c>
      <c r="B2116" s="2">
        <v>44708</v>
      </c>
      <c r="C2116" s="2">
        <v>44710</v>
      </c>
      <c r="D2116" t="s">
        <v>5247</v>
      </c>
      <c r="E2116" t="s">
        <v>5747</v>
      </c>
      <c r="F2116" t="s">
        <v>6027</v>
      </c>
      <c r="G2116" t="s">
        <v>6030</v>
      </c>
      <c r="H2116" t="s">
        <v>6039</v>
      </c>
      <c r="I2116" t="s">
        <v>6047</v>
      </c>
      <c r="J2116" t="s">
        <v>6053</v>
      </c>
      <c r="K2116" t="s">
        <v>6057</v>
      </c>
      <c r="L2116" t="s">
        <v>7954</v>
      </c>
      <c r="M2116">
        <v>1226.97</v>
      </c>
      <c r="N2116">
        <v>4</v>
      </c>
      <c r="O2116">
        <v>0.28000000000000003</v>
      </c>
      <c r="P2116">
        <v>-46.58</v>
      </c>
      <c r="Q2116" t="s">
        <v>9894</v>
      </c>
      <c r="R2116">
        <v>2</v>
      </c>
      <c r="S2116" s="5">
        <f t="shared" si="66"/>
        <v>-3.7963438388876662E-2</v>
      </c>
      <c r="T2116">
        <v>306.74250000000001</v>
      </c>
      <c r="U2116">
        <v>5</v>
      </c>
      <c r="V2116">
        <v>2022</v>
      </c>
      <c r="W2116">
        <v>2</v>
      </c>
      <c r="X2116" t="s">
        <v>9898</v>
      </c>
      <c r="Y2116" t="s">
        <v>9900</v>
      </c>
      <c r="Z2116" t="s">
        <v>9898</v>
      </c>
      <c r="AD2116">
        <f t="shared" si="67"/>
        <v>2</v>
      </c>
    </row>
    <row r="2117" spans="1:30" x14ac:dyDescent="0.25">
      <c r="A2117" t="s">
        <v>2141</v>
      </c>
      <c r="B2117" s="2">
        <v>45227</v>
      </c>
      <c r="C2117" s="2">
        <v>45229</v>
      </c>
      <c r="D2117" t="s">
        <v>5328</v>
      </c>
      <c r="E2117" t="s">
        <v>5828</v>
      </c>
      <c r="F2117" t="s">
        <v>6027</v>
      </c>
      <c r="G2117" t="s">
        <v>6029</v>
      </c>
      <c r="H2117" t="s">
        <v>6041</v>
      </c>
      <c r="I2117" t="s">
        <v>6049</v>
      </c>
      <c r="J2117" t="s">
        <v>6054</v>
      </c>
      <c r="K2117" t="s">
        <v>6062</v>
      </c>
      <c r="L2117" t="s">
        <v>7955</v>
      </c>
      <c r="M2117">
        <v>264.56</v>
      </c>
      <c r="N2117">
        <v>2</v>
      </c>
      <c r="O2117">
        <v>0.28999999999999998</v>
      </c>
      <c r="P2117">
        <v>-23.78</v>
      </c>
      <c r="Q2117" t="s">
        <v>9893</v>
      </c>
      <c r="R2117">
        <v>2</v>
      </c>
      <c r="S2117" s="5">
        <f t="shared" si="66"/>
        <v>-8.9885092228605995E-2</v>
      </c>
      <c r="T2117">
        <v>132.28</v>
      </c>
      <c r="U2117">
        <v>10</v>
      </c>
      <c r="V2117">
        <v>2023</v>
      </c>
      <c r="W2117">
        <v>4</v>
      </c>
      <c r="X2117" t="s">
        <v>9898</v>
      </c>
      <c r="Y2117" t="s">
        <v>9900</v>
      </c>
      <c r="Z2117" t="s">
        <v>9899</v>
      </c>
      <c r="AD2117">
        <f t="shared" si="67"/>
        <v>2</v>
      </c>
    </row>
    <row r="2118" spans="1:30" x14ac:dyDescent="0.25">
      <c r="A2118" t="s">
        <v>2142</v>
      </c>
      <c r="B2118" s="2">
        <v>45163</v>
      </c>
      <c r="C2118" s="2">
        <v>45164</v>
      </c>
      <c r="D2118" t="s">
        <v>5234</v>
      </c>
      <c r="E2118" t="s">
        <v>5734</v>
      </c>
      <c r="F2118" t="s">
        <v>6026</v>
      </c>
      <c r="G2118" t="s">
        <v>6029</v>
      </c>
      <c r="H2118" t="s">
        <v>6032</v>
      </c>
      <c r="I2118" t="s">
        <v>6046</v>
      </c>
      <c r="J2118" t="s">
        <v>6053</v>
      </c>
      <c r="K2118" t="s">
        <v>6056</v>
      </c>
      <c r="L2118" t="s">
        <v>7956</v>
      </c>
      <c r="M2118">
        <v>972.92</v>
      </c>
      <c r="N2118">
        <v>6</v>
      </c>
      <c r="O2118">
        <v>0.27</v>
      </c>
      <c r="P2118">
        <v>-38.51</v>
      </c>
      <c r="Q2118" t="s">
        <v>9897</v>
      </c>
      <c r="R2118">
        <v>1</v>
      </c>
      <c r="S2118" s="5">
        <f t="shared" si="66"/>
        <v>-3.9581877235538382E-2</v>
      </c>
      <c r="T2118">
        <v>162.15333333333331</v>
      </c>
      <c r="U2118">
        <v>8</v>
      </c>
      <c r="V2118">
        <v>2023</v>
      </c>
      <c r="W2118">
        <v>3</v>
      </c>
      <c r="X2118" t="s">
        <v>9898</v>
      </c>
      <c r="Y2118" t="s">
        <v>9900</v>
      </c>
      <c r="Z2118" t="s">
        <v>9899</v>
      </c>
      <c r="AD2118">
        <f t="shared" si="67"/>
        <v>1</v>
      </c>
    </row>
    <row r="2119" spans="1:30" x14ac:dyDescent="0.25">
      <c r="A2119" t="s">
        <v>2143</v>
      </c>
      <c r="B2119" s="2">
        <v>45158</v>
      </c>
      <c r="C2119" s="2">
        <v>45160</v>
      </c>
      <c r="D2119" t="s">
        <v>5445</v>
      </c>
      <c r="E2119" t="s">
        <v>5945</v>
      </c>
      <c r="F2119" t="s">
        <v>6028</v>
      </c>
      <c r="G2119" t="s">
        <v>6031</v>
      </c>
      <c r="H2119" t="s">
        <v>6043</v>
      </c>
      <c r="I2119" t="s">
        <v>6048</v>
      </c>
      <c r="J2119" t="s">
        <v>6054</v>
      </c>
      <c r="K2119" t="s">
        <v>6060</v>
      </c>
      <c r="L2119" t="s">
        <v>7957</v>
      </c>
      <c r="M2119">
        <v>1329.35</v>
      </c>
      <c r="N2119">
        <v>3</v>
      </c>
      <c r="O2119">
        <v>0.01</v>
      </c>
      <c r="P2119">
        <v>310.16000000000003</v>
      </c>
      <c r="Q2119" t="s">
        <v>9895</v>
      </c>
      <c r="R2119">
        <v>2</v>
      </c>
      <c r="S2119" s="5">
        <f t="shared" si="66"/>
        <v>0.23331703464098999</v>
      </c>
      <c r="T2119">
        <v>443.11666666666662</v>
      </c>
      <c r="U2119">
        <v>8</v>
      </c>
      <c r="V2119">
        <v>2023</v>
      </c>
      <c r="W2119">
        <v>3</v>
      </c>
      <c r="X2119" t="s">
        <v>9899</v>
      </c>
      <c r="Y2119" t="s">
        <v>9901</v>
      </c>
      <c r="Z2119" t="s">
        <v>9898</v>
      </c>
      <c r="AD2119">
        <f t="shared" si="67"/>
        <v>2</v>
      </c>
    </row>
    <row r="2120" spans="1:30" x14ac:dyDescent="0.25">
      <c r="A2120" t="s">
        <v>2144</v>
      </c>
      <c r="B2120" s="2">
        <v>44592</v>
      </c>
      <c r="C2120" s="2">
        <v>44593</v>
      </c>
      <c r="D2120" t="s">
        <v>5210</v>
      </c>
      <c r="E2120" t="s">
        <v>5710</v>
      </c>
      <c r="F2120" t="s">
        <v>6026</v>
      </c>
      <c r="G2120" t="s">
        <v>6030</v>
      </c>
      <c r="H2120" t="s">
        <v>6033</v>
      </c>
      <c r="I2120" t="s">
        <v>6051</v>
      </c>
      <c r="J2120" t="s">
        <v>6054</v>
      </c>
      <c r="K2120" t="s">
        <v>6060</v>
      </c>
      <c r="L2120" t="s">
        <v>7958</v>
      </c>
      <c r="M2120">
        <v>1070.51</v>
      </c>
      <c r="N2120">
        <v>1</v>
      </c>
      <c r="O2120">
        <v>0.34</v>
      </c>
      <c r="P2120">
        <v>-194.15</v>
      </c>
      <c r="Q2120" t="s">
        <v>9893</v>
      </c>
      <c r="R2120">
        <v>1</v>
      </c>
      <c r="S2120" s="5">
        <f t="shared" si="66"/>
        <v>-0.18136215448711362</v>
      </c>
      <c r="T2120">
        <v>1070.51</v>
      </c>
      <c r="U2120">
        <v>1</v>
      </c>
      <c r="V2120">
        <v>2022</v>
      </c>
      <c r="W2120">
        <v>1</v>
      </c>
      <c r="X2120" t="s">
        <v>9898</v>
      </c>
      <c r="Y2120" t="s">
        <v>9902</v>
      </c>
      <c r="Z2120" t="s">
        <v>9898</v>
      </c>
      <c r="AD2120">
        <f t="shared" si="67"/>
        <v>1</v>
      </c>
    </row>
    <row r="2121" spans="1:30" x14ac:dyDescent="0.25">
      <c r="A2121" t="s">
        <v>2145</v>
      </c>
      <c r="B2121" s="2">
        <v>45277</v>
      </c>
      <c r="C2121" s="2">
        <v>45282</v>
      </c>
      <c r="D2121" t="s">
        <v>5366</v>
      </c>
      <c r="E2121" t="s">
        <v>5866</v>
      </c>
      <c r="F2121" t="s">
        <v>6027</v>
      </c>
      <c r="G2121" t="s">
        <v>6029</v>
      </c>
      <c r="H2121" t="s">
        <v>6032</v>
      </c>
      <c r="I2121" t="s">
        <v>6050</v>
      </c>
      <c r="J2121" t="s">
        <v>6053</v>
      </c>
      <c r="K2121" t="s">
        <v>6056</v>
      </c>
      <c r="L2121" t="s">
        <v>6524</v>
      </c>
      <c r="M2121">
        <v>733.3</v>
      </c>
      <c r="N2121">
        <v>5</v>
      </c>
      <c r="O2121">
        <v>0.2</v>
      </c>
      <c r="P2121">
        <v>72.94</v>
      </c>
      <c r="Q2121" t="s">
        <v>9897</v>
      </c>
      <c r="R2121">
        <v>5</v>
      </c>
      <c r="S2121" s="5">
        <f t="shared" si="66"/>
        <v>9.9468157643529259E-2</v>
      </c>
      <c r="T2121">
        <v>146.66</v>
      </c>
      <c r="U2121">
        <v>12</v>
      </c>
      <c r="V2121">
        <v>2023</v>
      </c>
      <c r="W2121">
        <v>4</v>
      </c>
      <c r="X2121" t="s">
        <v>9899</v>
      </c>
      <c r="Y2121" t="s">
        <v>9900</v>
      </c>
      <c r="Z2121" t="s">
        <v>9899</v>
      </c>
      <c r="AD2121">
        <f t="shared" si="67"/>
        <v>5</v>
      </c>
    </row>
    <row r="2122" spans="1:30" x14ac:dyDescent="0.25">
      <c r="A2122" t="s">
        <v>2146</v>
      </c>
      <c r="B2122" s="2">
        <v>45188</v>
      </c>
      <c r="C2122" s="2">
        <v>45194</v>
      </c>
      <c r="D2122" t="s">
        <v>5301</v>
      </c>
      <c r="E2122" t="s">
        <v>5801</v>
      </c>
      <c r="F2122" t="s">
        <v>6027</v>
      </c>
      <c r="G2122" t="s">
        <v>6031</v>
      </c>
      <c r="H2122" t="s">
        <v>6034</v>
      </c>
      <c r="I2122" t="s">
        <v>6052</v>
      </c>
      <c r="J2122" t="s">
        <v>6053</v>
      </c>
      <c r="K2122" t="s">
        <v>6057</v>
      </c>
      <c r="L2122" t="s">
        <v>7959</v>
      </c>
      <c r="M2122">
        <v>1575.49</v>
      </c>
      <c r="N2122">
        <v>8</v>
      </c>
      <c r="O2122">
        <v>0.2</v>
      </c>
      <c r="P2122">
        <v>26.24</v>
      </c>
      <c r="Q2122" t="s">
        <v>9895</v>
      </c>
      <c r="R2122">
        <v>6</v>
      </c>
      <c r="S2122" s="5">
        <f t="shared" si="66"/>
        <v>1.6655135862493571E-2</v>
      </c>
      <c r="T2122">
        <v>196.93625</v>
      </c>
      <c r="U2122">
        <v>9</v>
      </c>
      <c r="V2122">
        <v>2023</v>
      </c>
      <c r="W2122">
        <v>3</v>
      </c>
      <c r="X2122" t="s">
        <v>9899</v>
      </c>
      <c r="Y2122" t="s">
        <v>9900</v>
      </c>
      <c r="Z2122" t="s">
        <v>9898</v>
      </c>
      <c r="AD2122">
        <f t="shared" si="67"/>
        <v>6</v>
      </c>
    </row>
    <row r="2123" spans="1:30" x14ac:dyDescent="0.25">
      <c r="A2123" t="s">
        <v>2147</v>
      </c>
      <c r="B2123" s="2">
        <v>44921</v>
      </c>
      <c r="C2123" s="2">
        <v>44922</v>
      </c>
      <c r="D2123" t="s">
        <v>5429</v>
      </c>
      <c r="E2123" t="s">
        <v>5929</v>
      </c>
      <c r="F2123" t="s">
        <v>6027</v>
      </c>
      <c r="G2123" t="s">
        <v>6031</v>
      </c>
      <c r="H2123" t="s">
        <v>6034</v>
      </c>
      <c r="I2123" t="s">
        <v>6052</v>
      </c>
      <c r="J2123" t="s">
        <v>6055</v>
      </c>
      <c r="K2123" t="s">
        <v>6063</v>
      </c>
      <c r="L2123" t="s">
        <v>6899</v>
      </c>
      <c r="M2123">
        <v>770.14</v>
      </c>
      <c r="N2123">
        <v>7</v>
      </c>
      <c r="O2123">
        <v>0.14000000000000001</v>
      </c>
      <c r="P2123">
        <v>58.65</v>
      </c>
      <c r="Q2123" t="s">
        <v>9897</v>
      </c>
      <c r="R2123">
        <v>1</v>
      </c>
      <c r="S2123" s="5">
        <f t="shared" si="66"/>
        <v>7.6154984807956988E-2</v>
      </c>
      <c r="T2123">
        <v>110.02</v>
      </c>
      <c r="U2123">
        <v>12</v>
      </c>
      <c r="V2123">
        <v>2022</v>
      </c>
      <c r="W2123">
        <v>4</v>
      </c>
      <c r="X2123" t="s">
        <v>9899</v>
      </c>
      <c r="Y2123" t="s">
        <v>9901</v>
      </c>
      <c r="Z2123" t="s">
        <v>9899</v>
      </c>
      <c r="AD2123">
        <f t="shared" si="67"/>
        <v>1</v>
      </c>
    </row>
    <row r="2124" spans="1:30" x14ac:dyDescent="0.25">
      <c r="A2124" t="s">
        <v>2148</v>
      </c>
      <c r="B2124" s="2">
        <v>44598</v>
      </c>
      <c r="C2124" s="2">
        <v>44605</v>
      </c>
      <c r="D2124" t="s">
        <v>5184</v>
      </c>
      <c r="E2124" t="s">
        <v>5684</v>
      </c>
      <c r="F2124" t="s">
        <v>6026</v>
      </c>
      <c r="G2124" t="s">
        <v>6030</v>
      </c>
      <c r="H2124" t="s">
        <v>6039</v>
      </c>
      <c r="I2124" t="s">
        <v>6047</v>
      </c>
      <c r="J2124" t="s">
        <v>6054</v>
      </c>
      <c r="K2124" t="s">
        <v>6062</v>
      </c>
      <c r="L2124" t="s">
        <v>7960</v>
      </c>
      <c r="M2124">
        <v>1398.38</v>
      </c>
      <c r="N2124">
        <v>1</v>
      </c>
      <c r="O2124">
        <v>0.21</v>
      </c>
      <c r="P2124">
        <v>35.369999999999997</v>
      </c>
      <c r="Q2124" t="s">
        <v>9895</v>
      </c>
      <c r="R2124">
        <v>7</v>
      </c>
      <c r="S2124" s="5">
        <f t="shared" si="66"/>
        <v>2.5293553969593381E-2</v>
      </c>
      <c r="T2124">
        <v>1398.38</v>
      </c>
      <c r="U2124">
        <v>2</v>
      </c>
      <c r="V2124">
        <v>2022</v>
      </c>
      <c r="W2124">
        <v>1</v>
      </c>
      <c r="X2124" t="s">
        <v>9899</v>
      </c>
      <c r="Y2124" t="s">
        <v>9900</v>
      </c>
      <c r="Z2124" t="s">
        <v>9898</v>
      </c>
      <c r="AD2124">
        <f t="shared" si="67"/>
        <v>7</v>
      </c>
    </row>
    <row r="2125" spans="1:30" x14ac:dyDescent="0.25">
      <c r="A2125" t="s">
        <v>2149</v>
      </c>
      <c r="B2125" s="2">
        <v>44581</v>
      </c>
      <c r="C2125" s="2">
        <v>44582</v>
      </c>
      <c r="D2125" t="s">
        <v>5070</v>
      </c>
      <c r="E2125" t="s">
        <v>5570</v>
      </c>
      <c r="F2125" t="s">
        <v>6028</v>
      </c>
      <c r="G2125" t="s">
        <v>6030</v>
      </c>
      <c r="H2125" t="s">
        <v>6038</v>
      </c>
      <c r="I2125" t="s">
        <v>6047</v>
      </c>
      <c r="J2125" t="s">
        <v>6055</v>
      </c>
      <c r="K2125" t="s">
        <v>6063</v>
      </c>
      <c r="L2125" t="s">
        <v>7602</v>
      </c>
      <c r="M2125">
        <v>761.59</v>
      </c>
      <c r="N2125">
        <v>5</v>
      </c>
      <c r="O2125">
        <v>0.31</v>
      </c>
      <c r="P2125">
        <v>-134.66</v>
      </c>
      <c r="Q2125" t="s">
        <v>9895</v>
      </c>
      <c r="R2125">
        <v>1</v>
      </c>
      <c r="S2125" s="5">
        <f t="shared" si="66"/>
        <v>-0.1768142964062028</v>
      </c>
      <c r="T2125">
        <v>152.31800000000001</v>
      </c>
      <c r="U2125">
        <v>1</v>
      </c>
      <c r="V2125">
        <v>2022</v>
      </c>
      <c r="W2125">
        <v>1</v>
      </c>
      <c r="X2125" t="s">
        <v>9898</v>
      </c>
      <c r="Y2125" t="s">
        <v>9902</v>
      </c>
      <c r="Z2125" t="s">
        <v>9899</v>
      </c>
      <c r="AD2125">
        <f t="shared" si="67"/>
        <v>1</v>
      </c>
    </row>
    <row r="2126" spans="1:30" x14ac:dyDescent="0.25">
      <c r="A2126" t="s">
        <v>2150</v>
      </c>
      <c r="B2126" s="2">
        <v>44770</v>
      </c>
      <c r="C2126" s="2">
        <v>44771</v>
      </c>
      <c r="D2126" t="s">
        <v>5324</v>
      </c>
      <c r="E2126" t="s">
        <v>5824</v>
      </c>
      <c r="F2126" t="s">
        <v>6027</v>
      </c>
      <c r="G2126" t="s">
        <v>6029</v>
      </c>
      <c r="H2126" t="s">
        <v>6036</v>
      </c>
      <c r="I2126" t="s">
        <v>6050</v>
      </c>
      <c r="J2126" t="s">
        <v>6055</v>
      </c>
      <c r="K2126" t="s">
        <v>6063</v>
      </c>
      <c r="L2126" t="s">
        <v>7961</v>
      </c>
      <c r="M2126">
        <v>679.74</v>
      </c>
      <c r="N2126">
        <v>4</v>
      </c>
      <c r="O2126">
        <v>0.03</v>
      </c>
      <c r="P2126">
        <v>89.72</v>
      </c>
      <c r="Q2126" t="s">
        <v>9894</v>
      </c>
      <c r="R2126">
        <v>1</v>
      </c>
      <c r="S2126" s="5">
        <f t="shared" si="66"/>
        <v>0.13199164386383028</v>
      </c>
      <c r="T2126">
        <v>169.935</v>
      </c>
      <c r="U2126">
        <v>7</v>
      </c>
      <c r="V2126">
        <v>2022</v>
      </c>
      <c r="W2126">
        <v>3</v>
      </c>
      <c r="X2126" t="s">
        <v>9899</v>
      </c>
      <c r="Y2126" t="s">
        <v>9901</v>
      </c>
      <c r="Z2126" t="s">
        <v>9899</v>
      </c>
      <c r="AD2126">
        <f t="shared" si="67"/>
        <v>1</v>
      </c>
    </row>
    <row r="2127" spans="1:30" x14ac:dyDescent="0.25">
      <c r="A2127" t="s">
        <v>2151</v>
      </c>
      <c r="B2127" s="2">
        <v>44711</v>
      </c>
      <c r="C2127" s="2">
        <v>44712</v>
      </c>
      <c r="D2127" t="s">
        <v>5443</v>
      </c>
      <c r="E2127" t="s">
        <v>5943</v>
      </c>
      <c r="F2127" t="s">
        <v>6027</v>
      </c>
      <c r="G2127" t="s">
        <v>6031</v>
      </c>
      <c r="H2127" t="s">
        <v>6034</v>
      </c>
      <c r="I2127" t="s">
        <v>6050</v>
      </c>
      <c r="J2127" t="s">
        <v>6053</v>
      </c>
      <c r="K2127" t="s">
        <v>6057</v>
      </c>
      <c r="L2127" t="s">
        <v>7962</v>
      </c>
      <c r="M2127">
        <v>1550.53</v>
      </c>
      <c r="N2127">
        <v>8</v>
      </c>
      <c r="O2127">
        <v>0.05</v>
      </c>
      <c r="P2127">
        <v>371.47</v>
      </c>
      <c r="Q2127" t="s">
        <v>9896</v>
      </c>
      <c r="R2127">
        <v>1</v>
      </c>
      <c r="S2127" s="5">
        <f t="shared" si="66"/>
        <v>0.23957614493108811</v>
      </c>
      <c r="T2127">
        <v>193.81625</v>
      </c>
      <c r="U2127">
        <v>5</v>
      </c>
      <c r="V2127">
        <v>2022</v>
      </c>
      <c r="W2127">
        <v>2</v>
      </c>
      <c r="X2127" t="s">
        <v>9899</v>
      </c>
      <c r="Y2127" t="s">
        <v>9901</v>
      </c>
      <c r="Z2127" t="s">
        <v>9898</v>
      </c>
      <c r="AD2127">
        <f t="shared" si="67"/>
        <v>1</v>
      </c>
    </row>
    <row r="2128" spans="1:30" x14ac:dyDescent="0.25">
      <c r="A2128" t="s">
        <v>2152</v>
      </c>
      <c r="B2128" s="2">
        <v>44564</v>
      </c>
      <c r="C2128" s="2">
        <v>44566</v>
      </c>
      <c r="D2128" t="s">
        <v>5028</v>
      </c>
      <c r="E2128" t="s">
        <v>5528</v>
      </c>
      <c r="F2128" t="s">
        <v>6026</v>
      </c>
      <c r="G2128" t="s">
        <v>6030</v>
      </c>
      <c r="H2128" t="s">
        <v>6033</v>
      </c>
      <c r="I2128" t="s">
        <v>6047</v>
      </c>
      <c r="J2128" t="s">
        <v>6055</v>
      </c>
      <c r="K2128" t="s">
        <v>6063</v>
      </c>
      <c r="L2128" t="s">
        <v>7963</v>
      </c>
      <c r="M2128">
        <v>1290.6099999999999</v>
      </c>
      <c r="N2128">
        <v>6</v>
      </c>
      <c r="O2128">
        <v>0.15</v>
      </c>
      <c r="P2128">
        <v>-54.24</v>
      </c>
      <c r="Q2128" t="s">
        <v>9897</v>
      </c>
      <c r="R2128">
        <v>2</v>
      </c>
      <c r="S2128" s="5">
        <f t="shared" si="66"/>
        <v>-4.2026638566259371E-2</v>
      </c>
      <c r="T2128">
        <v>215.10166666666669</v>
      </c>
      <c r="U2128">
        <v>1</v>
      </c>
      <c r="V2128">
        <v>2022</v>
      </c>
      <c r="W2128">
        <v>1</v>
      </c>
      <c r="X2128" t="s">
        <v>9898</v>
      </c>
      <c r="Y2128" t="s">
        <v>9901</v>
      </c>
      <c r="Z2128" t="s">
        <v>9898</v>
      </c>
      <c r="AD2128">
        <f t="shared" si="67"/>
        <v>2</v>
      </c>
    </row>
    <row r="2129" spans="1:30" x14ac:dyDescent="0.25">
      <c r="A2129" t="s">
        <v>2153</v>
      </c>
      <c r="B2129" s="2">
        <v>44918</v>
      </c>
      <c r="C2129" s="2">
        <v>44924</v>
      </c>
      <c r="D2129" t="s">
        <v>5086</v>
      </c>
      <c r="E2129" t="s">
        <v>5586</v>
      </c>
      <c r="F2129" t="s">
        <v>6027</v>
      </c>
      <c r="G2129" t="s">
        <v>6030</v>
      </c>
      <c r="H2129" t="s">
        <v>6035</v>
      </c>
      <c r="I2129" t="s">
        <v>6047</v>
      </c>
      <c r="J2129" t="s">
        <v>6055</v>
      </c>
      <c r="K2129" t="s">
        <v>6063</v>
      </c>
      <c r="L2129" t="s">
        <v>7964</v>
      </c>
      <c r="M2129">
        <v>461.75</v>
      </c>
      <c r="N2129">
        <v>5</v>
      </c>
      <c r="O2129">
        <v>0.21</v>
      </c>
      <c r="P2129">
        <v>-29.91</v>
      </c>
      <c r="Q2129" t="s">
        <v>9893</v>
      </c>
      <c r="R2129">
        <v>6</v>
      </c>
      <c r="S2129" s="5">
        <f t="shared" si="66"/>
        <v>-6.4775311315646997E-2</v>
      </c>
      <c r="T2129">
        <v>92.35</v>
      </c>
      <c r="U2129">
        <v>12</v>
      </c>
      <c r="V2129">
        <v>2022</v>
      </c>
      <c r="W2129">
        <v>4</v>
      </c>
      <c r="X2129" t="s">
        <v>9898</v>
      </c>
      <c r="Y2129" t="s">
        <v>9900</v>
      </c>
      <c r="Z2129" t="s">
        <v>9899</v>
      </c>
      <c r="AD2129">
        <f t="shared" si="67"/>
        <v>6</v>
      </c>
    </row>
    <row r="2130" spans="1:30" x14ac:dyDescent="0.25">
      <c r="A2130" t="s">
        <v>2154</v>
      </c>
      <c r="B2130" s="2">
        <v>45015</v>
      </c>
      <c r="C2130" s="2">
        <v>45019</v>
      </c>
      <c r="D2130" t="s">
        <v>5434</v>
      </c>
      <c r="E2130" t="s">
        <v>5934</v>
      </c>
      <c r="F2130" t="s">
        <v>6026</v>
      </c>
      <c r="G2130" t="s">
        <v>6029</v>
      </c>
      <c r="H2130" t="s">
        <v>6045</v>
      </c>
      <c r="I2130" t="s">
        <v>6050</v>
      </c>
      <c r="J2130" t="s">
        <v>6054</v>
      </c>
      <c r="K2130" t="s">
        <v>6059</v>
      </c>
      <c r="L2130" t="s">
        <v>7965</v>
      </c>
      <c r="M2130">
        <v>163.44</v>
      </c>
      <c r="N2130">
        <v>8</v>
      </c>
      <c r="O2130">
        <v>0.28999999999999998</v>
      </c>
      <c r="P2130">
        <v>-11.33</v>
      </c>
      <c r="Q2130" t="s">
        <v>9895</v>
      </c>
      <c r="R2130">
        <v>4</v>
      </c>
      <c r="S2130" s="5">
        <f t="shared" si="66"/>
        <v>-6.9322075379344109E-2</v>
      </c>
      <c r="T2130">
        <v>20.43</v>
      </c>
      <c r="U2130">
        <v>3</v>
      </c>
      <c r="V2130">
        <v>2023</v>
      </c>
      <c r="W2130">
        <v>1</v>
      </c>
      <c r="X2130" t="s">
        <v>9898</v>
      </c>
      <c r="Y2130" t="s">
        <v>9900</v>
      </c>
      <c r="Z2130" t="s">
        <v>9899</v>
      </c>
      <c r="AD2130">
        <f t="shared" si="67"/>
        <v>4</v>
      </c>
    </row>
    <row r="2131" spans="1:30" x14ac:dyDescent="0.25">
      <c r="A2131" t="s">
        <v>2155</v>
      </c>
      <c r="B2131" s="2">
        <v>45253</v>
      </c>
      <c r="C2131" s="2">
        <v>45256</v>
      </c>
      <c r="D2131" t="s">
        <v>5173</v>
      </c>
      <c r="E2131" t="s">
        <v>5673</v>
      </c>
      <c r="F2131" t="s">
        <v>6026</v>
      </c>
      <c r="G2131" t="s">
        <v>6030</v>
      </c>
      <c r="H2131" t="s">
        <v>6035</v>
      </c>
      <c r="I2131" t="s">
        <v>6051</v>
      </c>
      <c r="J2131" t="s">
        <v>6055</v>
      </c>
      <c r="K2131" t="s">
        <v>6061</v>
      </c>
      <c r="L2131" t="s">
        <v>7966</v>
      </c>
      <c r="M2131">
        <v>1812.39</v>
      </c>
      <c r="N2131">
        <v>5</v>
      </c>
      <c r="O2131">
        <v>0.15</v>
      </c>
      <c r="P2131">
        <v>192.85</v>
      </c>
      <c r="Q2131" t="s">
        <v>9897</v>
      </c>
      <c r="R2131">
        <v>3</v>
      </c>
      <c r="S2131" s="5">
        <f t="shared" si="66"/>
        <v>0.10640645777123024</v>
      </c>
      <c r="T2131">
        <v>362.47800000000001</v>
      </c>
      <c r="U2131">
        <v>11</v>
      </c>
      <c r="V2131">
        <v>2023</v>
      </c>
      <c r="W2131">
        <v>4</v>
      </c>
      <c r="X2131" t="s">
        <v>9899</v>
      </c>
      <c r="Y2131" t="s">
        <v>9901</v>
      </c>
      <c r="Z2131" t="s">
        <v>9898</v>
      </c>
      <c r="AD2131">
        <f t="shared" si="67"/>
        <v>3</v>
      </c>
    </row>
    <row r="2132" spans="1:30" x14ac:dyDescent="0.25">
      <c r="A2132" t="s">
        <v>2156</v>
      </c>
      <c r="B2132" s="2">
        <v>45011</v>
      </c>
      <c r="C2132" s="2">
        <v>45016</v>
      </c>
      <c r="D2132" t="s">
        <v>5050</v>
      </c>
      <c r="E2132" t="s">
        <v>5550</v>
      </c>
      <c r="F2132" t="s">
        <v>6026</v>
      </c>
      <c r="G2132" t="s">
        <v>6031</v>
      </c>
      <c r="H2132" t="s">
        <v>6043</v>
      </c>
      <c r="I2132" t="s">
        <v>6052</v>
      </c>
      <c r="J2132" t="s">
        <v>6055</v>
      </c>
      <c r="K2132" t="s">
        <v>6063</v>
      </c>
      <c r="L2132" t="s">
        <v>7967</v>
      </c>
      <c r="M2132">
        <v>1942.89</v>
      </c>
      <c r="N2132">
        <v>2</v>
      </c>
      <c r="O2132">
        <v>0.31</v>
      </c>
      <c r="P2132">
        <v>-404.22</v>
      </c>
      <c r="Q2132" t="s">
        <v>9893</v>
      </c>
      <c r="R2132">
        <v>5</v>
      </c>
      <c r="S2132" s="5">
        <f t="shared" si="66"/>
        <v>-0.20805089325695228</v>
      </c>
      <c r="T2132">
        <v>971.44500000000005</v>
      </c>
      <c r="U2132">
        <v>3</v>
      </c>
      <c r="V2132">
        <v>2023</v>
      </c>
      <c r="W2132">
        <v>1</v>
      </c>
      <c r="X2132" t="s">
        <v>9898</v>
      </c>
      <c r="Y2132" t="s">
        <v>9902</v>
      </c>
      <c r="Z2132" t="s">
        <v>9898</v>
      </c>
      <c r="AD2132">
        <f t="shared" si="67"/>
        <v>5</v>
      </c>
    </row>
    <row r="2133" spans="1:30" x14ac:dyDescent="0.25">
      <c r="A2133" t="s">
        <v>2157</v>
      </c>
      <c r="B2133" s="2">
        <v>45359</v>
      </c>
      <c r="C2133" s="2">
        <v>45366</v>
      </c>
      <c r="D2133" t="s">
        <v>5395</v>
      </c>
      <c r="E2133" t="s">
        <v>5895</v>
      </c>
      <c r="F2133" t="s">
        <v>6026</v>
      </c>
      <c r="G2133" t="s">
        <v>6029</v>
      </c>
      <c r="H2133" t="s">
        <v>6036</v>
      </c>
      <c r="I2133" t="s">
        <v>6049</v>
      </c>
      <c r="J2133" t="s">
        <v>6055</v>
      </c>
      <c r="K2133" t="s">
        <v>6064</v>
      </c>
      <c r="L2133" t="s">
        <v>6602</v>
      </c>
      <c r="M2133">
        <v>974.97</v>
      </c>
      <c r="N2133">
        <v>8</v>
      </c>
      <c r="O2133">
        <v>0.26</v>
      </c>
      <c r="P2133">
        <v>-78.53</v>
      </c>
      <c r="Q2133" t="s">
        <v>9896</v>
      </c>
      <c r="R2133">
        <v>7</v>
      </c>
      <c r="S2133" s="5">
        <f t="shared" si="66"/>
        <v>-8.0546068084146175E-2</v>
      </c>
      <c r="T2133">
        <v>121.87125</v>
      </c>
      <c r="U2133">
        <v>3</v>
      </c>
      <c r="V2133">
        <v>2024</v>
      </c>
      <c r="W2133">
        <v>1</v>
      </c>
      <c r="X2133" t="s">
        <v>9898</v>
      </c>
      <c r="Y2133" t="s">
        <v>9900</v>
      </c>
      <c r="Z2133" t="s">
        <v>9899</v>
      </c>
      <c r="AD2133">
        <f t="shared" si="67"/>
        <v>7</v>
      </c>
    </row>
    <row r="2134" spans="1:30" x14ac:dyDescent="0.25">
      <c r="A2134" t="s">
        <v>2158</v>
      </c>
      <c r="B2134" s="2">
        <v>45092</v>
      </c>
      <c r="C2134" s="2">
        <v>45093</v>
      </c>
      <c r="D2134" t="s">
        <v>5366</v>
      </c>
      <c r="E2134" t="s">
        <v>5866</v>
      </c>
      <c r="F2134" t="s">
        <v>6027</v>
      </c>
      <c r="G2134" t="s">
        <v>6029</v>
      </c>
      <c r="H2134" t="s">
        <v>6036</v>
      </c>
      <c r="I2134" t="s">
        <v>6049</v>
      </c>
      <c r="J2134" t="s">
        <v>6054</v>
      </c>
      <c r="K2134" t="s">
        <v>6062</v>
      </c>
      <c r="L2134" t="s">
        <v>7968</v>
      </c>
      <c r="M2134">
        <v>1286.73</v>
      </c>
      <c r="N2134">
        <v>8</v>
      </c>
      <c r="O2134">
        <v>0.25</v>
      </c>
      <c r="P2134">
        <v>22.29</v>
      </c>
      <c r="Q2134" t="s">
        <v>9894</v>
      </c>
      <c r="R2134">
        <v>1</v>
      </c>
      <c r="S2134" s="5">
        <f t="shared" si="66"/>
        <v>1.7322981511272761E-2</v>
      </c>
      <c r="T2134">
        <v>160.84125</v>
      </c>
      <c r="U2134">
        <v>6</v>
      </c>
      <c r="V2134">
        <v>2023</v>
      </c>
      <c r="W2134">
        <v>2</v>
      </c>
      <c r="X2134" t="s">
        <v>9899</v>
      </c>
      <c r="Y2134" t="s">
        <v>9900</v>
      </c>
      <c r="Z2134" t="s">
        <v>9898</v>
      </c>
      <c r="AD2134">
        <f t="shared" si="67"/>
        <v>1</v>
      </c>
    </row>
    <row r="2135" spans="1:30" x14ac:dyDescent="0.25">
      <c r="A2135" t="s">
        <v>2159</v>
      </c>
      <c r="B2135" s="2">
        <v>45091</v>
      </c>
      <c r="C2135" s="2">
        <v>45097</v>
      </c>
      <c r="D2135" t="s">
        <v>5080</v>
      </c>
      <c r="E2135" t="s">
        <v>5580</v>
      </c>
      <c r="F2135" t="s">
        <v>6026</v>
      </c>
      <c r="G2135" t="s">
        <v>6029</v>
      </c>
      <c r="H2135" t="s">
        <v>6036</v>
      </c>
      <c r="I2135" t="s">
        <v>6049</v>
      </c>
      <c r="J2135" t="s">
        <v>6053</v>
      </c>
      <c r="K2135" t="s">
        <v>6056</v>
      </c>
      <c r="L2135" t="s">
        <v>7969</v>
      </c>
      <c r="M2135">
        <v>698.77</v>
      </c>
      <c r="N2135">
        <v>8</v>
      </c>
      <c r="O2135">
        <v>0.01</v>
      </c>
      <c r="P2135">
        <v>167.87</v>
      </c>
      <c r="Q2135" t="s">
        <v>9895</v>
      </c>
      <c r="R2135">
        <v>6</v>
      </c>
      <c r="S2135" s="5">
        <f t="shared" si="66"/>
        <v>0.24023641541565896</v>
      </c>
      <c r="T2135">
        <v>87.346249999999998</v>
      </c>
      <c r="U2135">
        <v>6</v>
      </c>
      <c r="V2135">
        <v>2023</v>
      </c>
      <c r="W2135">
        <v>2</v>
      </c>
      <c r="X2135" t="s">
        <v>9899</v>
      </c>
      <c r="Y2135" t="s">
        <v>9901</v>
      </c>
      <c r="Z2135" t="s">
        <v>9899</v>
      </c>
      <c r="AD2135">
        <f t="shared" si="67"/>
        <v>6</v>
      </c>
    </row>
    <row r="2136" spans="1:30" x14ac:dyDescent="0.25">
      <c r="A2136" t="s">
        <v>2160</v>
      </c>
      <c r="B2136" s="2">
        <v>45350</v>
      </c>
      <c r="C2136" s="2">
        <v>45353</v>
      </c>
      <c r="D2136" t="s">
        <v>5341</v>
      </c>
      <c r="E2136" t="s">
        <v>5841</v>
      </c>
      <c r="F2136" t="s">
        <v>6027</v>
      </c>
      <c r="G2136" t="s">
        <v>6029</v>
      </c>
      <c r="H2136" t="s">
        <v>6041</v>
      </c>
      <c r="I2136" t="s">
        <v>6050</v>
      </c>
      <c r="J2136" t="s">
        <v>6055</v>
      </c>
      <c r="K2136" t="s">
        <v>6064</v>
      </c>
      <c r="L2136" t="s">
        <v>7970</v>
      </c>
      <c r="M2136">
        <v>1758.7</v>
      </c>
      <c r="N2136">
        <v>3</v>
      </c>
      <c r="O2136">
        <v>0.27</v>
      </c>
      <c r="P2136">
        <v>-249.53</v>
      </c>
      <c r="Q2136" t="s">
        <v>9893</v>
      </c>
      <c r="R2136">
        <v>3</v>
      </c>
      <c r="S2136" s="5">
        <f t="shared" si="66"/>
        <v>-0.14188320918860522</v>
      </c>
      <c r="T2136">
        <v>586.23333333333335</v>
      </c>
      <c r="U2136">
        <v>2</v>
      </c>
      <c r="V2136">
        <v>2024</v>
      </c>
      <c r="W2136">
        <v>1</v>
      </c>
      <c r="X2136" t="s">
        <v>9898</v>
      </c>
      <c r="Y2136" t="s">
        <v>9900</v>
      </c>
      <c r="Z2136" t="s">
        <v>9898</v>
      </c>
      <c r="AD2136">
        <f t="shared" si="67"/>
        <v>3</v>
      </c>
    </row>
    <row r="2137" spans="1:30" x14ac:dyDescent="0.25">
      <c r="A2137" t="s">
        <v>2161</v>
      </c>
      <c r="B2137" s="2">
        <v>45200</v>
      </c>
      <c r="C2137" s="2">
        <v>45203</v>
      </c>
      <c r="D2137" t="s">
        <v>5326</v>
      </c>
      <c r="E2137" t="s">
        <v>5826</v>
      </c>
      <c r="F2137" t="s">
        <v>6026</v>
      </c>
      <c r="G2137" t="s">
        <v>6029</v>
      </c>
      <c r="H2137" t="s">
        <v>6032</v>
      </c>
      <c r="I2137" t="s">
        <v>6049</v>
      </c>
      <c r="J2137" t="s">
        <v>6054</v>
      </c>
      <c r="K2137" t="s">
        <v>6060</v>
      </c>
      <c r="L2137" t="s">
        <v>7971</v>
      </c>
      <c r="M2137">
        <v>439.68</v>
      </c>
      <c r="N2137">
        <v>4</v>
      </c>
      <c r="O2137">
        <v>7.0000000000000007E-2</v>
      </c>
      <c r="P2137">
        <v>54.63</v>
      </c>
      <c r="Q2137" t="s">
        <v>9897</v>
      </c>
      <c r="R2137">
        <v>3</v>
      </c>
      <c r="S2137" s="5">
        <f t="shared" si="66"/>
        <v>0.12424945414847162</v>
      </c>
      <c r="T2137">
        <v>109.92</v>
      </c>
      <c r="U2137">
        <v>10</v>
      </c>
      <c r="V2137">
        <v>2023</v>
      </c>
      <c r="W2137">
        <v>4</v>
      </c>
      <c r="X2137" t="s">
        <v>9899</v>
      </c>
      <c r="Y2137" t="s">
        <v>9901</v>
      </c>
      <c r="Z2137" t="s">
        <v>9899</v>
      </c>
      <c r="AD2137">
        <f t="shared" si="67"/>
        <v>3</v>
      </c>
    </row>
    <row r="2138" spans="1:30" x14ac:dyDescent="0.25">
      <c r="A2138" t="s">
        <v>2162</v>
      </c>
      <c r="B2138" s="2">
        <v>44872</v>
      </c>
      <c r="C2138" s="2">
        <v>44873</v>
      </c>
      <c r="D2138" t="s">
        <v>5201</v>
      </c>
      <c r="E2138" t="s">
        <v>5701</v>
      </c>
      <c r="F2138" t="s">
        <v>6027</v>
      </c>
      <c r="G2138" t="s">
        <v>6030</v>
      </c>
      <c r="H2138" t="s">
        <v>6035</v>
      </c>
      <c r="I2138" t="s">
        <v>6051</v>
      </c>
      <c r="J2138" t="s">
        <v>6054</v>
      </c>
      <c r="K2138" t="s">
        <v>6060</v>
      </c>
      <c r="L2138" t="s">
        <v>7972</v>
      </c>
      <c r="M2138">
        <v>1985</v>
      </c>
      <c r="N2138">
        <v>8</v>
      </c>
      <c r="O2138">
        <v>0.03</v>
      </c>
      <c r="P2138">
        <v>410.27</v>
      </c>
      <c r="Q2138" t="s">
        <v>9897</v>
      </c>
      <c r="R2138">
        <v>1</v>
      </c>
      <c r="S2138" s="5">
        <f t="shared" si="66"/>
        <v>0.2066851385390428</v>
      </c>
      <c r="T2138">
        <v>248.125</v>
      </c>
      <c r="U2138">
        <v>11</v>
      </c>
      <c r="V2138">
        <v>2022</v>
      </c>
      <c r="W2138">
        <v>4</v>
      </c>
      <c r="X2138" t="s">
        <v>9899</v>
      </c>
      <c r="Y2138" t="s">
        <v>9901</v>
      </c>
      <c r="Z2138" t="s">
        <v>9898</v>
      </c>
      <c r="AD2138">
        <f t="shared" si="67"/>
        <v>1</v>
      </c>
    </row>
    <row r="2139" spans="1:30" x14ac:dyDescent="0.25">
      <c r="A2139" t="s">
        <v>2163</v>
      </c>
      <c r="B2139" s="2">
        <v>45289</v>
      </c>
      <c r="C2139" s="2">
        <v>45294</v>
      </c>
      <c r="D2139" t="s">
        <v>5129</v>
      </c>
      <c r="E2139" t="s">
        <v>5629</v>
      </c>
      <c r="F2139" t="s">
        <v>6027</v>
      </c>
      <c r="G2139" t="s">
        <v>6029</v>
      </c>
      <c r="H2139" t="s">
        <v>6041</v>
      </c>
      <c r="I2139" t="s">
        <v>6050</v>
      </c>
      <c r="J2139" t="s">
        <v>6055</v>
      </c>
      <c r="K2139" t="s">
        <v>6061</v>
      </c>
      <c r="L2139" t="s">
        <v>7973</v>
      </c>
      <c r="M2139">
        <v>571.16999999999996</v>
      </c>
      <c r="N2139">
        <v>2</v>
      </c>
      <c r="O2139">
        <v>0.16</v>
      </c>
      <c r="P2139">
        <v>21.4</v>
      </c>
      <c r="Q2139" t="s">
        <v>9896</v>
      </c>
      <c r="R2139">
        <v>5</v>
      </c>
      <c r="S2139" s="5">
        <f t="shared" si="66"/>
        <v>3.7466953796592956E-2</v>
      </c>
      <c r="T2139">
        <v>285.58499999999998</v>
      </c>
      <c r="U2139">
        <v>12</v>
      </c>
      <c r="V2139">
        <v>2023</v>
      </c>
      <c r="W2139">
        <v>4</v>
      </c>
      <c r="X2139" t="s">
        <v>9899</v>
      </c>
      <c r="Y2139" t="s">
        <v>9900</v>
      </c>
      <c r="Z2139" t="s">
        <v>9899</v>
      </c>
      <c r="AD2139">
        <f t="shared" si="67"/>
        <v>5</v>
      </c>
    </row>
    <row r="2140" spans="1:30" x14ac:dyDescent="0.25">
      <c r="A2140" t="s">
        <v>2164</v>
      </c>
      <c r="B2140" s="2">
        <v>45296</v>
      </c>
      <c r="C2140" s="2">
        <v>45303</v>
      </c>
      <c r="D2140" t="s">
        <v>5237</v>
      </c>
      <c r="E2140" t="s">
        <v>5737</v>
      </c>
      <c r="F2140" t="s">
        <v>6027</v>
      </c>
      <c r="G2140" t="s">
        <v>6029</v>
      </c>
      <c r="H2140" t="s">
        <v>6032</v>
      </c>
      <c r="I2140" t="s">
        <v>6046</v>
      </c>
      <c r="J2140" t="s">
        <v>6055</v>
      </c>
      <c r="K2140" t="s">
        <v>6063</v>
      </c>
      <c r="L2140" t="s">
        <v>7629</v>
      </c>
      <c r="M2140">
        <v>772.5</v>
      </c>
      <c r="N2140">
        <v>8</v>
      </c>
      <c r="O2140">
        <v>0.16</v>
      </c>
      <c r="P2140">
        <v>69.41</v>
      </c>
      <c r="Q2140" t="s">
        <v>9896</v>
      </c>
      <c r="R2140">
        <v>7</v>
      </c>
      <c r="S2140" s="5">
        <f t="shared" si="66"/>
        <v>8.9851132686084134E-2</v>
      </c>
      <c r="T2140">
        <v>96.5625</v>
      </c>
      <c r="U2140">
        <v>1</v>
      </c>
      <c r="V2140">
        <v>2024</v>
      </c>
      <c r="W2140">
        <v>1</v>
      </c>
      <c r="X2140" t="s">
        <v>9899</v>
      </c>
      <c r="Y2140" t="s">
        <v>9900</v>
      </c>
      <c r="Z2140" t="s">
        <v>9899</v>
      </c>
      <c r="AD2140">
        <f t="shared" si="67"/>
        <v>7</v>
      </c>
    </row>
    <row r="2141" spans="1:30" x14ac:dyDescent="0.25">
      <c r="A2141" t="s">
        <v>2165</v>
      </c>
      <c r="B2141" s="2">
        <v>45335</v>
      </c>
      <c r="C2141" s="2">
        <v>45340</v>
      </c>
      <c r="D2141" t="s">
        <v>5062</v>
      </c>
      <c r="E2141" t="s">
        <v>5562</v>
      </c>
      <c r="F2141" t="s">
        <v>6028</v>
      </c>
      <c r="G2141" t="s">
        <v>6030</v>
      </c>
      <c r="H2141" t="s">
        <v>6035</v>
      </c>
      <c r="I2141" t="s">
        <v>6047</v>
      </c>
      <c r="J2141" t="s">
        <v>6053</v>
      </c>
      <c r="K2141" t="s">
        <v>6058</v>
      </c>
      <c r="L2141" t="s">
        <v>7974</v>
      </c>
      <c r="M2141">
        <v>1520.22</v>
      </c>
      <c r="N2141">
        <v>8</v>
      </c>
      <c r="O2141">
        <v>0.01</v>
      </c>
      <c r="P2141">
        <v>197.99</v>
      </c>
      <c r="Q2141" t="s">
        <v>9895</v>
      </c>
      <c r="R2141">
        <v>5</v>
      </c>
      <c r="S2141" s="5">
        <f t="shared" si="66"/>
        <v>0.13023772874978623</v>
      </c>
      <c r="T2141">
        <v>190.0275</v>
      </c>
      <c r="U2141">
        <v>2</v>
      </c>
      <c r="V2141">
        <v>2024</v>
      </c>
      <c r="W2141">
        <v>1</v>
      </c>
      <c r="X2141" t="s">
        <v>9899</v>
      </c>
      <c r="Y2141" t="s">
        <v>9901</v>
      </c>
      <c r="Z2141" t="s">
        <v>9898</v>
      </c>
      <c r="AD2141">
        <f t="shared" si="67"/>
        <v>5</v>
      </c>
    </row>
    <row r="2142" spans="1:30" x14ac:dyDescent="0.25">
      <c r="A2142" t="s">
        <v>2166</v>
      </c>
      <c r="B2142" s="2">
        <v>44968</v>
      </c>
      <c r="C2142" s="2">
        <v>44973</v>
      </c>
      <c r="D2142" t="s">
        <v>5347</v>
      </c>
      <c r="E2142" t="s">
        <v>5847</v>
      </c>
      <c r="F2142" t="s">
        <v>6028</v>
      </c>
      <c r="G2142" t="s">
        <v>6031</v>
      </c>
      <c r="H2142" t="s">
        <v>6034</v>
      </c>
      <c r="I2142" t="s">
        <v>6052</v>
      </c>
      <c r="J2142" t="s">
        <v>6054</v>
      </c>
      <c r="K2142" t="s">
        <v>6062</v>
      </c>
      <c r="L2142" t="s">
        <v>7975</v>
      </c>
      <c r="M2142">
        <v>1914.63</v>
      </c>
      <c r="N2142">
        <v>1</v>
      </c>
      <c r="O2142">
        <v>0.04</v>
      </c>
      <c r="P2142">
        <v>472.16</v>
      </c>
      <c r="Q2142" t="s">
        <v>9897</v>
      </c>
      <c r="R2142">
        <v>5</v>
      </c>
      <c r="S2142" s="5">
        <f t="shared" si="66"/>
        <v>0.24660639392467473</v>
      </c>
      <c r="T2142">
        <v>1914.63</v>
      </c>
      <c r="U2142">
        <v>2</v>
      </c>
      <c r="V2142">
        <v>2023</v>
      </c>
      <c r="W2142">
        <v>1</v>
      </c>
      <c r="X2142" t="s">
        <v>9899</v>
      </c>
      <c r="Y2142" t="s">
        <v>9901</v>
      </c>
      <c r="Z2142" t="s">
        <v>9898</v>
      </c>
      <c r="AD2142">
        <f t="shared" si="67"/>
        <v>5</v>
      </c>
    </row>
    <row r="2143" spans="1:30" x14ac:dyDescent="0.25">
      <c r="A2143" t="s">
        <v>2167</v>
      </c>
      <c r="B2143" s="2">
        <v>44587</v>
      </c>
      <c r="C2143" s="2">
        <v>44593</v>
      </c>
      <c r="D2143" t="s">
        <v>5102</v>
      </c>
      <c r="E2143" t="s">
        <v>5602</v>
      </c>
      <c r="F2143" t="s">
        <v>6028</v>
      </c>
      <c r="G2143" t="s">
        <v>6031</v>
      </c>
      <c r="H2143" t="s">
        <v>6037</v>
      </c>
      <c r="I2143" t="s">
        <v>6052</v>
      </c>
      <c r="J2143" t="s">
        <v>6054</v>
      </c>
      <c r="K2143" t="s">
        <v>6062</v>
      </c>
      <c r="L2143" t="s">
        <v>7976</v>
      </c>
      <c r="M2143">
        <v>1883.6</v>
      </c>
      <c r="N2143">
        <v>6</v>
      </c>
      <c r="O2143">
        <v>0.16</v>
      </c>
      <c r="P2143">
        <v>50.8</v>
      </c>
      <c r="Q2143" t="s">
        <v>9895</v>
      </c>
      <c r="R2143">
        <v>6</v>
      </c>
      <c r="S2143" s="5">
        <f t="shared" si="66"/>
        <v>2.6969632618390315E-2</v>
      </c>
      <c r="T2143">
        <v>313.93333333333328</v>
      </c>
      <c r="U2143">
        <v>1</v>
      </c>
      <c r="V2143">
        <v>2022</v>
      </c>
      <c r="W2143">
        <v>1</v>
      </c>
      <c r="X2143" t="s">
        <v>9899</v>
      </c>
      <c r="Y2143" t="s">
        <v>9900</v>
      </c>
      <c r="Z2143" t="s">
        <v>9898</v>
      </c>
      <c r="AD2143">
        <f t="shared" si="67"/>
        <v>6</v>
      </c>
    </row>
    <row r="2144" spans="1:30" x14ac:dyDescent="0.25">
      <c r="A2144" t="s">
        <v>2168</v>
      </c>
      <c r="B2144" s="2">
        <v>45439</v>
      </c>
      <c r="C2144" s="2">
        <v>45442</v>
      </c>
      <c r="D2144" t="s">
        <v>5120</v>
      </c>
      <c r="E2144" t="s">
        <v>5620</v>
      </c>
      <c r="F2144" t="s">
        <v>6027</v>
      </c>
      <c r="G2144" t="s">
        <v>6029</v>
      </c>
      <c r="H2144" t="s">
        <v>6045</v>
      </c>
      <c r="I2144" t="s">
        <v>6046</v>
      </c>
      <c r="J2144" t="s">
        <v>6054</v>
      </c>
      <c r="K2144" t="s">
        <v>6060</v>
      </c>
      <c r="L2144" t="s">
        <v>7977</v>
      </c>
      <c r="M2144">
        <v>1207.23</v>
      </c>
      <c r="N2144">
        <v>6</v>
      </c>
      <c r="O2144">
        <v>7.0000000000000007E-2</v>
      </c>
      <c r="P2144">
        <v>215.66</v>
      </c>
      <c r="Q2144" t="s">
        <v>9895</v>
      </c>
      <c r="R2144">
        <v>3</v>
      </c>
      <c r="S2144" s="5">
        <f t="shared" si="66"/>
        <v>0.17864035850666402</v>
      </c>
      <c r="T2144">
        <v>201.20500000000001</v>
      </c>
      <c r="U2144">
        <v>5</v>
      </c>
      <c r="V2144">
        <v>2024</v>
      </c>
      <c r="W2144">
        <v>2</v>
      </c>
      <c r="X2144" t="s">
        <v>9899</v>
      </c>
      <c r="Y2144" t="s">
        <v>9901</v>
      </c>
      <c r="Z2144" t="s">
        <v>9898</v>
      </c>
      <c r="AD2144">
        <f t="shared" si="67"/>
        <v>3</v>
      </c>
    </row>
    <row r="2145" spans="1:30" x14ac:dyDescent="0.25">
      <c r="A2145" t="s">
        <v>2169</v>
      </c>
      <c r="B2145" s="2">
        <v>44640</v>
      </c>
      <c r="C2145" s="2">
        <v>44642</v>
      </c>
      <c r="D2145" t="s">
        <v>5366</v>
      </c>
      <c r="E2145" t="s">
        <v>5866</v>
      </c>
      <c r="F2145" t="s">
        <v>6026</v>
      </c>
      <c r="G2145" t="s">
        <v>6030</v>
      </c>
      <c r="H2145" t="s">
        <v>6035</v>
      </c>
      <c r="I2145" t="s">
        <v>6051</v>
      </c>
      <c r="J2145" t="s">
        <v>6054</v>
      </c>
      <c r="K2145" t="s">
        <v>6059</v>
      </c>
      <c r="L2145" t="s">
        <v>7978</v>
      </c>
      <c r="M2145">
        <v>705.65</v>
      </c>
      <c r="N2145">
        <v>1</v>
      </c>
      <c r="O2145">
        <v>0.22</v>
      </c>
      <c r="P2145">
        <v>-51.66</v>
      </c>
      <c r="Q2145" t="s">
        <v>9895</v>
      </c>
      <c r="R2145">
        <v>2</v>
      </c>
      <c r="S2145" s="5">
        <f t="shared" si="66"/>
        <v>-7.3209097994756611E-2</v>
      </c>
      <c r="T2145">
        <v>705.65</v>
      </c>
      <c r="U2145">
        <v>3</v>
      </c>
      <c r="V2145">
        <v>2022</v>
      </c>
      <c r="W2145">
        <v>1</v>
      </c>
      <c r="X2145" t="s">
        <v>9898</v>
      </c>
      <c r="Y2145" t="s">
        <v>9900</v>
      </c>
      <c r="Z2145" t="s">
        <v>9899</v>
      </c>
      <c r="AD2145">
        <f t="shared" si="67"/>
        <v>2</v>
      </c>
    </row>
    <row r="2146" spans="1:30" x14ac:dyDescent="0.25">
      <c r="A2146" t="s">
        <v>2170</v>
      </c>
      <c r="B2146" s="2">
        <v>45056</v>
      </c>
      <c r="C2146" s="2">
        <v>45060</v>
      </c>
      <c r="D2146" t="s">
        <v>5187</v>
      </c>
      <c r="E2146" t="s">
        <v>5687</v>
      </c>
      <c r="F2146" t="s">
        <v>6027</v>
      </c>
      <c r="G2146" t="s">
        <v>6029</v>
      </c>
      <c r="H2146" t="s">
        <v>6032</v>
      </c>
      <c r="I2146" t="s">
        <v>6046</v>
      </c>
      <c r="J2146" t="s">
        <v>6053</v>
      </c>
      <c r="K2146" t="s">
        <v>6057</v>
      </c>
      <c r="L2146" t="s">
        <v>6990</v>
      </c>
      <c r="M2146">
        <v>179.14</v>
      </c>
      <c r="N2146">
        <v>8</v>
      </c>
      <c r="O2146">
        <v>7.0000000000000007E-2</v>
      </c>
      <c r="P2146">
        <v>18.940000000000001</v>
      </c>
      <c r="Q2146" t="s">
        <v>9895</v>
      </c>
      <c r="R2146">
        <v>4</v>
      </c>
      <c r="S2146" s="5">
        <f t="shared" si="66"/>
        <v>0.10572736407279225</v>
      </c>
      <c r="T2146">
        <v>22.392499999999998</v>
      </c>
      <c r="U2146">
        <v>5</v>
      </c>
      <c r="V2146">
        <v>2023</v>
      </c>
      <c r="W2146">
        <v>2</v>
      </c>
      <c r="X2146" t="s">
        <v>9899</v>
      </c>
      <c r="Y2146" t="s">
        <v>9901</v>
      </c>
      <c r="Z2146" t="s">
        <v>9899</v>
      </c>
      <c r="AD2146">
        <f t="shared" si="67"/>
        <v>4</v>
      </c>
    </row>
    <row r="2147" spans="1:30" x14ac:dyDescent="0.25">
      <c r="A2147" t="s">
        <v>2171</v>
      </c>
      <c r="B2147" s="2">
        <v>44817</v>
      </c>
      <c r="C2147" s="2">
        <v>44820</v>
      </c>
      <c r="D2147" t="s">
        <v>5103</v>
      </c>
      <c r="E2147" t="s">
        <v>5603</v>
      </c>
      <c r="F2147" t="s">
        <v>6026</v>
      </c>
      <c r="G2147" t="s">
        <v>6031</v>
      </c>
      <c r="H2147" t="s">
        <v>6040</v>
      </c>
      <c r="I2147" t="s">
        <v>6052</v>
      </c>
      <c r="J2147" t="s">
        <v>6053</v>
      </c>
      <c r="K2147" t="s">
        <v>6056</v>
      </c>
      <c r="L2147" t="s">
        <v>7979</v>
      </c>
      <c r="M2147">
        <v>513.76</v>
      </c>
      <c r="N2147">
        <v>1</v>
      </c>
      <c r="O2147">
        <v>0.01</v>
      </c>
      <c r="P2147">
        <v>80.83</v>
      </c>
      <c r="Q2147" t="s">
        <v>9897</v>
      </c>
      <c r="R2147">
        <v>3</v>
      </c>
      <c r="S2147" s="5">
        <f t="shared" si="66"/>
        <v>0.15733027094363128</v>
      </c>
      <c r="T2147">
        <v>513.76</v>
      </c>
      <c r="U2147">
        <v>9</v>
      </c>
      <c r="V2147">
        <v>2022</v>
      </c>
      <c r="W2147">
        <v>3</v>
      </c>
      <c r="X2147" t="s">
        <v>9899</v>
      </c>
      <c r="Y2147" t="s">
        <v>9901</v>
      </c>
      <c r="Z2147" t="s">
        <v>9899</v>
      </c>
      <c r="AD2147">
        <f t="shared" si="67"/>
        <v>3</v>
      </c>
    </row>
    <row r="2148" spans="1:30" x14ac:dyDescent="0.25">
      <c r="A2148" t="s">
        <v>2172</v>
      </c>
      <c r="B2148" s="2">
        <v>45222</v>
      </c>
      <c r="C2148" s="2">
        <v>45223</v>
      </c>
      <c r="D2148" t="s">
        <v>5334</v>
      </c>
      <c r="E2148" t="s">
        <v>5834</v>
      </c>
      <c r="F2148" t="s">
        <v>6028</v>
      </c>
      <c r="G2148" t="s">
        <v>6030</v>
      </c>
      <c r="H2148" t="s">
        <v>6039</v>
      </c>
      <c r="I2148" t="s">
        <v>6047</v>
      </c>
      <c r="J2148" t="s">
        <v>6055</v>
      </c>
      <c r="K2148" t="s">
        <v>6061</v>
      </c>
      <c r="L2148" t="s">
        <v>7665</v>
      </c>
      <c r="M2148">
        <v>1510</v>
      </c>
      <c r="N2148">
        <v>7</v>
      </c>
      <c r="O2148">
        <v>0.06</v>
      </c>
      <c r="P2148">
        <v>319.08999999999997</v>
      </c>
      <c r="Q2148" t="s">
        <v>9897</v>
      </c>
      <c r="R2148">
        <v>1</v>
      </c>
      <c r="S2148" s="5">
        <f t="shared" si="66"/>
        <v>0.21131788079470196</v>
      </c>
      <c r="T2148">
        <v>215.71428571428569</v>
      </c>
      <c r="U2148">
        <v>10</v>
      </c>
      <c r="V2148">
        <v>2023</v>
      </c>
      <c r="W2148">
        <v>4</v>
      </c>
      <c r="X2148" t="s">
        <v>9899</v>
      </c>
      <c r="Y2148" t="s">
        <v>9901</v>
      </c>
      <c r="Z2148" t="s">
        <v>9898</v>
      </c>
      <c r="AD2148">
        <f t="shared" si="67"/>
        <v>1</v>
      </c>
    </row>
    <row r="2149" spans="1:30" x14ac:dyDescent="0.25">
      <c r="A2149" t="s">
        <v>2173</v>
      </c>
      <c r="B2149" s="2">
        <v>44817</v>
      </c>
      <c r="C2149" s="2">
        <v>44820</v>
      </c>
      <c r="D2149" t="s">
        <v>5294</v>
      </c>
      <c r="E2149" t="s">
        <v>5794</v>
      </c>
      <c r="F2149" t="s">
        <v>6026</v>
      </c>
      <c r="G2149" t="s">
        <v>6030</v>
      </c>
      <c r="H2149" t="s">
        <v>6033</v>
      </c>
      <c r="I2149" t="s">
        <v>6047</v>
      </c>
      <c r="J2149" t="s">
        <v>6055</v>
      </c>
      <c r="K2149" t="s">
        <v>6061</v>
      </c>
      <c r="L2149" t="s">
        <v>7980</v>
      </c>
      <c r="M2149">
        <v>678.05</v>
      </c>
      <c r="N2149">
        <v>8</v>
      </c>
      <c r="O2149">
        <v>0.28999999999999998</v>
      </c>
      <c r="P2149">
        <v>6.04</v>
      </c>
      <c r="Q2149" t="s">
        <v>9897</v>
      </c>
      <c r="R2149">
        <v>3</v>
      </c>
      <c r="S2149" s="5">
        <f t="shared" si="66"/>
        <v>8.9078976476661027E-3</v>
      </c>
      <c r="T2149">
        <v>84.756249999999994</v>
      </c>
      <c r="U2149">
        <v>9</v>
      </c>
      <c r="V2149">
        <v>2022</v>
      </c>
      <c r="W2149">
        <v>3</v>
      </c>
      <c r="X2149" t="s">
        <v>9899</v>
      </c>
      <c r="Y2149" t="s">
        <v>9900</v>
      </c>
      <c r="Z2149" t="s">
        <v>9899</v>
      </c>
      <c r="AD2149">
        <f t="shared" si="67"/>
        <v>3</v>
      </c>
    </row>
    <row r="2150" spans="1:30" x14ac:dyDescent="0.25">
      <c r="A2150" t="s">
        <v>2174</v>
      </c>
      <c r="B2150" s="2">
        <v>44627</v>
      </c>
      <c r="C2150" s="2">
        <v>44632</v>
      </c>
      <c r="D2150" t="s">
        <v>5144</v>
      </c>
      <c r="E2150" t="s">
        <v>5644</v>
      </c>
      <c r="F2150" t="s">
        <v>6028</v>
      </c>
      <c r="G2150" t="s">
        <v>6031</v>
      </c>
      <c r="H2150" t="s">
        <v>6042</v>
      </c>
      <c r="I2150" t="s">
        <v>6050</v>
      </c>
      <c r="J2150" t="s">
        <v>6055</v>
      </c>
      <c r="K2150" t="s">
        <v>6064</v>
      </c>
      <c r="L2150" t="s">
        <v>7981</v>
      </c>
      <c r="M2150">
        <v>263.25</v>
      </c>
      <c r="N2150">
        <v>3</v>
      </c>
      <c r="O2150">
        <v>0.23</v>
      </c>
      <c r="P2150">
        <v>-30.88</v>
      </c>
      <c r="Q2150" t="s">
        <v>9895</v>
      </c>
      <c r="R2150">
        <v>5</v>
      </c>
      <c r="S2150" s="5">
        <f t="shared" si="66"/>
        <v>-0.11730294396961063</v>
      </c>
      <c r="T2150">
        <v>87.75</v>
      </c>
      <c r="U2150">
        <v>3</v>
      </c>
      <c r="V2150">
        <v>2022</v>
      </c>
      <c r="W2150">
        <v>1</v>
      </c>
      <c r="X2150" t="s">
        <v>9898</v>
      </c>
      <c r="Y2150" t="s">
        <v>9900</v>
      </c>
      <c r="Z2150" t="s">
        <v>9899</v>
      </c>
      <c r="AD2150">
        <f t="shared" si="67"/>
        <v>5</v>
      </c>
    </row>
    <row r="2151" spans="1:30" x14ac:dyDescent="0.25">
      <c r="A2151" t="s">
        <v>2175</v>
      </c>
      <c r="B2151" s="2">
        <v>44693</v>
      </c>
      <c r="C2151" s="2">
        <v>44697</v>
      </c>
      <c r="D2151" t="s">
        <v>5494</v>
      </c>
      <c r="E2151" t="s">
        <v>5994</v>
      </c>
      <c r="F2151" t="s">
        <v>6026</v>
      </c>
      <c r="G2151" t="s">
        <v>6031</v>
      </c>
      <c r="H2151" t="s">
        <v>6037</v>
      </c>
      <c r="I2151" t="s">
        <v>6050</v>
      </c>
      <c r="J2151" t="s">
        <v>6055</v>
      </c>
      <c r="K2151" t="s">
        <v>6064</v>
      </c>
      <c r="L2151" t="s">
        <v>7982</v>
      </c>
      <c r="M2151">
        <v>950.09</v>
      </c>
      <c r="N2151">
        <v>7</v>
      </c>
      <c r="O2151">
        <v>0</v>
      </c>
      <c r="P2151">
        <v>182.23</v>
      </c>
      <c r="Q2151" t="s">
        <v>9893</v>
      </c>
      <c r="R2151">
        <v>4</v>
      </c>
      <c r="S2151" s="5">
        <f t="shared" si="66"/>
        <v>0.19180288183224745</v>
      </c>
      <c r="T2151">
        <v>135.72714285714289</v>
      </c>
      <c r="U2151">
        <v>5</v>
      </c>
      <c r="V2151">
        <v>2022</v>
      </c>
      <c r="W2151">
        <v>2</v>
      </c>
      <c r="X2151" t="s">
        <v>9899</v>
      </c>
      <c r="Y2151" t="s">
        <v>9901</v>
      </c>
      <c r="Z2151" t="s">
        <v>9899</v>
      </c>
      <c r="AD2151">
        <f t="shared" si="67"/>
        <v>4</v>
      </c>
    </row>
    <row r="2152" spans="1:30" x14ac:dyDescent="0.25">
      <c r="A2152" t="s">
        <v>2176</v>
      </c>
      <c r="B2152" s="2">
        <v>45064</v>
      </c>
      <c r="C2152" s="2">
        <v>45071</v>
      </c>
      <c r="D2152" t="s">
        <v>5134</v>
      </c>
      <c r="E2152" t="s">
        <v>5634</v>
      </c>
      <c r="F2152" t="s">
        <v>6027</v>
      </c>
      <c r="G2152" t="s">
        <v>6029</v>
      </c>
      <c r="H2152" t="s">
        <v>6044</v>
      </c>
      <c r="I2152" t="s">
        <v>6049</v>
      </c>
      <c r="J2152" t="s">
        <v>6055</v>
      </c>
      <c r="K2152" t="s">
        <v>6063</v>
      </c>
      <c r="L2152" t="s">
        <v>7983</v>
      </c>
      <c r="M2152">
        <v>1580.99</v>
      </c>
      <c r="N2152">
        <v>6</v>
      </c>
      <c r="O2152">
        <v>0.23</v>
      </c>
      <c r="P2152">
        <v>-185.96</v>
      </c>
      <c r="Q2152" t="s">
        <v>9894</v>
      </c>
      <c r="R2152">
        <v>7</v>
      </c>
      <c r="S2152" s="5">
        <f t="shared" si="66"/>
        <v>-0.11762250235611864</v>
      </c>
      <c r="T2152">
        <v>263.49833333333328</v>
      </c>
      <c r="U2152">
        <v>5</v>
      </c>
      <c r="V2152">
        <v>2023</v>
      </c>
      <c r="W2152">
        <v>2</v>
      </c>
      <c r="X2152" t="s">
        <v>9898</v>
      </c>
      <c r="Y2152" t="s">
        <v>9900</v>
      </c>
      <c r="Z2152" t="s">
        <v>9898</v>
      </c>
      <c r="AD2152">
        <f t="shared" si="67"/>
        <v>7</v>
      </c>
    </row>
    <row r="2153" spans="1:30" x14ac:dyDescent="0.25">
      <c r="A2153" t="s">
        <v>2177</v>
      </c>
      <c r="B2153" s="2">
        <v>45294</v>
      </c>
      <c r="C2153" s="2">
        <v>45297</v>
      </c>
      <c r="D2153" t="s">
        <v>5188</v>
      </c>
      <c r="E2153" t="s">
        <v>5688</v>
      </c>
      <c r="F2153" t="s">
        <v>6027</v>
      </c>
      <c r="G2153" t="s">
        <v>6029</v>
      </c>
      <c r="H2153" t="s">
        <v>6036</v>
      </c>
      <c r="I2153" t="s">
        <v>6050</v>
      </c>
      <c r="J2153" t="s">
        <v>6054</v>
      </c>
      <c r="K2153" t="s">
        <v>6060</v>
      </c>
      <c r="L2153" t="s">
        <v>7984</v>
      </c>
      <c r="M2153">
        <v>470.1</v>
      </c>
      <c r="N2153">
        <v>4</v>
      </c>
      <c r="O2153">
        <v>0.2</v>
      </c>
      <c r="P2153">
        <v>-33.78</v>
      </c>
      <c r="Q2153" t="s">
        <v>9897</v>
      </c>
      <c r="R2153">
        <v>3</v>
      </c>
      <c r="S2153" s="5">
        <f t="shared" si="66"/>
        <v>-7.1857051691129548E-2</v>
      </c>
      <c r="T2153">
        <v>117.52500000000001</v>
      </c>
      <c r="U2153">
        <v>1</v>
      </c>
      <c r="V2153">
        <v>2024</v>
      </c>
      <c r="W2153">
        <v>1</v>
      </c>
      <c r="X2153" t="s">
        <v>9898</v>
      </c>
      <c r="Y2153" t="s">
        <v>9900</v>
      </c>
      <c r="Z2153" t="s">
        <v>9899</v>
      </c>
      <c r="AD2153">
        <f t="shared" si="67"/>
        <v>3</v>
      </c>
    </row>
    <row r="2154" spans="1:30" x14ac:dyDescent="0.25">
      <c r="A2154" t="s">
        <v>2178</v>
      </c>
      <c r="B2154" s="2">
        <v>44883</v>
      </c>
      <c r="C2154" s="2">
        <v>44889</v>
      </c>
      <c r="D2154" t="s">
        <v>5165</v>
      </c>
      <c r="E2154" t="s">
        <v>5665</v>
      </c>
      <c r="F2154" t="s">
        <v>6028</v>
      </c>
      <c r="G2154" t="s">
        <v>6030</v>
      </c>
      <c r="H2154" t="s">
        <v>6039</v>
      </c>
      <c r="I2154" t="s">
        <v>6051</v>
      </c>
      <c r="J2154" t="s">
        <v>6054</v>
      </c>
      <c r="K2154" t="s">
        <v>6062</v>
      </c>
      <c r="L2154" t="s">
        <v>7985</v>
      </c>
      <c r="M2154">
        <v>1994.23</v>
      </c>
      <c r="N2154">
        <v>6</v>
      </c>
      <c r="O2154">
        <v>0.28000000000000003</v>
      </c>
      <c r="P2154">
        <v>-323.11</v>
      </c>
      <c r="Q2154" t="s">
        <v>9897</v>
      </c>
      <c r="R2154">
        <v>6</v>
      </c>
      <c r="S2154" s="5">
        <f t="shared" si="66"/>
        <v>-0.16202243472417927</v>
      </c>
      <c r="T2154">
        <v>332.37166666666673</v>
      </c>
      <c r="U2154">
        <v>11</v>
      </c>
      <c r="V2154">
        <v>2022</v>
      </c>
      <c r="W2154">
        <v>4</v>
      </c>
      <c r="X2154" t="s">
        <v>9898</v>
      </c>
      <c r="Y2154" t="s">
        <v>9900</v>
      </c>
      <c r="Z2154" t="s">
        <v>9898</v>
      </c>
      <c r="AD2154">
        <f t="shared" si="67"/>
        <v>6</v>
      </c>
    </row>
    <row r="2155" spans="1:30" x14ac:dyDescent="0.25">
      <c r="A2155" t="s">
        <v>2179</v>
      </c>
      <c r="B2155" s="2">
        <v>44964</v>
      </c>
      <c r="C2155" s="2">
        <v>44971</v>
      </c>
      <c r="D2155" t="s">
        <v>5343</v>
      </c>
      <c r="E2155" t="s">
        <v>5843</v>
      </c>
      <c r="F2155" t="s">
        <v>6027</v>
      </c>
      <c r="G2155" t="s">
        <v>6031</v>
      </c>
      <c r="H2155" t="s">
        <v>6034</v>
      </c>
      <c r="I2155" t="s">
        <v>6048</v>
      </c>
      <c r="J2155" t="s">
        <v>6054</v>
      </c>
      <c r="K2155" t="s">
        <v>6059</v>
      </c>
      <c r="L2155" t="s">
        <v>7986</v>
      </c>
      <c r="M2155">
        <v>120.63</v>
      </c>
      <c r="N2155">
        <v>6</v>
      </c>
      <c r="O2155">
        <v>0.01</v>
      </c>
      <c r="P2155">
        <v>18.55</v>
      </c>
      <c r="Q2155" t="s">
        <v>9897</v>
      </c>
      <c r="R2155">
        <v>7</v>
      </c>
      <c r="S2155" s="5">
        <f t="shared" si="66"/>
        <v>0.15377600928458926</v>
      </c>
      <c r="T2155">
        <v>20.105</v>
      </c>
      <c r="U2155">
        <v>2</v>
      </c>
      <c r="V2155">
        <v>2023</v>
      </c>
      <c r="W2155">
        <v>1</v>
      </c>
      <c r="X2155" t="s">
        <v>9899</v>
      </c>
      <c r="Y2155" t="s">
        <v>9901</v>
      </c>
      <c r="Z2155" t="s">
        <v>9899</v>
      </c>
      <c r="AD2155">
        <f t="shared" si="67"/>
        <v>7</v>
      </c>
    </row>
    <row r="2156" spans="1:30" x14ac:dyDescent="0.25">
      <c r="A2156" t="s">
        <v>2180</v>
      </c>
      <c r="B2156" s="2">
        <v>44910</v>
      </c>
      <c r="C2156" s="2">
        <v>44911</v>
      </c>
      <c r="D2156" t="s">
        <v>5094</v>
      </c>
      <c r="E2156" t="s">
        <v>5594</v>
      </c>
      <c r="F2156" t="s">
        <v>6027</v>
      </c>
      <c r="G2156" t="s">
        <v>6029</v>
      </c>
      <c r="H2156" t="s">
        <v>6044</v>
      </c>
      <c r="I2156" t="s">
        <v>6046</v>
      </c>
      <c r="J2156" t="s">
        <v>6055</v>
      </c>
      <c r="K2156" t="s">
        <v>6061</v>
      </c>
      <c r="L2156" t="s">
        <v>7987</v>
      </c>
      <c r="M2156">
        <v>751.88</v>
      </c>
      <c r="N2156">
        <v>6</v>
      </c>
      <c r="O2156">
        <v>0.2</v>
      </c>
      <c r="P2156">
        <v>31.08</v>
      </c>
      <c r="Q2156" t="s">
        <v>9894</v>
      </c>
      <c r="R2156">
        <v>1</v>
      </c>
      <c r="S2156" s="5">
        <f t="shared" si="66"/>
        <v>4.1336383465446609E-2</v>
      </c>
      <c r="T2156">
        <v>125.3133333333333</v>
      </c>
      <c r="U2156">
        <v>12</v>
      </c>
      <c r="V2156">
        <v>2022</v>
      </c>
      <c r="W2156">
        <v>4</v>
      </c>
      <c r="X2156" t="s">
        <v>9899</v>
      </c>
      <c r="Y2156" t="s">
        <v>9900</v>
      </c>
      <c r="Z2156" t="s">
        <v>9899</v>
      </c>
      <c r="AD2156">
        <f t="shared" si="67"/>
        <v>1</v>
      </c>
    </row>
    <row r="2157" spans="1:30" x14ac:dyDescent="0.25">
      <c r="A2157" t="s">
        <v>2181</v>
      </c>
      <c r="B2157" s="2">
        <v>44780</v>
      </c>
      <c r="C2157" s="2">
        <v>44783</v>
      </c>
      <c r="D2157" t="s">
        <v>5161</v>
      </c>
      <c r="E2157" t="s">
        <v>5661</v>
      </c>
      <c r="F2157" t="s">
        <v>6027</v>
      </c>
      <c r="G2157" t="s">
        <v>6031</v>
      </c>
      <c r="H2157" t="s">
        <v>6042</v>
      </c>
      <c r="I2157" t="s">
        <v>6048</v>
      </c>
      <c r="J2157" t="s">
        <v>6053</v>
      </c>
      <c r="K2157" t="s">
        <v>6056</v>
      </c>
      <c r="L2157" t="s">
        <v>6208</v>
      </c>
      <c r="M2157">
        <v>1890.89</v>
      </c>
      <c r="N2157">
        <v>2</v>
      </c>
      <c r="O2157">
        <v>0.14000000000000001</v>
      </c>
      <c r="P2157">
        <v>268.68</v>
      </c>
      <c r="Q2157" t="s">
        <v>9895</v>
      </c>
      <c r="R2157">
        <v>3</v>
      </c>
      <c r="S2157" s="5">
        <f t="shared" si="66"/>
        <v>0.1420918191962515</v>
      </c>
      <c r="T2157">
        <v>945.44500000000005</v>
      </c>
      <c r="U2157">
        <v>8</v>
      </c>
      <c r="V2157">
        <v>2022</v>
      </c>
      <c r="W2157">
        <v>3</v>
      </c>
      <c r="X2157" t="s">
        <v>9899</v>
      </c>
      <c r="Y2157" t="s">
        <v>9901</v>
      </c>
      <c r="Z2157" t="s">
        <v>9898</v>
      </c>
      <c r="AD2157">
        <f t="shared" si="67"/>
        <v>3</v>
      </c>
    </row>
    <row r="2158" spans="1:30" x14ac:dyDescent="0.25">
      <c r="A2158" t="s">
        <v>2182</v>
      </c>
      <c r="B2158" s="2">
        <v>45155</v>
      </c>
      <c r="C2158" s="2">
        <v>45161</v>
      </c>
      <c r="D2158" t="s">
        <v>5492</v>
      </c>
      <c r="E2158" t="s">
        <v>5992</v>
      </c>
      <c r="F2158" t="s">
        <v>6027</v>
      </c>
      <c r="G2158" t="s">
        <v>6030</v>
      </c>
      <c r="H2158" t="s">
        <v>6035</v>
      </c>
      <c r="I2158" t="s">
        <v>6047</v>
      </c>
      <c r="J2158" t="s">
        <v>6053</v>
      </c>
      <c r="K2158" t="s">
        <v>6056</v>
      </c>
      <c r="L2158" t="s">
        <v>7364</v>
      </c>
      <c r="M2158">
        <v>451.38</v>
      </c>
      <c r="N2158">
        <v>1</v>
      </c>
      <c r="O2158">
        <v>0.24</v>
      </c>
      <c r="P2158">
        <v>17.77</v>
      </c>
      <c r="Q2158" t="s">
        <v>9895</v>
      </c>
      <c r="R2158">
        <v>6</v>
      </c>
      <c r="S2158" s="5">
        <f t="shared" si="66"/>
        <v>3.9368159865301962E-2</v>
      </c>
      <c r="T2158">
        <v>451.38</v>
      </c>
      <c r="U2158">
        <v>8</v>
      </c>
      <c r="V2158">
        <v>2023</v>
      </c>
      <c r="W2158">
        <v>3</v>
      </c>
      <c r="X2158" t="s">
        <v>9899</v>
      </c>
      <c r="Y2158" t="s">
        <v>9900</v>
      </c>
      <c r="Z2158" t="s">
        <v>9899</v>
      </c>
      <c r="AD2158">
        <f t="shared" si="67"/>
        <v>6</v>
      </c>
    </row>
    <row r="2159" spans="1:30" x14ac:dyDescent="0.25">
      <c r="A2159" t="s">
        <v>2183</v>
      </c>
      <c r="B2159" s="2">
        <v>44915</v>
      </c>
      <c r="C2159" s="2">
        <v>44918</v>
      </c>
      <c r="D2159" t="s">
        <v>5249</v>
      </c>
      <c r="E2159" t="s">
        <v>5749</v>
      </c>
      <c r="F2159" t="s">
        <v>6028</v>
      </c>
      <c r="G2159" t="s">
        <v>6031</v>
      </c>
      <c r="H2159" t="s">
        <v>6037</v>
      </c>
      <c r="I2159" t="s">
        <v>6050</v>
      </c>
      <c r="J2159" t="s">
        <v>6053</v>
      </c>
      <c r="K2159" t="s">
        <v>6056</v>
      </c>
      <c r="L2159" t="s">
        <v>7988</v>
      </c>
      <c r="M2159">
        <v>414.13</v>
      </c>
      <c r="N2159">
        <v>4</v>
      </c>
      <c r="O2159">
        <v>0.17</v>
      </c>
      <c r="P2159">
        <v>53.8</v>
      </c>
      <c r="Q2159" t="s">
        <v>9897</v>
      </c>
      <c r="R2159">
        <v>3</v>
      </c>
      <c r="S2159" s="5">
        <f t="shared" si="66"/>
        <v>0.12991089754424939</v>
      </c>
      <c r="T2159">
        <v>103.5325</v>
      </c>
      <c r="U2159">
        <v>12</v>
      </c>
      <c r="V2159">
        <v>2022</v>
      </c>
      <c r="W2159">
        <v>4</v>
      </c>
      <c r="X2159" t="s">
        <v>9899</v>
      </c>
      <c r="Y2159" t="s">
        <v>9900</v>
      </c>
      <c r="Z2159" t="s">
        <v>9899</v>
      </c>
      <c r="AD2159">
        <f t="shared" si="67"/>
        <v>3</v>
      </c>
    </row>
    <row r="2160" spans="1:30" x14ac:dyDescent="0.25">
      <c r="A2160" t="s">
        <v>2184</v>
      </c>
      <c r="B2160" s="2">
        <v>44665</v>
      </c>
      <c r="C2160" s="2">
        <v>44667</v>
      </c>
      <c r="D2160" t="s">
        <v>5455</v>
      </c>
      <c r="E2160" t="s">
        <v>5955</v>
      </c>
      <c r="F2160" t="s">
        <v>6026</v>
      </c>
      <c r="G2160" t="s">
        <v>6029</v>
      </c>
      <c r="H2160" t="s">
        <v>6045</v>
      </c>
      <c r="I2160" t="s">
        <v>6049</v>
      </c>
      <c r="J2160" t="s">
        <v>6055</v>
      </c>
      <c r="K2160" t="s">
        <v>6063</v>
      </c>
      <c r="L2160" t="s">
        <v>7989</v>
      </c>
      <c r="M2160">
        <v>1036.32</v>
      </c>
      <c r="N2160">
        <v>2</v>
      </c>
      <c r="O2160">
        <v>0.17</v>
      </c>
      <c r="P2160">
        <v>76.16</v>
      </c>
      <c r="Q2160" t="s">
        <v>9897</v>
      </c>
      <c r="R2160">
        <v>2</v>
      </c>
      <c r="S2160" s="5">
        <f t="shared" si="66"/>
        <v>7.3490813648293962E-2</v>
      </c>
      <c r="T2160">
        <v>518.16</v>
      </c>
      <c r="U2160">
        <v>4</v>
      </c>
      <c r="V2160">
        <v>2022</v>
      </c>
      <c r="W2160">
        <v>2</v>
      </c>
      <c r="X2160" t="s">
        <v>9899</v>
      </c>
      <c r="Y2160" t="s">
        <v>9900</v>
      </c>
      <c r="Z2160" t="s">
        <v>9898</v>
      </c>
      <c r="AD2160">
        <f t="shared" si="67"/>
        <v>2</v>
      </c>
    </row>
    <row r="2161" spans="1:30" x14ac:dyDescent="0.25">
      <c r="A2161" t="s">
        <v>2185</v>
      </c>
      <c r="B2161" s="2">
        <v>44963</v>
      </c>
      <c r="C2161" s="2">
        <v>44964</v>
      </c>
      <c r="D2161" t="s">
        <v>5120</v>
      </c>
      <c r="E2161" t="s">
        <v>5620</v>
      </c>
      <c r="F2161" t="s">
        <v>6028</v>
      </c>
      <c r="G2161" t="s">
        <v>6029</v>
      </c>
      <c r="H2161" t="s">
        <v>6045</v>
      </c>
      <c r="I2161" t="s">
        <v>6049</v>
      </c>
      <c r="J2161" t="s">
        <v>6053</v>
      </c>
      <c r="K2161" t="s">
        <v>6056</v>
      </c>
      <c r="L2161" t="s">
        <v>7990</v>
      </c>
      <c r="M2161">
        <v>1733.97</v>
      </c>
      <c r="N2161">
        <v>3</v>
      </c>
      <c r="O2161">
        <v>0.21</v>
      </c>
      <c r="P2161">
        <v>-184.76</v>
      </c>
      <c r="Q2161" t="s">
        <v>9896</v>
      </c>
      <c r="R2161">
        <v>1</v>
      </c>
      <c r="S2161" s="5">
        <f t="shared" si="66"/>
        <v>-0.10655316989336608</v>
      </c>
      <c r="T2161">
        <v>577.99</v>
      </c>
      <c r="U2161">
        <v>2</v>
      </c>
      <c r="V2161">
        <v>2023</v>
      </c>
      <c r="W2161">
        <v>1</v>
      </c>
      <c r="X2161" t="s">
        <v>9898</v>
      </c>
      <c r="Y2161" t="s">
        <v>9900</v>
      </c>
      <c r="Z2161" t="s">
        <v>9898</v>
      </c>
      <c r="AD2161">
        <f t="shared" si="67"/>
        <v>1</v>
      </c>
    </row>
    <row r="2162" spans="1:30" x14ac:dyDescent="0.25">
      <c r="A2162" t="s">
        <v>2186</v>
      </c>
      <c r="B2162" s="2">
        <v>44718</v>
      </c>
      <c r="C2162" s="2">
        <v>44719</v>
      </c>
      <c r="D2162" t="s">
        <v>5343</v>
      </c>
      <c r="E2162" t="s">
        <v>5843</v>
      </c>
      <c r="F2162" t="s">
        <v>6027</v>
      </c>
      <c r="G2162" t="s">
        <v>6031</v>
      </c>
      <c r="H2162" t="s">
        <v>6037</v>
      </c>
      <c r="I2162" t="s">
        <v>6050</v>
      </c>
      <c r="J2162" t="s">
        <v>6054</v>
      </c>
      <c r="K2162" t="s">
        <v>6059</v>
      </c>
      <c r="L2162" t="s">
        <v>7991</v>
      </c>
      <c r="M2162">
        <v>1371.16</v>
      </c>
      <c r="N2162">
        <v>8</v>
      </c>
      <c r="O2162">
        <v>0.31</v>
      </c>
      <c r="P2162">
        <v>-36.479999999999997</v>
      </c>
      <c r="Q2162" t="s">
        <v>9896</v>
      </c>
      <c r="R2162">
        <v>1</v>
      </c>
      <c r="S2162" s="5">
        <f t="shared" si="66"/>
        <v>-2.6605210186994948E-2</v>
      </c>
      <c r="T2162">
        <v>171.39500000000001</v>
      </c>
      <c r="U2162">
        <v>6</v>
      </c>
      <c r="V2162">
        <v>2022</v>
      </c>
      <c r="W2162">
        <v>2</v>
      </c>
      <c r="X2162" t="s">
        <v>9898</v>
      </c>
      <c r="Y2162" t="s">
        <v>9902</v>
      </c>
      <c r="Z2162" t="s">
        <v>9898</v>
      </c>
      <c r="AD2162">
        <f t="shared" si="67"/>
        <v>1</v>
      </c>
    </row>
    <row r="2163" spans="1:30" x14ac:dyDescent="0.25">
      <c r="A2163" t="s">
        <v>2187</v>
      </c>
      <c r="B2163" s="2">
        <v>45329</v>
      </c>
      <c r="C2163" s="2">
        <v>45336</v>
      </c>
      <c r="D2163" t="s">
        <v>5417</v>
      </c>
      <c r="E2163" t="s">
        <v>5917</v>
      </c>
      <c r="F2163" t="s">
        <v>6028</v>
      </c>
      <c r="G2163" t="s">
        <v>6031</v>
      </c>
      <c r="H2163" t="s">
        <v>6034</v>
      </c>
      <c r="I2163" t="s">
        <v>6052</v>
      </c>
      <c r="J2163" t="s">
        <v>6054</v>
      </c>
      <c r="K2163" t="s">
        <v>6060</v>
      </c>
      <c r="L2163" t="s">
        <v>7699</v>
      </c>
      <c r="M2163">
        <v>460.62</v>
      </c>
      <c r="N2163">
        <v>7</v>
      </c>
      <c r="O2163">
        <v>0.24</v>
      </c>
      <c r="P2163">
        <v>-5.87</v>
      </c>
      <c r="Q2163" t="s">
        <v>9895</v>
      </c>
      <c r="R2163">
        <v>7</v>
      </c>
      <c r="S2163" s="5">
        <f t="shared" si="66"/>
        <v>-1.2743693282966437E-2</v>
      </c>
      <c r="T2163">
        <v>65.80285714285715</v>
      </c>
      <c r="U2163">
        <v>2</v>
      </c>
      <c r="V2163">
        <v>2024</v>
      </c>
      <c r="W2163">
        <v>1</v>
      </c>
      <c r="X2163" t="s">
        <v>9898</v>
      </c>
      <c r="Y2163" t="s">
        <v>9900</v>
      </c>
      <c r="Z2163" t="s">
        <v>9899</v>
      </c>
      <c r="AD2163">
        <f t="shared" si="67"/>
        <v>7</v>
      </c>
    </row>
    <row r="2164" spans="1:30" x14ac:dyDescent="0.25">
      <c r="A2164" t="s">
        <v>2188</v>
      </c>
      <c r="B2164" s="2">
        <v>44901</v>
      </c>
      <c r="C2164" s="2">
        <v>44903</v>
      </c>
      <c r="D2164" t="s">
        <v>5457</v>
      </c>
      <c r="E2164" t="s">
        <v>5957</v>
      </c>
      <c r="F2164" t="s">
        <v>6028</v>
      </c>
      <c r="G2164" t="s">
        <v>6030</v>
      </c>
      <c r="H2164" t="s">
        <v>6035</v>
      </c>
      <c r="I2164" t="s">
        <v>6047</v>
      </c>
      <c r="J2164" t="s">
        <v>6055</v>
      </c>
      <c r="K2164" t="s">
        <v>6061</v>
      </c>
      <c r="L2164" t="s">
        <v>6303</v>
      </c>
      <c r="M2164">
        <v>1468.39</v>
      </c>
      <c r="N2164">
        <v>8</v>
      </c>
      <c r="O2164">
        <v>0.27</v>
      </c>
      <c r="P2164">
        <v>41.56</v>
      </c>
      <c r="Q2164" t="s">
        <v>9896</v>
      </c>
      <c r="R2164">
        <v>2</v>
      </c>
      <c r="S2164" s="5">
        <f t="shared" si="66"/>
        <v>2.8303107485068681E-2</v>
      </c>
      <c r="T2164">
        <v>183.54875000000001</v>
      </c>
      <c r="U2164">
        <v>12</v>
      </c>
      <c r="V2164">
        <v>2022</v>
      </c>
      <c r="W2164">
        <v>4</v>
      </c>
      <c r="X2164" t="s">
        <v>9899</v>
      </c>
      <c r="Y2164" t="s">
        <v>9900</v>
      </c>
      <c r="Z2164" t="s">
        <v>9898</v>
      </c>
      <c r="AD2164">
        <f t="shared" si="67"/>
        <v>2</v>
      </c>
    </row>
    <row r="2165" spans="1:30" x14ac:dyDescent="0.25">
      <c r="A2165" t="s">
        <v>2189</v>
      </c>
      <c r="B2165" s="2">
        <v>45038</v>
      </c>
      <c r="C2165" s="2">
        <v>45040</v>
      </c>
      <c r="D2165" t="s">
        <v>5371</v>
      </c>
      <c r="E2165" t="s">
        <v>5871</v>
      </c>
      <c r="F2165" t="s">
        <v>6028</v>
      </c>
      <c r="G2165" t="s">
        <v>6030</v>
      </c>
      <c r="H2165" t="s">
        <v>6039</v>
      </c>
      <c r="I2165" t="s">
        <v>6047</v>
      </c>
      <c r="J2165" t="s">
        <v>6055</v>
      </c>
      <c r="K2165" t="s">
        <v>6064</v>
      </c>
      <c r="L2165" t="s">
        <v>7992</v>
      </c>
      <c r="M2165">
        <v>1151.54</v>
      </c>
      <c r="N2165">
        <v>3</v>
      </c>
      <c r="O2165">
        <v>0.3</v>
      </c>
      <c r="P2165">
        <v>-102.13</v>
      </c>
      <c r="Q2165" t="s">
        <v>9896</v>
      </c>
      <c r="R2165">
        <v>2</v>
      </c>
      <c r="S2165" s="5">
        <f t="shared" si="66"/>
        <v>-8.868992826996891E-2</v>
      </c>
      <c r="T2165">
        <v>383.84666666666658</v>
      </c>
      <c r="U2165">
        <v>4</v>
      </c>
      <c r="V2165">
        <v>2023</v>
      </c>
      <c r="W2165">
        <v>2</v>
      </c>
      <c r="X2165" t="s">
        <v>9898</v>
      </c>
      <c r="Y2165" t="s">
        <v>9900</v>
      </c>
      <c r="Z2165" t="s">
        <v>9898</v>
      </c>
      <c r="AD2165">
        <f t="shared" si="67"/>
        <v>2</v>
      </c>
    </row>
    <row r="2166" spans="1:30" x14ac:dyDescent="0.25">
      <c r="A2166" t="s">
        <v>2190</v>
      </c>
      <c r="B2166" s="2">
        <v>44936</v>
      </c>
      <c r="C2166" s="2">
        <v>44941</v>
      </c>
      <c r="D2166" t="s">
        <v>5411</v>
      </c>
      <c r="E2166" t="s">
        <v>5911</v>
      </c>
      <c r="F2166" t="s">
        <v>6027</v>
      </c>
      <c r="G2166" t="s">
        <v>6029</v>
      </c>
      <c r="H2166" t="s">
        <v>6044</v>
      </c>
      <c r="I2166" t="s">
        <v>6049</v>
      </c>
      <c r="J2166" t="s">
        <v>6055</v>
      </c>
      <c r="K2166" t="s">
        <v>6063</v>
      </c>
      <c r="L2166" t="s">
        <v>6995</v>
      </c>
      <c r="M2166">
        <v>650.14</v>
      </c>
      <c r="N2166">
        <v>4</v>
      </c>
      <c r="O2166">
        <v>0.05</v>
      </c>
      <c r="P2166">
        <v>54.88</v>
      </c>
      <c r="Q2166" t="s">
        <v>9893</v>
      </c>
      <c r="R2166">
        <v>5</v>
      </c>
      <c r="S2166" s="5">
        <f t="shared" si="66"/>
        <v>8.4412588057956747E-2</v>
      </c>
      <c r="T2166">
        <v>162.535</v>
      </c>
      <c r="U2166">
        <v>1</v>
      </c>
      <c r="V2166">
        <v>2023</v>
      </c>
      <c r="W2166">
        <v>1</v>
      </c>
      <c r="X2166" t="s">
        <v>9899</v>
      </c>
      <c r="Y2166" t="s">
        <v>9901</v>
      </c>
      <c r="Z2166" t="s">
        <v>9899</v>
      </c>
      <c r="AD2166">
        <f t="shared" si="67"/>
        <v>5</v>
      </c>
    </row>
    <row r="2167" spans="1:30" x14ac:dyDescent="0.25">
      <c r="A2167" t="s">
        <v>2191</v>
      </c>
      <c r="B2167" s="2">
        <v>45373</v>
      </c>
      <c r="C2167" s="2">
        <v>45375</v>
      </c>
      <c r="D2167" t="s">
        <v>5334</v>
      </c>
      <c r="E2167" t="s">
        <v>5834</v>
      </c>
      <c r="F2167" t="s">
        <v>6026</v>
      </c>
      <c r="G2167" t="s">
        <v>6029</v>
      </c>
      <c r="H2167" t="s">
        <v>6032</v>
      </c>
      <c r="I2167" t="s">
        <v>6046</v>
      </c>
      <c r="J2167" t="s">
        <v>6054</v>
      </c>
      <c r="K2167" t="s">
        <v>6059</v>
      </c>
      <c r="L2167" t="s">
        <v>7993</v>
      </c>
      <c r="M2167">
        <v>150</v>
      </c>
      <c r="N2167">
        <v>1</v>
      </c>
      <c r="O2167">
        <v>0.19</v>
      </c>
      <c r="P2167">
        <v>-8.27</v>
      </c>
      <c r="Q2167" t="s">
        <v>9896</v>
      </c>
      <c r="R2167">
        <v>2</v>
      </c>
      <c r="S2167" s="5">
        <f t="shared" si="66"/>
        <v>-5.5133333333333333E-2</v>
      </c>
      <c r="T2167">
        <v>150</v>
      </c>
      <c r="U2167">
        <v>3</v>
      </c>
      <c r="V2167">
        <v>2024</v>
      </c>
      <c r="W2167">
        <v>1</v>
      </c>
      <c r="X2167" t="s">
        <v>9898</v>
      </c>
      <c r="Y2167" t="s">
        <v>9900</v>
      </c>
      <c r="Z2167" t="s">
        <v>9899</v>
      </c>
      <c r="AD2167">
        <f t="shared" si="67"/>
        <v>2</v>
      </c>
    </row>
    <row r="2168" spans="1:30" x14ac:dyDescent="0.25">
      <c r="A2168" t="s">
        <v>2192</v>
      </c>
      <c r="B2168" s="2">
        <v>45399</v>
      </c>
      <c r="C2168" s="2">
        <v>45400</v>
      </c>
      <c r="D2168" t="s">
        <v>5084</v>
      </c>
      <c r="E2168" t="s">
        <v>5584</v>
      </c>
      <c r="F2168" t="s">
        <v>6028</v>
      </c>
      <c r="G2168" t="s">
        <v>6031</v>
      </c>
      <c r="H2168" t="s">
        <v>6037</v>
      </c>
      <c r="I2168" t="s">
        <v>6050</v>
      </c>
      <c r="J2168" t="s">
        <v>6053</v>
      </c>
      <c r="K2168" t="s">
        <v>6056</v>
      </c>
      <c r="L2168" t="s">
        <v>7178</v>
      </c>
      <c r="M2168">
        <v>1294.4000000000001</v>
      </c>
      <c r="N2168">
        <v>4</v>
      </c>
      <c r="O2168">
        <v>7.0000000000000007E-2</v>
      </c>
      <c r="P2168">
        <v>86.59</v>
      </c>
      <c r="Q2168" t="s">
        <v>9895</v>
      </c>
      <c r="R2168">
        <v>1</v>
      </c>
      <c r="S2168" s="5">
        <f t="shared" si="66"/>
        <v>6.6895859085290485E-2</v>
      </c>
      <c r="T2168">
        <v>323.60000000000002</v>
      </c>
      <c r="U2168">
        <v>4</v>
      </c>
      <c r="V2168">
        <v>2024</v>
      </c>
      <c r="W2168">
        <v>2</v>
      </c>
      <c r="X2168" t="s">
        <v>9899</v>
      </c>
      <c r="Y2168" t="s">
        <v>9901</v>
      </c>
      <c r="Z2168" t="s">
        <v>9898</v>
      </c>
      <c r="AD2168">
        <f t="shared" si="67"/>
        <v>1</v>
      </c>
    </row>
    <row r="2169" spans="1:30" x14ac:dyDescent="0.25">
      <c r="A2169" t="s">
        <v>2193</v>
      </c>
      <c r="B2169" s="2">
        <v>45144</v>
      </c>
      <c r="C2169" s="2">
        <v>45147</v>
      </c>
      <c r="D2169" t="s">
        <v>5522</v>
      </c>
      <c r="E2169" t="s">
        <v>6022</v>
      </c>
      <c r="F2169" t="s">
        <v>6026</v>
      </c>
      <c r="G2169" t="s">
        <v>6031</v>
      </c>
      <c r="H2169" t="s">
        <v>6040</v>
      </c>
      <c r="I2169" t="s">
        <v>6050</v>
      </c>
      <c r="J2169" t="s">
        <v>6053</v>
      </c>
      <c r="K2169" t="s">
        <v>6057</v>
      </c>
      <c r="L2169" t="s">
        <v>7355</v>
      </c>
      <c r="M2169">
        <v>161.94</v>
      </c>
      <c r="N2169">
        <v>4</v>
      </c>
      <c r="O2169">
        <v>0.34</v>
      </c>
      <c r="P2169">
        <v>-14.27</v>
      </c>
      <c r="Q2169" t="s">
        <v>9897</v>
      </c>
      <c r="R2169">
        <v>3</v>
      </c>
      <c r="S2169" s="5">
        <f t="shared" si="66"/>
        <v>-8.8119056440657026E-2</v>
      </c>
      <c r="T2169">
        <v>40.484999999999999</v>
      </c>
      <c r="U2169">
        <v>8</v>
      </c>
      <c r="V2169">
        <v>2023</v>
      </c>
      <c r="W2169">
        <v>3</v>
      </c>
      <c r="X2169" t="s">
        <v>9898</v>
      </c>
      <c r="Y2169" t="s">
        <v>9902</v>
      </c>
      <c r="Z2169" t="s">
        <v>9899</v>
      </c>
      <c r="AD2169">
        <f t="shared" si="67"/>
        <v>3</v>
      </c>
    </row>
    <row r="2170" spans="1:30" x14ac:dyDescent="0.25">
      <c r="A2170" t="s">
        <v>2194</v>
      </c>
      <c r="B2170" s="2">
        <v>45341</v>
      </c>
      <c r="C2170" s="2">
        <v>45348</v>
      </c>
      <c r="D2170" t="s">
        <v>5498</v>
      </c>
      <c r="E2170" t="s">
        <v>5998</v>
      </c>
      <c r="F2170" t="s">
        <v>6028</v>
      </c>
      <c r="G2170" t="s">
        <v>6029</v>
      </c>
      <c r="H2170" t="s">
        <v>6036</v>
      </c>
      <c r="I2170" t="s">
        <v>6049</v>
      </c>
      <c r="J2170" t="s">
        <v>6055</v>
      </c>
      <c r="K2170" t="s">
        <v>6061</v>
      </c>
      <c r="L2170" t="s">
        <v>7994</v>
      </c>
      <c r="M2170">
        <v>879.02</v>
      </c>
      <c r="N2170">
        <v>3</v>
      </c>
      <c r="O2170">
        <v>0.16</v>
      </c>
      <c r="P2170">
        <v>-22</v>
      </c>
      <c r="Q2170" t="s">
        <v>9897</v>
      </c>
      <c r="R2170">
        <v>7</v>
      </c>
      <c r="S2170" s="5">
        <f t="shared" si="66"/>
        <v>-2.5027871948306069E-2</v>
      </c>
      <c r="T2170">
        <v>293.00666666666672</v>
      </c>
      <c r="U2170">
        <v>2</v>
      </c>
      <c r="V2170">
        <v>2024</v>
      </c>
      <c r="W2170">
        <v>1</v>
      </c>
      <c r="X2170" t="s">
        <v>9898</v>
      </c>
      <c r="Y2170" t="s">
        <v>9900</v>
      </c>
      <c r="Z2170" t="s">
        <v>9899</v>
      </c>
      <c r="AD2170">
        <f t="shared" si="67"/>
        <v>7</v>
      </c>
    </row>
    <row r="2171" spans="1:30" x14ac:dyDescent="0.25">
      <c r="A2171" t="s">
        <v>2195</v>
      </c>
      <c r="B2171" s="2">
        <v>44873</v>
      </c>
      <c r="C2171" s="2">
        <v>44875</v>
      </c>
      <c r="D2171" t="s">
        <v>5236</v>
      </c>
      <c r="E2171" t="s">
        <v>5736</v>
      </c>
      <c r="F2171" t="s">
        <v>6026</v>
      </c>
      <c r="G2171" t="s">
        <v>6029</v>
      </c>
      <c r="H2171" t="s">
        <v>6041</v>
      </c>
      <c r="I2171" t="s">
        <v>6050</v>
      </c>
      <c r="J2171" t="s">
        <v>6053</v>
      </c>
      <c r="K2171" t="s">
        <v>6058</v>
      </c>
      <c r="L2171" t="s">
        <v>7995</v>
      </c>
      <c r="M2171">
        <v>709.06</v>
      </c>
      <c r="N2171">
        <v>1</v>
      </c>
      <c r="O2171">
        <v>0.02</v>
      </c>
      <c r="P2171">
        <v>139.47</v>
      </c>
      <c r="Q2171" t="s">
        <v>9894</v>
      </c>
      <c r="R2171">
        <v>2</v>
      </c>
      <c r="S2171" s="5">
        <f t="shared" si="66"/>
        <v>0.19669703551180437</v>
      </c>
      <c r="T2171">
        <v>709.06</v>
      </c>
      <c r="U2171">
        <v>11</v>
      </c>
      <c r="V2171">
        <v>2022</v>
      </c>
      <c r="W2171">
        <v>4</v>
      </c>
      <c r="X2171" t="s">
        <v>9899</v>
      </c>
      <c r="Y2171" t="s">
        <v>9901</v>
      </c>
      <c r="Z2171" t="s">
        <v>9899</v>
      </c>
      <c r="AD2171">
        <f t="shared" si="67"/>
        <v>2</v>
      </c>
    </row>
    <row r="2172" spans="1:30" x14ac:dyDescent="0.25">
      <c r="A2172" t="s">
        <v>2196</v>
      </c>
      <c r="B2172" s="2">
        <v>44871</v>
      </c>
      <c r="C2172" s="2">
        <v>44877</v>
      </c>
      <c r="D2172" t="s">
        <v>5444</v>
      </c>
      <c r="E2172" t="s">
        <v>5944</v>
      </c>
      <c r="F2172" t="s">
        <v>6027</v>
      </c>
      <c r="G2172" t="s">
        <v>6031</v>
      </c>
      <c r="H2172" t="s">
        <v>6040</v>
      </c>
      <c r="I2172" t="s">
        <v>6050</v>
      </c>
      <c r="J2172" t="s">
        <v>6053</v>
      </c>
      <c r="K2172" t="s">
        <v>6057</v>
      </c>
      <c r="L2172" t="s">
        <v>7996</v>
      </c>
      <c r="M2172">
        <v>794.43</v>
      </c>
      <c r="N2172">
        <v>1</v>
      </c>
      <c r="O2172">
        <v>0.03</v>
      </c>
      <c r="P2172">
        <v>179.4</v>
      </c>
      <c r="Q2172" t="s">
        <v>9893</v>
      </c>
      <c r="R2172">
        <v>6</v>
      </c>
      <c r="S2172" s="5">
        <f t="shared" si="66"/>
        <v>0.22582228767795781</v>
      </c>
      <c r="T2172">
        <v>794.43</v>
      </c>
      <c r="U2172">
        <v>11</v>
      </c>
      <c r="V2172">
        <v>2022</v>
      </c>
      <c r="W2172">
        <v>4</v>
      </c>
      <c r="X2172" t="s">
        <v>9899</v>
      </c>
      <c r="Y2172" t="s">
        <v>9901</v>
      </c>
      <c r="Z2172" t="s">
        <v>9899</v>
      </c>
      <c r="AD2172">
        <f t="shared" si="67"/>
        <v>6</v>
      </c>
    </row>
    <row r="2173" spans="1:30" x14ac:dyDescent="0.25">
      <c r="A2173" t="s">
        <v>2197</v>
      </c>
      <c r="B2173" s="2">
        <v>45356</v>
      </c>
      <c r="C2173" s="2">
        <v>45361</v>
      </c>
      <c r="D2173" t="s">
        <v>5390</v>
      </c>
      <c r="E2173" t="s">
        <v>5890</v>
      </c>
      <c r="F2173" t="s">
        <v>6026</v>
      </c>
      <c r="G2173" t="s">
        <v>6029</v>
      </c>
      <c r="H2173" t="s">
        <v>6041</v>
      </c>
      <c r="I2173" t="s">
        <v>6046</v>
      </c>
      <c r="J2173" t="s">
        <v>6054</v>
      </c>
      <c r="K2173" t="s">
        <v>6059</v>
      </c>
      <c r="L2173" t="s">
        <v>7997</v>
      </c>
      <c r="M2173">
        <v>1990.26</v>
      </c>
      <c r="N2173">
        <v>2</v>
      </c>
      <c r="O2173">
        <v>0.2</v>
      </c>
      <c r="P2173">
        <v>0.14000000000000001</v>
      </c>
      <c r="Q2173" t="s">
        <v>9894</v>
      </c>
      <c r="R2173">
        <v>5</v>
      </c>
      <c r="S2173" s="5">
        <f t="shared" si="66"/>
        <v>7.0342568307658296E-5</v>
      </c>
      <c r="T2173">
        <v>995.13</v>
      </c>
      <c r="U2173">
        <v>3</v>
      </c>
      <c r="V2173">
        <v>2024</v>
      </c>
      <c r="W2173">
        <v>1</v>
      </c>
      <c r="X2173" t="s">
        <v>9899</v>
      </c>
      <c r="Y2173" t="s">
        <v>9900</v>
      </c>
      <c r="Z2173" t="s">
        <v>9898</v>
      </c>
      <c r="AD2173">
        <f t="shared" si="67"/>
        <v>5</v>
      </c>
    </row>
    <row r="2174" spans="1:30" x14ac:dyDescent="0.25">
      <c r="A2174" t="s">
        <v>2198</v>
      </c>
      <c r="B2174" s="2">
        <v>44913</v>
      </c>
      <c r="C2174" s="2">
        <v>44919</v>
      </c>
      <c r="D2174" t="s">
        <v>5134</v>
      </c>
      <c r="E2174" t="s">
        <v>5634</v>
      </c>
      <c r="F2174" t="s">
        <v>6028</v>
      </c>
      <c r="G2174" t="s">
        <v>6030</v>
      </c>
      <c r="H2174" t="s">
        <v>6038</v>
      </c>
      <c r="I2174" t="s">
        <v>6051</v>
      </c>
      <c r="J2174" t="s">
        <v>6055</v>
      </c>
      <c r="K2174" t="s">
        <v>6061</v>
      </c>
      <c r="L2174" t="s">
        <v>7998</v>
      </c>
      <c r="M2174">
        <v>819.91</v>
      </c>
      <c r="N2174">
        <v>8</v>
      </c>
      <c r="O2174">
        <v>0.32</v>
      </c>
      <c r="P2174">
        <v>-92.66</v>
      </c>
      <c r="Q2174" t="s">
        <v>9896</v>
      </c>
      <c r="R2174">
        <v>6</v>
      </c>
      <c r="S2174" s="5">
        <f t="shared" si="66"/>
        <v>-0.11301240380041712</v>
      </c>
      <c r="T2174">
        <v>102.48875</v>
      </c>
      <c r="U2174">
        <v>12</v>
      </c>
      <c r="V2174">
        <v>2022</v>
      </c>
      <c r="W2174">
        <v>4</v>
      </c>
      <c r="X2174" t="s">
        <v>9898</v>
      </c>
      <c r="Y2174" t="s">
        <v>9902</v>
      </c>
      <c r="Z2174" t="s">
        <v>9899</v>
      </c>
      <c r="AD2174">
        <f t="shared" si="67"/>
        <v>6</v>
      </c>
    </row>
    <row r="2175" spans="1:30" x14ac:dyDescent="0.25">
      <c r="A2175" t="s">
        <v>2199</v>
      </c>
      <c r="B2175" s="2">
        <v>45462</v>
      </c>
      <c r="C2175" s="2">
        <v>45466</v>
      </c>
      <c r="D2175" t="s">
        <v>5356</v>
      </c>
      <c r="E2175" t="s">
        <v>5856</v>
      </c>
      <c r="F2175" t="s">
        <v>6028</v>
      </c>
      <c r="G2175" t="s">
        <v>6030</v>
      </c>
      <c r="H2175" t="s">
        <v>6038</v>
      </c>
      <c r="I2175" t="s">
        <v>6047</v>
      </c>
      <c r="J2175" t="s">
        <v>6053</v>
      </c>
      <c r="K2175" t="s">
        <v>6057</v>
      </c>
      <c r="L2175" t="s">
        <v>7999</v>
      </c>
      <c r="M2175">
        <v>547.51</v>
      </c>
      <c r="N2175">
        <v>6</v>
      </c>
      <c r="O2175">
        <v>0.13</v>
      </c>
      <c r="P2175">
        <v>67.61</v>
      </c>
      <c r="Q2175" t="s">
        <v>9895</v>
      </c>
      <c r="R2175">
        <v>4</v>
      </c>
      <c r="S2175" s="5">
        <f t="shared" si="66"/>
        <v>0.12348632901682161</v>
      </c>
      <c r="T2175">
        <v>91.251666666666665</v>
      </c>
      <c r="U2175">
        <v>6</v>
      </c>
      <c r="V2175">
        <v>2024</v>
      </c>
      <c r="W2175">
        <v>2</v>
      </c>
      <c r="X2175" t="s">
        <v>9899</v>
      </c>
      <c r="Y2175" t="s">
        <v>9901</v>
      </c>
      <c r="Z2175" t="s">
        <v>9899</v>
      </c>
      <c r="AD2175">
        <f t="shared" si="67"/>
        <v>4</v>
      </c>
    </row>
    <row r="2176" spans="1:30" x14ac:dyDescent="0.25">
      <c r="A2176" t="s">
        <v>2200</v>
      </c>
      <c r="B2176" s="2">
        <v>45410</v>
      </c>
      <c r="C2176" s="2">
        <v>45412</v>
      </c>
      <c r="D2176" t="s">
        <v>5290</v>
      </c>
      <c r="E2176" t="s">
        <v>5790</v>
      </c>
      <c r="F2176" t="s">
        <v>6027</v>
      </c>
      <c r="G2176" t="s">
        <v>6029</v>
      </c>
      <c r="H2176" t="s">
        <v>6041</v>
      </c>
      <c r="I2176" t="s">
        <v>6050</v>
      </c>
      <c r="J2176" t="s">
        <v>6053</v>
      </c>
      <c r="K2176" t="s">
        <v>6058</v>
      </c>
      <c r="L2176" t="s">
        <v>8000</v>
      </c>
      <c r="M2176">
        <v>1727.61</v>
      </c>
      <c r="N2176">
        <v>5</v>
      </c>
      <c r="O2176">
        <v>0.3</v>
      </c>
      <c r="P2176">
        <v>-89.45</v>
      </c>
      <c r="Q2176" t="s">
        <v>9897</v>
      </c>
      <c r="R2176">
        <v>2</v>
      </c>
      <c r="S2176" s="5">
        <f t="shared" si="66"/>
        <v>-5.1776732017064044E-2</v>
      </c>
      <c r="T2176">
        <v>345.52199999999999</v>
      </c>
      <c r="U2176">
        <v>4</v>
      </c>
      <c r="V2176">
        <v>2024</v>
      </c>
      <c r="W2176">
        <v>2</v>
      </c>
      <c r="X2176" t="s">
        <v>9898</v>
      </c>
      <c r="Y2176" t="s">
        <v>9900</v>
      </c>
      <c r="Z2176" t="s">
        <v>9898</v>
      </c>
      <c r="AD2176">
        <f t="shared" si="67"/>
        <v>2</v>
      </c>
    </row>
    <row r="2177" spans="1:30" x14ac:dyDescent="0.25">
      <c r="A2177" t="s">
        <v>2201</v>
      </c>
      <c r="B2177" s="2">
        <v>44858</v>
      </c>
      <c r="C2177" s="2">
        <v>44865</v>
      </c>
      <c r="D2177" t="s">
        <v>5394</v>
      </c>
      <c r="E2177" t="s">
        <v>5894</v>
      </c>
      <c r="F2177" t="s">
        <v>6027</v>
      </c>
      <c r="G2177" t="s">
        <v>6029</v>
      </c>
      <c r="H2177" t="s">
        <v>6041</v>
      </c>
      <c r="I2177" t="s">
        <v>6049</v>
      </c>
      <c r="J2177" t="s">
        <v>6054</v>
      </c>
      <c r="K2177" t="s">
        <v>6062</v>
      </c>
      <c r="L2177" t="s">
        <v>8001</v>
      </c>
      <c r="M2177">
        <v>1065.44</v>
      </c>
      <c r="N2177">
        <v>6</v>
      </c>
      <c r="O2177">
        <v>0.02</v>
      </c>
      <c r="P2177">
        <v>271.98</v>
      </c>
      <c r="Q2177" t="s">
        <v>9893</v>
      </c>
      <c r="R2177">
        <v>7</v>
      </c>
      <c r="S2177" s="5">
        <f t="shared" si="66"/>
        <v>0.25527481603844421</v>
      </c>
      <c r="T2177">
        <v>177.57333333333341</v>
      </c>
      <c r="U2177">
        <v>10</v>
      </c>
      <c r="V2177">
        <v>2022</v>
      </c>
      <c r="W2177">
        <v>4</v>
      </c>
      <c r="X2177" t="s">
        <v>9899</v>
      </c>
      <c r="Y2177" t="s">
        <v>9901</v>
      </c>
      <c r="Z2177" t="s">
        <v>9898</v>
      </c>
      <c r="AD2177">
        <f t="shared" si="67"/>
        <v>7</v>
      </c>
    </row>
    <row r="2178" spans="1:30" x14ac:dyDescent="0.25">
      <c r="A2178" t="s">
        <v>2202</v>
      </c>
      <c r="B2178" s="2">
        <v>44816</v>
      </c>
      <c r="C2178" s="2">
        <v>44821</v>
      </c>
      <c r="D2178" t="s">
        <v>5431</v>
      </c>
      <c r="E2178" t="s">
        <v>5931</v>
      </c>
      <c r="F2178" t="s">
        <v>6028</v>
      </c>
      <c r="G2178" t="s">
        <v>6029</v>
      </c>
      <c r="H2178" t="s">
        <v>6044</v>
      </c>
      <c r="I2178" t="s">
        <v>6046</v>
      </c>
      <c r="J2178" t="s">
        <v>6055</v>
      </c>
      <c r="K2178" t="s">
        <v>6061</v>
      </c>
      <c r="L2178" t="s">
        <v>8002</v>
      </c>
      <c r="M2178">
        <v>1106.6300000000001</v>
      </c>
      <c r="N2178">
        <v>7</v>
      </c>
      <c r="O2178">
        <v>0.06</v>
      </c>
      <c r="P2178">
        <v>209.36</v>
      </c>
      <c r="Q2178" t="s">
        <v>9895</v>
      </c>
      <c r="R2178">
        <v>5</v>
      </c>
      <c r="S2178" s="5">
        <f t="shared" si="66"/>
        <v>0.18918699113524845</v>
      </c>
      <c r="T2178">
        <v>158.09</v>
      </c>
      <c r="U2178">
        <v>9</v>
      </c>
      <c r="V2178">
        <v>2022</v>
      </c>
      <c r="W2178">
        <v>3</v>
      </c>
      <c r="X2178" t="s">
        <v>9899</v>
      </c>
      <c r="Y2178" t="s">
        <v>9901</v>
      </c>
      <c r="Z2178" t="s">
        <v>9898</v>
      </c>
      <c r="AD2178">
        <f t="shared" si="67"/>
        <v>5</v>
      </c>
    </row>
    <row r="2179" spans="1:30" x14ac:dyDescent="0.25">
      <c r="A2179" t="s">
        <v>2203</v>
      </c>
      <c r="B2179" s="2">
        <v>45343</v>
      </c>
      <c r="C2179" s="2">
        <v>45347</v>
      </c>
      <c r="D2179" t="s">
        <v>5073</v>
      </c>
      <c r="E2179" t="s">
        <v>5573</v>
      </c>
      <c r="F2179" t="s">
        <v>6027</v>
      </c>
      <c r="G2179" t="s">
        <v>6030</v>
      </c>
      <c r="H2179" t="s">
        <v>6035</v>
      </c>
      <c r="I2179" t="s">
        <v>6051</v>
      </c>
      <c r="J2179" t="s">
        <v>6055</v>
      </c>
      <c r="K2179" t="s">
        <v>6063</v>
      </c>
      <c r="L2179" t="s">
        <v>7536</v>
      </c>
      <c r="M2179">
        <v>827.08</v>
      </c>
      <c r="N2179">
        <v>7</v>
      </c>
      <c r="O2179">
        <v>0.35</v>
      </c>
      <c r="P2179">
        <v>-129.61000000000001</v>
      </c>
      <c r="Q2179" t="s">
        <v>9895</v>
      </c>
      <c r="R2179">
        <v>4</v>
      </c>
      <c r="S2179" s="5">
        <f t="shared" ref="S2179:S2242" si="68">P2179/M2179</f>
        <v>-0.15670793635440344</v>
      </c>
      <c r="T2179">
        <v>118.15428571428571</v>
      </c>
      <c r="U2179">
        <v>2</v>
      </c>
      <c r="V2179">
        <v>2024</v>
      </c>
      <c r="W2179">
        <v>1</v>
      </c>
      <c r="X2179" t="s">
        <v>9898</v>
      </c>
      <c r="Y2179" t="s">
        <v>9902</v>
      </c>
      <c r="Z2179" t="s">
        <v>9899</v>
      </c>
      <c r="AD2179">
        <f t="shared" ref="AD2179:AD2242" si="69">C2179-B2179</f>
        <v>4</v>
      </c>
    </row>
    <row r="2180" spans="1:30" x14ac:dyDescent="0.25">
      <c r="A2180" t="s">
        <v>2204</v>
      </c>
      <c r="B2180" s="2">
        <v>45077</v>
      </c>
      <c r="C2180" s="2">
        <v>45079</v>
      </c>
      <c r="D2180" t="s">
        <v>5479</v>
      </c>
      <c r="E2180" t="s">
        <v>5979</v>
      </c>
      <c r="F2180" t="s">
        <v>6028</v>
      </c>
      <c r="G2180" t="s">
        <v>6030</v>
      </c>
      <c r="H2180" t="s">
        <v>6035</v>
      </c>
      <c r="I2180" t="s">
        <v>6047</v>
      </c>
      <c r="J2180" t="s">
        <v>6054</v>
      </c>
      <c r="K2180" t="s">
        <v>6062</v>
      </c>
      <c r="L2180" t="s">
        <v>8003</v>
      </c>
      <c r="M2180">
        <v>1903.76</v>
      </c>
      <c r="N2180">
        <v>7</v>
      </c>
      <c r="O2180">
        <v>0.21</v>
      </c>
      <c r="P2180">
        <v>-196.7</v>
      </c>
      <c r="Q2180" t="s">
        <v>9897</v>
      </c>
      <c r="R2180">
        <v>2</v>
      </c>
      <c r="S2180" s="5">
        <f t="shared" si="68"/>
        <v>-0.10332184729167541</v>
      </c>
      <c r="T2180">
        <v>271.96571428571428</v>
      </c>
      <c r="U2180">
        <v>5</v>
      </c>
      <c r="V2180">
        <v>2023</v>
      </c>
      <c r="W2180">
        <v>2</v>
      </c>
      <c r="X2180" t="s">
        <v>9898</v>
      </c>
      <c r="Y2180" t="s">
        <v>9900</v>
      </c>
      <c r="Z2180" t="s">
        <v>9898</v>
      </c>
      <c r="AD2180">
        <f t="shared" si="69"/>
        <v>2</v>
      </c>
    </row>
    <row r="2181" spans="1:30" x14ac:dyDescent="0.25">
      <c r="A2181" t="s">
        <v>2205</v>
      </c>
      <c r="B2181" s="2">
        <v>44899</v>
      </c>
      <c r="C2181" s="2">
        <v>44900</v>
      </c>
      <c r="D2181" t="s">
        <v>5084</v>
      </c>
      <c r="E2181" t="s">
        <v>5584</v>
      </c>
      <c r="F2181" t="s">
        <v>6027</v>
      </c>
      <c r="G2181" t="s">
        <v>6030</v>
      </c>
      <c r="H2181" t="s">
        <v>6039</v>
      </c>
      <c r="I2181" t="s">
        <v>6047</v>
      </c>
      <c r="J2181" t="s">
        <v>6054</v>
      </c>
      <c r="K2181" t="s">
        <v>6060</v>
      </c>
      <c r="L2181" t="s">
        <v>8004</v>
      </c>
      <c r="M2181">
        <v>516.79</v>
      </c>
      <c r="N2181">
        <v>6</v>
      </c>
      <c r="O2181">
        <v>0.05</v>
      </c>
      <c r="P2181">
        <v>79.739999999999995</v>
      </c>
      <c r="Q2181" t="s">
        <v>9896</v>
      </c>
      <c r="R2181">
        <v>1</v>
      </c>
      <c r="S2181" s="5">
        <f t="shared" si="68"/>
        <v>0.15429865128969214</v>
      </c>
      <c r="T2181">
        <v>86.131666666666661</v>
      </c>
      <c r="U2181">
        <v>12</v>
      </c>
      <c r="V2181">
        <v>2022</v>
      </c>
      <c r="W2181">
        <v>4</v>
      </c>
      <c r="X2181" t="s">
        <v>9899</v>
      </c>
      <c r="Y2181" t="s">
        <v>9901</v>
      </c>
      <c r="Z2181" t="s">
        <v>9899</v>
      </c>
      <c r="AD2181">
        <f t="shared" si="69"/>
        <v>1</v>
      </c>
    </row>
    <row r="2182" spans="1:30" x14ac:dyDescent="0.25">
      <c r="A2182" t="s">
        <v>2206</v>
      </c>
      <c r="B2182" s="2">
        <v>45380</v>
      </c>
      <c r="C2182" s="2">
        <v>45386</v>
      </c>
      <c r="D2182" t="s">
        <v>5209</v>
      </c>
      <c r="E2182" t="s">
        <v>5709</v>
      </c>
      <c r="F2182" t="s">
        <v>6027</v>
      </c>
      <c r="G2182" t="s">
        <v>6030</v>
      </c>
      <c r="H2182" t="s">
        <v>6038</v>
      </c>
      <c r="I2182" t="s">
        <v>6051</v>
      </c>
      <c r="J2182" t="s">
        <v>6055</v>
      </c>
      <c r="K2182" t="s">
        <v>6063</v>
      </c>
      <c r="L2182" t="s">
        <v>8005</v>
      </c>
      <c r="M2182">
        <v>132.51</v>
      </c>
      <c r="N2182">
        <v>1</v>
      </c>
      <c r="O2182">
        <v>0.02</v>
      </c>
      <c r="P2182">
        <v>35.479999999999997</v>
      </c>
      <c r="Q2182" t="s">
        <v>9895</v>
      </c>
      <c r="R2182">
        <v>6</v>
      </c>
      <c r="S2182" s="5">
        <f t="shared" si="68"/>
        <v>0.2677533771036148</v>
      </c>
      <c r="T2182">
        <v>132.51</v>
      </c>
      <c r="U2182">
        <v>3</v>
      </c>
      <c r="V2182">
        <v>2024</v>
      </c>
      <c r="W2182">
        <v>1</v>
      </c>
      <c r="X2182" t="s">
        <v>9899</v>
      </c>
      <c r="Y2182" t="s">
        <v>9901</v>
      </c>
      <c r="Z2182" t="s">
        <v>9899</v>
      </c>
      <c r="AD2182">
        <f t="shared" si="69"/>
        <v>6</v>
      </c>
    </row>
    <row r="2183" spans="1:30" x14ac:dyDescent="0.25">
      <c r="A2183" t="s">
        <v>2207</v>
      </c>
      <c r="B2183" s="2">
        <v>44832</v>
      </c>
      <c r="C2183" s="2">
        <v>44837</v>
      </c>
      <c r="D2183" t="s">
        <v>5082</v>
      </c>
      <c r="E2183" t="s">
        <v>5582</v>
      </c>
      <c r="F2183" t="s">
        <v>6028</v>
      </c>
      <c r="G2183" t="s">
        <v>6031</v>
      </c>
      <c r="H2183" t="s">
        <v>6040</v>
      </c>
      <c r="I2183" t="s">
        <v>6050</v>
      </c>
      <c r="J2183" t="s">
        <v>6055</v>
      </c>
      <c r="K2183" t="s">
        <v>6063</v>
      </c>
      <c r="L2183" t="s">
        <v>8006</v>
      </c>
      <c r="M2183">
        <v>922.4</v>
      </c>
      <c r="N2183">
        <v>6</v>
      </c>
      <c r="O2183">
        <v>0.19</v>
      </c>
      <c r="P2183">
        <v>88.7</v>
      </c>
      <c r="Q2183" t="s">
        <v>9893</v>
      </c>
      <c r="R2183">
        <v>5</v>
      </c>
      <c r="S2183" s="5">
        <f t="shared" si="68"/>
        <v>9.6162185602775369E-2</v>
      </c>
      <c r="T2183">
        <v>153.73333333333329</v>
      </c>
      <c r="U2183">
        <v>9</v>
      </c>
      <c r="V2183">
        <v>2022</v>
      </c>
      <c r="W2183">
        <v>3</v>
      </c>
      <c r="X2183" t="s">
        <v>9899</v>
      </c>
      <c r="Y2183" t="s">
        <v>9900</v>
      </c>
      <c r="Z2183" t="s">
        <v>9899</v>
      </c>
      <c r="AD2183">
        <f t="shared" si="69"/>
        <v>5</v>
      </c>
    </row>
    <row r="2184" spans="1:30" x14ac:dyDescent="0.25">
      <c r="A2184" t="s">
        <v>2208</v>
      </c>
      <c r="B2184" s="2">
        <v>45112</v>
      </c>
      <c r="C2184" s="2">
        <v>45116</v>
      </c>
      <c r="D2184" t="s">
        <v>5278</v>
      </c>
      <c r="E2184" t="s">
        <v>5778</v>
      </c>
      <c r="F2184" t="s">
        <v>6027</v>
      </c>
      <c r="G2184" t="s">
        <v>6030</v>
      </c>
      <c r="H2184" t="s">
        <v>6033</v>
      </c>
      <c r="I2184" t="s">
        <v>6047</v>
      </c>
      <c r="J2184" t="s">
        <v>6054</v>
      </c>
      <c r="K2184" t="s">
        <v>6059</v>
      </c>
      <c r="L2184" t="s">
        <v>8007</v>
      </c>
      <c r="M2184">
        <v>864.31</v>
      </c>
      <c r="N2184">
        <v>5</v>
      </c>
      <c r="O2184">
        <v>0.02</v>
      </c>
      <c r="P2184">
        <v>118.27</v>
      </c>
      <c r="Q2184" t="s">
        <v>9893</v>
      </c>
      <c r="R2184">
        <v>4</v>
      </c>
      <c r="S2184" s="5">
        <f t="shared" si="68"/>
        <v>0.13683747729402645</v>
      </c>
      <c r="T2184">
        <v>172.86199999999999</v>
      </c>
      <c r="U2184">
        <v>7</v>
      </c>
      <c r="V2184">
        <v>2023</v>
      </c>
      <c r="W2184">
        <v>3</v>
      </c>
      <c r="X2184" t="s">
        <v>9899</v>
      </c>
      <c r="Y2184" t="s">
        <v>9901</v>
      </c>
      <c r="Z2184" t="s">
        <v>9899</v>
      </c>
      <c r="AD2184">
        <f t="shared" si="69"/>
        <v>4</v>
      </c>
    </row>
    <row r="2185" spans="1:30" x14ac:dyDescent="0.25">
      <c r="A2185" t="s">
        <v>2209</v>
      </c>
      <c r="B2185" s="2">
        <v>44688</v>
      </c>
      <c r="C2185" s="2">
        <v>44694</v>
      </c>
      <c r="D2185" t="s">
        <v>5483</v>
      </c>
      <c r="E2185" t="s">
        <v>5983</v>
      </c>
      <c r="F2185" t="s">
        <v>6028</v>
      </c>
      <c r="G2185" t="s">
        <v>6029</v>
      </c>
      <c r="H2185" t="s">
        <v>6041</v>
      </c>
      <c r="I2185" t="s">
        <v>6046</v>
      </c>
      <c r="J2185" t="s">
        <v>6054</v>
      </c>
      <c r="K2185" t="s">
        <v>6062</v>
      </c>
      <c r="L2185" t="s">
        <v>6603</v>
      </c>
      <c r="M2185">
        <v>562.72</v>
      </c>
      <c r="N2185">
        <v>5</v>
      </c>
      <c r="O2185">
        <v>0.16</v>
      </c>
      <c r="P2185">
        <v>54.66</v>
      </c>
      <c r="Q2185" t="s">
        <v>9893</v>
      </c>
      <c r="R2185">
        <v>6</v>
      </c>
      <c r="S2185" s="5">
        <f t="shared" si="68"/>
        <v>9.7135342621552448E-2</v>
      </c>
      <c r="T2185">
        <v>112.544</v>
      </c>
      <c r="U2185">
        <v>5</v>
      </c>
      <c r="V2185">
        <v>2022</v>
      </c>
      <c r="W2185">
        <v>2</v>
      </c>
      <c r="X2185" t="s">
        <v>9899</v>
      </c>
      <c r="Y2185" t="s">
        <v>9900</v>
      </c>
      <c r="Z2185" t="s">
        <v>9899</v>
      </c>
      <c r="AD2185">
        <f t="shared" si="69"/>
        <v>6</v>
      </c>
    </row>
    <row r="2186" spans="1:30" x14ac:dyDescent="0.25">
      <c r="A2186" t="s">
        <v>2210</v>
      </c>
      <c r="B2186" s="2">
        <v>44666</v>
      </c>
      <c r="C2186" s="2">
        <v>44671</v>
      </c>
      <c r="D2186" t="s">
        <v>5407</v>
      </c>
      <c r="E2186" t="s">
        <v>5907</v>
      </c>
      <c r="F2186" t="s">
        <v>6026</v>
      </c>
      <c r="G2186" t="s">
        <v>6031</v>
      </c>
      <c r="H2186" t="s">
        <v>6037</v>
      </c>
      <c r="I2186" t="s">
        <v>6052</v>
      </c>
      <c r="J2186" t="s">
        <v>6053</v>
      </c>
      <c r="K2186" t="s">
        <v>6056</v>
      </c>
      <c r="L2186" t="s">
        <v>8008</v>
      </c>
      <c r="M2186">
        <v>439.97</v>
      </c>
      <c r="N2186">
        <v>5</v>
      </c>
      <c r="O2186">
        <v>0.21</v>
      </c>
      <c r="P2186">
        <v>28.14</v>
      </c>
      <c r="Q2186" t="s">
        <v>9893</v>
      </c>
      <c r="R2186">
        <v>5</v>
      </c>
      <c r="S2186" s="5">
        <f t="shared" si="68"/>
        <v>6.3958906289065157E-2</v>
      </c>
      <c r="T2186">
        <v>87.994</v>
      </c>
      <c r="U2186">
        <v>4</v>
      </c>
      <c r="V2186">
        <v>2022</v>
      </c>
      <c r="W2186">
        <v>2</v>
      </c>
      <c r="X2186" t="s">
        <v>9899</v>
      </c>
      <c r="Y2186" t="s">
        <v>9900</v>
      </c>
      <c r="Z2186" t="s">
        <v>9899</v>
      </c>
      <c r="AD2186">
        <f t="shared" si="69"/>
        <v>5</v>
      </c>
    </row>
    <row r="2187" spans="1:30" x14ac:dyDescent="0.25">
      <c r="A2187" t="s">
        <v>2211</v>
      </c>
      <c r="B2187" s="2">
        <v>45344</v>
      </c>
      <c r="C2187" s="2">
        <v>45350</v>
      </c>
      <c r="D2187" t="s">
        <v>5451</v>
      </c>
      <c r="E2187" t="s">
        <v>5951</v>
      </c>
      <c r="F2187" t="s">
        <v>6026</v>
      </c>
      <c r="G2187" t="s">
        <v>6031</v>
      </c>
      <c r="H2187" t="s">
        <v>6040</v>
      </c>
      <c r="I2187" t="s">
        <v>6048</v>
      </c>
      <c r="J2187" t="s">
        <v>6053</v>
      </c>
      <c r="K2187" t="s">
        <v>6057</v>
      </c>
      <c r="L2187" t="s">
        <v>7673</v>
      </c>
      <c r="M2187">
        <v>1870.46</v>
      </c>
      <c r="N2187">
        <v>7</v>
      </c>
      <c r="O2187">
        <v>0.18</v>
      </c>
      <c r="P2187">
        <v>-32.03</v>
      </c>
      <c r="Q2187" t="s">
        <v>9893</v>
      </c>
      <c r="R2187">
        <v>6</v>
      </c>
      <c r="S2187" s="5">
        <f t="shared" si="68"/>
        <v>-1.7124129893181357E-2</v>
      </c>
      <c r="T2187">
        <v>267.20857142857142</v>
      </c>
      <c r="U2187">
        <v>2</v>
      </c>
      <c r="V2187">
        <v>2024</v>
      </c>
      <c r="W2187">
        <v>1</v>
      </c>
      <c r="X2187" t="s">
        <v>9898</v>
      </c>
      <c r="Y2187" t="s">
        <v>9900</v>
      </c>
      <c r="Z2187" t="s">
        <v>9898</v>
      </c>
      <c r="AD2187">
        <f t="shared" si="69"/>
        <v>6</v>
      </c>
    </row>
    <row r="2188" spans="1:30" x14ac:dyDescent="0.25">
      <c r="A2188" t="s">
        <v>2212</v>
      </c>
      <c r="B2188" s="2">
        <v>44731</v>
      </c>
      <c r="C2188" s="2">
        <v>44735</v>
      </c>
      <c r="D2188" t="s">
        <v>5279</v>
      </c>
      <c r="E2188" t="s">
        <v>5779</v>
      </c>
      <c r="F2188" t="s">
        <v>6026</v>
      </c>
      <c r="G2188" t="s">
        <v>6030</v>
      </c>
      <c r="H2188" t="s">
        <v>6039</v>
      </c>
      <c r="I2188" t="s">
        <v>6051</v>
      </c>
      <c r="J2188" t="s">
        <v>6054</v>
      </c>
      <c r="K2188" t="s">
        <v>6059</v>
      </c>
      <c r="L2188" t="s">
        <v>8009</v>
      </c>
      <c r="M2188">
        <v>346.42</v>
      </c>
      <c r="N2188">
        <v>6</v>
      </c>
      <c r="O2188">
        <v>0.25</v>
      </c>
      <c r="P2188">
        <v>7.13</v>
      </c>
      <c r="Q2188" t="s">
        <v>9894</v>
      </c>
      <c r="R2188">
        <v>4</v>
      </c>
      <c r="S2188" s="5">
        <f t="shared" si="68"/>
        <v>2.0581952543155705E-2</v>
      </c>
      <c r="T2188">
        <v>57.736666666666672</v>
      </c>
      <c r="U2188">
        <v>6</v>
      </c>
      <c r="V2188">
        <v>2022</v>
      </c>
      <c r="W2188">
        <v>2</v>
      </c>
      <c r="X2188" t="s">
        <v>9899</v>
      </c>
      <c r="Y2188" t="s">
        <v>9900</v>
      </c>
      <c r="Z2188" t="s">
        <v>9899</v>
      </c>
      <c r="AD2188">
        <f t="shared" si="69"/>
        <v>4</v>
      </c>
    </row>
    <row r="2189" spans="1:30" x14ac:dyDescent="0.25">
      <c r="A2189" t="s">
        <v>2213</v>
      </c>
      <c r="B2189" s="2">
        <v>44876</v>
      </c>
      <c r="C2189" s="2">
        <v>44878</v>
      </c>
      <c r="D2189" t="s">
        <v>5467</v>
      </c>
      <c r="E2189" t="s">
        <v>5967</v>
      </c>
      <c r="F2189" t="s">
        <v>6026</v>
      </c>
      <c r="G2189" t="s">
        <v>6031</v>
      </c>
      <c r="H2189" t="s">
        <v>6034</v>
      </c>
      <c r="I2189" t="s">
        <v>6050</v>
      </c>
      <c r="J2189" t="s">
        <v>6053</v>
      </c>
      <c r="K2189" t="s">
        <v>6056</v>
      </c>
      <c r="L2189" t="s">
        <v>8010</v>
      </c>
      <c r="M2189">
        <v>259.68</v>
      </c>
      <c r="N2189">
        <v>8</v>
      </c>
      <c r="O2189">
        <v>0.22</v>
      </c>
      <c r="P2189">
        <v>-15.12</v>
      </c>
      <c r="Q2189" t="s">
        <v>9896</v>
      </c>
      <c r="R2189">
        <v>2</v>
      </c>
      <c r="S2189" s="5">
        <f t="shared" si="68"/>
        <v>-5.8225508317929754E-2</v>
      </c>
      <c r="T2189">
        <v>32.46</v>
      </c>
      <c r="U2189">
        <v>11</v>
      </c>
      <c r="V2189">
        <v>2022</v>
      </c>
      <c r="W2189">
        <v>4</v>
      </c>
      <c r="X2189" t="s">
        <v>9898</v>
      </c>
      <c r="Y2189" t="s">
        <v>9900</v>
      </c>
      <c r="Z2189" t="s">
        <v>9899</v>
      </c>
      <c r="AD2189">
        <f t="shared" si="69"/>
        <v>2</v>
      </c>
    </row>
    <row r="2190" spans="1:30" x14ac:dyDescent="0.25">
      <c r="A2190" t="s">
        <v>2214</v>
      </c>
      <c r="B2190" s="2">
        <v>45284</v>
      </c>
      <c r="C2190" s="2">
        <v>45289</v>
      </c>
      <c r="D2190" t="s">
        <v>5386</v>
      </c>
      <c r="E2190" t="s">
        <v>5886</v>
      </c>
      <c r="F2190" t="s">
        <v>6027</v>
      </c>
      <c r="G2190" t="s">
        <v>6030</v>
      </c>
      <c r="H2190" t="s">
        <v>6039</v>
      </c>
      <c r="I2190" t="s">
        <v>6051</v>
      </c>
      <c r="J2190" t="s">
        <v>6054</v>
      </c>
      <c r="K2190" t="s">
        <v>6062</v>
      </c>
      <c r="L2190" t="s">
        <v>7646</v>
      </c>
      <c r="M2190">
        <v>1902.67</v>
      </c>
      <c r="N2190">
        <v>6</v>
      </c>
      <c r="O2190">
        <v>0.23</v>
      </c>
      <c r="P2190">
        <v>-142.86000000000001</v>
      </c>
      <c r="Q2190" t="s">
        <v>9894</v>
      </c>
      <c r="R2190">
        <v>5</v>
      </c>
      <c r="S2190" s="5">
        <f t="shared" si="68"/>
        <v>-7.5083960960124457E-2</v>
      </c>
      <c r="T2190">
        <v>317.11166666666668</v>
      </c>
      <c r="U2190">
        <v>12</v>
      </c>
      <c r="V2190">
        <v>2023</v>
      </c>
      <c r="W2190">
        <v>4</v>
      </c>
      <c r="X2190" t="s">
        <v>9898</v>
      </c>
      <c r="Y2190" t="s">
        <v>9900</v>
      </c>
      <c r="Z2190" t="s">
        <v>9898</v>
      </c>
      <c r="AD2190">
        <f t="shared" si="69"/>
        <v>5</v>
      </c>
    </row>
    <row r="2191" spans="1:30" x14ac:dyDescent="0.25">
      <c r="A2191" t="s">
        <v>2215</v>
      </c>
      <c r="B2191" s="2">
        <v>45367</v>
      </c>
      <c r="C2191" s="2">
        <v>45368</v>
      </c>
      <c r="D2191" t="s">
        <v>5501</v>
      </c>
      <c r="E2191" t="s">
        <v>6001</v>
      </c>
      <c r="F2191" t="s">
        <v>6028</v>
      </c>
      <c r="G2191" t="s">
        <v>6031</v>
      </c>
      <c r="H2191" t="s">
        <v>6043</v>
      </c>
      <c r="I2191" t="s">
        <v>6052</v>
      </c>
      <c r="J2191" t="s">
        <v>6054</v>
      </c>
      <c r="K2191" t="s">
        <v>6060</v>
      </c>
      <c r="L2191" t="s">
        <v>8011</v>
      </c>
      <c r="M2191">
        <v>1691.11</v>
      </c>
      <c r="N2191">
        <v>6</v>
      </c>
      <c r="O2191">
        <v>0.31</v>
      </c>
      <c r="P2191">
        <v>-336.06</v>
      </c>
      <c r="Q2191" t="s">
        <v>9893</v>
      </c>
      <c r="R2191">
        <v>1</v>
      </c>
      <c r="S2191" s="5">
        <f t="shared" si="68"/>
        <v>-0.19872154975134676</v>
      </c>
      <c r="T2191">
        <v>281.85166666666657</v>
      </c>
      <c r="U2191">
        <v>3</v>
      </c>
      <c r="V2191">
        <v>2024</v>
      </c>
      <c r="W2191">
        <v>1</v>
      </c>
      <c r="X2191" t="s">
        <v>9898</v>
      </c>
      <c r="Y2191" t="s">
        <v>9902</v>
      </c>
      <c r="Z2191" t="s">
        <v>9898</v>
      </c>
      <c r="AD2191">
        <f t="shared" si="69"/>
        <v>1</v>
      </c>
    </row>
    <row r="2192" spans="1:30" x14ac:dyDescent="0.25">
      <c r="A2192" t="s">
        <v>2216</v>
      </c>
      <c r="B2192" s="2">
        <v>45242</v>
      </c>
      <c r="C2192" s="2">
        <v>45247</v>
      </c>
      <c r="D2192" t="s">
        <v>5511</v>
      </c>
      <c r="E2192" t="s">
        <v>6011</v>
      </c>
      <c r="F2192" t="s">
        <v>6027</v>
      </c>
      <c r="G2192" t="s">
        <v>6030</v>
      </c>
      <c r="H2192" t="s">
        <v>6039</v>
      </c>
      <c r="I2192" t="s">
        <v>6051</v>
      </c>
      <c r="J2192" t="s">
        <v>6053</v>
      </c>
      <c r="K2192" t="s">
        <v>6056</v>
      </c>
      <c r="L2192" t="s">
        <v>7559</v>
      </c>
      <c r="M2192">
        <v>1310.22</v>
      </c>
      <c r="N2192">
        <v>4</v>
      </c>
      <c r="O2192">
        <v>0.32</v>
      </c>
      <c r="P2192">
        <v>-276.97000000000003</v>
      </c>
      <c r="Q2192" t="s">
        <v>9897</v>
      </c>
      <c r="R2192">
        <v>5</v>
      </c>
      <c r="S2192" s="5">
        <f t="shared" si="68"/>
        <v>-0.21139197997282902</v>
      </c>
      <c r="T2192">
        <v>327.55500000000001</v>
      </c>
      <c r="U2192">
        <v>11</v>
      </c>
      <c r="V2192">
        <v>2023</v>
      </c>
      <c r="W2192">
        <v>4</v>
      </c>
      <c r="X2192" t="s">
        <v>9898</v>
      </c>
      <c r="Y2192" t="s">
        <v>9902</v>
      </c>
      <c r="Z2192" t="s">
        <v>9898</v>
      </c>
      <c r="AD2192">
        <f t="shared" si="69"/>
        <v>5</v>
      </c>
    </row>
    <row r="2193" spans="1:30" x14ac:dyDescent="0.25">
      <c r="A2193" t="s">
        <v>2217</v>
      </c>
      <c r="B2193" s="2">
        <v>44781</v>
      </c>
      <c r="C2193" s="2">
        <v>44787</v>
      </c>
      <c r="D2193" t="s">
        <v>5503</v>
      </c>
      <c r="E2193" t="s">
        <v>6003</v>
      </c>
      <c r="F2193" t="s">
        <v>6027</v>
      </c>
      <c r="G2193" t="s">
        <v>6031</v>
      </c>
      <c r="H2193" t="s">
        <v>6042</v>
      </c>
      <c r="I2193" t="s">
        <v>6048</v>
      </c>
      <c r="J2193" t="s">
        <v>6054</v>
      </c>
      <c r="K2193" t="s">
        <v>6060</v>
      </c>
      <c r="L2193" t="s">
        <v>8012</v>
      </c>
      <c r="M2193">
        <v>1244.4000000000001</v>
      </c>
      <c r="N2193">
        <v>4</v>
      </c>
      <c r="O2193">
        <v>0.28000000000000003</v>
      </c>
      <c r="P2193">
        <v>-118.2</v>
      </c>
      <c r="Q2193" t="s">
        <v>9895</v>
      </c>
      <c r="R2193">
        <v>6</v>
      </c>
      <c r="S2193" s="5">
        <f t="shared" si="68"/>
        <v>-9.4985535197685628E-2</v>
      </c>
      <c r="T2193">
        <v>311.10000000000002</v>
      </c>
      <c r="U2193">
        <v>8</v>
      </c>
      <c r="V2193">
        <v>2022</v>
      </c>
      <c r="W2193">
        <v>3</v>
      </c>
      <c r="X2193" t="s">
        <v>9898</v>
      </c>
      <c r="Y2193" t="s">
        <v>9900</v>
      </c>
      <c r="Z2193" t="s">
        <v>9898</v>
      </c>
      <c r="AD2193">
        <f t="shared" si="69"/>
        <v>6</v>
      </c>
    </row>
    <row r="2194" spans="1:30" x14ac:dyDescent="0.25">
      <c r="A2194" t="s">
        <v>2218</v>
      </c>
      <c r="B2194" s="2">
        <v>44808</v>
      </c>
      <c r="C2194" s="2">
        <v>44811</v>
      </c>
      <c r="D2194" t="s">
        <v>5341</v>
      </c>
      <c r="E2194" t="s">
        <v>5841</v>
      </c>
      <c r="F2194" t="s">
        <v>6028</v>
      </c>
      <c r="G2194" t="s">
        <v>6030</v>
      </c>
      <c r="H2194" t="s">
        <v>6039</v>
      </c>
      <c r="I2194" t="s">
        <v>6051</v>
      </c>
      <c r="J2194" t="s">
        <v>6055</v>
      </c>
      <c r="K2194" t="s">
        <v>6061</v>
      </c>
      <c r="L2194" t="s">
        <v>6689</v>
      </c>
      <c r="M2194">
        <v>1529.8</v>
      </c>
      <c r="N2194">
        <v>6</v>
      </c>
      <c r="O2194">
        <v>0.22</v>
      </c>
      <c r="P2194">
        <v>97.42</v>
      </c>
      <c r="Q2194" t="s">
        <v>9893</v>
      </c>
      <c r="R2194">
        <v>3</v>
      </c>
      <c r="S2194" s="5">
        <f t="shared" si="68"/>
        <v>6.3681526996993074E-2</v>
      </c>
      <c r="T2194">
        <v>254.9666666666667</v>
      </c>
      <c r="U2194">
        <v>9</v>
      </c>
      <c r="V2194">
        <v>2022</v>
      </c>
      <c r="W2194">
        <v>3</v>
      </c>
      <c r="X2194" t="s">
        <v>9899</v>
      </c>
      <c r="Y2194" t="s">
        <v>9900</v>
      </c>
      <c r="Z2194" t="s">
        <v>9898</v>
      </c>
      <c r="AD2194">
        <f t="shared" si="69"/>
        <v>3</v>
      </c>
    </row>
    <row r="2195" spans="1:30" x14ac:dyDescent="0.25">
      <c r="A2195" t="s">
        <v>2219</v>
      </c>
      <c r="B2195" s="2">
        <v>44808</v>
      </c>
      <c r="C2195" s="2">
        <v>44809</v>
      </c>
      <c r="D2195" t="s">
        <v>5236</v>
      </c>
      <c r="E2195" t="s">
        <v>5736</v>
      </c>
      <c r="F2195" t="s">
        <v>6026</v>
      </c>
      <c r="G2195" t="s">
        <v>6031</v>
      </c>
      <c r="H2195" t="s">
        <v>6037</v>
      </c>
      <c r="I2195" t="s">
        <v>6048</v>
      </c>
      <c r="J2195" t="s">
        <v>6055</v>
      </c>
      <c r="K2195" t="s">
        <v>6063</v>
      </c>
      <c r="L2195" t="s">
        <v>8013</v>
      </c>
      <c r="M2195">
        <v>1061.1600000000001</v>
      </c>
      <c r="N2195">
        <v>1</v>
      </c>
      <c r="O2195">
        <v>0.31</v>
      </c>
      <c r="P2195">
        <v>-202.14</v>
      </c>
      <c r="Q2195" t="s">
        <v>9895</v>
      </c>
      <c r="R2195">
        <v>1</v>
      </c>
      <c r="S2195" s="5">
        <f t="shared" si="68"/>
        <v>-0.19048965283274905</v>
      </c>
      <c r="T2195">
        <v>1061.1600000000001</v>
      </c>
      <c r="U2195">
        <v>9</v>
      </c>
      <c r="V2195">
        <v>2022</v>
      </c>
      <c r="W2195">
        <v>3</v>
      </c>
      <c r="X2195" t="s">
        <v>9898</v>
      </c>
      <c r="Y2195" t="s">
        <v>9902</v>
      </c>
      <c r="Z2195" t="s">
        <v>9898</v>
      </c>
      <c r="AD2195">
        <f t="shared" si="69"/>
        <v>1</v>
      </c>
    </row>
    <row r="2196" spans="1:30" x14ac:dyDescent="0.25">
      <c r="A2196" t="s">
        <v>2220</v>
      </c>
      <c r="B2196" s="2">
        <v>44712</v>
      </c>
      <c r="C2196" s="2">
        <v>44716</v>
      </c>
      <c r="D2196" t="s">
        <v>5056</v>
      </c>
      <c r="E2196" t="s">
        <v>5556</v>
      </c>
      <c r="F2196" t="s">
        <v>6027</v>
      </c>
      <c r="G2196" t="s">
        <v>6030</v>
      </c>
      <c r="H2196" t="s">
        <v>6039</v>
      </c>
      <c r="I2196" t="s">
        <v>6051</v>
      </c>
      <c r="J2196" t="s">
        <v>6053</v>
      </c>
      <c r="K2196" t="s">
        <v>6056</v>
      </c>
      <c r="L2196" t="s">
        <v>8014</v>
      </c>
      <c r="M2196">
        <v>1547.41</v>
      </c>
      <c r="N2196">
        <v>6</v>
      </c>
      <c r="O2196">
        <v>0.32</v>
      </c>
      <c r="P2196">
        <v>-57.54</v>
      </c>
      <c r="Q2196" t="s">
        <v>9896</v>
      </c>
      <c r="R2196">
        <v>4</v>
      </c>
      <c r="S2196" s="5">
        <f t="shared" si="68"/>
        <v>-3.7184715104594125E-2</v>
      </c>
      <c r="T2196">
        <v>257.9016666666667</v>
      </c>
      <c r="U2196">
        <v>5</v>
      </c>
      <c r="V2196">
        <v>2022</v>
      </c>
      <c r="W2196">
        <v>2</v>
      </c>
      <c r="X2196" t="s">
        <v>9898</v>
      </c>
      <c r="Y2196" t="s">
        <v>9902</v>
      </c>
      <c r="Z2196" t="s">
        <v>9898</v>
      </c>
      <c r="AD2196">
        <f t="shared" si="69"/>
        <v>4</v>
      </c>
    </row>
    <row r="2197" spans="1:30" x14ac:dyDescent="0.25">
      <c r="A2197" t="s">
        <v>2221</v>
      </c>
      <c r="B2197" s="2">
        <v>45219</v>
      </c>
      <c r="C2197" s="2">
        <v>45224</v>
      </c>
      <c r="D2197" t="s">
        <v>5204</v>
      </c>
      <c r="E2197" t="s">
        <v>5704</v>
      </c>
      <c r="F2197" t="s">
        <v>6028</v>
      </c>
      <c r="G2197" t="s">
        <v>6031</v>
      </c>
      <c r="H2197" t="s">
        <v>6040</v>
      </c>
      <c r="I2197" t="s">
        <v>6050</v>
      </c>
      <c r="J2197" t="s">
        <v>6055</v>
      </c>
      <c r="K2197" t="s">
        <v>6061</v>
      </c>
      <c r="L2197" t="s">
        <v>8015</v>
      </c>
      <c r="M2197">
        <v>948.79</v>
      </c>
      <c r="N2197">
        <v>6</v>
      </c>
      <c r="O2197">
        <v>0.21</v>
      </c>
      <c r="P2197">
        <v>22.71</v>
      </c>
      <c r="Q2197" t="s">
        <v>9894</v>
      </c>
      <c r="R2197">
        <v>5</v>
      </c>
      <c r="S2197" s="5">
        <f t="shared" si="68"/>
        <v>2.3935749744411306E-2</v>
      </c>
      <c r="T2197">
        <v>158.13166666666669</v>
      </c>
      <c r="U2197">
        <v>10</v>
      </c>
      <c r="V2197">
        <v>2023</v>
      </c>
      <c r="W2197">
        <v>4</v>
      </c>
      <c r="X2197" t="s">
        <v>9899</v>
      </c>
      <c r="Y2197" t="s">
        <v>9900</v>
      </c>
      <c r="Z2197" t="s">
        <v>9899</v>
      </c>
      <c r="AD2197">
        <f t="shared" si="69"/>
        <v>5</v>
      </c>
    </row>
    <row r="2198" spans="1:30" x14ac:dyDescent="0.25">
      <c r="A2198" t="s">
        <v>2222</v>
      </c>
      <c r="B2198" s="2">
        <v>44635</v>
      </c>
      <c r="C2198" s="2">
        <v>44637</v>
      </c>
      <c r="D2198" t="s">
        <v>5289</v>
      </c>
      <c r="E2198" t="s">
        <v>5789</v>
      </c>
      <c r="F2198" t="s">
        <v>6028</v>
      </c>
      <c r="G2198" t="s">
        <v>6031</v>
      </c>
      <c r="H2198" t="s">
        <v>6037</v>
      </c>
      <c r="I2198" t="s">
        <v>6050</v>
      </c>
      <c r="J2198" t="s">
        <v>6054</v>
      </c>
      <c r="K2198" t="s">
        <v>6062</v>
      </c>
      <c r="L2198" t="s">
        <v>8016</v>
      </c>
      <c r="M2198">
        <v>749.24</v>
      </c>
      <c r="N2198">
        <v>8</v>
      </c>
      <c r="O2198">
        <v>0.28999999999999998</v>
      </c>
      <c r="P2198">
        <v>-136.22</v>
      </c>
      <c r="Q2198" t="s">
        <v>9895</v>
      </c>
      <c r="R2198">
        <v>2</v>
      </c>
      <c r="S2198" s="5">
        <f t="shared" si="68"/>
        <v>-0.18181090171373659</v>
      </c>
      <c r="T2198">
        <v>93.655000000000001</v>
      </c>
      <c r="U2198">
        <v>3</v>
      </c>
      <c r="V2198">
        <v>2022</v>
      </c>
      <c r="W2198">
        <v>1</v>
      </c>
      <c r="X2198" t="s">
        <v>9898</v>
      </c>
      <c r="Y2198" t="s">
        <v>9900</v>
      </c>
      <c r="Z2198" t="s">
        <v>9899</v>
      </c>
      <c r="AD2198">
        <f t="shared" si="69"/>
        <v>2</v>
      </c>
    </row>
    <row r="2199" spans="1:30" x14ac:dyDescent="0.25">
      <c r="A2199" t="s">
        <v>2223</v>
      </c>
      <c r="B2199" s="2">
        <v>45317</v>
      </c>
      <c r="C2199" s="2">
        <v>45322</v>
      </c>
      <c r="D2199" t="s">
        <v>5491</v>
      </c>
      <c r="E2199" t="s">
        <v>5991</v>
      </c>
      <c r="F2199" t="s">
        <v>6028</v>
      </c>
      <c r="G2199" t="s">
        <v>6031</v>
      </c>
      <c r="H2199" t="s">
        <v>6034</v>
      </c>
      <c r="I2199" t="s">
        <v>6048</v>
      </c>
      <c r="J2199" t="s">
        <v>6053</v>
      </c>
      <c r="K2199" t="s">
        <v>6056</v>
      </c>
      <c r="L2199" t="s">
        <v>8017</v>
      </c>
      <c r="M2199">
        <v>571.59</v>
      </c>
      <c r="N2199">
        <v>7</v>
      </c>
      <c r="O2199">
        <v>0.25</v>
      </c>
      <c r="P2199">
        <v>-57.38</v>
      </c>
      <c r="Q2199" t="s">
        <v>9896</v>
      </c>
      <c r="R2199">
        <v>5</v>
      </c>
      <c r="S2199" s="5">
        <f t="shared" si="68"/>
        <v>-0.10038664077398135</v>
      </c>
      <c r="T2199">
        <v>81.655714285714296</v>
      </c>
      <c r="U2199">
        <v>1</v>
      </c>
      <c r="V2199">
        <v>2024</v>
      </c>
      <c r="W2199">
        <v>1</v>
      </c>
      <c r="X2199" t="s">
        <v>9898</v>
      </c>
      <c r="Y2199" t="s">
        <v>9900</v>
      </c>
      <c r="Z2199" t="s">
        <v>9899</v>
      </c>
      <c r="AD2199">
        <f t="shared" si="69"/>
        <v>5</v>
      </c>
    </row>
    <row r="2200" spans="1:30" x14ac:dyDescent="0.25">
      <c r="A2200" t="s">
        <v>2224</v>
      </c>
      <c r="B2200" s="2">
        <v>45384</v>
      </c>
      <c r="C2200" s="2">
        <v>45390</v>
      </c>
      <c r="D2200" t="s">
        <v>5364</v>
      </c>
      <c r="E2200" t="s">
        <v>5864</v>
      </c>
      <c r="F2200" t="s">
        <v>6028</v>
      </c>
      <c r="G2200" t="s">
        <v>6029</v>
      </c>
      <c r="H2200" t="s">
        <v>6036</v>
      </c>
      <c r="I2200" t="s">
        <v>6046</v>
      </c>
      <c r="J2200" t="s">
        <v>6054</v>
      </c>
      <c r="K2200" t="s">
        <v>6059</v>
      </c>
      <c r="L2200" t="s">
        <v>8018</v>
      </c>
      <c r="M2200">
        <v>1422.12</v>
      </c>
      <c r="N2200">
        <v>2</v>
      </c>
      <c r="O2200">
        <v>0.08</v>
      </c>
      <c r="P2200">
        <v>127.8</v>
      </c>
      <c r="Q2200" t="s">
        <v>9895</v>
      </c>
      <c r="R2200">
        <v>6</v>
      </c>
      <c r="S2200" s="5">
        <f t="shared" si="68"/>
        <v>8.9865834106826428E-2</v>
      </c>
      <c r="T2200">
        <v>711.06</v>
      </c>
      <c r="U2200">
        <v>4</v>
      </c>
      <c r="V2200">
        <v>2024</v>
      </c>
      <c r="W2200">
        <v>2</v>
      </c>
      <c r="X2200" t="s">
        <v>9899</v>
      </c>
      <c r="Y2200" t="s">
        <v>9901</v>
      </c>
      <c r="Z2200" t="s">
        <v>9898</v>
      </c>
      <c r="AD2200">
        <f t="shared" si="69"/>
        <v>6</v>
      </c>
    </row>
    <row r="2201" spans="1:30" x14ac:dyDescent="0.25">
      <c r="A2201" t="s">
        <v>2225</v>
      </c>
      <c r="B2201" s="2">
        <v>44817</v>
      </c>
      <c r="C2201" s="2">
        <v>44823</v>
      </c>
      <c r="D2201" t="s">
        <v>5132</v>
      </c>
      <c r="E2201" t="s">
        <v>5632</v>
      </c>
      <c r="F2201" t="s">
        <v>6026</v>
      </c>
      <c r="G2201" t="s">
        <v>6031</v>
      </c>
      <c r="H2201" t="s">
        <v>6034</v>
      </c>
      <c r="I2201" t="s">
        <v>6052</v>
      </c>
      <c r="J2201" t="s">
        <v>6054</v>
      </c>
      <c r="K2201" t="s">
        <v>6062</v>
      </c>
      <c r="L2201" t="s">
        <v>8019</v>
      </c>
      <c r="M2201">
        <v>133.88999999999999</v>
      </c>
      <c r="N2201">
        <v>1</v>
      </c>
      <c r="O2201">
        <v>0.13</v>
      </c>
      <c r="P2201">
        <v>18.78</v>
      </c>
      <c r="Q2201" t="s">
        <v>9897</v>
      </c>
      <c r="R2201">
        <v>6</v>
      </c>
      <c r="S2201" s="5">
        <f t="shared" si="68"/>
        <v>0.1402643961460901</v>
      </c>
      <c r="T2201">
        <v>133.88999999999999</v>
      </c>
      <c r="U2201">
        <v>9</v>
      </c>
      <c r="V2201">
        <v>2022</v>
      </c>
      <c r="W2201">
        <v>3</v>
      </c>
      <c r="X2201" t="s">
        <v>9899</v>
      </c>
      <c r="Y2201" t="s">
        <v>9901</v>
      </c>
      <c r="Z2201" t="s">
        <v>9899</v>
      </c>
      <c r="AD2201">
        <f t="shared" si="69"/>
        <v>6</v>
      </c>
    </row>
    <row r="2202" spans="1:30" x14ac:dyDescent="0.25">
      <c r="A2202" t="s">
        <v>2226</v>
      </c>
      <c r="B2202" s="2">
        <v>45376</v>
      </c>
      <c r="C2202" s="2">
        <v>45382</v>
      </c>
      <c r="D2202" t="s">
        <v>5254</v>
      </c>
      <c r="E2202" t="s">
        <v>5754</v>
      </c>
      <c r="F2202" t="s">
        <v>6026</v>
      </c>
      <c r="G2202" t="s">
        <v>6029</v>
      </c>
      <c r="H2202" t="s">
        <v>6041</v>
      </c>
      <c r="I2202" t="s">
        <v>6050</v>
      </c>
      <c r="J2202" t="s">
        <v>6053</v>
      </c>
      <c r="K2202" t="s">
        <v>6056</v>
      </c>
      <c r="L2202" t="s">
        <v>8020</v>
      </c>
      <c r="M2202">
        <v>109.18</v>
      </c>
      <c r="N2202">
        <v>7</v>
      </c>
      <c r="O2202">
        <v>0.21</v>
      </c>
      <c r="P2202">
        <v>-11.67</v>
      </c>
      <c r="Q2202" t="s">
        <v>9894</v>
      </c>
      <c r="R2202">
        <v>6</v>
      </c>
      <c r="S2202" s="5">
        <f t="shared" si="68"/>
        <v>-0.10688770837149661</v>
      </c>
      <c r="T2202">
        <v>15.59714285714286</v>
      </c>
      <c r="U2202">
        <v>3</v>
      </c>
      <c r="V2202">
        <v>2024</v>
      </c>
      <c r="W2202">
        <v>1</v>
      </c>
      <c r="X2202" t="s">
        <v>9898</v>
      </c>
      <c r="Y2202" t="s">
        <v>9900</v>
      </c>
      <c r="Z2202" t="s">
        <v>9899</v>
      </c>
      <c r="AD2202">
        <f t="shared" si="69"/>
        <v>6</v>
      </c>
    </row>
    <row r="2203" spans="1:30" x14ac:dyDescent="0.25">
      <c r="A2203" t="s">
        <v>2227</v>
      </c>
      <c r="B2203" s="2">
        <v>44946</v>
      </c>
      <c r="C2203" s="2">
        <v>44949</v>
      </c>
      <c r="D2203" t="s">
        <v>5153</v>
      </c>
      <c r="E2203" t="s">
        <v>5653</v>
      </c>
      <c r="F2203" t="s">
        <v>6026</v>
      </c>
      <c r="G2203" t="s">
        <v>6030</v>
      </c>
      <c r="H2203" t="s">
        <v>6035</v>
      </c>
      <c r="I2203" t="s">
        <v>6047</v>
      </c>
      <c r="J2203" t="s">
        <v>6053</v>
      </c>
      <c r="K2203" t="s">
        <v>6058</v>
      </c>
      <c r="L2203" t="s">
        <v>8021</v>
      </c>
      <c r="M2203">
        <v>1826.22</v>
      </c>
      <c r="N2203">
        <v>4</v>
      </c>
      <c r="O2203">
        <v>0.28999999999999998</v>
      </c>
      <c r="P2203">
        <v>-62</v>
      </c>
      <c r="Q2203" t="s">
        <v>9894</v>
      </c>
      <c r="R2203">
        <v>3</v>
      </c>
      <c r="S2203" s="5">
        <f t="shared" si="68"/>
        <v>-3.3949907459123213E-2</v>
      </c>
      <c r="T2203">
        <v>456.55500000000001</v>
      </c>
      <c r="U2203">
        <v>1</v>
      </c>
      <c r="V2203">
        <v>2023</v>
      </c>
      <c r="W2203">
        <v>1</v>
      </c>
      <c r="X2203" t="s">
        <v>9898</v>
      </c>
      <c r="Y2203" t="s">
        <v>9900</v>
      </c>
      <c r="Z2203" t="s">
        <v>9898</v>
      </c>
      <c r="AD2203">
        <f t="shared" si="69"/>
        <v>3</v>
      </c>
    </row>
    <row r="2204" spans="1:30" x14ac:dyDescent="0.25">
      <c r="A2204" t="s">
        <v>2228</v>
      </c>
      <c r="B2204" s="2">
        <v>45273</v>
      </c>
      <c r="C2204" s="2">
        <v>45274</v>
      </c>
      <c r="D2204" t="s">
        <v>5127</v>
      </c>
      <c r="E2204" t="s">
        <v>5627</v>
      </c>
      <c r="F2204" t="s">
        <v>6026</v>
      </c>
      <c r="G2204" t="s">
        <v>6029</v>
      </c>
      <c r="H2204" t="s">
        <v>6036</v>
      </c>
      <c r="I2204" t="s">
        <v>6049</v>
      </c>
      <c r="J2204" t="s">
        <v>6054</v>
      </c>
      <c r="K2204" t="s">
        <v>6062</v>
      </c>
      <c r="L2204" t="s">
        <v>8022</v>
      </c>
      <c r="M2204">
        <v>977.51</v>
      </c>
      <c r="N2204">
        <v>7</v>
      </c>
      <c r="O2204">
        <v>0.12</v>
      </c>
      <c r="P2204">
        <v>58.23</v>
      </c>
      <c r="Q2204" t="s">
        <v>9897</v>
      </c>
      <c r="R2204">
        <v>1</v>
      </c>
      <c r="S2204" s="5">
        <f t="shared" si="68"/>
        <v>5.9569723071886731E-2</v>
      </c>
      <c r="T2204">
        <v>139.6442857142857</v>
      </c>
      <c r="U2204">
        <v>12</v>
      </c>
      <c r="V2204">
        <v>2023</v>
      </c>
      <c r="W2204">
        <v>4</v>
      </c>
      <c r="X2204" t="s">
        <v>9899</v>
      </c>
      <c r="Y2204" t="s">
        <v>9901</v>
      </c>
      <c r="Z2204" t="s">
        <v>9899</v>
      </c>
      <c r="AD2204">
        <f t="shared" si="69"/>
        <v>1</v>
      </c>
    </row>
    <row r="2205" spans="1:30" x14ac:dyDescent="0.25">
      <c r="A2205" t="s">
        <v>2229</v>
      </c>
      <c r="B2205" s="2">
        <v>45422</v>
      </c>
      <c r="C2205" s="2">
        <v>45425</v>
      </c>
      <c r="D2205" t="s">
        <v>5179</v>
      </c>
      <c r="E2205" t="s">
        <v>5679</v>
      </c>
      <c r="F2205" t="s">
        <v>6027</v>
      </c>
      <c r="G2205" t="s">
        <v>6029</v>
      </c>
      <c r="H2205" t="s">
        <v>6045</v>
      </c>
      <c r="I2205" t="s">
        <v>6046</v>
      </c>
      <c r="J2205" t="s">
        <v>6054</v>
      </c>
      <c r="K2205" t="s">
        <v>6062</v>
      </c>
      <c r="L2205" t="s">
        <v>8023</v>
      </c>
      <c r="M2205">
        <v>639.29</v>
      </c>
      <c r="N2205">
        <v>5</v>
      </c>
      <c r="O2205">
        <v>0.22</v>
      </c>
      <c r="P2205">
        <v>-15.39</v>
      </c>
      <c r="Q2205" t="s">
        <v>9896</v>
      </c>
      <c r="R2205">
        <v>3</v>
      </c>
      <c r="S2205" s="5">
        <f t="shared" si="68"/>
        <v>-2.4073581629620363E-2</v>
      </c>
      <c r="T2205">
        <v>127.858</v>
      </c>
      <c r="U2205">
        <v>5</v>
      </c>
      <c r="V2205">
        <v>2024</v>
      </c>
      <c r="W2205">
        <v>2</v>
      </c>
      <c r="X2205" t="s">
        <v>9898</v>
      </c>
      <c r="Y2205" t="s">
        <v>9900</v>
      </c>
      <c r="Z2205" t="s">
        <v>9899</v>
      </c>
      <c r="AD2205">
        <f t="shared" si="69"/>
        <v>3</v>
      </c>
    </row>
    <row r="2206" spans="1:30" x14ac:dyDescent="0.25">
      <c r="A2206" t="s">
        <v>2230</v>
      </c>
      <c r="B2206" s="2">
        <v>45186</v>
      </c>
      <c r="C2206" s="2">
        <v>45193</v>
      </c>
      <c r="D2206" t="s">
        <v>5417</v>
      </c>
      <c r="E2206" t="s">
        <v>5917</v>
      </c>
      <c r="F2206" t="s">
        <v>6027</v>
      </c>
      <c r="G2206" t="s">
        <v>6030</v>
      </c>
      <c r="H2206" t="s">
        <v>6038</v>
      </c>
      <c r="I2206" t="s">
        <v>6051</v>
      </c>
      <c r="J2206" t="s">
        <v>6053</v>
      </c>
      <c r="K2206" t="s">
        <v>6057</v>
      </c>
      <c r="L2206" t="s">
        <v>8024</v>
      </c>
      <c r="M2206">
        <v>152.06</v>
      </c>
      <c r="N2206">
        <v>5</v>
      </c>
      <c r="O2206">
        <v>0.26</v>
      </c>
      <c r="P2206">
        <v>0.04</v>
      </c>
      <c r="Q2206" t="s">
        <v>9897</v>
      </c>
      <c r="R2206">
        <v>7</v>
      </c>
      <c r="S2206" s="5">
        <f t="shared" si="68"/>
        <v>2.6305405760883863E-4</v>
      </c>
      <c r="T2206">
        <v>30.411999999999999</v>
      </c>
      <c r="U2206">
        <v>9</v>
      </c>
      <c r="V2206">
        <v>2023</v>
      </c>
      <c r="W2206">
        <v>3</v>
      </c>
      <c r="X2206" t="s">
        <v>9899</v>
      </c>
      <c r="Y2206" t="s">
        <v>9900</v>
      </c>
      <c r="Z2206" t="s">
        <v>9899</v>
      </c>
      <c r="AD2206">
        <f t="shared" si="69"/>
        <v>7</v>
      </c>
    </row>
    <row r="2207" spans="1:30" x14ac:dyDescent="0.25">
      <c r="A2207" t="s">
        <v>2231</v>
      </c>
      <c r="B2207" s="2">
        <v>45000</v>
      </c>
      <c r="C2207" s="2">
        <v>45006</v>
      </c>
      <c r="D2207" t="s">
        <v>5099</v>
      </c>
      <c r="E2207" t="s">
        <v>5599</v>
      </c>
      <c r="F2207" t="s">
        <v>6026</v>
      </c>
      <c r="G2207" t="s">
        <v>6030</v>
      </c>
      <c r="H2207" t="s">
        <v>6033</v>
      </c>
      <c r="I2207" t="s">
        <v>6051</v>
      </c>
      <c r="J2207" t="s">
        <v>6055</v>
      </c>
      <c r="K2207" t="s">
        <v>6061</v>
      </c>
      <c r="L2207" t="s">
        <v>8025</v>
      </c>
      <c r="M2207">
        <v>1007.77</v>
      </c>
      <c r="N2207">
        <v>2</v>
      </c>
      <c r="O2207">
        <v>0.35</v>
      </c>
      <c r="P2207">
        <v>-156.63</v>
      </c>
      <c r="Q2207" t="s">
        <v>9893</v>
      </c>
      <c r="R2207">
        <v>6</v>
      </c>
      <c r="S2207" s="5">
        <f t="shared" si="68"/>
        <v>-0.15542236819909305</v>
      </c>
      <c r="T2207">
        <v>503.88499999999999</v>
      </c>
      <c r="U2207">
        <v>3</v>
      </c>
      <c r="V2207">
        <v>2023</v>
      </c>
      <c r="W2207">
        <v>1</v>
      </c>
      <c r="X2207" t="s">
        <v>9898</v>
      </c>
      <c r="Y2207" t="s">
        <v>9902</v>
      </c>
      <c r="Z2207" t="s">
        <v>9898</v>
      </c>
      <c r="AD2207">
        <f t="shared" si="69"/>
        <v>6</v>
      </c>
    </row>
    <row r="2208" spans="1:30" x14ac:dyDescent="0.25">
      <c r="A2208" t="s">
        <v>2232</v>
      </c>
      <c r="B2208" s="2">
        <v>44751</v>
      </c>
      <c r="C2208" s="2">
        <v>44753</v>
      </c>
      <c r="D2208" t="s">
        <v>5396</v>
      </c>
      <c r="E2208" t="s">
        <v>5896</v>
      </c>
      <c r="F2208" t="s">
        <v>6028</v>
      </c>
      <c r="G2208" t="s">
        <v>6029</v>
      </c>
      <c r="H2208" t="s">
        <v>6044</v>
      </c>
      <c r="I2208" t="s">
        <v>6050</v>
      </c>
      <c r="J2208" t="s">
        <v>6053</v>
      </c>
      <c r="K2208" t="s">
        <v>6057</v>
      </c>
      <c r="L2208" t="s">
        <v>8026</v>
      </c>
      <c r="M2208">
        <v>482.38</v>
      </c>
      <c r="N2208">
        <v>1</v>
      </c>
      <c r="O2208">
        <v>0.21</v>
      </c>
      <c r="P2208">
        <v>42.47</v>
      </c>
      <c r="Q2208" t="s">
        <v>9895</v>
      </c>
      <c r="R2208">
        <v>2</v>
      </c>
      <c r="S2208" s="5">
        <f t="shared" si="68"/>
        <v>8.8042621999253695E-2</v>
      </c>
      <c r="T2208">
        <v>482.38</v>
      </c>
      <c r="U2208">
        <v>7</v>
      </c>
      <c r="V2208">
        <v>2022</v>
      </c>
      <c r="W2208">
        <v>3</v>
      </c>
      <c r="X2208" t="s">
        <v>9899</v>
      </c>
      <c r="Y2208" t="s">
        <v>9900</v>
      </c>
      <c r="Z2208" t="s">
        <v>9899</v>
      </c>
      <c r="AD2208">
        <f t="shared" si="69"/>
        <v>2</v>
      </c>
    </row>
    <row r="2209" spans="1:30" x14ac:dyDescent="0.25">
      <c r="A2209" t="s">
        <v>2233</v>
      </c>
      <c r="B2209" s="2">
        <v>44647</v>
      </c>
      <c r="C2209" s="2">
        <v>44652</v>
      </c>
      <c r="D2209" t="s">
        <v>5367</v>
      </c>
      <c r="E2209" t="s">
        <v>5867</v>
      </c>
      <c r="F2209" t="s">
        <v>6027</v>
      </c>
      <c r="G2209" t="s">
        <v>6031</v>
      </c>
      <c r="H2209" t="s">
        <v>6034</v>
      </c>
      <c r="I2209" t="s">
        <v>6048</v>
      </c>
      <c r="J2209" t="s">
        <v>6053</v>
      </c>
      <c r="K2209" t="s">
        <v>6056</v>
      </c>
      <c r="L2209" t="s">
        <v>8027</v>
      </c>
      <c r="M2209">
        <v>1608.31</v>
      </c>
      <c r="N2209">
        <v>4</v>
      </c>
      <c r="O2209">
        <v>0.05</v>
      </c>
      <c r="P2209">
        <v>165.25</v>
      </c>
      <c r="Q2209" t="s">
        <v>9894</v>
      </c>
      <c r="R2209">
        <v>5</v>
      </c>
      <c r="S2209" s="5">
        <f t="shared" si="68"/>
        <v>0.10274760462846093</v>
      </c>
      <c r="T2209">
        <v>402.07749999999999</v>
      </c>
      <c r="U2209">
        <v>3</v>
      </c>
      <c r="V2209">
        <v>2022</v>
      </c>
      <c r="W2209">
        <v>1</v>
      </c>
      <c r="X2209" t="s">
        <v>9899</v>
      </c>
      <c r="Y2209" t="s">
        <v>9901</v>
      </c>
      <c r="Z2209" t="s">
        <v>9898</v>
      </c>
      <c r="AD2209">
        <f t="shared" si="69"/>
        <v>5</v>
      </c>
    </row>
    <row r="2210" spans="1:30" x14ac:dyDescent="0.25">
      <c r="A2210" t="s">
        <v>2234</v>
      </c>
      <c r="B2210" s="2">
        <v>44707</v>
      </c>
      <c r="C2210" s="2">
        <v>44710</v>
      </c>
      <c r="D2210" t="s">
        <v>5099</v>
      </c>
      <c r="E2210" t="s">
        <v>5599</v>
      </c>
      <c r="F2210" t="s">
        <v>6026</v>
      </c>
      <c r="G2210" t="s">
        <v>6030</v>
      </c>
      <c r="H2210" t="s">
        <v>6033</v>
      </c>
      <c r="I2210" t="s">
        <v>6051</v>
      </c>
      <c r="J2210" t="s">
        <v>6053</v>
      </c>
      <c r="K2210" t="s">
        <v>6057</v>
      </c>
      <c r="L2210" t="s">
        <v>8028</v>
      </c>
      <c r="M2210">
        <v>610.54</v>
      </c>
      <c r="N2210">
        <v>7</v>
      </c>
      <c r="O2210">
        <v>0</v>
      </c>
      <c r="P2210">
        <v>89.21</v>
      </c>
      <c r="Q2210" t="s">
        <v>9895</v>
      </c>
      <c r="R2210">
        <v>3</v>
      </c>
      <c r="S2210" s="5">
        <f t="shared" si="68"/>
        <v>0.14611655256002881</v>
      </c>
      <c r="T2210">
        <v>87.22</v>
      </c>
      <c r="U2210">
        <v>5</v>
      </c>
      <c r="V2210">
        <v>2022</v>
      </c>
      <c r="W2210">
        <v>2</v>
      </c>
      <c r="X2210" t="s">
        <v>9899</v>
      </c>
      <c r="Y2210" t="s">
        <v>9901</v>
      </c>
      <c r="Z2210" t="s">
        <v>9899</v>
      </c>
      <c r="AD2210">
        <f t="shared" si="69"/>
        <v>3</v>
      </c>
    </row>
    <row r="2211" spans="1:30" x14ac:dyDescent="0.25">
      <c r="A2211" t="s">
        <v>2235</v>
      </c>
      <c r="B2211" s="2">
        <v>44990</v>
      </c>
      <c r="C2211" s="2">
        <v>44994</v>
      </c>
      <c r="D2211" t="s">
        <v>5208</v>
      </c>
      <c r="E2211" t="s">
        <v>5708</v>
      </c>
      <c r="F2211" t="s">
        <v>6026</v>
      </c>
      <c r="G2211" t="s">
        <v>6029</v>
      </c>
      <c r="H2211" t="s">
        <v>6041</v>
      </c>
      <c r="I2211" t="s">
        <v>6046</v>
      </c>
      <c r="J2211" t="s">
        <v>6053</v>
      </c>
      <c r="K2211" t="s">
        <v>6057</v>
      </c>
      <c r="L2211" t="s">
        <v>8029</v>
      </c>
      <c r="M2211">
        <v>799.13</v>
      </c>
      <c r="N2211">
        <v>4</v>
      </c>
      <c r="O2211">
        <v>0.01</v>
      </c>
      <c r="P2211">
        <v>215.14</v>
      </c>
      <c r="Q2211" t="s">
        <v>9895</v>
      </c>
      <c r="R2211">
        <v>4</v>
      </c>
      <c r="S2211" s="5">
        <f t="shared" si="68"/>
        <v>0.26921777432958338</v>
      </c>
      <c r="T2211">
        <v>199.7825</v>
      </c>
      <c r="U2211">
        <v>3</v>
      </c>
      <c r="V2211">
        <v>2023</v>
      </c>
      <c r="W2211">
        <v>1</v>
      </c>
      <c r="X2211" t="s">
        <v>9899</v>
      </c>
      <c r="Y2211" t="s">
        <v>9901</v>
      </c>
      <c r="Z2211" t="s">
        <v>9899</v>
      </c>
      <c r="AD2211">
        <f t="shared" si="69"/>
        <v>4</v>
      </c>
    </row>
    <row r="2212" spans="1:30" x14ac:dyDescent="0.25">
      <c r="A2212" t="s">
        <v>2236</v>
      </c>
      <c r="B2212" s="2">
        <v>44715</v>
      </c>
      <c r="C2212" s="2">
        <v>44722</v>
      </c>
      <c r="D2212" t="s">
        <v>5320</v>
      </c>
      <c r="E2212" t="s">
        <v>5820</v>
      </c>
      <c r="F2212" t="s">
        <v>6028</v>
      </c>
      <c r="G2212" t="s">
        <v>6029</v>
      </c>
      <c r="H2212" t="s">
        <v>6041</v>
      </c>
      <c r="I2212" t="s">
        <v>6046</v>
      </c>
      <c r="J2212" t="s">
        <v>6053</v>
      </c>
      <c r="K2212" t="s">
        <v>6056</v>
      </c>
      <c r="L2212" t="s">
        <v>8030</v>
      </c>
      <c r="M2212">
        <v>1947.76</v>
      </c>
      <c r="N2212">
        <v>2</v>
      </c>
      <c r="O2212">
        <v>0.35</v>
      </c>
      <c r="P2212">
        <v>-133.38</v>
      </c>
      <c r="Q2212" t="s">
        <v>9896</v>
      </c>
      <c r="R2212">
        <v>7</v>
      </c>
      <c r="S2212" s="5">
        <f t="shared" si="68"/>
        <v>-6.8478662668911977E-2</v>
      </c>
      <c r="T2212">
        <v>973.88</v>
      </c>
      <c r="U2212">
        <v>6</v>
      </c>
      <c r="V2212">
        <v>2022</v>
      </c>
      <c r="W2212">
        <v>2</v>
      </c>
      <c r="X2212" t="s">
        <v>9898</v>
      </c>
      <c r="Y2212" t="s">
        <v>9902</v>
      </c>
      <c r="Z2212" t="s">
        <v>9898</v>
      </c>
      <c r="AD2212">
        <f t="shared" si="69"/>
        <v>7</v>
      </c>
    </row>
    <row r="2213" spans="1:30" x14ac:dyDescent="0.25">
      <c r="A2213" t="s">
        <v>2237</v>
      </c>
      <c r="B2213" s="2">
        <v>45263</v>
      </c>
      <c r="C2213" s="2">
        <v>45265</v>
      </c>
      <c r="D2213" t="s">
        <v>5259</v>
      </c>
      <c r="E2213" t="s">
        <v>5759</v>
      </c>
      <c r="F2213" t="s">
        <v>6028</v>
      </c>
      <c r="G2213" t="s">
        <v>6030</v>
      </c>
      <c r="H2213" t="s">
        <v>6039</v>
      </c>
      <c r="I2213" t="s">
        <v>6051</v>
      </c>
      <c r="J2213" t="s">
        <v>6054</v>
      </c>
      <c r="K2213" t="s">
        <v>6059</v>
      </c>
      <c r="L2213" t="s">
        <v>8031</v>
      </c>
      <c r="M2213">
        <v>511.27</v>
      </c>
      <c r="N2213">
        <v>8</v>
      </c>
      <c r="O2213">
        <v>0.01</v>
      </c>
      <c r="P2213">
        <v>131.77000000000001</v>
      </c>
      <c r="Q2213" t="s">
        <v>9896</v>
      </c>
      <c r="R2213">
        <v>2</v>
      </c>
      <c r="S2213" s="5">
        <f t="shared" si="68"/>
        <v>0.25773074891935771</v>
      </c>
      <c r="T2213">
        <v>63.908749999999998</v>
      </c>
      <c r="U2213">
        <v>12</v>
      </c>
      <c r="V2213">
        <v>2023</v>
      </c>
      <c r="W2213">
        <v>4</v>
      </c>
      <c r="X2213" t="s">
        <v>9899</v>
      </c>
      <c r="Y2213" t="s">
        <v>9901</v>
      </c>
      <c r="Z2213" t="s">
        <v>9899</v>
      </c>
      <c r="AD2213">
        <f t="shared" si="69"/>
        <v>2</v>
      </c>
    </row>
    <row r="2214" spans="1:30" x14ac:dyDescent="0.25">
      <c r="A2214" t="s">
        <v>2238</v>
      </c>
      <c r="B2214" s="2">
        <v>45035</v>
      </c>
      <c r="C2214" s="2">
        <v>45041</v>
      </c>
      <c r="D2214" t="s">
        <v>5381</v>
      </c>
      <c r="E2214" t="s">
        <v>5881</v>
      </c>
      <c r="F2214" t="s">
        <v>6026</v>
      </c>
      <c r="G2214" t="s">
        <v>6030</v>
      </c>
      <c r="H2214" t="s">
        <v>6033</v>
      </c>
      <c r="I2214" t="s">
        <v>6047</v>
      </c>
      <c r="J2214" t="s">
        <v>6054</v>
      </c>
      <c r="K2214" t="s">
        <v>6062</v>
      </c>
      <c r="L2214" t="s">
        <v>8032</v>
      </c>
      <c r="M2214">
        <v>1537.8</v>
      </c>
      <c r="N2214">
        <v>2</v>
      </c>
      <c r="O2214">
        <v>0.25</v>
      </c>
      <c r="P2214">
        <v>-113.46</v>
      </c>
      <c r="Q2214" t="s">
        <v>9895</v>
      </c>
      <c r="R2214">
        <v>6</v>
      </c>
      <c r="S2214" s="5">
        <f t="shared" si="68"/>
        <v>-7.3780725712056183E-2</v>
      </c>
      <c r="T2214">
        <v>768.9</v>
      </c>
      <c r="U2214">
        <v>4</v>
      </c>
      <c r="V2214">
        <v>2023</v>
      </c>
      <c r="W2214">
        <v>2</v>
      </c>
      <c r="X2214" t="s">
        <v>9898</v>
      </c>
      <c r="Y2214" t="s">
        <v>9900</v>
      </c>
      <c r="Z2214" t="s">
        <v>9898</v>
      </c>
      <c r="AD2214">
        <f t="shared" si="69"/>
        <v>6</v>
      </c>
    </row>
    <row r="2215" spans="1:30" x14ac:dyDescent="0.25">
      <c r="A2215" t="s">
        <v>2239</v>
      </c>
      <c r="B2215" s="2">
        <v>45021</v>
      </c>
      <c r="C2215" s="2">
        <v>45028</v>
      </c>
      <c r="D2215" t="s">
        <v>5304</v>
      </c>
      <c r="E2215" t="s">
        <v>5804</v>
      </c>
      <c r="F2215" t="s">
        <v>6027</v>
      </c>
      <c r="G2215" t="s">
        <v>6030</v>
      </c>
      <c r="H2215" t="s">
        <v>6035</v>
      </c>
      <c r="I2215" t="s">
        <v>6051</v>
      </c>
      <c r="J2215" t="s">
        <v>6055</v>
      </c>
      <c r="K2215" t="s">
        <v>6064</v>
      </c>
      <c r="L2215" t="s">
        <v>8033</v>
      </c>
      <c r="M2215">
        <v>321.20999999999998</v>
      </c>
      <c r="N2215">
        <v>1</v>
      </c>
      <c r="O2215">
        <v>0.01</v>
      </c>
      <c r="P2215">
        <v>83.33</v>
      </c>
      <c r="Q2215" t="s">
        <v>9896</v>
      </c>
      <c r="R2215">
        <v>7</v>
      </c>
      <c r="S2215" s="5">
        <f t="shared" si="68"/>
        <v>0.25942529809159121</v>
      </c>
      <c r="T2215">
        <v>321.20999999999998</v>
      </c>
      <c r="U2215">
        <v>4</v>
      </c>
      <c r="V2215">
        <v>2023</v>
      </c>
      <c r="W2215">
        <v>2</v>
      </c>
      <c r="X2215" t="s">
        <v>9899</v>
      </c>
      <c r="Y2215" t="s">
        <v>9901</v>
      </c>
      <c r="Z2215" t="s">
        <v>9899</v>
      </c>
      <c r="AD2215">
        <f t="shared" si="69"/>
        <v>7</v>
      </c>
    </row>
    <row r="2216" spans="1:30" x14ac:dyDescent="0.25">
      <c r="A2216" t="s">
        <v>2240</v>
      </c>
      <c r="B2216" s="2">
        <v>45407</v>
      </c>
      <c r="C2216" s="2">
        <v>45414</v>
      </c>
      <c r="D2216" t="s">
        <v>5212</v>
      </c>
      <c r="E2216" t="s">
        <v>5712</v>
      </c>
      <c r="F2216" t="s">
        <v>6028</v>
      </c>
      <c r="G2216" t="s">
        <v>6029</v>
      </c>
      <c r="H2216" t="s">
        <v>6041</v>
      </c>
      <c r="I2216" t="s">
        <v>6050</v>
      </c>
      <c r="J2216" t="s">
        <v>6055</v>
      </c>
      <c r="K2216" t="s">
        <v>6064</v>
      </c>
      <c r="L2216" t="s">
        <v>8034</v>
      </c>
      <c r="M2216">
        <v>333.38</v>
      </c>
      <c r="N2216">
        <v>7</v>
      </c>
      <c r="O2216">
        <v>0.17</v>
      </c>
      <c r="P2216">
        <v>29.02</v>
      </c>
      <c r="Q2216" t="s">
        <v>9897</v>
      </c>
      <c r="R2216">
        <v>7</v>
      </c>
      <c r="S2216" s="5">
        <f t="shared" si="68"/>
        <v>8.7047813306137145E-2</v>
      </c>
      <c r="T2216">
        <v>47.625714285714288</v>
      </c>
      <c r="U2216">
        <v>4</v>
      </c>
      <c r="V2216">
        <v>2024</v>
      </c>
      <c r="W2216">
        <v>2</v>
      </c>
      <c r="X2216" t="s">
        <v>9899</v>
      </c>
      <c r="Y2216" t="s">
        <v>9900</v>
      </c>
      <c r="Z2216" t="s">
        <v>9899</v>
      </c>
      <c r="AD2216">
        <f t="shared" si="69"/>
        <v>7</v>
      </c>
    </row>
    <row r="2217" spans="1:30" x14ac:dyDescent="0.25">
      <c r="A2217" t="s">
        <v>2241</v>
      </c>
      <c r="B2217" s="2">
        <v>44977</v>
      </c>
      <c r="C2217" s="2">
        <v>44984</v>
      </c>
      <c r="D2217" t="s">
        <v>5224</v>
      </c>
      <c r="E2217" t="s">
        <v>5724</v>
      </c>
      <c r="F2217" t="s">
        <v>6026</v>
      </c>
      <c r="G2217" t="s">
        <v>6030</v>
      </c>
      <c r="H2217" t="s">
        <v>6039</v>
      </c>
      <c r="I2217" t="s">
        <v>6051</v>
      </c>
      <c r="J2217" t="s">
        <v>6054</v>
      </c>
      <c r="K2217" t="s">
        <v>6060</v>
      </c>
      <c r="L2217" t="s">
        <v>8035</v>
      </c>
      <c r="M2217">
        <v>1929.04</v>
      </c>
      <c r="N2217">
        <v>8</v>
      </c>
      <c r="O2217">
        <v>0.06</v>
      </c>
      <c r="P2217">
        <v>241.34</v>
      </c>
      <c r="Q2217" t="s">
        <v>9895</v>
      </c>
      <c r="R2217">
        <v>7</v>
      </c>
      <c r="S2217" s="5">
        <f t="shared" si="68"/>
        <v>0.12510886243934807</v>
      </c>
      <c r="T2217">
        <v>241.13</v>
      </c>
      <c r="U2217">
        <v>2</v>
      </c>
      <c r="V2217">
        <v>2023</v>
      </c>
      <c r="W2217">
        <v>1</v>
      </c>
      <c r="X2217" t="s">
        <v>9899</v>
      </c>
      <c r="Y2217" t="s">
        <v>9901</v>
      </c>
      <c r="Z2217" t="s">
        <v>9898</v>
      </c>
      <c r="AD2217">
        <f t="shared" si="69"/>
        <v>7</v>
      </c>
    </row>
    <row r="2218" spans="1:30" x14ac:dyDescent="0.25">
      <c r="A2218" t="s">
        <v>2242</v>
      </c>
      <c r="B2218" s="2">
        <v>45377</v>
      </c>
      <c r="C2218" s="2">
        <v>45383</v>
      </c>
      <c r="D2218" t="s">
        <v>5479</v>
      </c>
      <c r="E2218" t="s">
        <v>5979</v>
      </c>
      <c r="F2218" t="s">
        <v>6026</v>
      </c>
      <c r="G2218" t="s">
        <v>6029</v>
      </c>
      <c r="H2218" t="s">
        <v>6045</v>
      </c>
      <c r="I2218" t="s">
        <v>6049</v>
      </c>
      <c r="J2218" t="s">
        <v>6055</v>
      </c>
      <c r="K2218" t="s">
        <v>6061</v>
      </c>
      <c r="L2218" t="s">
        <v>8036</v>
      </c>
      <c r="M2218">
        <v>320.14999999999998</v>
      </c>
      <c r="N2218">
        <v>6</v>
      </c>
      <c r="O2218">
        <v>0.28000000000000003</v>
      </c>
      <c r="P2218">
        <v>-48.19</v>
      </c>
      <c r="Q2218" t="s">
        <v>9894</v>
      </c>
      <c r="R2218">
        <v>6</v>
      </c>
      <c r="S2218" s="5">
        <f t="shared" si="68"/>
        <v>-0.15052319225363112</v>
      </c>
      <c r="T2218">
        <v>53.358333333333327</v>
      </c>
      <c r="U2218">
        <v>3</v>
      </c>
      <c r="V2218">
        <v>2024</v>
      </c>
      <c r="W2218">
        <v>1</v>
      </c>
      <c r="X2218" t="s">
        <v>9898</v>
      </c>
      <c r="Y2218" t="s">
        <v>9900</v>
      </c>
      <c r="Z2218" t="s">
        <v>9899</v>
      </c>
      <c r="AD2218">
        <f t="shared" si="69"/>
        <v>6</v>
      </c>
    </row>
    <row r="2219" spans="1:30" x14ac:dyDescent="0.25">
      <c r="A2219" t="s">
        <v>2243</v>
      </c>
      <c r="B2219" s="2">
        <v>44870</v>
      </c>
      <c r="C2219" s="2">
        <v>44875</v>
      </c>
      <c r="D2219" t="s">
        <v>5311</v>
      </c>
      <c r="E2219" t="s">
        <v>5811</v>
      </c>
      <c r="F2219" t="s">
        <v>6028</v>
      </c>
      <c r="G2219" t="s">
        <v>6029</v>
      </c>
      <c r="H2219" t="s">
        <v>6045</v>
      </c>
      <c r="I2219" t="s">
        <v>6050</v>
      </c>
      <c r="J2219" t="s">
        <v>6055</v>
      </c>
      <c r="K2219" t="s">
        <v>6061</v>
      </c>
      <c r="L2219" t="s">
        <v>6224</v>
      </c>
      <c r="M2219">
        <v>1723</v>
      </c>
      <c r="N2219">
        <v>3</v>
      </c>
      <c r="O2219">
        <v>0.06</v>
      </c>
      <c r="P2219">
        <v>290.99</v>
      </c>
      <c r="Q2219" t="s">
        <v>9894</v>
      </c>
      <c r="R2219">
        <v>5</v>
      </c>
      <c r="S2219" s="5">
        <f t="shared" si="68"/>
        <v>0.16888566453859546</v>
      </c>
      <c r="T2219">
        <v>574.33333333333337</v>
      </c>
      <c r="U2219">
        <v>11</v>
      </c>
      <c r="V2219">
        <v>2022</v>
      </c>
      <c r="W2219">
        <v>4</v>
      </c>
      <c r="X2219" t="s">
        <v>9899</v>
      </c>
      <c r="Y2219" t="s">
        <v>9901</v>
      </c>
      <c r="Z2219" t="s">
        <v>9898</v>
      </c>
      <c r="AD2219">
        <f t="shared" si="69"/>
        <v>5</v>
      </c>
    </row>
    <row r="2220" spans="1:30" x14ac:dyDescent="0.25">
      <c r="A2220" t="s">
        <v>2244</v>
      </c>
      <c r="B2220" s="2">
        <v>45387</v>
      </c>
      <c r="C2220" s="2">
        <v>45392</v>
      </c>
      <c r="D2220" t="s">
        <v>5238</v>
      </c>
      <c r="E2220" t="s">
        <v>5738</v>
      </c>
      <c r="F2220" t="s">
        <v>6026</v>
      </c>
      <c r="G2220" t="s">
        <v>6029</v>
      </c>
      <c r="H2220" t="s">
        <v>6044</v>
      </c>
      <c r="I2220" t="s">
        <v>6046</v>
      </c>
      <c r="J2220" t="s">
        <v>6054</v>
      </c>
      <c r="K2220" t="s">
        <v>6060</v>
      </c>
      <c r="L2220" t="s">
        <v>7078</v>
      </c>
      <c r="M2220">
        <v>586.22</v>
      </c>
      <c r="N2220">
        <v>1</v>
      </c>
      <c r="O2220">
        <v>0.12</v>
      </c>
      <c r="P2220">
        <v>2.3199999999999998</v>
      </c>
      <c r="Q2220" t="s">
        <v>9895</v>
      </c>
      <c r="R2220">
        <v>5</v>
      </c>
      <c r="S2220" s="5">
        <f t="shared" si="68"/>
        <v>3.9575585957490359E-3</v>
      </c>
      <c r="T2220">
        <v>586.22</v>
      </c>
      <c r="U2220">
        <v>4</v>
      </c>
      <c r="V2220">
        <v>2024</v>
      </c>
      <c r="W2220">
        <v>2</v>
      </c>
      <c r="X2220" t="s">
        <v>9899</v>
      </c>
      <c r="Y2220" t="s">
        <v>9901</v>
      </c>
      <c r="Z2220" t="s">
        <v>9899</v>
      </c>
      <c r="AD2220">
        <f t="shared" si="69"/>
        <v>5</v>
      </c>
    </row>
    <row r="2221" spans="1:30" x14ac:dyDescent="0.25">
      <c r="A2221" t="s">
        <v>2245</v>
      </c>
      <c r="B2221" s="2">
        <v>45207</v>
      </c>
      <c r="C2221" s="2">
        <v>45211</v>
      </c>
      <c r="D2221" t="s">
        <v>5054</v>
      </c>
      <c r="E2221" t="s">
        <v>5554</v>
      </c>
      <c r="F2221" t="s">
        <v>6026</v>
      </c>
      <c r="G2221" t="s">
        <v>6030</v>
      </c>
      <c r="H2221" t="s">
        <v>6038</v>
      </c>
      <c r="I2221" t="s">
        <v>6051</v>
      </c>
      <c r="J2221" t="s">
        <v>6053</v>
      </c>
      <c r="K2221" t="s">
        <v>6058</v>
      </c>
      <c r="L2221" t="s">
        <v>7208</v>
      </c>
      <c r="M2221">
        <v>672.27</v>
      </c>
      <c r="N2221">
        <v>8</v>
      </c>
      <c r="O2221">
        <v>0.09</v>
      </c>
      <c r="P2221">
        <v>78.260000000000005</v>
      </c>
      <c r="Q2221" t="s">
        <v>9896</v>
      </c>
      <c r="R2221">
        <v>4</v>
      </c>
      <c r="S2221" s="5">
        <f t="shared" si="68"/>
        <v>0.11641156083121366</v>
      </c>
      <c r="T2221">
        <v>84.033749999999998</v>
      </c>
      <c r="U2221">
        <v>10</v>
      </c>
      <c r="V2221">
        <v>2023</v>
      </c>
      <c r="W2221">
        <v>4</v>
      </c>
      <c r="X2221" t="s">
        <v>9899</v>
      </c>
      <c r="Y2221" t="s">
        <v>9901</v>
      </c>
      <c r="Z2221" t="s">
        <v>9899</v>
      </c>
      <c r="AD2221">
        <f t="shared" si="69"/>
        <v>4</v>
      </c>
    </row>
    <row r="2222" spans="1:30" x14ac:dyDescent="0.25">
      <c r="A2222" t="s">
        <v>2246</v>
      </c>
      <c r="B2222" s="2">
        <v>44788</v>
      </c>
      <c r="C2222" s="2">
        <v>44790</v>
      </c>
      <c r="D2222" t="s">
        <v>5210</v>
      </c>
      <c r="E2222" t="s">
        <v>5710</v>
      </c>
      <c r="F2222" t="s">
        <v>6026</v>
      </c>
      <c r="G2222" t="s">
        <v>6031</v>
      </c>
      <c r="H2222" t="s">
        <v>6037</v>
      </c>
      <c r="I2222" t="s">
        <v>6050</v>
      </c>
      <c r="J2222" t="s">
        <v>6054</v>
      </c>
      <c r="K2222" t="s">
        <v>6062</v>
      </c>
      <c r="L2222" t="s">
        <v>8037</v>
      </c>
      <c r="M2222">
        <v>639.63</v>
      </c>
      <c r="N2222">
        <v>2</v>
      </c>
      <c r="O2222">
        <v>0.02</v>
      </c>
      <c r="P2222">
        <v>111.04</v>
      </c>
      <c r="Q2222" t="s">
        <v>9897</v>
      </c>
      <c r="R2222">
        <v>2</v>
      </c>
      <c r="S2222" s="5">
        <f t="shared" si="68"/>
        <v>0.17360036270969156</v>
      </c>
      <c r="T2222">
        <v>319.815</v>
      </c>
      <c r="U2222">
        <v>8</v>
      </c>
      <c r="V2222">
        <v>2022</v>
      </c>
      <c r="W2222">
        <v>3</v>
      </c>
      <c r="X2222" t="s">
        <v>9899</v>
      </c>
      <c r="Y2222" t="s">
        <v>9901</v>
      </c>
      <c r="Z2222" t="s">
        <v>9899</v>
      </c>
      <c r="AD2222">
        <f t="shared" si="69"/>
        <v>2</v>
      </c>
    </row>
    <row r="2223" spans="1:30" x14ac:dyDescent="0.25">
      <c r="A2223" t="s">
        <v>2247</v>
      </c>
      <c r="B2223" s="2">
        <v>44582</v>
      </c>
      <c r="C2223" s="2">
        <v>44584</v>
      </c>
      <c r="D2223" t="s">
        <v>5230</v>
      </c>
      <c r="E2223" t="s">
        <v>5730</v>
      </c>
      <c r="F2223" t="s">
        <v>6027</v>
      </c>
      <c r="G2223" t="s">
        <v>6030</v>
      </c>
      <c r="H2223" t="s">
        <v>6035</v>
      </c>
      <c r="I2223" t="s">
        <v>6051</v>
      </c>
      <c r="J2223" t="s">
        <v>6055</v>
      </c>
      <c r="K2223" t="s">
        <v>6064</v>
      </c>
      <c r="L2223" t="s">
        <v>8038</v>
      </c>
      <c r="M2223">
        <v>611.73</v>
      </c>
      <c r="N2223">
        <v>4</v>
      </c>
      <c r="O2223">
        <v>0.31</v>
      </c>
      <c r="P2223">
        <v>-12.39</v>
      </c>
      <c r="Q2223" t="s">
        <v>9896</v>
      </c>
      <c r="R2223">
        <v>2</v>
      </c>
      <c r="S2223" s="5">
        <f t="shared" si="68"/>
        <v>-2.0254033642293168E-2</v>
      </c>
      <c r="T2223">
        <v>152.9325</v>
      </c>
      <c r="U2223">
        <v>1</v>
      </c>
      <c r="V2223">
        <v>2022</v>
      </c>
      <c r="W2223">
        <v>1</v>
      </c>
      <c r="X2223" t="s">
        <v>9898</v>
      </c>
      <c r="Y2223" t="s">
        <v>9902</v>
      </c>
      <c r="Z2223" t="s">
        <v>9899</v>
      </c>
      <c r="AD2223">
        <f t="shared" si="69"/>
        <v>2</v>
      </c>
    </row>
    <row r="2224" spans="1:30" x14ac:dyDescent="0.25">
      <c r="A2224" t="s">
        <v>2248</v>
      </c>
      <c r="B2224" s="2">
        <v>44719</v>
      </c>
      <c r="C2224" s="2">
        <v>44723</v>
      </c>
      <c r="D2224" t="s">
        <v>5439</v>
      </c>
      <c r="E2224" t="s">
        <v>5939</v>
      </c>
      <c r="F2224" t="s">
        <v>6028</v>
      </c>
      <c r="G2224" t="s">
        <v>6030</v>
      </c>
      <c r="H2224" t="s">
        <v>6039</v>
      </c>
      <c r="I2224" t="s">
        <v>6047</v>
      </c>
      <c r="J2224" t="s">
        <v>6054</v>
      </c>
      <c r="K2224" t="s">
        <v>6060</v>
      </c>
      <c r="L2224" t="s">
        <v>8039</v>
      </c>
      <c r="M2224">
        <v>1134.9100000000001</v>
      </c>
      <c r="N2224">
        <v>5</v>
      </c>
      <c r="O2224">
        <v>0.28999999999999998</v>
      </c>
      <c r="P2224">
        <v>-30.53</v>
      </c>
      <c r="Q2224" t="s">
        <v>9897</v>
      </c>
      <c r="R2224">
        <v>4</v>
      </c>
      <c r="S2224" s="5">
        <f t="shared" si="68"/>
        <v>-2.6900811518093946E-2</v>
      </c>
      <c r="T2224">
        <v>226.982</v>
      </c>
      <c r="U2224">
        <v>6</v>
      </c>
      <c r="V2224">
        <v>2022</v>
      </c>
      <c r="W2224">
        <v>2</v>
      </c>
      <c r="X2224" t="s">
        <v>9898</v>
      </c>
      <c r="Y2224" t="s">
        <v>9900</v>
      </c>
      <c r="Z2224" t="s">
        <v>9898</v>
      </c>
      <c r="AD2224">
        <f t="shared" si="69"/>
        <v>4</v>
      </c>
    </row>
    <row r="2225" spans="1:30" x14ac:dyDescent="0.25">
      <c r="A2225" t="s">
        <v>2249</v>
      </c>
      <c r="B2225" s="2">
        <v>44734</v>
      </c>
      <c r="C2225" s="2">
        <v>44737</v>
      </c>
      <c r="D2225" t="s">
        <v>5303</v>
      </c>
      <c r="E2225" t="s">
        <v>5803</v>
      </c>
      <c r="F2225" t="s">
        <v>6028</v>
      </c>
      <c r="G2225" t="s">
        <v>6031</v>
      </c>
      <c r="H2225" t="s">
        <v>6042</v>
      </c>
      <c r="I2225" t="s">
        <v>6050</v>
      </c>
      <c r="J2225" t="s">
        <v>6053</v>
      </c>
      <c r="K2225" t="s">
        <v>6058</v>
      </c>
      <c r="L2225" t="s">
        <v>8040</v>
      </c>
      <c r="M2225">
        <v>1283.01</v>
      </c>
      <c r="N2225">
        <v>2</v>
      </c>
      <c r="O2225">
        <v>0.31</v>
      </c>
      <c r="P2225">
        <v>-223.33</v>
      </c>
      <c r="Q2225" t="s">
        <v>9894</v>
      </c>
      <c r="R2225">
        <v>3</v>
      </c>
      <c r="S2225" s="5">
        <f t="shared" si="68"/>
        <v>-0.17406723252351891</v>
      </c>
      <c r="T2225">
        <v>641.505</v>
      </c>
      <c r="U2225">
        <v>6</v>
      </c>
      <c r="V2225">
        <v>2022</v>
      </c>
      <c r="W2225">
        <v>2</v>
      </c>
      <c r="X2225" t="s">
        <v>9898</v>
      </c>
      <c r="Y2225" t="s">
        <v>9902</v>
      </c>
      <c r="Z2225" t="s">
        <v>9898</v>
      </c>
      <c r="AD2225">
        <f t="shared" si="69"/>
        <v>3</v>
      </c>
    </row>
    <row r="2226" spans="1:30" x14ac:dyDescent="0.25">
      <c r="A2226" t="s">
        <v>2250</v>
      </c>
      <c r="B2226" s="2">
        <v>44597</v>
      </c>
      <c r="C2226" s="2">
        <v>44601</v>
      </c>
      <c r="D2226" t="s">
        <v>5286</v>
      </c>
      <c r="E2226" t="s">
        <v>5786</v>
      </c>
      <c r="F2226" t="s">
        <v>6027</v>
      </c>
      <c r="G2226" t="s">
        <v>6030</v>
      </c>
      <c r="H2226" t="s">
        <v>6035</v>
      </c>
      <c r="I2226" t="s">
        <v>6047</v>
      </c>
      <c r="J2226" t="s">
        <v>6054</v>
      </c>
      <c r="K2226" t="s">
        <v>6062</v>
      </c>
      <c r="L2226" t="s">
        <v>8041</v>
      </c>
      <c r="M2226">
        <v>1028.44</v>
      </c>
      <c r="N2226">
        <v>7</v>
      </c>
      <c r="O2226">
        <v>0.06</v>
      </c>
      <c r="P2226">
        <v>92.09</v>
      </c>
      <c r="Q2226" t="s">
        <v>9897</v>
      </c>
      <c r="R2226">
        <v>4</v>
      </c>
      <c r="S2226" s="5">
        <f t="shared" si="68"/>
        <v>8.9543386099334918E-2</v>
      </c>
      <c r="T2226">
        <v>146.91999999999999</v>
      </c>
      <c r="U2226">
        <v>2</v>
      </c>
      <c r="V2226">
        <v>2022</v>
      </c>
      <c r="W2226">
        <v>1</v>
      </c>
      <c r="X2226" t="s">
        <v>9899</v>
      </c>
      <c r="Y2226" t="s">
        <v>9901</v>
      </c>
      <c r="Z2226" t="s">
        <v>9898</v>
      </c>
      <c r="AD2226">
        <f t="shared" si="69"/>
        <v>4</v>
      </c>
    </row>
    <row r="2227" spans="1:30" x14ac:dyDescent="0.25">
      <c r="A2227" t="s">
        <v>2251</v>
      </c>
      <c r="B2227" s="2">
        <v>45239</v>
      </c>
      <c r="C2227" s="2">
        <v>45242</v>
      </c>
      <c r="D2227" t="s">
        <v>5475</v>
      </c>
      <c r="E2227" t="s">
        <v>5975</v>
      </c>
      <c r="F2227" t="s">
        <v>6027</v>
      </c>
      <c r="G2227" t="s">
        <v>6031</v>
      </c>
      <c r="H2227" t="s">
        <v>6040</v>
      </c>
      <c r="I2227" t="s">
        <v>6052</v>
      </c>
      <c r="J2227" t="s">
        <v>6054</v>
      </c>
      <c r="K2227" t="s">
        <v>6062</v>
      </c>
      <c r="L2227" t="s">
        <v>8042</v>
      </c>
      <c r="M2227">
        <v>446.53</v>
      </c>
      <c r="N2227">
        <v>5</v>
      </c>
      <c r="O2227">
        <v>0.06</v>
      </c>
      <c r="P2227">
        <v>70.91</v>
      </c>
      <c r="Q2227" t="s">
        <v>9896</v>
      </c>
      <c r="R2227">
        <v>3</v>
      </c>
      <c r="S2227" s="5">
        <f t="shared" si="68"/>
        <v>0.15880232011287035</v>
      </c>
      <c r="T2227">
        <v>89.305999999999997</v>
      </c>
      <c r="U2227">
        <v>11</v>
      </c>
      <c r="V2227">
        <v>2023</v>
      </c>
      <c r="W2227">
        <v>4</v>
      </c>
      <c r="X2227" t="s">
        <v>9899</v>
      </c>
      <c r="Y2227" t="s">
        <v>9901</v>
      </c>
      <c r="Z2227" t="s">
        <v>9899</v>
      </c>
      <c r="AD2227">
        <f t="shared" si="69"/>
        <v>3</v>
      </c>
    </row>
    <row r="2228" spans="1:30" x14ac:dyDescent="0.25">
      <c r="A2228" t="s">
        <v>2252</v>
      </c>
      <c r="B2228" s="2">
        <v>44890</v>
      </c>
      <c r="C2228" s="2">
        <v>44896</v>
      </c>
      <c r="D2228" t="s">
        <v>5443</v>
      </c>
      <c r="E2228" t="s">
        <v>5943</v>
      </c>
      <c r="F2228" t="s">
        <v>6028</v>
      </c>
      <c r="G2228" t="s">
        <v>6030</v>
      </c>
      <c r="H2228" t="s">
        <v>6035</v>
      </c>
      <c r="I2228" t="s">
        <v>6051</v>
      </c>
      <c r="J2228" t="s">
        <v>6053</v>
      </c>
      <c r="K2228" t="s">
        <v>6056</v>
      </c>
      <c r="L2228" t="s">
        <v>8043</v>
      </c>
      <c r="M2228">
        <v>979.33</v>
      </c>
      <c r="N2228">
        <v>8</v>
      </c>
      <c r="O2228">
        <v>0.18</v>
      </c>
      <c r="P2228">
        <v>-40.380000000000003</v>
      </c>
      <c r="Q2228" t="s">
        <v>9895</v>
      </c>
      <c r="R2228">
        <v>6</v>
      </c>
      <c r="S2228" s="5">
        <f t="shared" si="68"/>
        <v>-4.1232271042447387E-2</v>
      </c>
      <c r="T2228">
        <v>122.41625000000001</v>
      </c>
      <c r="U2228">
        <v>11</v>
      </c>
      <c r="V2228">
        <v>2022</v>
      </c>
      <c r="W2228">
        <v>4</v>
      </c>
      <c r="X2228" t="s">
        <v>9898</v>
      </c>
      <c r="Y2228" t="s">
        <v>9900</v>
      </c>
      <c r="Z2228" t="s">
        <v>9899</v>
      </c>
      <c r="AD2228">
        <f t="shared" si="69"/>
        <v>6</v>
      </c>
    </row>
    <row r="2229" spans="1:30" x14ac:dyDescent="0.25">
      <c r="A2229" t="s">
        <v>2253</v>
      </c>
      <c r="B2229" s="2">
        <v>44809</v>
      </c>
      <c r="C2229" s="2">
        <v>44811</v>
      </c>
      <c r="D2229" t="s">
        <v>5307</v>
      </c>
      <c r="E2229" t="s">
        <v>5807</v>
      </c>
      <c r="F2229" t="s">
        <v>6027</v>
      </c>
      <c r="G2229" t="s">
        <v>6030</v>
      </c>
      <c r="H2229" t="s">
        <v>6038</v>
      </c>
      <c r="I2229" t="s">
        <v>6051</v>
      </c>
      <c r="J2229" t="s">
        <v>6053</v>
      </c>
      <c r="K2229" t="s">
        <v>6058</v>
      </c>
      <c r="L2229" t="s">
        <v>8044</v>
      </c>
      <c r="M2229">
        <v>509.33</v>
      </c>
      <c r="N2229">
        <v>1</v>
      </c>
      <c r="O2229">
        <v>0.15</v>
      </c>
      <c r="P2229">
        <v>9.73</v>
      </c>
      <c r="Q2229" t="s">
        <v>9894</v>
      </c>
      <c r="R2229">
        <v>2</v>
      </c>
      <c r="S2229" s="5">
        <f t="shared" si="68"/>
        <v>1.910352816445134E-2</v>
      </c>
      <c r="T2229">
        <v>509.33</v>
      </c>
      <c r="U2229">
        <v>9</v>
      </c>
      <c r="V2229">
        <v>2022</v>
      </c>
      <c r="W2229">
        <v>3</v>
      </c>
      <c r="X2229" t="s">
        <v>9899</v>
      </c>
      <c r="Y2229" t="s">
        <v>9901</v>
      </c>
      <c r="Z2229" t="s">
        <v>9899</v>
      </c>
      <c r="AD2229">
        <f t="shared" si="69"/>
        <v>2</v>
      </c>
    </row>
    <row r="2230" spans="1:30" x14ac:dyDescent="0.25">
      <c r="A2230" t="s">
        <v>2254</v>
      </c>
      <c r="B2230" s="2">
        <v>45266</v>
      </c>
      <c r="C2230" s="2">
        <v>45273</v>
      </c>
      <c r="D2230" t="s">
        <v>5412</v>
      </c>
      <c r="E2230" t="s">
        <v>5912</v>
      </c>
      <c r="F2230" t="s">
        <v>6027</v>
      </c>
      <c r="G2230" t="s">
        <v>6030</v>
      </c>
      <c r="H2230" t="s">
        <v>6033</v>
      </c>
      <c r="I2230" t="s">
        <v>6051</v>
      </c>
      <c r="J2230" t="s">
        <v>6054</v>
      </c>
      <c r="K2230" t="s">
        <v>6060</v>
      </c>
      <c r="L2230" t="s">
        <v>8045</v>
      </c>
      <c r="M2230">
        <v>719.35</v>
      </c>
      <c r="N2230">
        <v>8</v>
      </c>
      <c r="O2230">
        <v>0.26</v>
      </c>
      <c r="P2230">
        <v>-58.19</v>
      </c>
      <c r="Q2230" t="s">
        <v>9894</v>
      </c>
      <c r="R2230">
        <v>7</v>
      </c>
      <c r="S2230" s="5">
        <f t="shared" si="68"/>
        <v>-8.0892472370890381E-2</v>
      </c>
      <c r="T2230">
        <v>89.918750000000003</v>
      </c>
      <c r="U2230">
        <v>12</v>
      </c>
      <c r="V2230">
        <v>2023</v>
      </c>
      <c r="W2230">
        <v>4</v>
      </c>
      <c r="X2230" t="s">
        <v>9898</v>
      </c>
      <c r="Y2230" t="s">
        <v>9900</v>
      </c>
      <c r="Z2230" t="s">
        <v>9899</v>
      </c>
      <c r="AD2230">
        <f t="shared" si="69"/>
        <v>7</v>
      </c>
    </row>
    <row r="2231" spans="1:30" x14ac:dyDescent="0.25">
      <c r="A2231" t="s">
        <v>2255</v>
      </c>
      <c r="B2231" s="2">
        <v>45127</v>
      </c>
      <c r="C2231" s="2">
        <v>45128</v>
      </c>
      <c r="D2231" t="s">
        <v>5087</v>
      </c>
      <c r="E2231" t="s">
        <v>5587</v>
      </c>
      <c r="F2231" t="s">
        <v>6026</v>
      </c>
      <c r="G2231" t="s">
        <v>6030</v>
      </c>
      <c r="H2231" t="s">
        <v>6038</v>
      </c>
      <c r="I2231" t="s">
        <v>6051</v>
      </c>
      <c r="J2231" t="s">
        <v>6055</v>
      </c>
      <c r="K2231" t="s">
        <v>6063</v>
      </c>
      <c r="L2231" t="s">
        <v>8046</v>
      </c>
      <c r="M2231">
        <v>642.97</v>
      </c>
      <c r="N2231">
        <v>4</v>
      </c>
      <c r="O2231">
        <v>0.18</v>
      </c>
      <c r="P2231">
        <v>17.45</v>
      </c>
      <c r="Q2231" t="s">
        <v>9894</v>
      </c>
      <c r="R2231">
        <v>1</v>
      </c>
      <c r="S2231" s="5">
        <f t="shared" si="68"/>
        <v>2.7139679922857984E-2</v>
      </c>
      <c r="T2231">
        <v>160.74250000000001</v>
      </c>
      <c r="U2231">
        <v>7</v>
      </c>
      <c r="V2231">
        <v>2023</v>
      </c>
      <c r="W2231">
        <v>3</v>
      </c>
      <c r="X2231" t="s">
        <v>9899</v>
      </c>
      <c r="Y2231" t="s">
        <v>9900</v>
      </c>
      <c r="Z2231" t="s">
        <v>9899</v>
      </c>
      <c r="AD2231">
        <f t="shared" si="69"/>
        <v>1</v>
      </c>
    </row>
    <row r="2232" spans="1:30" x14ac:dyDescent="0.25">
      <c r="A2232" t="s">
        <v>2256</v>
      </c>
      <c r="B2232" s="2">
        <v>45033</v>
      </c>
      <c r="C2232" s="2">
        <v>45034</v>
      </c>
      <c r="D2232" t="s">
        <v>5119</v>
      </c>
      <c r="E2232" t="s">
        <v>5619</v>
      </c>
      <c r="F2232" t="s">
        <v>6027</v>
      </c>
      <c r="G2232" t="s">
        <v>6031</v>
      </c>
      <c r="H2232" t="s">
        <v>6034</v>
      </c>
      <c r="I2232" t="s">
        <v>6048</v>
      </c>
      <c r="J2232" t="s">
        <v>6053</v>
      </c>
      <c r="K2232" t="s">
        <v>6057</v>
      </c>
      <c r="L2232" t="s">
        <v>8047</v>
      </c>
      <c r="M2232">
        <v>1458.84</v>
      </c>
      <c r="N2232">
        <v>5</v>
      </c>
      <c r="O2232">
        <v>0.34</v>
      </c>
      <c r="P2232">
        <v>-293.44</v>
      </c>
      <c r="Q2232" t="s">
        <v>9897</v>
      </c>
      <c r="R2232">
        <v>1</v>
      </c>
      <c r="S2232" s="5">
        <f t="shared" si="68"/>
        <v>-0.20114611609223768</v>
      </c>
      <c r="T2232">
        <v>291.76799999999997</v>
      </c>
      <c r="U2232">
        <v>4</v>
      </c>
      <c r="V2232">
        <v>2023</v>
      </c>
      <c r="W2232">
        <v>2</v>
      </c>
      <c r="X2232" t="s">
        <v>9898</v>
      </c>
      <c r="Y2232" t="s">
        <v>9902</v>
      </c>
      <c r="Z2232" t="s">
        <v>9898</v>
      </c>
      <c r="AD2232">
        <f t="shared" si="69"/>
        <v>1</v>
      </c>
    </row>
    <row r="2233" spans="1:30" x14ac:dyDescent="0.25">
      <c r="A2233" t="s">
        <v>2257</v>
      </c>
      <c r="B2233" s="2">
        <v>45424</v>
      </c>
      <c r="C2233" s="2">
        <v>45428</v>
      </c>
      <c r="D2233" t="s">
        <v>5344</v>
      </c>
      <c r="E2233" t="s">
        <v>5844</v>
      </c>
      <c r="F2233" t="s">
        <v>6027</v>
      </c>
      <c r="G2233" t="s">
        <v>6029</v>
      </c>
      <c r="H2233" t="s">
        <v>6041</v>
      </c>
      <c r="I2233" t="s">
        <v>6050</v>
      </c>
      <c r="J2233" t="s">
        <v>6053</v>
      </c>
      <c r="K2233" t="s">
        <v>6057</v>
      </c>
      <c r="L2233" t="s">
        <v>6428</v>
      </c>
      <c r="M2233">
        <v>1238.3</v>
      </c>
      <c r="N2233">
        <v>3</v>
      </c>
      <c r="O2233">
        <v>0.02</v>
      </c>
      <c r="P2233">
        <v>209.35</v>
      </c>
      <c r="Q2233" t="s">
        <v>9897</v>
      </c>
      <c r="R2233">
        <v>4</v>
      </c>
      <c r="S2233" s="5">
        <f t="shared" si="68"/>
        <v>0.1690624242913672</v>
      </c>
      <c r="T2233">
        <v>412.76666666666671</v>
      </c>
      <c r="U2233">
        <v>5</v>
      </c>
      <c r="V2233">
        <v>2024</v>
      </c>
      <c r="W2233">
        <v>2</v>
      </c>
      <c r="X2233" t="s">
        <v>9899</v>
      </c>
      <c r="Y2233" t="s">
        <v>9901</v>
      </c>
      <c r="Z2233" t="s">
        <v>9898</v>
      </c>
      <c r="AD2233">
        <f t="shared" si="69"/>
        <v>4</v>
      </c>
    </row>
    <row r="2234" spans="1:30" x14ac:dyDescent="0.25">
      <c r="A2234" t="s">
        <v>2258</v>
      </c>
      <c r="B2234" s="2">
        <v>45159</v>
      </c>
      <c r="C2234" s="2">
        <v>45161</v>
      </c>
      <c r="D2234" t="s">
        <v>5385</v>
      </c>
      <c r="E2234" t="s">
        <v>5885</v>
      </c>
      <c r="F2234" t="s">
        <v>6028</v>
      </c>
      <c r="G2234" t="s">
        <v>6029</v>
      </c>
      <c r="H2234" t="s">
        <v>6044</v>
      </c>
      <c r="I2234" t="s">
        <v>6049</v>
      </c>
      <c r="J2234" t="s">
        <v>6055</v>
      </c>
      <c r="K2234" t="s">
        <v>6063</v>
      </c>
      <c r="L2234" t="s">
        <v>8048</v>
      </c>
      <c r="M2234">
        <v>1573.62</v>
      </c>
      <c r="N2234">
        <v>2</v>
      </c>
      <c r="O2234">
        <v>0.25</v>
      </c>
      <c r="P2234">
        <v>-26.27</v>
      </c>
      <c r="Q2234" t="s">
        <v>9896</v>
      </c>
      <c r="R2234">
        <v>2</v>
      </c>
      <c r="S2234" s="5">
        <f t="shared" si="68"/>
        <v>-1.6693992196337108E-2</v>
      </c>
      <c r="T2234">
        <v>786.81</v>
      </c>
      <c r="U2234">
        <v>8</v>
      </c>
      <c r="V2234">
        <v>2023</v>
      </c>
      <c r="W2234">
        <v>3</v>
      </c>
      <c r="X2234" t="s">
        <v>9898</v>
      </c>
      <c r="Y2234" t="s">
        <v>9900</v>
      </c>
      <c r="Z2234" t="s">
        <v>9898</v>
      </c>
      <c r="AD2234">
        <f t="shared" si="69"/>
        <v>2</v>
      </c>
    </row>
    <row r="2235" spans="1:30" x14ac:dyDescent="0.25">
      <c r="A2235" t="s">
        <v>2259</v>
      </c>
      <c r="B2235" s="2">
        <v>44883</v>
      </c>
      <c r="C2235" s="2">
        <v>44887</v>
      </c>
      <c r="D2235" t="s">
        <v>5186</v>
      </c>
      <c r="E2235" t="s">
        <v>5686</v>
      </c>
      <c r="F2235" t="s">
        <v>6028</v>
      </c>
      <c r="G2235" t="s">
        <v>6029</v>
      </c>
      <c r="H2235" t="s">
        <v>6044</v>
      </c>
      <c r="I2235" t="s">
        <v>6046</v>
      </c>
      <c r="J2235" t="s">
        <v>6054</v>
      </c>
      <c r="K2235" t="s">
        <v>6062</v>
      </c>
      <c r="L2235" t="s">
        <v>8049</v>
      </c>
      <c r="M2235">
        <v>920.95</v>
      </c>
      <c r="N2235">
        <v>1</v>
      </c>
      <c r="O2235">
        <v>0.23</v>
      </c>
      <c r="P2235">
        <v>-93.12</v>
      </c>
      <c r="Q2235" t="s">
        <v>9894</v>
      </c>
      <c r="R2235">
        <v>4</v>
      </c>
      <c r="S2235" s="5">
        <f t="shared" si="68"/>
        <v>-0.10111298116075791</v>
      </c>
      <c r="T2235">
        <v>920.95</v>
      </c>
      <c r="U2235">
        <v>11</v>
      </c>
      <c r="V2235">
        <v>2022</v>
      </c>
      <c r="W2235">
        <v>4</v>
      </c>
      <c r="X2235" t="s">
        <v>9898</v>
      </c>
      <c r="Y2235" t="s">
        <v>9900</v>
      </c>
      <c r="Z2235" t="s">
        <v>9899</v>
      </c>
      <c r="AD2235">
        <f t="shared" si="69"/>
        <v>4</v>
      </c>
    </row>
    <row r="2236" spans="1:30" x14ac:dyDescent="0.25">
      <c r="A2236" t="s">
        <v>2260</v>
      </c>
      <c r="B2236" s="2">
        <v>45344</v>
      </c>
      <c r="C2236" s="2">
        <v>45346</v>
      </c>
      <c r="D2236" t="s">
        <v>5138</v>
      </c>
      <c r="E2236" t="s">
        <v>5638</v>
      </c>
      <c r="F2236" t="s">
        <v>6028</v>
      </c>
      <c r="G2236" t="s">
        <v>6031</v>
      </c>
      <c r="H2236" t="s">
        <v>6040</v>
      </c>
      <c r="I2236" t="s">
        <v>6050</v>
      </c>
      <c r="J2236" t="s">
        <v>6053</v>
      </c>
      <c r="K2236" t="s">
        <v>6057</v>
      </c>
      <c r="L2236" t="s">
        <v>8050</v>
      </c>
      <c r="M2236">
        <v>1411.68</v>
      </c>
      <c r="N2236">
        <v>3</v>
      </c>
      <c r="O2236">
        <v>0.02</v>
      </c>
      <c r="P2236">
        <v>351.6</v>
      </c>
      <c r="Q2236" t="s">
        <v>9893</v>
      </c>
      <c r="R2236">
        <v>2</v>
      </c>
      <c r="S2236" s="5">
        <f t="shared" si="68"/>
        <v>0.24906494389663381</v>
      </c>
      <c r="T2236">
        <v>470.56</v>
      </c>
      <c r="U2236">
        <v>2</v>
      </c>
      <c r="V2236">
        <v>2024</v>
      </c>
      <c r="W2236">
        <v>1</v>
      </c>
      <c r="X2236" t="s">
        <v>9899</v>
      </c>
      <c r="Y2236" t="s">
        <v>9901</v>
      </c>
      <c r="Z2236" t="s">
        <v>9898</v>
      </c>
      <c r="AD2236">
        <f t="shared" si="69"/>
        <v>2</v>
      </c>
    </row>
    <row r="2237" spans="1:30" x14ac:dyDescent="0.25">
      <c r="A2237" t="s">
        <v>2261</v>
      </c>
      <c r="B2237" s="2">
        <v>45441</v>
      </c>
      <c r="C2237" s="2">
        <v>45445</v>
      </c>
      <c r="D2237" t="s">
        <v>5463</v>
      </c>
      <c r="E2237" t="s">
        <v>5963</v>
      </c>
      <c r="F2237" t="s">
        <v>6027</v>
      </c>
      <c r="G2237" t="s">
        <v>6031</v>
      </c>
      <c r="H2237" t="s">
        <v>6037</v>
      </c>
      <c r="I2237" t="s">
        <v>6050</v>
      </c>
      <c r="J2237" t="s">
        <v>6053</v>
      </c>
      <c r="K2237" t="s">
        <v>6058</v>
      </c>
      <c r="L2237" t="s">
        <v>7707</v>
      </c>
      <c r="M2237">
        <v>1714.2</v>
      </c>
      <c r="N2237">
        <v>1</v>
      </c>
      <c r="O2237">
        <v>0.06</v>
      </c>
      <c r="P2237">
        <v>262.36</v>
      </c>
      <c r="Q2237" t="s">
        <v>9896</v>
      </c>
      <c r="R2237">
        <v>4</v>
      </c>
      <c r="S2237" s="5">
        <f t="shared" si="68"/>
        <v>0.15305098588262747</v>
      </c>
      <c r="T2237">
        <v>1714.2</v>
      </c>
      <c r="U2237">
        <v>5</v>
      </c>
      <c r="V2237">
        <v>2024</v>
      </c>
      <c r="W2237">
        <v>2</v>
      </c>
      <c r="X2237" t="s">
        <v>9899</v>
      </c>
      <c r="Y2237" t="s">
        <v>9901</v>
      </c>
      <c r="Z2237" t="s">
        <v>9898</v>
      </c>
      <c r="AD2237">
        <f t="shared" si="69"/>
        <v>4</v>
      </c>
    </row>
    <row r="2238" spans="1:30" x14ac:dyDescent="0.25">
      <c r="A2238" t="s">
        <v>2262</v>
      </c>
      <c r="B2238" s="2">
        <v>45423</v>
      </c>
      <c r="C2238" s="2">
        <v>45425</v>
      </c>
      <c r="D2238" t="s">
        <v>5026</v>
      </c>
      <c r="E2238" t="s">
        <v>5526</v>
      </c>
      <c r="F2238" t="s">
        <v>6027</v>
      </c>
      <c r="G2238" t="s">
        <v>6031</v>
      </c>
      <c r="H2238" t="s">
        <v>6043</v>
      </c>
      <c r="I2238" t="s">
        <v>6050</v>
      </c>
      <c r="J2238" t="s">
        <v>6053</v>
      </c>
      <c r="K2238" t="s">
        <v>6058</v>
      </c>
      <c r="L2238" t="s">
        <v>8051</v>
      </c>
      <c r="M2238">
        <v>1180.05</v>
      </c>
      <c r="N2238">
        <v>8</v>
      </c>
      <c r="O2238">
        <v>0.01</v>
      </c>
      <c r="P2238">
        <v>203.6</v>
      </c>
      <c r="Q2238" t="s">
        <v>9893</v>
      </c>
      <c r="R2238">
        <v>2</v>
      </c>
      <c r="S2238" s="5">
        <f t="shared" si="68"/>
        <v>0.17253506207364094</v>
      </c>
      <c r="T2238">
        <v>147.50624999999999</v>
      </c>
      <c r="U2238">
        <v>5</v>
      </c>
      <c r="V2238">
        <v>2024</v>
      </c>
      <c r="W2238">
        <v>2</v>
      </c>
      <c r="X2238" t="s">
        <v>9899</v>
      </c>
      <c r="Y2238" t="s">
        <v>9901</v>
      </c>
      <c r="Z2238" t="s">
        <v>9898</v>
      </c>
      <c r="AD2238">
        <f t="shared" si="69"/>
        <v>2</v>
      </c>
    </row>
    <row r="2239" spans="1:30" x14ac:dyDescent="0.25">
      <c r="A2239" t="s">
        <v>2263</v>
      </c>
      <c r="B2239" s="2">
        <v>44953</v>
      </c>
      <c r="C2239" s="2">
        <v>44954</v>
      </c>
      <c r="D2239" t="s">
        <v>5250</v>
      </c>
      <c r="E2239" t="s">
        <v>5750</v>
      </c>
      <c r="F2239" t="s">
        <v>6028</v>
      </c>
      <c r="G2239" t="s">
        <v>6031</v>
      </c>
      <c r="H2239" t="s">
        <v>6037</v>
      </c>
      <c r="I2239" t="s">
        <v>6048</v>
      </c>
      <c r="J2239" t="s">
        <v>6054</v>
      </c>
      <c r="K2239" t="s">
        <v>6059</v>
      </c>
      <c r="L2239" t="s">
        <v>8052</v>
      </c>
      <c r="M2239">
        <v>1079</v>
      </c>
      <c r="N2239">
        <v>2</v>
      </c>
      <c r="O2239">
        <v>0.02</v>
      </c>
      <c r="P2239">
        <v>100.35</v>
      </c>
      <c r="Q2239" t="s">
        <v>9897</v>
      </c>
      <c r="R2239">
        <v>1</v>
      </c>
      <c r="S2239" s="5">
        <f t="shared" si="68"/>
        <v>9.3002780352177933E-2</v>
      </c>
      <c r="T2239">
        <v>539.5</v>
      </c>
      <c r="U2239">
        <v>1</v>
      </c>
      <c r="V2239">
        <v>2023</v>
      </c>
      <c r="W2239">
        <v>1</v>
      </c>
      <c r="X2239" t="s">
        <v>9899</v>
      </c>
      <c r="Y2239" t="s">
        <v>9901</v>
      </c>
      <c r="Z2239" t="s">
        <v>9898</v>
      </c>
      <c r="AD2239">
        <f t="shared" si="69"/>
        <v>1</v>
      </c>
    </row>
    <row r="2240" spans="1:30" x14ac:dyDescent="0.25">
      <c r="A2240" t="s">
        <v>2264</v>
      </c>
      <c r="B2240" s="2">
        <v>45252</v>
      </c>
      <c r="C2240" s="2">
        <v>45257</v>
      </c>
      <c r="D2240" t="s">
        <v>5065</v>
      </c>
      <c r="E2240" t="s">
        <v>5565</v>
      </c>
      <c r="F2240" t="s">
        <v>6026</v>
      </c>
      <c r="G2240" t="s">
        <v>6031</v>
      </c>
      <c r="H2240" t="s">
        <v>6037</v>
      </c>
      <c r="I2240" t="s">
        <v>6050</v>
      </c>
      <c r="J2240" t="s">
        <v>6054</v>
      </c>
      <c r="K2240" t="s">
        <v>6059</v>
      </c>
      <c r="L2240" t="s">
        <v>8053</v>
      </c>
      <c r="M2240">
        <v>984.39</v>
      </c>
      <c r="N2240">
        <v>8</v>
      </c>
      <c r="O2240">
        <v>0.28999999999999998</v>
      </c>
      <c r="P2240">
        <v>-66.709999999999994</v>
      </c>
      <c r="Q2240" t="s">
        <v>9897</v>
      </c>
      <c r="R2240">
        <v>5</v>
      </c>
      <c r="S2240" s="5">
        <f t="shared" si="68"/>
        <v>-6.7767856235841487E-2</v>
      </c>
      <c r="T2240">
        <v>123.04875</v>
      </c>
      <c r="U2240">
        <v>11</v>
      </c>
      <c r="V2240">
        <v>2023</v>
      </c>
      <c r="W2240">
        <v>4</v>
      </c>
      <c r="X2240" t="s">
        <v>9898</v>
      </c>
      <c r="Y2240" t="s">
        <v>9900</v>
      </c>
      <c r="Z2240" t="s">
        <v>9899</v>
      </c>
      <c r="AD2240">
        <f t="shared" si="69"/>
        <v>5</v>
      </c>
    </row>
    <row r="2241" spans="1:30" x14ac:dyDescent="0.25">
      <c r="A2241" t="s">
        <v>2265</v>
      </c>
      <c r="B2241" s="2">
        <v>45337</v>
      </c>
      <c r="C2241" s="2">
        <v>45342</v>
      </c>
      <c r="D2241" t="s">
        <v>5206</v>
      </c>
      <c r="E2241" t="s">
        <v>5706</v>
      </c>
      <c r="F2241" t="s">
        <v>6027</v>
      </c>
      <c r="G2241" t="s">
        <v>6030</v>
      </c>
      <c r="H2241" t="s">
        <v>6039</v>
      </c>
      <c r="I2241" t="s">
        <v>6051</v>
      </c>
      <c r="J2241" t="s">
        <v>6054</v>
      </c>
      <c r="K2241" t="s">
        <v>6059</v>
      </c>
      <c r="L2241" t="s">
        <v>8054</v>
      </c>
      <c r="M2241">
        <v>1528.63</v>
      </c>
      <c r="N2241">
        <v>8</v>
      </c>
      <c r="O2241">
        <v>0.21</v>
      </c>
      <c r="P2241">
        <v>136.19</v>
      </c>
      <c r="Q2241" t="s">
        <v>9897</v>
      </c>
      <c r="R2241">
        <v>5</v>
      </c>
      <c r="S2241" s="5">
        <f t="shared" si="68"/>
        <v>8.9092847844148018E-2</v>
      </c>
      <c r="T2241">
        <v>191.07875000000001</v>
      </c>
      <c r="U2241">
        <v>2</v>
      </c>
      <c r="V2241">
        <v>2024</v>
      </c>
      <c r="W2241">
        <v>1</v>
      </c>
      <c r="X2241" t="s">
        <v>9899</v>
      </c>
      <c r="Y2241" t="s">
        <v>9900</v>
      </c>
      <c r="Z2241" t="s">
        <v>9898</v>
      </c>
      <c r="AD2241">
        <f t="shared" si="69"/>
        <v>5</v>
      </c>
    </row>
    <row r="2242" spans="1:30" x14ac:dyDescent="0.25">
      <c r="A2242" t="s">
        <v>2266</v>
      </c>
      <c r="B2242" s="2">
        <v>44914</v>
      </c>
      <c r="C2242" s="2">
        <v>44920</v>
      </c>
      <c r="D2242" t="s">
        <v>5500</v>
      </c>
      <c r="E2242" t="s">
        <v>6000</v>
      </c>
      <c r="F2242" t="s">
        <v>6026</v>
      </c>
      <c r="G2242" t="s">
        <v>6031</v>
      </c>
      <c r="H2242" t="s">
        <v>6034</v>
      </c>
      <c r="I2242" t="s">
        <v>6048</v>
      </c>
      <c r="J2242" t="s">
        <v>6053</v>
      </c>
      <c r="K2242" t="s">
        <v>6058</v>
      </c>
      <c r="L2242" t="s">
        <v>8055</v>
      </c>
      <c r="M2242">
        <v>1102.76</v>
      </c>
      <c r="N2242">
        <v>5</v>
      </c>
      <c r="O2242">
        <v>0.33</v>
      </c>
      <c r="P2242">
        <v>-198.13</v>
      </c>
      <c r="Q2242" t="s">
        <v>9895</v>
      </c>
      <c r="R2242">
        <v>6</v>
      </c>
      <c r="S2242" s="5">
        <f t="shared" si="68"/>
        <v>-0.17966738002829263</v>
      </c>
      <c r="T2242">
        <v>220.55199999999999</v>
      </c>
      <c r="U2242">
        <v>12</v>
      </c>
      <c r="V2242">
        <v>2022</v>
      </c>
      <c r="W2242">
        <v>4</v>
      </c>
      <c r="X2242" t="s">
        <v>9898</v>
      </c>
      <c r="Y2242" t="s">
        <v>9902</v>
      </c>
      <c r="Z2242" t="s">
        <v>9898</v>
      </c>
      <c r="AD2242">
        <f t="shared" si="69"/>
        <v>6</v>
      </c>
    </row>
    <row r="2243" spans="1:30" x14ac:dyDescent="0.25">
      <c r="A2243" t="s">
        <v>2267</v>
      </c>
      <c r="B2243" s="2">
        <v>45175</v>
      </c>
      <c r="C2243" s="2">
        <v>45180</v>
      </c>
      <c r="D2243" t="s">
        <v>5300</v>
      </c>
      <c r="E2243" t="s">
        <v>5800</v>
      </c>
      <c r="F2243" t="s">
        <v>6027</v>
      </c>
      <c r="G2243" t="s">
        <v>6031</v>
      </c>
      <c r="H2243" t="s">
        <v>6037</v>
      </c>
      <c r="I2243" t="s">
        <v>6050</v>
      </c>
      <c r="J2243" t="s">
        <v>6053</v>
      </c>
      <c r="K2243" t="s">
        <v>6057</v>
      </c>
      <c r="L2243" t="s">
        <v>8056</v>
      </c>
      <c r="M2243">
        <v>1908.77</v>
      </c>
      <c r="N2243">
        <v>4</v>
      </c>
      <c r="O2243">
        <v>7.0000000000000007E-2</v>
      </c>
      <c r="P2243">
        <v>247.71</v>
      </c>
      <c r="Q2243" t="s">
        <v>9897</v>
      </c>
      <c r="R2243">
        <v>5</v>
      </c>
      <c r="S2243" s="5">
        <f t="shared" ref="S2243:S2306" si="70">P2243/M2243</f>
        <v>0.12977467164718642</v>
      </c>
      <c r="T2243">
        <v>477.1925</v>
      </c>
      <c r="U2243">
        <v>9</v>
      </c>
      <c r="V2243">
        <v>2023</v>
      </c>
      <c r="W2243">
        <v>3</v>
      </c>
      <c r="X2243" t="s">
        <v>9899</v>
      </c>
      <c r="Y2243" t="s">
        <v>9901</v>
      </c>
      <c r="Z2243" t="s">
        <v>9898</v>
      </c>
      <c r="AD2243">
        <f t="shared" ref="AD2243:AD2306" si="71">C2243-B2243</f>
        <v>5</v>
      </c>
    </row>
    <row r="2244" spans="1:30" x14ac:dyDescent="0.25">
      <c r="A2244" t="s">
        <v>2268</v>
      </c>
      <c r="B2244" s="2">
        <v>44627</v>
      </c>
      <c r="C2244" s="2">
        <v>44630</v>
      </c>
      <c r="D2244" t="s">
        <v>5108</v>
      </c>
      <c r="E2244" t="s">
        <v>5608</v>
      </c>
      <c r="F2244" t="s">
        <v>6028</v>
      </c>
      <c r="G2244" t="s">
        <v>6031</v>
      </c>
      <c r="H2244" t="s">
        <v>6037</v>
      </c>
      <c r="I2244" t="s">
        <v>6052</v>
      </c>
      <c r="J2244" t="s">
        <v>6053</v>
      </c>
      <c r="K2244" t="s">
        <v>6056</v>
      </c>
      <c r="L2244" t="s">
        <v>8057</v>
      </c>
      <c r="M2244">
        <v>396.78</v>
      </c>
      <c r="N2244">
        <v>5</v>
      </c>
      <c r="O2244">
        <v>0.24</v>
      </c>
      <c r="P2244">
        <v>-0.02</v>
      </c>
      <c r="Q2244" t="s">
        <v>9896</v>
      </c>
      <c r="R2244">
        <v>3</v>
      </c>
      <c r="S2244" s="5">
        <f t="shared" si="70"/>
        <v>-5.0405766419678416E-5</v>
      </c>
      <c r="T2244">
        <v>79.355999999999995</v>
      </c>
      <c r="U2244">
        <v>3</v>
      </c>
      <c r="V2244">
        <v>2022</v>
      </c>
      <c r="W2244">
        <v>1</v>
      </c>
      <c r="X2244" t="s">
        <v>9898</v>
      </c>
      <c r="Y2244" t="s">
        <v>9900</v>
      </c>
      <c r="Z2244" t="s">
        <v>9899</v>
      </c>
      <c r="AD2244">
        <f t="shared" si="71"/>
        <v>3</v>
      </c>
    </row>
    <row r="2245" spans="1:30" x14ac:dyDescent="0.25">
      <c r="A2245" t="s">
        <v>2269</v>
      </c>
      <c r="B2245" s="2">
        <v>44670</v>
      </c>
      <c r="C2245" s="2">
        <v>44677</v>
      </c>
      <c r="D2245" t="s">
        <v>5356</v>
      </c>
      <c r="E2245" t="s">
        <v>5856</v>
      </c>
      <c r="F2245" t="s">
        <v>6026</v>
      </c>
      <c r="G2245" t="s">
        <v>6030</v>
      </c>
      <c r="H2245" t="s">
        <v>6038</v>
      </c>
      <c r="I2245" t="s">
        <v>6051</v>
      </c>
      <c r="J2245" t="s">
        <v>6055</v>
      </c>
      <c r="K2245" t="s">
        <v>6063</v>
      </c>
      <c r="L2245" t="s">
        <v>8058</v>
      </c>
      <c r="M2245">
        <v>1179.22</v>
      </c>
      <c r="N2245">
        <v>7</v>
      </c>
      <c r="O2245">
        <v>0.12</v>
      </c>
      <c r="P2245">
        <v>-20.07</v>
      </c>
      <c r="Q2245" t="s">
        <v>9893</v>
      </c>
      <c r="R2245">
        <v>7</v>
      </c>
      <c r="S2245" s="5">
        <f t="shared" si="70"/>
        <v>-1.7019724902901916E-2</v>
      </c>
      <c r="T2245">
        <v>168.46</v>
      </c>
      <c r="U2245">
        <v>4</v>
      </c>
      <c r="V2245">
        <v>2022</v>
      </c>
      <c r="W2245">
        <v>2</v>
      </c>
      <c r="X2245" t="s">
        <v>9898</v>
      </c>
      <c r="Y2245" t="s">
        <v>9901</v>
      </c>
      <c r="Z2245" t="s">
        <v>9898</v>
      </c>
      <c r="AD2245">
        <f t="shared" si="71"/>
        <v>7</v>
      </c>
    </row>
    <row r="2246" spans="1:30" x14ac:dyDescent="0.25">
      <c r="A2246" t="s">
        <v>2270</v>
      </c>
      <c r="B2246" s="2">
        <v>45254</v>
      </c>
      <c r="C2246" s="2">
        <v>45259</v>
      </c>
      <c r="D2246" t="s">
        <v>5086</v>
      </c>
      <c r="E2246" t="s">
        <v>5586</v>
      </c>
      <c r="F2246" t="s">
        <v>6026</v>
      </c>
      <c r="G2246" t="s">
        <v>6031</v>
      </c>
      <c r="H2246" t="s">
        <v>6043</v>
      </c>
      <c r="I2246" t="s">
        <v>6052</v>
      </c>
      <c r="J2246" t="s">
        <v>6055</v>
      </c>
      <c r="K2246" t="s">
        <v>6061</v>
      </c>
      <c r="L2246" t="s">
        <v>8059</v>
      </c>
      <c r="M2246">
        <v>378.77</v>
      </c>
      <c r="N2246">
        <v>3</v>
      </c>
      <c r="O2246">
        <v>0.31</v>
      </c>
      <c r="P2246">
        <v>-43.46</v>
      </c>
      <c r="Q2246" t="s">
        <v>9893</v>
      </c>
      <c r="R2246">
        <v>5</v>
      </c>
      <c r="S2246" s="5">
        <f t="shared" si="70"/>
        <v>-0.11473981571930196</v>
      </c>
      <c r="T2246">
        <v>126.2566666666667</v>
      </c>
      <c r="U2246">
        <v>11</v>
      </c>
      <c r="V2246">
        <v>2023</v>
      </c>
      <c r="W2246">
        <v>4</v>
      </c>
      <c r="X2246" t="s">
        <v>9898</v>
      </c>
      <c r="Y2246" t="s">
        <v>9902</v>
      </c>
      <c r="Z2246" t="s">
        <v>9899</v>
      </c>
      <c r="AD2246">
        <f t="shared" si="71"/>
        <v>5</v>
      </c>
    </row>
    <row r="2247" spans="1:30" x14ac:dyDescent="0.25">
      <c r="A2247" t="s">
        <v>2271</v>
      </c>
      <c r="B2247" s="2">
        <v>44896</v>
      </c>
      <c r="C2247" s="2">
        <v>44903</v>
      </c>
      <c r="D2247" t="s">
        <v>5451</v>
      </c>
      <c r="E2247" t="s">
        <v>5951</v>
      </c>
      <c r="F2247" t="s">
        <v>6028</v>
      </c>
      <c r="G2247" t="s">
        <v>6029</v>
      </c>
      <c r="H2247" t="s">
        <v>6041</v>
      </c>
      <c r="I2247" t="s">
        <v>6046</v>
      </c>
      <c r="J2247" t="s">
        <v>6053</v>
      </c>
      <c r="K2247" t="s">
        <v>6056</v>
      </c>
      <c r="L2247" t="s">
        <v>8060</v>
      </c>
      <c r="M2247">
        <v>1760.88</v>
      </c>
      <c r="N2247">
        <v>7</v>
      </c>
      <c r="O2247">
        <v>0.1</v>
      </c>
      <c r="P2247">
        <v>16.55</v>
      </c>
      <c r="Q2247" t="s">
        <v>9896</v>
      </c>
      <c r="R2247">
        <v>7</v>
      </c>
      <c r="S2247" s="5">
        <f t="shared" si="70"/>
        <v>9.39870973604107E-3</v>
      </c>
      <c r="T2247">
        <v>251.5542857142857</v>
      </c>
      <c r="U2247">
        <v>12</v>
      </c>
      <c r="V2247">
        <v>2022</v>
      </c>
      <c r="W2247">
        <v>4</v>
      </c>
      <c r="X2247" t="s">
        <v>9899</v>
      </c>
      <c r="Y2247" t="s">
        <v>9901</v>
      </c>
      <c r="Z2247" t="s">
        <v>9898</v>
      </c>
      <c r="AD2247">
        <f t="shared" si="71"/>
        <v>7</v>
      </c>
    </row>
    <row r="2248" spans="1:30" x14ac:dyDescent="0.25">
      <c r="A2248" t="s">
        <v>2272</v>
      </c>
      <c r="B2248" s="2">
        <v>44566</v>
      </c>
      <c r="C2248" s="2">
        <v>44569</v>
      </c>
      <c r="D2248" t="s">
        <v>5507</v>
      </c>
      <c r="E2248" t="s">
        <v>6007</v>
      </c>
      <c r="F2248" t="s">
        <v>6027</v>
      </c>
      <c r="G2248" t="s">
        <v>6031</v>
      </c>
      <c r="H2248" t="s">
        <v>6040</v>
      </c>
      <c r="I2248" t="s">
        <v>6048</v>
      </c>
      <c r="J2248" t="s">
        <v>6053</v>
      </c>
      <c r="K2248" t="s">
        <v>6057</v>
      </c>
      <c r="L2248" t="s">
        <v>8061</v>
      </c>
      <c r="M2248">
        <v>429.89</v>
      </c>
      <c r="N2248">
        <v>5</v>
      </c>
      <c r="O2248">
        <v>0.3</v>
      </c>
      <c r="P2248">
        <v>-66.959999999999994</v>
      </c>
      <c r="Q2248" t="s">
        <v>9894</v>
      </c>
      <c r="R2248">
        <v>3</v>
      </c>
      <c r="S2248" s="5">
        <f t="shared" si="70"/>
        <v>-0.15576077601246829</v>
      </c>
      <c r="T2248">
        <v>85.977999999999994</v>
      </c>
      <c r="U2248">
        <v>1</v>
      </c>
      <c r="V2248">
        <v>2022</v>
      </c>
      <c r="W2248">
        <v>1</v>
      </c>
      <c r="X2248" t="s">
        <v>9898</v>
      </c>
      <c r="Y2248" t="s">
        <v>9900</v>
      </c>
      <c r="Z2248" t="s">
        <v>9899</v>
      </c>
      <c r="AD2248">
        <f t="shared" si="71"/>
        <v>3</v>
      </c>
    </row>
    <row r="2249" spans="1:30" x14ac:dyDescent="0.25">
      <c r="A2249" t="s">
        <v>2273</v>
      </c>
      <c r="B2249" s="2">
        <v>45421</v>
      </c>
      <c r="C2249" s="2">
        <v>45428</v>
      </c>
      <c r="D2249" t="s">
        <v>5436</v>
      </c>
      <c r="E2249" t="s">
        <v>5936</v>
      </c>
      <c r="F2249" t="s">
        <v>6027</v>
      </c>
      <c r="G2249" t="s">
        <v>6031</v>
      </c>
      <c r="H2249" t="s">
        <v>6043</v>
      </c>
      <c r="I2249" t="s">
        <v>6052</v>
      </c>
      <c r="J2249" t="s">
        <v>6054</v>
      </c>
      <c r="K2249" t="s">
        <v>6059</v>
      </c>
      <c r="L2249" t="s">
        <v>8062</v>
      </c>
      <c r="M2249">
        <v>1694.07</v>
      </c>
      <c r="N2249">
        <v>5</v>
      </c>
      <c r="O2249">
        <v>0.32</v>
      </c>
      <c r="P2249">
        <v>-340.65</v>
      </c>
      <c r="Q2249" t="s">
        <v>9895</v>
      </c>
      <c r="R2249">
        <v>7</v>
      </c>
      <c r="S2249" s="5">
        <f t="shared" si="70"/>
        <v>-0.20108378048132602</v>
      </c>
      <c r="T2249">
        <v>338.81400000000002</v>
      </c>
      <c r="U2249">
        <v>5</v>
      </c>
      <c r="V2249">
        <v>2024</v>
      </c>
      <c r="W2249">
        <v>2</v>
      </c>
      <c r="X2249" t="s">
        <v>9898</v>
      </c>
      <c r="Y2249" t="s">
        <v>9902</v>
      </c>
      <c r="Z2249" t="s">
        <v>9898</v>
      </c>
      <c r="AD2249">
        <f t="shared" si="71"/>
        <v>7</v>
      </c>
    </row>
    <row r="2250" spans="1:30" x14ac:dyDescent="0.25">
      <c r="A2250" t="s">
        <v>2274</v>
      </c>
      <c r="B2250" s="2">
        <v>45348</v>
      </c>
      <c r="C2250" s="2">
        <v>45350</v>
      </c>
      <c r="D2250" t="s">
        <v>5465</v>
      </c>
      <c r="E2250" t="s">
        <v>5965</v>
      </c>
      <c r="F2250" t="s">
        <v>6027</v>
      </c>
      <c r="G2250" t="s">
        <v>6029</v>
      </c>
      <c r="H2250" t="s">
        <v>6041</v>
      </c>
      <c r="I2250" t="s">
        <v>6050</v>
      </c>
      <c r="J2250" t="s">
        <v>6054</v>
      </c>
      <c r="K2250" t="s">
        <v>6060</v>
      </c>
      <c r="L2250" t="s">
        <v>8063</v>
      </c>
      <c r="M2250">
        <v>180.65</v>
      </c>
      <c r="N2250">
        <v>7</v>
      </c>
      <c r="O2250">
        <v>0.28999999999999998</v>
      </c>
      <c r="P2250">
        <v>-2.02</v>
      </c>
      <c r="Q2250" t="s">
        <v>9893</v>
      </c>
      <c r="R2250">
        <v>2</v>
      </c>
      <c r="S2250" s="5">
        <f t="shared" si="70"/>
        <v>-1.118184334348187E-2</v>
      </c>
      <c r="T2250">
        <v>25.80714285714286</v>
      </c>
      <c r="U2250">
        <v>2</v>
      </c>
      <c r="V2250">
        <v>2024</v>
      </c>
      <c r="W2250">
        <v>1</v>
      </c>
      <c r="X2250" t="s">
        <v>9898</v>
      </c>
      <c r="Y2250" t="s">
        <v>9900</v>
      </c>
      <c r="Z2250" t="s">
        <v>9899</v>
      </c>
      <c r="AD2250">
        <f t="shared" si="71"/>
        <v>2</v>
      </c>
    </row>
    <row r="2251" spans="1:30" x14ac:dyDescent="0.25">
      <c r="A2251" t="s">
        <v>2275</v>
      </c>
      <c r="B2251" s="2">
        <v>44911</v>
      </c>
      <c r="C2251" s="2">
        <v>44913</v>
      </c>
      <c r="D2251" t="s">
        <v>5319</v>
      </c>
      <c r="E2251" t="s">
        <v>5819</v>
      </c>
      <c r="F2251" t="s">
        <v>6027</v>
      </c>
      <c r="G2251" t="s">
        <v>6031</v>
      </c>
      <c r="H2251" t="s">
        <v>6040</v>
      </c>
      <c r="I2251" t="s">
        <v>6048</v>
      </c>
      <c r="J2251" t="s">
        <v>6055</v>
      </c>
      <c r="K2251" t="s">
        <v>6064</v>
      </c>
      <c r="L2251" t="s">
        <v>8064</v>
      </c>
      <c r="M2251">
        <v>1687.63</v>
      </c>
      <c r="N2251">
        <v>7</v>
      </c>
      <c r="O2251">
        <v>0.1</v>
      </c>
      <c r="P2251">
        <v>113.59</v>
      </c>
      <c r="Q2251" t="s">
        <v>9897</v>
      </c>
      <c r="R2251">
        <v>2</v>
      </c>
      <c r="S2251" s="5">
        <f t="shared" si="70"/>
        <v>6.7307407429353594E-2</v>
      </c>
      <c r="T2251">
        <v>241.09</v>
      </c>
      <c r="U2251">
        <v>12</v>
      </c>
      <c r="V2251">
        <v>2022</v>
      </c>
      <c r="W2251">
        <v>4</v>
      </c>
      <c r="X2251" t="s">
        <v>9899</v>
      </c>
      <c r="Y2251" t="s">
        <v>9901</v>
      </c>
      <c r="Z2251" t="s">
        <v>9898</v>
      </c>
      <c r="AD2251">
        <f t="shared" si="71"/>
        <v>2</v>
      </c>
    </row>
    <row r="2252" spans="1:30" x14ac:dyDescent="0.25">
      <c r="A2252" t="s">
        <v>2276</v>
      </c>
      <c r="B2252" s="2">
        <v>44904</v>
      </c>
      <c r="C2252" s="2">
        <v>44908</v>
      </c>
      <c r="D2252" t="s">
        <v>5468</v>
      </c>
      <c r="E2252" t="s">
        <v>5968</v>
      </c>
      <c r="F2252" t="s">
        <v>6028</v>
      </c>
      <c r="G2252" t="s">
        <v>6030</v>
      </c>
      <c r="H2252" t="s">
        <v>6038</v>
      </c>
      <c r="I2252" t="s">
        <v>6047</v>
      </c>
      <c r="J2252" t="s">
        <v>6054</v>
      </c>
      <c r="K2252" t="s">
        <v>6062</v>
      </c>
      <c r="L2252" t="s">
        <v>7799</v>
      </c>
      <c r="M2252">
        <v>1612.25</v>
      </c>
      <c r="N2252">
        <v>8</v>
      </c>
      <c r="O2252">
        <v>0.11</v>
      </c>
      <c r="P2252">
        <v>291.52</v>
      </c>
      <c r="Q2252" t="s">
        <v>9897</v>
      </c>
      <c r="R2252">
        <v>4</v>
      </c>
      <c r="S2252" s="5">
        <f t="shared" si="70"/>
        <v>0.18081563033028375</v>
      </c>
      <c r="T2252">
        <v>201.53125</v>
      </c>
      <c r="U2252">
        <v>12</v>
      </c>
      <c r="V2252">
        <v>2022</v>
      </c>
      <c r="W2252">
        <v>4</v>
      </c>
      <c r="X2252" t="s">
        <v>9899</v>
      </c>
      <c r="Y2252" t="s">
        <v>9901</v>
      </c>
      <c r="Z2252" t="s">
        <v>9898</v>
      </c>
      <c r="AD2252">
        <f t="shared" si="71"/>
        <v>4</v>
      </c>
    </row>
    <row r="2253" spans="1:30" x14ac:dyDescent="0.25">
      <c r="A2253" t="s">
        <v>2277</v>
      </c>
      <c r="B2253" s="2">
        <v>44895</v>
      </c>
      <c r="C2253" s="2">
        <v>44896</v>
      </c>
      <c r="D2253" t="s">
        <v>5273</v>
      </c>
      <c r="E2253" t="s">
        <v>5773</v>
      </c>
      <c r="F2253" t="s">
        <v>6027</v>
      </c>
      <c r="G2253" t="s">
        <v>6030</v>
      </c>
      <c r="H2253" t="s">
        <v>6038</v>
      </c>
      <c r="I2253" t="s">
        <v>6051</v>
      </c>
      <c r="J2253" t="s">
        <v>6055</v>
      </c>
      <c r="K2253" t="s">
        <v>6063</v>
      </c>
      <c r="L2253" t="s">
        <v>7052</v>
      </c>
      <c r="M2253">
        <v>1869.98</v>
      </c>
      <c r="N2253">
        <v>5</v>
      </c>
      <c r="O2253">
        <v>0.15</v>
      </c>
      <c r="P2253">
        <v>266.8</v>
      </c>
      <c r="Q2253" t="s">
        <v>9896</v>
      </c>
      <c r="R2253">
        <v>1</v>
      </c>
      <c r="S2253" s="5">
        <f t="shared" si="70"/>
        <v>0.14267532273072439</v>
      </c>
      <c r="T2253">
        <v>373.99599999999998</v>
      </c>
      <c r="U2253">
        <v>11</v>
      </c>
      <c r="V2253">
        <v>2022</v>
      </c>
      <c r="W2253">
        <v>4</v>
      </c>
      <c r="X2253" t="s">
        <v>9899</v>
      </c>
      <c r="Y2253" t="s">
        <v>9901</v>
      </c>
      <c r="Z2253" t="s">
        <v>9898</v>
      </c>
      <c r="AD2253">
        <f t="shared" si="71"/>
        <v>1</v>
      </c>
    </row>
    <row r="2254" spans="1:30" x14ac:dyDescent="0.25">
      <c r="A2254" t="s">
        <v>2278</v>
      </c>
      <c r="B2254" s="2">
        <v>44943</v>
      </c>
      <c r="C2254" s="2">
        <v>44945</v>
      </c>
      <c r="D2254" t="s">
        <v>5115</v>
      </c>
      <c r="E2254" t="s">
        <v>5615</v>
      </c>
      <c r="F2254" t="s">
        <v>6028</v>
      </c>
      <c r="G2254" t="s">
        <v>6031</v>
      </c>
      <c r="H2254" t="s">
        <v>6037</v>
      </c>
      <c r="I2254" t="s">
        <v>6050</v>
      </c>
      <c r="J2254" t="s">
        <v>6054</v>
      </c>
      <c r="K2254" t="s">
        <v>6062</v>
      </c>
      <c r="L2254" t="s">
        <v>8065</v>
      </c>
      <c r="M2254">
        <v>906.49</v>
      </c>
      <c r="N2254">
        <v>3</v>
      </c>
      <c r="O2254">
        <v>0.15</v>
      </c>
      <c r="P2254">
        <v>16.21</v>
      </c>
      <c r="Q2254" t="s">
        <v>9894</v>
      </c>
      <c r="R2254">
        <v>2</v>
      </c>
      <c r="S2254" s="5">
        <f t="shared" si="70"/>
        <v>1.7882160862226833E-2</v>
      </c>
      <c r="T2254">
        <v>302.16333333333341</v>
      </c>
      <c r="U2254">
        <v>1</v>
      </c>
      <c r="V2254">
        <v>2023</v>
      </c>
      <c r="W2254">
        <v>1</v>
      </c>
      <c r="X2254" t="s">
        <v>9899</v>
      </c>
      <c r="Y2254" t="s">
        <v>9901</v>
      </c>
      <c r="Z2254" t="s">
        <v>9899</v>
      </c>
      <c r="AD2254">
        <f t="shared" si="71"/>
        <v>2</v>
      </c>
    </row>
    <row r="2255" spans="1:30" x14ac:dyDescent="0.25">
      <c r="A2255" t="s">
        <v>2279</v>
      </c>
      <c r="B2255" s="2">
        <v>45221</v>
      </c>
      <c r="C2255" s="2">
        <v>45223</v>
      </c>
      <c r="D2255" t="s">
        <v>5485</v>
      </c>
      <c r="E2255" t="s">
        <v>5985</v>
      </c>
      <c r="F2255" t="s">
        <v>6028</v>
      </c>
      <c r="G2255" t="s">
        <v>6031</v>
      </c>
      <c r="H2255" t="s">
        <v>6034</v>
      </c>
      <c r="I2255" t="s">
        <v>6050</v>
      </c>
      <c r="J2255" t="s">
        <v>6053</v>
      </c>
      <c r="K2255" t="s">
        <v>6057</v>
      </c>
      <c r="L2255" t="s">
        <v>8066</v>
      </c>
      <c r="M2255">
        <v>1002.17</v>
      </c>
      <c r="N2255">
        <v>4</v>
      </c>
      <c r="O2255">
        <v>0.06</v>
      </c>
      <c r="P2255">
        <v>47.26</v>
      </c>
      <c r="Q2255" t="s">
        <v>9894</v>
      </c>
      <c r="R2255">
        <v>2</v>
      </c>
      <c r="S2255" s="5">
        <f t="shared" si="70"/>
        <v>4.7157667860742186E-2</v>
      </c>
      <c r="T2255">
        <v>250.54249999999999</v>
      </c>
      <c r="U2255">
        <v>10</v>
      </c>
      <c r="V2255">
        <v>2023</v>
      </c>
      <c r="W2255">
        <v>4</v>
      </c>
      <c r="X2255" t="s">
        <v>9899</v>
      </c>
      <c r="Y2255" t="s">
        <v>9901</v>
      </c>
      <c r="Z2255" t="s">
        <v>9898</v>
      </c>
      <c r="AD2255">
        <f t="shared" si="71"/>
        <v>2</v>
      </c>
    </row>
    <row r="2256" spans="1:30" x14ac:dyDescent="0.25">
      <c r="A2256" t="s">
        <v>2280</v>
      </c>
      <c r="B2256" s="2">
        <v>44784</v>
      </c>
      <c r="C2256" s="2">
        <v>44789</v>
      </c>
      <c r="D2256" t="s">
        <v>5433</v>
      </c>
      <c r="E2256" t="s">
        <v>5933</v>
      </c>
      <c r="F2256" t="s">
        <v>6028</v>
      </c>
      <c r="G2256" t="s">
        <v>6031</v>
      </c>
      <c r="H2256" t="s">
        <v>6042</v>
      </c>
      <c r="I2256" t="s">
        <v>6048</v>
      </c>
      <c r="J2256" t="s">
        <v>6053</v>
      </c>
      <c r="K2256" t="s">
        <v>6057</v>
      </c>
      <c r="L2256" t="s">
        <v>8067</v>
      </c>
      <c r="M2256">
        <v>813.61</v>
      </c>
      <c r="N2256">
        <v>5</v>
      </c>
      <c r="O2256">
        <v>0.21</v>
      </c>
      <c r="P2256">
        <v>-55.95</v>
      </c>
      <c r="Q2256" t="s">
        <v>9895</v>
      </c>
      <c r="R2256">
        <v>5</v>
      </c>
      <c r="S2256" s="5">
        <f t="shared" si="70"/>
        <v>-6.8767591352122029E-2</v>
      </c>
      <c r="T2256">
        <v>162.72200000000001</v>
      </c>
      <c r="U2256">
        <v>8</v>
      </c>
      <c r="V2256">
        <v>2022</v>
      </c>
      <c r="W2256">
        <v>3</v>
      </c>
      <c r="X2256" t="s">
        <v>9898</v>
      </c>
      <c r="Y2256" t="s">
        <v>9900</v>
      </c>
      <c r="Z2256" t="s">
        <v>9899</v>
      </c>
      <c r="AD2256">
        <f t="shared" si="71"/>
        <v>5</v>
      </c>
    </row>
    <row r="2257" spans="1:30" x14ac:dyDescent="0.25">
      <c r="A2257" t="s">
        <v>2281</v>
      </c>
      <c r="B2257" s="2">
        <v>44643</v>
      </c>
      <c r="C2257" s="2">
        <v>44645</v>
      </c>
      <c r="D2257" t="s">
        <v>5397</v>
      </c>
      <c r="E2257" t="s">
        <v>5897</v>
      </c>
      <c r="F2257" t="s">
        <v>6027</v>
      </c>
      <c r="G2257" t="s">
        <v>6031</v>
      </c>
      <c r="H2257" t="s">
        <v>6034</v>
      </c>
      <c r="I2257" t="s">
        <v>6048</v>
      </c>
      <c r="J2257" t="s">
        <v>6054</v>
      </c>
      <c r="K2257" t="s">
        <v>6060</v>
      </c>
      <c r="L2257" t="s">
        <v>6398</v>
      </c>
      <c r="M2257">
        <v>411.86</v>
      </c>
      <c r="N2257">
        <v>1</v>
      </c>
      <c r="O2257">
        <v>0.26</v>
      </c>
      <c r="P2257">
        <v>15.26</v>
      </c>
      <c r="Q2257" t="s">
        <v>9896</v>
      </c>
      <c r="R2257">
        <v>2</v>
      </c>
      <c r="S2257" s="5">
        <f t="shared" si="70"/>
        <v>3.7051425241586944E-2</v>
      </c>
      <c r="T2257">
        <v>411.86</v>
      </c>
      <c r="U2257">
        <v>3</v>
      </c>
      <c r="V2257">
        <v>2022</v>
      </c>
      <c r="W2257">
        <v>1</v>
      </c>
      <c r="X2257" t="s">
        <v>9899</v>
      </c>
      <c r="Y2257" t="s">
        <v>9900</v>
      </c>
      <c r="Z2257" t="s">
        <v>9899</v>
      </c>
      <c r="AD2257">
        <f t="shared" si="71"/>
        <v>2</v>
      </c>
    </row>
    <row r="2258" spans="1:30" x14ac:dyDescent="0.25">
      <c r="A2258" t="s">
        <v>2282</v>
      </c>
      <c r="B2258" s="2">
        <v>44903</v>
      </c>
      <c r="C2258" s="2">
        <v>44908</v>
      </c>
      <c r="D2258" t="s">
        <v>5090</v>
      </c>
      <c r="E2258" t="s">
        <v>5590</v>
      </c>
      <c r="F2258" t="s">
        <v>6027</v>
      </c>
      <c r="G2258" t="s">
        <v>6031</v>
      </c>
      <c r="H2258" t="s">
        <v>6034</v>
      </c>
      <c r="I2258" t="s">
        <v>6050</v>
      </c>
      <c r="J2258" t="s">
        <v>6055</v>
      </c>
      <c r="K2258" t="s">
        <v>6061</v>
      </c>
      <c r="L2258" t="s">
        <v>8068</v>
      </c>
      <c r="M2258">
        <v>476.81</v>
      </c>
      <c r="N2258">
        <v>1</v>
      </c>
      <c r="O2258">
        <v>0.17</v>
      </c>
      <c r="P2258">
        <v>-22.38</v>
      </c>
      <c r="Q2258" t="s">
        <v>9897</v>
      </c>
      <c r="R2258">
        <v>5</v>
      </c>
      <c r="S2258" s="5">
        <f t="shared" si="70"/>
        <v>-4.6936935047503195E-2</v>
      </c>
      <c r="T2258">
        <v>476.81</v>
      </c>
      <c r="U2258">
        <v>12</v>
      </c>
      <c r="V2258">
        <v>2022</v>
      </c>
      <c r="W2258">
        <v>4</v>
      </c>
      <c r="X2258" t="s">
        <v>9898</v>
      </c>
      <c r="Y2258" t="s">
        <v>9900</v>
      </c>
      <c r="Z2258" t="s">
        <v>9899</v>
      </c>
      <c r="AD2258">
        <f t="shared" si="71"/>
        <v>5</v>
      </c>
    </row>
    <row r="2259" spans="1:30" x14ac:dyDescent="0.25">
      <c r="A2259" t="s">
        <v>2283</v>
      </c>
      <c r="B2259" s="2">
        <v>44640</v>
      </c>
      <c r="C2259" s="2">
        <v>44643</v>
      </c>
      <c r="D2259" t="s">
        <v>5225</v>
      </c>
      <c r="E2259" t="s">
        <v>5725</v>
      </c>
      <c r="F2259" t="s">
        <v>6027</v>
      </c>
      <c r="G2259" t="s">
        <v>6031</v>
      </c>
      <c r="H2259" t="s">
        <v>6034</v>
      </c>
      <c r="I2259" t="s">
        <v>6050</v>
      </c>
      <c r="J2259" t="s">
        <v>6055</v>
      </c>
      <c r="K2259" t="s">
        <v>6064</v>
      </c>
      <c r="L2259" t="s">
        <v>8069</v>
      </c>
      <c r="M2259">
        <v>420.29</v>
      </c>
      <c r="N2259">
        <v>8</v>
      </c>
      <c r="O2259">
        <v>0.25</v>
      </c>
      <c r="P2259">
        <v>-60.82</v>
      </c>
      <c r="Q2259" t="s">
        <v>9893</v>
      </c>
      <c r="R2259">
        <v>3</v>
      </c>
      <c r="S2259" s="5">
        <f t="shared" si="70"/>
        <v>-0.14470960527254989</v>
      </c>
      <c r="T2259">
        <v>52.536250000000003</v>
      </c>
      <c r="U2259">
        <v>3</v>
      </c>
      <c r="V2259">
        <v>2022</v>
      </c>
      <c r="W2259">
        <v>1</v>
      </c>
      <c r="X2259" t="s">
        <v>9898</v>
      </c>
      <c r="Y2259" t="s">
        <v>9900</v>
      </c>
      <c r="Z2259" t="s">
        <v>9899</v>
      </c>
      <c r="AD2259">
        <f t="shared" si="71"/>
        <v>3</v>
      </c>
    </row>
    <row r="2260" spans="1:30" x14ac:dyDescent="0.25">
      <c r="A2260" t="s">
        <v>2284</v>
      </c>
      <c r="B2260" s="2">
        <v>44640</v>
      </c>
      <c r="C2260" s="2">
        <v>44642</v>
      </c>
      <c r="D2260" t="s">
        <v>5400</v>
      </c>
      <c r="E2260" t="s">
        <v>5900</v>
      </c>
      <c r="F2260" t="s">
        <v>6028</v>
      </c>
      <c r="G2260" t="s">
        <v>6031</v>
      </c>
      <c r="H2260" t="s">
        <v>6040</v>
      </c>
      <c r="I2260" t="s">
        <v>6050</v>
      </c>
      <c r="J2260" t="s">
        <v>6053</v>
      </c>
      <c r="K2260" t="s">
        <v>6057</v>
      </c>
      <c r="L2260" t="s">
        <v>6420</v>
      </c>
      <c r="M2260">
        <v>950</v>
      </c>
      <c r="N2260">
        <v>3</v>
      </c>
      <c r="O2260">
        <v>0.06</v>
      </c>
      <c r="P2260">
        <v>205.57</v>
      </c>
      <c r="Q2260" t="s">
        <v>9896</v>
      </c>
      <c r="R2260">
        <v>2</v>
      </c>
      <c r="S2260" s="5">
        <f t="shared" si="70"/>
        <v>0.21638947368421052</v>
      </c>
      <c r="T2260">
        <v>316.66666666666669</v>
      </c>
      <c r="U2260">
        <v>3</v>
      </c>
      <c r="V2260">
        <v>2022</v>
      </c>
      <c r="W2260">
        <v>1</v>
      </c>
      <c r="X2260" t="s">
        <v>9899</v>
      </c>
      <c r="Y2260" t="s">
        <v>9901</v>
      </c>
      <c r="Z2260" t="s">
        <v>9899</v>
      </c>
      <c r="AD2260">
        <f t="shared" si="71"/>
        <v>2</v>
      </c>
    </row>
    <row r="2261" spans="1:30" x14ac:dyDescent="0.25">
      <c r="A2261" t="s">
        <v>2285</v>
      </c>
      <c r="B2261" s="2">
        <v>44769</v>
      </c>
      <c r="C2261" s="2">
        <v>44771</v>
      </c>
      <c r="D2261" t="s">
        <v>5286</v>
      </c>
      <c r="E2261" t="s">
        <v>5786</v>
      </c>
      <c r="F2261" t="s">
        <v>6028</v>
      </c>
      <c r="G2261" t="s">
        <v>6031</v>
      </c>
      <c r="H2261" t="s">
        <v>6034</v>
      </c>
      <c r="I2261" t="s">
        <v>6052</v>
      </c>
      <c r="J2261" t="s">
        <v>6055</v>
      </c>
      <c r="K2261" t="s">
        <v>6061</v>
      </c>
      <c r="L2261" t="s">
        <v>8070</v>
      </c>
      <c r="M2261">
        <v>498.59</v>
      </c>
      <c r="N2261">
        <v>2</v>
      </c>
      <c r="O2261">
        <v>0.23</v>
      </c>
      <c r="P2261">
        <v>-42.46</v>
      </c>
      <c r="Q2261" t="s">
        <v>9895</v>
      </c>
      <c r="R2261">
        <v>2</v>
      </c>
      <c r="S2261" s="5">
        <f t="shared" si="70"/>
        <v>-8.5160151627589803E-2</v>
      </c>
      <c r="T2261">
        <v>249.29499999999999</v>
      </c>
      <c r="U2261">
        <v>7</v>
      </c>
      <c r="V2261">
        <v>2022</v>
      </c>
      <c r="W2261">
        <v>3</v>
      </c>
      <c r="X2261" t="s">
        <v>9898</v>
      </c>
      <c r="Y2261" t="s">
        <v>9900</v>
      </c>
      <c r="Z2261" t="s">
        <v>9899</v>
      </c>
      <c r="AD2261">
        <f t="shared" si="71"/>
        <v>2</v>
      </c>
    </row>
    <row r="2262" spans="1:30" x14ac:dyDescent="0.25">
      <c r="A2262" t="s">
        <v>2286</v>
      </c>
      <c r="B2262" s="2">
        <v>45229</v>
      </c>
      <c r="C2262" s="2">
        <v>45231</v>
      </c>
      <c r="D2262" t="s">
        <v>5406</v>
      </c>
      <c r="E2262" t="s">
        <v>5906</v>
      </c>
      <c r="F2262" t="s">
        <v>6026</v>
      </c>
      <c r="G2262" t="s">
        <v>6030</v>
      </c>
      <c r="H2262" t="s">
        <v>6035</v>
      </c>
      <c r="I2262" t="s">
        <v>6051</v>
      </c>
      <c r="J2262" t="s">
        <v>6055</v>
      </c>
      <c r="K2262" t="s">
        <v>6061</v>
      </c>
      <c r="L2262" t="s">
        <v>8071</v>
      </c>
      <c r="M2262">
        <v>1616.15</v>
      </c>
      <c r="N2262">
        <v>1</v>
      </c>
      <c r="O2262">
        <v>0.31</v>
      </c>
      <c r="P2262">
        <v>-285.39999999999998</v>
      </c>
      <c r="Q2262" t="s">
        <v>9896</v>
      </c>
      <c r="R2262">
        <v>2</v>
      </c>
      <c r="S2262" s="5">
        <f t="shared" si="70"/>
        <v>-0.17659251925873215</v>
      </c>
      <c r="T2262">
        <v>1616.15</v>
      </c>
      <c r="U2262">
        <v>10</v>
      </c>
      <c r="V2262">
        <v>2023</v>
      </c>
      <c r="W2262">
        <v>4</v>
      </c>
      <c r="X2262" t="s">
        <v>9898</v>
      </c>
      <c r="Y2262" t="s">
        <v>9902</v>
      </c>
      <c r="Z2262" t="s">
        <v>9898</v>
      </c>
      <c r="AD2262">
        <f t="shared" si="71"/>
        <v>2</v>
      </c>
    </row>
    <row r="2263" spans="1:30" x14ac:dyDescent="0.25">
      <c r="A2263" t="s">
        <v>2287</v>
      </c>
      <c r="B2263" s="2">
        <v>44881</v>
      </c>
      <c r="C2263" s="2">
        <v>44883</v>
      </c>
      <c r="D2263" t="s">
        <v>5469</v>
      </c>
      <c r="E2263" t="s">
        <v>5969</v>
      </c>
      <c r="F2263" t="s">
        <v>6027</v>
      </c>
      <c r="G2263" t="s">
        <v>6030</v>
      </c>
      <c r="H2263" t="s">
        <v>6033</v>
      </c>
      <c r="I2263" t="s">
        <v>6051</v>
      </c>
      <c r="J2263" t="s">
        <v>6055</v>
      </c>
      <c r="K2263" t="s">
        <v>6063</v>
      </c>
      <c r="L2263" t="s">
        <v>8072</v>
      </c>
      <c r="M2263">
        <v>1983.76</v>
      </c>
      <c r="N2263">
        <v>4</v>
      </c>
      <c r="O2263">
        <v>0.09</v>
      </c>
      <c r="P2263">
        <v>128</v>
      </c>
      <c r="Q2263" t="s">
        <v>9895</v>
      </c>
      <c r="R2263">
        <v>2</v>
      </c>
      <c r="S2263" s="5">
        <f t="shared" si="70"/>
        <v>6.4523934346896808E-2</v>
      </c>
      <c r="T2263">
        <v>495.94</v>
      </c>
      <c r="U2263">
        <v>11</v>
      </c>
      <c r="V2263">
        <v>2022</v>
      </c>
      <c r="W2263">
        <v>4</v>
      </c>
      <c r="X2263" t="s">
        <v>9899</v>
      </c>
      <c r="Y2263" t="s">
        <v>9901</v>
      </c>
      <c r="Z2263" t="s">
        <v>9898</v>
      </c>
      <c r="AD2263">
        <f t="shared" si="71"/>
        <v>2</v>
      </c>
    </row>
    <row r="2264" spans="1:30" x14ac:dyDescent="0.25">
      <c r="A2264" t="s">
        <v>2288</v>
      </c>
      <c r="B2264" s="2">
        <v>45017</v>
      </c>
      <c r="C2264" s="2">
        <v>45022</v>
      </c>
      <c r="D2264" t="s">
        <v>5444</v>
      </c>
      <c r="E2264" t="s">
        <v>5944</v>
      </c>
      <c r="F2264" t="s">
        <v>6027</v>
      </c>
      <c r="G2264" t="s">
        <v>6029</v>
      </c>
      <c r="H2264" t="s">
        <v>6041</v>
      </c>
      <c r="I2264" t="s">
        <v>6049</v>
      </c>
      <c r="J2264" t="s">
        <v>6055</v>
      </c>
      <c r="K2264" t="s">
        <v>6061</v>
      </c>
      <c r="L2264" t="s">
        <v>8073</v>
      </c>
      <c r="M2264">
        <v>1490.05</v>
      </c>
      <c r="N2264">
        <v>1</v>
      </c>
      <c r="O2264">
        <v>0.34</v>
      </c>
      <c r="P2264">
        <v>-105.22</v>
      </c>
      <c r="Q2264" t="s">
        <v>9894</v>
      </c>
      <c r="R2264">
        <v>5</v>
      </c>
      <c r="S2264" s="5">
        <f t="shared" si="70"/>
        <v>-7.0615080030871455E-2</v>
      </c>
      <c r="T2264">
        <v>1490.05</v>
      </c>
      <c r="U2264">
        <v>4</v>
      </c>
      <c r="V2264">
        <v>2023</v>
      </c>
      <c r="W2264">
        <v>2</v>
      </c>
      <c r="X2264" t="s">
        <v>9898</v>
      </c>
      <c r="Y2264" t="s">
        <v>9902</v>
      </c>
      <c r="Z2264" t="s">
        <v>9898</v>
      </c>
      <c r="AD2264">
        <f t="shared" si="71"/>
        <v>5</v>
      </c>
    </row>
    <row r="2265" spans="1:30" x14ac:dyDescent="0.25">
      <c r="A2265" t="s">
        <v>2289</v>
      </c>
      <c r="B2265" s="2">
        <v>44574</v>
      </c>
      <c r="C2265" s="2">
        <v>44581</v>
      </c>
      <c r="D2265" t="s">
        <v>5190</v>
      </c>
      <c r="E2265" t="s">
        <v>5690</v>
      </c>
      <c r="F2265" t="s">
        <v>6027</v>
      </c>
      <c r="G2265" t="s">
        <v>6030</v>
      </c>
      <c r="H2265" t="s">
        <v>6038</v>
      </c>
      <c r="I2265" t="s">
        <v>6051</v>
      </c>
      <c r="J2265" t="s">
        <v>6054</v>
      </c>
      <c r="K2265" t="s">
        <v>6059</v>
      </c>
      <c r="L2265" t="s">
        <v>8074</v>
      </c>
      <c r="M2265">
        <v>859.48</v>
      </c>
      <c r="N2265">
        <v>3</v>
      </c>
      <c r="O2265">
        <v>0.01</v>
      </c>
      <c r="P2265">
        <v>83.23</v>
      </c>
      <c r="Q2265" t="s">
        <v>9894</v>
      </c>
      <c r="R2265">
        <v>7</v>
      </c>
      <c r="S2265" s="5">
        <f t="shared" si="70"/>
        <v>9.6837622748638719E-2</v>
      </c>
      <c r="T2265">
        <v>286.49333333333328</v>
      </c>
      <c r="U2265">
        <v>1</v>
      </c>
      <c r="V2265">
        <v>2022</v>
      </c>
      <c r="W2265">
        <v>1</v>
      </c>
      <c r="X2265" t="s">
        <v>9899</v>
      </c>
      <c r="Y2265" t="s">
        <v>9901</v>
      </c>
      <c r="Z2265" t="s">
        <v>9899</v>
      </c>
      <c r="AD2265">
        <f t="shared" si="71"/>
        <v>7</v>
      </c>
    </row>
    <row r="2266" spans="1:30" x14ac:dyDescent="0.25">
      <c r="A2266" t="s">
        <v>2290</v>
      </c>
      <c r="B2266" s="2">
        <v>44911</v>
      </c>
      <c r="C2266" s="2">
        <v>44914</v>
      </c>
      <c r="D2266" t="s">
        <v>5126</v>
      </c>
      <c r="E2266" t="s">
        <v>5626</v>
      </c>
      <c r="F2266" t="s">
        <v>6028</v>
      </c>
      <c r="G2266" t="s">
        <v>6029</v>
      </c>
      <c r="H2266" t="s">
        <v>6032</v>
      </c>
      <c r="I2266" t="s">
        <v>6050</v>
      </c>
      <c r="J2266" t="s">
        <v>6053</v>
      </c>
      <c r="K2266" t="s">
        <v>6056</v>
      </c>
      <c r="L2266" t="s">
        <v>8075</v>
      </c>
      <c r="M2266">
        <v>1713.91</v>
      </c>
      <c r="N2266">
        <v>1</v>
      </c>
      <c r="O2266">
        <v>0.22</v>
      </c>
      <c r="P2266">
        <v>11.27</v>
      </c>
      <c r="Q2266" t="s">
        <v>9897</v>
      </c>
      <c r="R2266">
        <v>3</v>
      </c>
      <c r="S2266" s="5">
        <f t="shared" si="70"/>
        <v>6.5756078207140391E-3</v>
      </c>
      <c r="T2266">
        <v>1713.91</v>
      </c>
      <c r="U2266">
        <v>12</v>
      </c>
      <c r="V2266">
        <v>2022</v>
      </c>
      <c r="W2266">
        <v>4</v>
      </c>
      <c r="X2266" t="s">
        <v>9899</v>
      </c>
      <c r="Y2266" t="s">
        <v>9900</v>
      </c>
      <c r="Z2266" t="s">
        <v>9898</v>
      </c>
      <c r="AD2266">
        <f t="shared" si="71"/>
        <v>3</v>
      </c>
    </row>
    <row r="2267" spans="1:30" x14ac:dyDescent="0.25">
      <c r="A2267" t="s">
        <v>2291</v>
      </c>
      <c r="B2267" s="2">
        <v>44951</v>
      </c>
      <c r="C2267" s="2">
        <v>44956</v>
      </c>
      <c r="D2267" t="s">
        <v>5099</v>
      </c>
      <c r="E2267" t="s">
        <v>5599</v>
      </c>
      <c r="F2267" t="s">
        <v>6026</v>
      </c>
      <c r="G2267" t="s">
        <v>6031</v>
      </c>
      <c r="H2267" t="s">
        <v>6037</v>
      </c>
      <c r="I2267" t="s">
        <v>6048</v>
      </c>
      <c r="J2267" t="s">
        <v>6055</v>
      </c>
      <c r="K2267" t="s">
        <v>6061</v>
      </c>
      <c r="L2267" t="s">
        <v>6581</v>
      </c>
      <c r="M2267">
        <v>1695.73</v>
      </c>
      <c r="N2267">
        <v>4</v>
      </c>
      <c r="O2267">
        <v>0.24</v>
      </c>
      <c r="P2267">
        <v>-7.7</v>
      </c>
      <c r="Q2267" t="s">
        <v>9894</v>
      </c>
      <c r="R2267">
        <v>5</v>
      </c>
      <c r="S2267" s="5">
        <f t="shared" si="70"/>
        <v>-4.5408172291579434E-3</v>
      </c>
      <c r="T2267">
        <v>423.9325</v>
      </c>
      <c r="U2267">
        <v>1</v>
      </c>
      <c r="V2267">
        <v>2023</v>
      </c>
      <c r="W2267">
        <v>1</v>
      </c>
      <c r="X2267" t="s">
        <v>9898</v>
      </c>
      <c r="Y2267" t="s">
        <v>9900</v>
      </c>
      <c r="Z2267" t="s">
        <v>9898</v>
      </c>
      <c r="AD2267">
        <f t="shared" si="71"/>
        <v>5</v>
      </c>
    </row>
    <row r="2268" spans="1:30" x14ac:dyDescent="0.25">
      <c r="A2268" t="s">
        <v>2292</v>
      </c>
      <c r="B2268" s="2">
        <v>45215</v>
      </c>
      <c r="C2268" s="2">
        <v>45217</v>
      </c>
      <c r="D2268" t="s">
        <v>5176</v>
      </c>
      <c r="E2268" t="s">
        <v>5676</v>
      </c>
      <c r="F2268" t="s">
        <v>6028</v>
      </c>
      <c r="G2268" t="s">
        <v>6030</v>
      </c>
      <c r="H2268" t="s">
        <v>6035</v>
      </c>
      <c r="I2268" t="s">
        <v>6051</v>
      </c>
      <c r="J2268" t="s">
        <v>6054</v>
      </c>
      <c r="K2268" t="s">
        <v>6059</v>
      </c>
      <c r="L2268" t="s">
        <v>8076</v>
      </c>
      <c r="M2268">
        <v>751.12</v>
      </c>
      <c r="N2268">
        <v>5</v>
      </c>
      <c r="O2268">
        <v>0.01</v>
      </c>
      <c r="P2268">
        <v>153.47</v>
      </c>
      <c r="Q2268" t="s">
        <v>9896</v>
      </c>
      <c r="R2268">
        <v>2</v>
      </c>
      <c r="S2268" s="5">
        <f t="shared" si="70"/>
        <v>0.20432154649057407</v>
      </c>
      <c r="T2268">
        <v>150.22399999999999</v>
      </c>
      <c r="U2268">
        <v>10</v>
      </c>
      <c r="V2268">
        <v>2023</v>
      </c>
      <c r="W2268">
        <v>4</v>
      </c>
      <c r="X2268" t="s">
        <v>9899</v>
      </c>
      <c r="Y2268" t="s">
        <v>9901</v>
      </c>
      <c r="Z2268" t="s">
        <v>9899</v>
      </c>
      <c r="AD2268">
        <f t="shared" si="71"/>
        <v>2</v>
      </c>
    </row>
    <row r="2269" spans="1:30" x14ac:dyDescent="0.25">
      <c r="A2269" t="s">
        <v>2293</v>
      </c>
      <c r="B2269" s="2">
        <v>45093</v>
      </c>
      <c r="C2269" s="2">
        <v>45099</v>
      </c>
      <c r="D2269" t="s">
        <v>5166</v>
      </c>
      <c r="E2269" t="s">
        <v>5666</v>
      </c>
      <c r="F2269" t="s">
        <v>6028</v>
      </c>
      <c r="G2269" t="s">
        <v>6031</v>
      </c>
      <c r="H2269" t="s">
        <v>6042</v>
      </c>
      <c r="I2269" t="s">
        <v>6048</v>
      </c>
      <c r="J2269" t="s">
        <v>6053</v>
      </c>
      <c r="K2269" t="s">
        <v>6056</v>
      </c>
      <c r="L2269" t="s">
        <v>6399</v>
      </c>
      <c r="M2269">
        <v>429.49</v>
      </c>
      <c r="N2269">
        <v>6</v>
      </c>
      <c r="O2269">
        <v>0.33</v>
      </c>
      <c r="P2269">
        <v>-64</v>
      </c>
      <c r="Q2269" t="s">
        <v>9894</v>
      </c>
      <c r="R2269">
        <v>6</v>
      </c>
      <c r="S2269" s="5">
        <f t="shared" si="70"/>
        <v>-0.14901394677408089</v>
      </c>
      <c r="T2269">
        <v>71.581666666666663</v>
      </c>
      <c r="U2269">
        <v>6</v>
      </c>
      <c r="V2269">
        <v>2023</v>
      </c>
      <c r="W2269">
        <v>2</v>
      </c>
      <c r="X2269" t="s">
        <v>9898</v>
      </c>
      <c r="Y2269" t="s">
        <v>9902</v>
      </c>
      <c r="Z2269" t="s">
        <v>9899</v>
      </c>
      <c r="AD2269">
        <f t="shared" si="71"/>
        <v>6</v>
      </c>
    </row>
    <row r="2270" spans="1:30" x14ac:dyDescent="0.25">
      <c r="A2270" t="s">
        <v>2294</v>
      </c>
      <c r="B2270" s="2">
        <v>45059</v>
      </c>
      <c r="C2270" s="2">
        <v>45066</v>
      </c>
      <c r="D2270" t="s">
        <v>5308</v>
      </c>
      <c r="E2270" t="s">
        <v>5808</v>
      </c>
      <c r="F2270" t="s">
        <v>6027</v>
      </c>
      <c r="G2270" t="s">
        <v>6030</v>
      </c>
      <c r="H2270" t="s">
        <v>6035</v>
      </c>
      <c r="I2270" t="s">
        <v>6047</v>
      </c>
      <c r="J2270" t="s">
        <v>6055</v>
      </c>
      <c r="K2270" t="s">
        <v>6063</v>
      </c>
      <c r="L2270" t="s">
        <v>8077</v>
      </c>
      <c r="M2270">
        <v>1092.3699999999999</v>
      </c>
      <c r="N2270">
        <v>6</v>
      </c>
      <c r="O2270">
        <v>0.11</v>
      </c>
      <c r="P2270">
        <v>106.26</v>
      </c>
      <c r="Q2270" t="s">
        <v>9894</v>
      </c>
      <c r="R2270">
        <v>7</v>
      </c>
      <c r="S2270" s="5">
        <f t="shared" si="70"/>
        <v>9.7274732920164433E-2</v>
      </c>
      <c r="T2270">
        <v>182.06166666666661</v>
      </c>
      <c r="U2270">
        <v>5</v>
      </c>
      <c r="V2270">
        <v>2023</v>
      </c>
      <c r="W2270">
        <v>2</v>
      </c>
      <c r="X2270" t="s">
        <v>9899</v>
      </c>
      <c r="Y2270" t="s">
        <v>9901</v>
      </c>
      <c r="Z2270" t="s">
        <v>9898</v>
      </c>
      <c r="AD2270">
        <f t="shared" si="71"/>
        <v>7</v>
      </c>
    </row>
    <row r="2271" spans="1:30" x14ac:dyDescent="0.25">
      <c r="A2271" t="s">
        <v>2295</v>
      </c>
      <c r="B2271" s="2">
        <v>44795</v>
      </c>
      <c r="C2271" s="2">
        <v>44802</v>
      </c>
      <c r="D2271" t="s">
        <v>5375</v>
      </c>
      <c r="E2271" t="s">
        <v>5875</v>
      </c>
      <c r="F2271" t="s">
        <v>6026</v>
      </c>
      <c r="G2271" t="s">
        <v>6030</v>
      </c>
      <c r="H2271" t="s">
        <v>6035</v>
      </c>
      <c r="I2271" t="s">
        <v>6051</v>
      </c>
      <c r="J2271" t="s">
        <v>6053</v>
      </c>
      <c r="K2271" t="s">
        <v>6057</v>
      </c>
      <c r="L2271" t="s">
        <v>8078</v>
      </c>
      <c r="M2271">
        <v>1891.46</v>
      </c>
      <c r="N2271">
        <v>3</v>
      </c>
      <c r="O2271">
        <v>0.28000000000000003</v>
      </c>
      <c r="P2271">
        <v>-151.04</v>
      </c>
      <c r="Q2271" t="s">
        <v>9894</v>
      </c>
      <c r="R2271">
        <v>7</v>
      </c>
      <c r="S2271" s="5">
        <f t="shared" si="70"/>
        <v>-7.9853658020788171E-2</v>
      </c>
      <c r="T2271">
        <v>630.48666666666668</v>
      </c>
      <c r="U2271">
        <v>8</v>
      </c>
      <c r="V2271">
        <v>2022</v>
      </c>
      <c r="W2271">
        <v>3</v>
      </c>
      <c r="X2271" t="s">
        <v>9898</v>
      </c>
      <c r="Y2271" t="s">
        <v>9900</v>
      </c>
      <c r="Z2271" t="s">
        <v>9898</v>
      </c>
      <c r="AD2271">
        <f t="shared" si="71"/>
        <v>7</v>
      </c>
    </row>
    <row r="2272" spans="1:30" x14ac:dyDescent="0.25">
      <c r="A2272" t="s">
        <v>2296</v>
      </c>
      <c r="B2272" s="2">
        <v>45333</v>
      </c>
      <c r="C2272" s="2">
        <v>45337</v>
      </c>
      <c r="D2272" t="s">
        <v>5342</v>
      </c>
      <c r="E2272" t="s">
        <v>5842</v>
      </c>
      <c r="F2272" t="s">
        <v>6028</v>
      </c>
      <c r="G2272" t="s">
        <v>6029</v>
      </c>
      <c r="H2272" t="s">
        <v>6041</v>
      </c>
      <c r="I2272" t="s">
        <v>6049</v>
      </c>
      <c r="J2272" t="s">
        <v>6055</v>
      </c>
      <c r="K2272" t="s">
        <v>6061</v>
      </c>
      <c r="L2272" t="s">
        <v>8079</v>
      </c>
      <c r="M2272">
        <v>350.39</v>
      </c>
      <c r="N2272">
        <v>8</v>
      </c>
      <c r="O2272">
        <v>0.18</v>
      </c>
      <c r="P2272">
        <v>19.010000000000002</v>
      </c>
      <c r="Q2272" t="s">
        <v>9897</v>
      </c>
      <c r="R2272">
        <v>4</v>
      </c>
      <c r="S2272" s="5">
        <f t="shared" si="70"/>
        <v>5.4253831444961334E-2</v>
      </c>
      <c r="T2272">
        <v>43.798749999999998</v>
      </c>
      <c r="U2272">
        <v>2</v>
      </c>
      <c r="V2272">
        <v>2024</v>
      </c>
      <c r="W2272">
        <v>1</v>
      </c>
      <c r="X2272" t="s">
        <v>9899</v>
      </c>
      <c r="Y2272" t="s">
        <v>9900</v>
      </c>
      <c r="Z2272" t="s">
        <v>9899</v>
      </c>
      <c r="AD2272">
        <f t="shared" si="71"/>
        <v>4</v>
      </c>
    </row>
    <row r="2273" spans="1:30" x14ac:dyDescent="0.25">
      <c r="A2273" t="s">
        <v>2297</v>
      </c>
      <c r="B2273" s="2">
        <v>44973</v>
      </c>
      <c r="C2273" s="2">
        <v>44976</v>
      </c>
      <c r="D2273" t="s">
        <v>5393</v>
      </c>
      <c r="E2273" t="s">
        <v>5893</v>
      </c>
      <c r="F2273" t="s">
        <v>6026</v>
      </c>
      <c r="G2273" t="s">
        <v>6030</v>
      </c>
      <c r="H2273" t="s">
        <v>6033</v>
      </c>
      <c r="I2273" t="s">
        <v>6051</v>
      </c>
      <c r="J2273" t="s">
        <v>6055</v>
      </c>
      <c r="K2273" t="s">
        <v>6063</v>
      </c>
      <c r="L2273" t="s">
        <v>8080</v>
      </c>
      <c r="M2273">
        <v>341.57</v>
      </c>
      <c r="N2273">
        <v>1</v>
      </c>
      <c r="O2273">
        <v>0.09</v>
      </c>
      <c r="P2273">
        <v>14.31</v>
      </c>
      <c r="Q2273" t="s">
        <v>9897</v>
      </c>
      <c r="R2273">
        <v>3</v>
      </c>
      <c r="S2273" s="5">
        <f t="shared" si="70"/>
        <v>4.1894779986532779E-2</v>
      </c>
      <c r="T2273">
        <v>341.57</v>
      </c>
      <c r="U2273">
        <v>2</v>
      </c>
      <c r="V2273">
        <v>2023</v>
      </c>
      <c r="W2273">
        <v>1</v>
      </c>
      <c r="X2273" t="s">
        <v>9899</v>
      </c>
      <c r="Y2273" t="s">
        <v>9901</v>
      </c>
      <c r="Z2273" t="s">
        <v>9899</v>
      </c>
      <c r="AD2273">
        <f t="shared" si="71"/>
        <v>3</v>
      </c>
    </row>
    <row r="2274" spans="1:30" x14ac:dyDescent="0.25">
      <c r="A2274" t="s">
        <v>2298</v>
      </c>
      <c r="B2274" s="2">
        <v>45201</v>
      </c>
      <c r="C2274" s="2">
        <v>45208</v>
      </c>
      <c r="D2274" t="s">
        <v>5368</v>
      </c>
      <c r="E2274" t="s">
        <v>5868</v>
      </c>
      <c r="F2274" t="s">
        <v>6026</v>
      </c>
      <c r="G2274" t="s">
        <v>6031</v>
      </c>
      <c r="H2274" t="s">
        <v>6042</v>
      </c>
      <c r="I2274" t="s">
        <v>6052</v>
      </c>
      <c r="J2274" t="s">
        <v>6053</v>
      </c>
      <c r="K2274" t="s">
        <v>6057</v>
      </c>
      <c r="L2274" t="s">
        <v>7669</v>
      </c>
      <c r="M2274">
        <v>448.02</v>
      </c>
      <c r="N2274">
        <v>1</v>
      </c>
      <c r="O2274">
        <v>0.06</v>
      </c>
      <c r="P2274">
        <v>73.260000000000005</v>
      </c>
      <c r="Q2274" t="s">
        <v>9896</v>
      </c>
      <c r="R2274">
        <v>7</v>
      </c>
      <c r="S2274" s="5">
        <f t="shared" si="70"/>
        <v>0.1635194857372439</v>
      </c>
      <c r="T2274">
        <v>448.02</v>
      </c>
      <c r="U2274">
        <v>10</v>
      </c>
      <c r="V2274">
        <v>2023</v>
      </c>
      <c r="W2274">
        <v>4</v>
      </c>
      <c r="X2274" t="s">
        <v>9899</v>
      </c>
      <c r="Y2274" t="s">
        <v>9901</v>
      </c>
      <c r="Z2274" t="s">
        <v>9899</v>
      </c>
      <c r="AD2274">
        <f t="shared" si="71"/>
        <v>7</v>
      </c>
    </row>
    <row r="2275" spans="1:30" x14ac:dyDescent="0.25">
      <c r="A2275" t="s">
        <v>2299</v>
      </c>
      <c r="B2275" s="2">
        <v>45242</v>
      </c>
      <c r="C2275" s="2">
        <v>45249</v>
      </c>
      <c r="D2275" t="s">
        <v>5300</v>
      </c>
      <c r="E2275" t="s">
        <v>5800</v>
      </c>
      <c r="F2275" t="s">
        <v>6026</v>
      </c>
      <c r="G2275" t="s">
        <v>6031</v>
      </c>
      <c r="H2275" t="s">
        <v>6040</v>
      </c>
      <c r="I2275" t="s">
        <v>6048</v>
      </c>
      <c r="J2275" t="s">
        <v>6055</v>
      </c>
      <c r="K2275" t="s">
        <v>6061</v>
      </c>
      <c r="L2275" t="s">
        <v>8081</v>
      </c>
      <c r="M2275">
        <v>614.94000000000005</v>
      </c>
      <c r="N2275">
        <v>3</v>
      </c>
      <c r="O2275">
        <v>0.08</v>
      </c>
      <c r="P2275">
        <v>56.86</v>
      </c>
      <c r="Q2275" t="s">
        <v>9894</v>
      </c>
      <c r="R2275">
        <v>7</v>
      </c>
      <c r="S2275" s="5">
        <f t="shared" si="70"/>
        <v>9.246430546069534E-2</v>
      </c>
      <c r="T2275">
        <v>204.98</v>
      </c>
      <c r="U2275">
        <v>11</v>
      </c>
      <c r="V2275">
        <v>2023</v>
      </c>
      <c r="W2275">
        <v>4</v>
      </c>
      <c r="X2275" t="s">
        <v>9899</v>
      </c>
      <c r="Y2275" t="s">
        <v>9901</v>
      </c>
      <c r="Z2275" t="s">
        <v>9899</v>
      </c>
      <c r="AD2275">
        <f t="shared" si="71"/>
        <v>7</v>
      </c>
    </row>
    <row r="2276" spans="1:30" x14ac:dyDescent="0.25">
      <c r="A2276" t="s">
        <v>2300</v>
      </c>
      <c r="B2276" s="2">
        <v>44761</v>
      </c>
      <c r="C2276" s="2">
        <v>44763</v>
      </c>
      <c r="D2276" t="s">
        <v>5225</v>
      </c>
      <c r="E2276" t="s">
        <v>5725</v>
      </c>
      <c r="F2276" t="s">
        <v>6028</v>
      </c>
      <c r="G2276" t="s">
        <v>6029</v>
      </c>
      <c r="H2276" t="s">
        <v>6045</v>
      </c>
      <c r="I2276" t="s">
        <v>6049</v>
      </c>
      <c r="J2276" t="s">
        <v>6055</v>
      </c>
      <c r="K2276" t="s">
        <v>6061</v>
      </c>
      <c r="L2276" t="s">
        <v>8082</v>
      </c>
      <c r="M2276">
        <v>817.12</v>
      </c>
      <c r="N2276">
        <v>8</v>
      </c>
      <c r="O2276">
        <v>0.25</v>
      </c>
      <c r="P2276">
        <v>26.79</v>
      </c>
      <c r="Q2276" t="s">
        <v>9895</v>
      </c>
      <c r="R2276">
        <v>2</v>
      </c>
      <c r="S2276" s="5">
        <f t="shared" si="70"/>
        <v>3.2785882122576854E-2</v>
      </c>
      <c r="T2276">
        <v>102.14</v>
      </c>
      <c r="U2276">
        <v>7</v>
      </c>
      <c r="V2276">
        <v>2022</v>
      </c>
      <c r="W2276">
        <v>3</v>
      </c>
      <c r="X2276" t="s">
        <v>9899</v>
      </c>
      <c r="Y2276" t="s">
        <v>9900</v>
      </c>
      <c r="Z2276" t="s">
        <v>9899</v>
      </c>
      <c r="AD2276">
        <f t="shared" si="71"/>
        <v>2</v>
      </c>
    </row>
    <row r="2277" spans="1:30" x14ac:dyDescent="0.25">
      <c r="A2277" t="s">
        <v>2301</v>
      </c>
      <c r="B2277" s="2">
        <v>45204</v>
      </c>
      <c r="C2277" s="2">
        <v>45205</v>
      </c>
      <c r="D2277" t="s">
        <v>5083</v>
      </c>
      <c r="E2277" t="s">
        <v>5583</v>
      </c>
      <c r="F2277" t="s">
        <v>6027</v>
      </c>
      <c r="G2277" t="s">
        <v>6030</v>
      </c>
      <c r="H2277" t="s">
        <v>6033</v>
      </c>
      <c r="I2277" t="s">
        <v>6047</v>
      </c>
      <c r="J2277" t="s">
        <v>6055</v>
      </c>
      <c r="K2277" t="s">
        <v>6064</v>
      </c>
      <c r="L2277" t="s">
        <v>8083</v>
      </c>
      <c r="M2277">
        <v>1319.27</v>
      </c>
      <c r="N2277">
        <v>3</v>
      </c>
      <c r="O2277">
        <v>0.17</v>
      </c>
      <c r="P2277">
        <v>129.81</v>
      </c>
      <c r="Q2277" t="s">
        <v>9897</v>
      </c>
      <c r="R2277">
        <v>1</v>
      </c>
      <c r="S2277" s="5">
        <f t="shared" si="70"/>
        <v>9.8395324687137589E-2</v>
      </c>
      <c r="T2277">
        <v>439.75666666666672</v>
      </c>
      <c r="U2277">
        <v>10</v>
      </c>
      <c r="V2277">
        <v>2023</v>
      </c>
      <c r="W2277">
        <v>4</v>
      </c>
      <c r="X2277" t="s">
        <v>9899</v>
      </c>
      <c r="Y2277" t="s">
        <v>9900</v>
      </c>
      <c r="Z2277" t="s">
        <v>9898</v>
      </c>
      <c r="AD2277">
        <f t="shared" si="71"/>
        <v>1</v>
      </c>
    </row>
    <row r="2278" spans="1:30" x14ac:dyDescent="0.25">
      <c r="A2278" t="s">
        <v>2302</v>
      </c>
      <c r="B2278" s="2">
        <v>44673</v>
      </c>
      <c r="C2278" s="2">
        <v>44675</v>
      </c>
      <c r="D2278" t="s">
        <v>5185</v>
      </c>
      <c r="E2278" t="s">
        <v>5685</v>
      </c>
      <c r="F2278" t="s">
        <v>6028</v>
      </c>
      <c r="G2278" t="s">
        <v>6030</v>
      </c>
      <c r="H2278" t="s">
        <v>6038</v>
      </c>
      <c r="I2278" t="s">
        <v>6047</v>
      </c>
      <c r="J2278" t="s">
        <v>6054</v>
      </c>
      <c r="K2278" t="s">
        <v>6062</v>
      </c>
      <c r="L2278" t="s">
        <v>8084</v>
      </c>
      <c r="M2278">
        <v>192.81</v>
      </c>
      <c r="N2278">
        <v>1</v>
      </c>
      <c r="O2278">
        <v>0.34</v>
      </c>
      <c r="P2278">
        <v>-24.47</v>
      </c>
      <c r="Q2278" t="s">
        <v>9894</v>
      </c>
      <c r="R2278">
        <v>2</v>
      </c>
      <c r="S2278" s="5">
        <f t="shared" si="70"/>
        <v>-0.12691250453814634</v>
      </c>
      <c r="T2278">
        <v>192.81</v>
      </c>
      <c r="U2278">
        <v>4</v>
      </c>
      <c r="V2278">
        <v>2022</v>
      </c>
      <c r="W2278">
        <v>2</v>
      </c>
      <c r="X2278" t="s">
        <v>9898</v>
      </c>
      <c r="Y2278" t="s">
        <v>9902</v>
      </c>
      <c r="Z2278" t="s">
        <v>9899</v>
      </c>
      <c r="AD2278">
        <f t="shared" si="71"/>
        <v>2</v>
      </c>
    </row>
    <row r="2279" spans="1:30" x14ac:dyDescent="0.25">
      <c r="A2279" t="s">
        <v>2303</v>
      </c>
      <c r="B2279" s="2">
        <v>44931</v>
      </c>
      <c r="C2279" s="2">
        <v>44936</v>
      </c>
      <c r="D2279" t="s">
        <v>5160</v>
      </c>
      <c r="E2279" t="s">
        <v>5660</v>
      </c>
      <c r="F2279" t="s">
        <v>6027</v>
      </c>
      <c r="G2279" t="s">
        <v>6030</v>
      </c>
      <c r="H2279" t="s">
        <v>6033</v>
      </c>
      <c r="I2279" t="s">
        <v>6047</v>
      </c>
      <c r="J2279" t="s">
        <v>6055</v>
      </c>
      <c r="K2279" t="s">
        <v>6061</v>
      </c>
      <c r="L2279" t="s">
        <v>8085</v>
      </c>
      <c r="M2279">
        <v>1316.23</v>
      </c>
      <c r="N2279">
        <v>4</v>
      </c>
      <c r="O2279">
        <v>0.21</v>
      </c>
      <c r="P2279">
        <v>-38.92</v>
      </c>
      <c r="Q2279" t="s">
        <v>9895</v>
      </c>
      <c r="R2279">
        <v>5</v>
      </c>
      <c r="S2279" s="5">
        <f t="shared" si="70"/>
        <v>-2.9569300198293614E-2</v>
      </c>
      <c r="T2279">
        <v>329.0575</v>
      </c>
      <c r="U2279">
        <v>1</v>
      </c>
      <c r="V2279">
        <v>2023</v>
      </c>
      <c r="W2279">
        <v>1</v>
      </c>
      <c r="X2279" t="s">
        <v>9898</v>
      </c>
      <c r="Y2279" t="s">
        <v>9900</v>
      </c>
      <c r="Z2279" t="s">
        <v>9898</v>
      </c>
      <c r="AD2279">
        <f t="shared" si="71"/>
        <v>5</v>
      </c>
    </row>
    <row r="2280" spans="1:30" x14ac:dyDescent="0.25">
      <c r="A2280" t="s">
        <v>2304</v>
      </c>
      <c r="B2280" s="2">
        <v>44836</v>
      </c>
      <c r="C2280" s="2">
        <v>44841</v>
      </c>
      <c r="D2280" t="s">
        <v>5230</v>
      </c>
      <c r="E2280" t="s">
        <v>5730</v>
      </c>
      <c r="F2280" t="s">
        <v>6027</v>
      </c>
      <c r="G2280" t="s">
        <v>6030</v>
      </c>
      <c r="H2280" t="s">
        <v>6038</v>
      </c>
      <c r="I2280" t="s">
        <v>6051</v>
      </c>
      <c r="J2280" t="s">
        <v>6054</v>
      </c>
      <c r="K2280" t="s">
        <v>6060</v>
      </c>
      <c r="L2280" t="s">
        <v>7306</v>
      </c>
      <c r="M2280">
        <v>1779.22</v>
      </c>
      <c r="N2280">
        <v>8</v>
      </c>
      <c r="O2280">
        <v>0.31</v>
      </c>
      <c r="P2280">
        <v>-123.07</v>
      </c>
      <c r="Q2280" t="s">
        <v>9895</v>
      </c>
      <c r="R2280">
        <v>5</v>
      </c>
      <c r="S2280" s="5">
        <f t="shared" si="70"/>
        <v>-6.9170760220770899E-2</v>
      </c>
      <c r="T2280">
        <v>222.4025</v>
      </c>
      <c r="U2280">
        <v>10</v>
      </c>
      <c r="V2280">
        <v>2022</v>
      </c>
      <c r="W2280">
        <v>4</v>
      </c>
      <c r="X2280" t="s">
        <v>9898</v>
      </c>
      <c r="Y2280" t="s">
        <v>9902</v>
      </c>
      <c r="Z2280" t="s">
        <v>9898</v>
      </c>
      <c r="AD2280">
        <f t="shared" si="71"/>
        <v>5</v>
      </c>
    </row>
    <row r="2281" spans="1:30" x14ac:dyDescent="0.25">
      <c r="A2281" t="s">
        <v>2305</v>
      </c>
      <c r="B2281" s="2">
        <v>44753</v>
      </c>
      <c r="C2281" s="2">
        <v>44760</v>
      </c>
      <c r="D2281" t="s">
        <v>5439</v>
      </c>
      <c r="E2281" t="s">
        <v>5939</v>
      </c>
      <c r="F2281" t="s">
        <v>6027</v>
      </c>
      <c r="G2281" t="s">
        <v>6029</v>
      </c>
      <c r="H2281" t="s">
        <v>6044</v>
      </c>
      <c r="I2281" t="s">
        <v>6049</v>
      </c>
      <c r="J2281" t="s">
        <v>6054</v>
      </c>
      <c r="K2281" t="s">
        <v>6060</v>
      </c>
      <c r="L2281" t="s">
        <v>6701</v>
      </c>
      <c r="M2281">
        <v>1776.41</v>
      </c>
      <c r="N2281">
        <v>7</v>
      </c>
      <c r="O2281">
        <v>0.09</v>
      </c>
      <c r="P2281">
        <v>167.72</v>
      </c>
      <c r="Q2281" t="s">
        <v>9894</v>
      </c>
      <c r="R2281">
        <v>7</v>
      </c>
      <c r="S2281" s="5">
        <f t="shared" si="70"/>
        <v>9.4415140648836687E-2</v>
      </c>
      <c r="T2281">
        <v>253.77285714285719</v>
      </c>
      <c r="U2281">
        <v>7</v>
      </c>
      <c r="V2281">
        <v>2022</v>
      </c>
      <c r="W2281">
        <v>3</v>
      </c>
      <c r="X2281" t="s">
        <v>9899</v>
      </c>
      <c r="Y2281" t="s">
        <v>9901</v>
      </c>
      <c r="Z2281" t="s">
        <v>9898</v>
      </c>
      <c r="AD2281">
        <f t="shared" si="71"/>
        <v>7</v>
      </c>
    </row>
    <row r="2282" spans="1:30" x14ac:dyDescent="0.25">
      <c r="A2282" t="s">
        <v>2306</v>
      </c>
      <c r="B2282" s="2">
        <v>45077</v>
      </c>
      <c r="C2282" s="2">
        <v>45079</v>
      </c>
      <c r="D2282" t="s">
        <v>5326</v>
      </c>
      <c r="E2282" t="s">
        <v>5826</v>
      </c>
      <c r="F2282" t="s">
        <v>6026</v>
      </c>
      <c r="G2282" t="s">
        <v>6031</v>
      </c>
      <c r="H2282" t="s">
        <v>6034</v>
      </c>
      <c r="I2282" t="s">
        <v>6052</v>
      </c>
      <c r="J2282" t="s">
        <v>6053</v>
      </c>
      <c r="K2282" t="s">
        <v>6058</v>
      </c>
      <c r="L2282" t="s">
        <v>8086</v>
      </c>
      <c r="M2282">
        <v>477.08</v>
      </c>
      <c r="N2282">
        <v>6</v>
      </c>
      <c r="O2282">
        <v>0.06</v>
      </c>
      <c r="P2282">
        <v>99.96</v>
      </c>
      <c r="Q2282" t="s">
        <v>9894</v>
      </c>
      <c r="R2282">
        <v>2</v>
      </c>
      <c r="S2282" s="5">
        <f t="shared" si="70"/>
        <v>0.20952460803219586</v>
      </c>
      <c r="T2282">
        <v>79.513333333333335</v>
      </c>
      <c r="U2282">
        <v>5</v>
      </c>
      <c r="V2282">
        <v>2023</v>
      </c>
      <c r="W2282">
        <v>2</v>
      </c>
      <c r="X2282" t="s">
        <v>9899</v>
      </c>
      <c r="Y2282" t="s">
        <v>9901</v>
      </c>
      <c r="Z2282" t="s">
        <v>9899</v>
      </c>
      <c r="AD2282">
        <f t="shared" si="71"/>
        <v>2</v>
      </c>
    </row>
    <row r="2283" spans="1:30" x14ac:dyDescent="0.25">
      <c r="A2283" t="s">
        <v>2307</v>
      </c>
      <c r="B2283" s="2">
        <v>45306</v>
      </c>
      <c r="C2283" s="2">
        <v>45308</v>
      </c>
      <c r="D2283" t="s">
        <v>5166</v>
      </c>
      <c r="E2283" t="s">
        <v>5666</v>
      </c>
      <c r="F2283" t="s">
        <v>6026</v>
      </c>
      <c r="G2283" t="s">
        <v>6029</v>
      </c>
      <c r="H2283" t="s">
        <v>6044</v>
      </c>
      <c r="I2283" t="s">
        <v>6049</v>
      </c>
      <c r="J2283" t="s">
        <v>6053</v>
      </c>
      <c r="K2283" t="s">
        <v>6056</v>
      </c>
      <c r="L2283" t="s">
        <v>7969</v>
      </c>
      <c r="M2283">
        <v>1155.77</v>
      </c>
      <c r="N2283">
        <v>6</v>
      </c>
      <c r="O2283">
        <v>0.04</v>
      </c>
      <c r="P2283">
        <v>96.79</v>
      </c>
      <c r="Q2283" t="s">
        <v>9894</v>
      </c>
      <c r="R2283">
        <v>2</v>
      </c>
      <c r="S2283" s="5">
        <f t="shared" si="70"/>
        <v>8.3745035777014462E-2</v>
      </c>
      <c r="T2283">
        <v>192.6283333333333</v>
      </c>
      <c r="U2283">
        <v>1</v>
      </c>
      <c r="V2283">
        <v>2024</v>
      </c>
      <c r="W2283">
        <v>1</v>
      </c>
      <c r="X2283" t="s">
        <v>9899</v>
      </c>
      <c r="Y2283" t="s">
        <v>9901</v>
      </c>
      <c r="Z2283" t="s">
        <v>9898</v>
      </c>
      <c r="AD2283">
        <f t="shared" si="71"/>
        <v>2</v>
      </c>
    </row>
    <row r="2284" spans="1:30" x14ac:dyDescent="0.25">
      <c r="A2284" t="s">
        <v>2308</v>
      </c>
      <c r="B2284" s="2">
        <v>45089</v>
      </c>
      <c r="C2284" s="2">
        <v>45090</v>
      </c>
      <c r="D2284" t="s">
        <v>5310</v>
      </c>
      <c r="E2284" t="s">
        <v>5810</v>
      </c>
      <c r="F2284" t="s">
        <v>6028</v>
      </c>
      <c r="G2284" t="s">
        <v>6030</v>
      </c>
      <c r="H2284" t="s">
        <v>6033</v>
      </c>
      <c r="I2284" t="s">
        <v>6047</v>
      </c>
      <c r="J2284" t="s">
        <v>6055</v>
      </c>
      <c r="K2284" t="s">
        <v>6063</v>
      </c>
      <c r="L2284" t="s">
        <v>6443</v>
      </c>
      <c r="M2284">
        <v>1170.58</v>
      </c>
      <c r="N2284">
        <v>1</v>
      </c>
      <c r="O2284">
        <v>0.28999999999999998</v>
      </c>
      <c r="P2284">
        <v>-9.2799999999999994</v>
      </c>
      <c r="Q2284" t="s">
        <v>9896</v>
      </c>
      <c r="R2284">
        <v>1</v>
      </c>
      <c r="S2284" s="5">
        <f t="shared" si="70"/>
        <v>-7.9276939636761263E-3</v>
      </c>
      <c r="T2284">
        <v>1170.58</v>
      </c>
      <c r="U2284">
        <v>6</v>
      </c>
      <c r="V2284">
        <v>2023</v>
      </c>
      <c r="W2284">
        <v>2</v>
      </c>
      <c r="X2284" t="s">
        <v>9898</v>
      </c>
      <c r="Y2284" t="s">
        <v>9900</v>
      </c>
      <c r="Z2284" t="s">
        <v>9898</v>
      </c>
      <c r="AD2284">
        <f t="shared" si="71"/>
        <v>1</v>
      </c>
    </row>
    <row r="2285" spans="1:30" x14ac:dyDescent="0.25">
      <c r="A2285" t="s">
        <v>2309</v>
      </c>
      <c r="B2285" s="2">
        <v>44767</v>
      </c>
      <c r="C2285" s="2">
        <v>44773</v>
      </c>
      <c r="D2285" t="s">
        <v>5432</v>
      </c>
      <c r="E2285" t="s">
        <v>5932</v>
      </c>
      <c r="F2285" t="s">
        <v>6028</v>
      </c>
      <c r="G2285" t="s">
        <v>6029</v>
      </c>
      <c r="H2285" t="s">
        <v>6036</v>
      </c>
      <c r="I2285" t="s">
        <v>6046</v>
      </c>
      <c r="J2285" t="s">
        <v>6054</v>
      </c>
      <c r="K2285" t="s">
        <v>6060</v>
      </c>
      <c r="L2285" t="s">
        <v>6728</v>
      </c>
      <c r="M2285">
        <v>794.35</v>
      </c>
      <c r="N2285">
        <v>3</v>
      </c>
      <c r="O2285">
        <v>0.34</v>
      </c>
      <c r="P2285">
        <v>-110.43</v>
      </c>
      <c r="Q2285" t="s">
        <v>9897</v>
      </c>
      <c r="R2285">
        <v>6</v>
      </c>
      <c r="S2285" s="5">
        <f t="shared" si="70"/>
        <v>-0.13901932397557751</v>
      </c>
      <c r="T2285">
        <v>264.78333333333342</v>
      </c>
      <c r="U2285">
        <v>7</v>
      </c>
      <c r="V2285">
        <v>2022</v>
      </c>
      <c r="W2285">
        <v>3</v>
      </c>
      <c r="X2285" t="s">
        <v>9898</v>
      </c>
      <c r="Y2285" t="s">
        <v>9902</v>
      </c>
      <c r="Z2285" t="s">
        <v>9899</v>
      </c>
      <c r="AD2285">
        <f t="shared" si="71"/>
        <v>6</v>
      </c>
    </row>
    <row r="2286" spans="1:30" x14ac:dyDescent="0.25">
      <c r="A2286" t="s">
        <v>2310</v>
      </c>
      <c r="B2286" s="2">
        <v>45231</v>
      </c>
      <c r="C2286" s="2">
        <v>45236</v>
      </c>
      <c r="D2286" t="s">
        <v>5098</v>
      </c>
      <c r="E2286" t="s">
        <v>5598</v>
      </c>
      <c r="F2286" t="s">
        <v>6027</v>
      </c>
      <c r="G2286" t="s">
        <v>6030</v>
      </c>
      <c r="H2286" t="s">
        <v>6038</v>
      </c>
      <c r="I2286" t="s">
        <v>6051</v>
      </c>
      <c r="J2286" t="s">
        <v>6054</v>
      </c>
      <c r="K2286" t="s">
        <v>6060</v>
      </c>
      <c r="L2286" t="s">
        <v>8087</v>
      </c>
      <c r="M2286">
        <v>1190.17</v>
      </c>
      <c r="N2286">
        <v>1</v>
      </c>
      <c r="O2286">
        <v>0.24</v>
      </c>
      <c r="P2286">
        <v>-50.29</v>
      </c>
      <c r="Q2286" t="s">
        <v>9897</v>
      </c>
      <c r="R2286">
        <v>5</v>
      </c>
      <c r="S2286" s="5">
        <f t="shared" si="70"/>
        <v>-4.225446784913079E-2</v>
      </c>
      <c r="T2286">
        <v>1190.17</v>
      </c>
      <c r="U2286">
        <v>11</v>
      </c>
      <c r="V2286">
        <v>2023</v>
      </c>
      <c r="W2286">
        <v>4</v>
      </c>
      <c r="X2286" t="s">
        <v>9898</v>
      </c>
      <c r="Y2286" t="s">
        <v>9900</v>
      </c>
      <c r="Z2286" t="s">
        <v>9898</v>
      </c>
      <c r="AD2286">
        <f t="shared" si="71"/>
        <v>5</v>
      </c>
    </row>
    <row r="2287" spans="1:30" x14ac:dyDescent="0.25">
      <c r="A2287" t="s">
        <v>2311</v>
      </c>
      <c r="B2287" s="2">
        <v>44695</v>
      </c>
      <c r="C2287" s="2">
        <v>44697</v>
      </c>
      <c r="D2287" t="s">
        <v>5293</v>
      </c>
      <c r="E2287" t="s">
        <v>5793</v>
      </c>
      <c r="F2287" t="s">
        <v>6027</v>
      </c>
      <c r="G2287" t="s">
        <v>6029</v>
      </c>
      <c r="H2287" t="s">
        <v>6036</v>
      </c>
      <c r="I2287" t="s">
        <v>6046</v>
      </c>
      <c r="J2287" t="s">
        <v>6054</v>
      </c>
      <c r="K2287" t="s">
        <v>6059</v>
      </c>
      <c r="L2287" t="s">
        <v>8088</v>
      </c>
      <c r="M2287">
        <v>148.12</v>
      </c>
      <c r="N2287">
        <v>6</v>
      </c>
      <c r="O2287">
        <v>0.32</v>
      </c>
      <c r="P2287">
        <v>-26.41</v>
      </c>
      <c r="Q2287" t="s">
        <v>9896</v>
      </c>
      <c r="R2287">
        <v>2</v>
      </c>
      <c r="S2287" s="5">
        <f t="shared" si="70"/>
        <v>-0.17830137726167972</v>
      </c>
      <c r="T2287">
        <v>24.686666666666671</v>
      </c>
      <c r="U2287">
        <v>5</v>
      </c>
      <c r="V2287">
        <v>2022</v>
      </c>
      <c r="W2287">
        <v>2</v>
      </c>
      <c r="X2287" t="s">
        <v>9898</v>
      </c>
      <c r="Y2287" t="s">
        <v>9902</v>
      </c>
      <c r="Z2287" t="s">
        <v>9899</v>
      </c>
      <c r="AD2287">
        <f t="shared" si="71"/>
        <v>2</v>
      </c>
    </row>
    <row r="2288" spans="1:30" x14ac:dyDescent="0.25">
      <c r="A2288" t="s">
        <v>2312</v>
      </c>
      <c r="B2288" s="2">
        <v>44584</v>
      </c>
      <c r="C2288" s="2">
        <v>44586</v>
      </c>
      <c r="D2288" t="s">
        <v>5049</v>
      </c>
      <c r="E2288" t="s">
        <v>5549</v>
      </c>
      <c r="F2288" t="s">
        <v>6028</v>
      </c>
      <c r="G2288" t="s">
        <v>6030</v>
      </c>
      <c r="H2288" t="s">
        <v>6038</v>
      </c>
      <c r="I2288" t="s">
        <v>6051</v>
      </c>
      <c r="J2288" t="s">
        <v>6054</v>
      </c>
      <c r="K2288" t="s">
        <v>6062</v>
      </c>
      <c r="L2288" t="s">
        <v>8089</v>
      </c>
      <c r="M2288">
        <v>347.98</v>
      </c>
      <c r="N2288">
        <v>7</v>
      </c>
      <c r="O2288">
        <v>0.06</v>
      </c>
      <c r="P2288">
        <v>45.76</v>
      </c>
      <c r="Q2288" t="s">
        <v>9895</v>
      </c>
      <c r="R2288">
        <v>2</v>
      </c>
      <c r="S2288" s="5">
        <f t="shared" si="70"/>
        <v>0.13150181044887635</v>
      </c>
      <c r="T2288">
        <v>49.711428571428577</v>
      </c>
      <c r="U2288">
        <v>1</v>
      </c>
      <c r="V2288">
        <v>2022</v>
      </c>
      <c r="W2288">
        <v>1</v>
      </c>
      <c r="X2288" t="s">
        <v>9899</v>
      </c>
      <c r="Y2288" t="s">
        <v>9901</v>
      </c>
      <c r="Z2288" t="s">
        <v>9899</v>
      </c>
      <c r="AD2288">
        <f t="shared" si="71"/>
        <v>2</v>
      </c>
    </row>
    <row r="2289" spans="1:30" x14ac:dyDescent="0.25">
      <c r="A2289" t="s">
        <v>2313</v>
      </c>
      <c r="B2289" s="2">
        <v>45220</v>
      </c>
      <c r="C2289" s="2">
        <v>45222</v>
      </c>
      <c r="D2289" t="s">
        <v>5046</v>
      </c>
      <c r="E2289" t="s">
        <v>5546</v>
      </c>
      <c r="F2289" t="s">
        <v>6028</v>
      </c>
      <c r="G2289" t="s">
        <v>6031</v>
      </c>
      <c r="H2289" t="s">
        <v>6043</v>
      </c>
      <c r="I2289" t="s">
        <v>6052</v>
      </c>
      <c r="J2289" t="s">
        <v>6054</v>
      </c>
      <c r="K2289" t="s">
        <v>6060</v>
      </c>
      <c r="L2289" t="s">
        <v>8090</v>
      </c>
      <c r="M2289">
        <v>957.1</v>
      </c>
      <c r="N2289">
        <v>2</v>
      </c>
      <c r="O2289">
        <v>0.2</v>
      </c>
      <c r="P2289">
        <v>44.01</v>
      </c>
      <c r="Q2289" t="s">
        <v>9895</v>
      </c>
      <c r="R2289">
        <v>2</v>
      </c>
      <c r="S2289" s="5">
        <f t="shared" si="70"/>
        <v>4.59826559398182E-2</v>
      </c>
      <c r="T2289">
        <v>478.55</v>
      </c>
      <c r="U2289">
        <v>10</v>
      </c>
      <c r="V2289">
        <v>2023</v>
      </c>
      <c r="W2289">
        <v>4</v>
      </c>
      <c r="X2289" t="s">
        <v>9899</v>
      </c>
      <c r="Y2289" t="s">
        <v>9900</v>
      </c>
      <c r="Z2289" t="s">
        <v>9899</v>
      </c>
      <c r="AD2289">
        <f t="shared" si="71"/>
        <v>2</v>
      </c>
    </row>
    <row r="2290" spans="1:30" x14ac:dyDescent="0.25">
      <c r="A2290" t="s">
        <v>2314</v>
      </c>
      <c r="B2290" s="2">
        <v>44615</v>
      </c>
      <c r="C2290" s="2">
        <v>44616</v>
      </c>
      <c r="D2290" t="s">
        <v>5097</v>
      </c>
      <c r="E2290" t="s">
        <v>5597</v>
      </c>
      <c r="F2290" t="s">
        <v>6027</v>
      </c>
      <c r="G2290" t="s">
        <v>6031</v>
      </c>
      <c r="H2290" t="s">
        <v>6037</v>
      </c>
      <c r="I2290" t="s">
        <v>6052</v>
      </c>
      <c r="J2290" t="s">
        <v>6053</v>
      </c>
      <c r="K2290" t="s">
        <v>6057</v>
      </c>
      <c r="L2290" t="s">
        <v>8091</v>
      </c>
      <c r="M2290">
        <v>569.14</v>
      </c>
      <c r="N2290">
        <v>8</v>
      </c>
      <c r="O2290">
        <v>0.15</v>
      </c>
      <c r="P2290">
        <v>-5.99</v>
      </c>
      <c r="Q2290" t="s">
        <v>9895</v>
      </c>
      <c r="R2290">
        <v>1</v>
      </c>
      <c r="S2290" s="5">
        <f t="shared" si="70"/>
        <v>-1.0524651228168817E-2</v>
      </c>
      <c r="T2290">
        <v>71.142499999999998</v>
      </c>
      <c r="U2290">
        <v>2</v>
      </c>
      <c r="V2290">
        <v>2022</v>
      </c>
      <c r="W2290">
        <v>1</v>
      </c>
      <c r="X2290" t="s">
        <v>9898</v>
      </c>
      <c r="Y2290" t="s">
        <v>9901</v>
      </c>
      <c r="Z2290" t="s">
        <v>9899</v>
      </c>
      <c r="AD2290">
        <f t="shared" si="71"/>
        <v>1</v>
      </c>
    </row>
    <row r="2291" spans="1:30" x14ac:dyDescent="0.25">
      <c r="A2291" t="s">
        <v>2315</v>
      </c>
      <c r="B2291" s="2">
        <v>44798</v>
      </c>
      <c r="C2291" s="2">
        <v>44805</v>
      </c>
      <c r="D2291" t="s">
        <v>5149</v>
      </c>
      <c r="E2291" t="s">
        <v>5649</v>
      </c>
      <c r="F2291" t="s">
        <v>6028</v>
      </c>
      <c r="G2291" t="s">
        <v>6030</v>
      </c>
      <c r="H2291" t="s">
        <v>6039</v>
      </c>
      <c r="I2291" t="s">
        <v>6047</v>
      </c>
      <c r="J2291" t="s">
        <v>6054</v>
      </c>
      <c r="K2291" t="s">
        <v>6059</v>
      </c>
      <c r="L2291" t="s">
        <v>8092</v>
      </c>
      <c r="M2291">
        <v>970.54</v>
      </c>
      <c r="N2291">
        <v>6</v>
      </c>
      <c r="O2291">
        <v>0.34</v>
      </c>
      <c r="P2291">
        <v>-192.28</v>
      </c>
      <c r="Q2291" t="s">
        <v>9895</v>
      </c>
      <c r="R2291">
        <v>7</v>
      </c>
      <c r="S2291" s="5">
        <f t="shared" si="70"/>
        <v>-0.19811651245698272</v>
      </c>
      <c r="T2291">
        <v>161.75666666666669</v>
      </c>
      <c r="U2291">
        <v>8</v>
      </c>
      <c r="V2291">
        <v>2022</v>
      </c>
      <c r="W2291">
        <v>3</v>
      </c>
      <c r="X2291" t="s">
        <v>9898</v>
      </c>
      <c r="Y2291" t="s">
        <v>9902</v>
      </c>
      <c r="Z2291" t="s">
        <v>9899</v>
      </c>
      <c r="AD2291">
        <f t="shared" si="71"/>
        <v>7</v>
      </c>
    </row>
    <row r="2292" spans="1:30" x14ac:dyDescent="0.25">
      <c r="A2292" t="s">
        <v>2316</v>
      </c>
      <c r="B2292" s="2">
        <v>45142</v>
      </c>
      <c r="C2292" s="2">
        <v>45148</v>
      </c>
      <c r="D2292" t="s">
        <v>5470</v>
      </c>
      <c r="E2292" t="s">
        <v>5970</v>
      </c>
      <c r="F2292" t="s">
        <v>6026</v>
      </c>
      <c r="G2292" t="s">
        <v>6029</v>
      </c>
      <c r="H2292" t="s">
        <v>6044</v>
      </c>
      <c r="I2292" t="s">
        <v>6050</v>
      </c>
      <c r="J2292" t="s">
        <v>6055</v>
      </c>
      <c r="K2292" t="s">
        <v>6063</v>
      </c>
      <c r="L2292" t="s">
        <v>7260</v>
      </c>
      <c r="M2292">
        <v>1660.41</v>
      </c>
      <c r="N2292">
        <v>2</v>
      </c>
      <c r="O2292">
        <v>0.14000000000000001</v>
      </c>
      <c r="P2292">
        <v>-41.29</v>
      </c>
      <c r="Q2292" t="s">
        <v>9896</v>
      </c>
      <c r="R2292">
        <v>6</v>
      </c>
      <c r="S2292" s="5">
        <f t="shared" si="70"/>
        <v>-2.4867352039556492E-2</v>
      </c>
      <c r="T2292">
        <v>830.20500000000004</v>
      </c>
      <c r="U2292">
        <v>8</v>
      </c>
      <c r="V2292">
        <v>2023</v>
      </c>
      <c r="W2292">
        <v>3</v>
      </c>
      <c r="X2292" t="s">
        <v>9898</v>
      </c>
      <c r="Y2292" t="s">
        <v>9901</v>
      </c>
      <c r="Z2292" t="s">
        <v>9898</v>
      </c>
      <c r="AD2292">
        <f t="shared" si="71"/>
        <v>6</v>
      </c>
    </row>
    <row r="2293" spans="1:30" x14ac:dyDescent="0.25">
      <c r="A2293" t="s">
        <v>2317</v>
      </c>
      <c r="B2293" s="2">
        <v>45413</v>
      </c>
      <c r="C2293" s="2">
        <v>45417</v>
      </c>
      <c r="D2293" t="s">
        <v>5479</v>
      </c>
      <c r="E2293" t="s">
        <v>5979</v>
      </c>
      <c r="F2293" t="s">
        <v>6026</v>
      </c>
      <c r="G2293" t="s">
        <v>6029</v>
      </c>
      <c r="H2293" t="s">
        <v>6044</v>
      </c>
      <c r="I2293" t="s">
        <v>6046</v>
      </c>
      <c r="J2293" t="s">
        <v>6053</v>
      </c>
      <c r="K2293" t="s">
        <v>6056</v>
      </c>
      <c r="L2293" t="s">
        <v>8093</v>
      </c>
      <c r="M2293">
        <v>791.88</v>
      </c>
      <c r="N2293">
        <v>7</v>
      </c>
      <c r="O2293">
        <v>0.33</v>
      </c>
      <c r="P2293">
        <v>-69.900000000000006</v>
      </c>
      <c r="Q2293" t="s">
        <v>9894</v>
      </c>
      <c r="R2293">
        <v>4</v>
      </c>
      <c r="S2293" s="5">
        <f t="shared" si="70"/>
        <v>-8.8270950143961219E-2</v>
      </c>
      <c r="T2293">
        <v>113.1257142857143</v>
      </c>
      <c r="U2293">
        <v>5</v>
      </c>
      <c r="V2293">
        <v>2024</v>
      </c>
      <c r="W2293">
        <v>2</v>
      </c>
      <c r="X2293" t="s">
        <v>9898</v>
      </c>
      <c r="Y2293" t="s">
        <v>9902</v>
      </c>
      <c r="Z2293" t="s">
        <v>9899</v>
      </c>
      <c r="AD2293">
        <f t="shared" si="71"/>
        <v>4</v>
      </c>
    </row>
    <row r="2294" spans="1:30" x14ac:dyDescent="0.25">
      <c r="A2294" t="s">
        <v>2318</v>
      </c>
      <c r="B2294" s="2">
        <v>45459</v>
      </c>
      <c r="C2294" s="2">
        <v>45465</v>
      </c>
      <c r="D2294" t="s">
        <v>5211</v>
      </c>
      <c r="E2294" t="s">
        <v>5711</v>
      </c>
      <c r="F2294" t="s">
        <v>6026</v>
      </c>
      <c r="G2294" t="s">
        <v>6029</v>
      </c>
      <c r="H2294" t="s">
        <v>6044</v>
      </c>
      <c r="I2294" t="s">
        <v>6046</v>
      </c>
      <c r="J2294" t="s">
        <v>6054</v>
      </c>
      <c r="K2294" t="s">
        <v>6060</v>
      </c>
      <c r="L2294" t="s">
        <v>8094</v>
      </c>
      <c r="M2294">
        <v>1011.16</v>
      </c>
      <c r="N2294">
        <v>5</v>
      </c>
      <c r="O2294">
        <v>0.15</v>
      </c>
      <c r="P2294">
        <v>107.2</v>
      </c>
      <c r="Q2294" t="s">
        <v>9894</v>
      </c>
      <c r="R2294">
        <v>6</v>
      </c>
      <c r="S2294" s="5">
        <f t="shared" si="70"/>
        <v>0.10601685193243404</v>
      </c>
      <c r="T2294">
        <v>202.232</v>
      </c>
      <c r="U2294">
        <v>6</v>
      </c>
      <c r="V2294">
        <v>2024</v>
      </c>
      <c r="W2294">
        <v>2</v>
      </c>
      <c r="X2294" t="s">
        <v>9899</v>
      </c>
      <c r="Y2294" t="s">
        <v>9901</v>
      </c>
      <c r="Z2294" t="s">
        <v>9898</v>
      </c>
      <c r="AD2294">
        <f t="shared" si="71"/>
        <v>6</v>
      </c>
    </row>
    <row r="2295" spans="1:30" x14ac:dyDescent="0.25">
      <c r="A2295" t="s">
        <v>2319</v>
      </c>
      <c r="B2295" s="2">
        <v>45105</v>
      </c>
      <c r="C2295" s="2">
        <v>45107</v>
      </c>
      <c r="D2295" t="s">
        <v>5188</v>
      </c>
      <c r="E2295" t="s">
        <v>5688</v>
      </c>
      <c r="F2295" t="s">
        <v>6027</v>
      </c>
      <c r="G2295" t="s">
        <v>6029</v>
      </c>
      <c r="H2295" t="s">
        <v>6041</v>
      </c>
      <c r="I2295" t="s">
        <v>6046</v>
      </c>
      <c r="J2295" t="s">
        <v>6054</v>
      </c>
      <c r="K2295" t="s">
        <v>6062</v>
      </c>
      <c r="L2295" t="s">
        <v>6173</v>
      </c>
      <c r="M2295">
        <v>1108.24</v>
      </c>
      <c r="N2295">
        <v>4</v>
      </c>
      <c r="O2295">
        <v>0.33</v>
      </c>
      <c r="P2295">
        <v>-227.94</v>
      </c>
      <c r="Q2295" t="s">
        <v>9896</v>
      </c>
      <c r="R2295">
        <v>2</v>
      </c>
      <c r="S2295" s="5">
        <f t="shared" si="70"/>
        <v>-0.20567747058398902</v>
      </c>
      <c r="T2295">
        <v>277.06</v>
      </c>
      <c r="U2295">
        <v>6</v>
      </c>
      <c r="V2295">
        <v>2023</v>
      </c>
      <c r="W2295">
        <v>2</v>
      </c>
      <c r="X2295" t="s">
        <v>9898</v>
      </c>
      <c r="Y2295" t="s">
        <v>9902</v>
      </c>
      <c r="Z2295" t="s">
        <v>9898</v>
      </c>
      <c r="AD2295">
        <f t="shared" si="71"/>
        <v>2</v>
      </c>
    </row>
    <row r="2296" spans="1:30" x14ac:dyDescent="0.25">
      <c r="A2296" t="s">
        <v>2320</v>
      </c>
      <c r="B2296" s="2">
        <v>45399</v>
      </c>
      <c r="C2296" s="2">
        <v>45400</v>
      </c>
      <c r="D2296" t="s">
        <v>5494</v>
      </c>
      <c r="E2296" t="s">
        <v>5994</v>
      </c>
      <c r="F2296" t="s">
        <v>6027</v>
      </c>
      <c r="G2296" t="s">
        <v>6030</v>
      </c>
      <c r="H2296" t="s">
        <v>6035</v>
      </c>
      <c r="I2296" t="s">
        <v>6047</v>
      </c>
      <c r="J2296" t="s">
        <v>6054</v>
      </c>
      <c r="K2296" t="s">
        <v>6059</v>
      </c>
      <c r="L2296" t="s">
        <v>8095</v>
      </c>
      <c r="M2296">
        <v>858.06</v>
      </c>
      <c r="N2296">
        <v>3</v>
      </c>
      <c r="O2296">
        <v>0.31</v>
      </c>
      <c r="P2296">
        <v>-19.45</v>
      </c>
      <c r="Q2296" t="s">
        <v>9893</v>
      </c>
      <c r="R2296">
        <v>1</v>
      </c>
      <c r="S2296" s="5">
        <f t="shared" si="70"/>
        <v>-2.2667412535253947E-2</v>
      </c>
      <c r="T2296">
        <v>286.02</v>
      </c>
      <c r="U2296">
        <v>4</v>
      </c>
      <c r="V2296">
        <v>2024</v>
      </c>
      <c r="W2296">
        <v>2</v>
      </c>
      <c r="X2296" t="s">
        <v>9898</v>
      </c>
      <c r="Y2296" t="s">
        <v>9902</v>
      </c>
      <c r="Z2296" t="s">
        <v>9899</v>
      </c>
      <c r="AD2296">
        <f t="shared" si="71"/>
        <v>1</v>
      </c>
    </row>
    <row r="2297" spans="1:30" x14ac:dyDescent="0.25">
      <c r="A2297" t="s">
        <v>2321</v>
      </c>
      <c r="B2297" s="2">
        <v>44639</v>
      </c>
      <c r="C2297" s="2">
        <v>44643</v>
      </c>
      <c r="D2297" t="s">
        <v>5151</v>
      </c>
      <c r="E2297" t="s">
        <v>5651</v>
      </c>
      <c r="F2297" t="s">
        <v>6028</v>
      </c>
      <c r="G2297" t="s">
        <v>6029</v>
      </c>
      <c r="H2297" t="s">
        <v>6032</v>
      </c>
      <c r="I2297" t="s">
        <v>6049</v>
      </c>
      <c r="J2297" t="s">
        <v>6054</v>
      </c>
      <c r="K2297" t="s">
        <v>6059</v>
      </c>
      <c r="L2297" t="s">
        <v>8096</v>
      </c>
      <c r="M2297">
        <v>877.32</v>
      </c>
      <c r="N2297">
        <v>6</v>
      </c>
      <c r="O2297">
        <v>0.25</v>
      </c>
      <c r="P2297">
        <v>-97.44</v>
      </c>
      <c r="Q2297" t="s">
        <v>9897</v>
      </c>
      <c r="R2297">
        <v>4</v>
      </c>
      <c r="S2297" s="5">
        <f t="shared" si="70"/>
        <v>-0.11106551771303515</v>
      </c>
      <c r="T2297">
        <v>146.22</v>
      </c>
      <c r="U2297">
        <v>3</v>
      </c>
      <c r="V2297">
        <v>2022</v>
      </c>
      <c r="W2297">
        <v>1</v>
      </c>
      <c r="X2297" t="s">
        <v>9898</v>
      </c>
      <c r="Y2297" t="s">
        <v>9900</v>
      </c>
      <c r="Z2297" t="s">
        <v>9899</v>
      </c>
      <c r="AD2297">
        <f t="shared" si="71"/>
        <v>4</v>
      </c>
    </row>
    <row r="2298" spans="1:30" x14ac:dyDescent="0.25">
      <c r="A2298" t="s">
        <v>2322</v>
      </c>
      <c r="B2298" s="2">
        <v>45095</v>
      </c>
      <c r="C2298" s="2">
        <v>45099</v>
      </c>
      <c r="D2298" t="s">
        <v>5468</v>
      </c>
      <c r="E2298" t="s">
        <v>5968</v>
      </c>
      <c r="F2298" t="s">
        <v>6027</v>
      </c>
      <c r="G2298" t="s">
        <v>6031</v>
      </c>
      <c r="H2298" t="s">
        <v>6042</v>
      </c>
      <c r="I2298" t="s">
        <v>6048</v>
      </c>
      <c r="J2298" t="s">
        <v>6055</v>
      </c>
      <c r="K2298" t="s">
        <v>6061</v>
      </c>
      <c r="L2298" t="s">
        <v>8097</v>
      </c>
      <c r="M2298">
        <v>1127.56</v>
      </c>
      <c r="N2298">
        <v>4</v>
      </c>
      <c r="O2298">
        <v>0.16</v>
      </c>
      <c r="P2298">
        <v>-42.12</v>
      </c>
      <c r="Q2298" t="s">
        <v>9897</v>
      </c>
      <c r="R2298">
        <v>4</v>
      </c>
      <c r="S2298" s="5">
        <f t="shared" si="70"/>
        <v>-3.7354996629891092E-2</v>
      </c>
      <c r="T2298">
        <v>281.89</v>
      </c>
      <c r="U2298">
        <v>6</v>
      </c>
      <c r="V2298">
        <v>2023</v>
      </c>
      <c r="W2298">
        <v>2</v>
      </c>
      <c r="X2298" t="s">
        <v>9898</v>
      </c>
      <c r="Y2298" t="s">
        <v>9900</v>
      </c>
      <c r="Z2298" t="s">
        <v>9898</v>
      </c>
      <c r="AD2298">
        <f t="shared" si="71"/>
        <v>4</v>
      </c>
    </row>
    <row r="2299" spans="1:30" x14ac:dyDescent="0.25">
      <c r="A2299" t="s">
        <v>2323</v>
      </c>
      <c r="B2299" s="2">
        <v>44952</v>
      </c>
      <c r="C2299" s="2">
        <v>44958</v>
      </c>
      <c r="D2299" t="s">
        <v>5222</v>
      </c>
      <c r="E2299" t="s">
        <v>5722</v>
      </c>
      <c r="F2299" t="s">
        <v>6027</v>
      </c>
      <c r="G2299" t="s">
        <v>6031</v>
      </c>
      <c r="H2299" t="s">
        <v>6034</v>
      </c>
      <c r="I2299" t="s">
        <v>6050</v>
      </c>
      <c r="J2299" t="s">
        <v>6054</v>
      </c>
      <c r="K2299" t="s">
        <v>6062</v>
      </c>
      <c r="L2299" t="s">
        <v>8098</v>
      </c>
      <c r="M2299">
        <v>1398.59</v>
      </c>
      <c r="N2299">
        <v>7</v>
      </c>
      <c r="O2299">
        <v>0.18</v>
      </c>
      <c r="P2299">
        <v>-70.569999999999993</v>
      </c>
      <c r="Q2299" t="s">
        <v>9896</v>
      </c>
      <c r="R2299">
        <v>6</v>
      </c>
      <c r="S2299" s="5">
        <f t="shared" si="70"/>
        <v>-5.0457961232384045E-2</v>
      </c>
      <c r="T2299">
        <v>199.79857142857139</v>
      </c>
      <c r="U2299">
        <v>1</v>
      </c>
      <c r="V2299">
        <v>2023</v>
      </c>
      <c r="W2299">
        <v>1</v>
      </c>
      <c r="X2299" t="s">
        <v>9898</v>
      </c>
      <c r="Y2299" t="s">
        <v>9900</v>
      </c>
      <c r="Z2299" t="s">
        <v>9898</v>
      </c>
      <c r="AD2299">
        <f t="shared" si="71"/>
        <v>6</v>
      </c>
    </row>
    <row r="2300" spans="1:30" x14ac:dyDescent="0.25">
      <c r="A2300" t="s">
        <v>2324</v>
      </c>
      <c r="B2300" s="2">
        <v>45108</v>
      </c>
      <c r="C2300" s="2">
        <v>45109</v>
      </c>
      <c r="D2300" t="s">
        <v>5361</v>
      </c>
      <c r="E2300" t="s">
        <v>5861</v>
      </c>
      <c r="F2300" t="s">
        <v>6027</v>
      </c>
      <c r="G2300" t="s">
        <v>6029</v>
      </c>
      <c r="H2300" t="s">
        <v>6032</v>
      </c>
      <c r="I2300" t="s">
        <v>6046</v>
      </c>
      <c r="J2300" t="s">
        <v>6055</v>
      </c>
      <c r="K2300" t="s">
        <v>6064</v>
      </c>
      <c r="L2300" t="s">
        <v>6315</v>
      </c>
      <c r="M2300">
        <v>1403.5</v>
      </c>
      <c r="N2300">
        <v>6</v>
      </c>
      <c r="O2300">
        <v>0.33</v>
      </c>
      <c r="P2300">
        <v>-132.55000000000001</v>
      </c>
      <c r="Q2300" t="s">
        <v>9897</v>
      </c>
      <c r="R2300">
        <v>1</v>
      </c>
      <c r="S2300" s="5">
        <f t="shared" si="70"/>
        <v>-9.4442465265407921E-2</v>
      </c>
      <c r="T2300">
        <v>233.91666666666671</v>
      </c>
      <c r="U2300">
        <v>7</v>
      </c>
      <c r="V2300">
        <v>2023</v>
      </c>
      <c r="W2300">
        <v>3</v>
      </c>
      <c r="X2300" t="s">
        <v>9898</v>
      </c>
      <c r="Y2300" t="s">
        <v>9902</v>
      </c>
      <c r="Z2300" t="s">
        <v>9898</v>
      </c>
      <c r="AD2300">
        <f t="shared" si="71"/>
        <v>1</v>
      </c>
    </row>
    <row r="2301" spans="1:30" x14ac:dyDescent="0.25">
      <c r="A2301" t="s">
        <v>2325</v>
      </c>
      <c r="B2301" s="2">
        <v>45369</v>
      </c>
      <c r="C2301" s="2">
        <v>45375</v>
      </c>
      <c r="D2301" t="s">
        <v>5347</v>
      </c>
      <c r="E2301" t="s">
        <v>5847</v>
      </c>
      <c r="F2301" t="s">
        <v>6026</v>
      </c>
      <c r="G2301" t="s">
        <v>6029</v>
      </c>
      <c r="H2301" t="s">
        <v>6044</v>
      </c>
      <c r="I2301" t="s">
        <v>6046</v>
      </c>
      <c r="J2301" t="s">
        <v>6055</v>
      </c>
      <c r="K2301" t="s">
        <v>6063</v>
      </c>
      <c r="L2301" t="s">
        <v>8099</v>
      </c>
      <c r="M2301">
        <v>418.05</v>
      </c>
      <c r="N2301">
        <v>7</v>
      </c>
      <c r="O2301">
        <v>0.31</v>
      </c>
      <c r="P2301">
        <v>-67.760000000000005</v>
      </c>
      <c r="Q2301" t="s">
        <v>9893</v>
      </c>
      <c r="R2301">
        <v>6</v>
      </c>
      <c r="S2301" s="5">
        <f t="shared" si="70"/>
        <v>-0.16208587489534745</v>
      </c>
      <c r="T2301">
        <v>59.721428571428582</v>
      </c>
      <c r="U2301">
        <v>3</v>
      </c>
      <c r="V2301">
        <v>2024</v>
      </c>
      <c r="W2301">
        <v>1</v>
      </c>
      <c r="X2301" t="s">
        <v>9898</v>
      </c>
      <c r="Y2301" t="s">
        <v>9902</v>
      </c>
      <c r="Z2301" t="s">
        <v>9899</v>
      </c>
      <c r="AD2301">
        <f t="shared" si="71"/>
        <v>6</v>
      </c>
    </row>
    <row r="2302" spans="1:30" x14ac:dyDescent="0.25">
      <c r="A2302" t="s">
        <v>2326</v>
      </c>
      <c r="B2302" s="2">
        <v>44620</v>
      </c>
      <c r="C2302" s="2">
        <v>44624</v>
      </c>
      <c r="D2302" t="s">
        <v>5080</v>
      </c>
      <c r="E2302" t="s">
        <v>5580</v>
      </c>
      <c r="F2302" t="s">
        <v>6026</v>
      </c>
      <c r="G2302" t="s">
        <v>6029</v>
      </c>
      <c r="H2302" t="s">
        <v>6032</v>
      </c>
      <c r="I2302" t="s">
        <v>6049</v>
      </c>
      <c r="J2302" t="s">
        <v>6055</v>
      </c>
      <c r="K2302" t="s">
        <v>6063</v>
      </c>
      <c r="L2302" t="s">
        <v>8100</v>
      </c>
      <c r="M2302">
        <v>852.08</v>
      </c>
      <c r="N2302">
        <v>4</v>
      </c>
      <c r="O2302">
        <v>0.24</v>
      </c>
      <c r="P2302">
        <v>26.71</v>
      </c>
      <c r="Q2302" t="s">
        <v>9894</v>
      </c>
      <c r="R2302">
        <v>4</v>
      </c>
      <c r="S2302" s="5">
        <f t="shared" si="70"/>
        <v>3.1346821894657775E-2</v>
      </c>
      <c r="T2302">
        <v>213.02</v>
      </c>
      <c r="U2302">
        <v>2</v>
      </c>
      <c r="V2302">
        <v>2022</v>
      </c>
      <c r="W2302">
        <v>1</v>
      </c>
      <c r="X2302" t="s">
        <v>9899</v>
      </c>
      <c r="Y2302" t="s">
        <v>9900</v>
      </c>
      <c r="Z2302" t="s">
        <v>9899</v>
      </c>
      <c r="AD2302">
        <f t="shared" si="71"/>
        <v>4</v>
      </c>
    </row>
    <row r="2303" spans="1:30" x14ac:dyDescent="0.25">
      <c r="A2303" t="s">
        <v>2327</v>
      </c>
      <c r="B2303" s="2">
        <v>44650</v>
      </c>
      <c r="C2303" s="2">
        <v>44654</v>
      </c>
      <c r="D2303" t="s">
        <v>5064</v>
      </c>
      <c r="E2303" t="s">
        <v>5564</v>
      </c>
      <c r="F2303" t="s">
        <v>6026</v>
      </c>
      <c r="G2303" t="s">
        <v>6029</v>
      </c>
      <c r="H2303" t="s">
        <v>6041</v>
      </c>
      <c r="I2303" t="s">
        <v>6049</v>
      </c>
      <c r="J2303" t="s">
        <v>6054</v>
      </c>
      <c r="K2303" t="s">
        <v>6060</v>
      </c>
      <c r="L2303" t="s">
        <v>6746</v>
      </c>
      <c r="M2303">
        <v>1715.68</v>
      </c>
      <c r="N2303">
        <v>3</v>
      </c>
      <c r="O2303">
        <v>0.01</v>
      </c>
      <c r="P2303">
        <v>278.79000000000002</v>
      </c>
      <c r="Q2303" t="s">
        <v>9896</v>
      </c>
      <c r="R2303">
        <v>4</v>
      </c>
      <c r="S2303" s="5">
        <f t="shared" si="70"/>
        <v>0.16249533712580436</v>
      </c>
      <c r="T2303">
        <v>571.89333333333332</v>
      </c>
      <c r="U2303">
        <v>3</v>
      </c>
      <c r="V2303">
        <v>2022</v>
      </c>
      <c r="W2303">
        <v>1</v>
      </c>
      <c r="X2303" t="s">
        <v>9899</v>
      </c>
      <c r="Y2303" t="s">
        <v>9901</v>
      </c>
      <c r="Z2303" t="s">
        <v>9898</v>
      </c>
      <c r="AD2303">
        <f t="shared" si="71"/>
        <v>4</v>
      </c>
    </row>
    <row r="2304" spans="1:30" x14ac:dyDescent="0.25">
      <c r="A2304" t="s">
        <v>2328</v>
      </c>
      <c r="B2304" s="2">
        <v>44658</v>
      </c>
      <c r="C2304" s="2">
        <v>44664</v>
      </c>
      <c r="D2304" t="s">
        <v>5067</v>
      </c>
      <c r="E2304" t="s">
        <v>5567</v>
      </c>
      <c r="F2304" t="s">
        <v>6026</v>
      </c>
      <c r="G2304" t="s">
        <v>6031</v>
      </c>
      <c r="H2304" t="s">
        <v>6043</v>
      </c>
      <c r="I2304" t="s">
        <v>6050</v>
      </c>
      <c r="J2304" t="s">
        <v>6054</v>
      </c>
      <c r="K2304" t="s">
        <v>6059</v>
      </c>
      <c r="L2304" t="s">
        <v>8101</v>
      </c>
      <c r="M2304">
        <v>1601.02</v>
      </c>
      <c r="N2304">
        <v>5</v>
      </c>
      <c r="O2304">
        <v>0.12</v>
      </c>
      <c r="P2304">
        <v>261.62</v>
      </c>
      <c r="Q2304" t="s">
        <v>9896</v>
      </c>
      <c r="R2304">
        <v>6</v>
      </c>
      <c r="S2304" s="5">
        <f t="shared" si="70"/>
        <v>0.16340832719141549</v>
      </c>
      <c r="T2304">
        <v>320.20400000000001</v>
      </c>
      <c r="U2304">
        <v>4</v>
      </c>
      <c r="V2304">
        <v>2022</v>
      </c>
      <c r="W2304">
        <v>2</v>
      </c>
      <c r="X2304" t="s">
        <v>9899</v>
      </c>
      <c r="Y2304" t="s">
        <v>9901</v>
      </c>
      <c r="Z2304" t="s">
        <v>9898</v>
      </c>
      <c r="AD2304">
        <f t="shared" si="71"/>
        <v>6</v>
      </c>
    </row>
    <row r="2305" spans="1:30" x14ac:dyDescent="0.25">
      <c r="A2305" t="s">
        <v>2329</v>
      </c>
      <c r="B2305" s="2">
        <v>44766</v>
      </c>
      <c r="C2305" s="2">
        <v>44772</v>
      </c>
      <c r="D2305" t="s">
        <v>5083</v>
      </c>
      <c r="E2305" t="s">
        <v>5583</v>
      </c>
      <c r="F2305" t="s">
        <v>6027</v>
      </c>
      <c r="G2305" t="s">
        <v>6030</v>
      </c>
      <c r="H2305" t="s">
        <v>6033</v>
      </c>
      <c r="I2305" t="s">
        <v>6051</v>
      </c>
      <c r="J2305" t="s">
        <v>6054</v>
      </c>
      <c r="K2305" t="s">
        <v>6059</v>
      </c>
      <c r="L2305" t="s">
        <v>8102</v>
      </c>
      <c r="M2305">
        <v>667.7</v>
      </c>
      <c r="N2305">
        <v>4</v>
      </c>
      <c r="O2305">
        <v>0.19</v>
      </c>
      <c r="P2305">
        <v>-22.9</v>
      </c>
      <c r="Q2305" t="s">
        <v>9897</v>
      </c>
      <c r="R2305">
        <v>6</v>
      </c>
      <c r="S2305" s="5">
        <f t="shared" si="70"/>
        <v>-3.4296839898157849E-2</v>
      </c>
      <c r="T2305">
        <v>166.92500000000001</v>
      </c>
      <c r="U2305">
        <v>7</v>
      </c>
      <c r="V2305">
        <v>2022</v>
      </c>
      <c r="W2305">
        <v>3</v>
      </c>
      <c r="X2305" t="s">
        <v>9898</v>
      </c>
      <c r="Y2305" t="s">
        <v>9900</v>
      </c>
      <c r="Z2305" t="s">
        <v>9899</v>
      </c>
      <c r="AD2305">
        <f t="shared" si="71"/>
        <v>6</v>
      </c>
    </row>
    <row r="2306" spans="1:30" x14ac:dyDescent="0.25">
      <c r="A2306" t="s">
        <v>2330</v>
      </c>
      <c r="B2306" s="2">
        <v>44698</v>
      </c>
      <c r="C2306" s="2">
        <v>44700</v>
      </c>
      <c r="D2306" t="s">
        <v>5033</v>
      </c>
      <c r="E2306" t="s">
        <v>5533</v>
      </c>
      <c r="F2306" t="s">
        <v>6026</v>
      </c>
      <c r="G2306" t="s">
        <v>6031</v>
      </c>
      <c r="H2306" t="s">
        <v>6040</v>
      </c>
      <c r="I2306" t="s">
        <v>6050</v>
      </c>
      <c r="J2306" t="s">
        <v>6055</v>
      </c>
      <c r="K2306" t="s">
        <v>6063</v>
      </c>
      <c r="L2306" t="s">
        <v>8103</v>
      </c>
      <c r="M2306">
        <v>927.13</v>
      </c>
      <c r="N2306">
        <v>2</v>
      </c>
      <c r="O2306">
        <v>0.31</v>
      </c>
      <c r="P2306">
        <v>-171.04</v>
      </c>
      <c r="Q2306" t="s">
        <v>9895</v>
      </c>
      <c r="R2306">
        <v>2</v>
      </c>
      <c r="S2306" s="5">
        <f t="shared" si="70"/>
        <v>-0.18448329791938561</v>
      </c>
      <c r="T2306">
        <v>463.565</v>
      </c>
      <c r="U2306">
        <v>5</v>
      </c>
      <c r="V2306">
        <v>2022</v>
      </c>
      <c r="W2306">
        <v>2</v>
      </c>
      <c r="X2306" t="s">
        <v>9898</v>
      </c>
      <c r="Y2306" t="s">
        <v>9902</v>
      </c>
      <c r="Z2306" t="s">
        <v>9899</v>
      </c>
      <c r="AD2306">
        <f t="shared" si="71"/>
        <v>2</v>
      </c>
    </row>
    <row r="2307" spans="1:30" x14ac:dyDescent="0.25">
      <c r="A2307" t="s">
        <v>2331</v>
      </c>
      <c r="B2307" s="2">
        <v>44882</v>
      </c>
      <c r="C2307" s="2">
        <v>44889</v>
      </c>
      <c r="D2307" t="s">
        <v>5231</v>
      </c>
      <c r="E2307" t="s">
        <v>5731</v>
      </c>
      <c r="F2307" t="s">
        <v>6028</v>
      </c>
      <c r="G2307" t="s">
        <v>6029</v>
      </c>
      <c r="H2307" t="s">
        <v>6045</v>
      </c>
      <c r="I2307" t="s">
        <v>6049</v>
      </c>
      <c r="J2307" t="s">
        <v>6054</v>
      </c>
      <c r="K2307" t="s">
        <v>6059</v>
      </c>
      <c r="L2307" t="s">
        <v>6762</v>
      </c>
      <c r="M2307">
        <v>1610</v>
      </c>
      <c r="N2307">
        <v>8</v>
      </c>
      <c r="O2307">
        <v>0.35</v>
      </c>
      <c r="P2307">
        <v>-378.75</v>
      </c>
      <c r="Q2307" t="s">
        <v>9894</v>
      </c>
      <c r="R2307">
        <v>7</v>
      </c>
      <c r="S2307" s="5">
        <f t="shared" ref="S2307:S2370" si="72">P2307/M2307</f>
        <v>-0.23524844720496896</v>
      </c>
      <c r="T2307">
        <v>201.25</v>
      </c>
      <c r="U2307">
        <v>11</v>
      </c>
      <c r="V2307">
        <v>2022</v>
      </c>
      <c r="W2307">
        <v>4</v>
      </c>
      <c r="X2307" t="s">
        <v>9898</v>
      </c>
      <c r="Y2307" t="s">
        <v>9902</v>
      </c>
      <c r="Z2307" t="s">
        <v>9898</v>
      </c>
      <c r="AD2307">
        <f t="shared" ref="AD2307:AD2370" si="73">C2307-B2307</f>
        <v>7</v>
      </c>
    </row>
    <row r="2308" spans="1:30" x14ac:dyDescent="0.25">
      <c r="A2308" t="s">
        <v>2332</v>
      </c>
      <c r="B2308" s="2">
        <v>45421</v>
      </c>
      <c r="C2308" s="2">
        <v>45423</v>
      </c>
      <c r="D2308" t="s">
        <v>5291</v>
      </c>
      <c r="E2308" t="s">
        <v>5791</v>
      </c>
      <c r="F2308" t="s">
        <v>6027</v>
      </c>
      <c r="G2308" t="s">
        <v>6029</v>
      </c>
      <c r="H2308" t="s">
        <v>6036</v>
      </c>
      <c r="I2308" t="s">
        <v>6049</v>
      </c>
      <c r="J2308" t="s">
        <v>6053</v>
      </c>
      <c r="K2308" t="s">
        <v>6057</v>
      </c>
      <c r="L2308" t="s">
        <v>7486</v>
      </c>
      <c r="M2308">
        <v>1116.08</v>
      </c>
      <c r="N2308">
        <v>6</v>
      </c>
      <c r="O2308">
        <v>0.22</v>
      </c>
      <c r="P2308">
        <v>-121.34</v>
      </c>
      <c r="Q2308" t="s">
        <v>9893</v>
      </c>
      <c r="R2308">
        <v>2</v>
      </c>
      <c r="S2308" s="5">
        <f t="shared" si="72"/>
        <v>-0.10871980503189736</v>
      </c>
      <c r="T2308">
        <v>186.01333333333329</v>
      </c>
      <c r="U2308">
        <v>5</v>
      </c>
      <c r="V2308">
        <v>2024</v>
      </c>
      <c r="W2308">
        <v>2</v>
      </c>
      <c r="X2308" t="s">
        <v>9898</v>
      </c>
      <c r="Y2308" t="s">
        <v>9900</v>
      </c>
      <c r="Z2308" t="s">
        <v>9898</v>
      </c>
      <c r="AD2308">
        <f t="shared" si="73"/>
        <v>2</v>
      </c>
    </row>
    <row r="2309" spans="1:30" x14ac:dyDescent="0.25">
      <c r="A2309" t="s">
        <v>2333</v>
      </c>
      <c r="B2309" s="2">
        <v>45257</v>
      </c>
      <c r="C2309" s="2">
        <v>45260</v>
      </c>
      <c r="D2309" t="s">
        <v>5400</v>
      </c>
      <c r="E2309" t="s">
        <v>5900</v>
      </c>
      <c r="F2309" t="s">
        <v>6026</v>
      </c>
      <c r="G2309" t="s">
        <v>6029</v>
      </c>
      <c r="H2309" t="s">
        <v>6044</v>
      </c>
      <c r="I2309" t="s">
        <v>6050</v>
      </c>
      <c r="J2309" t="s">
        <v>6054</v>
      </c>
      <c r="K2309" t="s">
        <v>6060</v>
      </c>
      <c r="L2309" t="s">
        <v>7846</v>
      </c>
      <c r="M2309">
        <v>488.77</v>
      </c>
      <c r="N2309">
        <v>7</v>
      </c>
      <c r="O2309">
        <v>0.04</v>
      </c>
      <c r="P2309">
        <v>124.61</v>
      </c>
      <c r="Q2309" t="s">
        <v>9895</v>
      </c>
      <c r="R2309">
        <v>3</v>
      </c>
      <c r="S2309" s="5">
        <f t="shared" si="72"/>
        <v>0.25494608916259182</v>
      </c>
      <c r="T2309">
        <v>69.824285714285708</v>
      </c>
      <c r="U2309">
        <v>11</v>
      </c>
      <c r="V2309">
        <v>2023</v>
      </c>
      <c r="W2309">
        <v>4</v>
      </c>
      <c r="X2309" t="s">
        <v>9899</v>
      </c>
      <c r="Y2309" t="s">
        <v>9901</v>
      </c>
      <c r="Z2309" t="s">
        <v>9899</v>
      </c>
      <c r="AD2309">
        <f t="shared" si="73"/>
        <v>3</v>
      </c>
    </row>
    <row r="2310" spans="1:30" x14ac:dyDescent="0.25">
      <c r="A2310" t="s">
        <v>2334</v>
      </c>
      <c r="B2310" s="2">
        <v>44578</v>
      </c>
      <c r="C2310" s="2">
        <v>44583</v>
      </c>
      <c r="D2310" t="s">
        <v>5297</v>
      </c>
      <c r="E2310" t="s">
        <v>5797</v>
      </c>
      <c r="F2310" t="s">
        <v>6028</v>
      </c>
      <c r="G2310" t="s">
        <v>6031</v>
      </c>
      <c r="H2310" t="s">
        <v>6042</v>
      </c>
      <c r="I2310" t="s">
        <v>6048</v>
      </c>
      <c r="J2310" t="s">
        <v>6053</v>
      </c>
      <c r="K2310" t="s">
        <v>6056</v>
      </c>
      <c r="L2310" t="s">
        <v>7357</v>
      </c>
      <c r="M2310">
        <v>1915.74</v>
      </c>
      <c r="N2310">
        <v>4</v>
      </c>
      <c r="O2310">
        <v>0.14000000000000001</v>
      </c>
      <c r="P2310">
        <v>131.12</v>
      </c>
      <c r="Q2310" t="s">
        <v>9896</v>
      </c>
      <c r="R2310">
        <v>5</v>
      </c>
      <c r="S2310" s="5">
        <f t="shared" si="72"/>
        <v>6.8443525739400962E-2</v>
      </c>
      <c r="T2310">
        <v>478.935</v>
      </c>
      <c r="U2310">
        <v>1</v>
      </c>
      <c r="V2310">
        <v>2022</v>
      </c>
      <c r="W2310">
        <v>1</v>
      </c>
      <c r="X2310" t="s">
        <v>9899</v>
      </c>
      <c r="Y2310" t="s">
        <v>9901</v>
      </c>
      <c r="Z2310" t="s">
        <v>9898</v>
      </c>
      <c r="AD2310">
        <f t="shared" si="73"/>
        <v>5</v>
      </c>
    </row>
    <row r="2311" spans="1:30" x14ac:dyDescent="0.25">
      <c r="A2311" t="s">
        <v>2335</v>
      </c>
      <c r="B2311" s="2">
        <v>44766</v>
      </c>
      <c r="C2311" s="2">
        <v>44773</v>
      </c>
      <c r="D2311" t="s">
        <v>5432</v>
      </c>
      <c r="E2311" t="s">
        <v>5932</v>
      </c>
      <c r="F2311" t="s">
        <v>6026</v>
      </c>
      <c r="G2311" t="s">
        <v>6031</v>
      </c>
      <c r="H2311" t="s">
        <v>6034</v>
      </c>
      <c r="I2311" t="s">
        <v>6048</v>
      </c>
      <c r="J2311" t="s">
        <v>6054</v>
      </c>
      <c r="K2311" t="s">
        <v>6062</v>
      </c>
      <c r="L2311" t="s">
        <v>8104</v>
      </c>
      <c r="M2311">
        <v>1155.1400000000001</v>
      </c>
      <c r="N2311">
        <v>8</v>
      </c>
      <c r="O2311">
        <v>0.1</v>
      </c>
      <c r="P2311">
        <v>38.56</v>
      </c>
      <c r="Q2311" t="s">
        <v>9897</v>
      </c>
      <c r="R2311">
        <v>7</v>
      </c>
      <c r="S2311" s="5">
        <f t="shared" si="72"/>
        <v>3.3381235174957148E-2</v>
      </c>
      <c r="T2311">
        <v>144.39250000000001</v>
      </c>
      <c r="U2311">
        <v>7</v>
      </c>
      <c r="V2311">
        <v>2022</v>
      </c>
      <c r="W2311">
        <v>3</v>
      </c>
      <c r="X2311" t="s">
        <v>9899</v>
      </c>
      <c r="Y2311" t="s">
        <v>9901</v>
      </c>
      <c r="Z2311" t="s">
        <v>9898</v>
      </c>
      <c r="AD2311">
        <f t="shared" si="73"/>
        <v>7</v>
      </c>
    </row>
    <row r="2312" spans="1:30" x14ac:dyDescent="0.25">
      <c r="A2312" t="s">
        <v>2336</v>
      </c>
      <c r="B2312" s="2">
        <v>44752</v>
      </c>
      <c r="C2312" s="2">
        <v>44758</v>
      </c>
      <c r="D2312" t="s">
        <v>5335</v>
      </c>
      <c r="E2312" t="s">
        <v>5835</v>
      </c>
      <c r="F2312" t="s">
        <v>6027</v>
      </c>
      <c r="G2312" t="s">
        <v>6029</v>
      </c>
      <c r="H2312" t="s">
        <v>6036</v>
      </c>
      <c r="I2312" t="s">
        <v>6050</v>
      </c>
      <c r="J2312" t="s">
        <v>6053</v>
      </c>
      <c r="K2312" t="s">
        <v>6057</v>
      </c>
      <c r="L2312" t="s">
        <v>8105</v>
      </c>
      <c r="M2312">
        <v>721.56</v>
      </c>
      <c r="N2312">
        <v>2</v>
      </c>
      <c r="O2312">
        <v>0.04</v>
      </c>
      <c r="P2312">
        <v>107.67</v>
      </c>
      <c r="Q2312" t="s">
        <v>9897</v>
      </c>
      <c r="R2312">
        <v>6</v>
      </c>
      <c r="S2312" s="5">
        <f t="shared" si="72"/>
        <v>0.14921836021952437</v>
      </c>
      <c r="T2312">
        <v>360.78</v>
      </c>
      <c r="U2312">
        <v>7</v>
      </c>
      <c r="V2312">
        <v>2022</v>
      </c>
      <c r="W2312">
        <v>3</v>
      </c>
      <c r="X2312" t="s">
        <v>9899</v>
      </c>
      <c r="Y2312" t="s">
        <v>9901</v>
      </c>
      <c r="Z2312" t="s">
        <v>9899</v>
      </c>
      <c r="AD2312">
        <f t="shared" si="73"/>
        <v>6</v>
      </c>
    </row>
    <row r="2313" spans="1:30" x14ac:dyDescent="0.25">
      <c r="A2313" t="s">
        <v>2337</v>
      </c>
      <c r="B2313" s="2">
        <v>44908</v>
      </c>
      <c r="C2313" s="2">
        <v>44912</v>
      </c>
      <c r="D2313" t="s">
        <v>5150</v>
      </c>
      <c r="E2313" t="s">
        <v>5650</v>
      </c>
      <c r="F2313" t="s">
        <v>6027</v>
      </c>
      <c r="G2313" t="s">
        <v>6030</v>
      </c>
      <c r="H2313" t="s">
        <v>6039</v>
      </c>
      <c r="I2313" t="s">
        <v>6051</v>
      </c>
      <c r="J2313" t="s">
        <v>6055</v>
      </c>
      <c r="K2313" t="s">
        <v>6064</v>
      </c>
      <c r="L2313" t="s">
        <v>6488</v>
      </c>
      <c r="M2313">
        <v>184.94</v>
      </c>
      <c r="N2313">
        <v>7</v>
      </c>
      <c r="O2313">
        <v>0.33</v>
      </c>
      <c r="P2313">
        <v>-21.23</v>
      </c>
      <c r="Q2313" t="s">
        <v>9897</v>
      </c>
      <c r="R2313">
        <v>4</v>
      </c>
      <c r="S2313" s="5">
        <f t="shared" si="72"/>
        <v>-0.11479398723910458</v>
      </c>
      <c r="T2313">
        <v>26.42</v>
      </c>
      <c r="U2313">
        <v>12</v>
      </c>
      <c r="V2313">
        <v>2022</v>
      </c>
      <c r="W2313">
        <v>4</v>
      </c>
      <c r="X2313" t="s">
        <v>9898</v>
      </c>
      <c r="Y2313" t="s">
        <v>9902</v>
      </c>
      <c r="Z2313" t="s">
        <v>9899</v>
      </c>
      <c r="AD2313">
        <f t="shared" si="73"/>
        <v>4</v>
      </c>
    </row>
    <row r="2314" spans="1:30" x14ac:dyDescent="0.25">
      <c r="A2314" t="s">
        <v>2338</v>
      </c>
      <c r="B2314" s="2">
        <v>45035</v>
      </c>
      <c r="C2314" s="2">
        <v>45037</v>
      </c>
      <c r="D2314" t="s">
        <v>5229</v>
      </c>
      <c r="E2314" t="s">
        <v>5729</v>
      </c>
      <c r="F2314" t="s">
        <v>6028</v>
      </c>
      <c r="G2314" t="s">
        <v>6029</v>
      </c>
      <c r="H2314" t="s">
        <v>6045</v>
      </c>
      <c r="I2314" t="s">
        <v>6046</v>
      </c>
      <c r="J2314" t="s">
        <v>6054</v>
      </c>
      <c r="K2314" t="s">
        <v>6060</v>
      </c>
      <c r="L2314" t="s">
        <v>8106</v>
      </c>
      <c r="M2314">
        <v>1499.19</v>
      </c>
      <c r="N2314">
        <v>8</v>
      </c>
      <c r="O2314">
        <v>0.24</v>
      </c>
      <c r="P2314">
        <v>-157.63</v>
      </c>
      <c r="Q2314" t="s">
        <v>9896</v>
      </c>
      <c r="R2314">
        <v>2</v>
      </c>
      <c r="S2314" s="5">
        <f t="shared" si="72"/>
        <v>-0.10514344412649497</v>
      </c>
      <c r="T2314">
        <v>187.39875000000001</v>
      </c>
      <c r="U2314">
        <v>4</v>
      </c>
      <c r="V2314">
        <v>2023</v>
      </c>
      <c r="W2314">
        <v>2</v>
      </c>
      <c r="X2314" t="s">
        <v>9898</v>
      </c>
      <c r="Y2314" t="s">
        <v>9900</v>
      </c>
      <c r="Z2314" t="s">
        <v>9898</v>
      </c>
      <c r="AD2314">
        <f t="shared" si="73"/>
        <v>2</v>
      </c>
    </row>
    <row r="2315" spans="1:30" x14ac:dyDescent="0.25">
      <c r="A2315" t="s">
        <v>2339</v>
      </c>
      <c r="B2315" s="2">
        <v>44697</v>
      </c>
      <c r="C2315" s="2">
        <v>44703</v>
      </c>
      <c r="D2315" t="s">
        <v>5272</v>
      </c>
      <c r="E2315" t="s">
        <v>5772</v>
      </c>
      <c r="F2315" t="s">
        <v>6027</v>
      </c>
      <c r="G2315" t="s">
        <v>6029</v>
      </c>
      <c r="H2315" t="s">
        <v>6044</v>
      </c>
      <c r="I2315" t="s">
        <v>6046</v>
      </c>
      <c r="J2315" t="s">
        <v>6053</v>
      </c>
      <c r="K2315" t="s">
        <v>6056</v>
      </c>
      <c r="L2315" t="s">
        <v>6410</v>
      </c>
      <c r="M2315">
        <v>774.71</v>
      </c>
      <c r="N2315">
        <v>4</v>
      </c>
      <c r="O2315">
        <v>0.19</v>
      </c>
      <c r="P2315">
        <v>-36.89</v>
      </c>
      <c r="Q2315" t="s">
        <v>9896</v>
      </c>
      <c r="R2315">
        <v>6</v>
      </c>
      <c r="S2315" s="5">
        <f t="shared" si="72"/>
        <v>-4.7617818280388788E-2</v>
      </c>
      <c r="T2315">
        <v>193.67750000000001</v>
      </c>
      <c r="U2315">
        <v>5</v>
      </c>
      <c r="V2315">
        <v>2022</v>
      </c>
      <c r="W2315">
        <v>2</v>
      </c>
      <c r="X2315" t="s">
        <v>9898</v>
      </c>
      <c r="Y2315" t="s">
        <v>9900</v>
      </c>
      <c r="Z2315" t="s">
        <v>9899</v>
      </c>
      <c r="AD2315">
        <f t="shared" si="73"/>
        <v>6</v>
      </c>
    </row>
    <row r="2316" spans="1:30" x14ac:dyDescent="0.25">
      <c r="A2316" t="s">
        <v>2340</v>
      </c>
      <c r="B2316" s="2">
        <v>44802</v>
      </c>
      <c r="C2316" s="2">
        <v>44809</v>
      </c>
      <c r="D2316" t="s">
        <v>5466</v>
      </c>
      <c r="E2316" t="s">
        <v>5966</v>
      </c>
      <c r="F2316" t="s">
        <v>6027</v>
      </c>
      <c r="G2316" t="s">
        <v>6031</v>
      </c>
      <c r="H2316" t="s">
        <v>6034</v>
      </c>
      <c r="I2316" t="s">
        <v>6048</v>
      </c>
      <c r="J2316" t="s">
        <v>6054</v>
      </c>
      <c r="K2316" t="s">
        <v>6059</v>
      </c>
      <c r="L2316" t="s">
        <v>8107</v>
      </c>
      <c r="M2316">
        <v>420.5</v>
      </c>
      <c r="N2316">
        <v>1</v>
      </c>
      <c r="O2316">
        <v>0</v>
      </c>
      <c r="P2316">
        <v>88.1</v>
      </c>
      <c r="Q2316" t="s">
        <v>9897</v>
      </c>
      <c r="R2316">
        <v>7</v>
      </c>
      <c r="S2316" s="5">
        <f t="shared" si="72"/>
        <v>0.20951248513674195</v>
      </c>
      <c r="T2316">
        <v>420.5</v>
      </c>
      <c r="U2316">
        <v>8</v>
      </c>
      <c r="V2316">
        <v>2022</v>
      </c>
      <c r="W2316">
        <v>3</v>
      </c>
      <c r="X2316" t="s">
        <v>9899</v>
      </c>
      <c r="Y2316" t="s">
        <v>9901</v>
      </c>
      <c r="Z2316" t="s">
        <v>9899</v>
      </c>
      <c r="AD2316">
        <f t="shared" si="73"/>
        <v>7</v>
      </c>
    </row>
    <row r="2317" spans="1:30" x14ac:dyDescent="0.25">
      <c r="A2317" t="s">
        <v>2341</v>
      </c>
      <c r="B2317" s="2">
        <v>44808</v>
      </c>
      <c r="C2317" s="2">
        <v>44812</v>
      </c>
      <c r="D2317" t="s">
        <v>5372</v>
      </c>
      <c r="E2317" t="s">
        <v>5872</v>
      </c>
      <c r="F2317" t="s">
        <v>6026</v>
      </c>
      <c r="G2317" t="s">
        <v>6029</v>
      </c>
      <c r="H2317" t="s">
        <v>6036</v>
      </c>
      <c r="I2317" t="s">
        <v>6049</v>
      </c>
      <c r="J2317" t="s">
        <v>6055</v>
      </c>
      <c r="K2317" t="s">
        <v>6064</v>
      </c>
      <c r="L2317" t="s">
        <v>8108</v>
      </c>
      <c r="M2317">
        <v>935.14</v>
      </c>
      <c r="N2317">
        <v>7</v>
      </c>
      <c r="O2317">
        <v>0.34</v>
      </c>
      <c r="P2317">
        <v>-215.24</v>
      </c>
      <c r="Q2317" t="s">
        <v>9894</v>
      </c>
      <c r="R2317">
        <v>4</v>
      </c>
      <c r="S2317" s="5">
        <f t="shared" si="72"/>
        <v>-0.23016874478687685</v>
      </c>
      <c r="T2317">
        <v>133.59142857142859</v>
      </c>
      <c r="U2317">
        <v>9</v>
      </c>
      <c r="V2317">
        <v>2022</v>
      </c>
      <c r="W2317">
        <v>3</v>
      </c>
      <c r="X2317" t="s">
        <v>9898</v>
      </c>
      <c r="Y2317" t="s">
        <v>9902</v>
      </c>
      <c r="Z2317" t="s">
        <v>9899</v>
      </c>
      <c r="AD2317">
        <f t="shared" si="73"/>
        <v>4</v>
      </c>
    </row>
    <row r="2318" spans="1:30" x14ac:dyDescent="0.25">
      <c r="A2318" t="s">
        <v>2342</v>
      </c>
      <c r="B2318" s="2">
        <v>44637</v>
      </c>
      <c r="C2318" s="2">
        <v>44639</v>
      </c>
      <c r="D2318" t="s">
        <v>5041</v>
      </c>
      <c r="E2318" t="s">
        <v>5541</v>
      </c>
      <c r="F2318" t="s">
        <v>6027</v>
      </c>
      <c r="G2318" t="s">
        <v>6030</v>
      </c>
      <c r="H2318" t="s">
        <v>6039</v>
      </c>
      <c r="I2318" t="s">
        <v>6047</v>
      </c>
      <c r="J2318" t="s">
        <v>6053</v>
      </c>
      <c r="K2318" t="s">
        <v>6056</v>
      </c>
      <c r="L2318" t="s">
        <v>8109</v>
      </c>
      <c r="M2318">
        <v>932.29</v>
      </c>
      <c r="N2318">
        <v>2</v>
      </c>
      <c r="O2318">
        <v>0.04</v>
      </c>
      <c r="P2318">
        <v>63.8</v>
      </c>
      <c r="Q2318" t="s">
        <v>9896</v>
      </c>
      <c r="R2318">
        <v>2</v>
      </c>
      <c r="S2318" s="5">
        <f t="shared" si="72"/>
        <v>6.8433641892544167E-2</v>
      </c>
      <c r="T2318">
        <v>466.14499999999998</v>
      </c>
      <c r="U2318">
        <v>3</v>
      </c>
      <c r="V2318">
        <v>2022</v>
      </c>
      <c r="W2318">
        <v>1</v>
      </c>
      <c r="X2318" t="s">
        <v>9899</v>
      </c>
      <c r="Y2318" t="s">
        <v>9901</v>
      </c>
      <c r="Z2318" t="s">
        <v>9899</v>
      </c>
      <c r="AD2318">
        <f t="shared" si="73"/>
        <v>2</v>
      </c>
    </row>
    <row r="2319" spans="1:30" x14ac:dyDescent="0.25">
      <c r="A2319" t="s">
        <v>2343</v>
      </c>
      <c r="B2319" s="2">
        <v>45063</v>
      </c>
      <c r="C2319" s="2">
        <v>45070</v>
      </c>
      <c r="D2319" t="s">
        <v>5077</v>
      </c>
      <c r="E2319" t="s">
        <v>5577</v>
      </c>
      <c r="F2319" t="s">
        <v>6028</v>
      </c>
      <c r="G2319" t="s">
        <v>6031</v>
      </c>
      <c r="H2319" t="s">
        <v>6034</v>
      </c>
      <c r="I2319" t="s">
        <v>6052</v>
      </c>
      <c r="J2319" t="s">
        <v>6053</v>
      </c>
      <c r="K2319" t="s">
        <v>6056</v>
      </c>
      <c r="L2319" t="s">
        <v>7089</v>
      </c>
      <c r="M2319">
        <v>1070.99</v>
      </c>
      <c r="N2319">
        <v>6</v>
      </c>
      <c r="O2319">
        <v>0.05</v>
      </c>
      <c r="P2319">
        <v>151.4</v>
      </c>
      <c r="Q2319" t="s">
        <v>9895</v>
      </c>
      <c r="R2319">
        <v>7</v>
      </c>
      <c r="S2319" s="5">
        <f t="shared" si="72"/>
        <v>0.14136453188171691</v>
      </c>
      <c r="T2319">
        <v>178.49833333333331</v>
      </c>
      <c r="U2319">
        <v>5</v>
      </c>
      <c r="V2319">
        <v>2023</v>
      </c>
      <c r="W2319">
        <v>2</v>
      </c>
      <c r="X2319" t="s">
        <v>9899</v>
      </c>
      <c r="Y2319" t="s">
        <v>9901</v>
      </c>
      <c r="Z2319" t="s">
        <v>9898</v>
      </c>
      <c r="AD2319">
        <f t="shared" si="73"/>
        <v>7</v>
      </c>
    </row>
    <row r="2320" spans="1:30" x14ac:dyDescent="0.25">
      <c r="A2320" t="s">
        <v>2344</v>
      </c>
      <c r="B2320" s="2">
        <v>44674</v>
      </c>
      <c r="C2320" s="2">
        <v>44678</v>
      </c>
      <c r="D2320" t="s">
        <v>5292</v>
      </c>
      <c r="E2320" t="s">
        <v>5792</v>
      </c>
      <c r="F2320" t="s">
        <v>6027</v>
      </c>
      <c r="G2320" t="s">
        <v>6030</v>
      </c>
      <c r="H2320" t="s">
        <v>6035</v>
      </c>
      <c r="I2320" t="s">
        <v>6047</v>
      </c>
      <c r="J2320" t="s">
        <v>6054</v>
      </c>
      <c r="K2320" t="s">
        <v>6062</v>
      </c>
      <c r="L2320" t="s">
        <v>8110</v>
      </c>
      <c r="M2320">
        <v>1945.26</v>
      </c>
      <c r="N2320">
        <v>5</v>
      </c>
      <c r="O2320">
        <v>0.27</v>
      </c>
      <c r="P2320">
        <v>-93.23</v>
      </c>
      <c r="Q2320" t="s">
        <v>9893</v>
      </c>
      <c r="R2320">
        <v>4</v>
      </c>
      <c r="S2320" s="5">
        <f t="shared" si="72"/>
        <v>-4.7926755292351665E-2</v>
      </c>
      <c r="T2320">
        <v>389.05200000000002</v>
      </c>
      <c r="U2320">
        <v>4</v>
      </c>
      <c r="V2320">
        <v>2022</v>
      </c>
      <c r="W2320">
        <v>2</v>
      </c>
      <c r="X2320" t="s">
        <v>9898</v>
      </c>
      <c r="Y2320" t="s">
        <v>9900</v>
      </c>
      <c r="Z2320" t="s">
        <v>9898</v>
      </c>
      <c r="AD2320">
        <f t="shared" si="73"/>
        <v>4</v>
      </c>
    </row>
    <row r="2321" spans="1:30" x14ac:dyDescent="0.25">
      <c r="A2321" t="s">
        <v>2345</v>
      </c>
      <c r="B2321" s="2">
        <v>44957</v>
      </c>
      <c r="C2321" s="2">
        <v>44962</v>
      </c>
      <c r="D2321" t="s">
        <v>5256</v>
      </c>
      <c r="E2321" t="s">
        <v>5756</v>
      </c>
      <c r="F2321" t="s">
        <v>6027</v>
      </c>
      <c r="G2321" t="s">
        <v>6029</v>
      </c>
      <c r="H2321" t="s">
        <v>6036</v>
      </c>
      <c r="I2321" t="s">
        <v>6049</v>
      </c>
      <c r="J2321" t="s">
        <v>6055</v>
      </c>
      <c r="K2321" t="s">
        <v>6061</v>
      </c>
      <c r="L2321" t="s">
        <v>8111</v>
      </c>
      <c r="M2321">
        <v>1589.41</v>
      </c>
      <c r="N2321">
        <v>8</v>
      </c>
      <c r="O2321">
        <v>0.11</v>
      </c>
      <c r="P2321">
        <v>223.43</v>
      </c>
      <c r="Q2321" t="s">
        <v>9894</v>
      </c>
      <c r="R2321">
        <v>5</v>
      </c>
      <c r="S2321" s="5">
        <f t="shared" si="72"/>
        <v>0.14057417532291858</v>
      </c>
      <c r="T2321">
        <v>198.67625000000001</v>
      </c>
      <c r="U2321">
        <v>1</v>
      </c>
      <c r="V2321">
        <v>2023</v>
      </c>
      <c r="W2321">
        <v>1</v>
      </c>
      <c r="X2321" t="s">
        <v>9899</v>
      </c>
      <c r="Y2321" t="s">
        <v>9901</v>
      </c>
      <c r="Z2321" t="s">
        <v>9898</v>
      </c>
      <c r="AD2321">
        <f t="shared" si="73"/>
        <v>5</v>
      </c>
    </row>
    <row r="2322" spans="1:30" x14ac:dyDescent="0.25">
      <c r="A2322" t="s">
        <v>2346</v>
      </c>
      <c r="B2322" s="2">
        <v>45421</v>
      </c>
      <c r="C2322" s="2">
        <v>45422</v>
      </c>
      <c r="D2322" t="s">
        <v>5246</v>
      </c>
      <c r="E2322" t="s">
        <v>5746</v>
      </c>
      <c r="F2322" t="s">
        <v>6028</v>
      </c>
      <c r="G2322" t="s">
        <v>6031</v>
      </c>
      <c r="H2322" t="s">
        <v>6034</v>
      </c>
      <c r="I2322" t="s">
        <v>6052</v>
      </c>
      <c r="J2322" t="s">
        <v>6054</v>
      </c>
      <c r="K2322" t="s">
        <v>6060</v>
      </c>
      <c r="L2322" t="s">
        <v>8112</v>
      </c>
      <c r="M2322">
        <v>847.12</v>
      </c>
      <c r="N2322">
        <v>3</v>
      </c>
      <c r="O2322">
        <v>0.33</v>
      </c>
      <c r="P2322">
        <v>-181.55</v>
      </c>
      <c r="Q2322" t="s">
        <v>9895</v>
      </c>
      <c r="R2322">
        <v>1</v>
      </c>
      <c r="S2322" s="5">
        <f t="shared" si="72"/>
        <v>-0.21431438285012749</v>
      </c>
      <c r="T2322">
        <v>282.37333333333328</v>
      </c>
      <c r="U2322">
        <v>5</v>
      </c>
      <c r="V2322">
        <v>2024</v>
      </c>
      <c r="W2322">
        <v>2</v>
      </c>
      <c r="X2322" t="s">
        <v>9898</v>
      </c>
      <c r="Y2322" t="s">
        <v>9902</v>
      </c>
      <c r="Z2322" t="s">
        <v>9899</v>
      </c>
      <c r="AD2322">
        <f t="shared" si="73"/>
        <v>1</v>
      </c>
    </row>
    <row r="2323" spans="1:30" x14ac:dyDescent="0.25">
      <c r="A2323" t="s">
        <v>2347</v>
      </c>
      <c r="B2323" s="2">
        <v>44993</v>
      </c>
      <c r="C2323" s="2">
        <v>44995</v>
      </c>
      <c r="D2323" t="s">
        <v>5497</v>
      </c>
      <c r="E2323" t="s">
        <v>5997</v>
      </c>
      <c r="F2323" t="s">
        <v>6027</v>
      </c>
      <c r="G2323" t="s">
        <v>6030</v>
      </c>
      <c r="H2323" t="s">
        <v>6035</v>
      </c>
      <c r="I2323" t="s">
        <v>6047</v>
      </c>
      <c r="J2323" t="s">
        <v>6055</v>
      </c>
      <c r="K2323" t="s">
        <v>6063</v>
      </c>
      <c r="L2323" t="s">
        <v>8113</v>
      </c>
      <c r="M2323">
        <v>1688.81</v>
      </c>
      <c r="N2323">
        <v>5</v>
      </c>
      <c r="O2323">
        <v>0.09</v>
      </c>
      <c r="P2323">
        <v>286.23</v>
      </c>
      <c r="Q2323" t="s">
        <v>9893</v>
      </c>
      <c r="R2323">
        <v>2</v>
      </c>
      <c r="S2323" s="5">
        <f t="shared" si="72"/>
        <v>0.16948620626358207</v>
      </c>
      <c r="T2323">
        <v>337.762</v>
      </c>
      <c r="U2323">
        <v>3</v>
      </c>
      <c r="V2323">
        <v>2023</v>
      </c>
      <c r="W2323">
        <v>1</v>
      </c>
      <c r="X2323" t="s">
        <v>9899</v>
      </c>
      <c r="Y2323" t="s">
        <v>9901</v>
      </c>
      <c r="Z2323" t="s">
        <v>9898</v>
      </c>
      <c r="AD2323">
        <f t="shared" si="73"/>
        <v>2</v>
      </c>
    </row>
    <row r="2324" spans="1:30" x14ac:dyDescent="0.25">
      <c r="A2324" t="s">
        <v>2348</v>
      </c>
      <c r="B2324" s="2">
        <v>44692</v>
      </c>
      <c r="C2324" s="2">
        <v>44699</v>
      </c>
      <c r="D2324" t="s">
        <v>5123</v>
      </c>
      <c r="E2324" t="s">
        <v>5623</v>
      </c>
      <c r="F2324" t="s">
        <v>6026</v>
      </c>
      <c r="G2324" t="s">
        <v>6030</v>
      </c>
      <c r="H2324" t="s">
        <v>6039</v>
      </c>
      <c r="I2324" t="s">
        <v>6047</v>
      </c>
      <c r="J2324" t="s">
        <v>6054</v>
      </c>
      <c r="K2324" t="s">
        <v>6062</v>
      </c>
      <c r="L2324" t="s">
        <v>7806</v>
      </c>
      <c r="M2324">
        <v>1746.4</v>
      </c>
      <c r="N2324">
        <v>4</v>
      </c>
      <c r="O2324">
        <v>7.0000000000000007E-2</v>
      </c>
      <c r="P2324">
        <v>91.95</v>
      </c>
      <c r="Q2324" t="s">
        <v>9897</v>
      </c>
      <c r="R2324">
        <v>7</v>
      </c>
      <c r="S2324" s="5">
        <f t="shared" si="72"/>
        <v>5.265116811726981E-2</v>
      </c>
      <c r="T2324">
        <v>436.6</v>
      </c>
      <c r="U2324">
        <v>5</v>
      </c>
      <c r="V2324">
        <v>2022</v>
      </c>
      <c r="W2324">
        <v>2</v>
      </c>
      <c r="X2324" t="s">
        <v>9899</v>
      </c>
      <c r="Y2324" t="s">
        <v>9901</v>
      </c>
      <c r="Z2324" t="s">
        <v>9898</v>
      </c>
      <c r="AD2324">
        <f t="shared" si="73"/>
        <v>7</v>
      </c>
    </row>
    <row r="2325" spans="1:30" x14ac:dyDescent="0.25">
      <c r="A2325" t="s">
        <v>2349</v>
      </c>
      <c r="B2325" s="2">
        <v>44691</v>
      </c>
      <c r="C2325" s="2">
        <v>44697</v>
      </c>
      <c r="D2325" t="s">
        <v>5458</v>
      </c>
      <c r="E2325" t="s">
        <v>5958</v>
      </c>
      <c r="F2325" t="s">
        <v>6027</v>
      </c>
      <c r="G2325" t="s">
        <v>6030</v>
      </c>
      <c r="H2325" t="s">
        <v>6033</v>
      </c>
      <c r="I2325" t="s">
        <v>6051</v>
      </c>
      <c r="J2325" t="s">
        <v>6053</v>
      </c>
      <c r="K2325" t="s">
        <v>6058</v>
      </c>
      <c r="L2325" t="s">
        <v>8114</v>
      </c>
      <c r="M2325">
        <v>1568.92</v>
      </c>
      <c r="N2325">
        <v>3</v>
      </c>
      <c r="O2325">
        <v>0.15</v>
      </c>
      <c r="P2325">
        <v>34.090000000000003</v>
      </c>
      <c r="Q2325" t="s">
        <v>9894</v>
      </c>
      <c r="R2325">
        <v>6</v>
      </c>
      <c r="S2325" s="5">
        <f t="shared" si="72"/>
        <v>2.1728322667822451E-2</v>
      </c>
      <c r="T2325">
        <v>522.97333333333336</v>
      </c>
      <c r="U2325">
        <v>5</v>
      </c>
      <c r="V2325">
        <v>2022</v>
      </c>
      <c r="W2325">
        <v>2</v>
      </c>
      <c r="X2325" t="s">
        <v>9899</v>
      </c>
      <c r="Y2325" t="s">
        <v>9901</v>
      </c>
      <c r="Z2325" t="s">
        <v>9898</v>
      </c>
      <c r="AD2325">
        <f t="shared" si="73"/>
        <v>6</v>
      </c>
    </row>
    <row r="2326" spans="1:30" x14ac:dyDescent="0.25">
      <c r="A2326" t="s">
        <v>2350</v>
      </c>
      <c r="B2326" s="2">
        <v>45100</v>
      </c>
      <c r="C2326" s="2">
        <v>45101</v>
      </c>
      <c r="D2326" t="s">
        <v>5054</v>
      </c>
      <c r="E2326" t="s">
        <v>5554</v>
      </c>
      <c r="F2326" t="s">
        <v>6028</v>
      </c>
      <c r="G2326" t="s">
        <v>6030</v>
      </c>
      <c r="H2326" t="s">
        <v>6033</v>
      </c>
      <c r="I2326" t="s">
        <v>6051</v>
      </c>
      <c r="J2326" t="s">
        <v>6054</v>
      </c>
      <c r="K2326" t="s">
        <v>6060</v>
      </c>
      <c r="L2326" t="s">
        <v>8115</v>
      </c>
      <c r="M2326">
        <v>1425.59</v>
      </c>
      <c r="N2326">
        <v>7</v>
      </c>
      <c r="O2326">
        <v>0.18</v>
      </c>
      <c r="P2326">
        <v>166.13</v>
      </c>
      <c r="Q2326" t="s">
        <v>9893</v>
      </c>
      <c r="R2326">
        <v>1</v>
      </c>
      <c r="S2326" s="5">
        <f t="shared" si="72"/>
        <v>0.11653420688977897</v>
      </c>
      <c r="T2326">
        <v>203.65571428571431</v>
      </c>
      <c r="U2326">
        <v>6</v>
      </c>
      <c r="V2326">
        <v>2023</v>
      </c>
      <c r="W2326">
        <v>2</v>
      </c>
      <c r="X2326" t="s">
        <v>9899</v>
      </c>
      <c r="Y2326" t="s">
        <v>9900</v>
      </c>
      <c r="Z2326" t="s">
        <v>9898</v>
      </c>
      <c r="AD2326">
        <f t="shared" si="73"/>
        <v>1</v>
      </c>
    </row>
    <row r="2327" spans="1:30" x14ac:dyDescent="0.25">
      <c r="A2327" t="s">
        <v>2351</v>
      </c>
      <c r="B2327" s="2">
        <v>45179</v>
      </c>
      <c r="C2327" s="2">
        <v>45186</v>
      </c>
      <c r="D2327" t="s">
        <v>5197</v>
      </c>
      <c r="E2327" t="s">
        <v>5697</v>
      </c>
      <c r="F2327" t="s">
        <v>6026</v>
      </c>
      <c r="G2327" t="s">
        <v>6031</v>
      </c>
      <c r="H2327" t="s">
        <v>6042</v>
      </c>
      <c r="I2327" t="s">
        <v>6050</v>
      </c>
      <c r="J2327" t="s">
        <v>6054</v>
      </c>
      <c r="K2327" t="s">
        <v>6060</v>
      </c>
      <c r="L2327" t="s">
        <v>8116</v>
      </c>
      <c r="M2327">
        <v>390.25</v>
      </c>
      <c r="N2327">
        <v>5</v>
      </c>
      <c r="O2327">
        <v>0.21</v>
      </c>
      <c r="P2327">
        <v>-12.02</v>
      </c>
      <c r="Q2327" t="s">
        <v>9893</v>
      </c>
      <c r="R2327">
        <v>7</v>
      </c>
      <c r="S2327" s="5">
        <f t="shared" si="72"/>
        <v>-3.0800768737988468E-2</v>
      </c>
      <c r="T2327">
        <v>78.05</v>
      </c>
      <c r="U2327">
        <v>9</v>
      </c>
      <c r="V2327">
        <v>2023</v>
      </c>
      <c r="W2327">
        <v>3</v>
      </c>
      <c r="X2327" t="s">
        <v>9898</v>
      </c>
      <c r="Y2327" t="s">
        <v>9900</v>
      </c>
      <c r="Z2327" t="s">
        <v>9899</v>
      </c>
      <c r="AD2327">
        <f t="shared" si="73"/>
        <v>7</v>
      </c>
    </row>
    <row r="2328" spans="1:30" x14ac:dyDescent="0.25">
      <c r="A2328" t="s">
        <v>2352</v>
      </c>
      <c r="B2328" s="2">
        <v>45317</v>
      </c>
      <c r="C2328" s="2">
        <v>45321</v>
      </c>
      <c r="D2328" t="s">
        <v>5089</v>
      </c>
      <c r="E2328" t="s">
        <v>5589</v>
      </c>
      <c r="F2328" t="s">
        <v>6028</v>
      </c>
      <c r="G2328" t="s">
        <v>6030</v>
      </c>
      <c r="H2328" t="s">
        <v>6038</v>
      </c>
      <c r="I2328" t="s">
        <v>6047</v>
      </c>
      <c r="J2328" t="s">
        <v>6054</v>
      </c>
      <c r="K2328" t="s">
        <v>6060</v>
      </c>
      <c r="L2328" t="s">
        <v>7514</v>
      </c>
      <c r="M2328">
        <v>795.44</v>
      </c>
      <c r="N2328">
        <v>8</v>
      </c>
      <c r="O2328">
        <v>0.17</v>
      </c>
      <c r="P2328">
        <v>34.49</v>
      </c>
      <c r="Q2328" t="s">
        <v>9897</v>
      </c>
      <c r="R2328">
        <v>4</v>
      </c>
      <c r="S2328" s="5">
        <f t="shared" si="72"/>
        <v>4.3359650005028665E-2</v>
      </c>
      <c r="T2328">
        <v>99.43</v>
      </c>
      <c r="U2328">
        <v>1</v>
      </c>
      <c r="V2328">
        <v>2024</v>
      </c>
      <c r="W2328">
        <v>1</v>
      </c>
      <c r="X2328" t="s">
        <v>9899</v>
      </c>
      <c r="Y2328" t="s">
        <v>9900</v>
      </c>
      <c r="Z2328" t="s">
        <v>9899</v>
      </c>
      <c r="AD2328">
        <f t="shared" si="73"/>
        <v>4</v>
      </c>
    </row>
    <row r="2329" spans="1:30" x14ac:dyDescent="0.25">
      <c r="A2329" t="s">
        <v>2353</v>
      </c>
      <c r="B2329" s="2">
        <v>45414</v>
      </c>
      <c r="C2329" s="2">
        <v>45417</v>
      </c>
      <c r="D2329" t="s">
        <v>5399</v>
      </c>
      <c r="E2329" t="s">
        <v>5899</v>
      </c>
      <c r="F2329" t="s">
        <v>6026</v>
      </c>
      <c r="G2329" t="s">
        <v>6029</v>
      </c>
      <c r="H2329" t="s">
        <v>6045</v>
      </c>
      <c r="I2329" t="s">
        <v>6049</v>
      </c>
      <c r="J2329" t="s">
        <v>6053</v>
      </c>
      <c r="K2329" t="s">
        <v>6058</v>
      </c>
      <c r="L2329" t="s">
        <v>8117</v>
      </c>
      <c r="M2329">
        <v>622.89</v>
      </c>
      <c r="N2329">
        <v>6</v>
      </c>
      <c r="O2329">
        <v>0.19</v>
      </c>
      <c r="P2329">
        <v>38.58</v>
      </c>
      <c r="Q2329" t="s">
        <v>9896</v>
      </c>
      <c r="R2329">
        <v>3</v>
      </c>
      <c r="S2329" s="5">
        <f t="shared" si="72"/>
        <v>6.1937099648413041E-2</v>
      </c>
      <c r="T2329">
        <v>103.815</v>
      </c>
      <c r="U2329">
        <v>5</v>
      </c>
      <c r="V2329">
        <v>2024</v>
      </c>
      <c r="W2329">
        <v>2</v>
      </c>
      <c r="X2329" t="s">
        <v>9899</v>
      </c>
      <c r="Y2329" t="s">
        <v>9900</v>
      </c>
      <c r="Z2329" t="s">
        <v>9899</v>
      </c>
      <c r="AD2329">
        <f t="shared" si="73"/>
        <v>3</v>
      </c>
    </row>
    <row r="2330" spans="1:30" x14ac:dyDescent="0.25">
      <c r="A2330" t="s">
        <v>2354</v>
      </c>
      <c r="B2330" s="2">
        <v>44960</v>
      </c>
      <c r="C2330" s="2">
        <v>44967</v>
      </c>
      <c r="D2330" t="s">
        <v>5226</v>
      </c>
      <c r="E2330" t="s">
        <v>5726</v>
      </c>
      <c r="F2330" t="s">
        <v>6027</v>
      </c>
      <c r="G2330" t="s">
        <v>6029</v>
      </c>
      <c r="H2330" t="s">
        <v>6032</v>
      </c>
      <c r="I2330" t="s">
        <v>6046</v>
      </c>
      <c r="J2330" t="s">
        <v>6055</v>
      </c>
      <c r="K2330" t="s">
        <v>6063</v>
      </c>
      <c r="L2330" t="s">
        <v>8113</v>
      </c>
      <c r="M2330">
        <v>720.66</v>
      </c>
      <c r="N2330">
        <v>1</v>
      </c>
      <c r="O2330">
        <v>0.14000000000000001</v>
      </c>
      <c r="P2330">
        <v>74.98</v>
      </c>
      <c r="Q2330" t="s">
        <v>9897</v>
      </c>
      <c r="R2330">
        <v>7</v>
      </c>
      <c r="S2330" s="5">
        <f t="shared" si="72"/>
        <v>0.10404351566619488</v>
      </c>
      <c r="T2330">
        <v>720.66</v>
      </c>
      <c r="U2330">
        <v>2</v>
      </c>
      <c r="V2330">
        <v>2023</v>
      </c>
      <c r="W2330">
        <v>1</v>
      </c>
      <c r="X2330" t="s">
        <v>9899</v>
      </c>
      <c r="Y2330" t="s">
        <v>9901</v>
      </c>
      <c r="Z2330" t="s">
        <v>9899</v>
      </c>
      <c r="AD2330">
        <f t="shared" si="73"/>
        <v>7</v>
      </c>
    </row>
    <row r="2331" spans="1:30" x14ac:dyDescent="0.25">
      <c r="A2331" t="s">
        <v>2355</v>
      </c>
      <c r="B2331" s="2">
        <v>44892</v>
      </c>
      <c r="C2331" s="2">
        <v>44895</v>
      </c>
      <c r="D2331" t="s">
        <v>5407</v>
      </c>
      <c r="E2331" t="s">
        <v>5907</v>
      </c>
      <c r="F2331" t="s">
        <v>6027</v>
      </c>
      <c r="G2331" t="s">
        <v>6031</v>
      </c>
      <c r="H2331" t="s">
        <v>6040</v>
      </c>
      <c r="I2331" t="s">
        <v>6050</v>
      </c>
      <c r="J2331" t="s">
        <v>6054</v>
      </c>
      <c r="K2331" t="s">
        <v>6059</v>
      </c>
      <c r="L2331" t="s">
        <v>8118</v>
      </c>
      <c r="M2331">
        <v>1761.1</v>
      </c>
      <c r="N2331">
        <v>4</v>
      </c>
      <c r="O2331">
        <v>0.21</v>
      </c>
      <c r="P2331">
        <v>-73.790000000000006</v>
      </c>
      <c r="Q2331" t="s">
        <v>9895</v>
      </c>
      <c r="R2331">
        <v>3</v>
      </c>
      <c r="S2331" s="5">
        <f t="shared" si="72"/>
        <v>-4.1899948895576633E-2</v>
      </c>
      <c r="T2331">
        <v>440.27499999999998</v>
      </c>
      <c r="U2331">
        <v>11</v>
      </c>
      <c r="V2331">
        <v>2022</v>
      </c>
      <c r="W2331">
        <v>4</v>
      </c>
      <c r="X2331" t="s">
        <v>9898</v>
      </c>
      <c r="Y2331" t="s">
        <v>9900</v>
      </c>
      <c r="Z2331" t="s">
        <v>9898</v>
      </c>
      <c r="AD2331">
        <f t="shared" si="73"/>
        <v>3</v>
      </c>
    </row>
    <row r="2332" spans="1:30" x14ac:dyDescent="0.25">
      <c r="A2332" t="s">
        <v>2356</v>
      </c>
      <c r="B2332" s="2">
        <v>45160</v>
      </c>
      <c r="C2332" s="2">
        <v>45166</v>
      </c>
      <c r="D2332" t="s">
        <v>5198</v>
      </c>
      <c r="E2332" t="s">
        <v>5698</v>
      </c>
      <c r="F2332" t="s">
        <v>6028</v>
      </c>
      <c r="G2332" t="s">
        <v>6031</v>
      </c>
      <c r="H2332" t="s">
        <v>6040</v>
      </c>
      <c r="I2332" t="s">
        <v>6052</v>
      </c>
      <c r="J2332" t="s">
        <v>6053</v>
      </c>
      <c r="K2332" t="s">
        <v>6058</v>
      </c>
      <c r="L2332" t="s">
        <v>6517</v>
      </c>
      <c r="M2332">
        <v>260.32</v>
      </c>
      <c r="N2332">
        <v>4</v>
      </c>
      <c r="O2332">
        <v>0.19</v>
      </c>
      <c r="P2332">
        <v>-18.12</v>
      </c>
      <c r="Q2332" t="s">
        <v>9897</v>
      </c>
      <c r="R2332">
        <v>6</v>
      </c>
      <c r="S2332" s="5">
        <f t="shared" si="72"/>
        <v>-6.960663798401967E-2</v>
      </c>
      <c r="T2332">
        <v>65.08</v>
      </c>
      <c r="U2332">
        <v>8</v>
      </c>
      <c r="V2332">
        <v>2023</v>
      </c>
      <c r="W2332">
        <v>3</v>
      </c>
      <c r="X2332" t="s">
        <v>9898</v>
      </c>
      <c r="Y2332" t="s">
        <v>9900</v>
      </c>
      <c r="Z2332" t="s">
        <v>9899</v>
      </c>
      <c r="AD2332">
        <f t="shared" si="73"/>
        <v>6</v>
      </c>
    </row>
    <row r="2333" spans="1:30" x14ac:dyDescent="0.25">
      <c r="A2333" t="s">
        <v>2357</v>
      </c>
      <c r="B2333" s="2">
        <v>45456</v>
      </c>
      <c r="C2333" s="2">
        <v>45461</v>
      </c>
      <c r="D2333" t="s">
        <v>5512</v>
      </c>
      <c r="E2333" t="s">
        <v>6012</v>
      </c>
      <c r="F2333" t="s">
        <v>6027</v>
      </c>
      <c r="G2333" t="s">
        <v>6029</v>
      </c>
      <c r="H2333" t="s">
        <v>6032</v>
      </c>
      <c r="I2333" t="s">
        <v>6050</v>
      </c>
      <c r="J2333" t="s">
        <v>6054</v>
      </c>
      <c r="K2333" t="s">
        <v>6062</v>
      </c>
      <c r="L2333" t="s">
        <v>8119</v>
      </c>
      <c r="M2333">
        <v>722.32</v>
      </c>
      <c r="N2333">
        <v>7</v>
      </c>
      <c r="O2333">
        <v>0.31</v>
      </c>
      <c r="P2333">
        <v>-91.18</v>
      </c>
      <c r="Q2333" t="s">
        <v>9896</v>
      </c>
      <c r="R2333">
        <v>5</v>
      </c>
      <c r="S2333" s="5">
        <f t="shared" si="72"/>
        <v>-0.12623214087938864</v>
      </c>
      <c r="T2333">
        <v>103.18857142857139</v>
      </c>
      <c r="U2333">
        <v>6</v>
      </c>
      <c r="V2333">
        <v>2024</v>
      </c>
      <c r="W2333">
        <v>2</v>
      </c>
      <c r="X2333" t="s">
        <v>9898</v>
      </c>
      <c r="Y2333" t="s">
        <v>9902</v>
      </c>
      <c r="Z2333" t="s">
        <v>9899</v>
      </c>
      <c r="AD2333">
        <f t="shared" si="73"/>
        <v>5</v>
      </c>
    </row>
    <row r="2334" spans="1:30" x14ac:dyDescent="0.25">
      <c r="A2334" t="s">
        <v>2358</v>
      </c>
      <c r="B2334" s="2">
        <v>45239</v>
      </c>
      <c r="C2334" s="2">
        <v>45241</v>
      </c>
      <c r="D2334" t="s">
        <v>5085</v>
      </c>
      <c r="E2334" t="s">
        <v>5585</v>
      </c>
      <c r="F2334" t="s">
        <v>6027</v>
      </c>
      <c r="G2334" t="s">
        <v>6029</v>
      </c>
      <c r="H2334" t="s">
        <v>6041</v>
      </c>
      <c r="I2334" t="s">
        <v>6049</v>
      </c>
      <c r="J2334" t="s">
        <v>6055</v>
      </c>
      <c r="K2334" t="s">
        <v>6063</v>
      </c>
      <c r="L2334" t="s">
        <v>8120</v>
      </c>
      <c r="M2334">
        <v>302.58999999999997</v>
      </c>
      <c r="N2334">
        <v>3</v>
      </c>
      <c r="O2334">
        <v>7.0000000000000007E-2</v>
      </c>
      <c r="P2334">
        <v>36.25</v>
      </c>
      <c r="Q2334" t="s">
        <v>9894</v>
      </c>
      <c r="R2334">
        <v>2</v>
      </c>
      <c r="S2334" s="5">
        <f t="shared" si="72"/>
        <v>0.11979906804587066</v>
      </c>
      <c r="T2334">
        <v>100.8633333333333</v>
      </c>
      <c r="U2334">
        <v>11</v>
      </c>
      <c r="V2334">
        <v>2023</v>
      </c>
      <c r="W2334">
        <v>4</v>
      </c>
      <c r="X2334" t="s">
        <v>9899</v>
      </c>
      <c r="Y2334" t="s">
        <v>9901</v>
      </c>
      <c r="Z2334" t="s">
        <v>9899</v>
      </c>
      <c r="AD2334">
        <f t="shared" si="73"/>
        <v>2</v>
      </c>
    </row>
    <row r="2335" spans="1:30" x14ac:dyDescent="0.25">
      <c r="A2335" t="s">
        <v>2359</v>
      </c>
      <c r="B2335" s="2">
        <v>45268</v>
      </c>
      <c r="C2335" s="2">
        <v>45269</v>
      </c>
      <c r="D2335" t="s">
        <v>5394</v>
      </c>
      <c r="E2335" t="s">
        <v>5894</v>
      </c>
      <c r="F2335" t="s">
        <v>6026</v>
      </c>
      <c r="G2335" t="s">
        <v>6030</v>
      </c>
      <c r="H2335" t="s">
        <v>6039</v>
      </c>
      <c r="I2335" t="s">
        <v>6047</v>
      </c>
      <c r="J2335" t="s">
        <v>6055</v>
      </c>
      <c r="K2335" t="s">
        <v>6061</v>
      </c>
      <c r="L2335" t="s">
        <v>8121</v>
      </c>
      <c r="M2335">
        <v>1174.76</v>
      </c>
      <c r="N2335">
        <v>4</v>
      </c>
      <c r="O2335">
        <v>0.16</v>
      </c>
      <c r="P2335">
        <v>96.53</v>
      </c>
      <c r="Q2335" t="s">
        <v>9897</v>
      </c>
      <c r="R2335">
        <v>1</v>
      </c>
      <c r="S2335" s="5">
        <f t="shared" si="72"/>
        <v>8.2169975143859167E-2</v>
      </c>
      <c r="T2335">
        <v>293.69</v>
      </c>
      <c r="U2335">
        <v>12</v>
      </c>
      <c r="V2335">
        <v>2023</v>
      </c>
      <c r="W2335">
        <v>4</v>
      </c>
      <c r="X2335" t="s">
        <v>9899</v>
      </c>
      <c r="Y2335" t="s">
        <v>9900</v>
      </c>
      <c r="Z2335" t="s">
        <v>9898</v>
      </c>
      <c r="AD2335">
        <f t="shared" si="73"/>
        <v>1</v>
      </c>
    </row>
    <row r="2336" spans="1:30" x14ac:dyDescent="0.25">
      <c r="A2336" t="s">
        <v>2360</v>
      </c>
      <c r="B2336" s="2">
        <v>45265</v>
      </c>
      <c r="C2336" s="2">
        <v>45268</v>
      </c>
      <c r="D2336" t="s">
        <v>5064</v>
      </c>
      <c r="E2336" t="s">
        <v>5564</v>
      </c>
      <c r="F2336" t="s">
        <v>6026</v>
      </c>
      <c r="G2336" t="s">
        <v>6030</v>
      </c>
      <c r="H2336" t="s">
        <v>6039</v>
      </c>
      <c r="I2336" t="s">
        <v>6051</v>
      </c>
      <c r="J2336" t="s">
        <v>6053</v>
      </c>
      <c r="K2336" t="s">
        <v>6057</v>
      </c>
      <c r="L2336" t="s">
        <v>8122</v>
      </c>
      <c r="M2336">
        <v>1172.51</v>
      </c>
      <c r="N2336">
        <v>5</v>
      </c>
      <c r="O2336">
        <v>0.02</v>
      </c>
      <c r="P2336">
        <v>247.6</v>
      </c>
      <c r="Q2336" t="s">
        <v>9897</v>
      </c>
      <c r="R2336">
        <v>3</v>
      </c>
      <c r="S2336" s="5">
        <f t="shared" si="72"/>
        <v>0.21117090685793724</v>
      </c>
      <c r="T2336">
        <v>234.50200000000001</v>
      </c>
      <c r="U2336">
        <v>12</v>
      </c>
      <c r="V2336">
        <v>2023</v>
      </c>
      <c r="W2336">
        <v>4</v>
      </c>
      <c r="X2336" t="s">
        <v>9899</v>
      </c>
      <c r="Y2336" t="s">
        <v>9901</v>
      </c>
      <c r="Z2336" t="s">
        <v>9898</v>
      </c>
      <c r="AD2336">
        <f t="shared" si="73"/>
        <v>3</v>
      </c>
    </row>
    <row r="2337" spans="1:30" x14ac:dyDescent="0.25">
      <c r="A2337" t="s">
        <v>2361</v>
      </c>
      <c r="B2337" s="2">
        <v>44947</v>
      </c>
      <c r="C2337" s="2">
        <v>44950</v>
      </c>
      <c r="D2337" t="s">
        <v>5145</v>
      </c>
      <c r="E2337" t="s">
        <v>5645</v>
      </c>
      <c r="F2337" t="s">
        <v>6026</v>
      </c>
      <c r="G2337" t="s">
        <v>6031</v>
      </c>
      <c r="H2337" t="s">
        <v>6043</v>
      </c>
      <c r="I2337" t="s">
        <v>6050</v>
      </c>
      <c r="J2337" t="s">
        <v>6054</v>
      </c>
      <c r="K2337" t="s">
        <v>6062</v>
      </c>
      <c r="L2337" t="s">
        <v>8123</v>
      </c>
      <c r="M2337">
        <v>1139.18</v>
      </c>
      <c r="N2337">
        <v>5</v>
      </c>
      <c r="O2337">
        <v>0.33</v>
      </c>
      <c r="P2337">
        <v>-203.76</v>
      </c>
      <c r="Q2337" t="s">
        <v>9896</v>
      </c>
      <c r="R2337">
        <v>3</v>
      </c>
      <c r="S2337" s="5">
        <f t="shared" si="72"/>
        <v>-0.17886549974543089</v>
      </c>
      <c r="T2337">
        <v>227.83600000000001</v>
      </c>
      <c r="U2337">
        <v>1</v>
      </c>
      <c r="V2337">
        <v>2023</v>
      </c>
      <c r="W2337">
        <v>1</v>
      </c>
      <c r="X2337" t="s">
        <v>9898</v>
      </c>
      <c r="Y2337" t="s">
        <v>9902</v>
      </c>
      <c r="Z2337" t="s">
        <v>9898</v>
      </c>
      <c r="AD2337">
        <f t="shared" si="73"/>
        <v>3</v>
      </c>
    </row>
    <row r="2338" spans="1:30" x14ac:dyDescent="0.25">
      <c r="A2338" t="s">
        <v>2362</v>
      </c>
      <c r="B2338" s="2">
        <v>45100</v>
      </c>
      <c r="C2338" s="2">
        <v>45102</v>
      </c>
      <c r="D2338" t="s">
        <v>5165</v>
      </c>
      <c r="E2338" t="s">
        <v>5665</v>
      </c>
      <c r="F2338" t="s">
        <v>6026</v>
      </c>
      <c r="G2338" t="s">
        <v>6031</v>
      </c>
      <c r="H2338" t="s">
        <v>6043</v>
      </c>
      <c r="I2338" t="s">
        <v>6048</v>
      </c>
      <c r="J2338" t="s">
        <v>6054</v>
      </c>
      <c r="K2338" t="s">
        <v>6060</v>
      </c>
      <c r="L2338" t="s">
        <v>8124</v>
      </c>
      <c r="M2338">
        <v>124.24</v>
      </c>
      <c r="N2338">
        <v>6</v>
      </c>
      <c r="O2338">
        <v>0.14000000000000001</v>
      </c>
      <c r="P2338">
        <v>11.79</v>
      </c>
      <c r="Q2338" t="s">
        <v>9896</v>
      </c>
      <c r="R2338">
        <v>2</v>
      </c>
      <c r="S2338" s="5">
        <f t="shared" si="72"/>
        <v>9.489697359948486E-2</v>
      </c>
      <c r="T2338">
        <v>20.706666666666671</v>
      </c>
      <c r="U2338">
        <v>6</v>
      </c>
      <c r="V2338">
        <v>2023</v>
      </c>
      <c r="W2338">
        <v>2</v>
      </c>
      <c r="X2338" t="s">
        <v>9899</v>
      </c>
      <c r="Y2338" t="s">
        <v>9901</v>
      </c>
      <c r="Z2338" t="s">
        <v>9899</v>
      </c>
      <c r="AD2338">
        <f t="shared" si="73"/>
        <v>2</v>
      </c>
    </row>
    <row r="2339" spans="1:30" x14ac:dyDescent="0.25">
      <c r="A2339" t="s">
        <v>2363</v>
      </c>
      <c r="B2339" s="2">
        <v>44816</v>
      </c>
      <c r="C2339" s="2">
        <v>44823</v>
      </c>
      <c r="D2339" t="s">
        <v>5223</v>
      </c>
      <c r="E2339" t="s">
        <v>5723</v>
      </c>
      <c r="F2339" t="s">
        <v>6027</v>
      </c>
      <c r="G2339" t="s">
        <v>6031</v>
      </c>
      <c r="H2339" t="s">
        <v>6040</v>
      </c>
      <c r="I2339" t="s">
        <v>6050</v>
      </c>
      <c r="J2339" t="s">
        <v>6053</v>
      </c>
      <c r="K2339" t="s">
        <v>6057</v>
      </c>
      <c r="L2339" t="s">
        <v>8125</v>
      </c>
      <c r="M2339">
        <v>808.57</v>
      </c>
      <c r="N2339">
        <v>2</v>
      </c>
      <c r="O2339">
        <v>0</v>
      </c>
      <c r="P2339">
        <v>205.02</v>
      </c>
      <c r="Q2339" t="s">
        <v>9896</v>
      </c>
      <c r="R2339">
        <v>7</v>
      </c>
      <c r="S2339" s="5">
        <f t="shared" si="72"/>
        <v>0.25355875187058635</v>
      </c>
      <c r="T2339">
        <v>404.28500000000003</v>
      </c>
      <c r="U2339">
        <v>9</v>
      </c>
      <c r="V2339">
        <v>2022</v>
      </c>
      <c r="W2339">
        <v>3</v>
      </c>
      <c r="X2339" t="s">
        <v>9899</v>
      </c>
      <c r="Y2339" t="s">
        <v>9901</v>
      </c>
      <c r="Z2339" t="s">
        <v>9899</v>
      </c>
      <c r="AD2339">
        <f t="shared" si="73"/>
        <v>7</v>
      </c>
    </row>
    <row r="2340" spans="1:30" x14ac:dyDescent="0.25">
      <c r="A2340" t="s">
        <v>2364</v>
      </c>
      <c r="B2340" s="2">
        <v>45193</v>
      </c>
      <c r="C2340" s="2">
        <v>45200</v>
      </c>
      <c r="D2340" t="s">
        <v>5261</v>
      </c>
      <c r="E2340" t="s">
        <v>5761</v>
      </c>
      <c r="F2340" t="s">
        <v>6026</v>
      </c>
      <c r="G2340" t="s">
        <v>6029</v>
      </c>
      <c r="H2340" t="s">
        <v>6032</v>
      </c>
      <c r="I2340" t="s">
        <v>6049</v>
      </c>
      <c r="J2340" t="s">
        <v>6053</v>
      </c>
      <c r="K2340" t="s">
        <v>6058</v>
      </c>
      <c r="L2340" t="s">
        <v>8126</v>
      </c>
      <c r="M2340">
        <v>1394.93</v>
      </c>
      <c r="N2340">
        <v>7</v>
      </c>
      <c r="O2340">
        <v>0.26</v>
      </c>
      <c r="P2340">
        <v>-160.44999999999999</v>
      </c>
      <c r="Q2340" t="s">
        <v>9895</v>
      </c>
      <c r="R2340">
        <v>7</v>
      </c>
      <c r="S2340" s="5">
        <f t="shared" si="72"/>
        <v>-0.11502369294516569</v>
      </c>
      <c r="T2340">
        <v>199.27571428571429</v>
      </c>
      <c r="U2340">
        <v>9</v>
      </c>
      <c r="V2340">
        <v>2023</v>
      </c>
      <c r="W2340">
        <v>3</v>
      </c>
      <c r="X2340" t="s">
        <v>9898</v>
      </c>
      <c r="Y2340" t="s">
        <v>9900</v>
      </c>
      <c r="Z2340" t="s">
        <v>9898</v>
      </c>
      <c r="AD2340">
        <f t="shared" si="73"/>
        <v>7</v>
      </c>
    </row>
    <row r="2341" spans="1:30" x14ac:dyDescent="0.25">
      <c r="A2341" t="s">
        <v>2365</v>
      </c>
      <c r="B2341" s="2">
        <v>45278</v>
      </c>
      <c r="C2341" s="2">
        <v>45281</v>
      </c>
      <c r="D2341" t="s">
        <v>5455</v>
      </c>
      <c r="E2341" t="s">
        <v>5955</v>
      </c>
      <c r="F2341" t="s">
        <v>6027</v>
      </c>
      <c r="G2341" t="s">
        <v>6029</v>
      </c>
      <c r="H2341" t="s">
        <v>6032</v>
      </c>
      <c r="I2341" t="s">
        <v>6049</v>
      </c>
      <c r="J2341" t="s">
        <v>6055</v>
      </c>
      <c r="K2341" t="s">
        <v>6064</v>
      </c>
      <c r="L2341" t="s">
        <v>8127</v>
      </c>
      <c r="M2341">
        <v>341.9</v>
      </c>
      <c r="N2341">
        <v>5</v>
      </c>
      <c r="O2341">
        <v>0.28999999999999998</v>
      </c>
      <c r="P2341">
        <v>-27.69</v>
      </c>
      <c r="Q2341" t="s">
        <v>9894</v>
      </c>
      <c r="R2341">
        <v>3</v>
      </c>
      <c r="S2341" s="5">
        <f t="shared" si="72"/>
        <v>-8.0988593155893546E-2</v>
      </c>
      <c r="T2341">
        <v>68.38</v>
      </c>
      <c r="U2341">
        <v>12</v>
      </c>
      <c r="V2341">
        <v>2023</v>
      </c>
      <c r="W2341">
        <v>4</v>
      </c>
      <c r="X2341" t="s">
        <v>9898</v>
      </c>
      <c r="Y2341" t="s">
        <v>9900</v>
      </c>
      <c r="Z2341" t="s">
        <v>9899</v>
      </c>
      <c r="AD2341">
        <f t="shared" si="73"/>
        <v>3</v>
      </c>
    </row>
    <row r="2342" spans="1:30" x14ac:dyDescent="0.25">
      <c r="A2342" t="s">
        <v>2366</v>
      </c>
      <c r="B2342" s="2">
        <v>45058</v>
      </c>
      <c r="C2342" s="2">
        <v>45065</v>
      </c>
      <c r="D2342" t="s">
        <v>5395</v>
      </c>
      <c r="E2342" t="s">
        <v>5895</v>
      </c>
      <c r="F2342" t="s">
        <v>6027</v>
      </c>
      <c r="G2342" t="s">
        <v>6031</v>
      </c>
      <c r="H2342" t="s">
        <v>6037</v>
      </c>
      <c r="I2342" t="s">
        <v>6052</v>
      </c>
      <c r="J2342" t="s">
        <v>6055</v>
      </c>
      <c r="K2342" t="s">
        <v>6063</v>
      </c>
      <c r="L2342" t="s">
        <v>8128</v>
      </c>
      <c r="M2342">
        <v>1150.1400000000001</v>
      </c>
      <c r="N2342">
        <v>5</v>
      </c>
      <c r="O2342">
        <v>0.09</v>
      </c>
      <c r="P2342">
        <v>165.81</v>
      </c>
      <c r="Q2342" t="s">
        <v>9897</v>
      </c>
      <c r="R2342">
        <v>7</v>
      </c>
      <c r="S2342" s="5">
        <f t="shared" si="72"/>
        <v>0.14416505816683187</v>
      </c>
      <c r="T2342">
        <v>230.02799999999999</v>
      </c>
      <c r="U2342">
        <v>5</v>
      </c>
      <c r="V2342">
        <v>2023</v>
      </c>
      <c r="W2342">
        <v>2</v>
      </c>
      <c r="X2342" t="s">
        <v>9899</v>
      </c>
      <c r="Y2342" t="s">
        <v>9901</v>
      </c>
      <c r="Z2342" t="s">
        <v>9898</v>
      </c>
      <c r="AD2342">
        <f t="shared" si="73"/>
        <v>7</v>
      </c>
    </row>
    <row r="2343" spans="1:30" x14ac:dyDescent="0.25">
      <c r="A2343" t="s">
        <v>2367</v>
      </c>
      <c r="B2343" s="2">
        <v>45456</v>
      </c>
      <c r="C2343" s="2">
        <v>45461</v>
      </c>
      <c r="D2343" t="s">
        <v>5041</v>
      </c>
      <c r="E2343" t="s">
        <v>5541</v>
      </c>
      <c r="F2343" t="s">
        <v>6028</v>
      </c>
      <c r="G2343" t="s">
        <v>6030</v>
      </c>
      <c r="H2343" t="s">
        <v>6033</v>
      </c>
      <c r="I2343" t="s">
        <v>6047</v>
      </c>
      <c r="J2343" t="s">
        <v>6054</v>
      </c>
      <c r="K2343" t="s">
        <v>6060</v>
      </c>
      <c r="L2343" t="s">
        <v>7765</v>
      </c>
      <c r="M2343">
        <v>948.16</v>
      </c>
      <c r="N2343">
        <v>1</v>
      </c>
      <c r="O2343">
        <v>0.32</v>
      </c>
      <c r="P2343">
        <v>-147.28</v>
      </c>
      <c r="Q2343" t="s">
        <v>9894</v>
      </c>
      <c r="R2343">
        <v>5</v>
      </c>
      <c r="S2343" s="5">
        <f t="shared" si="72"/>
        <v>-0.15533243334458319</v>
      </c>
      <c r="T2343">
        <v>948.16</v>
      </c>
      <c r="U2343">
        <v>6</v>
      </c>
      <c r="V2343">
        <v>2024</v>
      </c>
      <c r="W2343">
        <v>2</v>
      </c>
      <c r="X2343" t="s">
        <v>9898</v>
      </c>
      <c r="Y2343" t="s">
        <v>9902</v>
      </c>
      <c r="Z2343" t="s">
        <v>9899</v>
      </c>
      <c r="AD2343">
        <f t="shared" si="73"/>
        <v>5</v>
      </c>
    </row>
    <row r="2344" spans="1:30" x14ac:dyDescent="0.25">
      <c r="A2344" t="s">
        <v>2368</v>
      </c>
      <c r="B2344" s="2">
        <v>45431</v>
      </c>
      <c r="C2344" s="2">
        <v>45433</v>
      </c>
      <c r="D2344" t="s">
        <v>5486</v>
      </c>
      <c r="E2344" t="s">
        <v>5986</v>
      </c>
      <c r="F2344" t="s">
        <v>6027</v>
      </c>
      <c r="G2344" t="s">
        <v>6030</v>
      </c>
      <c r="H2344" t="s">
        <v>6035</v>
      </c>
      <c r="I2344" t="s">
        <v>6047</v>
      </c>
      <c r="J2344" t="s">
        <v>6054</v>
      </c>
      <c r="K2344" t="s">
        <v>6059</v>
      </c>
      <c r="L2344" t="s">
        <v>8129</v>
      </c>
      <c r="M2344">
        <v>1137.72</v>
      </c>
      <c r="N2344">
        <v>1</v>
      </c>
      <c r="O2344">
        <v>0.16</v>
      </c>
      <c r="P2344">
        <v>131.63999999999999</v>
      </c>
      <c r="Q2344" t="s">
        <v>9893</v>
      </c>
      <c r="R2344">
        <v>2</v>
      </c>
      <c r="S2344" s="5">
        <f t="shared" si="72"/>
        <v>0.11570509439932496</v>
      </c>
      <c r="T2344">
        <v>1137.72</v>
      </c>
      <c r="U2344">
        <v>5</v>
      </c>
      <c r="V2344">
        <v>2024</v>
      </c>
      <c r="W2344">
        <v>2</v>
      </c>
      <c r="X2344" t="s">
        <v>9899</v>
      </c>
      <c r="Y2344" t="s">
        <v>9900</v>
      </c>
      <c r="Z2344" t="s">
        <v>9898</v>
      </c>
      <c r="AD2344">
        <f t="shared" si="73"/>
        <v>2</v>
      </c>
    </row>
    <row r="2345" spans="1:30" x14ac:dyDescent="0.25">
      <c r="A2345" t="s">
        <v>2369</v>
      </c>
      <c r="B2345" s="2">
        <v>45258</v>
      </c>
      <c r="C2345" s="2">
        <v>45260</v>
      </c>
      <c r="D2345" t="s">
        <v>5097</v>
      </c>
      <c r="E2345" t="s">
        <v>5597</v>
      </c>
      <c r="F2345" t="s">
        <v>6028</v>
      </c>
      <c r="G2345" t="s">
        <v>6030</v>
      </c>
      <c r="H2345" t="s">
        <v>6033</v>
      </c>
      <c r="I2345" t="s">
        <v>6047</v>
      </c>
      <c r="J2345" t="s">
        <v>6054</v>
      </c>
      <c r="K2345" t="s">
        <v>6060</v>
      </c>
      <c r="L2345" t="s">
        <v>8130</v>
      </c>
      <c r="M2345">
        <v>403.03</v>
      </c>
      <c r="N2345">
        <v>6</v>
      </c>
      <c r="O2345">
        <v>0.13</v>
      </c>
      <c r="P2345">
        <v>56.55</v>
      </c>
      <c r="Q2345" t="s">
        <v>9895</v>
      </c>
      <c r="R2345">
        <v>2</v>
      </c>
      <c r="S2345" s="5">
        <f t="shared" si="72"/>
        <v>0.14031213557303426</v>
      </c>
      <c r="T2345">
        <v>67.171666666666667</v>
      </c>
      <c r="U2345">
        <v>11</v>
      </c>
      <c r="V2345">
        <v>2023</v>
      </c>
      <c r="W2345">
        <v>4</v>
      </c>
      <c r="X2345" t="s">
        <v>9899</v>
      </c>
      <c r="Y2345" t="s">
        <v>9901</v>
      </c>
      <c r="Z2345" t="s">
        <v>9899</v>
      </c>
      <c r="AD2345">
        <f t="shared" si="73"/>
        <v>2</v>
      </c>
    </row>
    <row r="2346" spans="1:30" x14ac:dyDescent="0.25">
      <c r="A2346" t="s">
        <v>2370</v>
      </c>
      <c r="B2346" s="2">
        <v>45451</v>
      </c>
      <c r="C2346" s="2">
        <v>45456</v>
      </c>
      <c r="D2346" t="s">
        <v>5509</v>
      </c>
      <c r="E2346" t="s">
        <v>6009</v>
      </c>
      <c r="F2346" t="s">
        <v>6026</v>
      </c>
      <c r="G2346" t="s">
        <v>6031</v>
      </c>
      <c r="H2346" t="s">
        <v>6042</v>
      </c>
      <c r="I2346" t="s">
        <v>6048</v>
      </c>
      <c r="J2346" t="s">
        <v>6053</v>
      </c>
      <c r="K2346" t="s">
        <v>6058</v>
      </c>
      <c r="L2346" t="s">
        <v>6996</v>
      </c>
      <c r="M2346">
        <v>136.72</v>
      </c>
      <c r="N2346">
        <v>6</v>
      </c>
      <c r="O2346">
        <v>0.13</v>
      </c>
      <c r="P2346">
        <v>22.03</v>
      </c>
      <c r="Q2346" t="s">
        <v>9893</v>
      </c>
      <c r="R2346">
        <v>5</v>
      </c>
      <c r="S2346" s="5">
        <f t="shared" si="72"/>
        <v>0.16113224107665303</v>
      </c>
      <c r="T2346">
        <v>22.786666666666669</v>
      </c>
      <c r="U2346">
        <v>6</v>
      </c>
      <c r="V2346">
        <v>2024</v>
      </c>
      <c r="W2346">
        <v>2</v>
      </c>
      <c r="X2346" t="s">
        <v>9899</v>
      </c>
      <c r="Y2346" t="s">
        <v>9901</v>
      </c>
      <c r="Z2346" t="s">
        <v>9899</v>
      </c>
      <c r="AD2346">
        <f t="shared" si="73"/>
        <v>5</v>
      </c>
    </row>
    <row r="2347" spans="1:30" x14ac:dyDescent="0.25">
      <c r="A2347" t="s">
        <v>2371</v>
      </c>
      <c r="B2347" s="2">
        <v>45084</v>
      </c>
      <c r="C2347" s="2">
        <v>45090</v>
      </c>
      <c r="D2347" t="s">
        <v>5314</v>
      </c>
      <c r="E2347" t="s">
        <v>5814</v>
      </c>
      <c r="F2347" t="s">
        <v>6026</v>
      </c>
      <c r="G2347" t="s">
        <v>6031</v>
      </c>
      <c r="H2347" t="s">
        <v>6034</v>
      </c>
      <c r="I2347" t="s">
        <v>6052</v>
      </c>
      <c r="J2347" t="s">
        <v>6053</v>
      </c>
      <c r="K2347" t="s">
        <v>6056</v>
      </c>
      <c r="L2347" t="s">
        <v>8131</v>
      </c>
      <c r="M2347">
        <v>1459.04</v>
      </c>
      <c r="N2347">
        <v>8</v>
      </c>
      <c r="O2347">
        <v>0.04</v>
      </c>
      <c r="P2347">
        <v>324.89</v>
      </c>
      <c r="Q2347" t="s">
        <v>9897</v>
      </c>
      <c r="R2347">
        <v>6</v>
      </c>
      <c r="S2347" s="5">
        <f t="shared" si="72"/>
        <v>0.22267381291808311</v>
      </c>
      <c r="T2347">
        <v>182.38</v>
      </c>
      <c r="U2347">
        <v>6</v>
      </c>
      <c r="V2347">
        <v>2023</v>
      </c>
      <c r="W2347">
        <v>2</v>
      </c>
      <c r="X2347" t="s">
        <v>9899</v>
      </c>
      <c r="Y2347" t="s">
        <v>9901</v>
      </c>
      <c r="Z2347" t="s">
        <v>9898</v>
      </c>
      <c r="AD2347">
        <f t="shared" si="73"/>
        <v>6</v>
      </c>
    </row>
    <row r="2348" spans="1:30" x14ac:dyDescent="0.25">
      <c r="A2348" t="s">
        <v>2372</v>
      </c>
      <c r="B2348" s="2">
        <v>44724</v>
      </c>
      <c r="C2348" s="2">
        <v>44729</v>
      </c>
      <c r="D2348" t="s">
        <v>5209</v>
      </c>
      <c r="E2348" t="s">
        <v>5709</v>
      </c>
      <c r="F2348" t="s">
        <v>6028</v>
      </c>
      <c r="G2348" t="s">
        <v>6031</v>
      </c>
      <c r="H2348" t="s">
        <v>6040</v>
      </c>
      <c r="I2348" t="s">
        <v>6050</v>
      </c>
      <c r="J2348" t="s">
        <v>6053</v>
      </c>
      <c r="K2348" t="s">
        <v>6058</v>
      </c>
      <c r="L2348" t="s">
        <v>8132</v>
      </c>
      <c r="M2348">
        <v>1410.41</v>
      </c>
      <c r="N2348">
        <v>2</v>
      </c>
      <c r="O2348">
        <v>0.34</v>
      </c>
      <c r="P2348">
        <v>-219.45</v>
      </c>
      <c r="Q2348" t="s">
        <v>9895</v>
      </c>
      <c r="R2348">
        <v>5</v>
      </c>
      <c r="S2348" s="5">
        <f t="shared" si="72"/>
        <v>-0.15559305450188241</v>
      </c>
      <c r="T2348">
        <v>705.20500000000004</v>
      </c>
      <c r="U2348">
        <v>6</v>
      </c>
      <c r="V2348">
        <v>2022</v>
      </c>
      <c r="W2348">
        <v>2</v>
      </c>
      <c r="X2348" t="s">
        <v>9898</v>
      </c>
      <c r="Y2348" t="s">
        <v>9902</v>
      </c>
      <c r="Z2348" t="s">
        <v>9898</v>
      </c>
      <c r="AD2348">
        <f t="shared" si="73"/>
        <v>5</v>
      </c>
    </row>
    <row r="2349" spans="1:30" x14ac:dyDescent="0.25">
      <c r="A2349" t="s">
        <v>2373</v>
      </c>
      <c r="B2349" s="2">
        <v>45102</v>
      </c>
      <c r="C2349" s="2">
        <v>45106</v>
      </c>
      <c r="D2349" t="s">
        <v>5467</v>
      </c>
      <c r="E2349" t="s">
        <v>5967</v>
      </c>
      <c r="F2349" t="s">
        <v>6028</v>
      </c>
      <c r="G2349" t="s">
        <v>6029</v>
      </c>
      <c r="H2349" t="s">
        <v>6032</v>
      </c>
      <c r="I2349" t="s">
        <v>6049</v>
      </c>
      <c r="J2349" t="s">
        <v>6054</v>
      </c>
      <c r="K2349" t="s">
        <v>6062</v>
      </c>
      <c r="L2349" t="s">
        <v>6254</v>
      </c>
      <c r="M2349">
        <v>852.76</v>
      </c>
      <c r="N2349">
        <v>8</v>
      </c>
      <c r="O2349">
        <v>0.32</v>
      </c>
      <c r="P2349">
        <v>-186.02</v>
      </c>
      <c r="Q2349" t="s">
        <v>9897</v>
      </c>
      <c r="R2349">
        <v>4</v>
      </c>
      <c r="S2349" s="5">
        <f t="shared" si="72"/>
        <v>-0.21813874947230172</v>
      </c>
      <c r="T2349">
        <v>106.595</v>
      </c>
      <c r="U2349">
        <v>6</v>
      </c>
      <c r="V2349">
        <v>2023</v>
      </c>
      <c r="W2349">
        <v>2</v>
      </c>
      <c r="X2349" t="s">
        <v>9898</v>
      </c>
      <c r="Y2349" t="s">
        <v>9902</v>
      </c>
      <c r="Z2349" t="s">
        <v>9899</v>
      </c>
      <c r="AD2349">
        <f t="shared" si="73"/>
        <v>4</v>
      </c>
    </row>
    <row r="2350" spans="1:30" x14ac:dyDescent="0.25">
      <c r="A2350" t="s">
        <v>2374</v>
      </c>
      <c r="B2350" s="2">
        <v>45022</v>
      </c>
      <c r="C2350" s="2">
        <v>45029</v>
      </c>
      <c r="D2350" t="s">
        <v>5192</v>
      </c>
      <c r="E2350" t="s">
        <v>5692</v>
      </c>
      <c r="F2350" t="s">
        <v>6027</v>
      </c>
      <c r="G2350" t="s">
        <v>6031</v>
      </c>
      <c r="H2350" t="s">
        <v>6042</v>
      </c>
      <c r="I2350" t="s">
        <v>6048</v>
      </c>
      <c r="J2350" t="s">
        <v>6055</v>
      </c>
      <c r="K2350" t="s">
        <v>6064</v>
      </c>
      <c r="L2350" t="s">
        <v>8133</v>
      </c>
      <c r="M2350">
        <v>1401.36</v>
      </c>
      <c r="N2350">
        <v>3</v>
      </c>
      <c r="O2350">
        <v>0.19</v>
      </c>
      <c r="P2350">
        <v>68.05</v>
      </c>
      <c r="Q2350" t="s">
        <v>9894</v>
      </c>
      <c r="R2350">
        <v>7</v>
      </c>
      <c r="S2350" s="5">
        <f t="shared" si="72"/>
        <v>4.855997031455158E-2</v>
      </c>
      <c r="T2350">
        <v>467.11999999999989</v>
      </c>
      <c r="U2350">
        <v>4</v>
      </c>
      <c r="V2350">
        <v>2023</v>
      </c>
      <c r="W2350">
        <v>2</v>
      </c>
      <c r="X2350" t="s">
        <v>9899</v>
      </c>
      <c r="Y2350" t="s">
        <v>9900</v>
      </c>
      <c r="Z2350" t="s">
        <v>9898</v>
      </c>
      <c r="AD2350">
        <f t="shared" si="73"/>
        <v>7</v>
      </c>
    </row>
    <row r="2351" spans="1:30" x14ac:dyDescent="0.25">
      <c r="A2351" t="s">
        <v>2375</v>
      </c>
      <c r="B2351" s="2">
        <v>44611</v>
      </c>
      <c r="C2351" s="2">
        <v>44617</v>
      </c>
      <c r="D2351" t="s">
        <v>5058</v>
      </c>
      <c r="E2351" t="s">
        <v>5558</v>
      </c>
      <c r="F2351" t="s">
        <v>6028</v>
      </c>
      <c r="G2351" t="s">
        <v>6031</v>
      </c>
      <c r="H2351" t="s">
        <v>6034</v>
      </c>
      <c r="I2351" t="s">
        <v>6050</v>
      </c>
      <c r="J2351" t="s">
        <v>6053</v>
      </c>
      <c r="K2351" t="s">
        <v>6058</v>
      </c>
      <c r="L2351" t="s">
        <v>6614</v>
      </c>
      <c r="M2351">
        <v>1282.48</v>
      </c>
      <c r="N2351">
        <v>2</v>
      </c>
      <c r="O2351">
        <v>0.15</v>
      </c>
      <c r="P2351">
        <v>19.309999999999999</v>
      </c>
      <c r="Q2351" t="s">
        <v>9894</v>
      </c>
      <c r="R2351">
        <v>6</v>
      </c>
      <c r="S2351" s="5">
        <f t="shared" si="72"/>
        <v>1.5056765017778053E-2</v>
      </c>
      <c r="T2351">
        <v>641.24</v>
      </c>
      <c r="U2351">
        <v>2</v>
      </c>
      <c r="V2351">
        <v>2022</v>
      </c>
      <c r="W2351">
        <v>1</v>
      </c>
      <c r="X2351" t="s">
        <v>9899</v>
      </c>
      <c r="Y2351" t="s">
        <v>9901</v>
      </c>
      <c r="Z2351" t="s">
        <v>9898</v>
      </c>
      <c r="AD2351">
        <f t="shared" si="73"/>
        <v>6</v>
      </c>
    </row>
    <row r="2352" spans="1:30" x14ac:dyDescent="0.25">
      <c r="A2352" t="s">
        <v>2376</v>
      </c>
      <c r="B2352" s="2">
        <v>45414</v>
      </c>
      <c r="C2352" s="2">
        <v>45415</v>
      </c>
      <c r="D2352" t="s">
        <v>5211</v>
      </c>
      <c r="E2352" t="s">
        <v>5711</v>
      </c>
      <c r="F2352" t="s">
        <v>6028</v>
      </c>
      <c r="G2352" t="s">
        <v>6030</v>
      </c>
      <c r="H2352" t="s">
        <v>6033</v>
      </c>
      <c r="I2352" t="s">
        <v>6051</v>
      </c>
      <c r="J2352" t="s">
        <v>6053</v>
      </c>
      <c r="K2352" t="s">
        <v>6057</v>
      </c>
      <c r="L2352" t="s">
        <v>8134</v>
      </c>
      <c r="M2352">
        <v>1688.3</v>
      </c>
      <c r="N2352">
        <v>8</v>
      </c>
      <c r="O2352">
        <v>0.11</v>
      </c>
      <c r="P2352">
        <v>114.27</v>
      </c>
      <c r="Q2352" t="s">
        <v>9895</v>
      </c>
      <c r="R2352">
        <v>1</v>
      </c>
      <c r="S2352" s="5">
        <f t="shared" si="72"/>
        <v>6.7683468577859382E-2</v>
      </c>
      <c r="T2352">
        <v>211.03749999999999</v>
      </c>
      <c r="U2352">
        <v>5</v>
      </c>
      <c r="V2352">
        <v>2024</v>
      </c>
      <c r="W2352">
        <v>2</v>
      </c>
      <c r="X2352" t="s">
        <v>9899</v>
      </c>
      <c r="Y2352" t="s">
        <v>9901</v>
      </c>
      <c r="Z2352" t="s">
        <v>9898</v>
      </c>
      <c r="AD2352">
        <f t="shared" si="73"/>
        <v>1</v>
      </c>
    </row>
    <row r="2353" spans="1:30" x14ac:dyDescent="0.25">
      <c r="A2353" t="s">
        <v>2377</v>
      </c>
      <c r="B2353" s="2">
        <v>44875</v>
      </c>
      <c r="C2353" s="2">
        <v>44878</v>
      </c>
      <c r="D2353" t="s">
        <v>5280</v>
      </c>
      <c r="E2353" t="s">
        <v>5780</v>
      </c>
      <c r="F2353" t="s">
        <v>6027</v>
      </c>
      <c r="G2353" t="s">
        <v>6029</v>
      </c>
      <c r="H2353" t="s">
        <v>6036</v>
      </c>
      <c r="I2353" t="s">
        <v>6046</v>
      </c>
      <c r="J2353" t="s">
        <v>6055</v>
      </c>
      <c r="K2353" t="s">
        <v>6061</v>
      </c>
      <c r="L2353" t="s">
        <v>7624</v>
      </c>
      <c r="M2353">
        <v>789.92</v>
      </c>
      <c r="N2353">
        <v>1</v>
      </c>
      <c r="O2353">
        <v>0.09</v>
      </c>
      <c r="P2353">
        <v>23.73</v>
      </c>
      <c r="Q2353" t="s">
        <v>9894</v>
      </c>
      <c r="R2353">
        <v>3</v>
      </c>
      <c r="S2353" s="5">
        <f t="shared" si="72"/>
        <v>3.0041016811829049E-2</v>
      </c>
      <c r="T2353">
        <v>789.92</v>
      </c>
      <c r="U2353">
        <v>11</v>
      </c>
      <c r="V2353">
        <v>2022</v>
      </c>
      <c r="W2353">
        <v>4</v>
      </c>
      <c r="X2353" t="s">
        <v>9899</v>
      </c>
      <c r="Y2353" t="s">
        <v>9901</v>
      </c>
      <c r="Z2353" t="s">
        <v>9899</v>
      </c>
      <c r="AD2353">
        <f t="shared" si="73"/>
        <v>3</v>
      </c>
    </row>
    <row r="2354" spans="1:30" x14ac:dyDescent="0.25">
      <c r="A2354" t="s">
        <v>2378</v>
      </c>
      <c r="B2354" s="2">
        <v>44572</v>
      </c>
      <c r="C2354" s="2">
        <v>44574</v>
      </c>
      <c r="D2354" t="s">
        <v>5087</v>
      </c>
      <c r="E2354" t="s">
        <v>5587</v>
      </c>
      <c r="F2354" t="s">
        <v>6028</v>
      </c>
      <c r="G2354" t="s">
        <v>6029</v>
      </c>
      <c r="H2354" t="s">
        <v>6044</v>
      </c>
      <c r="I2354" t="s">
        <v>6050</v>
      </c>
      <c r="J2354" t="s">
        <v>6055</v>
      </c>
      <c r="K2354" t="s">
        <v>6061</v>
      </c>
      <c r="L2354" t="s">
        <v>8135</v>
      </c>
      <c r="M2354">
        <v>1200.24</v>
      </c>
      <c r="N2354">
        <v>2</v>
      </c>
      <c r="O2354">
        <v>0.08</v>
      </c>
      <c r="P2354">
        <v>150.71</v>
      </c>
      <c r="Q2354" t="s">
        <v>9897</v>
      </c>
      <c r="R2354">
        <v>2</v>
      </c>
      <c r="S2354" s="5">
        <f t="shared" si="72"/>
        <v>0.12556655335599548</v>
      </c>
      <c r="T2354">
        <v>600.12</v>
      </c>
      <c r="U2354">
        <v>1</v>
      </c>
      <c r="V2354">
        <v>2022</v>
      </c>
      <c r="W2354">
        <v>1</v>
      </c>
      <c r="X2354" t="s">
        <v>9899</v>
      </c>
      <c r="Y2354" t="s">
        <v>9901</v>
      </c>
      <c r="Z2354" t="s">
        <v>9898</v>
      </c>
      <c r="AD2354">
        <f t="shared" si="73"/>
        <v>2</v>
      </c>
    </row>
    <row r="2355" spans="1:30" x14ac:dyDescent="0.25">
      <c r="A2355" t="s">
        <v>2379</v>
      </c>
      <c r="B2355" s="2">
        <v>45202</v>
      </c>
      <c r="C2355" s="2">
        <v>45208</v>
      </c>
      <c r="D2355" t="s">
        <v>5275</v>
      </c>
      <c r="E2355" t="s">
        <v>5775</v>
      </c>
      <c r="F2355" t="s">
        <v>6028</v>
      </c>
      <c r="G2355" t="s">
        <v>6031</v>
      </c>
      <c r="H2355" t="s">
        <v>6042</v>
      </c>
      <c r="I2355" t="s">
        <v>6052</v>
      </c>
      <c r="J2355" t="s">
        <v>6053</v>
      </c>
      <c r="K2355" t="s">
        <v>6058</v>
      </c>
      <c r="L2355" t="s">
        <v>8136</v>
      </c>
      <c r="M2355">
        <v>1678.23</v>
      </c>
      <c r="N2355">
        <v>6</v>
      </c>
      <c r="O2355">
        <v>0.27</v>
      </c>
      <c r="P2355">
        <v>-254.33</v>
      </c>
      <c r="Q2355" t="s">
        <v>9895</v>
      </c>
      <c r="R2355">
        <v>6</v>
      </c>
      <c r="S2355" s="5">
        <f t="shared" si="72"/>
        <v>-0.15154656989804735</v>
      </c>
      <c r="T2355">
        <v>279.70499999999998</v>
      </c>
      <c r="U2355">
        <v>10</v>
      </c>
      <c r="V2355">
        <v>2023</v>
      </c>
      <c r="W2355">
        <v>4</v>
      </c>
      <c r="X2355" t="s">
        <v>9898</v>
      </c>
      <c r="Y2355" t="s">
        <v>9900</v>
      </c>
      <c r="Z2355" t="s">
        <v>9898</v>
      </c>
      <c r="AD2355">
        <f t="shared" si="73"/>
        <v>6</v>
      </c>
    </row>
    <row r="2356" spans="1:30" x14ac:dyDescent="0.25">
      <c r="A2356" t="s">
        <v>2380</v>
      </c>
      <c r="B2356" s="2">
        <v>44815</v>
      </c>
      <c r="C2356" s="2">
        <v>44816</v>
      </c>
      <c r="D2356" t="s">
        <v>5331</v>
      </c>
      <c r="E2356" t="s">
        <v>5831</v>
      </c>
      <c r="F2356" t="s">
        <v>6028</v>
      </c>
      <c r="G2356" t="s">
        <v>6030</v>
      </c>
      <c r="H2356" t="s">
        <v>6035</v>
      </c>
      <c r="I2356" t="s">
        <v>6047</v>
      </c>
      <c r="J2356" t="s">
        <v>6054</v>
      </c>
      <c r="K2356" t="s">
        <v>6060</v>
      </c>
      <c r="L2356" t="s">
        <v>8137</v>
      </c>
      <c r="M2356">
        <v>1565.21</v>
      </c>
      <c r="N2356">
        <v>7</v>
      </c>
      <c r="O2356">
        <v>0.03</v>
      </c>
      <c r="P2356">
        <v>211.75</v>
      </c>
      <c r="Q2356" t="s">
        <v>9893</v>
      </c>
      <c r="R2356">
        <v>1</v>
      </c>
      <c r="S2356" s="5">
        <f t="shared" si="72"/>
        <v>0.13528536106976061</v>
      </c>
      <c r="T2356">
        <v>223.60142857142861</v>
      </c>
      <c r="U2356">
        <v>9</v>
      </c>
      <c r="V2356">
        <v>2022</v>
      </c>
      <c r="W2356">
        <v>3</v>
      </c>
      <c r="X2356" t="s">
        <v>9899</v>
      </c>
      <c r="Y2356" t="s">
        <v>9901</v>
      </c>
      <c r="Z2356" t="s">
        <v>9898</v>
      </c>
      <c r="AD2356">
        <f t="shared" si="73"/>
        <v>1</v>
      </c>
    </row>
    <row r="2357" spans="1:30" x14ac:dyDescent="0.25">
      <c r="A2357" t="s">
        <v>2381</v>
      </c>
      <c r="B2357" s="2">
        <v>44959</v>
      </c>
      <c r="C2357" s="2">
        <v>44960</v>
      </c>
      <c r="D2357" t="s">
        <v>5415</v>
      </c>
      <c r="E2357" t="s">
        <v>5915</v>
      </c>
      <c r="F2357" t="s">
        <v>6026</v>
      </c>
      <c r="G2357" t="s">
        <v>6031</v>
      </c>
      <c r="H2357" t="s">
        <v>6042</v>
      </c>
      <c r="I2357" t="s">
        <v>6050</v>
      </c>
      <c r="J2357" t="s">
        <v>6053</v>
      </c>
      <c r="K2357" t="s">
        <v>6057</v>
      </c>
      <c r="L2357" t="s">
        <v>6428</v>
      </c>
      <c r="M2357">
        <v>366.01</v>
      </c>
      <c r="N2357">
        <v>7</v>
      </c>
      <c r="O2357">
        <v>0.28000000000000003</v>
      </c>
      <c r="P2357">
        <v>-36.89</v>
      </c>
      <c r="Q2357" t="s">
        <v>9895</v>
      </c>
      <c r="R2357">
        <v>1</v>
      </c>
      <c r="S2357" s="5">
        <f t="shared" si="72"/>
        <v>-0.10078959591267998</v>
      </c>
      <c r="T2357">
        <v>52.287142857142847</v>
      </c>
      <c r="U2357">
        <v>2</v>
      </c>
      <c r="V2357">
        <v>2023</v>
      </c>
      <c r="W2357">
        <v>1</v>
      </c>
      <c r="X2357" t="s">
        <v>9898</v>
      </c>
      <c r="Y2357" t="s">
        <v>9900</v>
      </c>
      <c r="Z2357" t="s">
        <v>9899</v>
      </c>
      <c r="AD2357">
        <f t="shared" si="73"/>
        <v>1</v>
      </c>
    </row>
    <row r="2358" spans="1:30" x14ac:dyDescent="0.25">
      <c r="A2358" t="s">
        <v>2382</v>
      </c>
      <c r="B2358" s="2">
        <v>45330</v>
      </c>
      <c r="C2358" s="2">
        <v>45337</v>
      </c>
      <c r="D2358" t="s">
        <v>5218</v>
      </c>
      <c r="E2358" t="s">
        <v>5718</v>
      </c>
      <c r="F2358" t="s">
        <v>6027</v>
      </c>
      <c r="G2358" t="s">
        <v>6031</v>
      </c>
      <c r="H2358" t="s">
        <v>6042</v>
      </c>
      <c r="I2358" t="s">
        <v>6050</v>
      </c>
      <c r="J2358" t="s">
        <v>6055</v>
      </c>
      <c r="K2358" t="s">
        <v>6061</v>
      </c>
      <c r="L2358" t="s">
        <v>8138</v>
      </c>
      <c r="M2358">
        <v>1412.64</v>
      </c>
      <c r="N2358">
        <v>4</v>
      </c>
      <c r="O2358">
        <v>0.25</v>
      </c>
      <c r="P2358">
        <v>61.12</v>
      </c>
      <c r="Q2358" t="s">
        <v>9895</v>
      </c>
      <c r="R2358">
        <v>7</v>
      </c>
      <c r="S2358" s="5">
        <f t="shared" si="72"/>
        <v>4.3266508098312374E-2</v>
      </c>
      <c r="T2358">
        <v>353.16</v>
      </c>
      <c r="U2358">
        <v>2</v>
      </c>
      <c r="V2358">
        <v>2024</v>
      </c>
      <c r="W2358">
        <v>1</v>
      </c>
      <c r="X2358" t="s">
        <v>9899</v>
      </c>
      <c r="Y2358" t="s">
        <v>9900</v>
      </c>
      <c r="Z2358" t="s">
        <v>9898</v>
      </c>
      <c r="AD2358">
        <f t="shared" si="73"/>
        <v>7</v>
      </c>
    </row>
    <row r="2359" spans="1:30" x14ac:dyDescent="0.25">
      <c r="A2359" t="s">
        <v>2383</v>
      </c>
      <c r="B2359" s="2">
        <v>45155</v>
      </c>
      <c r="C2359" s="2">
        <v>45159</v>
      </c>
      <c r="D2359" t="s">
        <v>5172</v>
      </c>
      <c r="E2359" t="s">
        <v>5672</v>
      </c>
      <c r="F2359" t="s">
        <v>6027</v>
      </c>
      <c r="G2359" t="s">
        <v>6031</v>
      </c>
      <c r="H2359" t="s">
        <v>6043</v>
      </c>
      <c r="I2359" t="s">
        <v>6052</v>
      </c>
      <c r="J2359" t="s">
        <v>6055</v>
      </c>
      <c r="K2359" t="s">
        <v>6063</v>
      </c>
      <c r="L2359" t="s">
        <v>7260</v>
      </c>
      <c r="M2359">
        <v>1146.6500000000001</v>
      </c>
      <c r="N2359">
        <v>1</v>
      </c>
      <c r="O2359">
        <v>0.22</v>
      </c>
      <c r="P2359">
        <v>-83.89</v>
      </c>
      <c r="Q2359" t="s">
        <v>9894</v>
      </c>
      <c r="R2359">
        <v>4</v>
      </c>
      <c r="S2359" s="5">
        <f t="shared" si="72"/>
        <v>-7.3160947106789331E-2</v>
      </c>
      <c r="T2359">
        <v>1146.6500000000001</v>
      </c>
      <c r="U2359">
        <v>8</v>
      </c>
      <c r="V2359">
        <v>2023</v>
      </c>
      <c r="W2359">
        <v>3</v>
      </c>
      <c r="X2359" t="s">
        <v>9898</v>
      </c>
      <c r="Y2359" t="s">
        <v>9900</v>
      </c>
      <c r="Z2359" t="s">
        <v>9898</v>
      </c>
      <c r="AD2359">
        <f t="shared" si="73"/>
        <v>4</v>
      </c>
    </row>
    <row r="2360" spans="1:30" x14ac:dyDescent="0.25">
      <c r="A2360" t="s">
        <v>2384</v>
      </c>
      <c r="B2360" s="2">
        <v>44921</v>
      </c>
      <c r="C2360" s="2">
        <v>44925</v>
      </c>
      <c r="D2360" t="s">
        <v>5098</v>
      </c>
      <c r="E2360" t="s">
        <v>5598</v>
      </c>
      <c r="F2360" t="s">
        <v>6027</v>
      </c>
      <c r="G2360" t="s">
        <v>6031</v>
      </c>
      <c r="H2360" t="s">
        <v>6037</v>
      </c>
      <c r="I2360" t="s">
        <v>6050</v>
      </c>
      <c r="J2360" t="s">
        <v>6053</v>
      </c>
      <c r="K2360" t="s">
        <v>6056</v>
      </c>
      <c r="L2360" t="s">
        <v>8139</v>
      </c>
      <c r="M2360">
        <v>1336.09</v>
      </c>
      <c r="N2360">
        <v>6</v>
      </c>
      <c r="O2360">
        <v>0.3</v>
      </c>
      <c r="P2360">
        <v>-163.92</v>
      </c>
      <c r="Q2360" t="s">
        <v>9896</v>
      </c>
      <c r="R2360">
        <v>4</v>
      </c>
      <c r="S2360" s="5">
        <f t="shared" si="72"/>
        <v>-0.122686345979687</v>
      </c>
      <c r="T2360">
        <v>222.68166666666659</v>
      </c>
      <c r="U2360">
        <v>12</v>
      </c>
      <c r="V2360">
        <v>2022</v>
      </c>
      <c r="W2360">
        <v>4</v>
      </c>
      <c r="X2360" t="s">
        <v>9898</v>
      </c>
      <c r="Y2360" t="s">
        <v>9900</v>
      </c>
      <c r="Z2360" t="s">
        <v>9898</v>
      </c>
      <c r="AD2360">
        <f t="shared" si="73"/>
        <v>4</v>
      </c>
    </row>
    <row r="2361" spans="1:30" x14ac:dyDescent="0.25">
      <c r="A2361" t="s">
        <v>2385</v>
      </c>
      <c r="B2361" s="2">
        <v>45059</v>
      </c>
      <c r="C2361" s="2">
        <v>45060</v>
      </c>
      <c r="D2361" t="s">
        <v>5267</v>
      </c>
      <c r="E2361" t="s">
        <v>5767</v>
      </c>
      <c r="F2361" t="s">
        <v>6026</v>
      </c>
      <c r="G2361" t="s">
        <v>6029</v>
      </c>
      <c r="H2361" t="s">
        <v>6045</v>
      </c>
      <c r="I2361" t="s">
        <v>6046</v>
      </c>
      <c r="J2361" t="s">
        <v>6054</v>
      </c>
      <c r="K2361" t="s">
        <v>6062</v>
      </c>
      <c r="L2361" t="s">
        <v>8140</v>
      </c>
      <c r="M2361">
        <v>1619.15</v>
      </c>
      <c r="N2361">
        <v>8</v>
      </c>
      <c r="O2361">
        <v>0.21</v>
      </c>
      <c r="P2361">
        <v>44</v>
      </c>
      <c r="Q2361" t="s">
        <v>9896</v>
      </c>
      <c r="R2361">
        <v>1</v>
      </c>
      <c r="S2361" s="5">
        <f t="shared" si="72"/>
        <v>2.7174752184788313E-2</v>
      </c>
      <c r="T2361">
        <v>202.39375000000001</v>
      </c>
      <c r="U2361">
        <v>5</v>
      </c>
      <c r="V2361">
        <v>2023</v>
      </c>
      <c r="W2361">
        <v>2</v>
      </c>
      <c r="X2361" t="s">
        <v>9899</v>
      </c>
      <c r="Y2361" t="s">
        <v>9900</v>
      </c>
      <c r="Z2361" t="s">
        <v>9898</v>
      </c>
      <c r="AD2361">
        <f t="shared" si="73"/>
        <v>1</v>
      </c>
    </row>
    <row r="2362" spans="1:30" x14ac:dyDescent="0.25">
      <c r="A2362" t="s">
        <v>2386</v>
      </c>
      <c r="B2362" s="2">
        <v>45410</v>
      </c>
      <c r="C2362" s="2">
        <v>45416</v>
      </c>
      <c r="D2362" t="s">
        <v>5380</v>
      </c>
      <c r="E2362" t="s">
        <v>5880</v>
      </c>
      <c r="F2362" t="s">
        <v>6027</v>
      </c>
      <c r="G2362" t="s">
        <v>6031</v>
      </c>
      <c r="H2362" t="s">
        <v>6042</v>
      </c>
      <c r="I2362" t="s">
        <v>6048</v>
      </c>
      <c r="J2362" t="s">
        <v>6053</v>
      </c>
      <c r="K2362" t="s">
        <v>6056</v>
      </c>
      <c r="L2362" t="s">
        <v>8141</v>
      </c>
      <c r="M2362">
        <v>260.61</v>
      </c>
      <c r="N2362">
        <v>1</v>
      </c>
      <c r="O2362">
        <v>0.31</v>
      </c>
      <c r="P2362">
        <v>-46.65</v>
      </c>
      <c r="Q2362" t="s">
        <v>9896</v>
      </c>
      <c r="R2362">
        <v>6</v>
      </c>
      <c r="S2362" s="5">
        <f t="shared" si="72"/>
        <v>-0.17900310809255207</v>
      </c>
      <c r="T2362">
        <v>260.61</v>
      </c>
      <c r="U2362">
        <v>4</v>
      </c>
      <c r="V2362">
        <v>2024</v>
      </c>
      <c r="W2362">
        <v>2</v>
      </c>
      <c r="X2362" t="s">
        <v>9898</v>
      </c>
      <c r="Y2362" t="s">
        <v>9902</v>
      </c>
      <c r="Z2362" t="s">
        <v>9899</v>
      </c>
      <c r="AD2362">
        <f t="shared" si="73"/>
        <v>6</v>
      </c>
    </row>
    <row r="2363" spans="1:30" x14ac:dyDescent="0.25">
      <c r="A2363" t="s">
        <v>2387</v>
      </c>
      <c r="B2363" s="2">
        <v>45220</v>
      </c>
      <c r="C2363" s="2">
        <v>45227</v>
      </c>
      <c r="D2363" t="s">
        <v>5224</v>
      </c>
      <c r="E2363" t="s">
        <v>5724</v>
      </c>
      <c r="F2363" t="s">
        <v>6028</v>
      </c>
      <c r="G2363" t="s">
        <v>6029</v>
      </c>
      <c r="H2363" t="s">
        <v>6044</v>
      </c>
      <c r="I2363" t="s">
        <v>6049</v>
      </c>
      <c r="J2363" t="s">
        <v>6054</v>
      </c>
      <c r="K2363" t="s">
        <v>6059</v>
      </c>
      <c r="L2363" t="s">
        <v>6946</v>
      </c>
      <c r="M2363">
        <v>1696.75</v>
      </c>
      <c r="N2363">
        <v>2</v>
      </c>
      <c r="O2363">
        <v>0.11</v>
      </c>
      <c r="P2363">
        <v>272.74</v>
      </c>
      <c r="Q2363" t="s">
        <v>9893</v>
      </c>
      <c r="R2363">
        <v>7</v>
      </c>
      <c r="S2363" s="5">
        <f t="shared" si="72"/>
        <v>0.16074259613967881</v>
      </c>
      <c r="T2363">
        <v>848.375</v>
      </c>
      <c r="U2363">
        <v>10</v>
      </c>
      <c r="V2363">
        <v>2023</v>
      </c>
      <c r="W2363">
        <v>4</v>
      </c>
      <c r="X2363" t="s">
        <v>9899</v>
      </c>
      <c r="Y2363" t="s">
        <v>9901</v>
      </c>
      <c r="Z2363" t="s">
        <v>9898</v>
      </c>
      <c r="AD2363">
        <f t="shared" si="73"/>
        <v>7</v>
      </c>
    </row>
    <row r="2364" spans="1:30" x14ac:dyDescent="0.25">
      <c r="A2364" t="s">
        <v>2388</v>
      </c>
      <c r="B2364" s="2">
        <v>45245</v>
      </c>
      <c r="C2364" s="2">
        <v>45246</v>
      </c>
      <c r="D2364" t="s">
        <v>5194</v>
      </c>
      <c r="E2364" t="s">
        <v>5694</v>
      </c>
      <c r="F2364" t="s">
        <v>6026</v>
      </c>
      <c r="G2364" t="s">
        <v>6029</v>
      </c>
      <c r="H2364" t="s">
        <v>6041</v>
      </c>
      <c r="I2364" t="s">
        <v>6049</v>
      </c>
      <c r="J2364" t="s">
        <v>6053</v>
      </c>
      <c r="K2364" t="s">
        <v>6058</v>
      </c>
      <c r="L2364" t="s">
        <v>8142</v>
      </c>
      <c r="M2364">
        <v>1692.23</v>
      </c>
      <c r="N2364">
        <v>7</v>
      </c>
      <c r="O2364">
        <v>0.2</v>
      </c>
      <c r="P2364">
        <v>105.83</v>
      </c>
      <c r="Q2364" t="s">
        <v>9895</v>
      </c>
      <c r="R2364">
        <v>1</v>
      </c>
      <c r="S2364" s="5">
        <f t="shared" si="72"/>
        <v>6.2538780189454149E-2</v>
      </c>
      <c r="T2364">
        <v>241.74714285714279</v>
      </c>
      <c r="U2364">
        <v>11</v>
      </c>
      <c r="V2364">
        <v>2023</v>
      </c>
      <c r="W2364">
        <v>4</v>
      </c>
      <c r="X2364" t="s">
        <v>9899</v>
      </c>
      <c r="Y2364" t="s">
        <v>9900</v>
      </c>
      <c r="Z2364" t="s">
        <v>9898</v>
      </c>
      <c r="AD2364">
        <f t="shared" si="73"/>
        <v>1</v>
      </c>
    </row>
    <row r="2365" spans="1:30" x14ac:dyDescent="0.25">
      <c r="A2365" t="s">
        <v>2389</v>
      </c>
      <c r="B2365" s="2">
        <v>45014</v>
      </c>
      <c r="C2365" s="2">
        <v>45021</v>
      </c>
      <c r="D2365" t="s">
        <v>5220</v>
      </c>
      <c r="E2365" t="s">
        <v>5720</v>
      </c>
      <c r="F2365" t="s">
        <v>6026</v>
      </c>
      <c r="G2365" t="s">
        <v>6029</v>
      </c>
      <c r="H2365" t="s">
        <v>6044</v>
      </c>
      <c r="I2365" t="s">
        <v>6049</v>
      </c>
      <c r="J2365" t="s">
        <v>6054</v>
      </c>
      <c r="K2365" t="s">
        <v>6059</v>
      </c>
      <c r="L2365" t="s">
        <v>8143</v>
      </c>
      <c r="M2365">
        <v>467.94</v>
      </c>
      <c r="N2365">
        <v>6</v>
      </c>
      <c r="O2365">
        <v>0.05</v>
      </c>
      <c r="P2365">
        <v>31.48</v>
      </c>
      <c r="Q2365" t="s">
        <v>9896</v>
      </c>
      <c r="R2365">
        <v>7</v>
      </c>
      <c r="S2365" s="5">
        <f t="shared" si="72"/>
        <v>6.7273582083173064E-2</v>
      </c>
      <c r="T2365">
        <v>77.989999999999995</v>
      </c>
      <c r="U2365">
        <v>3</v>
      </c>
      <c r="V2365">
        <v>2023</v>
      </c>
      <c r="W2365">
        <v>1</v>
      </c>
      <c r="X2365" t="s">
        <v>9899</v>
      </c>
      <c r="Y2365" t="s">
        <v>9901</v>
      </c>
      <c r="Z2365" t="s">
        <v>9899</v>
      </c>
      <c r="AD2365">
        <f t="shared" si="73"/>
        <v>7</v>
      </c>
    </row>
    <row r="2366" spans="1:30" x14ac:dyDescent="0.25">
      <c r="A2366" t="s">
        <v>2390</v>
      </c>
      <c r="B2366" s="2">
        <v>44697</v>
      </c>
      <c r="C2366" s="2">
        <v>44704</v>
      </c>
      <c r="D2366" t="s">
        <v>5200</v>
      </c>
      <c r="E2366" t="s">
        <v>5700</v>
      </c>
      <c r="F2366" t="s">
        <v>6027</v>
      </c>
      <c r="G2366" t="s">
        <v>6030</v>
      </c>
      <c r="H2366" t="s">
        <v>6033</v>
      </c>
      <c r="I2366" t="s">
        <v>6047</v>
      </c>
      <c r="J2366" t="s">
        <v>6055</v>
      </c>
      <c r="K2366" t="s">
        <v>6061</v>
      </c>
      <c r="L2366" t="s">
        <v>7779</v>
      </c>
      <c r="M2366">
        <v>251.55</v>
      </c>
      <c r="N2366">
        <v>7</v>
      </c>
      <c r="O2366">
        <v>0.34</v>
      </c>
      <c r="P2366">
        <v>-57.36</v>
      </c>
      <c r="Q2366" t="s">
        <v>9893</v>
      </c>
      <c r="R2366">
        <v>7</v>
      </c>
      <c r="S2366" s="5">
        <f t="shared" si="72"/>
        <v>-0.22802623732856289</v>
      </c>
      <c r="T2366">
        <v>35.93571428571429</v>
      </c>
      <c r="U2366">
        <v>5</v>
      </c>
      <c r="V2366">
        <v>2022</v>
      </c>
      <c r="W2366">
        <v>2</v>
      </c>
      <c r="X2366" t="s">
        <v>9898</v>
      </c>
      <c r="Y2366" t="s">
        <v>9902</v>
      </c>
      <c r="Z2366" t="s">
        <v>9899</v>
      </c>
      <c r="AD2366">
        <f t="shared" si="73"/>
        <v>7</v>
      </c>
    </row>
    <row r="2367" spans="1:30" x14ac:dyDescent="0.25">
      <c r="A2367" t="s">
        <v>2391</v>
      </c>
      <c r="B2367" s="2">
        <v>45085</v>
      </c>
      <c r="C2367" s="2">
        <v>45086</v>
      </c>
      <c r="D2367" t="s">
        <v>5144</v>
      </c>
      <c r="E2367" t="s">
        <v>5644</v>
      </c>
      <c r="F2367" t="s">
        <v>6027</v>
      </c>
      <c r="G2367" t="s">
        <v>6031</v>
      </c>
      <c r="H2367" t="s">
        <v>6043</v>
      </c>
      <c r="I2367" t="s">
        <v>6048</v>
      </c>
      <c r="J2367" t="s">
        <v>6055</v>
      </c>
      <c r="K2367" t="s">
        <v>6064</v>
      </c>
      <c r="L2367" t="s">
        <v>6866</v>
      </c>
      <c r="M2367">
        <v>1212.23</v>
      </c>
      <c r="N2367">
        <v>7</v>
      </c>
      <c r="O2367">
        <v>0.11</v>
      </c>
      <c r="P2367">
        <v>103.49</v>
      </c>
      <c r="Q2367" t="s">
        <v>9894</v>
      </c>
      <c r="R2367">
        <v>1</v>
      </c>
      <c r="S2367" s="5">
        <f t="shared" si="72"/>
        <v>8.5371587899985973E-2</v>
      </c>
      <c r="T2367">
        <v>173.17571428571429</v>
      </c>
      <c r="U2367">
        <v>6</v>
      </c>
      <c r="V2367">
        <v>2023</v>
      </c>
      <c r="W2367">
        <v>2</v>
      </c>
      <c r="X2367" t="s">
        <v>9899</v>
      </c>
      <c r="Y2367" t="s">
        <v>9901</v>
      </c>
      <c r="Z2367" t="s">
        <v>9898</v>
      </c>
      <c r="AD2367">
        <f t="shared" si="73"/>
        <v>1</v>
      </c>
    </row>
    <row r="2368" spans="1:30" x14ac:dyDescent="0.25">
      <c r="A2368" t="s">
        <v>2392</v>
      </c>
      <c r="B2368" s="2">
        <v>45049</v>
      </c>
      <c r="C2368" s="2">
        <v>45052</v>
      </c>
      <c r="D2368" t="s">
        <v>5451</v>
      </c>
      <c r="E2368" t="s">
        <v>5951</v>
      </c>
      <c r="F2368" t="s">
        <v>6026</v>
      </c>
      <c r="G2368" t="s">
        <v>6031</v>
      </c>
      <c r="H2368" t="s">
        <v>6040</v>
      </c>
      <c r="I2368" t="s">
        <v>6052</v>
      </c>
      <c r="J2368" t="s">
        <v>6055</v>
      </c>
      <c r="K2368" t="s">
        <v>6064</v>
      </c>
      <c r="L2368" t="s">
        <v>8144</v>
      </c>
      <c r="M2368">
        <v>1283.1400000000001</v>
      </c>
      <c r="N2368">
        <v>1</v>
      </c>
      <c r="O2368">
        <v>0.11</v>
      </c>
      <c r="P2368">
        <v>1.18</v>
      </c>
      <c r="Q2368" t="s">
        <v>9893</v>
      </c>
      <c r="R2368">
        <v>3</v>
      </c>
      <c r="S2368" s="5">
        <f t="shared" si="72"/>
        <v>9.1961905949467697E-4</v>
      </c>
      <c r="T2368">
        <v>1283.1400000000001</v>
      </c>
      <c r="U2368">
        <v>5</v>
      </c>
      <c r="V2368">
        <v>2023</v>
      </c>
      <c r="W2368">
        <v>2</v>
      </c>
      <c r="X2368" t="s">
        <v>9899</v>
      </c>
      <c r="Y2368" t="s">
        <v>9901</v>
      </c>
      <c r="Z2368" t="s">
        <v>9898</v>
      </c>
      <c r="AD2368">
        <f t="shared" si="73"/>
        <v>3</v>
      </c>
    </row>
    <row r="2369" spans="1:30" x14ac:dyDescent="0.25">
      <c r="A2369" t="s">
        <v>2393</v>
      </c>
      <c r="B2369" s="2">
        <v>45411</v>
      </c>
      <c r="C2369" s="2">
        <v>45416</v>
      </c>
      <c r="D2369" t="s">
        <v>5436</v>
      </c>
      <c r="E2369" t="s">
        <v>5936</v>
      </c>
      <c r="F2369" t="s">
        <v>6028</v>
      </c>
      <c r="G2369" t="s">
        <v>6030</v>
      </c>
      <c r="H2369" t="s">
        <v>6039</v>
      </c>
      <c r="I2369" t="s">
        <v>6051</v>
      </c>
      <c r="J2369" t="s">
        <v>6054</v>
      </c>
      <c r="K2369" t="s">
        <v>6060</v>
      </c>
      <c r="L2369" t="s">
        <v>7610</v>
      </c>
      <c r="M2369">
        <v>982.22</v>
      </c>
      <c r="N2369">
        <v>4</v>
      </c>
      <c r="O2369">
        <v>0.32</v>
      </c>
      <c r="P2369">
        <v>-177.65</v>
      </c>
      <c r="Q2369" t="s">
        <v>9895</v>
      </c>
      <c r="R2369">
        <v>5</v>
      </c>
      <c r="S2369" s="5">
        <f t="shared" si="72"/>
        <v>-0.18086579381401316</v>
      </c>
      <c r="T2369">
        <v>245.55500000000001</v>
      </c>
      <c r="U2369">
        <v>4</v>
      </c>
      <c r="V2369">
        <v>2024</v>
      </c>
      <c r="W2369">
        <v>2</v>
      </c>
      <c r="X2369" t="s">
        <v>9898</v>
      </c>
      <c r="Y2369" t="s">
        <v>9902</v>
      </c>
      <c r="Z2369" t="s">
        <v>9899</v>
      </c>
      <c r="AD2369">
        <f t="shared" si="73"/>
        <v>5</v>
      </c>
    </row>
    <row r="2370" spans="1:30" x14ac:dyDescent="0.25">
      <c r="A2370" t="s">
        <v>2394</v>
      </c>
      <c r="B2370" s="2">
        <v>44852</v>
      </c>
      <c r="C2370" s="2">
        <v>44858</v>
      </c>
      <c r="D2370" t="s">
        <v>5366</v>
      </c>
      <c r="E2370" t="s">
        <v>5866</v>
      </c>
      <c r="F2370" t="s">
        <v>6027</v>
      </c>
      <c r="G2370" t="s">
        <v>6030</v>
      </c>
      <c r="H2370" t="s">
        <v>6035</v>
      </c>
      <c r="I2370" t="s">
        <v>6051</v>
      </c>
      <c r="J2370" t="s">
        <v>6053</v>
      </c>
      <c r="K2370" t="s">
        <v>6056</v>
      </c>
      <c r="L2370" t="s">
        <v>8145</v>
      </c>
      <c r="M2370">
        <v>735.95</v>
      </c>
      <c r="N2370">
        <v>1</v>
      </c>
      <c r="O2370">
        <v>0.1</v>
      </c>
      <c r="P2370">
        <v>85.21</v>
      </c>
      <c r="Q2370" t="s">
        <v>9893</v>
      </c>
      <c r="R2370">
        <v>6</v>
      </c>
      <c r="S2370" s="5">
        <f t="shared" si="72"/>
        <v>0.11578232216862556</v>
      </c>
      <c r="T2370">
        <v>735.95</v>
      </c>
      <c r="U2370">
        <v>10</v>
      </c>
      <c r="V2370">
        <v>2022</v>
      </c>
      <c r="W2370">
        <v>4</v>
      </c>
      <c r="X2370" t="s">
        <v>9899</v>
      </c>
      <c r="Y2370" t="s">
        <v>9901</v>
      </c>
      <c r="Z2370" t="s">
        <v>9899</v>
      </c>
      <c r="AD2370">
        <f t="shared" si="73"/>
        <v>6</v>
      </c>
    </row>
    <row r="2371" spans="1:30" x14ac:dyDescent="0.25">
      <c r="A2371" t="s">
        <v>2395</v>
      </c>
      <c r="B2371" s="2">
        <v>45404</v>
      </c>
      <c r="C2371" s="2">
        <v>45410</v>
      </c>
      <c r="D2371" t="s">
        <v>5488</v>
      </c>
      <c r="E2371" t="s">
        <v>5988</v>
      </c>
      <c r="F2371" t="s">
        <v>6026</v>
      </c>
      <c r="G2371" t="s">
        <v>6030</v>
      </c>
      <c r="H2371" t="s">
        <v>6038</v>
      </c>
      <c r="I2371" t="s">
        <v>6047</v>
      </c>
      <c r="J2371" t="s">
        <v>6055</v>
      </c>
      <c r="K2371" t="s">
        <v>6064</v>
      </c>
      <c r="L2371" t="s">
        <v>8146</v>
      </c>
      <c r="M2371">
        <v>1283.47</v>
      </c>
      <c r="N2371">
        <v>6</v>
      </c>
      <c r="O2371">
        <v>0.19</v>
      </c>
      <c r="P2371">
        <v>24.3</v>
      </c>
      <c r="Q2371" t="s">
        <v>9897</v>
      </c>
      <c r="R2371">
        <v>6</v>
      </c>
      <c r="S2371" s="5">
        <f t="shared" ref="S2371:S2434" si="74">P2371/M2371</f>
        <v>1.8933048688321505E-2</v>
      </c>
      <c r="T2371">
        <v>213.91166666666669</v>
      </c>
      <c r="U2371">
        <v>4</v>
      </c>
      <c r="V2371">
        <v>2024</v>
      </c>
      <c r="W2371">
        <v>2</v>
      </c>
      <c r="X2371" t="s">
        <v>9899</v>
      </c>
      <c r="Y2371" t="s">
        <v>9900</v>
      </c>
      <c r="Z2371" t="s">
        <v>9898</v>
      </c>
      <c r="AD2371">
        <f t="shared" ref="AD2371:AD2434" si="75">C2371-B2371</f>
        <v>6</v>
      </c>
    </row>
    <row r="2372" spans="1:30" x14ac:dyDescent="0.25">
      <c r="A2372" t="s">
        <v>2396</v>
      </c>
      <c r="B2372" s="2">
        <v>45455</v>
      </c>
      <c r="C2372" s="2">
        <v>45458</v>
      </c>
      <c r="D2372" t="s">
        <v>5319</v>
      </c>
      <c r="E2372" t="s">
        <v>5819</v>
      </c>
      <c r="F2372" t="s">
        <v>6027</v>
      </c>
      <c r="G2372" t="s">
        <v>6030</v>
      </c>
      <c r="H2372" t="s">
        <v>6039</v>
      </c>
      <c r="I2372" t="s">
        <v>6051</v>
      </c>
      <c r="J2372" t="s">
        <v>6055</v>
      </c>
      <c r="K2372" t="s">
        <v>6064</v>
      </c>
      <c r="L2372" t="s">
        <v>8147</v>
      </c>
      <c r="M2372">
        <v>858.79</v>
      </c>
      <c r="N2372">
        <v>8</v>
      </c>
      <c r="O2372">
        <v>0.09</v>
      </c>
      <c r="P2372">
        <v>76.16</v>
      </c>
      <c r="Q2372" t="s">
        <v>9895</v>
      </c>
      <c r="R2372">
        <v>3</v>
      </c>
      <c r="S2372" s="5">
        <f t="shared" si="74"/>
        <v>8.868291433295683E-2</v>
      </c>
      <c r="T2372">
        <v>107.34875</v>
      </c>
      <c r="U2372">
        <v>6</v>
      </c>
      <c r="V2372">
        <v>2024</v>
      </c>
      <c r="W2372">
        <v>2</v>
      </c>
      <c r="X2372" t="s">
        <v>9899</v>
      </c>
      <c r="Y2372" t="s">
        <v>9901</v>
      </c>
      <c r="Z2372" t="s">
        <v>9899</v>
      </c>
      <c r="AD2372">
        <f t="shared" si="75"/>
        <v>3</v>
      </c>
    </row>
    <row r="2373" spans="1:30" x14ac:dyDescent="0.25">
      <c r="A2373" t="s">
        <v>2397</v>
      </c>
      <c r="B2373" s="2">
        <v>44741</v>
      </c>
      <c r="C2373" s="2">
        <v>44743</v>
      </c>
      <c r="D2373" t="s">
        <v>5111</v>
      </c>
      <c r="E2373" t="s">
        <v>5611</v>
      </c>
      <c r="F2373" t="s">
        <v>6028</v>
      </c>
      <c r="G2373" t="s">
        <v>6031</v>
      </c>
      <c r="H2373" t="s">
        <v>6034</v>
      </c>
      <c r="I2373" t="s">
        <v>6052</v>
      </c>
      <c r="J2373" t="s">
        <v>6053</v>
      </c>
      <c r="K2373" t="s">
        <v>6056</v>
      </c>
      <c r="L2373" t="s">
        <v>8148</v>
      </c>
      <c r="M2373">
        <v>1332.15</v>
      </c>
      <c r="N2373">
        <v>1</v>
      </c>
      <c r="O2373">
        <v>0</v>
      </c>
      <c r="P2373">
        <v>204.46</v>
      </c>
      <c r="Q2373" t="s">
        <v>9895</v>
      </c>
      <c r="R2373">
        <v>2</v>
      </c>
      <c r="S2373" s="5">
        <f t="shared" si="74"/>
        <v>0.15348121457793792</v>
      </c>
      <c r="T2373">
        <v>1332.15</v>
      </c>
      <c r="U2373">
        <v>6</v>
      </c>
      <c r="V2373">
        <v>2022</v>
      </c>
      <c r="W2373">
        <v>2</v>
      </c>
      <c r="X2373" t="s">
        <v>9899</v>
      </c>
      <c r="Y2373" t="s">
        <v>9901</v>
      </c>
      <c r="Z2373" t="s">
        <v>9898</v>
      </c>
      <c r="AD2373">
        <f t="shared" si="75"/>
        <v>2</v>
      </c>
    </row>
    <row r="2374" spans="1:30" x14ac:dyDescent="0.25">
      <c r="A2374" t="s">
        <v>2398</v>
      </c>
      <c r="B2374" s="2">
        <v>44844</v>
      </c>
      <c r="C2374" s="2">
        <v>44848</v>
      </c>
      <c r="D2374" t="s">
        <v>5150</v>
      </c>
      <c r="E2374" t="s">
        <v>5650</v>
      </c>
      <c r="F2374" t="s">
        <v>6027</v>
      </c>
      <c r="G2374" t="s">
        <v>6031</v>
      </c>
      <c r="H2374" t="s">
        <v>6037</v>
      </c>
      <c r="I2374" t="s">
        <v>6052</v>
      </c>
      <c r="J2374" t="s">
        <v>6055</v>
      </c>
      <c r="K2374" t="s">
        <v>6064</v>
      </c>
      <c r="L2374" t="s">
        <v>8149</v>
      </c>
      <c r="M2374">
        <v>1091.8800000000001</v>
      </c>
      <c r="N2374">
        <v>2</v>
      </c>
      <c r="O2374">
        <v>0.26</v>
      </c>
      <c r="P2374">
        <v>-36.21</v>
      </c>
      <c r="Q2374" t="s">
        <v>9895</v>
      </c>
      <c r="R2374">
        <v>4</v>
      </c>
      <c r="S2374" s="5">
        <f t="shared" si="74"/>
        <v>-3.3162984943400371E-2</v>
      </c>
      <c r="T2374">
        <v>545.94000000000005</v>
      </c>
      <c r="U2374">
        <v>10</v>
      </c>
      <c r="V2374">
        <v>2022</v>
      </c>
      <c r="W2374">
        <v>4</v>
      </c>
      <c r="X2374" t="s">
        <v>9898</v>
      </c>
      <c r="Y2374" t="s">
        <v>9900</v>
      </c>
      <c r="Z2374" t="s">
        <v>9898</v>
      </c>
      <c r="AD2374">
        <f t="shared" si="75"/>
        <v>4</v>
      </c>
    </row>
    <row r="2375" spans="1:30" x14ac:dyDescent="0.25">
      <c r="A2375" t="s">
        <v>2399</v>
      </c>
      <c r="B2375" s="2">
        <v>45264</v>
      </c>
      <c r="C2375" s="2">
        <v>45270</v>
      </c>
      <c r="D2375" t="s">
        <v>5347</v>
      </c>
      <c r="E2375" t="s">
        <v>5847</v>
      </c>
      <c r="F2375" t="s">
        <v>6028</v>
      </c>
      <c r="G2375" t="s">
        <v>6031</v>
      </c>
      <c r="H2375" t="s">
        <v>6043</v>
      </c>
      <c r="I2375" t="s">
        <v>6052</v>
      </c>
      <c r="J2375" t="s">
        <v>6054</v>
      </c>
      <c r="K2375" t="s">
        <v>6060</v>
      </c>
      <c r="L2375" t="s">
        <v>8150</v>
      </c>
      <c r="M2375">
        <v>997.32</v>
      </c>
      <c r="N2375">
        <v>4</v>
      </c>
      <c r="O2375">
        <v>0.3</v>
      </c>
      <c r="P2375">
        <v>-29.11</v>
      </c>
      <c r="Q2375" t="s">
        <v>9897</v>
      </c>
      <c r="R2375">
        <v>6</v>
      </c>
      <c r="S2375" s="5">
        <f t="shared" si="74"/>
        <v>-2.9188224441503225E-2</v>
      </c>
      <c r="T2375">
        <v>249.33</v>
      </c>
      <c r="U2375">
        <v>12</v>
      </c>
      <c r="V2375">
        <v>2023</v>
      </c>
      <c r="W2375">
        <v>4</v>
      </c>
      <c r="X2375" t="s">
        <v>9898</v>
      </c>
      <c r="Y2375" t="s">
        <v>9900</v>
      </c>
      <c r="Z2375" t="s">
        <v>9899</v>
      </c>
      <c r="AD2375">
        <f t="shared" si="75"/>
        <v>6</v>
      </c>
    </row>
    <row r="2376" spans="1:30" x14ac:dyDescent="0.25">
      <c r="A2376" t="s">
        <v>2400</v>
      </c>
      <c r="B2376" s="2">
        <v>44584</v>
      </c>
      <c r="C2376" s="2">
        <v>44585</v>
      </c>
      <c r="D2376" t="s">
        <v>5323</v>
      </c>
      <c r="E2376" t="s">
        <v>5823</v>
      </c>
      <c r="F2376" t="s">
        <v>6027</v>
      </c>
      <c r="G2376" t="s">
        <v>6029</v>
      </c>
      <c r="H2376" t="s">
        <v>6045</v>
      </c>
      <c r="I2376" t="s">
        <v>6049</v>
      </c>
      <c r="J2376" t="s">
        <v>6055</v>
      </c>
      <c r="K2376" t="s">
        <v>6061</v>
      </c>
      <c r="L2376" t="s">
        <v>8151</v>
      </c>
      <c r="M2376">
        <v>1201.33</v>
      </c>
      <c r="N2376">
        <v>3</v>
      </c>
      <c r="O2376">
        <v>0.04</v>
      </c>
      <c r="P2376">
        <v>184.67</v>
      </c>
      <c r="Q2376" t="s">
        <v>9897</v>
      </c>
      <c r="R2376">
        <v>1</v>
      </c>
      <c r="S2376" s="5">
        <f t="shared" si="74"/>
        <v>0.15372129223444017</v>
      </c>
      <c r="T2376">
        <v>400.44333333333333</v>
      </c>
      <c r="U2376">
        <v>1</v>
      </c>
      <c r="V2376">
        <v>2022</v>
      </c>
      <c r="W2376">
        <v>1</v>
      </c>
      <c r="X2376" t="s">
        <v>9899</v>
      </c>
      <c r="Y2376" t="s">
        <v>9901</v>
      </c>
      <c r="Z2376" t="s">
        <v>9898</v>
      </c>
      <c r="AD2376">
        <f t="shared" si="75"/>
        <v>1</v>
      </c>
    </row>
    <row r="2377" spans="1:30" x14ac:dyDescent="0.25">
      <c r="A2377" t="s">
        <v>2401</v>
      </c>
      <c r="B2377" s="2">
        <v>45303</v>
      </c>
      <c r="C2377" s="2">
        <v>45307</v>
      </c>
      <c r="D2377" t="s">
        <v>5484</v>
      </c>
      <c r="E2377" t="s">
        <v>5984</v>
      </c>
      <c r="F2377" t="s">
        <v>6026</v>
      </c>
      <c r="G2377" t="s">
        <v>6029</v>
      </c>
      <c r="H2377" t="s">
        <v>6036</v>
      </c>
      <c r="I2377" t="s">
        <v>6049</v>
      </c>
      <c r="J2377" t="s">
        <v>6054</v>
      </c>
      <c r="K2377" t="s">
        <v>6059</v>
      </c>
      <c r="L2377" t="s">
        <v>8152</v>
      </c>
      <c r="M2377">
        <v>1705.66</v>
      </c>
      <c r="N2377">
        <v>4</v>
      </c>
      <c r="O2377">
        <v>0.06</v>
      </c>
      <c r="P2377">
        <v>378.55</v>
      </c>
      <c r="Q2377" t="s">
        <v>9896</v>
      </c>
      <c r="R2377">
        <v>4</v>
      </c>
      <c r="S2377" s="5">
        <f t="shared" si="74"/>
        <v>0.22193754910122768</v>
      </c>
      <c r="T2377">
        <v>426.41500000000002</v>
      </c>
      <c r="U2377">
        <v>1</v>
      </c>
      <c r="V2377">
        <v>2024</v>
      </c>
      <c r="W2377">
        <v>1</v>
      </c>
      <c r="X2377" t="s">
        <v>9899</v>
      </c>
      <c r="Y2377" t="s">
        <v>9901</v>
      </c>
      <c r="Z2377" t="s">
        <v>9898</v>
      </c>
      <c r="AD2377">
        <f t="shared" si="75"/>
        <v>4</v>
      </c>
    </row>
    <row r="2378" spans="1:30" x14ac:dyDescent="0.25">
      <c r="A2378" t="s">
        <v>2402</v>
      </c>
      <c r="B2378" s="2">
        <v>45193</v>
      </c>
      <c r="C2378" s="2">
        <v>45198</v>
      </c>
      <c r="D2378" t="s">
        <v>5469</v>
      </c>
      <c r="E2378" t="s">
        <v>5969</v>
      </c>
      <c r="F2378" t="s">
        <v>6026</v>
      </c>
      <c r="G2378" t="s">
        <v>6030</v>
      </c>
      <c r="H2378" t="s">
        <v>6039</v>
      </c>
      <c r="I2378" t="s">
        <v>6051</v>
      </c>
      <c r="J2378" t="s">
        <v>6053</v>
      </c>
      <c r="K2378" t="s">
        <v>6058</v>
      </c>
      <c r="L2378" t="s">
        <v>8153</v>
      </c>
      <c r="M2378">
        <v>468.88</v>
      </c>
      <c r="N2378">
        <v>8</v>
      </c>
      <c r="O2378">
        <v>0.05</v>
      </c>
      <c r="P2378">
        <v>70.61</v>
      </c>
      <c r="Q2378" t="s">
        <v>9895</v>
      </c>
      <c r="R2378">
        <v>5</v>
      </c>
      <c r="S2378" s="5">
        <f t="shared" si="74"/>
        <v>0.15059290223511346</v>
      </c>
      <c r="T2378">
        <v>58.61</v>
      </c>
      <c r="U2378">
        <v>9</v>
      </c>
      <c r="V2378">
        <v>2023</v>
      </c>
      <c r="W2378">
        <v>3</v>
      </c>
      <c r="X2378" t="s">
        <v>9899</v>
      </c>
      <c r="Y2378" t="s">
        <v>9901</v>
      </c>
      <c r="Z2378" t="s">
        <v>9899</v>
      </c>
      <c r="AD2378">
        <f t="shared" si="75"/>
        <v>5</v>
      </c>
    </row>
    <row r="2379" spans="1:30" x14ac:dyDescent="0.25">
      <c r="A2379" t="s">
        <v>2403</v>
      </c>
      <c r="B2379" s="2">
        <v>45262</v>
      </c>
      <c r="C2379" s="2">
        <v>45269</v>
      </c>
      <c r="D2379" t="s">
        <v>5033</v>
      </c>
      <c r="E2379" t="s">
        <v>5533</v>
      </c>
      <c r="F2379" t="s">
        <v>6027</v>
      </c>
      <c r="G2379" t="s">
        <v>6029</v>
      </c>
      <c r="H2379" t="s">
        <v>6041</v>
      </c>
      <c r="I2379" t="s">
        <v>6046</v>
      </c>
      <c r="J2379" t="s">
        <v>6054</v>
      </c>
      <c r="K2379" t="s">
        <v>6062</v>
      </c>
      <c r="L2379" t="s">
        <v>7620</v>
      </c>
      <c r="M2379">
        <v>417.39</v>
      </c>
      <c r="N2379">
        <v>5</v>
      </c>
      <c r="O2379">
        <v>0.01</v>
      </c>
      <c r="P2379">
        <v>53.92</v>
      </c>
      <c r="Q2379" t="s">
        <v>9895</v>
      </c>
      <c r="R2379">
        <v>7</v>
      </c>
      <c r="S2379" s="5">
        <f t="shared" si="74"/>
        <v>0.12918373703251157</v>
      </c>
      <c r="T2379">
        <v>83.477999999999994</v>
      </c>
      <c r="U2379">
        <v>12</v>
      </c>
      <c r="V2379">
        <v>2023</v>
      </c>
      <c r="W2379">
        <v>4</v>
      </c>
      <c r="X2379" t="s">
        <v>9899</v>
      </c>
      <c r="Y2379" t="s">
        <v>9901</v>
      </c>
      <c r="Z2379" t="s">
        <v>9899</v>
      </c>
      <c r="AD2379">
        <f t="shared" si="75"/>
        <v>7</v>
      </c>
    </row>
    <row r="2380" spans="1:30" x14ac:dyDescent="0.25">
      <c r="A2380" t="s">
        <v>2404</v>
      </c>
      <c r="B2380" s="2">
        <v>44882</v>
      </c>
      <c r="C2380" s="2">
        <v>44883</v>
      </c>
      <c r="D2380" t="s">
        <v>5104</v>
      </c>
      <c r="E2380" t="s">
        <v>5604</v>
      </c>
      <c r="F2380" t="s">
        <v>6026</v>
      </c>
      <c r="G2380" t="s">
        <v>6031</v>
      </c>
      <c r="H2380" t="s">
        <v>6037</v>
      </c>
      <c r="I2380" t="s">
        <v>6050</v>
      </c>
      <c r="J2380" t="s">
        <v>6054</v>
      </c>
      <c r="K2380" t="s">
        <v>6062</v>
      </c>
      <c r="L2380" t="s">
        <v>8154</v>
      </c>
      <c r="M2380">
        <v>1388.38</v>
      </c>
      <c r="N2380">
        <v>8</v>
      </c>
      <c r="O2380">
        <v>0.12</v>
      </c>
      <c r="P2380">
        <v>28.54</v>
      </c>
      <c r="Q2380" t="s">
        <v>9897</v>
      </c>
      <c r="R2380">
        <v>1</v>
      </c>
      <c r="S2380" s="5">
        <f t="shared" si="74"/>
        <v>2.0556331839986168E-2</v>
      </c>
      <c r="T2380">
        <v>173.54750000000001</v>
      </c>
      <c r="U2380">
        <v>11</v>
      </c>
      <c r="V2380">
        <v>2022</v>
      </c>
      <c r="W2380">
        <v>4</v>
      </c>
      <c r="X2380" t="s">
        <v>9899</v>
      </c>
      <c r="Y2380" t="s">
        <v>9901</v>
      </c>
      <c r="Z2380" t="s">
        <v>9898</v>
      </c>
      <c r="AD2380">
        <f t="shared" si="75"/>
        <v>1</v>
      </c>
    </row>
    <row r="2381" spans="1:30" x14ac:dyDescent="0.25">
      <c r="A2381" t="s">
        <v>2405</v>
      </c>
      <c r="B2381" s="2">
        <v>44907</v>
      </c>
      <c r="C2381" s="2">
        <v>44910</v>
      </c>
      <c r="D2381" t="s">
        <v>5445</v>
      </c>
      <c r="E2381" t="s">
        <v>5945</v>
      </c>
      <c r="F2381" t="s">
        <v>6028</v>
      </c>
      <c r="G2381" t="s">
        <v>6029</v>
      </c>
      <c r="H2381" t="s">
        <v>6044</v>
      </c>
      <c r="I2381" t="s">
        <v>6046</v>
      </c>
      <c r="J2381" t="s">
        <v>6055</v>
      </c>
      <c r="K2381" t="s">
        <v>6064</v>
      </c>
      <c r="L2381" t="s">
        <v>8155</v>
      </c>
      <c r="M2381">
        <v>111.43</v>
      </c>
      <c r="N2381">
        <v>2</v>
      </c>
      <c r="O2381">
        <v>0.25</v>
      </c>
      <c r="P2381">
        <v>-11.58</v>
      </c>
      <c r="Q2381" t="s">
        <v>9896</v>
      </c>
      <c r="R2381">
        <v>3</v>
      </c>
      <c r="S2381" s="5">
        <f t="shared" si="74"/>
        <v>-0.10392174459301803</v>
      </c>
      <c r="T2381">
        <v>55.715000000000003</v>
      </c>
      <c r="U2381">
        <v>12</v>
      </c>
      <c r="V2381">
        <v>2022</v>
      </c>
      <c r="W2381">
        <v>4</v>
      </c>
      <c r="X2381" t="s">
        <v>9898</v>
      </c>
      <c r="Y2381" t="s">
        <v>9900</v>
      </c>
      <c r="Z2381" t="s">
        <v>9899</v>
      </c>
      <c r="AD2381">
        <f t="shared" si="75"/>
        <v>3</v>
      </c>
    </row>
    <row r="2382" spans="1:30" x14ac:dyDescent="0.25">
      <c r="A2382" t="s">
        <v>2406</v>
      </c>
      <c r="B2382" s="2">
        <v>44782</v>
      </c>
      <c r="C2382" s="2">
        <v>44783</v>
      </c>
      <c r="D2382" t="s">
        <v>5458</v>
      </c>
      <c r="E2382" t="s">
        <v>5958</v>
      </c>
      <c r="F2382" t="s">
        <v>6027</v>
      </c>
      <c r="G2382" t="s">
        <v>6030</v>
      </c>
      <c r="H2382" t="s">
        <v>6039</v>
      </c>
      <c r="I2382" t="s">
        <v>6051</v>
      </c>
      <c r="J2382" t="s">
        <v>6053</v>
      </c>
      <c r="K2382" t="s">
        <v>6056</v>
      </c>
      <c r="L2382" t="s">
        <v>8156</v>
      </c>
      <c r="M2382">
        <v>1818.18</v>
      </c>
      <c r="N2382">
        <v>1</v>
      </c>
      <c r="O2382">
        <v>0.06</v>
      </c>
      <c r="P2382">
        <v>401.75</v>
      </c>
      <c r="Q2382" t="s">
        <v>9896</v>
      </c>
      <c r="R2382">
        <v>1</v>
      </c>
      <c r="S2382" s="5">
        <f t="shared" si="74"/>
        <v>0.22096272096272096</v>
      </c>
      <c r="T2382">
        <v>1818.18</v>
      </c>
      <c r="U2382">
        <v>8</v>
      </c>
      <c r="V2382">
        <v>2022</v>
      </c>
      <c r="W2382">
        <v>3</v>
      </c>
      <c r="X2382" t="s">
        <v>9899</v>
      </c>
      <c r="Y2382" t="s">
        <v>9901</v>
      </c>
      <c r="Z2382" t="s">
        <v>9898</v>
      </c>
      <c r="AD2382">
        <f t="shared" si="75"/>
        <v>1</v>
      </c>
    </row>
    <row r="2383" spans="1:30" x14ac:dyDescent="0.25">
      <c r="A2383" t="s">
        <v>2407</v>
      </c>
      <c r="B2383" s="2">
        <v>45173</v>
      </c>
      <c r="C2383" s="2">
        <v>45174</v>
      </c>
      <c r="D2383" t="s">
        <v>5354</v>
      </c>
      <c r="E2383" t="s">
        <v>5854</v>
      </c>
      <c r="F2383" t="s">
        <v>6027</v>
      </c>
      <c r="G2383" t="s">
        <v>6030</v>
      </c>
      <c r="H2383" t="s">
        <v>6038</v>
      </c>
      <c r="I2383" t="s">
        <v>6051</v>
      </c>
      <c r="J2383" t="s">
        <v>6055</v>
      </c>
      <c r="K2383" t="s">
        <v>6063</v>
      </c>
      <c r="L2383" t="s">
        <v>6237</v>
      </c>
      <c r="M2383">
        <v>330.08</v>
      </c>
      <c r="N2383">
        <v>5</v>
      </c>
      <c r="O2383">
        <v>0.26</v>
      </c>
      <c r="P2383">
        <v>-19.84</v>
      </c>
      <c r="Q2383" t="s">
        <v>9896</v>
      </c>
      <c r="R2383">
        <v>1</v>
      </c>
      <c r="S2383" s="5">
        <f t="shared" si="74"/>
        <v>-6.0106640814348036E-2</v>
      </c>
      <c r="T2383">
        <v>66.015999999999991</v>
      </c>
      <c r="U2383">
        <v>9</v>
      </c>
      <c r="V2383">
        <v>2023</v>
      </c>
      <c r="W2383">
        <v>3</v>
      </c>
      <c r="X2383" t="s">
        <v>9898</v>
      </c>
      <c r="Y2383" t="s">
        <v>9900</v>
      </c>
      <c r="Z2383" t="s">
        <v>9899</v>
      </c>
      <c r="AD2383">
        <f t="shared" si="75"/>
        <v>1</v>
      </c>
    </row>
    <row r="2384" spans="1:30" x14ac:dyDescent="0.25">
      <c r="A2384" t="s">
        <v>2408</v>
      </c>
      <c r="B2384" s="2">
        <v>45193</v>
      </c>
      <c r="C2384" s="2">
        <v>45194</v>
      </c>
      <c r="D2384" t="s">
        <v>5097</v>
      </c>
      <c r="E2384" t="s">
        <v>5597</v>
      </c>
      <c r="F2384" t="s">
        <v>6028</v>
      </c>
      <c r="G2384" t="s">
        <v>6029</v>
      </c>
      <c r="H2384" t="s">
        <v>6032</v>
      </c>
      <c r="I2384" t="s">
        <v>6046</v>
      </c>
      <c r="J2384" t="s">
        <v>6053</v>
      </c>
      <c r="K2384" t="s">
        <v>6058</v>
      </c>
      <c r="L2384" t="s">
        <v>8157</v>
      </c>
      <c r="M2384">
        <v>1953.71</v>
      </c>
      <c r="N2384">
        <v>7</v>
      </c>
      <c r="O2384">
        <v>0.31</v>
      </c>
      <c r="P2384">
        <v>-312.89</v>
      </c>
      <c r="Q2384" t="s">
        <v>9894</v>
      </c>
      <c r="R2384">
        <v>1</v>
      </c>
      <c r="S2384" s="5">
        <f t="shared" si="74"/>
        <v>-0.16015171135941361</v>
      </c>
      <c r="T2384">
        <v>279.10142857142858</v>
      </c>
      <c r="U2384">
        <v>9</v>
      </c>
      <c r="V2384">
        <v>2023</v>
      </c>
      <c r="W2384">
        <v>3</v>
      </c>
      <c r="X2384" t="s">
        <v>9898</v>
      </c>
      <c r="Y2384" t="s">
        <v>9902</v>
      </c>
      <c r="Z2384" t="s">
        <v>9898</v>
      </c>
      <c r="AD2384">
        <f t="shared" si="75"/>
        <v>1</v>
      </c>
    </row>
    <row r="2385" spans="1:30" x14ac:dyDescent="0.25">
      <c r="A2385" t="s">
        <v>2409</v>
      </c>
      <c r="B2385" s="2">
        <v>45067</v>
      </c>
      <c r="C2385" s="2">
        <v>45068</v>
      </c>
      <c r="D2385" t="s">
        <v>5377</v>
      </c>
      <c r="E2385" t="s">
        <v>5877</v>
      </c>
      <c r="F2385" t="s">
        <v>6026</v>
      </c>
      <c r="G2385" t="s">
        <v>6031</v>
      </c>
      <c r="H2385" t="s">
        <v>6040</v>
      </c>
      <c r="I2385" t="s">
        <v>6048</v>
      </c>
      <c r="J2385" t="s">
        <v>6054</v>
      </c>
      <c r="K2385" t="s">
        <v>6060</v>
      </c>
      <c r="L2385" t="s">
        <v>7946</v>
      </c>
      <c r="M2385">
        <v>126.35</v>
      </c>
      <c r="N2385">
        <v>1</v>
      </c>
      <c r="O2385">
        <v>0.08</v>
      </c>
      <c r="P2385">
        <v>7.46</v>
      </c>
      <c r="Q2385" t="s">
        <v>9896</v>
      </c>
      <c r="R2385">
        <v>1</v>
      </c>
      <c r="S2385" s="5">
        <f t="shared" si="74"/>
        <v>5.9042342698852397E-2</v>
      </c>
      <c r="T2385">
        <v>126.35</v>
      </c>
      <c r="U2385">
        <v>5</v>
      </c>
      <c r="V2385">
        <v>2023</v>
      </c>
      <c r="W2385">
        <v>2</v>
      </c>
      <c r="X2385" t="s">
        <v>9899</v>
      </c>
      <c r="Y2385" t="s">
        <v>9901</v>
      </c>
      <c r="Z2385" t="s">
        <v>9899</v>
      </c>
      <c r="AD2385">
        <f t="shared" si="75"/>
        <v>1</v>
      </c>
    </row>
    <row r="2386" spans="1:30" x14ac:dyDescent="0.25">
      <c r="A2386" t="s">
        <v>2410</v>
      </c>
      <c r="B2386" s="2">
        <v>44578</v>
      </c>
      <c r="C2386" s="2">
        <v>44582</v>
      </c>
      <c r="D2386" t="s">
        <v>5295</v>
      </c>
      <c r="E2386" t="s">
        <v>5795</v>
      </c>
      <c r="F2386" t="s">
        <v>6027</v>
      </c>
      <c r="G2386" t="s">
        <v>6030</v>
      </c>
      <c r="H2386" t="s">
        <v>6039</v>
      </c>
      <c r="I2386" t="s">
        <v>6051</v>
      </c>
      <c r="J2386" t="s">
        <v>6055</v>
      </c>
      <c r="K2386" t="s">
        <v>6063</v>
      </c>
      <c r="L2386" t="s">
        <v>8158</v>
      </c>
      <c r="M2386">
        <v>1073.08</v>
      </c>
      <c r="N2386">
        <v>5</v>
      </c>
      <c r="O2386">
        <v>0.21</v>
      </c>
      <c r="P2386">
        <v>-38.35</v>
      </c>
      <c r="Q2386" t="s">
        <v>9896</v>
      </c>
      <c r="R2386">
        <v>4</v>
      </c>
      <c r="S2386" s="5">
        <f t="shared" si="74"/>
        <v>-3.5738248779214971E-2</v>
      </c>
      <c r="T2386">
        <v>214.61600000000001</v>
      </c>
      <c r="U2386">
        <v>1</v>
      </c>
      <c r="V2386">
        <v>2022</v>
      </c>
      <c r="W2386">
        <v>1</v>
      </c>
      <c r="X2386" t="s">
        <v>9898</v>
      </c>
      <c r="Y2386" t="s">
        <v>9900</v>
      </c>
      <c r="Z2386" t="s">
        <v>9898</v>
      </c>
      <c r="AD2386">
        <f t="shared" si="75"/>
        <v>4</v>
      </c>
    </row>
    <row r="2387" spans="1:30" x14ac:dyDescent="0.25">
      <c r="A2387" t="s">
        <v>2411</v>
      </c>
      <c r="B2387" s="2">
        <v>44938</v>
      </c>
      <c r="C2387" s="2">
        <v>44944</v>
      </c>
      <c r="D2387" t="s">
        <v>5048</v>
      </c>
      <c r="E2387" t="s">
        <v>5548</v>
      </c>
      <c r="F2387" t="s">
        <v>6026</v>
      </c>
      <c r="G2387" t="s">
        <v>6030</v>
      </c>
      <c r="H2387" t="s">
        <v>6033</v>
      </c>
      <c r="I2387" t="s">
        <v>6051</v>
      </c>
      <c r="J2387" t="s">
        <v>6055</v>
      </c>
      <c r="K2387" t="s">
        <v>6064</v>
      </c>
      <c r="L2387" t="s">
        <v>8159</v>
      </c>
      <c r="M2387">
        <v>875.95</v>
      </c>
      <c r="N2387">
        <v>7</v>
      </c>
      <c r="O2387">
        <v>0.34</v>
      </c>
      <c r="P2387">
        <v>-207.88</v>
      </c>
      <c r="Q2387" t="s">
        <v>9897</v>
      </c>
      <c r="R2387">
        <v>6</v>
      </c>
      <c r="S2387" s="5">
        <f t="shared" si="74"/>
        <v>-0.23731948170557679</v>
      </c>
      <c r="T2387">
        <v>125.1357142857143</v>
      </c>
      <c r="U2387">
        <v>1</v>
      </c>
      <c r="V2387">
        <v>2023</v>
      </c>
      <c r="W2387">
        <v>1</v>
      </c>
      <c r="X2387" t="s">
        <v>9898</v>
      </c>
      <c r="Y2387" t="s">
        <v>9902</v>
      </c>
      <c r="Z2387" t="s">
        <v>9899</v>
      </c>
      <c r="AD2387">
        <f t="shared" si="75"/>
        <v>6</v>
      </c>
    </row>
    <row r="2388" spans="1:30" x14ac:dyDescent="0.25">
      <c r="A2388" t="s">
        <v>2412</v>
      </c>
      <c r="B2388" s="2">
        <v>45146</v>
      </c>
      <c r="C2388" s="2">
        <v>45153</v>
      </c>
      <c r="D2388" t="s">
        <v>5308</v>
      </c>
      <c r="E2388" t="s">
        <v>5808</v>
      </c>
      <c r="F2388" t="s">
        <v>6028</v>
      </c>
      <c r="G2388" t="s">
        <v>6031</v>
      </c>
      <c r="H2388" t="s">
        <v>6037</v>
      </c>
      <c r="I2388" t="s">
        <v>6048</v>
      </c>
      <c r="J2388" t="s">
        <v>6054</v>
      </c>
      <c r="K2388" t="s">
        <v>6060</v>
      </c>
      <c r="L2388" t="s">
        <v>7215</v>
      </c>
      <c r="M2388">
        <v>1513.75</v>
      </c>
      <c r="N2388">
        <v>3</v>
      </c>
      <c r="O2388">
        <v>0.34</v>
      </c>
      <c r="P2388">
        <v>-181.32</v>
      </c>
      <c r="Q2388" t="s">
        <v>9893</v>
      </c>
      <c r="R2388">
        <v>7</v>
      </c>
      <c r="S2388" s="5">
        <f t="shared" si="74"/>
        <v>-0.11978199834847233</v>
      </c>
      <c r="T2388">
        <v>504.58333333333331</v>
      </c>
      <c r="U2388">
        <v>8</v>
      </c>
      <c r="V2388">
        <v>2023</v>
      </c>
      <c r="W2388">
        <v>3</v>
      </c>
      <c r="X2388" t="s">
        <v>9898</v>
      </c>
      <c r="Y2388" t="s">
        <v>9902</v>
      </c>
      <c r="Z2388" t="s">
        <v>9898</v>
      </c>
      <c r="AD2388">
        <f t="shared" si="75"/>
        <v>7</v>
      </c>
    </row>
    <row r="2389" spans="1:30" x14ac:dyDescent="0.25">
      <c r="A2389" t="s">
        <v>2413</v>
      </c>
      <c r="B2389" s="2">
        <v>44945</v>
      </c>
      <c r="C2389" s="2">
        <v>44946</v>
      </c>
      <c r="D2389" t="s">
        <v>5070</v>
      </c>
      <c r="E2389" t="s">
        <v>5570</v>
      </c>
      <c r="F2389" t="s">
        <v>6026</v>
      </c>
      <c r="G2389" t="s">
        <v>6029</v>
      </c>
      <c r="H2389" t="s">
        <v>6044</v>
      </c>
      <c r="I2389" t="s">
        <v>6050</v>
      </c>
      <c r="J2389" t="s">
        <v>6055</v>
      </c>
      <c r="K2389" t="s">
        <v>6063</v>
      </c>
      <c r="L2389" t="s">
        <v>8160</v>
      </c>
      <c r="M2389">
        <v>695.63</v>
      </c>
      <c r="N2389">
        <v>1</v>
      </c>
      <c r="O2389">
        <v>0.09</v>
      </c>
      <c r="P2389">
        <v>127.3</v>
      </c>
      <c r="Q2389" t="s">
        <v>9895</v>
      </c>
      <c r="R2389">
        <v>1</v>
      </c>
      <c r="S2389" s="5">
        <f t="shared" si="74"/>
        <v>0.18299958311171169</v>
      </c>
      <c r="T2389">
        <v>695.63</v>
      </c>
      <c r="U2389">
        <v>1</v>
      </c>
      <c r="V2389">
        <v>2023</v>
      </c>
      <c r="W2389">
        <v>1</v>
      </c>
      <c r="X2389" t="s">
        <v>9899</v>
      </c>
      <c r="Y2389" t="s">
        <v>9901</v>
      </c>
      <c r="Z2389" t="s">
        <v>9899</v>
      </c>
      <c r="AD2389">
        <f t="shared" si="75"/>
        <v>1</v>
      </c>
    </row>
    <row r="2390" spans="1:30" x14ac:dyDescent="0.25">
      <c r="A2390" t="s">
        <v>2414</v>
      </c>
      <c r="B2390" s="2">
        <v>45276</v>
      </c>
      <c r="C2390" s="2">
        <v>45278</v>
      </c>
      <c r="D2390" t="s">
        <v>5042</v>
      </c>
      <c r="E2390" t="s">
        <v>5542</v>
      </c>
      <c r="F2390" t="s">
        <v>6028</v>
      </c>
      <c r="G2390" t="s">
        <v>6031</v>
      </c>
      <c r="H2390" t="s">
        <v>6042</v>
      </c>
      <c r="I2390" t="s">
        <v>6052</v>
      </c>
      <c r="J2390" t="s">
        <v>6054</v>
      </c>
      <c r="K2390" t="s">
        <v>6062</v>
      </c>
      <c r="L2390" t="s">
        <v>8161</v>
      </c>
      <c r="M2390">
        <v>994.27</v>
      </c>
      <c r="N2390">
        <v>5</v>
      </c>
      <c r="O2390">
        <v>0.08</v>
      </c>
      <c r="P2390">
        <v>42.63</v>
      </c>
      <c r="Q2390" t="s">
        <v>9896</v>
      </c>
      <c r="R2390">
        <v>2</v>
      </c>
      <c r="S2390" s="5">
        <f t="shared" si="74"/>
        <v>4.2875677632836152E-2</v>
      </c>
      <c r="T2390">
        <v>198.85400000000001</v>
      </c>
      <c r="U2390">
        <v>12</v>
      </c>
      <c r="V2390">
        <v>2023</v>
      </c>
      <c r="W2390">
        <v>4</v>
      </c>
      <c r="X2390" t="s">
        <v>9899</v>
      </c>
      <c r="Y2390" t="s">
        <v>9901</v>
      </c>
      <c r="Z2390" t="s">
        <v>9899</v>
      </c>
      <c r="AD2390">
        <f t="shared" si="75"/>
        <v>2</v>
      </c>
    </row>
    <row r="2391" spans="1:30" x14ac:dyDescent="0.25">
      <c r="A2391" t="s">
        <v>2415</v>
      </c>
      <c r="B2391" s="2">
        <v>44724</v>
      </c>
      <c r="C2391" s="2">
        <v>44728</v>
      </c>
      <c r="D2391" t="s">
        <v>5475</v>
      </c>
      <c r="E2391" t="s">
        <v>5975</v>
      </c>
      <c r="F2391" t="s">
        <v>6028</v>
      </c>
      <c r="G2391" t="s">
        <v>6031</v>
      </c>
      <c r="H2391" t="s">
        <v>6043</v>
      </c>
      <c r="I2391" t="s">
        <v>6050</v>
      </c>
      <c r="J2391" t="s">
        <v>6055</v>
      </c>
      <c r="K2391" t="s">
        <v>6063</v>
      </c>
      <c r="L2391" t="s">
        <v>8162</v>
      </c>
      <c r="M2391">
        <v>541.17999999999995</v>
      </c>
      <c r="N2391">
        <v>5</v>
      </c>
      <c r="O2391">
        <v>0</v>
      </c>
      <c r="P2391">
        <v>125.14</v>
      </c>
      <c r="Q2391" t="s">
        <v>9897</v>
      </c>
      <c r="R2391">
        <v>4</v>
      </c>
      <c r="S2391" s="5">
        <f t="shared" si="74"/>
        <v>0.23123544846446656</v>
      </c>
      <c r="T2391">
        <v>108.236</v>
      </c>
      <c r="U2391">
        <v>6</v>
      </c>
      <c r="V2391">
        <v>2022</v>
      </c>
      <c r="W2391">
        <v>2</v>
      </c>
      <c r="X2391" t="s">
        <v>9899</v>
      </c>
      <c r="Y2391" t="s">
        <v>9901</v>
      </c>
      <c r="Z2391" t="s">
        <v>9899</v>
      </c>
      <c r="AD2391">
        <f t="shared" si="75"/>
        <v>4</v>
      </c>
    </row>
    <row r="2392" spans="1:30" x14ac:dyDescent="0.25">
      <c r="A2392" t="s">
        <v>2416</v>
      </c>
      <c r="B2392" s="2">
        <v>44944</v>
      </c>
      <c r="C2392" s="2">
        <v>44950</v>
      </c>
      <c r="D2392" t="s">
        <v>5198</v>
      </c>
      <c r="E2392" t="s">
        <v>5698</v>
      </c>
      <c r="F2392" t="s">
        <v>6026</v>
      </c>
      <c r="G2392" t="s">
        <v>6031</v>
      </c>
      <c r="H2392" t="s">
        <v>6042</v>
      </c>
      <c r="I2392" t="s">
        <v>6052</v>
      </c>
      <c r="J2392" t="s">
        <v>6053</v>
      </c>
      <c r="K2392" t="s">
        <v>6056</v>
      </c>
      <c r="L2392" t="s">
        <v>8163</v>
      </c>
      <c r="M2392">
        <v>596.49</v>
      </c>
      <c r="N2392">
        <v>6</v>
      </c>
      <c r="O2392">
        <v>0.02</v>
      </c>
      <c r="P2392">
        <v>91.62</v>
      </c>
      <c r="Q2392" t="s">
        <v>9896</v>
      </c>
      <c r="R2392">
        <v>6</v>
      </c>
      <c r="S2392" s="5">
        <f t="shared" si="74"/>
        <v>0.15359855152642962</v>
      </c>
      <c r="T2392">
        <v>99.415000000000006</v>
      </c>
      <c r="U2392">
        <v>1</v>
      </c>
      <c r="V2392">
        <v>2023</v>
      </c>
      <c r="W2392">
        <v>1</v>
      </c>
      <c r="X2392" t="s">
        <v>9899</v>
      </c>
      <c r="Y2392" t="s">
        <v>9901</v>
      </c>
      <c r="Z2392" t="s">
        <v>9899</v>
      </c>
      <c r="AD2392">
        <f t="shared" si="75"/>
        <v>6</v>
      </c>
    </row>
    <row r="2393" spans="1:30" x14ac:dyDescent="0.25">
      <c r="A2393" t="s">
        <v>2417</v>
      </c>
      <c r="B2393" s="2">
        <v>45091</v>
      </c>
      <c r="C2393" s="2">
        <v>45092</v>
      </c>
      <c r="D2393" t="s">
        <v>5191</v>
      </c>
      <c r="E2393" t="s">
        <v>5691</v>
      </c>
      <c r="F2393" t="s">
        <v>6028</v>
      </c>
      <c r="G2393" t="s">
        <v>6029</v>
      </c>
      <c r="H2393" t="s">
        <v>6036</v>
      </c>
      <c r="I2393" t="s">
        <v>6046</v>
      </c>
      <c r="J2393" t="s">
        <v>6053</v>
      </c>
      <c r="K2393" t="s">
        <v>6057</v>
      </c>
      <c r="L2393" t="s">
        <v>8164</v>
      </c>
      <c r="M2393">
        <v>868.47</v>
      </c>
      <c r="N2393">
        <v>2</v>
      </c>
      <c r="O2393">
        <v>0.18</v>
      </c>
      <c r="P2393">
        <v>94.14</v>
      </c>
      <c r="Q2393" t="s">
        <v>9895</v>
      </c>
      <c r="R2393">
        <v>1</v>
      </c>
      <c r="S2393" s="5">
        <f t="shared" si="74"/>
        <v>0.10839752668485958</v>
      </c>
      <c r="T2393">
        <v>434.23500000000001</v>
      </c>
      <c r="U2393">
        <v>6</v>
      </c>
      <c r="V2393">
        <v>2023</v>
      </c>
      <c r="W2393">
        <v>2</v>
      </c>
      <c r="X2393" t="s">
        <v>9899</v>
      </c>
      <c r="Y2393" t="s">
        <v>9900</v>
      </c>
      <c r="Z2393" t="s">
        <v>9899</v>
      </c>
      <c r="AD2393">
        <f t="shared" si="75"/>
        <v>1</v>
      </c>
    </row>
    <row r="2394" spans="1:30" x14ac:dyDescent="0.25">
      <c r="A2394" t="s">
        <v>2418</v>
      </c>
      <c r="B2394" s="2">
        <v>45090</v>
      </c>
      <c r="C2394" s="2">
        <v>45094</v>
      </c>
      <c r="D2394" t="s">
        <v>5281</v>
      </c>
      <c r="E2394" t="s">
        <v>5781</v>
      </c>
      <c r="F2394" t="s">
        <v>6026</v>
      </c>
      <c r="G2394" t="s">
        <v>6029</v>
      </c>
      <c r="H2394" t="s">
        <v>6032</v>
      </c>
      <c r="I2394" t="s">
        <v>6046</v>
      </c>
      <c r="J2394" t="s">
        <v>6054</v>
      </c>
      <c r="K2394" t="s">
        <v>6059</v>
      </c>
      <c r="L2394" t="s">
        <v>8018</v>
      </c>
      <c r="M2394">
        <v>216.36</v>
      </c>
      <c r="N2394">
        <v>6</v>
      </c>
      <c r="O2394">
        <v>0.12</v>
      </c>
      <c r="P2394">
        <v>4.84</v>
      </c>
      <c r="Q2394" t="s">
        <v>9897</v>
      </c>
      <c r="R2394">
        <v>4</v>
      </c>
      <c r="S2394" s="5">
        <f t="shared" si="74"/>
        <v>2.2370123867628024E-2</v>
      </c>
      <c r="T2394">
        <v>36.06</v>
      </c>
      <c r="U2394">
        <v>6</v>
      </c>
      <c r="V2394">
        <v>2023</v>
      </c>
      <c r="W2394">
        <v>2</v>
      </c>
      <c r="X2394" t="s">
        <v>9899</v>
      </c>
      <c r="Y2394" t="s">
        <v>9901</v>
      </c>
      <c r="Z2394" t="s">
        <v>9899</v>
      </c>
      <c r="AD2394">
        <f t="shared" si="75"/>
        <v>4</v>
      </c>
    </row>
    <row r="2395" spans="1:30" x14ac:dyDescent="0.25">
      <c r="A2395" t="s">
        <v>2419</v>
      </c>
      <c r="B2395" s="2">
        <v>45007</v>
      </c>
      <c r="C2395" s="2">
        <v>45008</v>
      </c>
      <c r="D2395" t="s">
        <v>5091</v>
      </c>
      <c r="E2395" t="s">
        <v>5591</v>
      </c>
      <c r="F2395" t="s">
        <v>6027</v>
      </c>
      <c r="G2395" t="s">
        <v>6029</v>
      </c>
      <c r="H2395" t="s">
        <v>6032</v>
      </c>
      <c r="I2395" t="s">
        <v>6046</v>
      </c>
      <c r="J2395" t="s">
        <v>6055</v>
      </c>
      <c r="K2395" t="s">
        <v>6064</v>
      </c>
      <c r="L2395" t="s">
        <v>8165</v>
      </c>
      <c r="M2395">
        <v>705.31</v>
      </c>
      <c r="N2395">
        <v>5</v>
      </c>
      <c r="O2395">
        <v>0.1</v>
      </c>
      <c r="P2395">
        <v>7.59</v>
      </c>
      <c r="Q2395" t="s">
        <v>9897</v>
      </c>
      <c r="R2395">
        <v>1</v>
      </c>
      <c r="S2395" s="5">
        <f t="shared" si="74"/>
        <v>1.0761225560391885E-2</v>
      </c>
      <c r="T2395">
        <v>141.06200000000001</v>
      </c>
      <c r="U2395">
        <v>3</v>
      </c>
      <c r="V2395">
        <v>2023</v>
      </c>
      <c r="W2395">
        <v>1</v>
      </c>
      <c r="X2395" t="s">
        <v>9899</v>
      </c>
      <c r="Y2395" t="s">
        <v>9901</v>
      </c>
      <c r="Z2395" t="s">
        <v>9899</v>
      </c>
      <c r="AD2395">
        <f t="shared" si="75"/>
        <v>1</v>
      </c>
    </row>
    <row r="2396" spans="1:30" x14ac:dyDescent="0.25">
      <c r="A2396" t="s">
        <v>2420</v>
      </c>
      <c r="B2396" s="2">
        <v>44648</v>
      </c>
      <c r="C2396" s="2">
        <v>44649</v>
      </c>
      <c r="D2396" t="s">
        <v>5063</v>
      </c>
      <c r="E2396" t="s">
        <v>5563</v>
      </c>
      <c r="F2396" t="s">
        <v>6028</v>
      </c>
      <c r="G2396" t="s">
        <v>6029</v>
      </c>
      <c r="H2396" t="s">
        <v>6032</v>
      </c>
      <c r="I2396" t="s">
        <v>6050</v>
      </c>
      <c r="J2396" t="s">
        <v>6054</v>
      </c>
      <c r="K2396" t="s">
        <v>6059</v>
      </c>
      <c r="L2396" t="s">
        <v>8166</v>
      </c>
      <c r="M2396">
        <v>1569.81</v>
      </c>
      <c r="N2396">
        <v>8</v>
      </c>
      <c r="O2396">
        <v>0.1</v>
      </c>
      <c r="P2396">
        <v>305.56</v>
      </c>
      <c r="Q2396" t="s">
        <v>9896</v>
      </c>
      <c r="R2396">
        <v>1</v>
      </c>
      <c r="S2396" s="5">
        <f t="shared" si="74"/>
        <v>0.19464775991999034</v>
      </c>
      <c r="T2396">
        <v>196.22624999999999</v>
      </c>
      <c r="U2396">
        <v>3</v>
      </c>
      <c r="V2396">
        <v>2022</v>
      </c>
      <c r="W2396">
        <v>1</v>
      </c>
      <c r="X2396" t="s">
        <v>9899</v>
      </c>
      <c r="Y2396" t="s">
        <v>9901</v>
      </c>
      <c r="Z2396" t="s">
        <v>9898</v>
      </c>
      <c r="AD2396">
        <f t="shared" si="75"/>
        <v>1</v>
      </c>
    </row>
    <row r="2397" spans="1:30" x14ac:dyDescent="0.25">
      <c r="A2397" t="s">
        <v>2421</v>
      </c>
      <c r="B2397" s="2">
        <v>44904</v>
      </c>
      <c r="C2397" s="2">
        <v>44907</v>
      </c>
      <c r="D2397" t="s">
        <v>5330</v>
      </c>
      <c r="E2397" t="s">
        <v>5830</v>
      </c>
      <c r="F2397" t="s">
        <v>6026</v>
      </c>
      <c r="G2397" t="s">
        <v>6029</v>
      </c>
      <c r="H2397" t="s">
        <v>6036</v>
      </c>
      <c r="I2397" t="s">
        <v>6046</v>
      </c>
      <c r="J2397" t="s">
        <v>6053</v>
      </c>
      <c r="K2397" t="s">
        <v>6056</v>
      </c>
      <c r="L2397" t="s">
        <v>8167</v>
      </c>
      <c r="M2397">
        <v>855.45</v>
      </c>
      <c r="N2397">
        <v>2</v>
      </c>
      <c r="O2397">
        <v>0.13</v>
      </c>
      <c r="P2397">
        <v>21.07</v>
      </c>
      <c r="Q2397" t="s">
        <v>9896</v>
      </c>
      <c r="R2397">
        <v>3</v>
      </c>
      <c r="S2397" s="5">
        <f t="shared" si="74"/>
        <v>2.4630311531942253E-2</v>
      </c>
      <c r="T2397">
        <v>427.72500000000002</v>
      </c>
      <c r="U2397">
        <v>12</v>
      </c>
      <c r="V2397">
        <v>2022</v>
      </c>
      <c r="W2397">
        <v>4</v>
      </c>
      <c r="X2397" t="s">
        <v>9899</v>
      </c>
      <c r="Y2397" t="s">
        <v>9901</v>
      </c>
      <c r="Z2397" t="s">
        <v>9899</v>
      </c>
      <c r="AD2397">
        <f t="shared" si="75"/>
        <v>3</v>
      </c>
    </row>
    <row r="2398" spans="1:30" x14ac:dyDescent="0.25">
      <c r="A2398" t="s">
        <v>2422</v>
      </c>
      <c r="B2398" s="2">
        <v>44886</v>
      </c>
      <c r="C2398" s="2">
        <v>44889</v>
      </c>
      <c r="D2398" t="s">
        <v>5428</v>
      </c>
      <c r="E2398" t="s">
        <v>5928</v>
      </c>
      <c r="F2398" t="s">
        <v>6026</v>
      </c>
      <c r="G2398" t="s">
        <v>6031</v>
      </c>
      <c r="H2398" t="s">
        <v>6040</v>
      </c>
      <c r="I2398" t="s">
        <v>6048</v>
      </c>
      <c r="J2398" t="s">
        <v>6054</v>
      </c>
      <c r="K2398" t="s">
        <v>6062</v>
      </c>
      <c r="L2398" t="s">
        <v>8168</v>
      </c>
      <c r="M2398">
        <v>256.58</v>
      </c>
      <c r="N2398">
        <v>8</v>
      </c>
      <c r="O2398">
        <v>0.22</v>
      </c>
      <c r="P2398">
        <v>9.59</v>
      </c>
      <c r="Q2398" t="s">
        <v>9894</v>
      </c>
      <c r="R2398">
        <v>3</v>
      </c>
      <c r="S2398" s="5">
        <f t="shared" si="74"/>
        <v>3.737625691792034E-2</v>
      </c>
      <c r="T2398">
        <v>32.072499999999998</v>
      </c>
      <c r="U2398">
        <v>11</v>
      </c>
      <c r="V2398">
        <v>2022</v>
      </c>
      <c r="W2398">
        <v>4</v>
      </c>
      <c r="X2398" t="s">
        <v>9899</v>
      </c>
      <c r="Y2398" t="s">
        <v>9900</v>
      </c>
      <c r="Z2398" t="s">
        <v>9899</v>
      </c>
      <c r="AD2398">
        <f t="shared" si="75"/>
        <v>3</v>
      </c>
    </row>
    <row r="2399" spans="1:30" x14ac:dyDescent="0.25">
      <c r="A2399" t="s">
        <v>2423</v>
      </c>
      <c r="B2399" s="2">
        <v>45367</v>
      </c>
      <c r="C2399" s="2">
        <v>45374</v>
      </c>
      <c r="D2399" t="s">
        <v>5453</v>
      </c>
      <c r="E2399" t="s">
        <v>5953</v>
      </c>
      <c r="F2399" t="s">
        <v>6026</v>
      </c>
      <c r="G2399" t="s">
        <v>6029</v>
      </c>
      <c r="H2399" t="s">
        <v>6041</v>
      </c>
      <c r="I2399" t="s">
        <v>6050</v>
      </c>
      <c r="J2399" t="s">
        <v>6055</v>
      </c>
      <c r="K2399" t="s">
        <v>6063</v>
      </c>
      <c r="L2399" t="s">
        <v>8169</v>
      </c>
      <c r="M2399">
        <v>966.42</v>
      </c>
      <c r="N2399">
        <v>7</v>
      </c>
      <c r="O2399">
        <v>0.04</v>
      </c>
      <c r="P2399">
        <v>88.62</v>
      </c>
      <c r="Q2399" t="s">
        <v>9894</v>
      </c>
      <c r="R2399">
        <v>7</v>
      </c>
      <c r="S2399" s="5">
        <f t="shared" si="74"/>
        <v>9.1699261190786627E-2</v>
      </c>
      <c r="T2399">
        <v>138.06</v>
      </c>
      <c r="U2399">
        <v>3</v>
      </c>
      <c r="V2399">
        <v>2024</v>
      </c>
      <c r="W2399">
        <v>1</v>
      </c>
      <c r="X2399" t="s">
        <v>9899</v>
      </c>
      <c r="Y2399" t="s">
        <v>9901</v>
      </c>
      <c r="Z2399" t="s">
        <v>9899</v>
      </c>
      <c r="AD2399">
        <f t="shared" si="75"/>
        <v>7</v>
      </c>
    </row>
    <row r="2400" spans="1:30" x14ac:dyDescent="0.25">
      <c r="A2400" t="s">
        <v>2424</v>
      </c>
      <c r="B2400" s="2">
        <v>44812</v>
      </c>
      <c r="C2400" s="2">
        <v>44819</v>
      </c>
      <c r="D2400" t="s">
        <v>5310</v>
      </c>
      <c r="E2400" t="s">
        <v>5810</v>
      </c>
      <c r="F2400" t="s">
        <v>6026</v>
      </c>
      <c r="G2400" t="s">
        <v>6030</v>
      </c>
      <c r="H2400" t="s">
        <v>6039</v>
      </c>
      <c r="I2400" t="s">
        <v>6047</v>
      </c>
      <c r="J2400" t="s">
        <v>6053</v>
      </c>
      <c r="K2400" t="s">
        <v>6058</v>
      </c>
      <c r="L2400" t="s">
        <v>8170</v>
      </c>
      <c r="M2400">
        <v>1062.3699999999999</v>
      </c>
      <c r="N2400">
        <v>1</v>
      </c>
      <c r="O2400">
        <v>0.05</v>
      </c>
      <c r="P2400">
        <v>184.04</v>
      </c>
      <c r="Q2400" t="s">
        <v>9896</v>
      </c>
      <c r="R2400">
        <v>7</v>
      </c>
      <c r="S2400" s="5">
        <f t="shared" si="74"/>
        <v>0.17323531349718085</v>
      </c>
      <c r="T2400">
        <v>1062.3699999999999</v>
      </c>
      <c r="U2400">
        <v>9</v>
      </c>
      <c r="V2400">
        <v>2022</v>
      </c>
      <c r="W2400">
        <v>3</v>
      </c>
      <c r="X2400" t="s">
        <v>9899</v>
      </c>
      <c r="Y2400" t="s">
        <v>9901</v>
      </c>
      <c r="Z2400" t="s">
        <v>9898</v>
      </c>
      <c r="AD2400">
        <f t="shared" si="75"/>
        <v>7</v>
      </c>
    </row>
    <row r="2401" spans="1:30" x14ac:dyDescent="0.25">
      <c r="A2401" t="s">
        <v>2425</v>
      </c>
      <c r="B2401" s="2">
        <v>45171</v>
      </c>
      <c r="C2401" s="2">
        <v>45174</v>
      </c>
      <c r="D2401" t="s">
        <v>5033</v>
      </c>
      <c r="E2401" t="s">
        <v>5533</v>
      </c>
      <c r="F2401" t="s">
        <v>6026</v>
      </c>
      <c r="G2401" t="s">
        <v>6029</v>
      </c>
      <c r="H2401" t="s">
        <v>6044</v>
      </c>
      <c r="I2401" t="s">
        <v>6046</v>
      </c>
      <c r="J2401" t="s">
        <v>6054</v>
      </c>
      <c r="K2401" t="s">
        <v>6062</v>
      </c>
      <c r="L2401" t="s">
        <v>8171</v>
      </c>
      <c r="M2401">
        <v>954.43</v>
      </c>
      <c r="N2401">
        <v>5</v>
      </c>
      <c r="O2401">
        <v>0.18</v>
      </c>
      <c r="P2401">
        <v>42.61</v>
      </c>
      <c r="Q2401" t="s">
        <v>9894</v>
      </c>
      <c r="R2401">
        <v>3</v>
      </c>
      <c r="S2401" s="5">
        <f t="shared" si="74"/>
        <v>4.4644447471265572E-2</v>
      </c>
      <c r="T2401">
        <v>190.886</v>
      </c>
      <c r="U2401">
        <v>9</v>
      </c>
      <c r="V2401">
        <v>2023</v>
      </c>
      <c r="W2401">
        <v>3</v>
      </c>
      <c r="X2401" t="s">
        <v>9899</v>
      </c>
      <c r="Y2401" t="s">
        <v>9900</v>
      </c>
      <c r="Z2401" t="s">
        <v>9899</v>
      </c>
      <c r="AD2401">
        <f t="shared" si="75"/>
        <v>3</v>
      </c>
    </row>
    <row r="2402" spans="1:30" x14ac:dyDescent="0.25">
      <c r="A2402" t="s">
        <v>2426</v>
      </c>
      <c r="B2402" s="2">
        <v>44839</v>
      </c>
      <c r="C2402" s="2">
        <v>44845</v>
      </c>
      <c r="D2402" t="s">
        <v>5194</v>
      </c>
      <c r="E2402" t="s">
        <v>5694</v>
      </c>
      <c r="F2402" t="s">
        <v>6027</v>
      </c>
      <c r="G2402" t="s">
        <v>6029</v>
      </c>
      <c r="H2402" t="s">
        <v>6044</v>
      </c>
      <c r="I2402" t="s">
        <v>6049</v>
      </c>
      <c r="J2402" t="s">
        <v>6054</v>
      </c>
      <c r="K2402" t="s">
        <v>6059</v>
      </c>
      <c r="L2402" t="s">
        <v>6644</v>
      </c>
      <c r="M2402">
        <v>641.59</v>
      </c>
      <c r="N2402">
        <v>6</v>
      </c>
      <c r="O2402">
        <v>0.14000000000000001</v>
      </c>
      <c r="P2402">
        <v>4.1500000000000004</v>
      </c>
      <c r="Q2402" t="s">
        <v>9895</v>
      </c>
      <c r="R2402">
        <v>6</v>
      </c>
      <c r="S2402" s="5">
        <f t="shared" si="74"/>
        <v>6.4683053040103496E-3</v>
      </c>
      <c r="T2402">
        <v>106.9316666666667</v>
      </c>
      <c r="U2402">
        <v>10</v>
      </c>
      <c r="V2402">
        <v>2022</v>
      </c>
      <c r="W2402">
        <v>4</v>
      </c>
      <c r="X2402" t="s">
        <v>9899</v>
      </c>
      <c r="Y2402" t="s">
        <v>9901</v>
      </c>
      <c r="Z2402" t="s">
        <v>9899</v>
      </c>
      <c r="AD2402">
        <f t="shared" si="75"/>
        <v>6</v>
      </c>
    </row>
    <row r="2403" spans="1:30" x14ac:dyDescent="0.25">
      <c r="A2403" t="s">
        <v>2427</v>
      </c>
      <c r="B2403" s="2">
        <v>45111</v>
      </c>
      <c r="C2403" s="2">
        <v>45112</v>
      </c>
      <c r="D2403" t="s">
        <v>5482</v>
      </c>
      <c r="E2403" t="s">
        <v>5982</v>
      </c>
      <c r="F2403" t="s">
        <v>6026</v>
      </c>
      <c r="G2403" t="s">
        <v>6030</v>
      </c>
      <c r="H2403" t="s">
        <v>6039</v>
      </c>
      <c r="I2403" t="s">
        <v>6051</v>
      </c>
      <c r="J2403" t="s">
        <v>6054</v>
      </c>
      <c r="K2403" t="s">
        <v>6062</v>
      </c>
      <c r="L2403" t="s">
        <v>7528</v>
      </c>
      <c r="M2403">
        <v>183.9</v>
      </c>
      <c r="N2403">
        <v>7</v>
      </c>
      <c r="O2403">
        <v>0.28999999999999998</v>
      </c>
      <c r="P2403">
        <v>-16.71</v>
      </c>
      <c r="Q2403" t="s">
        <v>9893</v>
      </c>
      <c r="R2403">
        <v>1</v>
      </c>
      <c r="S2403" s="5">
        <f t="shared" si="74"/>
        <v>-9.0864600326264269E-2</v>
      </c>
      <c r="T2403">
        <v>26.271428571428569</v>
      </c>
      <c r="U2403">
        <v>7</v>
      </c>
      <c r="V2403">
        <v>2023</v>
      </c>
      <c r="W2403">
        <v>3</v>
      </c>
      <c r="X2403" t="s">
        <v>9898</v>
      </c>
      <c r="Y2403" t="s">
        <v>9900</v>
      </c>
      <c r="Z2403" t="s">
        <v>9899</v>
      </c>
      <c r="AD2403">
        <f t="shared" si="75"/>
        <v>1</v>
      </c>
    </row>
    <row r="2404" spans="1:30" x14ac:dyDescent="0.25">
      <c r="A2404" t="s">
        <v>2428</v>
      </c>
      <c r="B2404" s="2">
        <v>44841</v>
      </c>
      <c r="C2404" s="2">
        <v>44847</v>
      </c>
      <c r="D2404" t="s">
        <v>5064</v>
      </c>
      <c r="E2404" t="s">
        <v>5564</v>
      </c>
      <c r="F2404" t="s">
        <v>6028</v>
      </c>
      <c r="G2404" t="s">
        <v>6031</v>
      </c>
      <c r="H2404" t="s">
        <v>6040</v>
      </c>
      <c r="I2404" t="s">
        <v>6050</v>
      </c>
      <c r="J2404" t="s">
        <v>6055</v>
      </c>
      <c r="K2404" t="s">
        <v>6063</v>
      </c>
      <c r="L2404" t="s">
        <v>8172</v>
      </c>
      <c r="M2404">
        <v>542.71</v>
      </c>
      <c r="N2404">
        <v>8</v>
      </c>
      <c r="O2404">
        <v>0.2</v>
      </c>
      <c r="P2404">
        <v>38.33</v>
      </c>
      <c r="Q2404" t="s">
        <v>9896</v>
      </c>
      <c r="R2404">
        <v>6</v>
      </c>
      <c r="S2404" s="5">
        <f t="shared" si="74"/>
        <v>7.0627038381456023E-2</v>
      </c>
      <c r="T2404">
        <v>67.838750000000005</v>
      </c>
      <c r="U2404">
        <v>10</v>
      </c>
      <c r="V2404">
        <v>2022</v>
      </c>
      <c r="W2404">
        <v>4</v>
      </c>
      <c r="X2404" t="s">
        <v>9899</v>
      </c>
      <c r="Y2404" t="s">
        <v>9900</v>
      </c>
      <c r="Z2404" t="s">
        <v>9899</v>
      </c>
      <c r="AD2404">
        <f t="shared" si="75"/>
        <v>6</v>
      </c>
    </row>
    <row r="2405" spans="1:30" x14ac:dyDescent="0.25">
      <c r="A2405" t="s">
        <v>2429</v>
      </c>
      <c r="B2405" s="2">
        <v>45309</v>
      </c>
      <c r="C2405" s="2">
        <v>45312</v>
      </c>
      <c r="D2405" t="s">
        <v>5252</v>
      </c>
      <c r="E2405" t="s">
        <v>5752</v>
      </c>
      <c r="F2405" t="s">
        <v>6027</v>
      </c>
      <c r="G2405" t="s">
        <v>6029</v>
      </c>
      <c r="H2405" t="s">
        <v>6045</v>
      </c>
      <c r="I2405" t="s">
        <v>6049</v>
      </c>
      <c r="J2405" t="s">
        <v>6055</v>
      </c>
      <c r="K2405" t="s">
        <v>6061</v>
      </c>
      <c r="L2405" t="s">
        <v>8173</v>
      </c>
      <c r="M2405">
        <v>742.75</v>
      </c>
      <c r="N2405">
        <v>1</v>
      </c>
      <c r="O2405">
        <v>0.16</v>
      </c>
      <c r="P2405">
        <v>91.29</v>
      </c>
      <c r="Q2405" t="s">
        <v>9895</v>
      </c>
      <c r="R2405">
        <v>3</v>
      </c>
      <c r="S2405" s="5">
        <f t="shared" si="74"/>
        <v>0.12290811174688658</v>
      </c>
      <c r="T2405">
        <v>742.75</v>
      </c>
      <c r="U2405">
        <v>1</v>
      </c>
      <c r="V2405">
        <v>2024</v>
      </c>
      <c r="W2405">
        <v>1</v>
      </c>
      <c r="X2405" t="s">
        <v>9899</v>
      </c>
      <c r="Y2405" t="s">
        <v>9900</v>
      </c>
      <c r="Z2405" t="s">
        <v>9899</v>
      </c>
      <c r="AD2405">
        <f t="shared" si="75"/>
        <v>3</v>
      </c>
    </row>
    <row r="2406" spans="1:30" x14ac:dyDescent="0.25">
      <c r="A2406" t="s">
        <v>2430</v>
      </c>
      <c r="B2406" s="2">
        <v>45078</v>
      </c>
      <c r="C2406" s="2">
        <v>45082</v>
      </c>
      <c r="D2406" t="s">
        <v>5518</v>
      </c>
      <c r="E2406" t="s">
        <v>6018</v>
      </c>
      <c r="F2406" t="s">
        <v>6028</v>
      </c>
      <c r="G2406" t="s">
        <v>6031</v>
      </c>
      <c r="H2406" t="s">
        <v>6034</v>
      </c>
      <c r="I2406" t="s">
        <v>6050</v>
      </c>
      <c r="J2406" t="s">
        <v>6055</v>
      </c>
      <c r="K2406" t="s">
        <v>6061</v>
      </c>
      <c r="L2406" t="s">
        <v>8174</v>
      </c>
      <c r="M2406">
        <v>1728.57</v>
      </c>
      <c r="N2406">
        <v>1</v>
      </c>
      <c r="O2406">
        <v>0.1</v>
      </c>
      <c r="P2406">
        <v>131.69</v>
      </c>
      <c r="Q2406" t="s">
        <v>9897</v>
      </c>
      <c r="R2406">
        <v>4</v>
      </c>
      <c r="S2406" s="5">
        <f t="shared" si="74"/>
        <v>7.6184360482942554E-2</v>
      </c>
      <c r="T2406">
        <v>1728.57</v>
      </c>
      <c r="U2406">
        <v>6</v>
      </c>
      <c r="V2406">
        <v>2023</v>
      </c>
      <c r="W2406">
        <v>2</v>
      </c>
      <c r="X2406" t="s">
        <v>9899</v>
      </c>
      <c r="Y2406" t="s">
        <v>9901</v>
      </c>
      <c r="Z2406" t="s">
        <v>9898</v>
      </c>
      <c r="AD2406">
        <f t="shared" si="75"/>
        <v>4</v>
      </c>
    </row>
    <row r="2407" spans="1:30" x14ac:dyDescent="0.25">
      <c r="A2407" t="s">
        <v>2431</v>
      </c>
      <c r="B2407" s="2">
        <v>45148</v>
      </c>
      <c r="C2407" s="2">
        <v>45150</v>
      </c>
      <c r="D2407" t="s">
        <v>5222</v>
      </c>
      <c r="E2407" t="s">
        <v>5722</v>
      </c>
      <c r="F2407" t="s">
        <v>6027</v>
      </c>
      <c r="G2407" t="s">
        <v>6031</v>
      </c>
      <c r="H2407" t="s">
        <v>6034</v>
      </c>
      <c r="I2407" t="s">
        <v>6052</v>
      </c>
      <c r="J2407" t="s">
        <v>6055</v>
      </c>
      <c r="K2407" t="s">
        <v>6063</v>
      </c>
      <c r="L2407" t="s">
        <v>6640</v>
      </c>
      <c r="M2407">
        <v>1447.67</v>
      </c>
      <c r="N2407">
        <v>2</v>
      </c>
      <c r="O2407">
        <v>0.1</v>
      </c>
      <c r="P2407">
        <v>150.26</v>
      </c>
      <c r="Q2407" t="s">
        <v>9897</v>
      </c>
      <c r="R2407">
        <v>2</v>
      </c>
      <c r="S2407" s="5">
        <f t="shared" si="74"/>
        <v>0.10379437302700199</v>
      </c>
      <c r="T2407">
        <v>723.83500000000004</v>
      </c>
      <c r="U2407">
        <v>8</v>
      </c>
      <c r="V2407">
        <v>2023</v>
      </c>
      <c r="W2407">
        <v>3</v>
      </c>
      <c r="X2407" t="s">
        <v>9899</v>
      </c>
      <c r="Y2407" t="s">
        <v>9901</v>
      </c>
      <c r="Z2407" t="s">
        <v>9898</v>
      </c>
      <c r="AD2407">
        <f t="shared" si="75"/>
        <v>2</v>
      </c>
    </row>
    <row r="2408" spans="1:30" x14ac:dyDescent="0.25">
      <c r="A2408" t="s">
        <v>2432</v>
      </c>
      <c r="B2408" s="2">
        <v>44757</v>
      </c>
      <c r="C2408" s="2">
        <v>44761</v>
      </c>
      <c r="D2408" t="s">
        <v>5285</v>
      </c>
      <c r="E2408" t="s">
        <v>5785</v>
      </c>
      <c r="F2408" t="s">
        <v>6028</v>
      </c>
      <c r="G2408" t="s">
        <v>6030</v>
      </c>
      <c r="H2408" t="s">
        <v>6039</v>
      </c>
      <c r="I2408" t="s">
        <v>6047</v>
      </c>
      <c r="J2408" t="s">
        <v>6055</v>
      </c>
      <c r="K2408" t="s">
        <v>6064</v>
      </c>
      <c r="L2408" t="s">
        <v>8175</v>
      </c>
      <c r="M2408">
        <v>1099.4100000000001</v>
      </c>
      <c r="N2408">
        <v>4</v>
      </c>
      <c r="O2408">
        <v>0.01</v>
      </c>
      <c r="P2408">
        <v>111.87</v>
      </c>
      <c r="Q2408" t="s">
        <v>9894</v>
      </c>
      <c r="R2408">
        <v>4</v>
      </c>
      <c r="S2408" s="5">
        <f t="shared" si="74"/>
        <v>0.1017545774551805</v>
      </c>
      <c r="T2408">
        <v>274.85250000000002</v>
      </c>
      <c r="U2408">
        <v>7</v>
      </c>
      <c r="V2408">
        <v>2022</v>
      </c>
      <c r="W2408">
        <v>3</v>
      </c>
      <c r="X2408" t="s">
        <v>9899</v>
      </c>
      <c r="Y2408" t="s">
        <v>9901</v>
      </c>
      <c r="Z2408" t="s">
        <v>9898</v>
      </c>
      <c r="AD2408">
        <f t="shared" si="75"/>
        <v>4</v>
      </c>
    </row>
    <row r="2409" spans="1:30" x14ac:dyDescent="0.25">
      <c r="A2409" t="s">
        <v>2433</v>
      </c>
      <c r="B2409" s="2">
        <v>45441</v>
      </c>
      <c r="C2409" s="2">
        <v>45445</v>
      </c>
      <c r="D2409" t="s">
        <v>5333</v>
      </c>
      <c r="E2409" t="s">
        <v>5833</v>
      </c>
      <c r="F2409" t="s">
        <v>6027</v>
      </c>
      <c r="G2409" t="s">
        <v>6031</v>
      </c>
      <c r="H2409" t="s">
        <v>6042</v>
      </c>
      <c r="I2409" t="s">
        <v>6048</v>
      </c>
      <c r="J2409" t="s">
        <v>6055</v>
      </c>
      <c r="K2409" t="s">
        <v>6063</v>
      </c>
      <c r="L2409" t="s">
        <v>8176</v>
      </c>
      <c r="M2409">
        <v>389.97</v>
      </c>
      <c r="N2409">
        <v>5</v>
      </c>
      <c r="O2409">
        <v>0.24</v>
      </c>
      <c r="P2409">
        <v>-43.79</v>
      </c>
      <c r="Q2409" t="s">
        <v>9897</v>
      </c>
      <c r="R2409">
        <v>4</v>
      </c>
      <c r="S2409" s="5">
        <f t="shared" si="74"/>
        <v>-0.11229068902736107</v>
      </c>
      <c r="T2409">
        <v>77.994</v>
      </c>
      <c r="U2409">
        <v>5</v>
      </c>
      <c r="V2409">
        <v>2024</v>
      </c>
      <c r="W2409">
        <v>2</v>
      </c>
      <c r="X2409" t="s">
        <v>9898</v>
      </c>
      <c r="Y2409" t="s">
        <v>9900</v>
      </c>
      <c r="Z2409" t="s">
        <v>9899</v>
      </c>
      <c r="AD2409">
        <f t="shared" si="75"/>
        <v>4</v>
      </c>
    </row>
    <row r="2410" spans="1:30" x14ac:dyDescent="0.25">
      <c r="A2410" t="s">
        <v>2434</v>
      </c>
      <c r="B2410" s="2">
        <v>45107</v>
      </c>
      <c r="C2410" s="2">
        <v>45111</v>
      </c>
      <c r="D2410" t="s">
        <v>5303</v>
      </c>
      <c r="E2410" t="s">
        <v>5803</v>
      </c>
      <c r="F2410" t="s">
        <v>6027</v>
      </c>
      <c r="G2410" t="s">
        <v>6031</v>
      </c>
      <c r="H2410" t="s">
        <v>6043</v>
      </c>
      <c r="I2410" t="s">
        <v>6048</v>
      </c>
      <c r="J2410" t="s">
        <v>6055</v>
      </c>
      <c r="K2410" t="s">
        <v>6064</v>
      </c>
      <c r="L2410" t="s">
        <v>8177</v>
      </c>
      <c r="M2410">
        <v>191.98</v>
      </c>
      <c r="N2410">
        <v>5</v>
      </c>
      <c r="O2410">
        <v>0.08</v>
      </c>
      <c r="P2410">
        <v>37.909999999999997</v>
      </c>
      <c r="Q2410" t="s">
        <v>9897</v>
      </c>
      <c r="R2410">
        <v>4</v>
      </c>
      <c r="S2410" s="5">
        <f t="shared" si="74"/>
        <v>0.1974684863006563</v>
      </c>
      <c r="T2410">
        <v>38.396000000000001</v>
      </c>
      <c r="U2410">
        <v>6</v>
      </c>
      <c r="V2410">
        <v>2023</v>
      </c>
      <c r="W2410">
        <v>2</v>
      </c>
      <c r="X2410" t="s">
        <v>9899</v>
      </c>
      <c r="Y2410" t="s">
        <v>9901</v>
      </c>
      <c r="Z2410" t="s">
        <v>9899</v>
      </c>
      <c r="AD2410">
        <f t="shared" si="75"/>
        <v>4</v>
      </c>
    </row>
    <row r="2411" spans="1:30" x14ac:dyDescent="0.25">
      <c r="A2411" t="s">
        <v>2435</v>
      </c>
      <c r="B2411" s="2">
        <v>44635</v>
      </c>
      <c r="C2411" s="2">
        <v>44642</v>
      </c>
      <c r="D2411" t="s">
        <v>5348</v>
      </c>
      <c r="E2411" t="s">
        <v>5848</v>
      </c>
      <c r="F2411" t="s">
        <v>6026</v>
      </c>
      <c r="G2411" t="s">
        <v>6029</v>
      </c>
      <c r="H2411" t="s">
        <v>6032</v>
      </c>
      <c r="I2411" t="s">
        <v>6046</v>
      </c>
      <c r="J2411" t="s">
        <v>6054</v>
      </c>
      <c r="K2411" t="s">
        <v>6059</v>
      </c>
      <c r="L2411" t="s">
        <v>8178</v>
      </c>
      <c r="M2411">
        <v>578.91</v>
      </c>
      <c r="N2411">
        <v>1</v>
      </c>
      <c r="O2411">
        <v>0.34</v>
      </c>
      <c r="P2411">
        <v>-46.07</v>
      </c>
      <c r="Q2411" t="s">
        <v>9893</v>
      </c>
      <c r="R2411">
        <v>7</v>
      </c>
      <c r="S2411" s="5">
        <f t="shared" si="74"/>
        <v>-7.9580591110880797E-2</v>
      </c>
      <c r="T2411">
        <v>578.91</v>
      </c>
      <c r="U2411">
        <v>3</v>
      </c>
      <c r="V2411">
        <v>2022</v>
      </c>
      <c r="W2411">
        <v>1</v>
      </c>
      <c r="X2411" t="s">
        <v>9898</v>
      </c>
      <c r="Y2411" t="s">
        <v>9902</v>
      </c>
      <c r="Z2411" t="s">
        <v>9899</v>
      </c>
      <c r="AD2411">
        <f t="shared" si="75"/>
        <v>7</v>
      </c>
    </row>
    <row r="2412" spans="1:30" x14ac:dyDescent="0.25">
      <c r="A2412" t="s">
        <v>2436</v>
      </c>
      <c r="B2412" s="2">
        <v>45298</v>
      </c>
      <c r="C2412" s="2">
        <v>45299</v>
      </c>
      <c r="D2412" t="s">
        <v>5218</v>
      </c>
      <c r="E2412" t="s">
        <v>5718</v>
      </c>
      <c r="F2412" t="s">
        <v>6027</v>
      </c>
      <c r="G2412" t="s">
        <v>6029</v>
      </c>
      <c r="H2412" t="s">
        <v>6041</v>
      </c>
      <c r="I2412" t="s">
        <v>6046</v>
      </c>
      <c r="J2412" t="s">
        <v>6055</v>
      </c>
      <c r="K2412" t="s">
        <v>6063</v>
      </c>
      <c r="L2412" t="s">
        <v>8179</v>
      </c>
      <c r="M2412">
        <v>382.91</v>
      </c>
      <c r="N2412">
        <v>4</v>
      </c>
      <c r="O2412">
        <v>0.02</v>
      </c>
      <c r="P2412">
        <v>44.26</v>
      </c>
      <c r="Q2412" t="s">
        <v>9895</v>
      </c>
      <c r="R2412">
        <v>1</v>
      </c>
      <c r="S2412" s="5">
        <f t="shared" si="74"/>
        <v>0.11558851949544278</v>
      </c>
      <c r="T2412">
        <v>95.727500000000006</v>
      </c>
      <c r="U2412">
        <v>1</v>
      </c>
      <c r="V2412">
        <v>2024</v>
      </c>
      <c r="W2412">
        <v>1</v>
      </c>
      <c r="X2412" t="s">
        <v>9899</v>
      </c>
      <c r="Y2412" t="s">
        <v>9901</v>
      </c>
      <c r="Z2412" t="s">
        <v>9899</v>
      </c>
      <c r="AD2412">
        <f t="shared" si="75"/>
        <v>1</v>
      </c>
    </row>
    <row r="2413" spans="1:30" x14ac:dyDescent="0.25">
      <c r="A2413" t="s">
        <v>2437</v>
      </c>
      <c r="B2413" s="2">
        <v>45312</v>
      </c>
      <c r="C2413" s="2">
        <v>45319</v>
      </c>
      <c r="D2413" t="s">
        <v>5304</v>
      </c>
      <c r="E2413" t="s">
        <v>5804</v>
      </c>
      <c r="F2413" t="s">
        <v>6027</v>
      </c>
      <c r="G2413" t="s">
        <v>6029</v>
      </c>
      <c r="H2413" t="s">
        <v>6036</v>
      </c>
      <c r="I2413" t="s">
        <v>6050</v>
      </c>
      <c r="J2413" t="s">
        <v>6054</v>
      </c>
      <c r="K2413" t="s">
        <v>6062</v>
      </c>
      <c r="L2413" t="s">
        <v>6869</v>
      </c>
      <c r="M2413">
        <v>429.01</v>
      </c>
      <c r="N2413">
        <v>8</v>
      </c>
      <c r="O2413">
        <v>0.17</v>
      </c>
      <c r="P2413">
        <v>24.95</v>
      </c>
      <c r="Q2413" t="s">
        <v>9897</v>
      </c>
      <c r="R2413">
        <v>7</v>
      </c>
      <c r="S2413" s="5">
        <f t="shared" si="74"/>
        <v>5.8157152513927411E-2</v>
      </c>
      <c r="T2413">
        <v>53.626249999999999</v>
      </c>
      <c r="U2413">
        <v>1</v>
      </c>
      <c r="V2413">
        <v>2024</v>
      </c>
      <c r="W2413">
        <v>1</v>
      </c>
      <c r="X2413" t="s">
        <v>9899</v>
      </c>
      <c r="Y2413" t="s">
        <v>9900</v>
      </c>
      <c r="Z2413" t="s">
        <v>9899</v>
      </c>
      <c r="AD2413">
        <f t="shared" si="75"/>
        <v>7</v>
      </c>
    </row>
    <row r="2414" spans="1:30" x14ac:dyDescent="0.25">
      <c r="A2414" t="s">
        <v>2438</v>
      </c>
      <c r="B2414" s="2">
        <v>44723</v>
      </c>
      <c r="C2414" s="2">
        <v>44728</v>
      </c>
      <c r="D2414" t="s">
        <v>5269</v>
      </c>
      <c r="E2414" t="s">
        <v>5769</v>
      </c>
      <c r="F2414" t="s">
        <v>6026</v>
      </c>
      <c r="G2414" t="s">
        <v>6029</v>
      </c>
      <c r="H2414" t="s">
        <v>6032</v>
      </c>
      <c r="I2414" t="s">
        <v>6049</v>
      </c>
      <c r="J2414" t="s">
        <v>6053</v>
      </c>
      <c r="K2414" t="s">
        <v>6057</v>
      </c>
      <c r="L2414" t="s">
        <v>8067</v>
      </c>
      <c r="M2414">
        <v>1560.12</v>
      </c>
      <c r="N2414">
        <v>5</v>
      </c>
      <c r="O2414">
        <v>0.21</v>
      </c>
      <c r="P2414">
        <v>36.08</v>
      </c>
      <c r="Q2414" t="s">
        <v>9895</v>
      </c>
      <c r="R2414">
        <v>5</v>
      </c>
      <c r="S2414" s="5">
        <f t="shared" si="74"/>
        <v>2.3126426172345716E-2</v>
      </c>
      <c r="T2414">
        <v>312.024</v>
      </c>
      <c r="U2414">
        <v>6</v>
      </c>
      <c r="V2414">
        <v>2022</v>
      </c>
      <c r="W2414">
        <v>2</v>
      </c>
      <c r="X2414" t="s">
        <v>9899</v>
      </c>
      <c r="Y2414" t="s">
        <v>9900</v>
      </c>
      <c r="Z2414" t="s">
        <v>9898</v>
      </c>
      <c r="AD2414">
        <f t="shared" si="75"/>
        <v>5</v>
      </c>
    </row>
    <row r="2415" spans="1:30" x14ac:dyDescent="0.25">
      <c r="A2415" t="s">
        <v>2439</v>
      </c>
      <c r="B2415" s="2">
        <v>44940</v>
      </c>
      <c r="C2415" s="2">
        <v>44944</v>
      </c>
      <c r="D2415" t="s">
        <v>5424</v>
      </c>
      <c r="E2415" t="s">
        <v>5924</v>
      </c>
      <c r="F2415" t="s">
        <v>6028</v>
      </c>
      <c r="G2415" t="s">
        <v>6031</v>
      </c>
      <c r="H2415" t="s">
        <v>6037</v>
      </c>
      <c r="I2415" t="s">
        <v>6050</v>
      </c>
      <c r="J2415" t="s">
        <v>6054</v>
      </c>
      <c r="K2415" t="s">
        <v>6059</v>
      </c>
      <c r="L2415" t="s">
        <v>8180</v>
      </c>
      <c r="M2415">
        <v>1440.27</v>
      </c>
      <c r="N2415">
        <v>6</v>
      </c>
      <c r="O2415">
        <v>0.01</v>
      </c>
      <c r="P2415">
        <v>272.23</v>
      </c>
      <c r="Q2415" t="s">
        <v>9893</v>
      </c>
      <c r="R2415">
        <v>4</v>
      </c>
      <c r="S2415" s="5">
        <f t="shared" si="74"/>
        <v>0.18901317114152208</v>
      </c>
      <c r="T2415">
        <v>240.04499999999999</v>
      </c>
      <c r="U2415">
        <v>1</v>
      </c>
      <c r="V2415">
        <v>2023</v>
      </c>
      <c r="W2415">
        <v>1</v>
      </c>
      <c r="X2415" t="s">
        <v>9899</v>
      </c>
      <c r="Y2415" t="s">
        <v>9901</v>
      </c>
      <c r="Z2415" t="s">
        <v>9898</v>
      </c>
      <c r="AD2415">
        <f t="shared" si="75"/>
        <v>4</v>
      </c>
    </row>
    <row r="2416" spans="1:30" x14ac:dyDescent="0.25">
      <c r="A2416" t="s">
        <v>2440</v>
      </c>
      <c r="B2416" s="2">
        <v>45425</v>
      </c>
      <c r="C2416" s="2">
        <v>45426</v>
      </c>
      <c r="D2416" t="s">
        <v>5359</v>
      </c>
      <c r="E2416" t="s">
        <v>5859</v>
      </c>
      <c r="F2416" t="s">
        <v>6028</v>
      </c>
      <c r="G2416" t="s">
        <v>6029</v>
      </c>
      <c r="H2416" t="s">
        <v>6045</v>
      </c>
      <c r="I2416" t="s">
        <v>6050</v>
      </c>
      <c r="J2416" t="s">
        <v>6054</v>
      </c>
      <c r="K2416" t="s">
        <v>6062</v>
      </c>
      <c r="L2416" t="s">
        <v>8181</v>
      </c>
      <c r="M2416">
        <v>350.78</v>
      </c>
      <c r="N2416">
        <v>7</v>
      </c>
      <c r="O2416">
        <v>0.01</v>
      </c>
      <c r="P2416">
        <v>67.48</v>
      </c>
      <c r="Q2416" t="s">
        <v>9895</v>
      </c>
      <c r="R2416">
        <v>1</v>
      </c>
      <c r="S2416" s="5">
        <f t="shared" si="74"/>
        <v>0.19237128684645649</v>
      </c>
      <c r="T2416">
        <v>50.111428571428569</v>
      </c>
      <c r="U2416">
        <v>5</v>
      </c>
      <c r="V2416">
        <v>2024</v>
      </c>
      <c r="W2416">
        <v>2</v>
      </c>
      <c r="X2416" t="s">
        <v>9899</v>
      </c>
      <c r="Y2416" t="s">
        <v>9901</v>
      </c>
      <c r="Z2416" t="s">
        <v>9899</v>
      </c>
      <c r="AD2416">
        <f t="shared" si="75"/>
        <v>1</v>
      </c>
    </row>
    <row r="2417" spans="1:30" x14ac:dyDescent="0.25">
      <c r="A2417" t="s">
        <v>2441</v>
      </c>
      <c r="B2417" s="2">
        <v>45203</v>
      </c>
      <c r="C2417" s="2">
        <v>45209</v>
      </c>
      <c r="D2417" t="s">
        <v>5493</v>
      </c>
      <c r="E2417" t="s">
        <v>5993</v>
      </c>
      <c r="F2417" t="s">
        <v>6028</v>
      </c>
      <c r="G2417" t="s">
        <v>6031</v>
      </c>
      <c r="H2417" t="s">
        <v>6037</v>
      </c>
      <c r="I2417" t="s">
        <v>6052</v>
      </c>
      <c r="J2417" t="s">
        <v>6053</v>
      </c>
      <c r="K2417" t="s">
        <v>6056</v>
      </c>
      <c r="L2417" t="s">
        <v>8182</v>
      </c>
      <c r="M2417">
        <v>1822.11</v>
      </c>
      <c r="N2417">
        <v>5</v>
      </c>
      <c r="O2417">
        <v>0.31</v>
      </c>
      <c r="P2417">
        <v>-34.29</v>
      </c>
      <c r="Q2417" t="s">
        <v>9897</v>
      </c>
      <c r="R2417">
        <v>6</v>
      </c>
      <c r="S2417" s="5">
        <f t="shared" si="74"/>
        <v>-1.8818841892092136E-2</v>
      </c>
      <c r="T2417">
        <v>364.42200000000003</v>
      </c>
      <c r="U2417">
        <v>10</v>
      </c>
      <c r="V2417">
        <v>2023</v>
      </c>
      <c r="W2417">
        <v>4</v>
      </c>
      <c r="X2417" t="s">
        <v>9898</v>
      </c>
      <c r="Y2417" t="s">
        <v>9902</v>
      </c>
      <c r="Z2417" t="s">
        <v>9898</v>
      </c>
      <c r="AD2417">
        <f t="shared" si="75"/>
        <v>6</v>
      </c>
    </row>
    <row r="2418" spans="1:30" x14ac:dyDescent="0.25">
      <c r="A2418" t="s">
        <v>2442</v>
      </c>
      <c r="B2418" s="2">
        <v>45199</v>
      </c>
      <c r="C2418" s="2">
        <v>45203</v>
      </c>
      <c r="D2418" t="s">
        <v>5288</v>
      </c>
      <c r="E2418" t="s">
        <v>5788</v>
      </c>
      <c r="F2418" t="s">
        <v>6028</v>
      </c>
      <c r="G2418" t="s">
        <v>6030</v>
      </c>
      <c r="H2418" t="s">
        <v>6035</v>
      </c>
      <c r="I2418" t="s">
        <v>6047</v>
      </c>
      <c r="J2418" t="s">
        <v>6054</v>
      </c>
      <c r="K2418" t="s">
        <v>6059</v>
      </c>
      <c r="L2418" t="s">
        <v>8183</v>
      </c>
      <c r="M2418">
        <v>1016.48</v>
      </c>
      <c r="N2418">
        <v>6</v>
      </c>
      <c r="O2418">
        <v>0.23</v>
      </c>
      <c r="P2418">
        <v>-100.02</v>
      </c>
      <c r="Q2418" t="s">
        <v>9897</v>
      </c>
      <c r="R2418">
        <v>4</v>
      </c>
      <c r="S2418" s="5">
        <f t="shared" si="74"/>
        <v>-9.8398394459310562E-2</v>
      </c>
      <c r="T2418">
        <v>169.4133333333333</v>
      </c>
      <c r="U2418">
        <v>9</v>
      </c>
      <c r="V2418">
        <v>2023</v>
      </c>
      <c r="W2418">
        <v>3</v>
      </c>
      <c r="X2418" t="s">
        <v>9898</v>
      </c>
      <c r="Y2418" t="s">
        <v>9900</v>
      </c>
      <c r="Z2418" t="s">
        <v>9898</v>
      </c>
      <c r="AD2418">
        <f t="shared" si="75"/>
        <v>4</v>
      </c>
    </row>
    <row r="2419" spans="1:30" x14ac:dyDescent="0.25">
      <c r="A2419" t="s">
        <v>2443</v>
      </c>
      <c r="B2419" s="2">
        <v>44940</v>
      </c>
      <c r="C2419" s="2">
        <v>44942</v>
      </c>
      <c r="D2419" t="s">
        <v>5271</v>
      </c>
      <c r="E2419" t="s">
        <v>5771</v>
      </c>
      <c r="F2419" t="s">
        <v>6026</v>
      </c>
      <c r="G2419" t="s">
        <v>6030</v>
      </c>
      <c r="H2419" t="s">
        <v>6038</v>
      </c>
      <c r="I2419" t="s">
        <v>6047</v>
      </c>
      <c r="J2419" t="s">
        <v>6055</v>
      </c>
      <c r="K2419" t="s">
        <v>6063</v>
      </c>
      <c r="L2419" t="s">
        <v>8184</v>
      </c>
      <c r="M2419">
        <v>383.1</v>
      </c>
      <c r="N2419">
        <v>6</v>
      </c>
      <c r="O2419">
        <v>0.08</v>
      </c>
      <c r="P2419">
        <v>21.8</v>
      </c>
      <c r="Q2419" t="s">
        <v>9895</v>
      </c>
      <c r="R2419">
        <v>2</v>
      </c>
      <c r="S2419" s="5">
        <f t="shared" si="74"/>
        <v>5.6904202558078827E-2</v>
      </c>
      <c r="T2419">
        <v>63.85</v>
      </c>
      <c r="U2419">
        <v>1</v>
      </c>
      <c r="V2419">
        <v>2023</v>
      </c>
      <c r="W2419">
        <v>1</v>
      </c>
      <c r="X2419" t="s">
        <v>9899</v>
      </c>
      <c r="Y2419" t="s">
        <v>9901</v>
      </c>
      <c r="Z2419" t="s">
        <v>9899</v>
      </c>
      <c r="AD2419">
        <f t="shared" si="75"/>
        <v>2</v>
      </c>
    </row>
    <row r="2420" spans="1:30" x14ac:dyDescent="0.25">
      <c r="A2420" t="s">
        <v>2444</v>
      </c>
      <c r="B2420" s="2">
        <v>44584</v>
      </c>
      <c r="C2420" s="2">
        <v>44591</v>
      </c>
      <c r="D2420" t="s">
        <v>5094</v>
      </c>
      <c r="E2420" t="s">
        <v>5594</v>
      </c>
      <c r="F2420" t="s">
        <v>6026</v>
      </c>
      <c r="G2420" t="s">
        <v>6029</v>
      </c>
      <c r="H2420" t="s">
        <v>6041</v>
      </c>
      <c r="I2420" t="s">
        <v>6046</v>
      </c>
      <c r="J2420" t="s">
        <v>6053</v>
      </c>
      <c r="K2420" t="s">
        <v>6057</v>
      </c>
      <c r="L2420" t="s">
        <v>8185</v>
      </c>
      <c r="M2420">
        <v>637.39</v>
      </c>
      <c r="N2420">
        <v>8</v>
      </c>
      <c r="O2420">
        <v>0.34</v>
      </c>
      <c r="P2420">
        <v>-26.12</v>
      </c>
      <c r="Q2420" t="s">
        <v>9897</v>
      </c>
      <c r="R2420">
        <v>7</v>
      </c>
      <c r="S2420" s="5">
        <f t="shared" si="74"/>
        <v>-4.0979620012864967E-2</v>
      </c>
      <c r="T2420">
        <v>79.673749999999998</v>
      </c>
      <c r="U2420">
        <v>1</v>
      </c>
      <c r="V2420">
        <v>2022</v>
      </c>
      <c r="W2420">
        <v>1</v>
      </c>
      <c r="X2420" t="s">
        <v>9898</v>
      </c>
      <c r="Y2420" t="s">
        <v>9902</v>
      </c>
      <c r="Z2420" t="s">
        <v>9899</v>
      </c>
      <c r="AD2420">
        <f t="shared" si="75"/>
        <v>7</v>
      </c>
    </row>
    <row r="2421" spans="1:30" x14ac:dyDescent="0.25">
      <c r="A2421" t="s">
        <v>2445</v>
      </c>
      <c r="B2421" s="2">
        <v>45420</v>
      </c>
      <c r="C2421" s="2">
        <v>45425</v>
      </c>
      <c r="D2421" t="s">
        <v>5466</v>
      </c>
      <c r="E2421" t="s">
        <v>5966</v>
      </c>
      <c r="F2421" t="s">
        <v>6028</v>
      </c>
      <c r="G2421" t="s">
        <v>6030</v>
      </c>
      <c r="H2421" t="s">
        <v>6033</v>
      </c>
      <c r="I2421" t="s">
        <v>6047</v>
      </c>
      <c r="J2421" t="s">
        <v>6054</v>
      </c>
      <c r="K2421" t="s">
        <v>6060</v>
      </c>
      <c r="L2421" t="s">
        <v>6702</v>
      </c>
      <c r="M2421">
        <v>1328.62</v>
      </c>
      <c r="N2421">
        <v>8</v>
      </c>
      <c r="O2421">
        <v>0.32</v>
      </c>
      <c r="P2421">
        <v>-190.37</v>
      </c>
      <c r="Q2421" t="s">
        <v>9895</v>
      </c>
      <c r="R2421">
        <v>5</v>
      </c>
      <c r="S2421" s="5">
        <f t="shared" si="74"/>
        <v>-0.14328400897171503</v>
      </c>
      <c r="T2421">
        <v>166.07749999999999</v>
      </c>
      <c r="U2421">
        <v>5</v>
      </c>
      <c r="V2421">
        <v>2024</v>
      </c>
      <c r="W2421">
        <v>2</v>
      </c>
      <c r="X2421" t="s">
        <v>9898</v>
      </c>
      <c r="Y2421" t="s">
        <v>9902</v>
      </c>
      <c r="Z2421" t="s">
        <v>9898</v>
      </c>
      <c r="AD2421">
        <f t="shared" si="75"/>
        <v>5</v>
      </c>
    </row>
    <row r="2422" spans="1:30" x14ac:dyDescent="0.25">
      <c r="A2422" t="s">
        <v>2446</v>
      </c>
      <c r="B2422" s="2">
        <v>44923</v>
      </c>
      <c r="C2422" s="2">
        <v>44924</v>
      </c>
      <c r="D2422" t="s">
        <v>5055</v>
      </c>
      <c r="E2422" t="s">
        <v>5555</v>
      </c>
      <c r="F2422" t="s">
        <v>6027</v>
      </c>
      <c r="G2422" t="s">
        <v>6030</v>
      </c>
      <c r="H2422" t="s">
        <v>6038</v>
      </c>
      <c r="I2422" t="s">
        <v>6047</v>
      </c>
      <c r="J2422" t="s">
        <v>6053</v>
      </c>
      <c r="K2422" t="s">
        <v>6056</v>
      </c>
      <c r="L2422" t="s">
        <v>8186</v>
      </c>
      <c r="M2422">
        <v>344.19</v>
      </c>
      <c r="N2422">
        <v>1</v>
      </c>
      <c r="O2422">
        <v>0.31</v>
      </c>
      <c r="P2422">
        <v>-57.1</v>
      </c>
      <c r="Q2422" t="s">
        <v>9896</v>
      </c>
      <c r="R2422">
        <v>1</v>
      </c>
      <c r="S2422" s="5">
        <f t="shared" si="74"/>
        <v>-0.16589674307795113</v>
      </c>
      <c r="T2422">
        <v>344.19</v>
      </c>
      <c r="U2422">
        <v>12</v>
      </c>
      <c r="V2422">
        <v>2022</v>
      </c>
      <c r="W2422">
        <v>4</v>
      </c>
      <c r="X2422" t="s">
        <v>9898</v>
      </c>
      <c r="Y2422" t="s">
        <v>9902</v>
      </c>
      <c r="Z2422" t="s">
        <v>9899</v>
      </c>
      <c r="AD2422">
        <f t="shared" si="75"/>
        <v>1</v>
      </c>
    </row>
    <row r="2423" spans="1:30" x14ac:dyDescent="0.25">
      <c r="A2423" t="s">
        <v>2447</v>
      </c>
      <c r="B2423" s="2">
        <v>45442</v>
      </c>
      <c r="C2423" s="2">
        <v>45448</v>
      </c>
      <c r="D2423" t="s">
        <v>5166</v>
      </c>
      <c r="E2423" t="s">
        <v>5666</v>
      </c>
      <c r="F2423" t="s">
        <v>6027</v>
      </c>
      <c r="G2423" t="s">
        <v>6030</v>
      </c>
      <c r="H2423" t="s">
        <v>6035</v>
      </c>
      <c r="I2423" t="s">
        <v>6051</v>
      </c>
      <c r="J2423" t="s">
        <v>6055</v>
      </c>
      <c r="K2423" t="s">
        <v>6064</v>
      </c>
      <c r="L2423" t="s">
        <v>8187</v>
      </c>
      <c r="M2423">
        <v>1062.05</v>
      </c>
      <c r="N2423">
        <v>6</v>
      </c>
      <c r="O2423">
        <v>0.13</v>
      </c>
      <c r="P2423">
        <v>174.24</v>
      </c>
      <c r="Q2423" t="s">
        <v>9895</v>
      </c>
      <c r="R2423">
        <v>6</v>
      </c>
      <c r="S2423" s="5">
        <f t="shared" si="74"/>
        <v>0.16406007250129467</v>
      </c>
      <c r="T2423">
        <v>177.0083333333333</v>
      </c>
      <c r="U2423">
        <v>5</v>
      </c>
      <c r="V2423">
        <v>2024</v>
      </c>
      <c r="W2423">
        <v>2</v>
      </c>
      <c r="X2423" t="s">
        <v>9899</v>
      </c>
      <c r="Y2423" t="s">
        <v>9901</v>
      </c>
      <c r="Z2423" t="s">
        <v>9898</v>
      </c>
      <c r="AD2423">
        <f t="shared" si="75"/>
        <v>6</v>
      </c>
    </row>
    <row r="2424" spans="1:30" x14ac:dyDescent="0.25">
      <c r="A2424" t="s">
        <v>2448</v>
      </c>
      <c r="B2424" s="2">
        <v>45030</v>
      </c>
      <c r="C2424" s="2">
        <v>45034</v>
      </c>
      <c r="D2424" t="s">
        <v>5408</v>
      </c>
      <c r="E2424" t="s">
        <v>5908</v>
      </c>
      <c r="F2424" t="s">
        <v>6028</v>
      </c>
      <c r="G2424" t="s">
        <v>6030</v>
      </c>
      <c r="H2424" t="s">
        <v>6035</v>
      </c>
      <c r="I2424" t="s">
        <v>6047</v>
      </c>
      <c r="J2424" t="s">
        <v>6054</v>
      </c>
      <c r="K2424" t="s">
        <v>6059</v>
      </c>
      <c r="L2424" t="s">
        <v>8188</v>
      </c>
      <c r="M2424">
        <v>397.39</v>
      </c>
      <c r="N2424">
        <v>5</v>
      </c>
      <c r="O2424">
        <v>0.04</v>
      </c>
      <c r="P2424">
        <v>55.74</v>
      </c>
      <c r="Q2424" t="s">
        <v>9897</v>
      </c>
      <c r="R2424">
        <v>4</v>
      </c>
      <c r="S2424" s="5">
        <f t="shared" si="74"/>
        <v>0.14026523062985985</v>
      </c>
      <c r="T2424">
        <v>79.477999999999994</v>
      </c>
      <c r="U2424">
        <v>4</v>
      </c>
      <c r="V2424">
        <v>2023</v>
      </c>
      <c r="W2424">
        <v>2</v>
      </c>
      <c r="X2424" t="s">
        <v>9899</v>
      </c>
      <c r="Y2424" t="s">
        <v>9901</v>
      </c>
      <c r="Z2424" t="s">
        <v>9899</v>
      </c>
      <c r="AD2424">
        <f t="shared" si="75"/>
        <v>4</v>
      </c>
    </row>
    <row r="2425" spans="1:30" x14ac:dyDescent="0.25">
      <c r="A2425" t="s">
        <v>2449</v>
      </c>
      <c r="B2425" s="2">
        <v>45454</v>
      </c>
      <c r="C2425" s="2">
        <v>45458</v>
      </c>
      <c r="D2425" t="s">
        <v>5187</v>
      </c>
      <c r="E2425" t="s">
        <v>5687</v>
      </c>
      <c r="F2425" t="s">
        <v>6028</v>
      </c>
      <c r="G2425" t="s">
        <v>6030</v>
      </c>
      <c r="H2425" t="s">
        <v>6033</v>
      </c>
      <c r="I2425" t="s">
        <v>6047</v>
      </c>
      <c r="J2425" t="s">
        <v>6054</v>
      </c>
      <c r="K2425" t="s">
        <v>6062</v>
      </c>
      <c r="L2425" t="s">
        <v>7922</v>
      </c>
      <c r="M2425">
        <v>1051.58</v>
      </c>
      <c r="N2425">
        <v>8</v>
      </c>
      <c r="O2425">
        <v>0.24</v>
      </c>
      <c r="P2425">
        <v>-68.89</v>
      </c>
      <c r="Q2425" t="s">
        <v>9893</v>
      </c>
      <c r="R2425">
        <v>4</v>
      </c>
      <c r="S2425" s="5">
        <f t="shared" si="74"/>
        <v>-6.5510945434489057E-2</v>
      </c>
      <c r="T2425">
        <v>131.44749999999999</v>
      </c>
      <c r="U2425">
        <v>6</v>
      </c>
      <c r="V2425">
        <v>2024</v>
      </c>
      <c r="W2425">
        <v>2</v>
      </c>
      <c r="X2425" t="s">
        <v>9898</v>
      </c>
      <c r="Y2425" t="s">
        <v>9900</v>
      </c>
      <c r="Z2425" t="s">
        <v>9898</v>
      </c>
      <c r="AD2425">
        <f t="shared" si="75"/>
        <v>4</v>
      </c>
    </row>
    <row r="2426" spans="1:30" x14ac:dyDescent="0.25">
      <c r="A2426" t="s">
        <v>2450</v>
      </c>
      <c r="B2426" s="2">
        <v>44841</v>
      </c>
      <c r="C2426" s="2">
        <v>44842</v>
      </c>
      <c r="D2426" t="s">
        <v>5410</v>
      </c>
      <c r="E2426" t="s">
        <v>5910</v>
      </c>
      <c r="F2426" t="s">
        <v>6026</v>
      </c>
      <c r="G2426" t="s">
        <v>6030</v>
      </c>
      <c r="H2426" t="s">
        <v>6039</v>
      </c>
      <c r="I2426" t="s">
        <v>6047</v>
      </c>
      <c r="J2426" t="s">
        <v>6055</v>
      </c>
      <c r="K2426" t="s">
        <v>6061</v>
      </c>
      <c r="L2426" t="s">
        <v>8189</v>
      </c>
      <c r="M2426">
        <v>154.81</v>
      </c>
      <c r="N2426">
        <v>3</v>
      </c>
      <c r="O2426">
        <v>0.34</v>
      </c>
      <c r="P2426">
        <v>-17.16</v>
      </c>
      <c r="Q2426" t="s">
        <v>9897</v>
      </c>
      <c r="R2426">
        <v>1</v>
      </c>
      <c r="S2426" s="5">
        <f t="shared" si="74"/>
        <v>-0.1108455526128803</v>
      </c>
      <c r="T2426">
        <v>51.603333333333332</v>
      </c>
      <c r="U2426">
        <v>10</v>
      </c>
      <c r="V2426">
        <v>2022</v>
      </c>
      <c r="W2426">
        <v>4</v>
      </c>
      <c r="X2426" t="s">
        <v>9898</v>
      </c>
      <c r="Y2426" t="s">
        <v>9902</v>
      </c>
      <c r="Z2426" t="s">
        <v>9899</v>
      </c>
      <c r="AD2426">
        <f t="shared" si="75"/>
        <v>1</v>
      </c>
    </row>
    <row r="2427" spans="1:30" x14ac:dyDescent="0.25">
      <c r="A2427" t="s">
        <v>2451</v>
      </c>
      <c r="B2427" s="2">
        <v>44973</v>
      </c>
      <c r="C2427" s="2">
        <v>44978</v>
      </c>
      <c r="D2427" t="s">
        <v>5372</v>
      </c>
      <c r="E2427" t="s">
        <v>5872</v>
      </c>
      <c r="F2427" t="s">
        <v>6027</v>
      </c>
      <c r="G2427" t="s">
        <v>6031</v>
      </c>
      <c r="H2427" t="s">
        <v>6042</v>
      </c>
      <c r="I2427" t="s">
        <v>6050</v>
      </c>
      <c r="J2427" t="s">
        <v>6053</v>
      </c>
      <c r="K2427" t="s">
        <v>6058</v>
      </c>
      <c r="L2427" t="s">
        <v>8190</v>
      </c>
      <c r="M2427">
        <v>1733.15</v>
      </c>
      <c r="N2427">
        <v>4</v>
      </c>
      <c r="O2427">
        <v>0.23</v>
      </c>
      <c r="P2427">
        <v>-30.47</v>
      </c>
      <c r="Q2427" t="s">
        <v>9893</v>
      </c>
      <c r="R2427">
        <v>5</v>
      </c>
      <c r="S2427" s="5">
        <f t="shared" si="74"/>
        <v>-1.7580705651559298E-2</v>
      </c>
      <c r="T2427">
        <v>433.28750000000002</v>
      </c>
      <c r="U2427">
        <v>2</v>
      </c>
      <c r="V2427">
        <v>2023</v>
      </c>
      <c r="W2427">
        <v>1</v>
      </c>
      <c r="X2427" t="s">
        <v>9898</v>
      </c>
      <c r="Y2427" t="s">
        <v>9900</v>
      </c>
      <c r="Z2427" t="s">
        <v>9898</v>
      </c>
      <c r="AD2427">
        <f t="shared" si="75"/>
        <v>5</v>
      </c>
    </row>
    <row r="2428" spans="1:30" x14ac:dyDescent="0.25">
      <c r="A2428" t="s">
        <v>2452</v>
      </c>
      <c r="B2428" s="2">
        <v>44892</v>
      </c>
      <c r="C2428" s="2">
        <v>44894</v>
      </c>
      <c r="D2428" t="s">
        <v>5362</v>
      </c>
      <c r="E2428" t="s">
        <v>5862</v>
      </c>
      <c r="F2428" t="s">
        <v>6026</v>
      </c>
      <c r="G2428" t="s">
        <v>6030</v>
      </c>
      <c r="H2428" t="s">
        <v>6038</v>
      </c>
      <c r="I2428" t="s">
        <v>6051</v>
      </c>
      <c r="J2428" t="s">
        <v>6055</v>
      </c>
      <c r="K2428" t="s">
        <v>6061</v>
      </c>
      <c r="L2428" t="s">
        <v>8191</v>
      </c>
      <c r="M2428">
        <v>785.4</v>
      </c>
      <c r="N2428">
        <v>2</v>
      </c>
      <c r="O2428">
        <v>0.12</v>
      </c>
      <c r="P2428">
        <v>44.57</v>
      </c>
      <c r="Q2428" t="s">
        <v>9893</v>
      </c>
      <c r="R2428">
        <v>2</v>
      </c>
      <c r="S2428" s="5">
        <f t="shared" si="74"/>
        <v>5.6748153806977342E-2</v>
      </c>
      <c r="T2428">
        <v>392.7</v>
      </c>
      <c r="U2428">
        <v>11</v>
      </c>
      <c r="V2428">
        <v>2022</v>
      </c>
      <c r="W2428">
        <v>4</v>
      </c>
      <c r="X2428" t="s">
        <v>9899</v>
      </c>
      <c r="Y2428" t="s">
        <v>9901</v>
      </c>
      <c r="Z2428" t="s">
        <v>9899</v>
      </c>
      <c r="AD2428">
        <f t="shared" si="75"/>
        <v>2</v>
      </c>
    </row>
    <row r="2429" spans="1:30" x14ac:dyDescent="0.25">
      <c r="A2429" t="s">
        <v>2453</v>
      </c>
      <c r="B2429" s="2">
        <v>45240</v>
      </c>
      <c r="C2429" s="2">
        <v>45244</v>
      </c>
      <c r="D2429" t="s">
        <v>5365</v>
      </c>
      <c r="E2429" t="s">
        <v>5865</v>
      </c>
      <c r="F2429" t="s">
        <v>6028</v>
      </c>
      <c r="G2429" t="s">
        <v>6029</v>
      </c>
      <c r="H2429" t="s">
        <v>6041</v>
      </c>
      <c r="I2429" t="s">
        <v>6050</v>
      </c>
      <c r="J2429" t="s">
        <v>6055</v>
      </c>
      <c r="K2429" t="s">
        <v>6063</v>
      </c>
      <c r="L2429" t="s">
        <v>8192</v>
      </c>
      <c r="M2429">
        <v>362.96</v>
      </c>
      <c r="N2429">
        <v>8</v>
      </c>
      <c r="O2429">
        <v>0</v>
      </c>
      <c r="P2429">
        <v>73.66</v>
      </c>
      <c r="Q2429" t="s">
        <v>9896</v>
      </c>
      <c r="R2429">
        <v>4</v>
      </c>
      <c r="S2429" s="5">
        <f t="shared" si="74"/>
        <v>0.20294247299977961</v>
      </c>
      <c r="T2429">
        <v>45.37</v>
      </c>
      <c r="U2429">
        <v>11</v>
      </c>
      <c r="V2429">
        <v>2023</v>
      </c>
      <c r="W2429">
        <v>4</v>
      </c>
      <c r="X2429" t="s">
        <v>9899</v>
      </c>
      <c r="Y2429" t="s">
        <v>9901</v>
      </c>
      <c r="Z2429" t="s">
        <v>9899</v>
      </c>
      <c r="AD2429">
        <f t="shared" si="75"/>
        <v>4</v>
      </c>
    </row>
    <row r="2430" spans="1:30" x14ac:dyDescent="0.25">
      <c r="A2430" t="s">
        <v>2454</v>
      </c>
      <c r="B2430" s="2">
        <v>45073</v>
      </c>
      <c r="C2430" s="2">
        <v>45074</v>
      </c>
      <c r="D2430" t="s">
        <v>5376</v>
      </c>
      <c r="E2430" t="s">
        <v>5876</v>
      </c>
      <c r="F2430" t="s">
        <v>6027</v>
      </c>
      <c r="G2430" t="s">
        <v>6029</v>
      </c>
      <c r="H2430" t="s">
        <v>6045</v>
      </c>
      <c r="I2430" t="s">
        <v>6050</v>
      </c>
      <c r="J2430" t="s">
        <v>6055</v>
      </c>
      <c r="K2430" t="s">
        <v>6061</v>
      </c>
      <c r="L2430" t="s">
        <v>7323</v>
      </c>
      <c r="M2430">
        <v>1997.84</v>
      </c>
      <c r="N2430">
        <v>3</v>
      </c>
      <c r="O2430">
        <v>0.34</v>
      </c>
      <c r="P2430">
        <v>-118.34</v>
      </c>
      <c r="Q2430" t="s">
        <v>9896</v>
      </c>
      <c r="R2430">
        <v>1</v>
      </c>
      <c r="S2430" s="5">
        <f t="shared" si="74"/>
        <v>-5.9233972690505753E-2</v>
      </c>
      <c r="T2430">
        <v>665.9466666666666</v>
      </c>
      <c r="U2430">
        <v>5</v>
      </c>
      <c r="V2430">
        <v>2023</v>
      </c>
      <c r="W2430">
        <v>2</v>
      </c>
      <c r="X2430" t="s">
        <v>9898</v>
      </c>
      <c r="Y2430" t="s">
        <v>9902</v>
      </c>
      <c r="Z2430" t="s">
        <v>9898</v>
      </c>
      <c r="AD2430">
        <f t="shared" si="75"/>
        <v>1</v>
      </c>
    </row>
    <row r="2431" spans="1:30" x14ac:dyDescent="0.25">
      <c r="A2431" t="s">
        <v>2455</v>
      </c>
      <c r="B2431" s="2">
        <v>45180</v>
      </c>
      <c r="C2431" s="2">
        <v>45182</v>
      </c>
      <c r="D2431" t="s">
        <v>5354</v>
      </c>
      <c r="E2431" t="s">
        <v>5854</v>
      </c>
      <c r="F2431" t="s">
        <v>6027</v>
      </c>
      <c r="G2431" t="s">
        <v>6030</v>
      </c>
      <c r="H2431" t="s">
        <v>6033</v>
      </c>
      <c r="I2431" t="s">
        <v>6051</v>
      </c>
      <c r="J2431" t="s">
        <v>6055</v>
      </c>
      <c r="K2431" t="s">
        <v>6061</v>
      </c>
      <c r="L2431" t="s">
        <v>7729</v>
      </c>
      <c r="M2431">
        <v>1810.17</v>
      </c>
      <c r="N2431">
        <v>4</v>
      </c>
      <c r="O2431">
        <v>0.22</v>
      </c>
      <c r="P2431">
        <v>-194.05</v>
      </c>
      <c r="Q2431" t="s">
        <v>9896</v>
      </c>
      <c r="R2431">
        <v>2</v>
      </c>
      <c r="S2431" s="5">
        <f t="shared" si="74"/>
        <v>-0.10719987625471641</v>
      </c>
      <c r="T2431">
        <v>452.54250000000002</v>
      </c>
      <c r="U2431">
        <v>9</v>
      </c>
      <c r="V2431">
        <v>2023</v>
      </c>
      <c r="W2431">
        <v>3</v>
      </c>
      <c r="X2431" t="s">
        <v>9898</v>
      </c>
      <c r="Y2431" t="s">
        <v>9900</v>
      </c>
      <c r="Z2431" t="s">
        <v>9898</v>
      </c>
      <c r="AD2431">
        <f t="shared" si="75"/>
        <v>2</v>
      </c>
    </row>
    <row r="2432" spans="1:30" x14ac:dyDescent="0.25">
      <c r="A2432" t="s">
        <v>2456</v>
      </c>
      <c r="B2432" s="2">
        <v>45243</v>
      </c>
      <c r="C2432" s="2">
        <v>45250</v>
      </c>
      <c r="D2432" t="s">
        <v>5445</v>
      </c>
      <c r="E2432" t="s">
        <v>5945</v>
      </c>
      <c r="F2432" t="s">
        <v>6026</v>
      </c>
      <c r="G2432" t="s">
        <v>6030</v>
      </c>
      <c r="H2432" t="s">
        <v>6039</v>
      </c>
      <c r="I2432" t="s">
        <v>6047</v>
      </c>
      <c r="J2432" t="s">
        <v>6054</v>
      </c>
      <c r="K2432" t="s">
        <v>6059</v>
      </c>
      <c r="L2432" t="s">
        <v>8193</v>
      </c>
      <c r="M2432">
        <v>1665.65</v>
      </c>
      <c r="N2432">
        <v>2</v>
      </c>
      <c r="O2432">
        <v>0.01</v>
      </c>
      <c r="P2432">
        <v>324.38</v>
      </c>
      <c r="Q2432" t="s">
        <v>9896</v>
      </c>
      <c r="R2432">
        <v>7</v>
      </c>
      <c r="S2432" s="5">
        <f t="shared" si="74"/>
        <v>0.1947467955452826</v>
      </c>
      <c r="T2432">
        <v>832.82500000000005</v>
      </c>
      <c r="U2432">
        <v>11</v>
      </c>
      <c r="V2432">
        <v>2023</v>
      </c>
      <c r="W2432">
        <v>4</v>
      </c>
      <c r="X2432" t="s">
        <v>9899</v>
      </c>
      <c r="Y2432" t="s">
        <v>9901</v>
      </c>
      <c r="Z2432" t="s">
        <v>9898</v>
      </c>
      <c r="AD2432">
        <f t="shared" si="75"/>
        <v>7</v>
      </c>
    </row>
    <row r="2433" spans="1:30" x14ac:dyDescent="0.25">
      <c r="A2433" t="s">
        <v>2457</v>
      </c>
      <c r="B2433" s="2">
        <v>45223</v>
      </c>
      <c r="C2433" s="2">
        <v>45230</v>
      </c>
      <c r="D2433" t="s">
        <v>5092</v>
      </c>
      <c r="E2433" t="s">
        <v>5592</v>
      </c>
      <c r="F2433" t="s">
        <v>6026</v>
      </c>
      <c r="G2433" t="s">
        <v>6029</v>
      </c>
      <c r="H2433" t="s">
        <v>6036</v>
      </c>
      <c r="I2433" t="s">
        <v>6049</v>
      </c>
      <c r="J2433" t="s">
        <v>6053</v>
      </c>
      <c r="K2433" t="s">
        <v>6058</v>
      </c>
      <c r="L2433" t="s">
        <v>8194</v>
      </c>
      <c r="M2433">
        <v>1931.47</v>
      </c>
      <c r="N2433">
        <v>8</v>
      </c>
      <c r="O2433">
        <v>0.25</v>
      </c>
      <c r="P2433">
        <v>42.99</v>
      </c>
      <c r="Q2433" t="s">
        <v>9897</v>
      </c>
      <c r="R2433">
        <v>7</v>
      </c>
      <c r="S2433" s="5">
        <f t="shared" si="74"/>
        <v>2.2257658674481096E-2</v>
      </c>
      <c r="T2433">
        <v>241.43375</v>
      </c>
      <c r="U2433">
        <v>10</v>
      </c>
      <c r="V2433">
        <v>2023</v>
      </c>
      <c r="W2433">
        <v>4</v>
      </c>
      <c r="X2433" t="s">
        <v>9899</v>
      </c>
      <c r="Y2433" t="s">
        <v>9900</v>
      </c>
      <c r="Z2433" t="s">
        <v>9898</v>
      </c>
      <c r="AD2433">
        <f t="shared" si="75"/>
        <v>7</v>
      </c>
    </row>
    <row r="2434" spans="1:30" x14ac:dyDescent="0.25">
      <c r="A2434" t="s">
        <v>2458</v>
      </c>
      <c r="B2434" s="2">
        <v>45141</v>
      </c>
      <c r="C2434" s="2">
        <v>45148</v>
      </c>
      <c r="D2434" t="s">
        <v>5507</v>
      </c>
      <c r="E2434" t="s">
        <v>6007</v>
      </c>
      <c r="F2434" t="s">
        <v>6026</v>
      </c>
      <c r="G2434" t="s">
        <v>6030</v>
      </c>
      <c r="H2434" t="s">
        <v>6039</v>
      </c>
      <c r="I2434" t="s">
        <v>6051</v>
      </c>
      <c r="J2434" t="s">
        <v>6054</v>
      </c>
      <c r="K2434" t="s">
        <v>6062</v>
      </c>
      <c r="L2434" t="s">
        <v>8195</v>
      </c>
      <c r="M2434">
        <v>403.06</v>
      </c>
      <c r="N2434">
        <v>5</v>
      </c>
      <c r="O2434">
        <v>0.2</v>
      </c>
      <c r="P2434">
        <v>1.75</v>
      </c>
      <c r="Q2434" t="s">
        <v>9894</v>
      </c>
      <c r="R2434">
        <v>7</v>
      </c>
      <c r="S2434" s="5">
        <f t="shared" si="74"/>
        <v>4.3417853421326849E-3</v>
      </c>
      <c r="T2434">
        <v>80.611999999999995</v>
      </c>
      <c r="U2434">
        <v>8</v>
      </c>
      <c r="V2434">
        <v>2023</v>
      </c>
      <c r="W2434">
        <v>3</v>
      </c>
      <c r="X2434" t="s">
        <v>9899</v>
      </c>
      <c r="Y2434" t="s">
        <v>9900</v>
      </c>
      <c r="Z2434" t="s">
        <v>9899</v>
      </c>
      <c r="AD2434">
        <f t="shared" si="75"/>
        <v>7</v>
      </c>
    </row>
    <row r="2435" spans="1:30" x14ac:dyDescent="0.25">
      <c r="A2435" t="s">
        <v>2459</v>
      </c>
      <c r="B2435" s="2">
        <v>44774</v>
      </c>
      <c r="C2435" s="2">
        <v>44777</v>
      </c>
      <c r="D2435" t="s">
        <v>5300</v>
      </c>
      <c r="E2435" t="s">
        <v>5800</v>
      </c>
      <c r="F2435" t="s">
        <v>6028</v>
      </c>
      <c r="G2435" t="s">
        <v>6030</v>
      </c>
      <c r="H2435" t="s">
        <v>6038</v>
      </c>
      <c r="I2435" t="s">
        <v>6051</v>
      </c>
      <c r="J2435" t="s">
        <v>6053</v>
      </c>
      <c r="K2435" t="s">
        <v>6058</v>
      </c>
      <c r="L2435" t="s">
        <v>8196</v>
      </c>
      <c r="M2435">
        <v>712.79</v>
      </c>
      <c r="N2435">
        <v>2</v>
      </c>
      <c r="O2435">
        <v>0.09</v>
      </c>
      <c r="P2435">
        <v>110.77</v>
      </c>
      <c r="Q2435" t="s">
        <v>9897</v>
      </c>
      <c r="R2435">
        <v>3</v>
      </c>
      <c r="S2435" s="5">
        <f t="shared" ref="S2435:S2498" si="76">P2435/M2435</f>
        <v>0.15540341475048752</v>
      </c>
      <c r="T2435">
        <v>356.39499999999998</v>
      </c>
      <c r="U2435">
        <v>8</v>
      </c>
      <c r="V2435">
        <v>2022</v>
      </c>
      <c r="W2435">
        <v>3</v>
      </c>
      <c r="X2435" t="s">
        <v>9899</v>
      </c>
      <c r="Y2435" t="s">
        <v>9901</v>
      </c>
      <c r="Z2435" t="s">
        <v>9899</v>
      </c>
      <c r="AD2435">
        <f t="shared" ref="AD2435:AD2498" si="77">C2435-B2435</f>
        <v>3</v>
      </c>
    </row>
    <row r="2436" spans="1:30" x14ac:dyDescent="0.25">
      <c r="A2436" t="s">
        <v>2460</v>
      </c>
      <c r="B2436" s="2">
        <v>45344</v>
      </c>
      <c r="C2436" s="2">
        <v>45350</v>
      </c>
      <c r="D2436" t="s">
        <v>5137</v>
      </c>
      <c r="E2436" t="s">
        <v>5637</v>
      </c>
      <c r="F2436" t="s">
        <v>6026</v>
      </c>
      <c r="G2436" t="s">
        <v>6031</v>
      </c>
      <c r="H2436" t="s">
        <v>6042</v>
      </c>
      <c r="I2436" t="s">
        <v>6052</v>
      </c>
      <c r="J2436" t="s">
        <v>6053</v>
      </c>
      <c r="K2436" t="s">
        <v>6058</v>
      </c>
      <c r="L2436" t="s">
        <v>8197</v>
      </c>
      <c r="M2436">
        <v>460.73</v>
      </c>
      <c r="N2436">
        <v>5</v>
      </c>
      <c r="O2436">
        <v>0.2</v>
      </c>
      <c r="P2436">
        <v>27.5</v>
      </c>
      <c r="Q2436" t="s">
        <v>9894</v>
      </c>
      <c r="R2436">
        <v>6</v>
      </c>
      <c r="S2436" s="5">
        <f t="shared" si="76"/>
        <v>5.9687886614720118E-2</v>
      </c>
      <c r="T2436">
        <v>92.146000000000001</v>
      </c>
      <c r="U2436">
        <v>2</v>
      </c>
      <c r="V2436">
        <v>2024</v>
      </c>
      <c r="W2436">
        <v>1</v>
      </c>
      <c r="X2436" t="s">
        <v>9899</v>
      </c>
      <c r="Y2436" t="s">
        <v>9900</v>
      </c>
      <c r="Z2436" t="s">
        <v>9899</v>
      </c>
      <c r="AD2436">
        <f t="shared" si="77"/>
        <v>6</v>
      </c>
    </row>
    <row r="2437" spans="1:30" x14ac:dyDescent="0.25">
      <c r="A2437" t="s">
        <v>2461</v>
      </c>
      <c r="B2437" s="2">
        <v>45003</v>
      </c>
      <c r="C2437" s="2">
        <v>45010</v>
      </c>
      <c r="D2437" t="s">
        <v>5298</v>
      </c>
      <c r="E2437" t="s">
        <v>5798</v>
      </c>
      <c r="F2437" t="s">
        <v>6026</v>
      </c>
      <c r="G2437" t="s">
        <v>6031</v>
      </c>
      <c r="H2437" t="s">
        <v>6042</v>
      </c>
      <c r="I2437" t="s">
        <v>6048</v>
      </c>
      <c r="J2437" t="s">
        <v>6055</v>
      </c>
      <c r="K2437" t="s">
        <v>6063</v>
      </c>
      <c r="L2437" t="s">
        <v>8198</v>
      </c>
      <c r="M2437">
        <v>1196.58</v>
      </c>
      <c r="N2437">
        <v>8</v>
      </c>
      <c r="O2437">
        <v>0.21</v>
      </c>
      <c r="P2437">
        <v>73.680000000000007</v>
      </c>
      <c r="Q2437" t="s">
        <v>9894</v>
      </c>
      <c r="R2437">
        <v>7</v>
      </c>
      <c r="S2437" s="5">
        <f t="shared" si="76"/>
        <v>6.1575490146918731E-2</v>
      </c>
      <c r="T2437">
        <v>149.57249999999999</v>
      </c>
      <c r="U2437">
        <v>3</v>
      </c>
      <c r="V2437">
        <v>2023</v>
      </c>
      <c r="W2437">
        <v>1</v>
      </c>
      <c r="X2437" t="s">
        <v>9899</v>
      </c>
      <c r="Y2437" t="s">
        <v>9900</v>
      </c>
      <c r="Z2437" t="s">
        <v>9898</v>
      </c>
      <c r="AD2437">
        <f t="shared" si="77"/>
        <v>7</v>
      </c>
    </row>
    <row r="2438" spans="1:30" x14ac:dyDescent="0.25">
      <c r="A2438" t="s">
        <v>2462</v>
      </c>
      <c r="B2438" s="2">
        <v>44761</v>
      </c>
      <c r="C2438" s="2">
        <v>44768</v>
      </c>
      <c r="D2438" t="s">
        <v>5207</v>
      </c>
      <c r="E2438" t="s">
        <v>5707</v>
      </c>
      <c r="F2438" t="s">
        <v>6026</v>
      </c>
      <c r="G2438" t="s">
        <v>6030</v>
      </c>
      <c r="H2438" t="s">
        <v>6035</v>
      </c>
      <c r="I2438" t="s">
        <v>6047</v>
      </c>
      <c r="J2438" t="s">
        <v>6054</v>
      </c>
      <c r="K2438" t="s">
        <v>6060</v>
      </c>
      <c r="L2438" t="s">
        <v>8199</v>
      </c>
      <c r="M2438">
        <v>111.95</v>
      </c>
      <c r="N2438">
        <v>3</v>
      </c>
      <c r="O2438">
        <v>0.22</v>
      </c>
      <c r="P2438">
        <v>-8.1199999999999992</v>
      </c>
      <c r="Q2438" t="s">
        <v>9894</v>
      </c>
      <c r="R2438">
        <v>7</v>
      </c>
      <c r="S2438" s="5">
        <f t="shared" si="76"/>
        <v>-7.2532380527020976E-2</v>
      </c>
      <c r="T2438">
        <v>37.31666666666667</v>
      </c>
      <c r="U2438">
        <v>7</v>
      </c>
      <c r="V2438">
        <v>2022</v>
      </c>
      <c r="W2438">
        <v>3</v>
      </c>
      <c r="X2438" t="s">
        <v>9898</v>
      </c>
      <c r="Y2438" t="s">
        <v>9900</v>
      </c>
      <c r="Z2438" t="s">
        <v>9899</v>
      </c>
      <c r="AD2438">
        <f t="shared" si="77"/>
        <v>7</v>
      </c>
    </row>
    <row r="2439" spans="1:30" x14ac:dyDescent="0.25">
      <c r="A2439" t="s">
        <v>2463</v>
      </c>
      <c r="B2439" s="2">
        <v>44631</v>
      </c>
      <c r="C2439" s="2">
        <v>44638</v>
      </c>
      <c r="D2439" t="s">
        <v>5271</v>
      </c>
      <c r="E2439" t="s">
        <v>5771</v>
      </c>
      <c r="F2439" t="s">
        <v>6028</v>
      </c>
      <c r="G2439" t="s">
        <v>6029</v>
      </c>
      <c r="H2439" t="s">
        <v>6045</v>
      </c>
      <c r="I2439" t="s">
        <v>6049</v>
      </c>
      <c r="J2439" t="s">
        <v>6054</v>
      </c>
      <c r="K2439" t="s">
        <v>6062</v>
      </c>
      <c r="L2439" t="s">
        <v>8200</v>
      </c>
      <c r="M2439">
        <v>761.8</v>
      </c>
      <c r="N2439">
        <v>4</v>
      </c>
      <c r="O2439">
        <v>0.28999999999999998</v>
      </c>
      <c r="P2439">
        <v>-45.61</v>
      </c>
      <c r="Q2439" t="s">
        <v>9895</v>
      </c>
      <c r="R2439">
        <v>7</v>
      </c>
      <c r="S2439" s="5">
        <f t="shared" si="76"/>
        <v>-5.9871357311630354E-2</v>
      </c>
      <c r="T2439">
        <v>190.45</v>
      </c>
      <c r="U2439">
        <v>3</v>
      </c>
      <c r="V2439">
        <v>2022</v>
      </c>
      <c r="W2439">
        <v>1</v>
      </c>
      <c r="X2439" t="s">
        <v>9898</v>
      </c>
      <c r="Y2439" t="s">
        <v>9900</v>
      </c>
      <c r="Z2439" t="s">
        <v>9899</v>
      </c>
      <c r="AD2439">
        <f t="shared" si="77"/>
        <v>7</v>
      </c>
    </row>
    <row r="2440" spans="1:30" x14ac:dyDescent="0.25">
      <c r="A2440" t="s">
        <v>2464</v>
      </c>
      <c r="B2440" s="2">
        <v>45035</v>
      </c>
      <c r="C2440" s="2">
        <v>45042</v>
      </c>
      <c r="D2440" t="s">
        <v>5433</v>
      </c>
      <c r="E2440" t="s">
        <v>5933</v>
      </c>
      <c r="F2440" t="s">
        <v>6028</v>
      </c>
      <c r="G2440" t="s">
        <v>6030</v>
      </c>
      <c r="H2440" t="s">
        <v>6038</v>
      </c>
      <c r="I2440" t="s">
        <v>6047</v>
      </c>
      <c r="J2440" t="s">
        <v>6055</v>
      </c>
      <c r="K2440" t="s">
        <v>6064</v>
      </c>
      <c r="L2440" t="s">
        <v>8201</v>
      </c>
      <c r="M2440">
        <v>1399.91</v>
      </c>
      <c r="N2440">
        <v>4</v>
      </c>
      <c r="O2440">
        <v>0.24</v>
      </c>
      <c r="P2440">
        <v>-40.380000000000003</v>
      </c>
      <c r="Q2440" t="s">
        <v>9894</v>
      </c>
      <c r="R2440">
        <v>7</v>
      </c>
      <c r="S2440" s="5">
        <f t="shared" si="76"/>
        <v>-2.8844711445735798E-2</v>
      </c>
      <c r="T2440">
        <v>349.97750000000002</v>
      </c>
      <c r="U2440">
        <v>4</v>
      </c>
      <c r="V2440">
        <v>2023</v>
      </c>
      <c r="W2440">
        <v>2</v>
      </c>
      <c r="X2440" t="s">
        <v>9898</v>
      </c>
      <c r="Y2440" t="s">
        <v>9900</v>
      </c>
      <c r="Z2440" t="s">
        <v>9898</v>
      </c>
      <c r="AD2440">
        <f t="shared" si="77"/>
        <v>7</v>
      </c>
    </row>
    <row r="2441" spans="1:30" x14ac:dyDescent="0.25">
      <c r="A2441" t="s">
        <v>2465</v>
      </c>
      <c r="B2441" s="2">
        <v>45171</v>
      </c>
      <c r="C2441" s="2">
        <v>45175</v>
      </c>
      <c r="D2441" t="s">
        <v>5342</v>
      </c>
      <c r="E2441" t="s">
        <v>5842</v>
      </c>
      <c r="F2441" t="s">
        <v>6027</v>
      </c>
      <c r="G2441" t="s">
        <v>6029</v>
      </c>
      <c r="H2441" t="s">
        <v>6036</v>
      </c>
      <c r="I2441" t="s">
        <v>6049</v>
      </c>
      <c r="J2441" t="s">
        <v>6053</v>
      </c>
      <c r="K2441" t="s">
        <v>6056</v>
      </c>
      <c r="L2441" t="s">
        <v>8202</v>
      </c>
      <c r="M2441">
        <v>1223.94</v>
      </c>
      <c r="N2441">
        <v>7</v>
      </c>
      <c r="O2441">
        <v>0.14000000000000001</v>
      </c>
      <c r="P2441">
        <v>163.22999999999999</v>
      </c>
      <c r="Q2441" t="s">
        <v>9894</v>
      </c>
      <c r="R2441">
        <v>4</v>
      </c>
      <c r="S2441" s="5">
        <f t="shared" si="76"/>
        <v>0.13336438060689249</v>
      </c>
      <c r="T2441">
        <v>174.8485714285714</v>
      </c>
      <c r="U2441">
        <v>9</v>
      </c>
      <c r="V2441">
        <v>2023</v>
      </c>
      <c r="W2441">
        <v>3</v>
      </c>
      <c r="X2441" t="s">
        <v>9899</v>
      </c>
      <c r="Y2441" t="s">
        <v>9901</v>
      </c>
      <c r="Z2441" t="s">
        <v>9898</v>
      </c>
      <c r="AD2441">
        <f t="shared" si="77"/>
        <v>4</v>
      </c>
    </row>
    <row r="2442" spans="1:30" x14ac:dyDescent="0.25">
      <c r="A2442" t="s">
        <v>2466</v>
      </c>
      <c r="B2442" s="2">
        <v>44630</v>
      </c>
      <c r="C2442" s="2">
        <v>44634</v>
      </c>
      <c r="D2442" t="s">
        <v>5168</v>
      </c>
      <c r="E2442" t="s">
        <v>5668</v>
      </c>
      <c r="F2442" t="s">
        <v>6026</v>
      </c>
      <c r="G2442" t="s">
        <v>6029</v>
      </c>
      <c r="H2442" t="s">
        <v>6045</v>
      </c>
      <c r="I2442" t="s">
        <v>6050</v>
      </c>
      <c r="J2442" t="s">
        <v>6053</v>
      </c>
      <c r="K2442" t="s">
        <v>6057</v>
      </c>
      <c r="L2442" t="s">
        <v>8203</v>
      </c>
      <c r="M2442">
        <v>166.6</v>
      </c>
      <c r="N2442">
        <v>4</v>
      </c>
      <c r="O2442">
        <v>0.01</v>
      </c>
      <c r="P2442">
        <v>28.14</v>
      </c>
      <c r="Q2442" t="s">
        <v>9896</v>
      </c>
      <c r="R2442">
        <v>4</v>
      </c>
      <c r="S2442" s="5">
        <f t="shared" si="76"/>
        <v>0.16890756302521009</v>
      </c>
      <c r="T2442">
        <v>41.65</v>
      </c>
      <c r="U2442">
        <v>3</v>
      </c>
      <c r="V2442">
        <v>2022</v>
      </c>
      <c r="W2442">
        <v>1</v>
      </c>
      <c r="X2442" t="s">
        <v>9899</v>
      </c>
      <c r="Y2442" t="s">
        <v>9901</v>
      </c>
      <c r="Z2442" t="s">
        <v>9899</v>
      </c>
      <c r="AD2442">
        <f t="shared" si="77"/>
        <v>4</v>
      </c>
    </row>
    <row r="2443" spans="1:30" x14ac:dyDescent="0.25">
      <c r="A2443" t="s">
        <v>2467</v>
      </c>
      <c r="B2443" s="2">
        <v>45082</v>
      </c>
      <c r="C2443" s="2">
        <v>45084</v>
      </c>
      <c r="D2443" t="s">
        <v>5135</v>
      </c>
      <c r="E2443" t="s">
        <v>5635</v>
      </c>
      <c r="F2443" t="s">
        <v>6028</v>
      </c>
      <c r="G2443" t="s">
        <v>6031</v>
      </c>
      <c r="H2443" t="s">
        <v>6043</v>
      </c>
      <c r="I2443" t="s">
        <v>6052</v>
      </c>
      <c r="J2443" t="s">
        <v>6054</v>
      </c>
      <c r="K2443" t="s">
        <v>6060</v>
      </c>
      <c r="L2443" t="s">
        <v>8204</v>
      </c>
      <c r="M2443">
        <v>1057.0999999999999</v>
      </c>
      <c r="N2443">
        <v>5</v>
      </c>
      <c r="O2443">
        <v>0.31</v>
      </c>
      <c r="P2443">
        <v>-136</v>
      </c>
      <c r="Q2443" t="s">
        <v>9893</v>
      </c>
      <c r="R2443">
        <v>2</v>
      </c>
      <c r="S2443" s="5">
        <f t="shared" si="76"/>
        <v>-0.12865386434585188</v>
      </c>
      <c r="T2443">
        <v>211.42</v>
      </c>
      <c r="U2443">
        <v>6</v>
      </c>
      <c r="V2443">
        <v>2023</v>
      </c>
      <c r="W2443">
        <v>2</v>
      </c>
      <c r="X2443" t="s">
        <v>9898</v>
      </c>
      <c r="Y2443" t="s">
        <v>9902</v>
      </c>
      <c r="Z2443" t="s">
        <v>9898</v>
      </c>
      <c r="AD2443">
        <f t="shared" si="77"/>
        <v>2</v>
      </c>
    </row>
    <row r="2444" spans="1:30" x14ac:dyDescent="0.25">
      <c r="A2444" t="s">
        <v>2468</v>
      </c>
      <c r="B2444" s="2">
        <v>45169</v>
      </c>
      <c r="C2444" s="2">
        <v>45176</v>
      </c>
      <c r="D2444" t="s">
        <v>5394</v>
      </c>
      <c r="E2444" t="s">
        <v>5894</v>
      </c>
      <c r="F2444" t="s">
        <v>6026</v>
      </c>
      <c r="G2444" t="s">
        <v>6031</v>
      </c>
      <c r="H2444" t="s">
        <v>6042</v>
      </c>
      <c r="I2444" t="s">
        <v>6048</v>
      </c>
      <c r="J2444" t="s">
        <v>6055</v>
      </c>
      <c r="K2444" t="s">
        <v>6061</v>
      </c>
      <c r="L2444" t="s">
        <v>8205</v>
      </c>
      <c r="M2444">
        <v>762.79</v>
      </c>
      <c r="N2444">
        <v>3</v>
      </c>
      <c r="O2444">
        <v>0.28000000000000003</v>
      </c>
      <c r="P2444">
        <v>-90.47</v>
      </c>
      <c r="Q2444" t="s">
        <v>9894</v>
      </c>
      <c r="R2444">
        <v>7</v>
      </c>
      <c r="S2444" s="5">
        <f t="shared" si="76"/>
        <v>-0.1186040718939682</v>
      </c>
      <c r="T2444">
        <v>254.26333333333329</v>
      </c>
      <c r="U2444">
        <v>8</v>
      </c>
      <c r="V2444">
        <v>2023</v>
      </c>
      <c r="W2444">
        <v>3</v>
      </c>
      <c r="X2444" t="s">
        <v>9898</v>
      </c>
      <c r="Y2444" t="s">
        <v>9900</v>
      </c>
      <c r="Z2444" t="s">
        <v>9899</v>
      </c>
      <c r="AD2444">
        <f t="shared" si="77"/>
        <v>7</v>
      </c>
    </row>
    <row r="2445" spans="1:30" x14ac:dyDescent="0.25">
      <c r="A2445" t="s">
        <v>2469</v>
      </c>
      <c r="B2445" s="2">
        <v>45285</v>
      </c>
      <c r="C2445" s="2">
        <v>45286</v>
      </c>
      <c r="D2445" t="s">
        <v>5404</v>
      </c>
      <c r="E2445" t="s">
        <v>5904</v>
      </c>
      <c r="F2445" t="s">
        <v>6028</v>
      </c>
      <c r="G2445" t="s">
        <v>6031</v>
      </c>
      <c r="H2445" t="s">
        <v>6037</v>
      </c>
      <c r="I2445" t="s">
        <v>6052</v>
      </c>
      <c r="J2445" t="s">
        <v>6055</v>
      </c>
      <c r="K2445" t="s">
        <v>6061</v>
      </c>
      <c r="L2445" t="s">
        <v>8206</v>
      </c>
      <c r="M2445">
        <v>903.15</v>
      </c>
      <c r="N2445">
        <v>2</v>
      </c>
      <c r="O2445">
        <v>0.16</v>
      </c>
      <c r="P2445">
        <v>98.51</v>
      </c>
      <c r="Q2445" t="s">
        <v>9893</v>
      </c>
      <c r="R2445">
        <v>1</v>
      </c>
      <c r="S2445" s="5">
        <f t="shared" si="76"/>
        <v>0.10907379726512761</v>
      </c>
      <c r="T2445">
        <v>451.57499999999999</v>
      </c>
      <c r="U2445">
        <v>12</v>
      </c>
      <c r="V2445">
        <v>2023</v>
      </c>
      <c r="W2445">
        <v>4</v>
      </c>
      <c r="X2445" t="s">
        <v>9899</v>
      </c>
      <c r="Y2445" t="s">
        <v>9900</v>
      </c>
      <c r="Z2445" t="s">
        <v>9899</v>
      </c>
      <c r="AD2445">
        <f t="shared" si="77"/>
        <v>1</v>
      </c>
    </row>
    <row r="2446" spans="1:30" x14ac:dyDescent="0.25">
      <c r="A2446" t="s">
        <v>2470</v>
      </c>
      <c r="B2446" s="2">
        <v>45002</v>
      </c>
      <c r="C2446" s="2">
        <v>45005</v>
      </c>
      <c r="D2446" t="s">
        <v>5262</v>
      </c>
      <c r="E2446" t="s">
        <v>5762</v>
      </c>
      <c r="F2446" t="s">
        <v>6027</v>
      </c>
      <c r="G2446" t="s">
        <v>6030</v>
      </c>
      <c r="H2446" t="s">
        <v>6038</v>
      </c>
      <c r="I2446" t="s">
        <v>6047</v>
      </c>
      <c r="J2446" t="s">
        <v>6053</v>
      </c>
      <c r="K2446" t="s">
        <v>6056</v>
      </c>
      <c r="L2446" t="s">
        <v>6366</v>
      </c>
      <c r="M2446">
        <v>827.73</v>
      </c>
      <c r="N2446">
        <v>1</v>
      </c>
      <c r="O2446">
        <v>0.2</v>
      </c>
      <c r="P2446">
        <v>-73.44</v>
      </c>
      <c r="Q2446" t="s">
        <v>9897</v>
      </c>
      <c r="R2446">
        <v>3</v>
      </c>
      <c r="S2446" s="5">
        <f t="shared" si="76"/>
        <v>-8.8724584103512014E-2</v>
      </c>
      <c r="T2446">
        <v>827.73</v>
      </c>
      <c r="U2446">
        <v>3</v>
      </c>
      <c r="V2446">
        <v>2023</v>
      </c>
      <c r="W2446">
        <v>1</v>
      </c>
      <c r="X2446" t="s">
        <v>9898</v>
      </c>
      <c r="Y2446" t="s">
        <v>9900</v>
      </c>
      <c r="Z2446" t="s">
        <v>9899</v>
      </c>
      <c r="AD2446">
        <f t="shared" si="77"/>
        <v>3</v>
      </c>
    </row>
    <row r="2447" spans="1:30" x14ac:dyDescent="0.25">
      <c r="A2447" t="s">
        <v>2471</v>
      </c>
      <c r="B2447" s="2">
        <v>45031</v>
      </c>
      <c r="C2447" s="2">
        <v>45032</v>
      </c>
      <c r="D2447" t="s">
        <v>5381</v>
      </c>
      <c r="E2447" t="s">
        <v>5881</v>
      </c>
      <c r="F2447" t="s">
        <v>6028</v>
      </c>
      <c r="G2447" t="s">
        <v>6031</v>
      </c>
      <c r="H2447" t="s">
        <v>6042</v>
      </c>
      <c r="I2447" t="s">
        <v>6052</v>
      </c>
      <c r="J2447" t="s">
        <v>6055</v>
      </c>
      <c r="K2447" t="s">
        <v>6061</v>
      </c>
      <c r="L2447" t="s">
        <v>7122</v>
      </c>
      <c r="M2447">
        <v>1215.7</v>
      </c>
      <c r="N2447">
        <v>6</v>
      </c>
      <c r="O2447">
        <v>0.01</v>
      </c>
      <c r="P2447">
        <v>218.42</v>
      </c>
      <c r="Q2447" t="s">
        <v>9893</v>
      </c>
      <c r="R2447">
        <v>1</v>
      </c>
      <c r="S2447" s="5">
        <f t="shared" si="76"/>
        <v>0.17966603602862546</v>
      </c>
      <c r="T2447">
        <v>202.6166666666667</v>
      </c>
      <c r="U2447">
        <v>4</v>
      </c>
      <c r="V2447">
        <v>2023</v>
      </c>
      <c r="W2447">
        <v>2</v>
      </c>
      <c r="X2447" t="s">
        <v>9899</v>
      </c>
      <c r="Y2447" t="s">
        <v>9901</v>
      </c>
      <c r="Z2447" t="s">
        <v>9898</v>
      </c>
      <c r="AD2447">
        <f t="shared" si="77"/>
        <v>1</v>
      </c>
    </row>
    <row r="2448" spans="1:30" x14ac:dyDescent="0.25">
      <c r="A2448" t="s">
        <v>2472</v>
      </c>
      <c r="B2448" s="2">
        <v>44625</v>
      </c>
      <c r="C2448" s="2">
        <v>44628</v>
      </c>
      <c r="D2448" t="s">
        <v>5523</v>
      </c>
      <c r="E2448" t="s">
        <v>6023</v>
      </c>
      <c r="F2448" t="s">
        <v>6027</v>
      </c>
      <c r="G2448" t="s">
        <v>6030</v>
      </c>
      <c r="H2448" t="s">
        <v>6035</v>
      </c>
      <c r="I2448" t="s">
        <v>6047</v>
      </c>
      <c r="J2448" t="s">
        <v>6054</v>
      </c>
      <c r="K2448" t="s">
        <v>6060</v>
      </c>
      <c r="L2448" t="s">
        <v>8207</v>
      </c>
      <c r="M2448">
        <v>386.76</v>
      </c>
      <c r="N2448">
        <v>4</v>
      </c>
      <c r="O2448">
        <v>0.18</v>
      </c>
      <c r="P2448">
        <v>30.6</v>
      </c>
      <c r="Q2448" t="s">
        <v>9895</v>
      </c>
      <c r="R2448">
        <v>3</v>
      </c>
      <c r="S2448" s="5">
        <f t="shared" si="76"/>
        <v>7.9118833385044995E-2</v>
      </c>
      <c r="T2448">
        <v>96.69</v>
      </c>
      <c r="U2448">
        <v>3</v>
      </c>
      <c r="V2448">
        <v>2022</v>
      </c>
      <c r="W2448">
        <v>1</v>
      </c>
      <c r="X2448" t="s">
        <v>9899</v>
      </c>
      <c r="Y2448" t="s">
        <v>9900</v>
      </c>
      <c r="Z2448" t="s">
        <v>9899</v>
      </c>
      <c r="AD2448">
        <f t="shared" si="77"/>
        <v>3</v>
      </c>
    </row>
    <row r="2449" spans="1:30" x14ac:dyDescent="0.25">
      <c r="A2449" t="s">
        <v>2473</v>
      </c>
      <c r="B2449" s="2">
        <v>45388</v>
      </c>
      <c r="C2449" s="2">
        <v>45394</v>
      </c>
      <c r="D2449" t="s">
        <v>5287</v>
      </c>
      <c r="E2449" t="s">
        <v>5787</v>
      </c>
      <c r="F2449" t="s">
        <v>6027</v>
      </c>
      <c r="G2449" t="s">
        <v>6030</v>
      </c>
      <c r="H2449" t="s">
        <v>6035</v>
      </c>
      <c r="I2449" t="s">
        <v>6051</v>
      </c>
      <c r="J2449" t="s">
        <v>6053</v>
      </c>
      <c r="K2449" t="s">
        <v>6056</v>
      </c>
      <c r="L2449" t="s">
        <v>7188</v>
      </c>
      <c r="M2449">
        <v>1529.33</v>
      </c>
      <c r="N2449">
        <v>4</v>
      </c>
      <c r="O2449">
        <v>0</v>
      </c>
      <c r="P2449">
        <v>234.35</v>
      </c>
      <c r="Q2449" t="s">
        <v>9896</v>
      </c>
      <c r="R2449">
        <v>6</v>
      </c>
      <c r="S2449" s="5">
        <f t="shared" si="76"/>
        <v>0.15323703844167053</v>
      </c>
      <c r="T2449">
        <v>382.33249999999998</v>
      </c>
      <c r="U2449">
        <v>4</v>
      </c>
      <c r="V2449">
        <v>2024</v>
      </c>
      <c r="W2449">
        <v>2</v>
      </c>
      <c r="X2449" t="s">
        <v>9899</v>
      </c>
      <c r="Y2449" t="s">
        <v>9901</v>
      </c>
      <c r="Z2449" t="s">
        <v>9898</v>
      </c>
      <c r="AD2449">
        <f t="shared" si="77"/>
        <v>6</v>
      </c>
    </row>
    <row r="2450" spans="1:30" x14ac:dyDescent="0.25">
      <c r="A2450" t="s">
        <v>2474</v>
      </c>
      <c r="B2450" s="2">
        <v>44726</v>
      </c>
      <c r="C2450" s="2">
        <v>44732</v>
      </c>
      <c r="D2450" t="s">
        <v>5092</v>
      </c>
      <c r="E2450" t="s">
        <v>5592</v>
      </c>
      <c r="F2450" t="s">
        <v>6027</v>
      </c>
      <c r="G2450" t="s">
        <v>6031</v>
      </c>
      <c r="H2450" t="s">
        <v>6042</v>
      </c>
      <c r="I2450" t="s">
        <v>6050</v>
      </c>
      <c r="J2450" t="s">
        <v>6053</v>
      </c>
      <c r="K2450" t="s">
        <v>6056</v>
      </c>
      <c r="L2450" t="s">
        <v>8208</v>
      </c>
      <c r="M2450">
        <v>137.68</v>
      </c>
      <c r="N2450">
        <v>2</v>
      </c>
      <c r="O2450">
        <v>0.11</v>
      </c>
      <c r="P2450">
        <v>3.69</v>
      </c>
      <c r="Q2450" t="s">
        <v>9895</v>
      </c>
      <c r="R2450">
        <v>6</v>
      </c>
      <c r="S2450" s="5">
        <f t="shared" si="76"/>
        <v>2.6801278326554327E-2</v>
      </c>
      <c r="T2450">
        <v>68.84</v>
      </c>
      <c r="U2450">
        <v>6</v>
      </c>
      <c r="V2450">
        <v>2022</v>
      </c>
      <c r="W2450">
        <v>2</v>
      </c>
      <c r="X2450" t="s">
        <v>9899</v>
      </c>
      <c r="Y2450" t="s">
        <v>9901</v>
      </c>
      <c r="Z2450" t="s">
        <v>9899</v>
      </c>
      <c r="AD2450">
        <f t="shared" si="77"/>
        <v>6</v>
      </c>
    </row>
    <row r="2451" spans="1:30" x14ac:dyDescent="0.25">
      <c r="A2451" t="s">
        <v>2475</v>
      </c>
      <c r="B2451" s="2">
        <v>45302</v>
      </c>
      <c r="C2451" s="2">
        <v>45306</v>
      </c>
      <c r="D2451" t="s">
        <v>5335</v>
      </c>
      <c r="E2451" t="s">
        <v>5835</v>
      </c>
      <c r="F2451" t="s">
        <v>6027</v>
      </c>
      <c r="G2451" t="s">
        <v>6030</v>
      </c>
      <c r="H2451" t="s">
        <v>6039</v>
      </c>
      <c r="I2451" t="s">
        <v>6051</v>
      </c>
      <c r="J2451" t="s">
        <v>6055</v>
      </c>
      <c r="K2451" t="s">
        <v>6061</v>
      </c>
      <c r="L2451" t="s">
        <v>8209</v>
      </c>
      <c r="M2451">
        <v>1276.0999999999999</v>
      </c>
      <c r="N2451">
        <v>4</v>
      </c>
      <c r="O2451">
        <v>0.18</v>
      </c>
      <c r="P2451">
        <v>-96.14</v>
      </c>
      <c r="Q2451" t="s">
        <v>9893</v>
      </c>
      <c r="R2451">
        <v>4</v>
      </c>
      <c r="S2451" s="5">
        <f t="shared" si="76"/>
        <v>-7.533892328187447E-2</v>
      </c>
      <c r="T2451">
        <v>319.02499999999998</v>
      </c>
      <c r="U2451">
        <v>1</v>
      </c>
      <c r="V2451">
        <v>2024</v>
      </c>
      <c r="W2451">
        <v>1</v>
      </c>
      <c r="X2451" t="s">
        <v>9898</v>
      </c>
      <c r="Y2451" t="s">
        <v>9900</v>
      </c>
      <c r="Z2451" t="s">
        <v>9898</v>
      </c>
      <c r="AD2451">
        <f t="shared" si="77"/>
        <v>4</v>
      </c>
    </row>
    <row r="2452" spans="1:30" x14ac:dyDescent="0.25">
      <c r="A2452" t="s">
        <v>2476</v>
      </c>
      <c r="B2452" s="2">
        <v>44905</v>
      </c>
      <c r="C2452" s="2">
        <v>44907</v>
      </c>
      <c r="D2452" t="s">
        <v>5497</v>
      </c>
      <c r="E2452" t="s">
        <v>5997</v>
      </c>
      <c r="F2452" t="s">
        <v>6028</v>
      </c>
      <c r="G2452" t="s">
        <v>6031</v>
      </c>
      <c r="H2452" t="s">
        <v>6043</v>
      </c>
      <c r="I2452" t="s">
        <v>6048</v>
      </c>
      <c r="J2452" t="s">
        <v>6055</v>
      </c>
      <c r="K2452" t="s">
        <v>6063</v>
      </c>
      <c r="L2452" t="s">
        <v>6875</v>
      </c>
      <c r="M2452">
        <v>1050.23</v>
      </c>
      <c r="N2452">
        <v>4</v>
      </c>
      <c r="O2452">
        <v>0.18</v>
      </c>
      <c r="P2452">
        <v>-58.29</v>
      </c>
      <c r="Q2452" t="s">
        <v>9893</v>
      </c>
      <c r="R2452">
        <v>2</v>
      </c>
      <c r="S2452" s="5">
        <f t="shared" si="76"/>
        <v>-5.5502128105272178E-2</v>
      </c>
      <c r="T2452">
        <v>262.5575</v>
      </c>
      <c r="U2452">
        <v>12</v>
      </c>
      <c r="V2452">
        <v>2022</v>
      </c>
      <c r="W2452">
        <v>4</v>
      </c>
      <c r="X2452" t="s">
        <v>9898</v>
      </c>
      <c r="Y2452" t="s">
        <v>9900</v>
      </c>
      <c r="Z2452" t="s">
        <v>9898</v>
      </c>
      <c r="AD2452">
        <f t="shared" si="77"/>
        <v>2</v>
      </c>
    </row>
    <row r="2453" spans="1:30" x14ac:dyDescent="0.25">
      <c r="A2453" t="s">
        <v>2477</v>
      </c>
      <c r="B2453" s="2">
        <v>45198</v>
      </c>
      <c r="C2453" s="2">
        <v>45202</v>
      </c>
      <c r="D2453" t="s">
        <v>5204</v>
      </c>
      <c r="E2453" t="s">
        <v>5704</v>
      </c>
      <c r="F2453" t="s">
        <v>6027</v>
      </c>
      <c r="G2453" t="s">
        <v>6030</v>
      </c>
      <c r="H2453" t="s">
        <v>6038</v>
      </c>
      <c r="I2453" t="s">
        <v>6047</v>
      </c>
      <c r="J2453" t="s">
        <v>6054</v>
      </c>
      <c r="K2453" t="s">
        <v>6062</v>
      </c>
      <c r="L2453" t="s">
        <v>8019</v>
      </c>
      <c r="M2453">
        <v>151.43</v>
      </c>
      <c r="N2453">
        <v>3</v>
      </c>
      <c r="O2453">
        <v>0.12</v>
      </c>
      <c r="P2453">
        <v>5.82</v>
      </c>
      <c r="Q2453" t="s">
        <v>9897</v>
      </c>
      <c r="R2453">
        <v>4</v>
      </c>
      <c r="S2453" s="5">
        <f t="shared" si="76"/>
        <v>3.843359968302186E-2</v>
      </c>
      <c r="T2453">
        <v>50.476666666666667</v>
      </c>
      <c r="U2453">
        <v>9</v>
      </c>
      <c r="V2453">
        <v>2023</v>
      </c>
      <c r="W2453">
        <v>3</v>
      </c>
      <c r="X2453" t="s">
        <v>9899</v>
      </c>
      <c r="Y2453" t="s">
        <v>9901</v>
      </c>
      <c r="Z2453" t="s">
        <v>9899</v>
      </c>
      <c r="AD2453">
        <f t="shared" si="77"/>
        <v>4</v>
      </c>
    </row>
    <row r="2454" spans="1:30" x14ac:dyDescent="0.25">
      <c r="A2454" t="s">
        <v>2478</v>
      </c>
      <c r="B2454" s="2">
        <v>44757</v>
      </c>
      <c r="C2454" s="2">
        <v>44763</v>
      </c>
      <c r="D2454" t="s">
        <v>5315</v>
      </c>
      <c r="E2454" t="s">
        <v>5815</v>
      </c>
      <c r="F2454" t="s">
        <v>6028</v>
      </c>
      <c r="G2454" t="s">
        <v>6030</v>
      </c>
      <c r="H2454" t="s">
        <v>6035</v>
      </c>
      <c r="I2454" t="s">
        <v>6051</v>
      </c>
      <c r="J2454" t="s">
        <v>6053</v>
      </c>
      <c r="K2454" t="s">
        <v>6058</v>
      </c>
      <c r="L2454" t="s">
        <v>8210</v>
      </c>
      <c r="M2454">
        <v>300.95999999999998</v>
      </c>
      <c r="N2454">
        <v>3</v>
      </c>
      <c r="O2454">
        <v>0.06</v>
      </c>
      <c r="P2454">
        <v>16.809999999999999</v>
      </c>
      <c r="Q2454" t="s">
        <v>9897</v>
      </c>
      <c r="R2454">
        <v>6</v>
      </c>
      <c r="S2454" s="5">
        <f t="shared" si="76"/>
        <v>5.5854598617756511E-2</v>
      </c>
      <c r="T2454">
        <v>100.32</v>
      </c>
      <c r="U2454">
        <v>7</v>
      </c>
      <c r="V2454">
        <v>2022</v>
      </c>
      <c r="W2454">
        <v>3</v>
      </c>
      <c r="X2454" t="s">
        <v>9899</v>
      </c>
      <c r="Y2454" t="s">
        <v>9901</v>
      </c>
      <c r="Z2454" t="s">
        <v>9899</v>
      </c>
      <c r="AD2454">
        <f t="shared" si="77"/>
        <v>6</v>
      </c>
    </row>
    <row r="2455" spans="1:30" x14ac:dyDescent="0.25">
      <c r="A2455" t="s">
        <v>2479</v>
      </c>
      <c r="B2455" s="2">
        <v>45226</v>
      </c>
      <c r="C2455" s="2">
        <v>45233</v>
      </c>
      <c r="D2455" t="s">
        <v>5284</v>
      </c>
      <c r="E2455" t="s">
        <v>5784</v>
      </c>
      <c r="F2455" t="s">
        <v>6027</v>
      </c>
      <c r="G2455" t="s">
        <v>6031</v>
      </c>
      <c r="H2455" t="s">
        <v>6040</v>
      </c>
      <c r="I2455" t="s">
        <v>6050</v>
      </c>
      <c r="J2455" t="s">
        <v>6055</v>
      </c>
      <c r="K2455" t="s">
        <v>6061</v>
      </c>
      <c r="L2455" t="s">
        <v>8211</v>
      </c>
      <c r="M2455">
        <v>1727.35</v>
      </c>
      <c r="N2455">
        <v>5</v>
      </c>
      <c r="O2455">
        <v>0.01</v>
      </c>
      <c r="P2455">
        <v>463.68</v>
      </c>
      <c r="Q2455" t="s">
        <v>9896</v>
      </c>
      <c r="R2455">
        <v>7</v>
      </c>
      <c r="S2455" s="5">
        <f t="shared" si="76"/>
        <v>0.2684343068862709</v>
      </c>
      <c r="T2455">
        <v>345.47</v>
      </c>
      <c r="U2455">
        <v>10</v>
      </c>
      <c r="V2455">
        <v>2023</v>
      </c>
      <c r="W2455">
        <v>4</v>
      </c>
      <c r="X2455" t="s">
        <v>9899</v>
      </c>
      <c r="Y2455" t="s">
        <v>9901</v>
      </c>
      <c r="Z2455" t="s">
        <v>9898</v>
      </c>
      <c r="AD2455">
        <f t="shared" si="77"/>
        <v>7</v>
      </c>
    </row>
    <row r="2456" spans="1:30" x14ac:dyDescent="0.25">
      <c r="A2456" t="s">
        <v>2480</v>
      </c>
      <c r="B2456" s="2">
        <v>44705</v>
      </c>
      <c r="C2456" s="2">
        <v>44710</v>
      </c>
      <c r="D2456" t="s">
        <v>5283</v>
      </c>
      <c r="E2456" t="s">
        <v>5783</v>
      </c>
      <c r="F2456" t="s">
        <v>6026</v>
      </c>
      <c r="G2456" t="s">
        <v>6029</v>
      </c>
      <c r="H2456" t="s">
        <v>6044</v>
      </c>
      <c r="I2456" t="s">
        <v>6049</v>
      </c>
      <c r="J2456" t="s">
        <v>6053</v>
      </c>
      <c r="K2456" t="s">
        <v>6057</v>
      </c>
      <c r="L2456" t="s">
        <v>8212</v>
      </c>
      <c r="M2456">
        <v>542.51</v>
      </c>
      <c r="N2456">
        <v>8</v>
      </c>
      <c r="O2456">
        <v>0.13</v>
      </c>
      <c r="P2456">
        <v>79.12</v>
      </c>
      <c r="Q2456" t="s">
        <v>9895</v>
      </c>
      <c r="R2456">
        <v>5</v>
      </c>
      <c r="S2456" s="5">
        <f t="shared" si="76"/>
        <v>0.14584062966581263</v>
      </c>
      <c r="T2456">
        <v>67.813749999999999</v>
      </c>
      <c r="U2456">
        <v>5</v>
      </c>
      <c r="V2456">
        <v>2022</v>
      </c>
      <c r="W2456">
        <v>2</v>
      </c>
      <c r="X2456" t="s">
        <v>9899</v>
      </c>
      <c r="Y2456" t="s">
        <v>9901</v>
      </c>
      <c r="Z2456" t="s">
        <v>9899</v>
      </c>
      <c r="AD2456">
        <f t="shared" si="77"/>
        <v>5</v>
      </c>
    </row>
    <row r="2457" spans="1:30" x14ac:dyDescent="0.25">
      <c r="A2457" t="s">
        <v>2481</v>
      </c>
      <c r="B2457" s="2">
        <v>45353</v>
      </c>
      <c r="C2457" s="2">
        <v>45360</v>
      </c>
      <c r="D2457" t="s">
        <v>5461</v>
      </c>
      <c r="E2457" t="s">
        <v>5961</v>
      </c>
      <c r="F2457" t="s">
        <v>6027</v>
      </c>
      <c r="G2457" t="s">
        <v>6031</v>
      </c>
      <c r="H2457" t="s">
        <v>6034</v>
      </c>
      <c r="I2457" t="s">
        <v>6052</v>
      </c>
      <c r="J2457" t="s">
        <v>6055</v>
      </c>
      <c r="K2457" t="s">
        <v>6063</v>
      </c>
      <c r="L2457" t="s">
        <v>6801</v>
      </c>
      <c r="M2457">
        <v>1174.07</v>
      </c>
      <c r="N2457">
        <v>1</v>
      </c>
      <c r="O2457">
        <v>0.09</v>
      </c>
      <c r="P2457">
        <v>190.66</v>
      </c>
      <c r="Q2457" t="s">
        <v>9894</v>
      </c>
      <c r="R2457">
        <v>7</v>
      </c>
      <c r="S2457" s="5">
        <f t="shared" si="76"/>
        <v>0.1623923616138731</v>
      </c>
      <c r="T2457">
        <v>1174.07</v>
      </c>
      <c r="U2457">
        <v>3</v>
      </c>
      <c r="V2457">
        <v>2024</v>
      </c>
      <c r="W2457">
        <v>1</v>
      </c>
      <c r="X2457" t="s">
        <v>9899</v>
      </c>
      <c r="Y2457" t="s">
        <v>9901</v>
      </c>
      <c r="Z2457" t="s">
        <v>9898</v>
      </c>
      <c r="AD2457">
        <f t="shared" si="77"/>
        <v>7</v>
      </c>
    </row>
    <row r="2458" spans="1:30" x14ac:dyDescent="0.25">
      <c r="A2458" t="s">
        <v>2482</v>
      </c>
      <c r="B2458" s="2">
        <v>45124</v>
      </c>
      <c r="C2458" s="2">
        <v>45126</v>
      </c>
      <c r="D2458" t="s">
        <v>5478</v>
      </c>
      <c r="E2458" t="s">
        <v>5978</v>
      </c>
      <c r="F2458" t="s">
        <v>6028</v>
      </c>
      <c r="G2458" t="s">
        <v>6030</v>
      </c>
      <c r="H2458" t="s">
        <v>6035</v>
      </c>
      <c r="I2458" t="s">
        <v>6051</v>
      </c>
      <c r="J2458" t="s">
        <v>6054</v>
      </c>
      <c r="K2458" t="s">
        <v>6060</v>
      </c>
      <c r="L2458" t="s">
        <v>8213</v>
      </c>
      <c r="M2458">
        <v>389.04</v>
      </c>
      <c r="N2458">
        <v>5</v>
      </c>
      <c r="O2458">
        <v>0.16</v>
      </c>
      <c r="P2458">
        <v>41.25</v>
      </c>
      <c r="Q2458" t="s">
        <v>9897</v>
      </c>
      <c r="R2458">
        <v>2</v>
      </c>
      <c r="S2458" s="5">
        <f t="shared" si="76"/>
        <v>0.1060302282541641</v>
      </c>
      <c r="T2458">
        <v>77.808000000000007</v>
      </c>
      <c r="U2458">
        <v>7</v>
      </c>
      <c r="V2458">
        <v>2023</v>
      </c>
      <c r="W2458">
        <v>3</v>
      </c>
      <c r="X2458" t="s">
        <v>9899</v>
      </c>
      <c r="Y2458" t="s">
        <v>9900</v>
      </c>
      <c r="Z2458" t="s">
        <v>9899</v>
      </c>
      <c r="AD2458">
        <f t="shared" si="77"/>
        <v>2</v>
      </c>
    </row>
    <row r="2459" spans="1:30" x14ac:dyDescent="0.25">
      <c r="A2459" t="s">
        <v>2483</v>
      </c>
      <c r="B2459" s="2">
        <v>45127</v>
      </c>
      <c r="C2459" s="2">
        <v>45130</v>
      </c>
      <c r="D2459" t="s">
        <v>5415</v>
      </c>
      <c r="E2459" t="s">
        <v>5915</v>
      </c>
      <c r="F2459" t="s">
        <v>6026</v>
      </c>
      <c r="G2459" t="s">
        <v>6029</v>
      </c>
      <c r="H2459" t="s">
        <v>6041</v>
      </c>
      <c r="I2459" t="s">
        <v>6050</v>
      </c>
      <c r="J2459" t="s">
        <v>6054</v>
      </c>
      <c r="K2459" t="s">
        <v>6059</v>
      </c>
      <c r="L2459" t="s">
        <v>8214</v>
      </c>
      <c r="M2459">
        <v>628.71</v>
      </c>
      <c r="N2459">
        <v>4</v>
      </c>
      <c r="O2459">
        <v>0.18</v>
      </c>
      <c r="P2459">
        <v>-39.89</v>
      </c>
      <c r="Q2459" t="s">
        <v>9895</v>
      </c>
      <c r="R2459">
        <v>3</v>
      </c>
      <c r="S2459" s="5">
        <f t="shared" si="76"/>
        <v>-6.3447376373844858E-2</v>
      </c>
      <c r="T2459">
        <v>157.17750000000001</v>
      </c>
      <c r="U2459">
        <v>7</v>
      </c>
      <c r="V2459">
        <v>2023</v>
      </c>
      <c r="W2459">
        <v>3</v>
      </c>
      <c r="X2459" t="s">
        <v>9898</v>
      </c>
      <c r="Y2459" t="s">
        <v>9900</v>
      </c>
      <c r="Z2459" t="s">
        <v>9899</v>
      </c>
      <c r="AD2459">
        <f t="shared" si="77"/>
        <v>3</v>
      </c>
    </row>
    <row r="2460" spans="1:30" x14ac:dyDescent="0.25">
      <c r="A2460" t="s">
        <v>2484</v>
      </c>
      <c r="B2460" s="2">
        <v>44632</v>
      </c>
      <c r="C2460" s="2">
        <v>44639</v>
      </c>
      <c r="D2460" t="s">
        <v>5365</v>
      </c>
      <c r="E2460" t="s">
        <v>5865</v>
      </c>
      <c r="F2460" t="s">
        <v>6028</v>
      </c>
      <c r="G2460" t="s">
        <v>6030</v>
      </c>
      <c r="H2460" t="s">
        <v>6035</v>
      </c>
      <c r="I2460" t="s">
        <v>6047</v>
      </c>
      <c r="J2460" t="s">
        <v>6055</v>
      </c>
      <c r="K2460" t="s">
        <v>6061</v>
      </c>
      <c r="L2460" t="s">
        <v>8215</v>
      </c>
      <c r="M2460">
        <v>534.25</v>
      </c>
      <c r="N2460">
        <v>8</v>
      </c>
      <c r="O2460">
        <v>0.31</v>
      </c>
      <c r="P2460">
        <v>-52.36</v>
      </c>
      <c r="Q2460" t="s">
        <v>9897</v>
      </c>
      <c r="R2460">
        <v>7</v>
      </c>
      <c r="S2460" s="5">
        <f t="shared" si="76"/>
        <v>-9.8006551240056153E-2</v>
      </c>
      <c r="T2460">
        <v>66.78125</v>
      </c>
      <c r="U2460">
        <v>3</v>
      </c>
      <c r="V2460">
        <v>2022</v>
      </c>
      <c r="W2460">
        <v>1</v>
      </c>
      <c r="X2460" t="s">
        <v>9898</v>
      </c>
      <c r="Y2460" t="s">
        <v>9902</v>
      </c>
      <c r="Z2460" t="s">
        <v>9899</v>
      </c>
      <c r="AD2460">
        <f t="shared" si="77"/>
        <v>7</v>
      </c>
    </row>
    <row r="2461" spans="1:30" x14ac:dyDescent="0.25">
      <c r="A2461" t="s">
        <v>2485</v>
      </c>
      <c r="B2461" s="2">
        <v>44787</v>
      </c>
      <c r="C2461" s="2">
        <v>44789</v>
      </c>
      <c r="D2461" t="s">
        <v>5462</v>
      </c>
      <c r="E2461" t="s">
        <v>5962</v>
      </c>
      <c r="F2461" t="s">
        <v>6028</v>
      </c>
      <c r="G2461" t="s">
        <v>6031</v>
      </c>
      <c r="H2461" t="s">
        <v>6042</v>
      </c>
      <c r="I2461" t="s">
        <v>6052</v>
      </c>
      <c r="J2461" t="s">
        <v>6055</v>
      </c>
      <c r="K2461" t="s">
        <v>6063</v>
      </c>
      <c r="L2461" t="s">
        <v>8216</v>
      </c>
      <c r="M2461">
        <v>816.96</v>
      </c>
      <c r="N2461">
        <v>3</v>
      </c>
      <c r="O2461">
        <v>0.16</v>
      </c>
      <c r="P2461">
        <v>-16.170000000000002</v>
      </c>
      <c r="Q2461" t="s">
        <v>9893</v>
      </c>
      <c r="R2461">
        <v>2</v>
      </c>
      <c r="S2461" s="5">
        <f t="shared" si="76"/>
        <v>-1.9792890716803763E-2</v>
      </c>
      <c r="T2461">
        <v>272.32</v>
      </c>
      <c r="U2461">
        <v>8</v>
      </c>
      <c r="V2461">
        <v>2022</v>
      </c>
      <c r="W2461">
        <v>3</v>
      </c>
      <c r="X2461" t="s">
        <v>9898</v>
      </c>
      <c r="Y2461" t="s">
        <v>9900</v>
      </c>
      <c r="Z2461" t="s">
        <v>9899</v>
      </c>
      <c r="AD2461">
        <f t="shared" si="77"/>
        <v>2</v>
      </c>
    </row>
    <row r="2462" spans="1:30" x14ac:dyDescent="0.25">
      <c r="A2462" t="s">
        <v>2486</v>
      </c>
      <c r="B2462" s="2">
        <v>45080</v>
      </c>
      <c r="C2462" s="2">
        <v>45082</v>
      </c>
      <c r="D2462" t="s">
        <v>5150</v>
      </c>
      <c r="E2462" t="s">
        <v>5650</v>
      </c>
      <c r="F2462" t="s">
        <v>6028</v>
      </c>
      <c r="G2462" t="s">
        <v>6031</v>
      </c>
      <c r="H2462" t="s">
        <v>6034</v>
      </c>
      <c r="I2462" t="s">
        <v>6048</v>
      </c>
      <c r="J2462" t="s">
        <v>6055</v>
      </c>
      <c r="K2462" t="s">
        <v>6061</v>
      </c>
      <c r="L2462" t="s">
        <v>8217</v>
      </c>
      <c r="M2462">
        <v>1772.74</v>
      </c>
      <c r="N2462">
        <v>2</v>
      </c>
      <c r="O2462">
        <v>0.24</v>
      </c>
      <c r="P2462">
        <v>86.73</v>
      </c>
      <c r="Q2462" t="s">
        <v>9897</v>
      </c>
      <c r="R2462">
        <v>2</v>
      </c>
      <c r="S2462" s="5">
        <f t="shared" si="76"/>
        <v>4.8924264133488271E-2</v>
      </c>
      <c r="T2462">
        <v>886.37</v>
      </c>
      <c r="U2462">
        <v>6</v>
      </c>
      <c r="V2462">
        <v>2023</v>
      </c>
      <c r="W2462">
        <v>2</v>
      </c>
      <c r="X2462" t="s">
        <v>9899</v>
      </c>
      <c r="Y2462" t="s">
        <v>9900</v>
      </c>
      <c r="Z2462" t="s">
        <v>9898</v>
      </c>
      <c r="AD2462">
        <f t="shared" si="77"/>
        <v>2</v>
      </c>
    </row>
    <row r="2463" spans="1:30" x14ac:dyDescent="0.25">
      <c r="A2463" t="s">
        <v>2487</v>
      </c>
      <c r="B2463" s="2">
        <v>44988</v>
      </c>
      <c r="C2463" s="2">
        <v>44991</v>
      </c>
      <c r="D2463" t="s">
        <v>5189</v>
      </c>
      <c r="E2463" t="s">
        <v>5689</v>
      </c>
      <c r="F2463" t="s">
        <v>6028</v>
      </c>
      <c r="G2463" t="s">
        <v>6031</v>
      </c>
      <c r="H2463" t="s">
        <v>6040</v>
      </c>
      <c r="I2463" t="s">
        <v>6050</v>
      </c>
      <c r="J2463" t="s">
        <v>6053</v>
      </c>
      <c r="K2463" t="s">
        <v>6058</v>
      </c>
      <c r="L2463" t="s">
        <v>8218</v>
      </c>
      <c r="M2463">
        <v>1173.54</v>
      </c>
      <c r="N2463">
        <v>7</v>
      </c>
      <c r="O2463">
        <v>0.3</v>
      </c>
      <c r="P2463">
        <v>-106.9</v>
      </c>
      <c r="Q2463" t="s">
        <v>9896</v>
      </c>
      <c r="R2463">
        <v>3</v>
      </c>
      <c r="S2463" s="5">
        <f t="shared" si="76"/>
        <v>-9.1091909947679683E-2</v>
      </c>
      <c r="T2463">
        <v>167.64857142857139</v>
      </c>
      <c r="U2463">
        <v>3</v>
      </c>
      <c r="V2463">
        <v>2023</v>
      </c>
      <c r="W2463">
        <v>1</v>
      </c>
      <c r="X2463" t="s">
        <v>9898</v>
      </c>
      <c r="Y2463" t="s">
        <v>9900</v>
      </c>
      <c r="Z2463" t="s">
        <v>9898</v>
      </c>
      <c r="AD2463">
        <f t="shared" si="77"/>
        <v>3</v>
      </c>
    </row>
    <row r="2464" spans="1:30" x14ac:dyDescent="0.25">
      <c r="A2464" t="s">
        <v>2488</v>
      </c>
      <c r="B2464" s="2">
        <v>45066</v>
      </c>
      <c r="C2464" s="2">
        <v>45068</v>
      </c>
      <c r="D2464" t="s">
        <v>5240</v>
      </c>
      <c r="E2464" t="s">
        <v>5740</v>
      </c>
      <c r="F2464" t="s">
        <v>6026</v>
      </c>
      <c r="G2464" t="s">
        <v>6029</v>
      </c>
      <c r="H2464" t="s">
        <v>6036</v>
      </c>
      <c r="I2464" t="s">
        <v>6046</v>
      </c>
      <c r="J2464" t="s">
        <v>6053</v>
      </c>
      <c r="K2464" t="s">
        <v>6058</v>
      </c>
      <c r="L2464" t="s">
        <v>8040</v>
      </c>
      <c r="M2464">
        <v>517.71</v>
      </c>
      <c r="N2464">
        <v>7</v>
      </c>
      <c r="O2464">
        <v>0.15</v>
      </c>
      <c r="P2464">
        <v>14.54</v>
      </c>
      <c r="Q2464" t="s">
        <v>9897</v>
      </c>
      <c r="R2464">
        <v>2</v>
      </c>
      <c r="S2464" s="5">
        <f t="shared" si="76"/>
        <v>2.8085221456027501E-2</v>
      </c>
      <c r="T2464">
        <v>73.958571428571432</v>
      </c>
      <c r="U2464">
        <v>5</v>
      </c>
      <c r="V2464">
        <v>2023</v>
      </c>
      <c r="W2464">
        <v>2</v>
      </c>
      <c r="X2464" t="s">
        <v>9899</v>
      </c>
      <c r="Y2464" t="s">
        <v>9901</v>
      </c>
      <c r="Z2464" t="s">
        <v>9899</v>
      </c>
      <c r="AD2464">
        <f t="shared" si="77"/>
        <v>2</v>
      </c>
    </row>
    <row r="2465" spans="1:30" x14ac:dyDescent="0.25">
      <c r="A2465" t="s">
        <v>2489</v>
      </c>
      <c r="B2465" s="2">
        <v>45207</v>
      </c>
      <c r="C2465" s="2">
        <v>45211</v>
      </c>
      <c r="D2465" t="s">
        <v>5146</v>
      </c>
      <c r="E2465" t="s">
        <v>5646</v>
      </c>
      <c r="F2465" t="s">
        <v>6028</v>
      </c>
      <c r="G2465" t="s">
        <v>6031</v>
      </c>
      <c r="H2465" t="s">
        <v>6043</v>
      </c>
      <c r="I2465" t="s">
        <v>6048</v>
      </c>
      <c r="J2465" t="s">
        <v>6053</v>
      </c>
      <c r="K2465" t="s">
        <v>6056</v>
      </c>
      <c r="L2465" t="s">
        <v>8219</v>
      </c>
      <c r="M2465">
        <v>671.73</v>
      </c>
      <c r="N2465">
        <v>2</v>
      </c>
      <c r="O2465">
        <v>0.06</v>
      </c>
      <c r="P2465">
        <v>38.89</v>
      </c>
      <c r="Q2465" t="s">
        <v>9897</v>
      </c>
      <c r="R2465">
        <v>4</v>
      </c>
      <c r="S2465" s="5">
        <f t="shared" si="76"/>
        <v>5.789528530808509E-2</v>
      </c>
      <c r="T2465">
        <v>335.86500000000001</v>
      </c>
      <c r="U2465">
        <v>10</v>
      </c>
      <c r="V2465">
        <v>2023</v>
      </c>
      <c r="W2465">
        <v>4</v>
      </c>
      <c r="X2465" t="s">
        <v>9899</v>
      </c>
      <c r="Y2465" t="s">
        <v>9901</v>
      </c>
      <c r="Z2465" t="s">
        <v>9899</v>
      </c>
      <c r="AD2465">
        <f t="shared" si="77"/>
        <v>4</v>
      </c>
    </row>
    <row r="2466" spans="1:30" x14ac:dyDescent="0.25">
      <c r="A2466" t="s">
        <v>2490</v>
      </c>
      <c r="B2466" s="2">
        <v>44943</v>
      </c>
      <c r="C2466" s="2">
        <v>44948</v>
      </c>
      <c r="D2466" t="s">
        <v>5086</v>
      </c>
      <c r="E2466" t="s">
        <v>5586</v>
      </c>
      <c r="F2466" t="s">
        <v>6027</v>
      </c>
      <c r="G2466" t="s">
        <v>6029</v>
      </c>
      <c r="H2466" t="s">
        <v>6041</v>
      </c>
      <c r="I2466" t="s">
        <v>6049</v>
      </c>
      <c r="J2466" t="s">
        <v>6053</v>
      </c>
      <c r="K2466" t="s">
        <v>6057</v>
      </c>
      <c r="L2466" t="s">
        <v>7456</v>
      </c>
      <c r="M2466">
        <v>718.49</v>
      </c>
      <c r="N2466">
        <v>3</v>
      </c>
      <c r="O2466">
        <v>0.18</v>
      </c>
      <c r="P2466">
        <v>56.62</v>
      </c>
      <c r="Q2466" t="s">
        <v>9895</v>
      </c>
      <c r="R2466">
        <v>5</v>
      </c>
      <c r="S2466" s="5">
        <f t="shared" si="76"/>
        <v>7.880415872176369E-2</v>
      </c>
      <c r="T2466">
        <v>239.4966666666667</v>
      </c>
      <c r="U2466">
        <v>1</v>
      </c>
      <c r="V2466">
        <v>2023</v>
      </c>
      <c r="W2466">
        <v>1</v>
      </c>
      <c r="X2466" t="s">
        <v>9899</v>
      </c>
      <c r="Y2466" t="s">
        <v>9900</v>
      </c>
      <c r="Z2466" t="s">
        <v>9899</v>
      </c>
      <c r="AD2466">
        <f t="shared" si="77"/>
        <v>5</v>
      </c>
    </row>
    <row r="2467" spans="1:30" x14ac:dyDescent="0.25">
      <c r="A2467" t="s">
        <v>2491</v>
      </c>
      <c r="B2467" s="2">
        <v>45209</v>
      </c>
      <c r="C2467" s="2">
        <v>45210</v>
      </c>
      <c r="D2467" t="s">
        <v>5111</v>
      </c>
      <c r="E2467" t="s">
        <v>5611</v>
      </c>
      <c r="F2467" t="s">
        <v>6026</v>
      </c>
      <c r="G2467" t="s">
        <v>6030</v>
      </c>
      <c r="H2467" t="s">
        <v>6035</v>
      </c>
      <c r="I2467" t="s">
        <v>6047</v>
      </c>
      <c r="J2467" t="s">
        <v>6055</v>
      </c>
      <c r="K2467" t="s">
        <v>6061</v>
      </c>
      <c r="L2467" t="s">
        <v>8220</v>
      </c>
      <c r="M2467">
        <v>617.99</v>
      </c>
      <c r="N2467">
        <v>3</v>
      </c>
      <c r="O2467">
        <v>0.08</v>
      </c>
      <c r="P2467">
        <v>112.97</v>
      </c>
      <c r="Q2467" t="s">
        <v>9893</v>
      </c>
      <c r="R2467">
        <v>1</v>
      </c>
      <c r="S2467" s="5">
        <f t="shared" si="76"/>
        <v>0.1828023107170019</v>
      </c>
      <c r="T2467">
        <v>205.9966666666667</v>
      </c>
      <c r="U2467">
        <v>10</v>
      </c>
      <c r="V2467">
        <v>2023</v>
      </c>
      <c r="W2467">
        <v>4</v>
      </c>
      <c r="X2467" t="s">
        <v>9899</v>
      </c>
      <c r="Y2467" t="s">
        <v>9901</v>
      </c>
      <c r="Z2467" t="s">
        <v>9899</v>
      </c>
      <c r="AD2467">
        <f t="shared" si="77"/>
        <v>1</v>
      </c>
    </row>
    <row r="2468" spans="1:30" x14ac:dyDescent="0.25">
      <c r="A2468" t="s">
        <v>2492</v>
      </c>
      <c r="B2468" s="2">
        <v>45116</v>
      </c>
      <c r="C2468" s="2">
        <v>45121</v>
      </c>
      <c r="D2468" t="s">
        <v>5264</v>
      </c>
      <c r="E2468" t="s">
        <v>5764</v>
      </c>
      <c r="F2468" t="s">
        <v>6026</v>
      </c>
      <c r="G2468" t="s">
        <v>6030</v>
      </c>
      <c r="H2468" t="s">
        <v>6035</v>
      </c>
      <c r="I2468" t="s">
        <v>6051</v>
      </c>
      <c r="J2468" t="s">
        <v>6054</v>
      </c>
      <c r="K2468" t="s">
        <v>6060</v>
      </c>
      <c r="L2468" t="s">
        <v>6371</v>
      </c>
      <c r="M2468">
        <v>1423.73</v>
      </c>
      <c r="N2468">
        <v>5</v>
      </c>
      <c r="O2468">
        <v>0.35</v>
      </c>
      <c r="P2468">
        <v>-192.4</v>
      </c>
      <c r="Q2468" t="s">
        <v>9894</v>
      </c>
      <c r="R2468">
        <v>5</v>
      </c>
      <c r="S2468" s="5">
        <f t="shared" si="76"/>
        <v>-0.13513798262310972</v>
      </c>
      <c r="T2468">
        <v>284.74599999999998</v>
      </c>
      <c r="U2468">
        <v>7</v>
      </c>
      <c r="V2468">
        <v>2023</v>
      </c>
      <c r="W2468">
        <v>3</v>
      </c>
      <c r="X2468" t="s">
        <v>9898</v>
      </c>
      <c r="Y2468" t="s">
        <v>9902</v>
      </c>
      <c r="Z2468" t="s">
        <v>9898</v>
      </c>
      <c r="AD2468">
        <f t="shared" si="77"/>
        <v>5</v>
      </c>
    </row>
    <row r="2469" spans="1:30" x14ac:dyDescent="0.25">
      <c r="A2469" t="s">
        <v>2493</v>
      </c>
      <c r="B2469" s="2">
        <v>45189</v>
      </c>
      <c r="C2469" s="2">
        <v>45191</v>
      </c>
      <c r="D2469" t="s">
        <v>5211</v>
      </c>
      <c r="E2469" t="s">
        <v>5711</v>
      </c>
      <c r="F2469" t="s">
        <v>6027</v>
      </c>
      <c r="G2469" t="s">
        <v>6031</v>
      </c>
      <c r="H2469" t="s">
        <v>6034</v>
      </c>
      <c r="I2469" t="s">
        <v>6052</v>
      </c>
      <c r="J2469" t="s">
        <v>6054</v>
      </c>
      <c r="K2469" t="s">
        <v>6059</v>
      </c>
      <c r="L2469" t="s">
        <v>7420</v>
      </c>
      <c r="M2469">
        <v>558.35</v>
      </c>
      <c r="N2469">
        <v>8</v>
      </c>
      <c r="O2469">
        <v>0.15</v>
      </c>
      <c r="P2469">
        <v>53.91</v>
      </c>
      <c r="Q2469" t="s">
        <v>9897</v>
      </c>
      <c r="R2469">
        <v>2</v>
      </c>
      <c r="S2469" s="5">
        <f t="shared" si="76"/>
        <v>9.6552341721142645E-2</v>
      </c>
      <c r="T2469">
        <v>69.793750000000003</v>
      </c>
      <c r="U2469">
        <v>9</v>
      </c>
      <c r="V2469">
        <v>2023</v>
      </c>
      <c r="W2469">
        <v>3</v>
      </c>
      <c r="X2469" t="s">
        <v>9899</v>
      </c>
      <c r="Y2469" t="s">
        <v>9901</v>
      </c>
      <c r="Z2469" t="s">
        <v>9899</v>
      </c>
      <c r="AD2469">
        <f t="shared" si="77"/>
        <v>2</v>
      </c>
    </row>
    <row r="2470" spans="1:30" x14ac:dyDescent="0.25">
      <c r="A2470" t="s">
        <v>2494</v>
      </c>
      <c r="B2470" s="2">
        <v>44926</v>
      </c>
      <c r="C2470" s="2">
        <v>44930</v>
      </c>
      <c r="D2470" t="s">
        <v>5284</v>
      </c>
      <c r="E2470" t="s">
        <v>5784</v>
      </c>
      <c r="F2470" t="s">
        <v>6026</v>
      </c>
      <c r="G2470" t="s">
        <v>6030</v>
      </c>
      <c r="H2470" t="s">
        <v>6039</v>
      </c>
      <c r="I2470" t="s">
        <v>6047</v>
      </c>
      <c r="J2470" t="s">
        <v>6053</v>
      </c>
      <c r="K2470" t="s">
        <v>6057</v>
      </c>
      <c r="L2470" t="s">
        <v>8221</v>
      </c>
      <c r="M2470">
        <v>1461.65</v>
      </c>
      <c r="N2470">
        <v>2</v>
      </c>
      <c r="O2470">
        <v>0.11</v>
      </c>
      <c r="P2470">
        <v>34.549999999999997</v>
      </c>
      <c r="Q2470" t="s">
        <v>9894</v>
      </c>
      <c r="R2470">
        <v>4</v>
      </c>
      <c r="S2470" s="5">
        <f t="shared" si="76"/>
        <v>2.3637669756781717E-2</v>
      </c>
      <c r="T2470">
        <v>730.82500000000005</v>
      </c>
      <c r="U2470">
        <v>12</v>
      </c>
      <c r="V2470">
        <v>2022</v>
      </c>
      <c r="W2470">
        <v>4</v>
      </c>
      <c r="X2470" t="s">
        <v>9899</v>
      </c>
      <c r="Y2470" t="s">
        <v>9901</v>
      </c>
      <c r="Z2470" t="s">
        <v>9898</v>
      </c>
      <c r="AD2470">
        <f t="shared" si="77"/>
        <v>4</v>
      </c>
    </row>
    <row r="2471" spans="1:30" x14ac:dyDescent="0.25">
      <c r="A2471" t="s">
        <v>2495</v>
      </c>
      <c r="B2471" s="2">
        <v>45210</v>
      </c>
      <c r="C2471" s="2">
        <v>45212</v>
      </c>
      <c r="D2471" t="s">
        <v>5168</v>
      </c>
      <c r="E2471" t="s">
        <v>5668</v>
      </c>
      <c r="F2471" t="s">
        <v>6026</v>
      </c>
      <c r="G2471" t="s">
        <v>6029</v>
      </c>
      <c r="H2471" t="s">
        <v>6036</v>
      </c>
      <c r="I2471" t="s">
        <v>6050</v>
      </c>
      <c r="J2471" t="s">
        <v>6053</v>
      </c>
      <c r="K2471" t="s">
        <v>6056</v>
      </c>
      <c r="L2471" t="s">
        <v>8222</v>
      </c>
      <c r="M2471">
        <v>1993.03</v>
      </c>
      <c r="N2471">
        <v>6</v>
      </c>
      <c r="O2471">
        <v>0.21</v>
      </c>
      <c r="P2471">
        <v>166.26</v>
      </c>
      <c r="Q2471" t="s">
        <v>9894</v>
      </c>
      <c r="R2471">
        <v>2</v>
      </c>
      <c r="S2471" s="5">
        <f t="shared" si="76"/>
        <v>8.3420721213428792E-2</v>
      </c>
      <c r="T2471">
        <v>332.17166666666668</v>
      </c>
      <c r="U2471">
        <v>10</v>
      </c>
      <c r="V2471">
        <v>2023</v>
      </c>
      <c r="W2471">
        <v>4</v>
      </c>
      <c r="X2471" t="s">
        <v>9899</v>
      </c>
      <c r="Y2471" t="s">
        <v>9900</v>
      </c>
      <c r="Z2471" t="s">
        <v>9898</v>
      </c>
      <c r="AD2471">
        <f t="shared" si="77"/>
        <v>2</v>
      </c>
    </row>
    <row r="2472" spans="1:30" x14ac:dyDescent="0.25">
      <c r="A2472" t="s">
        <v>2496</v>
      </c>
      <c r="B2472" s="2">
        <v>44611</v>
      </c>
      <c r="C2472" s="2">
        <v>44615</v>
      </c>
      <c r="D2472" t="s">
        <v>5044</v>
      </c>
      <c r="E2472" t="s">
        <v>5544</v>
      </c>
      <c r="F2472" t="s">
        <v>6028</v>
      </c>
      <c r="G2472" t="s">
        <v>6030</v>
      </c>
      <c r="H2472" t="s">
        <v>6035</v>
      </c>
      <c r="I2472" t="s">
        <v>6047</v>
      </c>
      <c r="J2472" t="s">
        <v>6053</v>
      </c>
      <c r="K2472" t="s">
        <v>6057</v>
      </c>
      <c r="L2472" t="s">
        <v>8223</v>
      </c>
      <c r="M2472">
        <v>990.22</v>
      </c>
      <c r="N2472">
        <v>1</v>
      </c>
      <c r="O2472">
        <v>0</v>
      </c>
      <c r="P2472">
        <v>123.55</v>
      </c>
      <c r="Q2472" t="s">
        <v>9893</v>
      </c>
      <c r="R2472">
        <v>4</v>
      </c>
      <c r="S2472" s="5">
        <f t="shared" si="76"/>
        <v>0.12477025307507422</v>
      </c>
      <c r="T2472">
        <v>990.22</v>
      </c>
      <c r="U2472">
        <v>2</v>
      </c>
      <c r="V2472">
        <v>2022</v>
      </c>
      <c r="W2472">
        <v>1</v>
      </c>
      <c r="X2472" t="s">
        <v>9899</v>
      </c>
      <c r="Y2472" t="s">
        <v>9901</v>
      </c>
      <c r="Z2472" t="s">
        <v>9899</v>
      </c>
      <c r="AD2472">
        <f t="shared" si="77"/>
        <v>4</v>
      </c>
    </row>
    <row r="2473" spans="1:30" x14ac:dyDescent="0.25">
      <c r="A2473" t="s">
        <v>2497</v>
      </c>
      <c r="B2473" s="2">
        <v>44934</v>
      </c>
      <c r="C2473" s="2">
        <v>44941</v>
      </c>
      <c r="D2473" t="s">
        <v>5237</v>
      </c>
      <c r="E2473" t="s">
        <v>5737</v>
      </c>
      <c r="F2473" t="s">
        <v>6026</v>
      </c>
      <c r="G2473" t="s">
        <v>6029</v>
      </c>
      <c r="H2473" t="s">
        <v>6036</v>
      </c>
      <c r="I2473" t="s">
        <v>6049</v>
      </c>
      <c r="J2473" t="s">
        <v>6054</v>
      </c>
      <c r="K2473" t="s">
        <v>6060</v>
      </c>
      <c r="L2473" t="s">
        <v>7569</v>
      </c>
      <c r="M2473">
        <v>497</v>
      </c>
      <c r="N2473">
        <v>7</v>
      </c>
      <c r="O2473">
        <v>0.01</v>
      </c>
      <c r="P2473">
        <v>127.25</v>
      </c>
      <c r="Q2473" t="s">
        <v>9897</v>
      </c>
      <c r="R2473">
        <v>7</v>
      </c>
      <c r="S2473" s="5">
        <f t="shared" si="76"/>
        <v>0.25603621730382292</v>
      </c>
      <c r="T2473">
        <v>71</v>
      </c>
      <c r="U2473">
        <v>1</v>
      </c>
      <c r="V2473">
        <v>2023</v>
      </c>
      <c r="W2473">
        <v>1</v>
      </c>
      <c r="X2473" t="s">
        <v>9899</v>
      </c>
      <c r="Y2473" t="s">
        <v>9901</v>
      </c>
      <c r="Z2473" t="s">
        <v>9899</v>
      </c>
      <c r="AD2473">
        <f t="shared" si="77"/>
        <v>7</v>
      </c>
    </row>
    <row r="2474" spans="1:30" x14ac:dyDescent="0.25">
      <c r="A2474" t="s">
        <v>2498</v>
      </c>
      <c r="B2474" s="2">
        <v>44804</v>
      </c>
      <c r="C2474" s="2">
        <v>44809</v>
      </c>
      <c r="D2474" t="s">
        <v>5382</v>
      </c>
      <c r="E2474" t="s">
        <v>5882</v>
      </c>
      <c r="F2474" t="s">
        <v>6027</v>
      </c>
      <c r="G2474" t="s">
        <v>6031</v>
      </c>
      <c r="H2474" t="s">
        <v>6040</v>
      </c>
      <c r="I2474" t="s">
        <v>6052</v>
      </c>
      <c r="J2474" t="s">
        <v>6053</v>
      </c>
      <c r="K2474" t="s">
        <v>6056</v>
      </c>
      <c r="L2474" t="s">
        <v>8224</v>
      </c>
      <c r="M2474">
        <v>621.33000000000004</v>
      </c>
      <c r="N2474">
        <v>7</v>
      </c>
      <c r="O2474">
        <v>0.04</v>
      </c>
      <c r="P2474">
        <v>45.81</v>
      </c>
      <c r="Q2474" t="s">
        <v>9896</v>
      </c>
      <c r="R2474">
        <v>5</v>
      </c>
      <c r="S2474" s="5">
        <f t="shared" si="76"/>
        <v>7.3728936314036014E-2</v>
      </c>
      <c r="T2474">
        <v>88.761428571428581</v>
      </c>
      <c r="U2474">
        <v>8</v>
      </c>
      <c r="V2474">
        <v>2022</v>
      </c>
      <c r="W2474">
        <v>3</v>
      </c>
      <c r="X2474" t="s">
        <v>9899</v>
      </c>
      <c r="Y2474" t="s">
        <v>9901</v>
      </c>
      <c r="Z2474" t="s">
        <v>9899</v>
      </c>
      <c r="AD2474">
        <f t="shared" si="77"/>
        <v>5</v>
      </c>
    </row>
    <row r="2475" spans="1:30" x14ac:dyDescent="0.25">
      <c r="A2475" t="s">
        <v>2499</v>
      </c>
      <c r="B2475" s="2">
        <v>45181</v>
      </c>
      <c r="C2475" s="2">
        <v>45182</v>
      </c>
      <c r="D2475" t="s">
        <v>5037</v>
      </c>
      <c r="E2475" t="s">
        <v>5537</v>
      </c>
      <c r="F2475" t="s">
        <v>6027</v>
      </c>
      <c r="G2475" t="s">
        <v>6029</v>
      </c>
      <c r="H2475" t="s">
        <v>6036</v>
      </c>
      <c r="I2475" t="s">
        <v>6049</v>
      </c>
      <c r="J2475" t="s">
        <v>6055</v>
      </c>
      <c r="K2475" t="s">
        <v>6061</v>
      </c>
      <c r="L2475" t="s">
        <v>8225</v>
      </c>
      <c r="M2475">
        <v>1669.62</v>
      </c>
      <c r="N2475">
        <v>4</v>
      </c>
      <c r="O2475">
        <v>0.33</v>
      </c>
      <c r="P2475">
        <v>-301.26</v>
      </c>
      <c r="Q2475" t="s">
        <v>9895</v>
      </c>
      <c r="R2475">
        <v>1</v>
      </c>
      <c r="S2475" s="5">
        <f t="shared" si="76"/>
        <v>-0.18043626693499121</v>
      </c>
      <c r="T2475">
        <v>417.40499999999997</v>
      </c>
      <c r="U2475">
        <v>9</v>
      </c>
      <c r="V2475">
        <v>2023</v>
      </c>
      <c r="W2475">
        <v>3</v>
      </c>
      <c r="X2475" t="s">
        <v>9898</v>
      </c>
      <c r="Y2475" t="s">
        <v>9902</v>
      </c>
      <c r="Z2475" t="s">
        <v>9898</v>
      </c>
      <c r="AD2475">
        <f t="shared" si="77"/>
        <v>1</v>
      </c>
    </row>
    <row r="2476" spans="1:30" x14ac:dyDescent="0.25">
      <c r="A2476" t="s">
        <v>2500</v>
      </c>
      <c r="B2476" s="2">
        <v>44890</v>
      </c>
      <c r="C2476" s="2">
        <v>44893</v>
      </c>
      <c r="D2476" t="s">
        <v>5091</v>
      </c>
      <c r="E2476" t="s">
        <v>5591</v>
      </c>
      <c r="F2476" t="s">
        <v>6026</v>
      </c>
      <c r="G2476" t="s">
        <v>6031</v>
      </c>
      <c r="H2476" t="s">
        <v>6042</v>
      </c>
      <c r="I2476" t="s">
        <v>6050</v>
      </c>
      <c r="J2476" t="s">
        <v>6055</v>
      </c>
      <c r="K2476" t="s">
        <v>6064</v>
      </c>
      <c r="L2476" t="s">
        <v>8226</v>
      </c>
      <c r="M2476">
        <v>932.52</v>
      </c>
      <c r="N2476">
        <v>4</v>
      </c>
      <c r="O2476">
        <v>0.22</v>
      </c>
      <c r="P2476">
        <v>-10.71</v>
      </c>
      <c r="Q2476" t="s">
        <v>9894</v>
      </c>
      <c r="R2476">
        <v>3</v>
      </c>
      <c r="S2476" s="5">
        <f t="shared" si="76"/>
        <v>-1.1485008364431863E-2</v>
      </c>
      <c r="T2476">
        <v>233.13</v>
      </c>
      <c r="U2476">
        <v>11</v>
      </c>
      <c r="V2476">
        <v>2022</v>
      </c>
      <c r="W2476">
        <v>4</v>
      </c>
      <c r="X2476" t="s">
        <v>9898</v>
      </c>
      <c r="Y2476" t="s">
        <v>9900</v>
      </c>
      <c r="Z2476" t="s">
        <v>9899</v>
      </c>
      <c r="AD2476">
        <f t="shared" si="77"/>
        <v>3</v>
      </c>
    </row>
    <row r="2477" spans="1:30" x14ac:dyDescent="0.25">
      <c r="A2477" t="s">
        <v>2501</v>
      </c>
      <c r="B2477" s="2">
        <v>44693</v>
      </c>
      <c r="C2477" s="2">
        <v>44699</v>
      </c>
      <c r="D2477" t="s">
        <v>5098</v>
      </c>
      <c r="E2477" t="s">
        <v>5598</v>
      </c>
      <c r="F2477" t="s">
        <v>6026</v>
      </c>
      <c r="G2477" t="s">
        <v>6029</v>
      </c>
      <c r="H2477" t="s">
        <v>6041</v>
      </c>
      <c r="I2477" t="s">
        <v>6050</v>
      </c>
      <c r="J2477" t="s">
        <v>6053</v>
      </c>
      <c r="K2477" t="s">
        <v>6057</v>
      </c>
      <c r="L2477" t="s">
        <v>8227</v>
      </c>
      <c r="M2477">
        <v>1309.73</v>
      </c>
      <c r="N2477">
        <v>5</v>
      </c>
      <c r="O2477">
        <v>0.22</v>
      </c>
      <c r="P2477">
        <v>0.77</v>
      </c>
      <c r="Q2477" t="s">
        <v>9895</v>
      </c>
      <c r="R2477">
        <v>6</v>
      </c>
      <c r="S2477" s="5">
        <f t="shared" si="76"/>
        <v>5.8790743130263492E-4</v>
      </c>
      <c r="T2477">
        <v>261.94600000000003</v>
      </c>
      <c r="U2477">
        <v>5</v>
      </c>
      <c r="V2477">
        <v>2022</v>
      </c>
      <c r="W2477">
        <v>2</v>
      </c>
      <c r="X2477" t="s">
        <v>9899</v>
      </c>
      <c r="Y2477" t="s">
        <v>9900</v>
      </c>
      <c r="Z2477" t="s">
        <v>9898</v>
      </c>
      <c r="AD2477">
        <f t="shared" si="77"/>
        <v>6</v>
      </c>
    </row>
    <row r="2478" spans="1:30" x14ac:dyDescent="0.25">
      <c r="A2478" t="s">
        <v>2502</v>
      </c>
      <c r="B2478" s="2">
        <v>45130</v>
      </c>
      <c r="C2478" s="2">
        <v>45131</v>
      </c>
      <c r="D2478" t="s">
        <v>5115</v>
      </c>
      <c r="E2478" t="s">
        <v>5615</v>
      </c>
      <c r="F2478" t="s">
        <v>6027</v>
      </c>
      <c r="G2478" t="s">
        <v>6029</v>
      </c>
      <c r="H2478" t="s">
        <v>6041</v>
      </c>
      <c r="I2478" t="s">
        <v>6046</v>
      </c>
      <c r="J2478" t="s">
        <v>6054</v>
      </c>
      <c r="K2478" t="s">
        <v>6059</v>
      </c>
      <c r="L2478" t="s">
        <v>6795</v>
      </c>
      <c r="M2478">
        <v>448.15</v>
      </c>
      <c r="N2478">
        <v>2</v>
      </c>
      <c r="O2478">
        <v>0.19</v>
      </c>
      <c r="P2478">
        <v>26.77</v>
      </c>
      <c r="Q2478" t="s">
        <v>9897</v>
      </c>
      <c r="R2478">
        <v>1</v>
      </c>
      <c r="S2478" s="5">
        <f t="shared" si="76"/>
        <v>5.9734463907173942E-2</v>
      </c>
      <c r="T2478">
        <v>224.07499999999999</v>
      </c>
      <c r="U2478">
        <v>7</v>
      </c>
      <c r="V2478">
        <v>2023</v>
      </c>
      <c r="W2478">
        <v>3</v>
      </c>
      <c r="X2478" t="s">
        <v>9899</v>
      </c>
      <c r="Y2478" t="s">
        <v>9900</v>
      </c>
      <c r="Z2478" t="s">
        <v>9899</v>
      </c>
      <c r="AD2478">
        <f t="shared" si="77"/>
        <v>1</v>
      </c>
    </row>
    <row r="2479" spans="1:30" x14ac:dyDescent="0.25">
      <c r="A2479" t="s">
        <v>2503</v>
      </c>
      <c r="B2479" s="2">
        <v>44919</v>
      </c>
      <c r="C2479" s="2">
        <v>44921</v>
      </c>
      <c r="D2479" t="s">
        <v>5088</v>
      </c>
      <c r="E2479" t="s">
        <v>5588</v>
      </c>
      <c r="F2479" t="s">
        <v>6027</v>
      </c>
      <c r="G2479" t="s">
        <v>6030</v>
      </c>
      <c r="H2479" t="s">
        <v>6038</v>
      </c>
      <c r="I2479" t="s">
        <v>6051</v>
      </c>
      <c r="J2479" t="s">
        <v>6055</v>
      </c>
      <c r="K2479" t="s">
        <v>6064</v>
      </c>
      <c r="L2479" t="s">
        <v>8228</v>
      </c>
      <c r="M2479">
        <v>715.27</v>
      </c>
      <c r="N2479">
        <v>5</v>
      </c>
      <c r="O2479">
        <v>0.13</v>
      </c>
      <c r="P2479">
        <v>23.97</v>
      </c>
      <c r="Q2479" t="s">
        <v>9893</v>
      </c>
      <c r="R2479">
        <v>2</v>
      </c>
      <c r="S2479" s="5">
        <f t="shared" si="76"/>
        <v>3.351182071106016E-2</v>
      </c>
      <c r="T2479">
        <v>143.054</v>
      </c>
      <c r="U2479">
        <v>12</v>
      </c>
      <c r="V2479">
        <v>2022</v>
      </c>
      <c r="W2479">
        <v>4</v>
      </c>
      <c r="X2479" t="s">
        <v>9899</v>
      </c>
      <c r="Y2479" t="s">
        <v>9901</v>
      </c>
      <c r="Z2479" t="s">
        <v>9899</v>
      </c>
      <c r="AD2479">
        <f t="shared" si="77"/>
        <v>2</v>
      </c>
    </row>
    <row r="2480" spans="1:30" x14ac:dyDescent="0.25">
      <c r="A2480" t="s">
        <v>2504</v>
      </c>
      <c r="B2480" s="2">
        <v>44631</v>
      </c>
      <c r="C2480" s="2">
        <v>44636</v>
      </c>
      <c r="D2480" t="s">
        <v>5094</v>
      </c>
      <c r="E2480" t="s">
        <v>5594</v>
      </c>
      <c r="F2480" t="s">
        <v>6026</v>
      </c>
      <c r="G2480" t="s">
        <v>6030</v>
      </c>
      <c r="H2480" t="s">
        <v>6035</v>
      </c>
      <c r="I2480" t="s">
        <v>6047</v>
      </c>
      <c r="J2480" t="s">
        <v>6053</v>
      </c>
      <c r="K2480" t="s">
        <v>6057</v>
      </c>
      <c r="L2480" t="s">
        <v>8229</v>
      </c>
      <c r="M2480">
        <v>1772.63</v>
      </c>
      <c r="N2480">
        <v>4</v>
      </c>
      <c r="O2480">
        <v>0.33</v>
      </c>
      <c r="P2480">
        <v>-321.32</v>
      </c>
      <c r="Q2480" t="s">
        <v>9894</v>
      </c>
      <c r="R2480">
        <v>5</v>
      </c>
      <c r="S2480" s="5">
        <f t="shared" si="76"/>
        <v>-0.1812673823640579</v>
      </c>
      <c r="T2480">
        <v>443.15750000000003</v>
      </c>
      <c r="U2480">
        <v>3</v>
      </c>
      <c r="V2480">
        <v>2022</v>
      </c>
      <c r="W2480">
        <v>1</v>
      </c>
      <c r="X2480" t="s">
        <v>9898</v>
      </c>
      <c r="Y2480" t="s">
        <v>9902</v>
      </c>
      <c r="Z2480" t="s">
        <v>9898</v>
      </c>
      <c r="AD2480">
        <f t="shared" si="77"/>
        <v>5</v>
      </c>
    </row>
    <row r="2481" spans="1:30" x14ac:dyDescent="0.25">
      <c r="A2481" t="s">
        <v>2505</v>
      </c>
      <c r="B2481" s="2">
        <v>44761</v>
      </c>
      <c r="C2481" s="2">
        <v>44767</v>
      </c>
      <c r="D2481" t="s">
        <v>5192</v>
      </c>
      <c r="E2481" t="s">
        <v>5692</v>
      </c>
      <c r="F2481" t="s">
        <v>6028</v>
      </c>
      <c r="G2481" t="s">
        <v>6030</v>
      </c>
      <c r="H2481" t="s">
        <v>6039</v>
      </c>
      <c r="I2481" t="s">
        <v>6051</v>
      </c>
      <c r="J2481" t="s">
        <v>6055</v>
      </c>
      <c r="K2481" t="s">
        <v>6063</v>
      </c>
      <c r="L2481" t="s">
        <v>8230</v>
      </c>
      <c r="M2481">
        <v>870.46</v>
      </c>
      <c r="N2481">
        <v>3</v>
      </c>
      <c r="O2481">
        <v>0.13</v>
      </c>
      <c r="P2481">
        <v>82.14</v>
      </c>
      <c r="Q2481" t="s">
        <v>9895</v>
      </c>
      <c r="R2481">
        <v>6</v>
      </c>
      <c r="S2481" s="5">
        <f t="shared" si="76"/>
        <v>9.4363899547365751E-2</v>
      </c>
      <c r="T2481">
        <v>290.15333333333342</v>
      </c>
      <c r="U2481">
        <v>7</v>
      </c>
      <c r="V2481">
        <v>2022</v>
      </c>
      <c r="W2481">
        <v>3</v>
      </c>
      <c r="X2481" t="s">
        <v>9899</v>
      </c>
      <c r="Y2481" t="s">
        <v>9901</v>
      </c>
      <c r="Z2481" t="s">
        <v>9899</v>
      </c>
      <c r="AD2481">
        <f t="shared" si="77"/>
        <v>6</v>
      </c>
    </row>
    <row r="2482" spans="1:30" x14ac:dyDescent="0.25">
      <c r="A2482" t="s">
        <v>2506</v>
      </c>
      <c r="B2482" s="2">
        <v>45213</v>
      </c>
      <c r="C2482" s="2">
        <v>45218</v>
      </c>
      <c r="D2482" t="s">
        <v>5124</v>
      </c>
      <c r="E2482" t="s">
        <v>5624</v>
      </c>
      <c r="F2482" t="s">
        <v>6028</v>
      </c>
      <c r="G2482" t="s">
        <v>6030</v>
      </c>
      <c r="H2482" t="s">
        <v>6033</v>
      </c>
      <c r="I2482" t="s">
        <v>6051</v>
      </c>
      <c r="J2482" t="s">
        <v>6055</v>
      </c>
      <c r="K2482" t="s">
        <v>6064</v>
      </c>
      <c r="L2482" t="s">
        <v>8231</v>
      </c>
      <c r="M2482">
        <v>157.93</v>
      </c>
      <c r="N2482">
        <v>5</v>
      </c>
      <c r="O2482">
        <v>0.25</v>
      </c>
      <c r="P2482">
        <v>0.36</v>
      </c>
      <c r="Q2482" t="s">
        <v>9893</v>
      </c>
      <c r="R2482">
        <v>5</v>
      </c>
      <c r="S2482" s="5">
        <f t="shared" si="76"/>
        <v>2.2794909136959409E-3</v>
      </c>
      <c r="T2482">
        <v>31.585999999999999</v>
      </c>
      <c r="U2482">
        <v>10</v>
      </c>
      <c r="V2482">
        <v>2023</v>
      </c>
      <c r="W2482">
        <v>4</v>
      </c>
      <c r="X2482" t="s">
        <v>9899</v>
      </c>
      <c r="Y2482" t="s">
        <v>9900</v>
      </c>
      <c r="Z2482" t="s">
        <v>9899</v>
      </c>
      <c r="AD2482">
        <f t="shared" si="77"/>
        <v>5</v>
      </c>
    </row>
    <row r="2483" spans="1:30" x14ac:dyDescent="0.25">
      <c r="A2483" t="s">
        <v>2507</v>
      </c>
      <c r="B2483" s="2">
        <v>45386</v>
      </c>
      <c r="C2483" s="2">
        <v>45392</v>
      </c>
      <c r="D2483" t="s">
        <v>5259</v>
      </c>
      <c r="E2483" t="s">
        <v>5759</v>
      </c>
      <c r="F2483" t="s">
        <v>6028</v>
      </c>
      <c r="G2483" t="s">
        <v>6031</v>
      </c>
      <c r="H2483" t="s">
        <v>6037</v>
      </c>
      <c r="I2483" t="s">
        <v>6050</v>
      </c>
      <c r="J2483" t="s">
        <v>6054</v>
      </c>
      <c r="K2483" t="s">
        <v>6059</v>
      </c>
      <c r="L2483" t="s">
        <v>8232</v>
      </c>
      <c r="M2483">
        <v>827.08</v>
      </c>
      <c r="N2483">
        <v>1</v>
      </c>
      <c r="O2483">
        <v>0.09</v>
      </c>
      <c r="P2483">
        <v>135.26</v>
      </c>
      <c r="Q2483" t="s">
        <v>9895</v>
      </c>
      <c r="R2483">
        <v>6</v>
      </c>
      <c r="S2483" s="5">
        <f t="shared" si="76"/>
        <v>0.16353919814286402</v>
      </c>
      <c r="T2483">
        <v>827.08</v>
      </c>
      <c r="U2483">
        <v>4</v>
      </c>
      <c r="V2483">
        <v>2024</v>
      </c>
      <c r="W2483">
        <v>2</v>
      </c>
      <c r="X2483" t="s">
        <v>9899</v>
      </c>
      <c r="Y2483" t="s">
        <v>9901</v>
      </c>
      <c r="Z2483" t="s">
        <v>9899</v>
      </c>
      <c r="AD2483">
        <f t="shared" si="77"/>
        <v>6</v>
      </c>
    </row>
    <row r="2484" spans="1:30" x14ac:dyDescent="0.25">
      <c r="A2484" t="s">
        <v>2508</v>
      </c>
      <c r="B2484" s="2">
        <v>44700</v>
      </c>
      <c r="C2484" s="2">
        <v>44705</v>
      </c>
      <c r="D2484" t="s">
        <v>5524</v>
      </c>
      <c r="E2484" t="s">
        <v>6024</v>
      </c>
      <c r="F2484" t="s">
        <v>6027</v>
      </c>
      <c r="G2484" t="s">
        <v>6031</v>
      </c>
      <c r="H2484" t="s">
        <v>6042</v>
      </c>
      <c r="I2484" t="s">
        <v>6050</v>
      </c>
      <c r="J2484" t="s">
        <v>6055</v>
      </c>
      <c r="K2484" t="s">
        <v>6063</v>
      </c>
      <c r="L2484" t="s">
        <v>8233</v>
      </c>
      <c r="M2484">
        <v>1575.9</v>
      </c>
      <c r="N2484">
        <v>7</v>
      </c>
      <c r="O2484">
        <v>0.27</v>
      </c>
      <c r="P2484">
        <v>-184.46</v>
      </c>
      <c r="Q2484" t="s">
        <v>9897</v>
      </c>
      <c r="R2484">
        <v>5</v>
      </c>
      <c r="S2484" s="5">
        <f t="shared" si="76"/>
        <v>-0.11705057427501744</v>
      </c>
      <c r="T2484">
        <v>225.12857142857141</v>
      </c>
      <c r="U2484">
        <v>5</v>
      </c>
      <c r="V2484">
        <v>2022</v>
      </c>
      <c r="W2484">
        <v>2</v>
      </c>
      <c r="X2484" t="s">
        <v>9898</v>
      </c>
      <c r="Y2484" t="s">
        <v>9900</v>
      </c>
      <c r="Z2484" t="s">
        <v>9898</v>
      </c>
      <c r="AD2484">
        <f t="shared" si="77"/>
        <v>5</v>
      </c>
    </row>
    <row r="2485" spans="1:30" x14ac:dyDescent="0.25">
      <c r="A2485" t="s">
        <v>2509</v>
      </c>
      <c r="B2485" s="2">
        <v>45409</v>
      </c>
      <c r="C2485" s="2">
        <v>45412</v>
      </c>
      <c r="D2485" t="s">
        <v>5346</v>
      </c>
      <c r="E2485" t="s">
        <v>5846</v>
      </c>
      <c r="F2485" t="s">
        <v>6026</v>
      </c>
      <c r="G2485" t="s">
        <v>6030</v>
      </c>
      <c r="H2485" t="s">
        <v>6038</v>
      </c>
      <c r="I2485" t="s">
        <v>6051</v>
      </c>
      <c r="J2485" t="s">
        <v>6054</v>
      </c>
      <c r="K2485" t="s">
        <v>6059</v>
      </c>
      <c r="L2485" t="s">
        <v>6862</v>
      </c>
      <c r="M2485">
        <v>1974.39</v>
      </c>
      <c r="N2485">
        <v>6</v>
      </c>
      <c r="O2485">
        <v>0.15</v>
      </c>
      <c r="P2485">
        <v>194.49</v>
      </c>
      <c r="Q2485" t="s">
        <v>9896</v>
      </c>
      <c r="R2485">
        <v>3</v>
      </c>
      <c r="S2485" s="5">
        <f t="shared" si="76"/>
        <v>9.8506374120614471E-2</v>
      </c>
      <c r="T2485">
        <v>329.065</v>
      </c>
      <c r="U2485">
        <v>4</v>
      </c>
      <c r="V2485">
        <v>2024</v>
      </c>
      <c r="W2485">
        <v>2</v>
      </c>
      <c r="X2485" t="s">
        <v>9899</v>
      </c>
      <c r="Y2485" t="s">
        <v>9901</v>
      </c>
      <c r="Z2485" t="s">
        <v>9898</v>
      </c>
      <c r="AD2485">
        <f t="shared" si="77"/>
        <v>3</v>
      </c>
    </row>
    <row r="2486" spans="1:30" x14ac:dyDescent="0.25">
      <c r="A2486" t="s">
        <v>2510</v>
      </c>
      <c r="B2486" s="2">
        <v>44977</v>
      </c>
      <c r="C2486" s="2">
        <v>44982</v>
      </c>
      <c r="D2486" t="s">
        <v>5429</v>
      </c>
      <c r="E2486" t="s">
        <v>5929</v>
      </c>
      <c r="F2486" t="s">
        <v>6028</v>
      </c>
      <c r="G2486" t="s">
        <v>6030</v>
      </c>
      <c r="H2486" t="s">
        <v>6035</v>
      </c>
      <c r="I2486" t="s">
        <v>6047</v>
      </c>
      <c r="J2486" t="s">
        <v>6054</v>
      </c>
      <c r="K2486" t="s">
        <v>6059</v>
      </c>
      <c r="L2486" t="s">
        <v>8234</v>
      </c>
      <c r="M2486">
        <v>1780.84</v>
      </c>
      <c r="N2486">
        <v>7</v>
      </c>
      <c r="O2486">
        <v>0.1</v>
      </c>
      <c r="P2486">
        <v>328.7</v>
      </c>
      <c r="Q2486" t="s">
        <v>9897</v>
      </c>
      <c r="R2486">
        <v>5</v>
      </c>
      <c r="S2486" s="5">
        <f t="shared" si="76"/>
        <v>0.18457581815323107</v>
      </c>
      <c r="T2486">
        <v>254.40571428571431</v>
      </c>
      <c r="U2486">
        <v>2</v>
      </c>
      <c r="V2486">
        <v>2023</v>
      </c>
      <c r="W2486">
        <v>1</v>
      </c>
      <c r="X2486" t="s">
        <v>9899</v>
      </c>
      <c r="Y2486" t="s">
        <v>9901</v>
      </c>
      <c r="Z2486" t="s">
        <v>9898</v>
      </c>
      <c r="AD2486">
        <f t="shared" si="77"/>
        <v>5</v>
      </c>
    </row>
    <row r="2487" spans="1:30" x14ac:dyDescent="0.25">
      <c r="A2487" t="s">
        <v>2511</v>
      </c>
      <c r="B2487" s="2">
        <v>44788</v>
      </c>
      <c r="C2487" s="2">
        <v>44791</v>
      </c>
      <c r="D2487" t="s">
        <v>5378</v>
      </c>
      <c r="E2487" t="s">
        <v>5878</v>
      </c>
      <c r="F2487" t="s">
        <v>6027</v>
      </c>
      <c r="G2487" t="s">
        <v>6030</v>
      </c>
      <c r="H2487" t="s">
        <v>6033</v>
      </c>
      <c r="I2487" t="s">
        <v>6047</v>
      </c>
      <c r="J2487" t="s">
        <v>6053</v>
      </c>
      <c r="K2487" t="s">
        <v>6056</v>
      </c>
      <c r="L2487" t="s">
        <v>8235</v>
      </c>
      <c r="M2487">
        <v>1382.44</v>
      </c>
      <c r="N2487">
        <v>1</v>
      </c>
      <c r="O2487">
        <v>0.17</v>
      </c>
      <c r="P2487">
        <v>142.88999999999999</v>
      </c>
      <c r="Q2487" t="s">
        <v>9896</v>
      </c>
      <c r="R2487">
        <v>3</v>
      </c>
      <c r="S2487" s="5">
        <f t="shared" si="76"/>
        <v>0.10336072451607302</v>
      </c>
      <c r="T2487">
        <v>1382.44</v>
      </c>
      <c r="U2487">
        <v>8</v>
      </c>
      <c r="V2487">
        <v>2022</v>
      </c>
      <c r="W2487">
        <v>3</v>
      </c>
      <c r="X2487" t="s">
        <v>9899</v>
      </c>
      <c r="Y2487" t="s">
        <v>9900</v>
      </c>
      <c r="Z2487" t="s">
        <v>9898</v>
      </c>
      <c r="AD2487">
        <f t="shared" si="77"/>
        <v>3</v>
      </c>
    </row>
    <row r="2488" spans="1:30" x14ac:dyDescent="0.25">
      <c r="A2488" t="s">
        <v>2512</v>
      </c>
      <c r="B2488" s="2">
        <v>44627</v>
      </c>
      <c r="C2488" s="2">
        <v>44629</v>
      </c>
      <c r="D2488" t="s">
        <v>5278</v>
      </c>
      <c r="E2488" t="s">
        <v>5778</v>
      </c>
      <c r="F2488" t="s">
        <v>6026</v>
      </c>
      <c r="G2488" t="s">
        <v>6031</v>
      </c>
      <c r="H2488" t="s">
        <v>6034</v>
      </c>
      <c r="I2488" t="s">
        <v>6052</v>
      </c>
      <c r="J2488" t="s">
        <v>6053</v>
      </c>
      <c r="K2488" t="s">
        <v>6056</v>
      </c>
      <c r="L2488" t="s">
        <v>8236</v>
      </c>
      <c r="M2488">
        <v>176.18</v>
      </c>
      <c r="N2488">
        <v>5</v>
      </c>
      <c r="O2488">
        <v>0.03</v>
      </c>
      <c r="P2488">
        <v>38.31</v>
      </c>
      <c r="Q2488" t="s">
        <v>9896</v>
      </c>
      <c r="R2488">
        <v>2</v>
      </c>
      <c r="S2488" s="5">
        <f t="shared" si="76"/>
        <v>0.2174480644795096</v>
      </c>
      <c r="T2488">
        <v>35.235999999999997</v>
      </c>
      <c r="U2488">
        <v>3</v>
      </c>
      <c r="V2488">
        <v>2022</v>
      </c>
      <c r="W2488">
        <v>1</v>
      </c>
      <c r="X2488" t="s">
        <v>9899</v>
      </c>
      <c r="Y2488" t="s">
        <v>9901</v>
      </c>
      <c r="Z2488" t="s">
        <v>9899</v>
      </c>
      <c r="AD2488">
        <f t="shared" si="77"/>
        <v>2</v>
      </c>
    </row>
    <row r="2489" spans="1:30" x14ac:dyDescent="0.25">
      <c r="A2489" t="s">
        <v>2513</v>
      </c>
      <c r="B2489" s="2">
        <v>44851</v>
      </c>
      <c r="C2489" s="2">
        <v>44855</v>
      </c>
      <c r="D2489" t="s">
        <v>5166</v>
      </c>
      <c r="E2489" t="s">
        <v>5666</v>
      </c>
      <c r="F2489" t="s">
        <v>6028</v>
      </c>
      <c r="G2489" t="s">
        <v>6030</v>
      </c>
      <c r="H2489" t="s">
        <v>6033</v>
      </c>
      <c r="I2489" t="s">
        <v>6051</v>
      </c>
      <c r="J2489" t="s">
        <v>6054</v>
      </c>
      <c r="K2489" t="s">
        <v>6062</v>
      </c>
      <c r="L2489" t="s">
        <v>7847</v>
      </c>
      <c r="M2489">
        <v>1210.49</v>
      </c>
      <c r="N2489">
        <v>2</v>
      </c>
      <c r="O2489">
        <v>7.0000000000000007E-2</v>
      </c>
      <c r="P2489">
        <v>226.51</v>
      </c>
      <c r="Q2489" t="s">
        <v>9893</v>
      </c>
      <c r="R2489">
        <v>4</v>
      </c>
      <c r="S2489" s="5">
        <f t="shared" si="76"/>
        <v>0.1871225701988451</v>
      </c>
      <c r="T2489">
        <v>605.245</v>
      </c>
      <c r="U2489">
        <v>10</v>
      </c>
      <c r="V2489">
        <v>2022</v>
      </c>
      <c r="W2489">
        <v>4</v>
      </c>
      <c r="X2489" t="s">
        <v>9899</v>
      </c>
      <c r="Y2489" t="s">
        <v>9901</v>
      </c>
      <c r="Z2489" t="s">
        <v>9898</v>
      </c>
      <c r="AD2489">
        <f t="shared" si="77"/>
        <v>4</v>
      </c>
    </row>
    <row r="2490" spans="1:30" x14ac:dyDescent="0.25">
      <c r="A2490" t="s">
        <v>2514</v>
      </c>
      <c r="B2490" s="2">
        <v>45050</v>
      </c>
      <c r="C2490" s="2">
        <v>45054</v>
      </c>
      <c r="D2490" t="s">
        <v>5245</v>
      </c>
      <c r="E2490" t="s">
        <v>5745</v>
      </c>
      <c r="F2490" t="s">
        <v>6026</v>
      </c>
      <c r="G2490" t="s">
        <v>6031</v>
      </c>
      <c r="H2490" t="s">
        <v>6042</v>
      </c>
      <c r="I2490" t="s">
        <v>6052</v>
      </c>
      <c r="J2490" t="s">
        <v>6055</v>
      </c>
      <c r="K2490" t="s">
        <v>6061</v>
      </c>
      <c r="L2490" t="s">
        <v>7454</v>
      </c>
      <c r="M2490">
        <v>721.86</v>
      </c>
      <c r="N2490">
        <v>4</v>
      </c>
      <c r="O2490">
        <v>0.04</v>
      </c>
      <c r="P2490">
        <v>182.8</v>
      </c>
      <c r="Q2490" t="s">
        <v>9894</v>
      </c>
      <c r="R2490">
        <v>4</v>
      </c>
      <c r="S2490" s="5">
        <f t="shared" si="76"/>
        <v>0.25323469924916192</v>
      </c>
      <c r="T2490">
        <v>180.465</v>
      </c>
      <c r="U2490">
        <v>5</v>
      </c>
      <c r="V2490">
        <v>2023</v>
      </c>
      <c r="W2490">
        <v>2</v>
      </c>
      <c r="X2490" t="s">
        <v>9899</v>
      </c>
      <c r="Y2490" t="s">
        <v>9901</v>
      </c>
      <c r="Z2490" t="s">
        <v>9899</v>
      </c>
      <c r="AD2490">
        <f t="shared" si="77"/>
        <v>4</v>
      </c>
    </row>
    <row r="2491" spans="1:30" x14ac:dyDescent="0.25">
      <c r="A2491" t="s">
        <v>2515</v>
      </c>
      <c r="B2491" s="2">
        <v>45023</v>
      </c>
      <c r="C2491" s="2">
        <v>45030</v>
      </c>
      <c r="D2491" t="s">
        <v>5300</v>
      </c>
      <c r="E2491" t="s">
        <v>5800</v>
      </c>
      <c r="F2491" t="s">
        <v>6026</v>
      </c>
      <c r="G2491" t="s">
        <v>6030</v>
      </c>
      <c r="H2491" t="s">
        <v>6033</v>
      </c>
      <c r="I2491" t="s">
        <v>6051</v>
      </c>
      <c r="J2491" t="s">
        <v>6055</v>
      </c>
      <c r="K2491" t="s">
        <v>6063</v>
      </c>
      <c r="L2491" t="s">
        <v>8237</v>
      </c>
      <c r="M2491">
        <v>304.25</v>
      </c>
      <c r="N2491">
        <v>7</v>
      </c>
      <c r="O2491">
        <v>0.34</v>
      </c>
      <c r="P2491">
        <v>-62.59</v>
      </c>
      <c r="Q2491" t="s">
        <v>9893</v>
      </c>
      <c r="R2491">
        <v>7</v>
      </c>
      <c r="S2491" s="5">
        <f t="shared" si="76"/>
        <v>-0.2057189811010682</v>
      </c>
      <c r="T2491">
        <v>43.464285714285722</v>
      </c>
      <c r="U2491">
        <v>4</v>
      </c>
      <c r="V2491">
        <v>2023</v>
      </c>
      <c r="W2491">
        <v>2</v>
      </c>
      <c r="X2491" t="s">
        <v>9898</v>
      </c>
      <c r="Y2491" t="s">
        <v>9902</v>
      </c>
      <c r="Z2491" t="s">
        <v>9899</v>
      </c>
      <c r="AD2491">
        <f t="shared" si="77"/>
        <v>7</v>
      </c>
    </row>
    <row r="2492" spans="1:30" x14ac:dyDescent="0.25">
      <c r="A2492" t="s">
        <v>2516</v>
      </c>
      <c r="B2492" s="2">
        <v>44785</v>
      </c>
      <c r="C2492" s="2">
        <v>44788</v>
      </c>
      <c r="D2492" t="s">
        <v>5244</v>
      </c>
      <c r="E2492" t="s">
        <v>5744</v>
      </c>
      <c r="F2492" t="s">
        <v>6026</v>
      </c>
      <c r="G2492" t="s">
        <v>6030</v>
      </c>
      <c r="H2492" t="s">
        <v>6033</v>
      </c>
      <c r="I2492" t="s">
        <v>6051</v>
      </c>
      <c r="J2492" t="s">
        <v>6054</v>
      </c>
      <c r="K2492" t="s">
        <v>6059</v>
      </c>
      <c r="L2492" t="s">
        <v>8238</v>
      </c>
      <c r="M2492">
        <v>325.43</v>
      </c>
      <c r="N2492">
        <v>1</v>
      </c>
      <c r="O2492">
        <v>0.14000000000000001</v>
      </c>
      <c r="P2492">
        <v>1.67</v>
      </c>
      <c r="Q2492" t="s">
        <v>9897</v>
      </c>
      <c r="R2492">
        <v>3</v>
      </c>
      <c r="S2492" s="5">
        <f t="shared" si="76"/>
        <v>5.1316719417386228E-3</v>
      </c>
      <c r="T2492">
        <v>325.43</v>
      </c>
      <c r="U2492">
        <v>8</v>
      </c>
      <c r="V2492">
        <v>2022</v>
      </c>
      <c r="W2492">
        <v>3</v>
      </c>
      <c r="X2492" t="s">
        <v>9899</v>
      </c>
      <c r="Y2492" t="s">
        <v>9901</v>
      </c>
      <c r="Z2492" t="s">
        <v>9899</v>
      </c>
      <c r="AD2492">
        <f t="shared" si="77"/>
        <v>3</v>
      </c>
    </row>
    <row r="2493" spans="1:30" x14ac:dyDescent="0.25">
      <c r="A2493" t="s">
        <v>2517</v>
      </c>
      <c r="B2493" s="2">
        <v>45372</v>
      </c>
      <c r="C2493" s="2">
        <v>45373</v>
      </c>
      <c r="D2493" t="s">
        <v>5232</v>
      </c>
      <c r="E2493" t="s">
        <v>5732</v>
      </c>
      <c r="F2493" t="s">
        <v>6026</v>
      </c>
      <c r="G2493" t="s">
        <v>6030</v>
      </c>
      <c r="H2493" t="s">
        <v>6038</v>
      </c>
      <c r="I2493" t="s">
        <v>6051</v>
      </c>
      <c r="J2493" t="s">
        <v>6055</v>
      </c>
      <c r="K2493" t="s">
        <v>6063</v>
      </c>
      <c r="L2493" t="s">
        <v>8239</v>
      </c>
      <c r="M2493">
        <v>1604.67</v>
      </c>
      <c r="N2493">
        <v>4</v>
      </c>
      <c r="O2493">
        <v>0.19</v>
      </c>
      <c r="P2493">
        <v>-15.15</v>
      </c>
      <c r="Q2493" t="s">
        <v>9894</v>
      </c>
      <c r="R2493">
        <v>1</v>
      </c>
      <c r="S2493" s="5">
        <f t="shared" si="76"/>
        <v>-9.4411935164239371E-3</v>
      </c>
      <c r="T2493">
        <v>401.16750000000002</v>
      </c>
      <c r="U2493">
        <v>3</v>
      </c>
      <c r="V2493">
        <v>2024</v>
      </c>
      <c r="W2493">
        <v>1</v>
      </c>
      <c r="X2493" t="s">
        <v>9898</v>
      </c>
      <c r="Y2493" t="s">
        <v>9900</v>
      </c>
      <c r="Z2493" t="s">
        <v>9898</v>
      </c>
      <c r="AD2493">
        <f t="shared" si="77"/>
        <v>1</v>
      </c>
    </row>
    <row r="2494" spans="1:30" x14ac:dyDescent="0.25">
      <c r="A2494" t="s">
        <v>2518</v>
      </c>
      <c r="B2494" s="2">
        <v>45320</v>
      </c>
      <c r="C2494" s="2">
        <v>45322</v>
      </c>
      <c r="D2494" t="s">
        <v>5256</v>
      </c>
      <c r="E2494" t="s">
        <v>5756</v>
      </c>
      <c r="F2494" t="s">
        <v>6026</v>
      </c>
      <c r="G2494" t="s">
        <v>6030</v>
      </c>
      <c r="H2494" t="s">
        <v>6035</v>
      </c>
      <c r="I2494" t="s">
        <v>6051</v>
      </c>
      <c r="J2494" t="s">
        <v>6055</v>
      </c>
      <c r="K2494" t="s">
        <v>6064</v>
      </c>
      <c r="L2494" t="s">
        <v>8240</v>
      </c>
      <c r="M2494">
        <v>237.33</v>
      </c>
      <c r="N2494">
        <v>2</v>
      </c>
      <c r="O2494">
        <v>0.13</v>
      </c>
      <c r="P2494">
        <v>19.899999999999999</v>
      </c>
      <c r="Q2494" t="s">
        <v>9895</v>
      </c>
      <c r="R2494">
        <v>2</v>
      </c>
      <c r="S2494" s="5">
        <f t="shared" si="76"/>
        <v>8.3849492268149819E-2</v>
      </c>
      <c r="T2494">
        <v>118.66500000000001</v>
      </c>
      <c r="U2494">
        <v>1</v>
      </c>
      <c r="V2494">
        <v>2024</v>
      </c>
      <c r="W2494">
        <v>1</v>
      </c>
      <c r="X2494" t="s">
        <v>9899</v>
      </c>
      <c r="Y2494" t="s">
        <v>9901</v>
      </c>
      <c r="Z2494" t="s">
        <v>9899</v>
      </c>
      <c r="AD2494">
        <f t="shared" si="77"/>
        <v>2</v>
      </c>
    </row>
    <row r="2495" spans="1:30" x14ac:dyDescent="0.25">
      <c r="A2495" t="s">
        <v>2519</v>
      </c>
      <c r="B2495" s="2">
        <v>45229</v>
      </c>
      <c r="C2495" s="2">
        <v>45232</v>
      </c>
      <c r="D2495" t="s">
        <v>5268</v>
      </c>
      <c r="E2495" t="s">
        <v>5768</v>
      </c>
      <c r="F2495" t="s">
        <v>6026</v>
      </c>
      <c r="G2495" t="s">
        <v>6031</v>
      </c>
      <c r="H2495" t="s">
        <v>6037</v>
      </c>
      <c r="I2495" t="s">
        <v>6052</v>
      </c>
      <c r="J2495" t="s">
        <v>6054</v>
      </c>
      <c r="K2495" t="s">
        <v>6060</v>
      </c>
      <c r="L2495" t="s">
        <v>8241</v>
      </c>
      <c r="M2495">
        <v>1834.75</v>
      </c>
      <c r="N2495">
        <v>3</v>
      </c>
      <c r="O2495">
        <v>0.01</v>
      </c>
      <c r="P2495">
        <v>219.79</v>
      </c>
      <c r="Q2495" t="s">
        <v>9894</v>
      </c>
      <c r="R2495">
        <v>3</v>
      </c>
      <c r="S2495" s="5">
        <f t="shared" si="76"/>
        <v>0.11979288731434799</v>
      </c>
      <c r="T2495">
        <v>611.58333333333337</v>
      </c>
      <c r="U2495">
        <v>10</v>
      </c>
      <c r="V2495">
        <v>2023</v>
      </c>
      <c r="W2495">
        <v>4</v>
      </c>
      <c r="X2495" t="s">
        <v>9899</v>
      </c>
      <c r="Y2495" t="s">
        <v>9901</v>
      </c>
      <c r="Z2495" t="s">
        <v>9898</v>
      </c>
      <c r="AD2495">
        <f t="shared" si="77"/>
        <v>3</v>
      </c>
    </row>
    <row r="2496" spans="1:30" x14ac:dyDescent="0.25">
      <c r="A2496" t="s">
        <v>2520</v>
      </c>
      <c r="B2496" s="2">
        <v>45013</v>
      </c>
      <c r="C2496" s="2">
        <v>45017</v>
      </c>
      <c r="D2496" t="s">
        <v>5424</v>
      </c>
      <c r="E2496" t="s">
        <v>5924</v>
      </c>
      <c r="F2496" t="s">
        <v>6027</v>
      </c>
      <c r="G2496" t="s">
        <v>6029</v>
      </c>
      <c r="H2496" t="s">
        <v>6045</v>
      </c>
      <c r="I2496" t="s">
        <v>6049</v>
      </c>
      <c r="J2496" t="s">
        <v>6054</v>
      </c>
      <c r="K2496" t="s">
        <v>6059</v>
      </c>
      <c r="L2496" t="s">
        <v>8242</v>
      </c>
      <c r="M2496">
        <v>453.85</v>
      </c>
      <c r="N2496">
        <v>1</v>
      </c>
      <c r="O2496">
        <v>0.21</v>
      </c>
      <c r="P2496">
        <v>5.39</v>
      </c>
      <c r="Q2496" t="s">
        <v>9894</v>
      </c>
      <c r="R2496">
        <v>4</v>
      </c>
      <c r="S2496" s="5">
        <f t="shared" si="76"/>
        <v>1.1876170540927619E-2</v>
      </c>
      <c r="T2496">
        <v>453.85</v>
      </c>
      <c r="U2496">
        <v>3</v>
      </c>
      <c r="V2496">
        <v>2023</v>
      </c>
      <c r="W2496">
        <v>1</v>
      </c>
      <c r="X2496" t="s">
        <v>9899</v>
      </c>
      <c r="Y2496" t="s">
        <v>9900</v>
      </c>
      <c r="Z2496" t="s">
        <v>9899</v>
      </c>
      <c r="AD2496">
        <f t="shared" si="77"/>
        <v>4</v>
      </c>
    </row>
    <row r="2497" spans="1:30" x14ac:dyDescent="0.25">
      <c r="A2497" t="s">
        <v>2521</v>
      </c>
      <c r="B2497" s="2">
        <v>44597</v>
      </c>
      <c r="C2497" s="2">
        <v>44598</v>
      </c>
      <c r="D2497" t="s">
        <v>5252</v>
      </c>
      <c r="E2497" t="s">
        <v>5752</v>
      </c>
      <c r="F2497" t="s">
        <v>6026</v>
      </c>
      <c r="G2497" t="s">
        <v>6030</v>
      </c>
      <c r="H2497" t="s">
        <v>6038</v>
      </c>
      <c r="I2497" t="s">
        <v>6047</v>
      </c>
      <c r="J2497" t="s">
        <v>6055</v>
      </c>
      <c r="K2497" t="s">
        <v>6061</v>
      </c>
      <c r="L2497" t="s">
        <v>8243</v>
      </c>
      <c r="M2497">
        <v>1951.75</v>
      </c>
      <c r="N2497">
        <v>4</v>
      </c>
      <c r="O2497">
        <v>0.05</v>
      </c>
      <c r="P2497">
        <v>344.72</v>
      </c>
      <c r="Q2497" t="s">
        <v>9893</v>
      </c>
      <c r="R2497">
        <v>1</v>
      </c>
      <c r="S2497" s="5">
        <f t="shared" si="76"/>
        <v>0.17662098117074421</v>
      </c>
      <c r="T2497">
        <v>487.9375</v>
      </c>
      <c r="U2497">
        <v>2</v>
      </c>
      <c r="V2497">
        <v>2022</v>
      </c>
      <c r="W2497">
        <v>1</v>
      </c>
      <c r="X2497" t="s">
        <v>9899</v>
      </c>
      <c r="Y2497" t="s">
        <v>9901</v>
      </c>
      <c r="Z2497" t="s">
        <v>9898</v>
      </c>
      <c r="AD2497">
        <f t="shared" si="77"/>
        <v>1</v>
      </c>
    </row>
    <row r="2498" spans="1:30" x14ac:dyDescent="0.25">
      <c r="A2498" t="s">
        <v>2522</v>
      </c>
      <c r="B2498" s="2">
        <v>44652</v>
      </c>
      <c r="C2498" s="2">
        <v>44659</v>
      </c>
      <c r="D2498" t="s">
        <v>5104</v>
      </c>
      <c r="E2498" t="s">
        <v>5604</v>
      </c>
      <c r="F2498" t="s">
        <v>6028</v>
      </c>
      <c r="G2498" t="s">
        <v>6029</v>
      </c>
      <c r="H2498" t="s">
        <v>6041</v>
      </c>
      <c r="I2498" t="s">
        <v>6049</v>
      </c>
      <c r="J2498" t="s">
        <v>6055</v>
      </c>
      <c r="K2498" t="s">
        <v>6064</v>
      </c>
      <c r="L2498" t="s">
        <v>6334</v>
      </c>
      <c r="M2498">
        <v>660.58</v>
      </c>
      <c r="N2498">
        <v>6</v>
      </c>
      <c r="O2498">
        <v>0.13</v>
      </c>
      <c r="P2498">
        <v>106.71</v>
      </c>
      <c r="Q2498" t="s">
        <v>9897</v>
      </c>
      <c r="R2498">
        <v>7</v>
      </c>
      <c r="S2498" s="5">
        <f t="shared" si="76"/>
        <v>0.16153985891186531</v>
      </c>
      <c r="T2498">
        <v>110.09666666666671</v>
      </c>
      <c r="U2498">
        <v>4</v>
      </c>
      <c r="V2498">
        <v>2022</v>
      </c>
      <c r="W2498">
        <v>2</v>
      </c>
      <c r="X2498" t="s">
        <v>9899</v>
      </c>
      <c r="Y2498" t="s">
        <v>9901</v>
      </c>
      <c r="Z2498" t="s">
        <v>9899</v>
      </c>
      <c r="AD2498">
        <f t="shared" si="77"/>
        <v>7</v>
      </c>
    </row>
    <row r="2499" spans="1:30" x14ac:dyDescent="0.25">
      <c r="A2499" t="s">
        <v>2523</v>
      </c>
      <c r="B2499" s="2">
        <v>44666</v>
      </c>
      <c r="C2499" s="2">
        <v>44668</v>
      </c>
      <c r="D2499" t="s">
        <v>5456</v>
      </c>
      <c r="E2499" t="s">
        <v>5956</v>
      </c>
      <c r="F2499" t="s">
        <v>6028</v>
      </c>
      <c r="G2499" t="s">
        <v>6030</v>
      </c>
      <c r="H2499" t="s">
        <v>6039</v>
      </c>
      <c r="I2499" t="s">
        <v>6047</v>
      </c>
      <c r="J2499" t="s">
        <v>6054</v>
      </c>
      <c r="K2499" t="s">
        <v>6059</v>
      </c>
      <c r="L2499" t="s">
        <v>6245</v>
      </c>
      <c r="M2499">
        <v>987.16</v>
      </c>
      <c r="N2499">
        <v>6</v>
      </c>
      <c r="O2499">
        <v>0.04</v>
      </c>
      <c r="P2499">
        <v>172.19</v>
      </c>
      <c r="Q2499" t="s">
        <v>9896</v>
      </c>
      <c r="R2499">
        <v>2</v>
      </c>
      <c r="S2499" s="5">
        <f t="shared" ref="S2499:S2562" si="78">P2499/M2499</f>
        <v>0.17442967705336521</v>
      </c>
      <c r="T2499">
        <v>164.5266666666667</v>
      </c>
      <c r="U2499">
        <v>4</v>
      </c>
      <c r="V2499">
        <v>2022</v>
      </c>
      <c r="W2499">
        <v>2</v>
      </c>
      <c r="X2499" t="s">
        <v>9899</v>
      </c>
      <c r="Y2499" t="s">
        <v>9901</v>
      </c>
      <c r="Z2499" t="s">
        <v>9899</v>
      </c>
      <c r="AD2499">
        <f t="shared" ref="AD2499:AD2562" si="79">C2499-B2499</f>
        <v>2</v>
      </c>
    </row>
    <row r="2500" spans="1:30" x14ac:dyDescent="0.25">
      <c r="A2500" t="s">
        <v>2524</v>
      </c>
      <c r="B2500" s="2">
        <v>45320</v>
      </c>
      <c r="C2500" s="2">
        <v>45326</v>
      </c>
      <c r="D2500" t="s">
        <v>5370</v>
      </c>
      <c r="E2500" t="s">
        <v>5870</v>
      </c>
      <c r="F2500" t="s">
        <v>6027</v>
      </c>
      <c r="G2500" t="s">
        <v>6029</v>
      </c>
      <c r="H2500" t="s">
        <v>6036</v>
      </c>
      <c r="I2500" t="s">
        <v>6049</v>
      </c>
      <c r="J2500" t="s">
        <v>6055</v>
      </c>
      <c r="K2500" t="s">
        <v>6064</v>
      </c>
      <c r="L2500" t="s">
        <v>8244</v>
      </c>
      <c r="M2500">
        <v>1353.26</v>
      </c>
      <c r="N2500">
        <v>2</v>
      </c>
      <c r="O2500">
        <v>0.28999999999999998</v>
      </c>
      <c r="P2500">
        <v>-92.91</v>
      </c>
      <c r="Q2500" t="s">
        <v>9896</v>
      </c>
      <c r="R2500">
        <v>6</v>
      </c>
      <c r="S2500" s="5">
        <f t="shared" si="78"/>
        <v>-6.8656429658749976E-2</v>
      </c>
      <c r="T2500">
        <v>676.63</v>
      </c>
      <c r="U2500">
        <v>1</v>
      </c>
      <c r="V2500">
        <v>2024</v>
      </c>
      <c r="W2500">
        <v>1</v>
      </c>
      <c r="X2500" t="s">
        <v>9898</v>
      </c>
      <c r="Y2500" t="s">
        <v>9900</v>
      </c>
      <c r="Z2500" t="s">
        <v>9898</v>
      </c>
      <c r="AD2500">
        <f t="shared" si="79"/>
        <v>6</v>
      </c>
    </row>
    <row r="2501" spans="1:30" x14ac:dyDescent="0.25">
      <c r="A2501" t="s">
        <v>2525</v>
      </c>
      <c r="B2501" s="2">
        <v>44571</v>
      </c>
      <c r="C2501" s="2">
        <v>44577</v>
      </c>
      <c r="D2501" t="s">
        <v>5275</v>
      </c>
      <c r="E2501" t="s">
        <v>5775</v>
      </c>
      <c r="F2501" t="s">
        <v>6027</v>
      </c>
      <c r="G2501" t="s">
        <v>6030</v>
      </c>
      <c r="H2501" t="s">
        <v>6039</v>
      </c>
      <c r="I2501" t="s">
        <v>6047</v>
      </c>
      <c r="J2501" t="s">
        <v>6054</v>
      </c>
      <c r="K2501" t="s">
        <v>6059</v>
      </c>
      <c r="L2501" t="s">
        <v>8245</v>
      </c>
      <c r="M2501">
        <v>1367.86</v>
      </c>
      <c r="N2501">
        <v>3</v>
      </c>
      <c r="O2501">
        <v>0.05</v>
      </c>
      <c r="P2501">
        <v>288.99</v>
      </c>
      <c r="Q2501" t="s">
        <v>9896</v>
      </c>
      <c r="R2501">
        <v>6</v>
      </c>
      <c r="S2501" s="5">
        <f t="shared" si="78"/>
        <v>0.21127162136475958</v>
      </c>
      <c r="T2501">
        <v>455.95333333333332</v>
      </c>
      <c r="U2501">
        <v>1</v>
      </c>
      <c r="V2501">
        <v>2022</v>
      </c>
      <c r="W2501">
        <v>1</v>
      </c>
      <c r="X2501" t="s">
        <v>9899</v>
      </c>
      <c r="Y2501" t="s">
        <v>9901</v>
      </c>
      <c r="Z2501" t="s">
        <v>9898</v>
      </c>
      <c r="AD2501">
        <f t="shared" si="79"/>
        <v>6</v>
      </c>
    </row>
    <row r="2502" spans="1:30" x14ac:dyDescent="0.25">
      <c r="A2502" t="s">
        <v>2526</v>
      </c>
      <c r="B2502" s="2">
        <v>44626</v>
      </c>
      <c r="C2502" s="2">
        <v>44627</v>
      </c>
      <c r="D2502" t="s">
        <v>5490</v>
      </c>
      <c r="E2502" t="s">
        <v>5990</v>
      </c>
      <c r="F2502" t="s">
        <v>6028</v>
      </c>
      <c r="G2502" t="s">
        <v>6030</v>
      </c>
      <c r="H2502" t="s">
        <v>6038</v>
      </c>
      <c r="I2502" t="s">
        <v>6047</v>
      </c>
      <c r="J2502" t="s">
        <v>6055</v>
      </c>
      <c r="K2502" t="s">
        <v>6064</v>
      </c>
      <c r="L2502" t="s">
        <v>8246</v>
      </c>
      <c r="M2502">
        <v>1988.68</v>
      </c>
      <c r="N2502">
        <v>8</v>
      </c>
      <c r="O2502">
        <v>0.34</v>
      </c>
      <c r="P2502">
        <v>-283.58</v>
      </c>
      <c r="Q2502" t="s">
        <v>9896</v>
      </c>
      <c r="R2502">
        <v>1</v>
      </c>
      <c r="S2502" s="5">
        <f t="shared" si="78"/>
        <v>-0.14259709958364342</v>
      </c>
      <c r="T2502">
        <v>248.58500000000001</v>
      </c>
      <c r="U2502">
        <v>3</v>
      </c>
      <c r="V2502">
        <v>2022</v>
      </c>
      <c r="W2502">
        <v>1</v>
      </c>
      <c r="X2502" t="s">
        <v>9898</v>
      </c>
      <c r="Y2502" t="s">
        <v>9902</v>
      </c>
      <c r="Z2502" t="s">
        <v>9898</v>
      </c>
      <c r="AD2502">
        <f t="shared" si="79"/>
        <v>1</v>
      </c>
    </row>
    <row r="2503" spans="1:30" x14ac:dyDescent="0.25">
      <c r="A2503" t="s">
        <v>2527</v>
      </c>
      <c r="B2503" s="2">
        <v>45338</v>
      </c>
      <c r="C2503" s="2">
        <v>45343</v>
      </c>
      <c r="D2503" t="s">
        <v>5292</v>
      </c>
      <c r="E2503" t="s">
        <v>5792</v>
      </c>
      <c r="F2503" t="s">
        <v>6028</v>
      </c>
      <c r="G2503" t="s">
        <v>6029</v>
      </c>
      <c r="H2503" t="s">
        <v>6036</v>
      </c>
      <c r="I2503" t="s">
        <v>6049</v>
      </c>
      <c r="J2503" t="s">
        <v>6055</v>
      </c>
      <c r="K2503" t="s">
        <v>6061</v>
      </c>
      <c r="L2503" t="s">
        <v>7966</v>
      </c>
      <c r="M2503">
        <v>425.17</v>
      </c>
      <c r="N2503">
        <v>8</v>
      </c>
      <c r="O2503">
        <v>0.18</v>
      </c>
      <c r="P2503">
        <v>13.84</v>
      </c>
      <c r="Q2503" t="s">
        <v>9895</v>
      </c>
      <c r="R2503">
        <v>5</v>
      </c>
      <c r="S2503" s="5">
        <f t="shared" si="78"/>
        <v>3.2551685208269635E-2</v>
      </c>
      <c r="T2503">
        <v>53.146250000000002</v>
      </c>
      <c r="U2503">
        <v>2</v>
      </c>
      <c r="V2503">
        <v>2024</v>
      </c>
      <c r="W2503">
        <v>1</v>
      </c>
      <c r="X2503" t="s">
        <v>9899</v>
      </c>
      <c r="Y2503" t="s">
        <v>9900</v>
      </c>
      <c r="Z2503" t="s">
        <v>9899</v>
      </c>
      <c r="AD2503">
        <f t="shared" si="79"/>
        <v>5</v>
      </c>
    </row>
    <row r="2504" spans="1:30" x14ac:dyDescent="0.25">
      <c r="A2504" t="s">
        <v>2528</v>
      </c>
      <c r="B2504" s="2">
        <v>45461</v>
      </c>
      <c r="C2504" s="2">
        <v>45463</v>
      </c>
      <c r="D2504" t="s">
        <v>5349</v>
      </c>
      <c r="E2504" t="s">
        <v>5849</v>
      </c>
      <c r="F2504" t="s">
        <v>6028</v>
      </c>
      <c r="G2504" t="s">
        <v>6030</v>
      </c>
      <c r="H2504" t="s">
        <v>6033</v>
      </c>
      <c r="I2504" t="s">
        <v>6051</v>
      </c>
      <c r="J2504" t="s">
        <v>6053</v>
      </c>
      <c r="K2504" t="s">
        <v>6057</v>
      </c>
      <c r="L2504" t="s">
        <v>8125</v>
      </c>
      <c r="M2504">
        <v>660.91</v>
      </c>
      <c r="N2504">
        <v>4</v>
      </c>
      <c r="O2504">
        <v>0.28999999999999998</v>
      </c>
      <c r="P2504">
        <v>-36.83</v>
      </c>
      <c r="Q2504" t="s">
        <v>9893</v>
      </c>
      <c r="R2504">
        <v>2</v>
      </c>
      <c r="S2504" s="5">
        <f t="shared" si="78"/>
        <v>-5.5726195699868364E-2</v>
      </c>
      <c r="T2504">
        <v>165.22749999999999</v>
      </c>
      <c r="U2504">
        <v>6</v>
      </c>
      <c r="V2504">
        <v>2024</v>
      </c>
      <c r="W2504">
        <v>2</v>
      </c>
      <c r="X2504" t="s">
        <v>9898</v>
      </c>
      <c r="Y2504" t="s">
        <v>9900</v>
      </c>
      <c r="Z2504" t="s">
        <v>9899</v>
      </c>
      <c r="AD2504">
        <f t="shared" si="79"/>
        <v>2</v>
      </c>
    </row>
    <row r="2505" spans="1:30" x14ac:dyDescent="0.25">
      <c r="A2505" t="s">
        <v>2529</v>
      </c>
      <c r="B2505" s="2">
        <v>44778</v>
      </c>
      <c r="C2505" s="2">
        <v>44784</v>
      </c>
      <c r="D2505" t="s">
        <v>5390</v>
      </c>
      <c r="E2505" t="s">
        <v>5890</v>
      </c>
      <c r="F2505" t="s">
        <v>6026</v>
      </c>
      <c r="G2505" t="s">
        <v>6029</v>
      </c>
      <c r="H2505" t="s">
        <v>6044</v>
      </c>
      <c r="I2505" t="s">
        <v>6049</v>
      </c>
      <c r="J2505" t="s">
        <v>6054</v>
      </c>
      <c r="K2505" t="s">
        <v>6060</v>
      </c>
      <c r="L2505" t="s">
        <v>8247</v>
      </c>
      <c r="M2505">
        <v>963.29</v>
      </c>
      <c r="N2505">
        <v>7</v>
      </c>
      <c r="O2505">
        <v>0.08</v>
      </c>
      <c r="P2505">
        <v>96.06</v>
      </c>
      <c r="Q2505" t="s">
        <v>9897</v>
      </c>
      <c r="R2505">
        <v>6</v>
      </c>
      <c r="S2505" s="5">
        <f t="shared" si="78"/>
        <v>9.9720748684196878E-2</v>
      </c>
      <c r="T2505">
        <v>137.61285714285711</v>
      </c>
      <c r="U2505">
        <v>8</v>
      </c>
      <c r="V2505">
        <v>2022</v>
      </c>
      <c r="W2505">
        <v>3</v>
      </c>
      <c r="X2505" t="s">
        <v>9899</v>
      </c>
      <c r="Y2505" t="s">
        <v>9901</v>
      </c>
      <c r="Z2505" t="s">
        <v>9899</v>
      </c>
      <c r="AD2505">
        <f t="shared" si="79"/>
        <v>6</v>
      </c>
    </row>
    <row r="2506" spans="1:30" x14ac:dyDescent="0.25">
      <c r="A2506" t="s">
        <v>2530</v>
      </c>
      <c r="B2506" s="2">
        <v>45140</v>
      </c>
      <c r="C2506" s="2">
        <v>45147</v>
      </c>
      <c r="D2506" t="s">
        <v>5432</v>
      </c>
      <c r="E2506" t="s">
        <v>5932</v>
      </c>
      <c r="F2506" t="s">
        <v>6028</v>
      </c>
      <c r="G2506" t="s">
        <v>6030</v>
      </c>
      <c r="H2506" t="s">
        <v>6035</v>
      </c>
      <c r="I2506" t="s">
        <v>6051</v>
      </c>
      <c r="J2506" t="s">
        <v>6054</v>
      </c>
      <c r="K2506" t="s">
        <v>6062</v>
      </c>
      <c r="L2506" t="s">
        <v>8248</v>
      </c>
      <c r="M2506">
        <v>1738.18</v>
      </c>
      <c r="N2506">
        <v>1</v>
      </c>
      <c r="O2506">
        <v>0.12</v>
      </c>
      <c r="P2506">
        <v>237.54</v>
      </c>
      <c r="Q2506" t="s">
        <v>9897</v>
      </c>
      <c r="R2506">
        <v>7</v>
      </c>
      <c r="S2506" s="5">
        <f t="shared" si="78"/>
        <v>0.13666018479098826</v>
      </c>
      <c r="T2506">
        <v>1738.18</v>
      </c>
      <c r="U2506">
        <v>8</v>
      </c>
      <c r="V2506">
        <v>2023</v>
      </c>
      <c r="W2506">
        <v>3</v>
      </c>
      <c r="X2506" t="s">
        <v>9899</v>
      </c>
      <c r="Y2506" t="s">
        <v>9901</v>
      </c>
      <c r="Z2506" t="s">
        <v>9898</v>
      </c>
      <c r="AD2506">
        <f t="shared" si="79"/>
        <v>7</v>
      </c>
    </row>
    <row r="2507" spans="1:30" x14ac:dyDescent="0.25">
      <c r="A2507" t="s">
        <v>2531</v>
      </c>
      <c r="B2507" s="2">
        <v>44865</v>
      </c>
      <c r="C2507" s="2">
        <v>44867</v>
      </c>
      <c r="D2507" t="s">
        <v>5470</v>
      </c>
      <c r="E2507" t="s">
        <v>5970</v>
      </c>
      <c r="F2507" t="s">
        <v>6027</v>
      </c>
      <c r="G2507" t="s">
        <v>6030</v>
      </c>
      <c r="H2507" t="s">
        <v>6038</v>
      </c>
      <c r="I2507" t="s">
        <v>6047</v>
      </c>
      <c r="J2507" t="s">
        <v>6053</v>
      </c>
      <c r="K2507" t="s">
        <v>6058</v>
      </c>
      <c r="L2507" t="s">
        <v>8249</v>
      </c>
      <c r="M2507">
        <v>1104.5999999999999</v>
      </c>
      <c r="N2507">
        <v>3</v>
      </c>
      <c r="O2507">
        <v>0.1</v>
      </c>
      <c r="P2507">
        <v>217.38</v>
      </c>
      <c r="Q2507" t="s">
        <v>9896</v>
      </c>
      <c r="R2507">
        <v>2</v>
      </c>
      <c r="S2507" s="5">
        <f t="shared" si="78"/>
        <v>0.19679521998913635</v>
      </c>
      <c r="T2507">
        <v>368.2</v>
      </c>
      <c r="U2507">
        <v>10</v>
      </c>
      <c r="V2507">
        <v>2022</v>
      </c>
      <c r="W2507">
        <v>4</v>
      </c>
      <c r="X2507" t="s">
        <v>9899</v>
      </c>
      <c r="Y2507" t="s">
        <v>9901</v>
      </c>
      <c r="Z2507" t="s">
        <v>9898</v>
      </c>
      <c r="AD2507">
        <f t="shared" si="79"/>
        <v>2</v>
      </c>
    </row>
    <row r="2508" spans="1:30" x14ac:dyDescent="0.25">
      <c r="A2508" t="s">
        <v>2532</v>
      </c>
      <c r="B2508" s="2">
        <v>44986</v>
      </c>
      <c r="C2508" s="2">
        <v>44988</v>
      </c>
      <c r="D2508" t="s">
        <v>5164</v>
      </c>
      <c r="E2508" t="s">
        <v>5664</v>
      </c>
      <c r="F2508" t="s">
        <v>6026</v>
      </c>
      <c r="G2508" t="s">
        <v>6029</v>
      </c>
      <c r="H2508" t="s">
        <v>6032</v>
      </c>
      <c r="I2508" t="s">
        <v>6046</v>
      </c>
      <c r="J2508" t="s">
        <v>6053</v>
      </c>
      <c r="K2508" t="s">
        <v>6058</v>
      </c>
      <c r="L2508" t="s">
        <v>8250</v>
      </c>
      <c r="M2508">
        <v>1449.38</v>
      </c>
      <c r="N2508">
        <v>6</v>
      </c>
      <c r="O2508">
        <v>0.06</v>
      </c>
      <c r="P2508">
        <v>114.37</v>
      </c>
      <c r="Q2508" t="s">
        <v>9896</v>
      </c>
      <c r="R2508">
        <v>2</v>
      </c>
      <c r="S2508" s="5">
        <f t="shared" si="78"/>
        <v>7.8909602726683126E-2</v>
      </c>
      <c r="T2508">
        <v>241.56333333333339</v>
      </c>
      <c r="U2508">
        <v>3</v>
      </c>
      <c r="V2508">
        <v>2023</v>
      </c>
      <c r="W2508">
        <v>1</v>
      </c>
      <c r="X2508" t="s">
        <v>9899</v>
      </c>
      <c r="Y2508" t="s">
        <v>9901</v>
      </c>
      <c r="Z2508" t="s">
        <v>9898</v>
      </c>
      <c r="AD2508">
        <f t="shared" si="79"/>
        <v>2</v>
      </c>
    </row>
    <row r="2509" spans="1:30" x14ac:dyDescent="0.25">
      <c r="A2509" t="s">
        <v>2533</v>
      </c>
      <c r="B2509" s="2">
        <v>44691</v>
      </c>
      <c r="C2509" s="2">
        <v>44697</v>
      </c>
      <c r="D2509" t="s">
        <v>5256</v>
      </c>
      <c r="E2509" t="s">
        <v>5756</v>
      </c>
      <c r="F2509" t="s">
        <v>6026</v>
      </c>
      <c r="G2509" t="s">
        <v>6030</v>
      </c>
      <c r="H2509" t="s">
        <v>6039</v>
      </c>
      <c r="I2509" t="s">
        <v>6047</v>
      </c>
      <c r="J2509" t="s">
        <v>6054</v>
      </c>
      <c r="K2509" t="s">
        <v>6062</v>
      </c>
      <c r="L2509" t="s">
        <v>7386</v>
      </c>
      <c r="M2509">
        <v>1669.22</v>
      </c>
      <c r="N2509">
        <v>5</v>
      </c>
      <c r="O2509">
        <v>0.23</v>
      </c>
      <c r="P2509">
        <v>82.04</v>
      </c>
      <c r="Q2509" t="s">
        <v>9895</v>
      </c>
      <c r="R2509">
        <v>6</v>
      </c>
      <c r="S2509" s="5">
        <f t="shared" si="78"/>
        <v>4.9148704185188297E-2</v>
      </c>
      <c r="T2509">
        <v>333.84399999999999</v>
      </c>
      <c r="U2509">
        <v>5</v>
      </c>
      <c r="V2509">
        <v>2022</v>
      </c>
      <c r="W2509">
        <v>2</v>
      </c>
      <c r="X2509" t="s">
        <v>9899</v>
      </c>
      <c r="Y2509" t="s">
        <v>9900</v>
      </c>
      <c r="Z2509" t="s">
        <v>9898</v>
      </c>
      <c r="AD2509">
        <f t="shared" si="79"/>
        <v>6</v>
      </c>
    </row>
    <row r="2510" spans="1:30" x14ac:dyDescent="0.25">
      <c r="A2510" t="s">
        <v>2534</v>
      </c>
      <c r="B2510" s="2">
        <v>44632</v>
      </c>
      <c r="C2510" s="2">
        <v>44639</v>
      </c>
      <c r="D2510" t="s">
        <v>5399</v>
      </c>
      <c r="E2510" t="s">
        <v>5899</v>
      </c>
      <c r="F2510" t="s">
        <v>6027</v>
      </c>
      <c r="G2510" t="s">
        <v>6031</v>
      </c>
      <c r="H2510" t="s">
        <v>6043</v>
      </c>
      <c r="I2510" t="s">
        <v>6048</v>
      </c>
      <c r="J2510" t="s">
        <v>6054</v>
      </c>
      <c r="K2510" t="s">
        <v>6060</v>
      </c>
      <c r="L2510" t="s">
        <v>8251</v>
      </c>
      <c r="M2510">
        <v>1302.17</v>
      </c>
      <c r="N2510">
        <v>6</v>
      </c>
      <c r="O2510">
        <v>0.02</v>
      </c>
      <c r="P2510">
        <v>283.67</v>
      </c>
      <c r="Q2510" t="s">
        <v>9895</v>
      </c>
      <c r="R2510">
        <v>7</v>
      </c>
      <c r="S2510" s="5">
        <f t="shared" si="78"/>
        <v>0.21784406029934647</v>
      </c>
      <c r="T2510">
        <v>217.02833333333331</v>
      </c>
      <c r="U2510">
        <v>3</v>
      </c>
      <c r="V2510">
        <v>2022</v>
      </c>
      <c r="W2510">
        <v>1</v>
      </c>
      <c r="X2510" t="s">
        <v>9899</v>
      </c>
      <c r="Y2510" t="s">
        <v>9901</v>
      </c>
      <c r="Z2510" t="s">
        <v>9898</v>
      </c>
      <c r="AD2510">
        <f t="shared" si="79"/>
        <v>7</v>
      </c>
    </row>
    <row r="2511" spans="1:30" x14ac:dyDescent="0.25">
      <c r="A2511" t="s">
        <v>2535</v>
      </c>
      <c r="B2511" s="2">
        <v>44803</v>
      </c>
      <c r="C2511" s="2">
        <v>44808</v>
      </c>
      <c r="D2511" t="s">
        <v>5377</v>
      </c>
      <c r="E2511" t="s">
        <v>5877</v>
      </c>
      <c r="F2511" t="s">
        <v>6027</v>
      </c>
      <c r="G2511" t="s">
        <v>6031</v>
      </c>
      <c r="H2511" t="s">
        <v>6043</v>
      </c>
      <c r="I2511" t="s">
        <v>6052</v>
      </c>
      <c r="J2511" t="s">
        <v>6053</v>
      </c>
      <c r="K2511" t="s">
        <v>6058</v>
      </c>
      <c r="L2511" t="s">
        <v>8252</v>
      </c>
      <c r="M2511">
        <v>502.35</v>
      </c>
      <c r="N2511">
        <v>6</v>
      </c>
      <c r="O2511">
        <v>0.01</v>
      </c>
      <c r="P2511">
        <v>143.94999999999999</v>
      </c>
      <c r="Q2511" t="s">
        <v>9893</v>
      </c>
      <c r="R2511">
        <v>5</v>
      </c>
      <c r="S2511" s="5">
        <f t="shared" si="78"/>
        <v>0.28655319996018708</v>
      </c>
      <c r="T2511">
        <v>83.725000000000009</v>
      </c>
      <c r="U2511">
        <v>8</v>
      </c>
      <c r="V2511">
        <v>2022</v>
      </c>
      <c r="W2511">
        <v>3</v>
      </c>
      <c r="X2511" t="s">
        <v>9899</v>
      </c>
      <c r="Y2511" t="s">
        <v>9901</v>
      </c>
      <c r="Z2511" t="s">
        <v>9899</v>
      </c>
      <c r="AD2511">
        <f t="shared" si="79"/>
        <v>5</v>
      </c>
    </row>
    <row r="2512" spans="1:30" x14ac:dyDescent="0.25">
      <c r="A2512" t="s">
        <v>2536</v>
      </c>
      <c r="B2512" s="2">
        <v>45318</v>
      </c>
      <c r="C2512" s="2">
        <v>45324</v>
      </c>
      <c r="D2512" t="s">
        <v>5212</v>
      </c>
      <c r="E2512" t="s">
        <v>5712</v>
      </c>
      <c r="F2512" t="s">
        <v>6027</v>
      </c>
      <c r="G2512" t="s">
        <v>6029</v>
      </c>
      <c r="H2512" t="s">
        <v>6045</v>
      </c>
      <c r="I2512" t="s">
        <v>6050</v>
      </c>
      <c r="J2512" t="s">
        <v>6053</v>
      </c>
      <c r="K2512" t="s">
        <v>6056</v>
      </c>
      <c r="L2512" t="s">
        <v>8253</v>
      </c>
      <c r="M2512">
        <v>1103.24</v>
      </c>
      <c r="N2512">
        <v>3</v>
      </c>
      <c r="O2512">
        <v>0.11</v>
      </c>
      <c r="P2512">
        <v>95.68</v>
      </c>
      <c r="Q2512" t="s">
        <v>9893</v>
      </c>
      <c r="R2512">
        <v>6</v>
      </c>
      <c r="S2512" s="5">
        <f t="shared" si="78"/>
        <v>8.6726369602262432E-2</v>
      </c>
      <c r="T2512">
        <v>367.74666666666673</v>
      </c>
      <c r="U2512">
        <v>1</v>
      </c>
      <c r="V2512">
        <v>2024</v>
      </c>
      <c r="W2512">
        <v>1</v>
      </c>
      <c r="X2512" t="s">
        <v>9899</v>
      </c>
      <c r="Y2512" t="s">
        <v>9901</v>
      </c>
      <c r="Z2512" t="s">
        <v>9898</v>
      </c>
      <c r="AD2512">
        <f t="shared" si="79"/>
        <v>6</v>
      </c>
    </row>
    <row r="2513" spans="1:30" x14ac:dyDescent="0.25">
      <c r="A2513" t="s">
        <v>2537</v>
      </c>
      <c r="B2513" s="2">
        <v>45160</v>
      </c>
      <c r="C2513" s="2">
        <v>45166</v>
      </c>
      <c r="D2513" t="s">
        <v>5356</v>
      </c>
      <c r="E2513" t="s">
        <v>5856</v>
      </c>
      <c r="F2513" t="s">
        <v>6028</v>
      </c>
      <c r="G2513" t="s">
        <v>6030</v>
      </c>
      <c r="H2513" t="s">
        <v>6035</v>
      </c>
      <c r="I2513" t="s">
        <v>6047</v>
      </c>
      <c r="J2513" t="s">
        <v>6055</v>
      </c>
      <c r="K2513" t="s">
        <v>6061</v>
      </c>
      <c r="L2513" t="s">
        <v>8254</v>
      </c>
      <c r="M2513">
        <v>1736.84</v>
      </c>
      <c r="N2513">
        <v>6</v>
      </c>
      <c r="O2513">
        <v>0.3</v>
      </c>
      <c r="P2513">
        <v>-340.95</v>
      </c>
      <c r="Q2513" t="s">
        <v>9893</v>
      </c>
      <c r="R2513">
        <v>6</v>
      </c>
      <c r="S2513" s="5">
        <f t="shared" si="78"/>
        <v>-0.19630478339973745</v>
      </c>
      <c r="T2513">
        <v>289.4733333333333</v>
      </c>
      <c r="U2513">
        <v>8</v>
      </c>
      <c r="V2513">
        <v>2023</v>
      </c>
      <c r="W2513">
        <v>3</v>
      </c>
      <c r="X2513" t="s">
        <v>9898</v>
      </c>
      <c r="Y2513" t="s">
        <v>9900</v>
      </c>
      <c r="Z2513" t="s">
        <v>9898</v>
      </c>
      <c r="AD2513">
        <f t="shared" si="79"/>
        <v>6</v>
      </c>
    </row>
    <row r="2514" spans="1:30" x14ac:dyDescent="0.25">
      <c r="A2514" t="s">
        <v>2538</v>
      </c>
      <c r="B2514" s="2">
        <v>45004</v>
      </c>
      <c r="C2514" s="2">
        <v>45010</v>
      </c>
      <c r="D2514" t="s">
        <v>5346</v>
      </c>
      <c r="E2514" t="s">
        <v>5846</v>
      </c>
      <c r="F2514" t="s">
        <v>6027</v>
      </c>
      <c r="G2514" t="s">
        <v>6031</v>
      </c>
      <c r="H2514" t="s">
        <v>6042</v>
      </c>
      <c r="I2514" t="s">
        <v>6052</v>
      </c>
      <c r="J2514" t="s">
        <v>6054</v>
      </c>
      <c r="K2514" t="s">
        <v>6059</v>
      </c>
      <c r="L2514" t="s">
        <v>7805</v>
      </c>
      <c r="M2514">
        <v>1628.93</v>
      </c>
      <c r="N2514">
        <v>6</v>
      </c>
      <c r="O2514">
        <v>0.28999999999999998</v>
      </c>
      <c r="P2514">
        <v>-189.17</v>
      </c>
      <c r="Q2514" t="s">
        <v>9894</v>
      </c>
      <c r="R2514">
        <v>6</v>
      </c>
      <c r="S2514" s="5">
        <f t="shared" si="78"/>
        <v>-0.11613144825130606</v>
      </c>
      <c r="T2514">
        <v>271.48833333333329</v>
      </c>
      <c r="U2514">
        <v>3</v>
      </c>
      <c r="V2514">
        <v>2023</v>
      </c>
      <c r="W2514">
        <v>1</v>
      </c>
      <c r="X2514" t="s">
        <v>9898</v>
      </c>
      <c r="Y2514" t="s">
        <v>9900</v>
      </c>
      <c r="Z2514" t="s">
        <v>9898</v>
      </c>
      <c r="AD2514">
        <f t="shared" si="79"/>
        <v>6</v>
      </c>
    </row>
    <row r="2515" spans="1:30" x14ac:dyDescent="0.25">
      <c r="A2515" t="s">
        <v>2539</v>
      </c>
      <c r="B2515" s="2">
        <v>45010</v>
      </c>
      <c r="C2515" s="2">
        <v>45016</v>
      </c>
      <c r="D2515" t="s">
        <v>5135</v>
      </c>
      <c r="E2515" t="s">
        <v>5635</v>
      </c>
      <c r="F2515" t="s">
        <v>6028</v>
      </c>
      <c r="G2515" t="s">
        <v>6031</v>
      </c>
      <c r="H2515" t="s">
        <v>6034</v>
      </c>
      <c r="I2515" t="s">
        <v>6050</v>
      </c>
      <c r="J2515" t="s">
        <v>6053</v>
      </c>
      <c r="K2515" t="s">
        <v>6056</v>
      </c>
      <c r="L2515" t="s">
        <v>7022</v>
      </c>
      <c r="M2515">
        <v>1491.41</v>
      </c>
      <c r="N2515">
        <v>4</v>
      </c>
      <c r="O2515">
        <v>0.06</v>
      </c>
      <c r="P2515">
        <v>298.16000000000003</v>
      </c>
      <c r="Q2515" t="s">
        <v>9896</v>
      </c>
      <c r="R2515">
        <v>6</v>
      </c>
      <c r="S2515" s="5">
        <f t="shared" si="78"/>
        <v>0.19991819821511189</v>
      </c>
      <c r="T2515">
        <v>372.85250000000002</v>
      </c>
      <c r="U2515">
        <v>3</v>
      </c>
      <c r="V2515">
        <v>2023</v>
      </c>
      <c r="W2515">
        <v>1</v>
      </c>
      <c r="X2515" t="s">
        <v>9899</v>
      </c>
      <c r="Y2515" t="s">
        <v>9901</v>
      </c>
      <c r="Z2515" t="s">
        <v>9898</v>
      </c>
      <c r="AD2515">
        <f t="shared" si="79"/>
        <v>6</v>
      </c>
    </row>
    <row r="2516" spans="1:30" x14ac:dyDescent="0.25">
      <c r="A2516" t="s">
        <v>2540</v>
      </c>
      <c r="B2516" s="2">
        <v>44995</v>
      </c>
      <c r="C2516" s="2">
        <v>45002</v>
      </c>
      <c r="D2516" t="s">
        <v>5170</v>
      </c>
      <c r="E2516" t="s">
        <v>5670</v>
      </c>
      <c r="F2516" t="s">
        <v>6026</v>
      </c>
      <c r="G2516" t="s">
        <v>6030</v>
      </c>
      <c r="H2516" t="s">
        <v>6033</v>
      </c>
      <c r="I2516" t="s">
        <v>6047</v>
      </c>
      <c r="J2516" t="s">
        <v>6053</v>
      </c>
      <c r="K2516" t="s">
        <v>6058</v>
      </c>
      <c r="L2516" t="s">
        <v>8255</v>
      </c>
      <c r="M2516">
        <v>105.11</v>
      </c>
      <c r="N2516">
        <v>5</v>
      </c>
      <c r="O2516">
        <v>0.08</v>
      </c>
      <c r="P2516">
        <v>18.41</v>
      </c>
      <c r="Q2516" t="s">
        <v>9895</v>
      </c>
      <c r="R2516">
        <v>7</v>
      </c>
      <c r="S2516" s="5">
        <f t="shared" si="78"/>
        <v>0.17514984302159642</v>
      </c>
      <c r="T2516">
        <v>21.021999999999998</v>
      </c>
      <c r="U2516">
        <v>3</v>
      </c>
      <c r="V2516">
        <v>2023</v>
      </c>
      <c r="W2516">
        <v>1</v>
      </c>
      <c r="X2516" t="s">
        <v>9899</v>
      </c>
      <c r="Y2516" t="s">
        <v>9901</v>
      </c>
      <c r="Z2516" t="s">
        <v>9899</v>
      </c>
      <c r="AD2516">
        <f t="shared" si="79"/>
        <v>7</v>
      </c>
    </row>
    <row r="2517" spans="1:30" x14ac:dyDescent="0.25">
      <c r="A2517" t="s">
        <v>2541</v>
      </c>
      <c r="B2517" s="2">
        <v>44996</v>
      </c>
      <c r="C2517" s="2">
        <v>44997</v>
      </c>
      <c r="D2517" t="s">
        <v>5162</v>
      </c>
      <c r="E2517" t="s">
        <v>5662</v>
      </c>
      <c r="F2517" t="s">
        <v>6027</v>
      </c>
      <c r="G2517" t="s">
        <v>6029</v>
      </c>
      <c r="H2517" t="s">
        <v>6044</v>
      </c>
      <c r="I2517" t="s">
        <v>6049</v>
      </c>
      <c r="J2517" t="s">
        <v>6053</v>
      </c>
      <c r="K2517" t="s">
        <v>6057</v>
      </c>
      <c r="L2517" t="s">
        <v>8256</v>
      </c>
      <c r="M2517">
        <v>1919.42</v>
      </c>
      <c r="N2517">
        <v>5</v>
      </c>
      <c r="O2517">
        <v>0.14000000000000001</v>
      </c>
      <c r="P2517">
        <v>193.45</v>
      </c>
      <c r="Q2517" t="s">
        <v>9893</v>
      </c>
      <c r="R2517">
        <v>1</v>
      </c>
      <c r="S2517" s="5">
        <f t="shared" si="78"/>
        <v>0.10078565399964572</v>
      </c>
      <c r="T2517">
        <v>383.88400000000001</v>
      </c>
      <c r="U2517">
        <v>3</v>
      </c>
      <c r="V2517">
        <v>2023</v>
      </c>
      <c r="W2517">
        <v>1</v>
      </c>
      <c r="X2517" t="s">
        <v>9899</v>
      </c>
      <c r="Y2517" t="s">
        <v>9901</v>
      </c>
      <c r="Z2517" t="s">
        <v>9898</v>
      </c>
      <c r="AD2517">
        <f t="shared" si="79"/>
        <v>1</v>
      </c>
    </row>
    <row r="2518" spans="1:30" x14ac:dyDescent="0.25">
      <c r="A2518" t="s">
        <v>2542</v>
      </c>
      <c r="B2518" s="2">
        <v>45012</v>
      </c>
      <c r="C2518" s="2">
        <v>45014</v>
      </c>
      <c r="D2518" t="s">
        <v>5074</v>
      </c>
      <c r="E2518" t="s">
        <v>5574</v>
      </c>
      <c r="F2518" t="s">
        <v>6026</v>
      </c>
      <c r="G2518" t="s">
        <v>6031</v>
      </c>
      <c r="H2518" t="s">
        <v>6042</v>
      </c>
      <c r="I2518" t="s">
        <v>6048</v>
      </c>
      <c r="J2518" t="s">
        <v>6054</v>
      </c>
      <c r="K2518" t="s">
        <v>6059</v>
      </c>
      <c r="L2518" t="s">
        <v>8257</v>
      </c>
      <c r="M2518">
        <v>1681.45</v>
      </c>
      <c r="N2518">
        <v>5</v>
      </c>
      <c r="O2518">
        <v>0.27</v>
      </c>
      <c r="P2518">
        <v>-158.38</v>
      </c>
      <c r="Q2518" t="s">
        <v>9893</v>
      </c>
      <c r="R2518">
        <v>2</v>
      </c>
      <c r="S2518" s="5">
        <f t="shared" si="78"/>
        <v>-9.4192512414880011E-2</v>
      </c>
      <c r="T2518">
        <v>336.29</v>
      </c>
      <c r="U2518">
        <v>3</v>
      </c>
      <c r="V2518">
        <v>2023</v>
      </c>
      <c r="W2518">
        <v>1</v>
      </c>
      <c r="X2518" t="s">
        <v>9898</v>
      </c>
      <c r="Y2518" t="s">
        <v>9900</v>
      </c>
      <c r="Z2518" t="s">
        <v>9898</v>
      </c>
      <c r="AD2518">
        <f t="shared" si="79"/>
        <v>2</v>
      </c>
    </row>
    <row r="2519" spans="1:30" x14ac:dyDescent="0.25">
      <c r="A2519" t="s">
        <v>2543</v>
      </c>
      <c r="B2519" s="2">
        <v>44791</v>
      </c>
      <c r="C2519" s="2">
        <v>44795</v>
      </c>
      <c r="D2519" t="s">
        <v>5177</v>
      </c>
      <c r="E2519" t="s">
        <v>5677</v>
      </c>
      <c r="F2519" t="s">
        <v>6027</v>
      </c>
      <c r="G2519" t="s">
        <v>6030</v>
      </c>
      <c r="H2519" t="s">
        <v>6033</v>
      </c>
      <c r="I2519" t="s">
        <v>6047</v>
      </c>
      <c r="J2519" t="s">
        <v>6054</v>
      </c>
      <c r="K2519" t="s">
        <v>6060</v>
      </c>
      <c r="L2519" t="s">
        <v>8258</v>
      </c>
      <c r="M2519">
        <v>819.51</v>
      </c>
      <c r="N2519">
        <v>2</v>
      </c>
      <c r="O2519">
        <v>0.12</v>
      </c>
      <c r="P2519">
        <v>135.46</v>
      </c>
      <c r="Q2519" t="s">
        <v>9896</v>
      </c>
      <c r="R2519">
        <v>4</v>
      </c>
      <c r="S2519" s="5">
        <f t="shared" si="78"/>
        <v>0.16529389513245721</v>
      </c>
      <c r="T2519">
        <v>409.755</v>
      </c>
      <c r="U2519">
        <v>8</v>
      </c>
      <c r="V2519">
        <v>2022</v>
      </c>
      <c r="W2519">
        <v>3</v>
      </c>
      <c r="X2519" t="s">
        <v>9899</v>
      </c>
      <c r="Y2519" t="s">
        <v>9901</v>
      </c>
      <c r="Z2519" t="s">
        <v>9899</v>
      </c>
      <c r="AD2519">
        <f t="shared" si="79"/>
        <v>4</v>
      </c>
    </row>
    <row r="2520" spans="1:30" x14ac:dyDescent="0.25">
      <c r="A2520" t="s">
        <v>2544</v>
      </c>
      <c r="B2520" s="2">
        <v>44716</v>
      </c>
      <c r="C2520" s="2">
        <v>44723</v>
      </c>
      <c r="D2520" t="s">
        <v>5465</v>
      </c>
      <c r="E2520" t="s">
        <v>5965</v>
      </c>
      <c r="F2520" t="s">
        <v>6027</v>
      </c>
      <c r="G2520" t="s">
        <v>6029</v>
      </c>
      <c r="H2520" t="s">
        <v>6032</v>
      </c>
      <c r="I2520" t="s">
        <v>6046</v>
      </c>
      <c r="J2520" t="s">
        <v>6053</v>
      </c>
      <c r="K2520" t="s">
        <v>6056</v>
      </c>
      <c r="L2520" t="s">
        <v>8259</v>
      </c>
      <c r="M2520">
        <v>1246.6600000000001</v>
      </c>
      <c r="N2520">
        <v>4</v>
      </c>
      <c r="O2520">
        <v>0.13</v>
      </c>
      <c r="P2520">
        <v>177.31</v>
      </c>
      <c r="Q2520" t="s">
        <v>9893</v>
      </c>
      <c r="R2520">
        <v>7</v>
      </c>
      <c r="S2520" s="5">
        <f t="shared" si="78"/>
        <v>0.14222803330499093</v>
      </c>
      <c r="T2520">
        <v>311.66500000000002</v>
      </c>
      <c r="U2520">
        <v>6</v>
      </c>
      <c r="V2520">
        <v>2022</v>
      </c>
      <c r="W2520">
        <v>2</v>
      </c>
      <c r="X2520" t="s">
        <v>9899</v>
      </c>
      <c r="Y2520" t="s">
        <v>9901</v>
      </c>
      <c r="Z2520" t="s">
        <v>9898</v>
      </c>
      <c r="AD2520">
        <f t="shared" si="79"/>
        <v>7</v>
      </c>
    </row>
    <row r="2521" spans="1:30" x14ac:dyDescent="0.25">
      <c r="A2521" t="s">
        <v>2545</v>
      </c>
      <c r="B2521" s="2">
        <v>44996</v>
      </c>
      <c r="C2521" s="2">
        <v>45000</v>
      </c>
      <c r="D2521" t="s">
        <v>5380</v>
      </c>
      <c r="E2521" t="s">
        <v>5880</v>
      </c>
      <c r="F2521" t="s">
        <v>6028</v>
      </c>
      <c r="G2521" t="s">
        <v>6030</v>
      </c>
      <c r="H2521" t="s">
        <v>6035</v>
      </c>
      <c r="I2521" t="s">
        <v>6051</v>
      </c>
      <c r="J2521" t="s">
        <v>6055</v>
      </c>
      <c r="K2521" t="s">
        <v>6064</v>
      </c>
      <c r="L2521" t="s">
        <v>6271</v>
      </c>
      <c r="M2521">
        <v>919.9</v>
      </c>
      <c r="N2521">
        <v>4</v>
      </c>
      <c r="O2521">
        <v>0.2</v>
      </c>
      <c r="P2521">
        <v>-57.87</v>
      </c>
      <c r="Q2521" t="s">
        <v>9896</v>
      </c>
      <c r="R2521">
        <v>4</v>
      </c>
      <c r="S2521" s="5">
        <f t="shared" si="78"/>
        <v>-6.290901184911403E-2</v>
      </c>
      <c r="T2521">
        <v>229.97499999999999</v>
      </c>
      <c r="U2521">
        <v>3</v>
      </c>
      <c r="V2521">
        <v>2023</v>
      </c>
      <c r="W2521">
        <v>1</v>
      </c>
      <c r="X2521" t="s">
        <v>9898</v>
      </c>
      <c r="Y2521" t="s">
        <v>9900</v>
      </c>
      <c r="Z2521" t="s">
        <v>9899</v>
      </c>
      <c r="AD2521">
        <f t="shared" si="79"/>
        <v>4</v>
      </c>
    </row>
    <row r="2522" spans="1:30" x14ac:dyDescent="0.25">
      <c r="A2522" t="s">
        <v>2546</v>
      </c>
      <c r="B2522" s="2">
        <v>45164</v>
      </c>
      <c r="C2522" s="2">
        <v>45165</v>
      </c>
      <c r="D2522" t="s">
        <v>5504</v>
      </c>
      <c r="E2522" t="s">
        <v>6004</v>
      </c>
      <c r="F2522" t="s">
        <v>6027</v>
      </c>
      <c r="G2522" t="s">
        <v>6029</v>
      </c>
      <c r="H2522" t="s">
        <v>6036</v>
      </c>
      <c r="I2522" t="s">
        <v>6050</v>
      </c>
      <c r="J2522" t="s">
        <v>6053</v>
      </c>
      <c r="K2522" t="s">
        <v>6057</v>
      </c>
      <c r="L2522" t="s">
        <v>8260</v>
      </c>
      <c r="M2522">
        <v>257.20999999999998</v>
      </c>
      <c r="N2522">
        <v>4</v>
      </c>
      <c r="O2522">
        <v>0.06</v>
      </c>
      <c r="P2522">
        <v>37.71</v>
      </c>
      <c r="Q2522" t="s">
        <v>9895</v>
      </c>
      <c r="R2522">
        <v>1</v>
      </c>
      <c r="S2522" s="5">
        <f t="shared" si="78"/>
        <v>0.14661171805139769</v>
      </c>
      <c r="T2522">
        <v>64.302499999999995</v>
      </c>
      <c r="U2522">
        <v>8</v>
      </c>
      <c r="V2522">
        <v>2023</v>
      </c>
      <c r="W2522">
        <v>3</v>
      </c>
      <c r="X2522" t="s">
        <v>9899</v>
      </c>
      <c r="Y2522" t="s">
        <v>9901</v>
      </c>
      <c r="Z2522" t="s">
        <v>9899</v>
      </c>
      <c r="AD2522">
        <f t="shared" si="79"/>
        <v>1</v>
      </c>
    </row>
    <row r="2523" spans="1:30" x14ac:dyDescent="0.25">
      <c r="A2523" t="s">
        <v>2547</v>
      </c>
      <c r="B2523" s="2">
        <v>44601</v>
      </c>
      <c r="C2523" s="2">
        <v>44605</v>
      </c>
      <c r="D2523" t="s">
        <v>5465</v>
      </c>
      <c r="E2523" t="s">
        <v>5965</v>
      </c>
      <c r="F2523" t="s">
        <v>6026</v>
      </c>
      <c r="G2523" t="s">
        <v>6029</v>
      </c>
      <c r="H2523" t="s">
        <v>6041</v>
      </c>
      <c r="I2523" t="s">
        <v>6049</v>
      </c>
      <c r="J2523" t="s">
        <v>6053</v>
      </c>
      <c r="K2523" t="s">
        <v>6058</v>
      </c>
      <c r="L2523" t="s">
        <v>8261</v>
      </c>
      <c r="M2523">
        <v>1639.71</v>
      </c>
      <c r="N2523">
        <v>1</v>
      </c>
      <c r="O2523">
        <v>0.3</v>
      </c>
      <c r="P2523">
        <v>-50.89</v>
      </c>
      <c r="Q2523" t="s">
        <v>9893</v>
      </c>
      <c r="R2523">
        <v>4</v>
      </c>
      <c r="S2523" s="5">
        <f t="shared" si="78"/>
        <v>-3.1035975873782557E-2</v>
      </c>
      <c r="T2523">
        <v>1639.71</v>
      </c>
      <c r="U2523">
        <v>2</v>
      </c>
      <c r="V2523">
        <v>2022</v>
      </c>
      <c r="W2523">
        <v>1</v>
      </c>
      <c r="X2523" t="s">
        <v>9898</v>
      </c>
      <c r="Y2523" t="s">
        <v>9900</v>
      </c>
      <c r="Z2523" t="s">
        <v>9898</v>
      </c>
      <c r="AD2523">
        <f t="shared" si="79"/>
        <v>4</v>
      </c>
    </row>
    <row r="2524" spans="1:30" x14ac:dyDescent="0.25">
      <c r="A2524" t="s">
        <v>2548</v>
      </c>
      <c r="B2524" s="2">
        <v>45200</v>
      </c>
      <c r="C2524" s="2">
        <v>45206</v>
      </c>
      <c r="D2524" t="s">
        <v>5437</v>
      </c>
      <c r="E2524" t="s">
        <v>5937</v>
      </c>
      <c r="F2524" t="s">
        <v>6026</v>
      </c>
      <c r="G2524" t="s">
        <v>6029</v>
      </c>
      <c r="H2524" t="s">
        <v>6036</v>
      </c>
      <c r="I2524" t="s">
        <v>6049</v>
      </c>
      <c r="J2524" t="s">
        <v>6054</v>
      </c>
      <c r="K2524" t="s">
        <v>6060</v>
      </c>
      <c r="L2524" t="s">
        <v>8262</v>
      </c>
      <c r="M2524">
        <v>1360.53</v>
      </c>
      <c r="N2524">
        <v>6</v>
      </c>
      <c r="O2524">
        <v>0.19</v>
      </c>
      <c r="P2524">
        <v>-3.92</v>
      </c>
      <c r="Q2524" t="s">
        <v>9896</v>
      </c>
      <c r="R2524">
        <v>6</v>
      </c>
      <c r="S2524" s="5">
        <f t="shared" si="78"/>
        <v>-2.8812301088546374E-3</v>
      </c>
      <c r="T2524">
        <v>226.755</v>
      </c>
      <c r="U2524">
        <v>10</v>
      </c>
      <c r="V2524">
        <v>2023</v>
      </c>
      <c r="W2524">
        <v>4</v>
      </c>
      <c r="X2524" t="s">
        <v>9898</v>
      </c>
      <c r="Y2524" t="s">
        <v>9900</v>
      </c>
      <c r="Z2524" t="s">
        <v>9898</v>
      </c>
      <c r="AD2524">
        <f t="shared" si="79"/>
        <v>6</v>
      </c>
    </row>
    <row r="2525" spans="1:30" x14ac:dyDescent="0.25">
      <c r="A2525" t="s">
        <v>2549</v>
      </c>
      <c r="B2525" s="2">
        <v>44631</v>
      </c>
      <c r="C2525" s="2">
        <v>44637</v>
      </c>
      <c r="D2525" t="s">
        <v>5065</v>
      </c>
      <c r="E2525" t="s">
        <v>5565</v>
      </c>
      <c r="F2525" t="s">
        <v>6028</v>
      </c>
      <c r="G2525" t="s">
        <v>6031</v>
      </c>
      <c r="H2525" t="s">
        <v>6034</v>
      </c>
      <c r="I2525" t="s">
        <v>6050</v>
      </c>
      <c r="J2525" t="s">
        <v>6054</v>
      </c>
      <c r="K2525" t="s">
        <v>6062</v>
      </c>
      <c r="L2525" t="s">
        <v>8263</v>
      </c>
      <c r="M2525">
        <v>1250.3599999999999</v>
      </c>
      <c r="N2525">
        <v>6</v>
      </c>
      <c r="O2525">
        <v>0.18</v>
      </c>
      <c r="P2525">
        <v>107.97</v>
      </c>
      <c r="Q2525" t="s">
        <v>9893</v>
      </c>
      <c r="R2525">
        <v>6</v>
      </c>
      <c r="S2525" s="5">
        <f t="shared" si="78"/>
        <v>8.6351130874308207E-2</v>
      </c>
      <c r="T2525">
        <v>208.39333333333329</v>
      </c>
      <c r="U2525">
        <v>3</v>
      </c>
      <c r="V2525">
        <v>2022</v>
      </c>
      <c r="W2525">
        <v>1</v>
      </c>
      <c r="X2525" t="s">
        <v>9899</v>
      </c>
      <c r="Y2525" t="s">
        <v>9900</v>
      </c>
      <c r="Z2525" t="s">
        <v>9898</v>
      </c>
      <c r="AD2525">
        <f t="shared" si="79"/>
        <v>6</v>
      </c>
    </row>
    <row r="2526" spans="1:30" x14ac:dyDescent="0.25">
      <c r="A2526" t="s">
        <v>2550</v>
      </c>
      <c r="B2526" s="2">
        <v>44779</v>
      </c>
      <c r="C2526" s="2">
        <v>44781</v>
      </c>
      <c r="D2526" t="s">
        <v>5253</v>
      </c>
      <c r="E2526" t="s">
        <v>5753</v>
      </c>
      <c r="F2526" t="s">
        <v>6027</v>
      </c>
      <c r="G2526" t="s">
        <v>6029</v>
      </c>
      <c r="H2526" t="s">
        <v>6044</v>
      </c>
      <c r="I2526" t="s">
        <v>6046</v>
      </c>
      <c r="J2526" t="s">
        <v>6054</v>
      </c>
      <c r="K2526" t="s">
        <v>6059</v>
      </c>
      <c r="L2526" t="s">
        <v>8264</v>
      </c>
      <c r="M2526">
        <v>1324.95</v>
      </c>
      <c r="N2526">
        <v>8</v>
      </c>
      <c r="O2526">
        <v>0.08</v>
      </c>
      <c r="P2526">
        <v>134.27000000000001</v>
      </c>
      <c r="Q2526" t="s">
        <v>9896</v>
      </c>
      <c r="R2526">
        <v>2</v>
      </c>
      <c r="S2526" s="5">
        <f t="shared" si="78"/>
        <v>0.10133967319521492</v>
      </c>
      <c r="T2526">
        <v>165.61875000000001</v>
      </c>
      <c r="U2526">
        <v>8</v>
      </c>
      <c r="V2526">
        <v>2022</v>
      </c>
      <c r="W2526">
        <v>3</v>
      </c>
      <c r="X2526" t="s">
        <v>9899</v>
      </c>
      <c r="Y2526" t="s">
        <v>9901</v>
      </c>
      <c r="Z2526" t="s">
        <v>9898</v>
      </c>
      <c r="AD2526">
        <f t="shared" si="79"/>
        <v>2</v>
      </c>
    </row>
    <row r="2527" spans="1:30" x14ac:dyDescent="0.25">
      <c r="A2527" t="s">
        <v>2551</v>
      </c>
      <c r="B2527" s="2">
        <v>45444</v>
      </c>
      <c r="C2527" s="2">
        <v>45446</v>
      </c>
      <c r="D2527" t="s">
        <v>5471</v>
      </c>
      <c r="E2527" t="s">
        <v>5971</v>
      </c>
      <c r="F2527" t="s">
        <v>6028</v>
      </c>
      <c r="G2527" t="s">
        <v>6029</v>
      </c>
      <c r="H2527" t="s">
        <v>6036</v>
      </c>
      <c r="I2527" t="s">
        <v>6046</v>
      </c>
      <c r="J2527" t="s">
        <v>6053</v>
      </c>
      <c r="K2527" t="s">
        <v>6057</v>
      </c>
      <c r="L2527" t="s">
        <v>8265</v>
      </c>
      <c r="M2527">
        <v>1062.3399999999999</v>
      </c>
      <c r="N2527">
        <v>8</v>
      </c>
      <c r="O2527">
        <v>0.23</v>
      </c>
      <c r="P2527">
        <v>-9.7100000000000009</v>
      </c>
      <c r="Q2527" t="s">
        <v>9893</v>
      </c>
      <c r="R2527">
        <v>2</v>
      </c>
      <c r="S2527" s="5">
        <f t="shared" si="78"/>
        <v>-9.1401999359903632E-3</v>
      </c>
      <c r="T2527">
        <v>132.79249999999999</v>
      </c>
      <c r="U2527">
        <v>6</v>
      </c>
      <c r="V2527">
        <v>2024</v>
      </c>
      <c r="W2527">
        <v>2</v>
      </c>
      <c r="X2527" t="s">
        <v>9898</v>
      </c>
      <c r="Y2527" t="s">
        <v>9900</v>
      </c>
      <c r="Z2527" t="s">
        <v>9898</v>
      </c>
      <c r="AD2527">
        <f t="shared" si="79"/>
        <v>2</v>
      </c>
    </row>
    <row r="2528" spans="1:30" x14ac:dyDescent="0.25">
      <c r="A2528" t="s">
        <v>2552</v>
      </c>
      <c r="B2528" s="2">
        <v>45309</v>
      </c>
      <c r="C2528" s="2">
        <v>45311</v>
      </c>
      <c r="D2528" t="s">
        <v>5153</v>
      </c>
      <c r="E2528" t="s">
        <v>5653</v>
      </c>
      <c r="F2528" t="s">
        <v>6027</v>
      </c>
      <c r="G2528" t="s">
        <v>6030</v>
      </c>
      <c r="H2528" t="s">
        <v>6038</v>
      </c>
      <c r="I2528" t="s">
        <v>6047</v>
      </c>
      <c r="J2528" t="s">
        <v>6054</v>
      </c>
      <c r="K2528" t="s">
        <v>6062</v>
      </c>
      <c r="L2528" t="s">
        <v>8266</v>
      </c>
      <c r="M2528">
        <v>230.12</v>
      </c>
      <c r="N2528">
        <v>1</v>
      </c>
      <c r="O2528">
        <v>0.13</v>
      </c>
      <c r="P2528">
        <v>28.6</v>
      </c>
      <c r="Q2528" t="s">
        <v>9893</v>
      </c>
      <c r="R2528">
        <v>2</v>
      </c>
      <c r="S2528" s="5">
        <f t="shared" si="78"/>
        <v>0.124282982791587</v>
      </c>
      <c r="T2528">
        <v>230.12</v>
      </c>
      <c r="U2528">
        <v>1</v>
      </c>
      <c r="V2528">
        <v>2024</v>
      </c>
      <c r="W2528">
        <v>1</v>
      </c>
      <c r="X2528" t="s">
        <v>9899</v>
      </c>
      <c r="Y2528" t="s">
        <v>9901</v>
      </c>
      <c r="Z2528" t="s">
        <v>9899</v>
      </c>
      <c r="AD2528">
        <f t="shared" si="79"/>
        <v>2</v>
      </c>
    </row>
    <row r="2529" spans="1:30" x14ac:dyDescent="0.25">
      <c r="A2529" t="s">
        <v>2553</v>
      </c>
      <c r="B2529" s="2">
        <v>44617</v>
      </c>
      <c r="C2529" s="2">
        <v>44622</v>
      </c>
      <c r="D2529" t="s">
        <v>5394</v>
      </c>
      <c r="E2529" t="s">
        <v>5894</v>
      </c>
      <c r="F2529" t="s">
        <v>6027</v>
      </c>
      <c r="G2529" t="s">
        <v>6030</v>
      </c>
      <c r="H2529" t="s">
        <v>6038</v>
      </c>
      <c r="I2529" t="s">
        <v>6051</v>
      </c>
      <c r="J2529" t="s">
        <v>6054</v>
      </c>
      <c r="K2529" t="s">
        <v>6060</v>
      </c>
      <c r="L2529" t="s">
        <v>8267</v>
      </c>
      <c r="M2529">
        <v>984.39</v>
      </c>
      <c r="N2529">
        <v>8</v>
      </c>
      <c r="O2529">
        <v>0.06</v>
      </c>
      <c r="P2529">
        <v>201.29</v>
      </c>
      <c r="Q2529" t="s">
        <v>9897</v>
      </c>
      <c r="R2529">
        <v>5</v>
      </c>
      <c r="S2529" s="5">
        <f t="shared" si="78"/>
        <v>0.20448196344944586</v>
      </c>
      <c r="T2529">
        <v>123.04875</v>
      </c>
      <c r="U2529">
        <v>2</v>
      </c>
      <c r="V2529">
        <v>2022</v>
      </c>
      <c r="W2529">
        <v>1</v>
      </c>
      <c r="X2529" t="s">
        <v>9899</v>
      </c>
      <c r="Y2529" t="s">
        <v>9901</v>
      </c>
      <c r="Z2529" t="s">
        <v>9899</v>
      </c>
      <c r="AD2529">
        <f t="shared" si="79"/>
        <v>5</v>
      </c>
    </row>
    <row r="2530" spans="1:30" x14ac:dyDescent="0.25">
      <c r="A2530" t="s">
        <v>2554</v>
      </c>
      <c r="B2530" s="2">
        <v>44976</v>
      </c>
      <c r="C2530" s="2">
        <v>44978</v>
      </c>
      <c r="D2530" t="s">
        <v>5180</v>
      </c>
      <c r="E2530" t="s">
        <v>5680</v>
      </c>
      <c r="F2530" t="s">
        <v>6028</v>
      </c>
      <c r="G2530" t="s">
        <v>6031</v>
      </c>
      <c r="H2530" t="s">
        <v>6037</v>
      </c>
      <c r="I2530" t="s">
        <v>6052</v>
      </c>
      <c r="J2530" t="s">
        <v>6054</v>
      </c>
      <c r="K2530" t="s">
        <v>6062</v>
      </c>
      <c r="L2530" t="s">
        <v>7190</v>
      </c>
      <c r="M2530">
        <v>1281.1400000000001</v>
      </c>
      <c r="N2530">
        <v>6</v>
      </c>
      <c r="O2530">
        <v>0.06</v>
      </c>
      <c r="P2530">
        <v>249.6</v>
      </c>
      <c r="Q2530" t="s">
        <v>9893</v>
      </c>
      <c r="R2530">
        <v>2</v>
      </c>
      <c r="S2530" s="5">
        <f t="shared" si="78"/>
        <v>0.19482648266387748</v>
      </c>
      <c r="T2530">
        <v>213.52333333333331</v>
      </c>
      <c r="U2530">
        <v>2</v>
      </c>
      <c r="V2530">
        <v>2023</v>
      </c>
      <c r="W2530">
        <v>1</v>
      </c>
      <c r="X2530" t="s">
        <v>9899</v>
      </c>
      <c r="Y2530" t="s">
        <v>9901</v>
      </c>
      <c r="Z2530" t="s">
        <v>9898</v>
      </c>
      <c r="AD2530">
        <f t="shared" si="79"/>
        <v>2</v>
      </c>
    </row>
    <row r="2531" spans="1:30" x14ac:dyDescent="0.25">
      <c r="A2531" t="s">
        <v>2555</v>
      </c>
      <c r="B2531" s="2">
        <v>44663</v>
      </c>
      <c r="C2531" s="2">
        <v>44667</v>
      </c>
      <c r="D2531" t="s">
        <v>5342</v>
      </c>
      <c r="E2531" t="s">
        <v>5842</v>
      </c>
      <c r="F2531" t="s">
        <v>6028</v>
      </c>
      <c r="G2531" t="s">
        <v>6031</v>
      </c>
      <c r="H2531" t="s">
        <v>6043</v>
      </c>
      <c r="I2531" t="s">
        <v>6052</v>
      </c>
      <c r="J2531" t="s">
        <v>6055</v>
      </c>
      <c r="K2531" t="s">
        <v>6061</v>
      </c>
      <c r="L2531" t="s">
        <v>8268</v>
      </c>
      <c r="M2531">
        <v>1533.1</v>
      </c>
      <c r="N2531">
        <v>7</v>
      </c>
      <c r="O2531">
        <v>0.16</v>
      </c>
      <c r="P2531">
        <v>-41.26</v>
      </c>
      <c r="Q2531" t="s">
        <v>9897</v>
      </c>
      <c r="R2531">
        <v>4</v>
      </c>
      <c r="S2531" s="5">
        <f t="shared" si="78"/>
        <v>-2.6912791076903007E-2</v>
      </c>
      <c r="T2531">
        <v>219.01428571428571</v>
      </c>
      <c r="U2531">
        <v>4</v>
      </c>
      <c r="V2531">
        <v>2022</v>
      </c>
      <c r="W2531">
        <v>2</v>
      </c>
      <c r="X2531" t="s">
        <v>9898</v>
      </c>
      <c r="Y2531" t="s">
        <v>9900</v>
      </c>
      <c r="Z2531" t="s">
        <v>9898</v>
      </c>
      <c r="AD2531">
        <f t="shared" si="79"/>
        <v>4</v>
      </c>
    </row>
    <row r="2532" spans="1:30" x14ac:dyDescent="0.25">
      <c r="A2532" t="s">
        <v>2556</v>
      </c>
      <c r="B2532" s="2">
        <v>44616</v>
      </c>
      <c r="C2532" s="2">
        <v>44622</v>
      </c>
      <c r="D2532" t="s">
        <v>5430</v>
      </c>
      <c r="E2532" t="s">
        <v>5930</v>
      </c>
      <c r="F2532" t="s">
        <v>6028</v>
      </c>
      <c r="G2532" t="s">
        <v>6030</v>
      </c>
      <c r="H2532" t="s">
        <v>6038</v>
      </c>
      <c r="I2532" t="s">
        <v>6051</v>
      </c>
      <c r="J2532" t="s">
        <v>6055</v>
      </c>
      <c r="K2532" t="s">
        <v>6064</v>
      </c>
      <c r="L2532" t="s">
        <v>6673</v>
      </c>
      <c r="M2532">
        <v>289.43</v>
      </c>
      <c r="N2532">
        <v>4</v>
      </c>
      <c r="O2532">
        <v>0.33</v>
      </c>
      <c r="P2532">
        <v>-49.57</v>
      </c>
      <c r="Q2532" t="s">
        <v>9893</v>
      </c>
      <c r="R2532">
        <v>6</v>
      </c>
      <c r="S2532" s="5">
        <f t="shared" si="78"/>
        <v>-0.17126766402929897</v>
      </c>
      <c r="T2532">
        <v>72.357500000000002</v>
      </c>
      <c r="U2532">
        <v>2</v>
      </c>
      <c r="V2532">
        <v>2022</v>
      </c>
      <c r="W2532">
        <v>1</v>
      </c>
      <c r="X2532" t="s">
        <v>9898</v>
      </c>
      <c r="Y2532" t="s">
        <v>9902</v>
      </c>
      <c r="Z2532" t="s">
        <v>9899</v>
      </c>
      <c r="AD2532">
        <f t="shared" si="79"/>
        <v>6</v>
      </c>
    </row>
    <row r="2533" spans="1:30" x14ac:dyDescent="0.25">
      <c r="A2533" t="s">
        <v>2557</v>
      </c>
      <c r="B2533" s="2">
        <v>44864</v>
      </c>
      <c r="C2533" s="2">
        <v>44870</v>
      </c>
      <c r="D2533" t="s">
        <v>5296</v>
      </c>
      <c r="E2533" t="s">
        <v>5796</v>
      </c>
      <c r="F2533" t="s">
        <v>6028</v>
      </c>
      <c r="G2533" t="s">
        <v>6029</v>
      </c>
      <c r="H2533" t="s">
        <v>6036</v>
      </c>
      <c r="I2533" t="s">
        <v>6050</v>
      </c>
      <c r="J2533" t="s">
        <v>6055</v>
      </c>
      <c r="K2533" t="s">
        <v>6061</v>
      </c>
      <c r="L2533" t="s">
        <v>8269</v>
      </c>
      <c r="M2533">
        <v>1563.06</v>
      </c>
      <c r="N2533">
        <v>7</v>
      </c>
      <c r="O2533">
        <v>0.16</v>
      </c>
      <c r="P2533">
        <v>-38.75</v>
      </c>
      <c r="Q2533" t="s">
        <v>9894</v>
      </c>
      <c r="R2533">
        <v>6</v>
      </c>
      <c r="S2533" s="5">
        <f t="shared" si="78"/>
        <v>-2.4791114864432588E-2</v>
      </c>
      <c r="T2533">
        <v>223.29428571428571</v>
      </c>
      <c r="U2533">
        <v>10</v>
      </c>
      <c r="V2533">
        <v>2022</v>
      </c>
      <c r="W2533">
        <v>4</v>
      </c>
      <c r="X2533" t="s">
        <v>9898</v>
      </c>
      <c r="Y2533" t="s">
        <v>9900</v>
      </c>
      <c r="Z2533" t="s">
        <v>9898</v>
      </c>
      <c r="AD2533">
        <f t="shared" si="79"/>
        <v>6</v>
      </c>
    </row>
    <row r="2534" spans="1:30" x14ac:dyDescent="0.25">
      <c r="A2534" t="s">
        <v>2558</v>
      </c>
      <c r="B2534" s="2">
        <v>45046</v>
      </c>
      <c r="C2534" s="2">
        <v>45048</v>
      </c>
      <c r="D2534" t="s">
        <v>5112</v>
      </c>
      <c r="E2534" t="s">
        <v>5612</v>
      </c>
      <c r="F2534" t="s">
        <v>6026</v>
      </c>
      <c r="G2534" t="s">
        <v>6030</v>
      </c>
      <c r="H2534" t="s">
        <v>6033</v>
      </c>
      <c r="I2534" t="s">
        <v>6051</v>
      </c>
      <c r="J2534" t="s">
        <v>6053</v>
      </c>
      <c r="K2534" t="s">
        <v>6058</v>
      </c>
      <c r="L2534" t="s">
        <v>8270</v>
      </c>
      <c r="M2534">
        <v>1341.72</v>
      </c>
      <c r="N2534">
        <v>8</v>
      </c>
      <c r="O2534">
        <v>0.13</v>
      </c>
      <c r="P2534">
        <v>196.88</v>
      </c>
      <c r="Q2534" t="s">
        <v>9893</v>
      </c>
      <c r="R2534">
        <v>2</v>
      </c>
      <c r="S2534" s="5">
        <f t="shared" si="78"/>
        <v>0.14673702411829592</v>
      </c>
      <c r="T2534">
        <v>167.715</v>
      </c>
      <c r="U2534">
        <v>4</v>
      </c>
      <c r="V2534">
        <v>2023</v>
      </c>
      <c r="W2534">
        <v>2</v>
      </c>
      <c r="X2534" t="s">
        <v>9899</v>
      </c>
      <c r="Y2534" t="s">
        <v>9901</v>
      </c>
      <c r="Z2534" t="s">
        <v>9898</v>
      </c>
      <c r="AD2534">
        <f t="shared" si="79"/>
        <v>2</v>
      </c>
    </row>
    <row r="2535" spans="1:30" x14ac:dyDescent="0.25">
      <c r="A2535" t="s">
        <v>2559</v>
      </c>
      <c r="B2535" s="2">
        <v>45405</v>
      </c>
      <c r="C2535" s="2">
        <v>45409</v>
      </c>
      <c r="D2535" t="s">
        <v>5094</v>
      </c>
      <c r="E2535" t="s">
        <v>5594</v>
      </c>
      <c r="F2535" t="s">
        <v>6026</v>
      </c>
      <c r="G2535" t="s">
        <v>6031</v>
      </c>
      <c r="H2535" t="s">
        <v>6042</v>
      </c>
      <c r="I2535" t="s">
        <v>6052</v>
      </c>
      <c r="J2535" t="s">
        <v>6055</v>
      </c>
      <c r="K2535" t="s">
        <v>6063</v>
      </c>
      <c r="L2535" t="s">
        <v>8271</v>
      </c>
      <c r="M2535">
        <v>1753.02</v>
      </c>
      <c r="N2535">
        <v>2</v>
      </c>
      <c r="O2535">
        <v>0.02</v>
      </c>
      <c r="P2535">
        <v>231.43</v>
      </c>
      <c r="Q2535" t="s">
        <v>9894</v>
      </c>
      <c r="R2535">
        <v>4</v>
      </c>
      <c r="S2535" s="5">
        <f t="shared" si="78"/>
        <v>0.13201788912847542</v>
      </c>
      <c r="T2535">
        <v>876.51</v>
      </c>
      <c r="U2535">
        <v>4</v>
      </c>
      <c r="V2535">
        <v>2024</v>
      </c>
      <c r="W2535">
        <v>2</v>
      </c>
      <c r="X2535" t="s">
        <v>9899</v>
      </c>
      <c r="Y2535" t="s">
        <v>9901</v>
      </c>
      <c r="Z2535" t="s">
        <v>9898</v>
      </c>
      <c r="AD2535">
        <f t="shared" si="79"/>
        <v>4</v>
      </c>
    </row>
    <row r="2536" spans="1:30" x14ac:dyDescent="0.25">
      <c r="A2536" t="s">
        <v>2560</v>
      </c>
      <c r="B2536" s="2">
        <v>44804</v>
      </c>
      <c r="C2536" s="2">
        <v>44807</v>
      </c>
      <c r="D2536" t="s">
        <v>5392</v>
      </c>
      <c r="E2536" t="s">
        <v>5892</v>
      </c>
      <c r="F2536" t="s">
        <v>6026</v>
      </c>
      <c r="G2536" t="s">
        <v>6031</v>
      </c>
      <c r="H2536" t="s">
        <v>6043</v>
      </c>
      <c r="I2536" t="s">
        <v>6048</v>
      </c>
      <c r="J2536" t="s">
        <v>6053</v>
      </c>
      <c r="K2536" t="s">
        <v>6057</v>
      </c>
      <c r="L2536" t="s">
        <v>8272</v>
      </c>
      <c r="M2536">
        <v>1169.17</v>
      </c>
      <c r="N2536">
        <v>1</v>
      </c>
      <c r="O2536">
        <v>0.21</v>
      </c>
      <c r="P2536">
        <v>11.29</v>
      </c>
      <c r="Q2536" t="s">
        <v>9894</v>
      </c>
      <c r="R2536">
        <v>3</v>
      </c>
      <c r="S2536" s="5">
        <f t="shared" si="78"/>
        <v>9.6564229325076748E-3</v>
      </c>
      <c r="T2536">
        <v>1169.17</v>
      </c>
      <c r="U2536">
        <v>8</v>
      </c>
      <c r="V2536">
        <v>2022</v>
      </c>
      <c r="W2536">
        <v>3</v>
      </c>
      <c r="X2536" t="s">
        <v>9899</v>
      </c>
      <c r="Y2536" t="s">
        <v>9900</v>
      </c>
      <c r="Z2536" t="s">
        <v>9898</v>
      </c>
      <c r="AD2536">
        <f t="shared" si="79"/>
        <v>3</v>
      </c>
    </row>
    <row r="2537" spans="1:30" x14ac:dyDescent="0.25">
      <c r="A2537" t="s">
        <v>2561</v>
      </c>
      <c r="B2537" s="2">
        <v>45251</v>
      </c>
      <c r="C2537" s="2">
        <v>45258</v>
      </c>
      <c r="D2537" t="s">
        <v>5402</v>
      </c>
      <c r="E2537" t="s">
        <v>5902</v>
      </c>
      <c r="F2537" t="s">
        <v>6028</v>
      </c>
      <c r="G2537" t="s">
        <v>6029</v>
      </c>
      <c r="H2537" t="s">
        <v>6036</v>
      </c>
      <c r="I2537" t="s">
        <v>6050</v>
      </c>
      <c r="J2537" t="s">
        <v>6055</v>
      </c>
      <c r="K2537" t="s">
        <v>6063</v>
      </c>
      <c r="L2537" t="s">
        <v>8273</v>
      </c>
      <c r="M2537">
        <v>1323.47</v>
      </c>
      <c r="N2537">
        <v>3</v>
      </c>
      <c r="O2537">
        <v>0.15</v>
      </c>
      <c r="P2537">
        <v>29.99</v>
      </c>
      <c r="Q2537" t="s">
        <v>9895</v>
      </c>
      <c r="R2537">
        <v>7</v>
      </c>
      <c r="S2537" s="5">
        <f t="shared" si="78"/>
        <v>2.2660128299092537E-2</v>
      </c>
      <c r="T2537">
        <v>441.15666666666669</v>
      </c>
      <c r="U2537">
        <v>11</v>
      </c>
      <c r="V2537">
        <v>2023</v>
      </c>
      <c r="W2537">
        <v>4</v>
      </c>
      <c r="X2537" t="s">
        <v>9899</v>
      </c>
      <c r="Y2537" t="s">
        <v>9901</v>
      </c>
      <c r="Z2537" t="s">
        <v>9898</v>
      </c>
      <c r="AD2537">
        <f t="shared" si="79"/>
        <v>7</v>
      </c>
    </row>
    <row r="2538" spans="1:30" x14ac:dyDescent="0.25">
      <c r="A2538" t="s">
        <v>2562</v>
      </c>
      <c r="B2538" s="2">
        <v>45191</v>
      </c>
      <c r="C2538" s="2">
        <v>45193</v>
      </c>
      <c r="D2538" t="s">
        <v>5407</v>
      </c>
      <c r="E2538" t="s">
        <v>5907</v>
      </c>
      <c r="F2538" t="s">
        <v>6027</v>
      </c>
      <c r="G2538" t="s">
        <v>6030</v>
      </c>
      <c r="H2538" t="s">
        <v>6038</v>
      </c>
      <c r="I2538" t="s">
        <v>6047</v>
      </c>
      <c r="J2538" t="s">
        <v>6055</v>
      </c>
      <c r="K2538" t="s">
        <v>6063</v>
      </c>
      <c r="L2538" t="s">
        <v>6731</v>
      </c>
      <c r="M2538">
        <v>1240.83</v>
      </c>
      <c r="N2538">
        <v>5</v>
      </c>
      <c r="O2538">
        <v>0.06</v>
      </c>
      <c r="P2538">
        <v>224.49</v>
      </c>
      <c r="Q2538" t="s">
        <v>9896</v>
      </c>
      <c r="R2538">
        <v>2</v>
      </c>
      <c r="S2538" s="5">
        <f t="shared" si="78"/>
        <v>0.18091922342303138</v>
      </c>
      <c r="T2538">
        <v>248.166</v>
      </c>
      <c r="U2538">
        <v>9</v>
      </c>
      <c r="V2538">
        <v>2023</v>
      </c>
      <c r="W2538">
        <v>3</v>
      </c>
      <c r="X2538" t="s">
        <v>9899</v>
      </c>
      <c r="Y2538" t="s">
        <v>9901</v>
      </c>
      <c r="Z2538" t="s">
        <v>9898</v>
      </c>
      <c r="AD2538">
        <f t="shared" si="79"/>
        <v>2</v>
      </c>
    </row>
    <row r="2539" spans="1:30" x14ac:dyDescent="0.25">
      <c r="A2539" t="s">
        <v>2563</v>
      </c>
      <c r="B2539" s="2">
        <v>45449</v>
      </c>
      <c r="C2539" s="2">
        <v>45453</v>
      </c>
      <c r="D2539" t="s">
        <v>5517</v>
      </c>
      <c r="E2539" t="s">
        <v>6017</v>
      </c>
      <c r="F2539" t="s">
        <v>6028</v>
      </c>
      <c r="G2539" t="s">
        <v>6031</v>
      </c>
      <c r="H2539" t="s">
        <v>6043</v>
      </c>
      <c r="I2539" t="s">
        <v>6052</v>
      </c>
      <c r="J2539" t="s">
        <v>6055</v>
      </c>
      <c r="K2539" t="s">
        <v>6061</v>
      </c>
      <c r="L2539" t="s">
        <v>8274</v>
      </c>
      <c r="M2539">
        <v>347.96</v>
      </c>
      <c r="N2539">
        <v>6</v>
      </c>
      <c r="O2539">
        <v>0.28999999999999998</v>
      </c>
      <c r="P2539">
        <v>-7.29</v>
      </c>
      <c r="Q2539" t="s">
        <v>9894</v>
      </c>
      <c r="R2539">
        <v>4</v>
      </c>
      <c r="S2539" s="5">
        <f t="shared" si="78"/>
        <v>-2.0950683986665136E-2</v>
      </c>
      <c r="T2539">
        <v>57.993333333333332</v>
      </c>
      <c r="U2539">
        <v>6</v>
      </c>
      <c r="V2539">
        <v>2024</v>
      </c>
      <c r="W2539">
        <v>2</v>
      </c>
      <c r="X2539" t="s">
        <v>9898</v>
      </c>
      <c r="Y2539" t="s">
        <v>9900</v>
      </c>
      <c r="Z2539" t="s">
        <v>9899</v>
      </c>
      <c r="AD2539">
        <f t="shared" si="79"/>
        <v>4</v>
      </c>
    </row>
    <row r="2540" spans="1:30" x14ac:dyDescent="0.25">
      <c r="A2540" t="s">
        <v>2564</v>
      </c>
      <c r="B2540" s="2">
        <v>44655</v>
      </c>
      <c r="C2540" s="2">
        <v>44660</v>
      </c>
      <c r="D2540" t="s">
        <v>5198</v>
      </c>
      <c r="E2540" t="s">
        <v>5698</v>
      </c>
      <c r="F2540" t="s">
        <v>6028</v>
      </c>
      <c r="G2540" t="s">
        <v>6029</v>
      </c>
      <c r="H2540" t="s">
        <v>6045</v>
      </c>
      <c r="I2540" t="s">
        <v>6050</v>
      </c>
      <c r="J2540" t="s">
        <v>6055</v>
      </c>
      <c r="K2540" t="s">
        <v>6064</v>
      </c>
      <c r="L2540" t="s">
        <v>7618</v>
      </c>
      <c r="M2540">
        <v>1522.21</v>
      </c>
      <c r="N2540">
        <v>7</v>
      </c>
      <c r="O2540">
        <v>0.26</v>
      </c>
      <c r="P2540">
        <v>-155.62</v>
      </c>
      <c r="Q2540" t="s">
        <v>9896</v>
      </c>
      <c r="R2540">
        <v>5</v>
      </c>
      <c r="S2540" s="5">
        <f t="shared" si="78"/>
        <v>-0.10223293763672556</v>
      </c>
      <c r="T2540">
        <v>217.45857142857139</v>
      </c>
      <c r="U2540">
        <v>4</v>
      </c>
      <c r="V2540">
        <v>2022</v>
      </c>
      <c r="W2540">
        <v>2</v>
      </c>
      <c r="X2540" t="s">
        <v>9898</v>
      </c>
      <c r="Y2540" t="s">
        <v>9900</v>
      </c>
      <c r="Z2540" t="s">
        <v>9898</v>
      </c>
      <c r="AD2540">
        <f t="shared" si="79"/>
        <v>5</v>
      </c>
    </row>
    <row r="2541" spans="1:30" x14ac:dyDescent="0.25">
      <c r="A2541" t="s">
        <v>2565</v>
      </c>
      <c r="B2541" s="2">
        <v>45317</v>
      </c>
      <c r="C2541" s="2">
        <v>45320</v>
      </c>
      <c r="D2541" t="s">
        <v>5491</v>
      </c>
      <c r="E2541" t="s">
        <v>5991</v>
      </c>
      <c r="F2541" t="s">
        <v>6028</v>
      </c>
      <c r="G2541" t="s">
        <v>6031</v>
      </c>
      <c r="H2541" t="s">
        <v>6042</v>
      </c>
      <c r="I2541" t="s">
        <v>6048</v>
      </c>
      <c r="J2541" t="s">
        <v>6055</v>
      </c>
      <c r="K2541" t="s">
        <v>6064</v>
      </c>
      <c r="L2541" t="s">
        <v>8275</v>
      </c>
      <c r="M2541">
        <v>1101.8599999999999</v>
      </c>
      <c r="N2541">
        <v>4</v>
      </c>
      <c r="O2541">
        <v>0.05</v>
      </c>
      <c r="P2541">
        <v>102.75</v>
      </c>
      <c r="Q2541" t="s">
        <v>9893</v>
      </c>
      <c r="R2541">
        <v>3</v>
      </c>
      <c r="S2541" s="5">
        <f t="shared" si="78"/>
        <v>9.325141125006807E-2</v>
      </c>
      <c r="T2541">
        <v>275.46499999999997</v>
      </c>
      <c r="U2541">
        <v>1</v>
      </c>
      <c r="V2541">
        <v>2024</v>
      </c>
      <c r="W2541">
        <v>1</v>
      </c>
      <c r="X2541" t="s">
        <v>9899</v>
      </c>
      <c r="Y2541" t="s">
        <v>9901</v>
      </c>
      <c r="Z2541" t="s">
        <v>9898</v>
      </c>
      <c r="AD2541">
        <f t="shared" si="79"/>
        <v>3</v>
      </c>
    </row>
    <row r="2542" spans="1:30" x14ac:dyDescent="0.25">
      <c r="A2542" t="s">
        <v>2566</v>
      </c>
      <c r="B2542" s="2">
        <v>44809</v>
      </c>
      <c r="C2542" s="2">
        <v>44812</v>
      </c>
      <c r="D2542" t="s">
        <v>5520</v>
      </c>
      <c r="E2542" t="s">
        <v>6020</v>
      </c>
      <c r="F2542" t="s">
        <v>6027</v>
      </c>
      <c r="G2542" t="s">
        <v>6029</v>
      </c>
      <c r="H2542" t="s">
        <v>6045</v>
      </c>
      <c r="I2542" t="s">
        <v>6046</v>
      </c>
      <c r="J2542" t="s">
        <v>6054</v>
      </c>
      <c r="K2542" t="s">
        <v>6060</v>
      </c>
      <c r="L2542" t="s">
        <v>8276</v>
      </c>
      <c r="M2542">
        <v>493.84</v>
      </c>
      <c r="N2542">
        <v>7</v>
      </c>
      <c r="O2542">
        <v>0.2</v>
      </c>
      <c r="P2542">
        <v>27.8</v>
      </c>
      <c r="Q2542" t="s">
        <v>9893</v>
      </c>
      <c r="R2542">
        <v>3</v>
      </c>
      <c r="S2542" s="5">
        <f t="shared" si="78"/>
        <v>5.6293536368054432E-2</v>
      </c>
      <c r="T2542">
        <v>70.548571428571421</v>
      </c>
      <c r="U2542">
        <v>9</v>
      </c>
      <c r="V2542">
        <v>2022</v>
      </c>
      <c r="W2542">
        <v>3</v>
      </c>
      <c r="X2542" t="s">
        <v>9899</v>
      </c>
      <c r="Y2542" t="s">
        <v>9900</v>
      </c>
      <c r="Z2542" t="s">
        <v>9899</v>
      </c>
      <c r="AD2542">
        <f t="shared" si="79"/>
        <v>3</v>
      </c>
    </row>
    <row r="2543" spans="1:30" x14ac:dyDescent="0.25">
      <c r="A2543" t="s">
        <v>2567</v>
      </c>
      <c r="B2543" s="2">
        <v>45127</v>
      </c>
      <c r="C2543" s="2">
        <v>45133</v>
      </c>
      <c r="D2543" t="s">
        <v>5232</v>
      </c>
      <c r="E2543" t="s">
        <v>5732</v>
      </c>
      <c r="F2543" t="s">
        <v>6027</v>
      </c>
      <c r="G2543" t="s">
        <v>6031</v>
      </c>
      <c r="H2543" t="s">
        <v>6043</v>
      </c>
      <c r="I2543" t="s">
        <v>6052</v>
      </c>
      <c r="J2543" t="s">
        <v>6054</v>
      </c>
      <c r="K2543" t="s">
        <v>6060</v>
      </c>
      <c r="L2543" t="s">
        <v>8277</v>
      </c>
      <c r="M2543">
        <v>1951.22</v>
      </c>
      <c r="N2543">
        <v>5</v>
      </c>
      <c r="O2543">
        <v>0.15</v>
      </c>
      <c r="P2543">
        <v>39.53</v>
      </c>
      <c r="Q2543" t="s">
        <v>9893</v>
      </c>
      <c r="R2543">
        <v>6</v>
      </c>
      <c r="S2543" s="5">
        <f t="shared" si="78"/>
        <v>2.0259119935220015E-2</v>
      </c>
      <c r="T2543">
        <v>390.24400000000003</v>
      </c>
      <c r="U2543">
        <v>7</v>
      </c>
      <c r="V2543">
        <v>2023</v>
      </c>
      <c r="W2543">
        <v>3</v>
      </c>
      <c r="X2543" t="s">
        <v>9899</v>
      </c>
      <c r="Y2543" t="s">
        <v>9901</v>
      </c>
      <c r="Z2543" t="s">
        <v>9898</v>
      </c>
      <c r="AD2543">
        <f t="shared" si="79"/>
        <v>6</v>
      </c>
    </row>
    <row r="2544" spans="1:30" x14ac:dyDescent="0.25">
      <c r="A2544" t="s">
        <v>2568</v>
      </c>
      <c r="B2544" s="2">
        <v>44582</v>
      </c>
      <c r="C2544" s="2">
        <v>44589</v>
      </c>
      <c r="D2544" t="s">
        <v>5318</v>
      </c>
      <c r="E2544" t="s">
        <v>5818</v>
      </c>
      <c r="F2544" t="s">
        <v>6027</v>
      </c>
      <c r="G2544" t="s">
        <v>6030</v>
      </c>
      <c r="H2544" t="s">
        <v>6039</v>
      </c>
      <c r="I2544" t="s">
        <v>6047</v>
      </c>
      <c r="J2544" t="s">
        <v>6053</v>
      </c>
      <c r="K2544" t="s">
        <v>6056</v>
      </c>
      <c r="L2544" t="s">
        <v>8278</v>
      </c>
      <c r="M2544">
        <v>509.53</v>
      </c>
      <c r="N2544">
        <v>5</v>
      </c>
      <c r="O2544">
        <v>0.13</v>
      </c>
      <c r="P2544">
        <v>-3.9</v>
      </c>
      <c r="Q2544" t="s">
        <v>9895</v>
      </c>
      <c r="R2544">
        <v>7</v>
      </c>
      <c r="S2544" s="5">
        <f t="shared" si="78"/>
        <v>-7.6541126135850684E-3</v>
      </c>
      <c r="T2544">
        <v>101.90600000000001</v>
      </c>
      <c r="U2544">
        <v>1</v>
      </c>
      <c r="V2544">
        <v>2022</v>
      </c>
      <c r="W2544">
        <v>1</v>
      </c>
      <c r="X2544" t="s">
        <v>9898</v>
      </c>
      <c r="Y2544" t="s">
        <v>9901</v>
      </c>
      <c r="Z2544" t="s">
        <v>9899</v>
      </c>
      <c r="AD2544">
        <f t="shared" si="79"/>
        <v>7</v>
      </c>
    </row>
    <row r="2545" spans="1:30" x14ac:dyDescent="0.25">
      <c r="A2545" t="s">
        <v>2569</v>
      </c>
      <c r="B2545" s="2">
        <v>45448</v>
      </c>
      <c r="C2545" s="2">
        <v>45449</v>
      </c>
      <c r="D2545" t="s">
        <v>5148</v>
      </c>
      <c r="E2545" t="s">
        <v>5648</v>
      </c>
      <c r="F2545" t="s">
        <v>6028</v>
      </c>
      <c r="G2545" t="s">
        <v>6030</v>
      </c>
      <c r="H2545" t="s">
        <v>6033</v>
      </c>
      <c r="I2545" t="s">
        <v>6047</v>
      </c>
      <c r="J2545" t="s">
        <v>6055</v>
      </c>
      <c r="K2545" t="s">
        <v>6061</v>
      </c>
      <c r="L2545" t="s">
        <v>8279</v>
      </c>
      <c r="M2545">
        <v>1667.81</v>
      </c>
      <c r="N2545">
        <v>3</v>
      </c>
      <c r="O2545">
        <v>0.28999999999999998</v>
      </c>
      <c r="P2545">
        <v>-227.58</v>
      </c>
      <c r="Q2545" t="s">
        <v>9895</v>
      </c>
      <c r="R2545">
        <v>1</v>
      </c>
      <c r="S2545" s="5">
        <f t="shared" si="78"/>
        <v>-0.13645439228689121</v>
      </c>
      <c r="T2545">
        <v>555.93666666666661</v>
      </c>
      <c r="U2545">
        <v>6</v>
      </c>
      <c r="V2545">
        <v>2024</v>
      </c>
      <c r="W2545">
        <v>2</v>
      </c>
      <c r="X2545" t="s">
        <v>9898</v>
      </c>
      <c r="Y2545" t="s">
        <v>9900</v>
      </c>
      <c r="Z2545" t="s">
        <v>9898</v>
      </c>
      <c r="AD2545">
        <f t="shared" si="79"/>
        <v>1</v>
      </c>
    </row>
    <row r="2546" spans="1:30" x14ac:dyDescent="0.25">
      <c r="A2546" t="s">
        <v>2570</v>
      </c>
      <c r="B2546" s="2">
        <v>45182</v>
      </c>
      <c r="C2546" s="2">
        <v>45189</v>
      </c>
      <c r="D2546" t="s">
        <v>5391</v>
      </c>
      <c r="E2546" t="s">
        <v>5891</v>
      </c>
      <c r="F2546" t="s">
        <v>6028</v>
      </c>
      <c r="G2546" t="s">
        <v>6031</v>
      </c>
      <c r="H2546" t="s">
        <v>6043</v>
      </c>
      <c r="I2546" t="s">
        <v>6050</v>
      </c>
      <c r="J2546" t="s">
        <v>6055</v>
      </c>
      <c r="K2546" t="s">
        <v>6061</v>
      </c>
      <c r="L2546" t="s">
        <v>8280</v>
      </c>
      <c r="M2546">
        <v>1747.15</v>
      </c>
      <c r="N2546">
        <v>3</v>
      </c>
      <c r="O2546">
        <v>0.08</v>
      </c>
      <c r="P2546">
        <v>324.70999999999998</v>
      </c>
      <c r="Q2546" t="s">
        <v>9897</v>
      </c>
      <c r="R2546">
        <v>7</v>
      </c>
      <c r="S2546" s="5">
        <f t="shared" si="78"/>
        <v>0.18585124345362444</v>
      </c>
      <c r="T2546">
        <v>582.38333333333333</v>
      </c>
      <c r="U2546">
        <v>9</v>
      </c>
      <c r="V2546">
        <v>2023</v>
      </c>
      <c r="W2546">
        <v>3</v>
      </c>
      <c r="X2546" t="s">
        <v>9899</v>
      </c>
      <c r="Y2546" t="s">
        <v>9901</v>
      </c>
      <c r="Z2546" t="s">
        <v>9898</v>
      </c>
      <c r="AD2546">
        <f t="shared" si="79"/>
        <v>7</v>
      </c>
    </row>
    <row r="2547" spans="1:30" x14ac:dyDescent="0.25">
      <c r="A2547" t="s">
        <v>2571</v>
      </c>
      <c r="B2547" s="2">
        <v>45428</v>
      </c>
      <c r="C2547" s="2">
        <v>45430</v>
      </c>
      <c r="D2547" t="s">
        <v>5372</v>
      </c>
      <c r="E2547" t="s">
        <v>5872</v>
      </c>
      <c r="F2547" t="s">
        <v>6028</v>
      </c>
      <c r="G2547" t="s">
        <v>6031</v>
      </c>
      <c r="H2547" t="s">
        <v>6034</v>
      </c>
      <c r="I2547" t="s">
        <v>6050</v>
      </c>
      <c r="J2547" t="s">
        <v>6053</v>
      </c>
      <c r="K2547" t="s">
        <v>6057</v>
      </c>
      <c r="L2547" t="s">
        <v>8281</v>
      </c>
      <c r="M2547">
        <v>1265.67</v>
      </c>
      <c r="N2547">
        <v>4</v>
      </c>
      <c r="O2547">
        <v>0.04</v>
      </c>
      <c r="P2547">
        <v>90.28</v>
      </c>
      <c r="Q2547" t="s">
        <v>9893</v>
      </c>
      <c r="R2547">
        <v>2</v>
      </c>
      <c r="S2547" s="5">
        <f t="shared" si="78"/>
        <v>7.1329809508007616E-2</v>
      </c>
      <c r="T2547">
        <v>316.41750000000002</v>
      </c>
      <c r="U2547">
        <v>5</v>
      </c>
      <c r="V2547">
        <v>2024</v>
      </c>
      <c r="W2547">
        <v>2</v>
      </c>
      <c r="X2547" t="s">
        <v>9899</v>
      </c>
      <c r="Y2547" t="s">
        <v>9901</v>
      </c>
      <c r="Z2547" t="s">
        <v>9898</v>
      </c>
      <c r="AD2547">
        <f t="shared" si="79"/>
        <v>2</v>
      </c>
    </row>
    <row r="2548" spans="1:30" x14ac:dyDescent="0.25">
      <c r="A2548" t="s">
        <v>2572</v>
      </c>
      <c r="B2548" s="2">
        <v>44700</v>
      </c>
      <c r="C2548" s="2">
        <v>44704</v>
      </c>
      <c r="D2548" t="s">
        <v>5274</v>
      </c>
      <c r="E2548" t="s">
        <v>5774</v>
      </c>
      <c r="F2548" t="s">
        <v>6026</v>
      </c>
      <c r="G2548" t="s">
        <v>6031</v>
      </c>
      <c r="H2548" t="s">
        <v>6042</v>
      </c>
      <c r="I2548" t="s">
        <v>6048</v>
      </c>
      <c r="J2548" t="s">
        <v>6053</v>
      </c>
      <c r="K2548" t="s">
        <v>6058</v>
      </c>
      <c r="L2548" t="s">
        <v>8282</v>
      </c>
      <c r="M2548">
        <v>628.65</v>
      </c>
      <c r="N2548">
        <v>5</v>
      </c>
      <c r="O2548">
        <v>0.3</v>
      </c>
      <c r="P2548">
        <v>-91.59</v>
      </c>
      <c r="Q2548" t="s">
        <v>9894</v>
      </c>
      <c r="R2548">
        <v>4</v>
      </c>
      <c r="S2548" s="5">
        <f t="shared" si="78"/>
        <v>-0.1456931519923646</v>
      </c>
      <c r="T2548">
        <v>125.73</v>
      </c>
      <c r="U2548">
        <v>5</v>
      </c>
      <c r="V2548">
        <v>2022</v>
      </c>
      <c r="W2548">
        <v>2</v>
      </c>
      <c r="X2548" t="s">
        <v>9898</v>
      </c>
      <c r="Y2548" t="s">
        <v>9900</v>
      </c>
      <c r="Z2548" t="s">
        <v>9899</v>
      </c>
      <c r="AD2548">
        <f t="shared" si="79"/>
        <v>4</v>
      </c>
    </row>
    <row r="2549" spans="1:30" x14ac:dyDescent="0.25">
      <c r="A2549" t="s">
        <v>2573</v>
      </c>
      <c r="B2549" s="2">
        <v>45233</v>
      </c>
      <c r="C2549" s="2">
        <v>45239</v>
      </c>
      <c r="D2549" t="s">
        <v>5160</v>
      </c>
      <c r="E2549" t="s">
        <v>5660</v>
      </c>
      <c r="F2549" t="s">
        <v>6026</v>
      </c>
      <c r="G2549" t="s">
        <v>6029</v>
      </c>
      <c r="H2549" t="s">
        <v>6044</v>
      </c>
      <c r="I2549" t="s">
        <v>6046</v>
      </c>
      <c r="J2549" t="s">
        <v>6054</v>
      </c>
      <c r="K2549" t="s">
        <v>6062</v>
      </c>
      <c r="L2549" t="s">
        <v>7960</v>
      </c>
      <c r="M2549">
        <v>898.19</v>
      </c>
      <c r="N2549">
        <v>5</v>
      </c>
      <c r="O2549">
        <v>0.16</v>
      </c>
      <c r="P2549">
        <v>100.64</v>
      </c>
      <c r="Q2549" t="s">
        <v>9895</v>
      </c>
      <c r="R2549">
        <v>6</v>
      </c>
      <c r="S2549" s="5">
        <f t="shared" si="78"/>
        <v>0.11204756231977643</v>
      </c>
      <c r="T2549">
        <v>179.63800000000001</v>
      </c>
      <c r="U2549">
        <v>11</v>
      </c>
      <c r="V2549">
        <v>2023</v>
      </c>
      <c r="W2549">
        <v>4</v>
      </c>
      <c r="X2549" t="s">
        <v>9899</v>
      </c>
      <c r="Y2549" t="s">
        <v>9900</v>
      </c>
      <c r="Z2549" t="s">
        <v>9899</v>
      </c>
      <c r="AD2549">
        <f t="shared" si="79"/>
        <v>6</v>
      </c>
    </row>
    <row r="2550" spans="1:30" x14ac:dyDescent="0.25">
      <c r="A2550" t="s">
        <v>2574</v>
      </c>
      <c r="B2550" s="2">
        <v>44961</v>
      </c>
      <c r="C2550" s="2">
        <v>44968</v>
      </c>
      <c r="D2550" t="s">
        <v>5450</v>
      </c>
      <c r="E2550" t="s">
        <v>5950</v>
      </c>
      <c r="F2550" t="s">
        <v>6028</v>
      </c>
      <c r="G2550" t="s">
        <v>6029</v>
      </c>
      <c r="H2550" t="s">
        <v>6032</v>
      </c>
      <c r="I2550" t="s">
        <v>6049</v>
      </c>
      <c r="J2550" t="s">
        <v>6055</v>
      </c>
      <c r="K2550" t="s">
        <v>6064</v>
      </c>
      <c r="L2550" t="s">
        <v>8283</v>
      </c>
      <c r="M2550">
        <v>849.6</v>
      </c>
      <c r="N2550">
        <v>3</v>
      </c>
      <c r="O2550">
        <v>0.25</v>
      </c>
      <c r="P2550">
        <v>40.270000000000003</v>
      </c>
      <c r="Q2550" t="s">
        <v>9894</v>
      </c>
      <c r="R2550">
        <v>7</v>
      </c>
      <c r="S2550" s="5">
        <f t="shared" si="78"/>
        <v>4.7398775894538607E-2</v>
      </c>
      <c r="T2550">
        <v>283.2</v>
      </c>
      <c r="U2550">
        <v>2</v>
      </c>
      <c r="V2550">
        <v>2023</v>
      </c>
      <c r="W2550">
        <v>1</v>
      </c>
      <c r="X2550" t="s">
        <v>9899</v>
      </c>
      <c r="Y2550" t="s">
        <v>9900</v>
      </c>
      <c r="Z2550" t="s">
        <v>9899</v>
      </c>
      <c r="AD2550">
        <f t="shared" si="79"/>
        <v>7</v>
      </c>
    </row>
    <row r="2551" spans="1:30" x14ac:dyDescent="0.25">
      <c r="A2551" t="s">
        <v>2575</v>
      </c>
      <c r="B2551" s="2">
        <v>45423</v>
      </c>
      <c r="C2551" s="2">
        <v>45428</v>
      </c>
      <c r="D2551" t="s">
        <v>5076</v>
      </c>
      <c r="E2551" t="s">
        <v>5576</v>
      </c>
      <c r="F2551" t="s">
        <v>6027</v>
      </c>
      <c r="G2551" t="s">
        <v>6030</v>
      </c>
      <c r="H2551" t="s">
        <v>6038</v>
      </c>
      <c r="I2551" t="s">
        <v>6047</v>
      </c>
      <c r="J2551" t="s">
        <v>6053</v>
      </c>
      <c r="K2551" t="s">
        <v>6057</v>
      </c>
      <c r="L2551" t="s">
        <v>7146</v>
      </c>
      <c r="M2551">
        <v>1221.77</v>
      </c>
      <c r="N2551">
        <v>1</v>
      </c>
      <c r="O2551">
        <v>0.04</v>
      </c>
      <c r="P2551">
        <v>228.46</v>
      </c>
      <c r="Q2551" t="s">
        <v>9893</v>
      </c>
      <c r="R2551">
        <v>5</v>
      </c>
      <c r="S2551" s="5">
        <f t="shared" si="78"/>
        <v>0.18699100485361403</v>
      </c>
      <c r="T2551">
        <v>1221.77</v>
      </c>
      <c r="U2551">
        <v>5</v>
      </c>
      <c r="V2551">
        <v>2024</v>
      </c>
      <c r="W2551">
        <v>2</v>
      </c>
      <c r="X2551" t="s">
        <v>9899</v>
      </c>
      <c r="Y2551" t="s">
        <v>9901</v>
      </c>
      <c r="Z2551" t="s">
        <v>9898</v>
      </c>
      <c r="AD2551">
        <f t="shared" si="79"/>
        <v>5</v>
      </c>
    </row>
    <row r="2552" spans="1:30" x14ac:dyDescent="0.25">
      <c r="A2552" t="s">
        <v>2576</v>
      </c>
      <c r="B2552" s="2">
        <v>44643</v>
      </c>
      <c r="C2552" s="2">
        <v>44648</v>
      </c>
      <c r="D2552" t="s">
        <v>5202</v>
      </c>
      <c r="E2552" t="s">
        <v>5702</v>
      </c>
      <c r="F2552" t="s">
        <v>6027</v>
      </c>
      <c r="G2552" t="s">
        <v>6029</v>
      </c>
      <c r="H2552" t="s">
        <v>6036</v>
      </c>
      <c r="I2552" t="s">
        <v>6046</v>
      </c>
      <c r="J2552" t="s">
        <v>6055</v>
      </c>
      <c r="K2552" t="s">
        <v>6064</v>
      </c>
      <c r="L2552" t="s">
        <v>8284</v>
      </c>
      <c r="M2552">
        <v>526.87</v>
      </c>
      <c r="N2552">
        <v>2</v>
      </c>
      <c r="O2552">
        <v>0.01</v>
      </c>
      <c r="P2552">
        <v>138.99</v>
      </c>
      <c r="Q2552" t="s">
        <v>9897</v>
      </c>
      <c r="R2552">
        <v>5</v>
      </c>
      <c r="S2552" s="5">
        <f t="shared" si="78"/>
        <v>0.26380321521437927</v>
      </c>
      <c r="T2552">
        <v>263.435</v>
      </c>
      <c r="U2552">
        <v>3</v>
      </c>
      <c r="V2552">
        <v>2022</v>
      </c>
      <c r="W2552">
        <v>1</v>
      </c>
      <c r="X2552" t="s">
        <v>9899</v>
      </c>
      <c r="Y2552" t="s">
        <v>9901</v>
      </c>
      <c r="Z2552" t="s">
        <v>9899</v>
      </c>
      <c r="AD2552">
        <f t="shared" si="79"/>
        <v>5</v>
      </c>
    </row>
    <row r="2553" spans="1:30" x14ac:dyDescent="0.25">
      <c r="A2553" t="s">
        <v>2577</v>
      </c>
      <c r="B2553" s="2">
        <v>44856</v>
      </c>
      <c r="C2553" s="2">
        <v>44861</v>
      </c>
      <c r="D2553" t="s">
        <v>5353</v>
      </c>
      <c r="E2553" t="s">
        <v>5853</v>
      </c>
      <c r="F2553" t="s">
        <v>6027</v>
      </c>
      <c r="G2553" t="s">
        <v>6031</v>
      </c>
      <c r="H2553" t="s">
        <v>6042</v>
      </c>
      <c r="I2553" t="s">
        <v>6052</v>
      </c>
      <c r="J2553" t="s">
        <v>6055</v>
      </c>
      <c r="K2553" t="s">
        <v>6063</v>
      </c>
      <c r="L2553" t="s">
        <v>8285</v>
      </c>
      <c r="M2553">
        <v>1787.63</v>
      </c>
      <c r="N2553">
        <v>4</v>
      </c>
      <c r="O2553">
        <v>0.24</v>
      </c>
      <c r="P2553">
        <v>-41.7</v>
      </c>
      <c r="Q2553" t="s">
        <v>9894</v>
      </c>
      <c r="R2553">
        <v>5</v>
      </c>
      <c r="S2553" s="5">
        <f t="shared" si="78"/>
        <v>-2.3326974821411588E-2</v>
      </c>
      <c r="T2553">
        <v>446.90750000000003</v>
      </c>
      <c r="U2553">
        <v>10</v>
      </c>
      <c r="V2553">
        <v>2022</v>
      </c>
      <c r="W2553">
        <v>4</v>
      </c>
      <c r="X2553" t="s">
        <v>9898</v>
      </c>
      <c r="Y2553" t="s">
        <v>9900</v>
      </c>
      <c r="Z2553" t="s">
        <v>9898</v>
      </c>
      <c r="AD2553">
        <f t="shared" si="79"/>
        <v>5</v>
      </c>
    </row>
    <row r="2554" spans="1:30" x14ac:dyDescent="0.25">
      <c r="A2554" t="s">
        <v>2578</v>
      </c>
      <c r="B2554" s="2">
        <v>44803</v>
      </c>
      <c r="C2554" s="2">
        <v>44810</v>
      </c>
      <c r="D2554" t="s">
        <v>5088</v>
      </c>
      <c r="E2554" t="s">
        <v>5588</v>
      </c>
      <c r="F2554" t="s">
        <v>6027</v>
      </c>
      <c r="G2554" t="s">
        <v>6029</v>
      </c>
      <c r="H2554" t="s">
        <v>6041</v>
      </c>
      <c r="I2554" t="s">
        <v>6046</v>
      </c>
      <c r="J2554" t="s">
        <v>6054</v>
      </c>
      <c r="K2554" t="s">
        <v>6059</v>
      </c>
      <c r="L2554" t="s">
        <v>8286</v>
      </c>
      <c r="M2554">
        <v>470.58</v>
      </c>
      <c r="N2554">
        <v>3</v>
      </c>
      <c r="O2554">
        <v>0.13</v>
      </c>
      <c r="P2554">
        <v>14.81</v>
      </c>
      <c r="Q2554" t="s">
        <v>9895</v>
      </c>
      <c r="R2554">
        <v>7</v>
      </c>
      <c r="S2554" s="5">
        <f t="shared" si="78"/>
        <v>3.1471800756513242E-2</v>
      </c>
      <c r="T2554">
        <v>156.86000000000001</v>
      </c>
      <c r="U2554">
        <v>8</v>
      </c>
      <c r="V2554">
        <v>2022</v>
      </c>
      <c r="W2554">
        <v>3</v>
      </c>
      <c r="X2554" t="s">
        <v>9899</v>
      </c>
      <c r="Y2554" t="s">
        <v>9901</v>
      </c>
      <c r="Z2554" t="s">
        <v>9899</v>
      </c>
      <c r="AD2554">
        <f t="shared" si="79"/>
        <v>7</v>
      </c>
    </row>
    <row r="2555" spans="1:30" x14ac:dyDescent="0.25">
      <c r="A2555" t="s">
        <v>2579</v>
      </c>
      <c r="B2555" s="2">
        <v>44981</v>
      </c>
      <c r="C2555" s="2">
        <v>44984</v>
      </c>
      <c r="D2555" t="s">
        <v>5236</v>
      </c>
      <c r="E2555" t="s">
        <v>5736</v>
      </c>
      <c r="F2555" t="s">
        <v>6028</v>
      </c>
      <c r="G2555" t="s">
        <v>6031</v>
      </c>
      <c r="H2555" t="s">
        <v>6042</v>
      </c>
      <c r="I2555" t="s">
        <v>6052</v>
      </c>
      <c r="J2555" t="s">
        <v>6053</v>
      </c>
      <c r="K2555" t="s">
        <v>6057</v>
      </c>
      <c r="L2555" t="s">
        <v>8287</v>
      </c>
      <c r="M2555">
        <v>1155.45</v>
      </c>
      <c r="N2555">
        <v>5</v>
      </c>
      <c r="O2555">
        <v>0.19</v>
      </c>
      <c r="P2555">
        <v>16.25</v>
      </c>
      <c r="Q2555" t="s">
        <v>9893</v>
      </c>
      <c r="R2555">
        <v>3</v>
      </c>
      <c r="S2555" s="5">
        <f t="shared" si="78"/>
        <v>1.4063784672638366E-2</v>
      </c>
      <c r="T2555">
        <v>231.09</v>
      </c>
      <c r="U2555">
        <v>2</v>
      </c>
      <c r="V2555">
        <v>2023</v>
      </c>
      <c r="W2555">
        <v>1</v>
      </c>
      <c r="X2555" t="s">
        <v>9899</v>
      </c>
      <c r="Y2555" t="s">
        <v>9900</v>
      </c>
      <c r="Z2555" t="s">
        <v>9898</v>
      </c>
      <c r="AD2555">
        <f t="shared" si="79"/>
        <v>3</v>
      </c>
    </row>
    <row r="2556" spans="1:30" x14ac:dyDescent="0.25">
      <c r="A2556" t="s">
        <v>2580</v>
      </c>
      <c r="B2556" s="2">
        <v>45279</v>
      </c>
      <c r="C2556" s="2">
        <v>45286</v>
      </c>
      <c r="D2556" t="s">
        <v>5480</v>
      </c>
      <c r="E2556" t="s">
        <v>5980</v>
      </c>
      <c r="F2556" t="s">
        <v>6026</v>
      </c>
      <c r="G2556" t="s">
        <v>6030</v>
      </c>
      <c r="H2556" t="s">
        <v>6033</v>
      </c>
      <c r="I2556" t="s">
        <v>6047</v>
      </c>
      <c r="J2556" t="s">
        <v>6055</v>
      </c>
      <c r="K2556" t="s">
        <v>6061</v>
      </c>
      <c r="L2556" t="s">
        <v>8288</v>
      </c>
      <c r="M2556">
        <v>199.82</v>
      </c>
      <c r="N2556">
        <v>1</v>
      </c>
      <c r="O2556">
        <v>0.13</v>
      </c>
      <c r="P2556">
        <v>31.05</v>
      </c>
      <c r="Q2556" t="s">
        <v>9895</v>
      </c>
      <c r="R2556">
        <v>7</v>
      </c>
      <c r="S2556" s="5">
        <f t="shared" si="78"/>
        <v>0.15538985086577922</v>
      </c>
      <c r="T2556">
        <v>199.82</v>
      </c>
      <c r="U2556">
        <v>12</v>
      </c>
      <c r="V2556">
        <v>2023</v>
      </c>
      <c r="W2556">
        <v>4</v>
      </c>
      <c r="X2556" t="s">
        <v>9899</v>
      </c>
      <c r="Y2556" t="s">
        <v>9901</v>
      </c>
      <c r="Z2556" t="s">
        <v>9899</v>
      </c>
      <c r="AD2556">
        <f t="shared" si="79"/>
        <v>7</v>
      </c>
    </row>
    <row r="2557" spans="1:30" x14ac:dyDescent="0.25">
      <c r="A2557" t="s">
        <v>2581</v>
      </c>
      <c r="B2557" s="2">
        <v>44573</v>
      </c>
      <c r="C2557" s="2">
        <v>44577</v>
      </c>
      <c r="D2557" t="s">
        <v>5155</v>
      </c>
      <c r="E2557" t="s">
        <v>5655</v>
      </c>
      <c r="F2557" t="s">
        <v>6027</v>
      </c>
      <c r="G2557" t="s">
        <v>6029</v>
      </c>
      <c r="H2557" t="s">
        <v>6041</v>
      </c>
      <c r="I2557" t="s">
        <v>6050</v>
      </c>
      <c r="J2557" t="s">
        <v>6055</v>
      </c>
      <c r="K2557" t="s">
        <v>6061</v>
      </c>
      <c r="L2557" t="s">
        <v>8025</v>
      </c>
      <c r="M2557">
        <v>183.36</v>
      </c>
      <c r="N2557">
        <v>3</v>
      </c>
      <c r="O2557">
        <v>0.16</v>
      </c>
      <c r="P2557">
        <v>21.39</v>
      </c>
      <c r="Q2557" t="s">
        <v>9897</v>
      </c>
      <c r="R2557">
        <v>4</v>
      </c>
      <c r="S2557" s="5">
        <f t="shared" si="78"/>
        <v>0.11665575916230365</v>
      </c>
      <c r="T2557">
        <v>61.12</v>
      </c>
      <c r="U2557">
        <v>1</v>
      </c>
      <c r="V2557">
        <v>2022</v>
      </c>
      <c r="W2557">
        <v>1</v>
      </c>
      <c r="X2557" t="s">
        <v>9899</v>
      </c>
      <c r="Y2557" t="s">
        <v>9900</v>
      </c>
      <c r="Z2557" t="s">
        <v>9899</v>
      </c>
      <c r="AD2557">
        <f t="shared" si="79"/>
        <v>4</v>
      </c>
    </row>
    <row r="2558" spans="1:30" x14ac:dyDescent="0.25">
      <c r="A2558" t="s">
        <v>2582</v>
      </c>
      <c r="B2558" s="2">
        <v>44815</v>
      </c>
      <c r="C2558" s="2">
        <v>44821</v>
      </c>
      <c r="D2558" t="s">
        <v>5264</v>
      </c>
      <c r="E2558" t="s">
        <v>5764</v>
      </c>
      <c r="F2558" t="s">
        <v>6028</v>
      </c>
      <c r="G2558" t="s">
        <v>6030</v>
      </c>
      <c r="H2558" t="s">
        <v>6033</v>
      </c>
      <c r="I2558" t="s">
        <v>6051</v>
      </c>
      <c r="J2558" t="s">
        <v>6053</v>
      </c>
      <c r="K2558" t="s">
        <v>6058</v>
      </c>
      <c r="L2558" t="s">
        <v>8289</v>
      </c>
      <c r="M2558">
        <v>1578.82</v>
      </c>
      <c r="N2558">
        <v>6</v>
      </c>
      <c r="O2558">
        <v>0.21</v>
      </c>
      <c r="P2558">
        <v>-152.6</v>
      </c>
      <c r="Q2558" t="s">
        <v>9896</v>
      </c>
      <c r="R2558">
        <v>6</v>
      </c>
      <c r="S2558" s="5">
        <f t="shared" si="78"/>
        <v>-9.665446346005245E-2</v>
      </c>
      <c r="T2558">
        <v>263.13666666666671</v>
      </c>
      <c r="U2558">
        <v>9</v>
      </c>
      <c r="V2558">
        <v>2022</v>
      </c>
      <c r="W2558">
        <v>3</v>
      </c>
      <c r="X2558" t="s">
        <v>9898</v>
      </c>
      <c r="Y2558" t="s">
        <v>9900</v>
      </c>
      <c r="Z2558" t="s">
        <v>9898</v>
      </c>
      <c r="AD2558">
        <f t="shared" si="79"/>
        <v>6</v>
      </c>
    </row>
    <row r="2559" spans="1:30" x14ac:dyDescent="0.25">
      <c r="A2559" t="s">
        <v>2583</v>
      </c>
      <c r="B2559" s="2">
        <v>45369</v>
      </c>
      <c r="C2559" s="2">
        <v>45374</v>
      </c>
      <c r="D2559" t="s">
        <v>5099</v>
      </c>
      <c r="E2559" t="s">
        <v>5599</v>
      </c>
      <c r="F2559" t="s">
        <v>6028</v>
      </c>
      <c r="G2559" t="s">
        <v>6030</v>
      </c>
      <c r="H2559" t="s">
        <v>6035</v>
      </c>
      <c r="I2559" t="s">
        <v>6051</v>
      </c>
      <c r="J2559" t="s">
        <v>6055</v>
      </c>
      <c r="K2559" t="s">
        <v>6061</v>
      </c>
      <c r="L2559" t="s">
        <v>8290</v>
      </c>
      <c r="M2559">
        <v>1064.1600000000001</v>
      </c>
      <c r="N2559">
        <v>3</v>
      </c>
      <c r="O2559">
        <v>0.17</v>
      </c>
      <c r="P2559">
        <v>-29.41</v>
      </c>
      <c r="Q2559" t="s">
        <v>9894</v>
      </c>
      <c r="R2559">
        <v>5</v>
      </c>
      <c r="S2559" s="5">
        <f t="shared" si="78"/>
        <v>-2.7636821530596902E-2</v>
      </c>
      <c r="T2559">
        <v>354.72</v>
      </c>
      <c r="U2559">
        <v>3</v>
      </c>
      <c r="V2559">
        <v>2024</v>
      </c>
      <c r="W2559">
        <v>1</v>
      </c>
      <c r="X2559" t="s">
        <v>9898</v>
      </c>
      <c r="Y2559" t="s">
        <v>9900</v>
      </c>
      <c r="Z2559" t="s">
        <v>9898</v>
      </c>
      <c r="AD2559">
        <f t="shared" si="79"/>
        <v>5</v>
      </c>
    </row>
    <row r="2560" spans="1:30" x14ac:dyDescent="0.25">
      <c r="A2560" t="s">
        <v>2584</v>
      </c>
      <c r="B2560" s="2">
        <v>44861</v>
      </c>
      <c r="C2560" s="2">
        <v>44863</v>
      </c>
      <c r="D2560" t="s">
        <v>5133</v>
      </c>
      <c r="E2560" t="s">
        <v>5633</v>
      </c>
      <c r="F2560" t="s">
        <v>6027</v>
      </c>
      <c r="G2560" t="s">
        <v>6029</v>
      </c>
      <c r="H2560" t="s">
        <v>6041</v>
      </c>
      <c r="I2560" t="s">
        <v>6049</v>
      </c>
      <c r="J2560" t="s">
        <v>6055</v>
      </c>
      <c r="K2560" t="s">
        <v>6061</v>
      </c>
      <c r="L2560" t="s">
        <v>8291</v>
      </c>
      <c r="M2560">
        <v>1344.24</v>
      </c>
      <c r="N2560">
        <v>7</v>
      </c>
      <c r="O2560">
        <v>0.1</v>
      </c>
      <c r="P2560">
        <v>201.07</v>
      </c>
      <c r="Q2560" t="s">
        <v>9894</v>
      </c>
      <c r="R2560">
        <v>2</v>
      </c>
      <c r="S2560" s="5">
        <f t="shared" si="78"/>
        <v>0.14957894423614831</v>
      </c>
      <c r="T2560">
        <v>192.03428571428569</v>
      </c>
      <c r="U2560">
        <v>10</v>
      </c>
      <c r="V2560">
        <v>2022</v>
      </c>
      <c r="W2560">
        <v>4</v>
      </c>
      <c r="X2560" t="s">
        <v>9899</v>
      </c>
      <c r="Y2560" t="s">
        <v>9901</v>
      </c>
      <c r="Z2560" t="s">
        <v>9898</v>
      </c>
      <c r="AD2560">
        <f t="shared" si="79"/>
        <v>2</v>
      </c>
    </row>
    <row r="2561" spans="1:30" x14ac:dyDescent="0.25">
      <c r="A2561" t="s">
        <v>2585</v>
      </c>
      <c r="B2561" s="2">
        <v>45157</v>
      </c>
      <c r="C2561" s="2">
        <v>45158</v>
      </c>
      <c r="D2561" t="s">
        <v>5046</v>
      </c>
      <c r="E2561" t="s">
        <v>5546</v>
      </c>
      <c r="F2561" t="s">
        <v>6028</v>
      </c>
      <c r="G2561" t="s">
        <v>6029</v>
      </c>
      <c r="H2561" t="s">
        <v>6032</v>
      </c>
      <c r="I2561" t="s">
        <v>6049</v>
      </c>
      <c r="J2561" t="s">
        <v>6054</v>
      </c>
      <c r="K2561" t="s">
        <v>6060</v>
      </c>
      <c r="L2561" t="s">
        <v>7603</v>
      </c>
      <c r="M2561">
        <v>1430.75</v>
      </c>
      <c r="N2561">
        <v>8</v>
      </c>
      <c r="O2561">
        <v>0.12</v>
      </c>
      <c r="P2561">
        <v>-5.46</v>
      </c>
      <c r="Q2561" t="s">
        <v>9897</v>
      </c>
      <c r="R2561">
        <v>1</v>
      </c>
      <c r="S2561" s="5">
        <f t="shared" si="78"/>
        <v>-3.8161803250043682E-3</v>
      </c>
      <c r="T2561">
        <v>178.84375</v>
      </c>
      <c r="U2561">
        <v>8</v>
      </c>
      <c r="V2561">
        <v>2023</v>
      </c>
      <c r="W2561">
        <v>3</v>
      </c>
      <c r="X2561" t="s">
        <v>9898</v>
      </c>
      <c r="Y2561" t="s">
        <v>9901</v>
      </c>
      <c r="Z2561" t="s">
        <v>9898</v>
      </c>
      <c r="AD2561">
        <f t="shared" si="79"/>
        <v>1</v>
      </c>
    </row>
    <row r="2562" spans="1:30" x14ac:dyDescent="0.25">
      <c r="A2562" t="s">
        <v>2586</v>
      </c>
      <c r="B2562" s="2">
        <v>45265</v>
      </c>
      <c r="C2562" s="2">
        <v>45271</v>
      </c>
      <c r="D2562" t="s">
        <v>5508</v>
      </c>
      <c r="E2562" t="s">
        <v>6008</v>
      </c>
      <c r="F2562" t="s">
        <v>6026</v>
      </c>
      <c r="G2562" t="s">
        <v>6029</v>
      </c>
      <c r="H2562" t="s">
        <v>6045</v>
      </c>
      <c r="I2562" t="s">
        <v>6049</v>
      </c>
      <c r="J2562" t="s">
        <v>6055</v>
      </c>
      <c r="K2562" t="s">
        <v>6061</v>
      </c>
      <c r="L2562" t="s">
        <v>8292</v>
      </c>
      <c r="M2562">
        <v>694.04</v>
      </c>
      <c r="N2562">
        <v>8</v>
      </c>
      <c r="O2562">
        <v>0.28999999999999998</v>
      </c>
      <c r="P2562">
        <v>-98.3</v>
      </c>
      <c r="Q2562" t="s">
        <v>9893</v>
      </c>
      <c r="R2562">
        <v>6</v>
      </c>
      <c r="S2562" s="5">
        <f t="shared" si="78"/>
        <v>-0.14163448792576797</v>
      </c>
      <c r="T2562">
        <v>86.754999999999995</v>
      </c>
      <c r="U2562">
        <v>12</v>
      </c>
      <c r="V2562">
        <v>2023</v>
      </c>
      <c r="W2562">
        <v>4</v>
      </c>
      <c r="X2562" t="s">
        <v>9898</v>
      </c>
      <c r="Y2562" t="s">
        <v>9900</v>
      </c>
      <c r="Z2562" t="s">
        <v>9899</v>
      </c>
      <c r="AD2562">
        <f t="shared" si="79"/>
        <v>6</v>
      </c>
    </row>
    <row r="2563" spans="1:30" x14ac:dyDescent="0.25">
      <c r="A2563" t="s">
        <v>2587</v>
      </c>
      <c r="B2563" s="2">
        <v>44592</v>
      </c>
      <c r="C2563" s="2">
        <v>44597</v>
      </c>
      <c r="D2563" t="s">
        <v>5455</v>
      </c>
      <c r="E2563" t="s">
        <v>5955</v>
      </c>
      <c r="F2563" t="s">
        <v>6026</v>
      </c>
      <c r="G2563" t="s">
        <v>6030</v>
      </c>
      <c r="H2563" t="s">
        <v>6033</v>
      </c>
      <c r="I2563" t="s">
        <v>6051</v>
      </c>
      <c r="J2563" t="s">
        <v>6053</v>
      </c>
      <c r="K2563" t="s">
        <v>6057</v>
      </c>
      <c r="L2563" t="s">
        <v>8293</v>
      </c>
      <c r="M2563">
        <v>1784.35</v>
      </c>
      <c r="N2563">
        <v>5</v>
      </c>
      <c r="O2563">
        <v>0.32</v>
      </c>
      <c r="P2563">
        <v>-240.27</v>
      </c>
      <c r="Q2563" t="s">
        <v>9894</v>
      </c>
      <c r="R2563">
        <v>5</v>
      </c>
      <c r="S2563" s="5">
        <f t="shared" ref="S2563:S2626" si="80">P2563/M2563</f>
        <v>-0.13465407571384538</v>
      </c>
      <c r="T2563">
        <v>356.87</v>
      </c>
      <c r="U2563">
        <v>1</v>
      </c>
      <c r="V2563">
        <v>2022</v>
      </c>
      <c r="W2563">
        <v>1</v>
      </c>
      <c r="X2563" t="s">
        <v>9898</v>
      </c>
      <c r="Y2563" t="s">
        <v>9902</v>
      </c>
      <c r="Z2563" t="s">
        <v>9898</v>
      </c>
      <c r="AD2563">
        <f t="shared" ref="AD2563:AD2626" si="81">C2563-B2563</f>
        <v>5</v>
      </c>
    </row>
    <row r="2564" spans="1:30" x14ac:dyDescent="0.25">
      <c r="A2564" t="s">
        <v>2588</v>
      </c>
      <c r="B2564" s="2">
        <v>44843</v>
      </c>
      <c r="C2564" s="2">
        <v>44844</v>
      </c>
      <c r="D2564" t="s">
        <v>5180</v>
      </c>
      <c r="E2564" t="s">
        <v>5680</v>
      </c>
      <c r="F2564" t="s">
        <v>6026</v>
      </c>
      <c r="G2564" t="s">
        <v>6029</v>
      </c>
      <c r="H2564" t="s">
        <v>6045</v>
      </c>
      <c r="I2564" t="s">
        <v>6046</v>
      </c>
      <c r="J2564" t="s">
        <v>6054</v>
      </c>
      <c r="K2564" t="s">
        <v>6060</v>
      </c>
      <c r="L2564" t="s">
        <v>8294</v>
      </c>
      <c r="M2564">
        <v>223.02</v>
      </c>
      <c r="N2564">
        <v>7</v>
      </c>
      <c r="O2564">
        <v>0.21</v>
      </c>
      <c r="P2564">
        <v>-21.45</v>
      </c>
      <c r="Q2564" t="s">
        <v>9896</v>
      </c>
      <c r="R2564">
        <v>1</v>
      </c>
      <c r="S2564" s="5">
        <f t="shared" si="80"/>
        <v>-9.6179714823782611E-2</v>
      </c>
      <c r="T2564">
        <v>31.86</v>
      </c>
      <c r="U2564">
        <v>10</v>
      </c>
      <c r="V2564">
        <v>2022</v>
      </c>
      <c r="W2564">
        <v>4</v>
      </c>
      <c r="X2564" t="s">
        <v>9898</v>
      </c>
      <c r="Y2564" t="s">
        <v>9900</v>
      </c>
      <c r="Z2564" t="s">
        <v>9899</v>
      </c>
      <c r="AD2564">
        <f t="shared" si="81"/>
        <v>1</v>
      </c>
    </row>
    <row r="2565" spans="1:30" x14ac:dyDescent="0.25">
      <c r="A2565" t="s">
        <v>2589</v>
      </c>
      <c r="B2565" s="2">
        <v>44641</v>
      </c>
      <c r="C2565" s="2">
        <v>44644</v>
      </c>
      <c r="D2565" t="s">
        <v>5090</v>
      </c>
      <c r="E2565" t="s">
        <v>5590</v>
      </c>
      <c r="F2565" t="s">
        <v>6026</v>
      </c>
      <c r="G2565" t="s">
        <v>6031</v>
      </c>
      <c r="H2565" t="s">
        <v>6042</v>
      </c>
      <c r="I2565" t="s">
        <v>6050</v>
      </c>
      <c r="J2565" t="s">
        <v>6054</v>
      </c>
      <c r="K2565" t="s">
        <v>6059</v>
      </c>
      <c r="L2565" t="s">
        <v>8295</v>
      </c>
      <c r="M2565">
        <v>1060.54</v>
      </c>
      <c r="N2565">
        <v>8</v>
      </c>
      <c r="O2565">
        <v>0.33</v>
      </c>
      <c r="P2565">
        <v>-199.33</v>
      </c>
      <c r="Q2565" t="s">
        <v>9895</v>
      </c>
      <c r="R2565">
        <v>3</v>
      </c>
      <c r="S2565" s="5">
        <f t="shared" si="80"/>
        <v>-0.18795142097422071</v>
      </c>
      <c r="T2565">
        <v>132.5675</v>
      </c>
      <c r="U2565">
        <v>3</v>
      </c>
      <c r="V2565">
        <v>2022</v>
      </c>
      <c r="W2565">
        <v>1</v>
      </c>
      <c r="X2565" t="s">
        <v>9898</v>
      </c>
      <c r="Y2565" t="s">
        <v>9902</v>
      </c>
      <c r="Z2565" t="s">
        <v>9898</v>
      </c>
      <c r="AD2565">
        <f t="shared" si="81"/>
        <v>3</v>
      </c>
    </row>
    <row r="2566" spans="1:30" x14ac:dyDescent="0.25">
      <c r="A2566" t="s">
        <v>2590</v>
      </c>
      <c r="B2566" s="2">
        <v>44685</v>
      </c>
      <c r="C2566" s="2">
        <v>44692</v>
      </c>
      <c r="D2566" t="s">
        <v>5482</v>
      </c>
      <c r="E2566" t="s">
        <v>5982</v>
      </c>
      <c r="F2566" t="s">
        <v>6028</v>
      </c>
      <c r="G2566" t="s">
        <v>6029</v>
      </c>
      <c r="H2566" t="s">
        <v>6036</v>
      </c>
      <c r="I2566" t="s">
        <v>6049</v>
      </c>
      <c r="J2566" t="s">
        <v>6053</v>
      </c>
      <c r="K2566" t="s">
        <v>6057</v>
      </c>
      <c r="L2566" t="s">
        <v>8296</v>
      </c>
      <c r="M2566">
        <v>439.53</v>
      </c>
      <c r="N2566">
        <v>5</v>
      </c>
      <c r="O2566">
        <v>0.11</v>
      </c>
      <c r="P2566">
        <v>42.23</v>
      </c>
      <c r="Q2566" t="s">
        <v>9897</v>
      </c>
      <c r="R2566">
        <v>7</v>
      </c>
      <c r="S2566" s="5">
        <f t="shared" si="80"/>
        <v>9.6079903533319674E-2</v>
      </c>
      <c r="T2566">
        <v>87.905999999999992</v>
      </c>
      <c r="U2566">
        <v>5</v>
      </c>
      <c r="V2566">
        <v>2022</v>
      </c>
      <c r="W2566">
        <v>2</v>
      </c>
      <c r="X2566" t="s">
        <v>9899</v>
      </c>
      <c r="Y2566" t="s">
        <v>9901</v>
      </c>
      <c r="Z2566" t="s">
        <v>9899</v>
      </c>
      <c r="AD2566">
        <f t="shared" si="81"/>
        <v>7</v>
      </c>
    </row>
    <row r="2567" spans="1:30" x14ac:dyDescent="0.25">
      <c r="A2567" t="s">
        <v>2591</v>
      </c>
      <c r="B2567" s="2">
        <v>45136</v>
      </c>
      <c r="C2567" s="2">
        <v>45143</v>
      </c>
      <c r="D2567" t="s">
        <v>5481</v>
      </c>
      <c r="E2567" t="s">
        <v>5981</v>
      </c>
      <c r="F2567" t="s">
        <v>6026</v>
      </c>
      <c r="G2567" t="s">
        <v>6030</v>
      </c>
      <c r="H2567" t="s">
        <v>6039</v>
      </c>
      <c r="I2567" t="s">
        <v>6047</v>
      </c>
      <c r="J2567" t="s">
        <v>6053</v>
      </c>
      <c r="K2567" t="s">
        <v>6057</v>
      </c>
      <c r="L2567" t="s">
        <v>8297</v>
      </c>
      <c r="M2567">
        <v>729.39</v>
      </c>
      <c r="N2567">
        <v>7</v>
      </c>
      <c r="O2567">
        <v>0.02</v>
      </c>
      <c r="P2567">
        <v>158.51</v>
      </c>
      <c r="Q2567" t="s">
        <v>9895</v>
      </c>
      <c r="R2567">
        <v>7</v>
      </c>
      <c r="S2567" s="5">
        <f t="shared" si="80"/>
        <v>0.21731858128024786</v>
      </c>
      <c r="T2567">
        <v>104.1985714285714</v>
      </c>
      <c r="U2567">
        <v>7</v>
      </c>
      <c r="V2567">
        <v>2023</v>
      </c>
      <c r="W2567">
        <v>3</v>
      </c>
      <c r="X2567" t="s">
        <v>9899</v>
      </c>
      <c r="Y2567" t="s">
        <v>9901</v>
      </c>
      <c r="Z2567" t="s">
        <v>9899</v>
      </c>
      <c r="AD2567">
        <f t="shared" si="81"/>
        <v>7</v>
      </c>
    </row>
    <row r="2568" spans="1:30" x14ac:dyDescent="0.25">
      <c r="A2568" t="s">
        <v>2592</v>
      </c>
      <c r="B2568" s="2">
        <v>45393</v>
      </c>
      <c r="C2568" s="2">
        <v>45400</v>
      </c>
      <c r="D2568" t="s">
        <v>5151</v>
      </c>
      <c r="E2568" t="s">
        <v>5651</v>
      </c>
      <c r="F2568" t="s">
        <v>6028</v>
      </c>
      <c r="G2568" t="s">
        <v>6029</v>
      </c>
      <c r="H2568" t="s">
        <v>6044</v>
      </c>
      <c r="I2568" t="s">
        <v>6050</v>
      </c>
      <c r="J2568" t="s">
        <v>6053</v>
      </c>
      <c r="K2568" t="s">
        <v>6056</v>
      </c>
      <c r="L2568" t="s">
        <v>6218</v>
      </c>
      <c r="M2568">
        <v>288.52999999999997</v>
      </c>
      <c r="N2568">
        <v>2</v>
      </c>
      <c r="O2568">
        <v>7.0000000000000007E-2</v>
      </c>
      <c r="P2568">
        <v>33.08</v>
      </c>
      <c r="Q2568" t="s">
        <v>9894</v>
      </c>
      <c r="R2568">
        <v>7</v>
      </c>
      <c r="S2568" s="5">
        <f t="shared" si="80"/>
        <v>0.11465012303746577</v>
      </c>
      <c r="T2568">
        <v>144.26499999999999</v>
      </c>
      <c r="U2568">
        <v>4</v>
      </c>
      <c r="V2568">
        <v>2024</v>
      </c>
      <c r="W2568">
        <v>2</v>
      </c>
      <c r="X2568" t="s">
        <v>9899</v>
      </c>
      <c r="Y2568" t="s">
        <v>9901</v>
      </c>
      <c r="Z2568" t="s">
        <v>9899</v>
      </c>
      <c r="AD2568">
        <f t="shared" si="81"/>
        <v>7</v>
      </c>
    </row>
    <row r="2569" spans="1:30" x14ac:dyDescent="0.25">
      <c r="A2569" t="s">
        <v>2593</v>
      </c>
      <c r="B2569" s="2">
        <v>44716</v>
      </c>
      <c r="C2569" s="2">
        <v>44723</v>
      </c>
      <c r="D2569" t="s">
        <v>5324</v>
      </c>
      <c r="E2569" t="s">
        <v>5824</v>
      </c>
      <c r="F2569" t="s">
        <v>6028</v>
      </c>
      <c r="G2569" t="s">
        <v>6029</v>
      </c>
      <c r="H2569" t="s">
        <v>6044</v>
      </c>
      <c r="I2569" t="s">
        <v>6050</v>
      </c>
      <c r="J2569" t="s">
        <v>6055</v>
      </c>
      <c r="K2569" t="s">
        <v>6064</v>
      </c>
      <c r="L2569" t="s">
        <v>8298</v>
      </c>
      <c r="M2569">
        <v>1729.45</v>
      </c>
      <c r="N2569">
        <v>7</v>
      </c>
      <c r="O2569">
        <v>0.17</v>
      </c>
      <c r="P2569">
        <v>-25.91</v>
      </c>
      <c r="Q2569" t="s">
        <v>9893</v>
      </c>
      <c r="R2569">
        <v>7</v>
      </c>
      <c r="S2569" s="5">
        <f t="shared" si="80"/>
        <v>-1.4981641562346411E-2</v>
      </c>
      <c r="T2569">
        <v>247.06428571428569</v>
      </c>
      <c r="U2569">
        <v>6</v>
      </c>
      <c r="V2569">
        <v>2022</v>
      </c>
      <c r="W2569">
        <v>2</v>
      </c>
      <c r="X2569" t="s">
        <v>9898</v>
      </c>
      <c r="Y2569" t="s">
        <v>9900</v>
      </c>
      <c r="Z2569" t="s">
        <v>9898</v>
      </c>
      <c r="AD2569">
        <f t="shared" si="81"/>
        <v>7</v>
      </c>
    </row>
    <row r="2570" spans="1:30" x14ac:dyDescent="0.25">
      <c r="A2570" t="s">
        <v>2594</v>
      </c>
      <c r="B2570" s="2">
        <v>45401</v>
      </c>
      <c r="C2570" s="2">
        <v>45404</v>
      </c>
      <c r="D2570" t="s">
        <v>5339</v>
      </c>
      <c r="E2570" t="s">
        <v>5839</v>
      </c>
      <c r="F2570" t="s">
        <v>6026</v>
      </c>
      <c r="G2570" t="s">
        <v>6030</v>
      </c>
      <c r="H2570" t="s">
        <v>6035</v>
      </c>
      <c r="I2570" t="s">
        <v>6047</v>
      </c>
      <c r="J2570" t="s">
        <v>6054</v>
      </c>
      <c r="K2570" t="s">
        <v>6060</v>
      </c>
      <c r="L2570" t="s">
        <v>8299</v>
      </c>
      <c r="M2570">
        <v>976.85</v>
      </c>
      <c r="N2570">
        <v>1</v>
      </c>
      <c r="O2570">
        <v>0.26</v>
      </c>
      <c r="P2570">
        <v>-1.76</v>
      </c>
      <c r="Q2570" t="s">
        <v>9896</v>
      </c>
      <c r="R2570">
        <v>3</v>
      </c>
      <c r="S2570" s="5">
        <f t="shared" si="80"/>
        <v>-1.8017095767006192E-3</v>
      </c>
      <c r="T2570">
        <v>976.85</v>
      </c>
      <c r="U2570">
        <v>4</v>
      </c>
      <c r="V2570">
        <v>2024</v>
      </c>
      <c r="W2570">
        <v>2</v>
      </c>
      <c r="X2570" t="s">
        <v>9898</v>
      </c>
      <c r="Y2570" t="s">
        <v>9900</v>
      </c>
      <c r="Z2570" t="s">
        <v>9899</v>
      </c>
      <c r="AD2570">
        <f t="shared" si="81"/>
        <v>3</v>
      </c>
    </row>
    <row r="2571" spans="1:30" x14ac:dyDescent="0.25">
      <c r="A2571" t="s">
        <v>2595</v>
      </c>
      <c r="B2571" s="2">
        <v>45332</v>
      </c>
      <c r="C2571" s="2">
        <v>45335</v>
      </c>
      <c r="D2571" t="s">
        <v>5033</v>
      </c>
      <c r="E2571" t="s">
        <v>5533</v>
      </c>
      <c r="F2571" t="s">
        <v>6026</v>
      </c>
      <c r="G2571" t="s">
        <v>6030</v>
      </c>
      <c r="H2571" t="s">
        <v>6035</v>
      </c>
      <c r="I2571" t="s">
        <v>6051</v>
      </c>
      <c r="J2571" t="s">
        <v>6054</v>
      </c>
      <c r="K2571" t="s">
        <v>6060</v>
      </c>
      <c r="L2571" t="s">
        <v>8300</v>
      </c>
      <c r="M2571">
        <v>243.73</v>
      </c>
      <c r="N2571">
        <v>7</v>
      </c>
      <c r="O2571">
        <v>0.11</v>
      </c>
      <c r="P2571">
        <v>33.770000000000003</v>
      </c>
      <c r="Q2571" t="s">
        <v>9896</v>
      </c>
      <c r="R2571">
        <v>3</v>
      </c>
      <c r="S2571" s="5">
        <f t="shared" si="80"/>
        <v>0.13855495835555739</v>
      </c>
      <c r="T2571">
        <v>34.818571428571417</v>
      </c>
      <c r="U2571">
        <v>2</v>
      </c>
      <c r="V2571">
        <v>2024</v>
      </c>
      <c r="W2571">
        <v>1</v>
      </c>
      <c r="X2571" t="s">
        <v>9899</v>
      </c>
      <c r="Y2571" t="s">
        <v>9901</v>
      </c>
      <c r="Z2571" t="s">
        <v>9899</v>
      </c>
      <c r="AD2571">
        <f t="shared" si="81"/>
        <v>3</v>
      </c>
    </row>
    <row r="2572" spans="1:30" x14ac:dyDescent="0.25">
      <c r="A2572" t="s">
        <v>2596</v>
      </c>
      <c r="B2572" s="2">
        <v>44845</v>
      </c>
      <c r="C2572" s="2">
        <v>44848</v>
      </c>
      <c r="D2572" t="s">
        <v>5454</v>
      </c>
      <c r="E2572" t="s">
        <v>5954</v>
      </c>
      <c r="F2572" t="s">
        <v>6027</v>
      </c>
      <c r="G2572" t="s">
        <v>6029</v>
      </c>
      <c r="H2572" t="s">
        <v>6036</v>
      </c>
      <c r="I2572" t="s">
        <v>6050</v>
      </c>
      <c r="J2572" t="s">
        <v>6053</v>
      </c>
      <c r="K2572" t="s">
        <v>6058</v>
      </c>
      <c r="L2572" t="s">
        <v>7438</v>
      </c>
      <c r="M2572">
        <v>139.13</v>
      </c>
      <c r="N2572">
        <v>3</v>
      </c>
      <c r="O2572">
        <v>0.26</v>
      </c>
      <c r="P2572">
        <v>-20.79</v>
      </c>
      <c r="Q2572" t="s">
        <v>9893</v>
      </c>
      <c r="R2572">
        <v>3</v>
      </c>
      <c r="S2572" s="5">
        <f t="shared" si="80"/>
        <v>-0.14942859196434988</v>
      </c>
      <c r="T2572">
        <v>46.376666666666672</v>
      </c>
      <c r="U2572">
        <v>10</v>
      </c>
      <c r="V2572">
        <v>2022</v>
      </c>
      <c r="W2572">
        <v>4</v>
      </c>
      <c r="X2572" t="s">
        <v>9898</v>
      </c>
      <c r="Y2572" t="s">
        <v>9900</v>
      </c>
      <c r="Z2572" t="s">
        <v>9899</v>
      </c>
      <c r="AD2572">
        <f t="shared" si="81"/>
        <v>3</v>
      </c>
    </row>
    <row r="2573" spans="1:30" x14ac:dyDescent="0.25">
      <c r="A2573" t="s">
        <v>2597</v>
      </c>
      <c r="B2573" s="2">
        <v>44691</v>
      </c>
      <c r="C2573" s="2">
        <v>44692</v>
      </c>
      <c r="D2573" t="s">
        <v>5149</v>
      </c>
      <c r="E2573" t="s">
        <v>5649</v>
      </c>
      <c r="F2573" t="s">
        <v>6028</v>
      </c>
      <c r="G2573" t="s">
        <v>6029</v>
      </c>
      <c r="H2573" t="s">
        <v>6045</v>
      </c>
      <c r="I2573" t="s">
        <v>6046</v>
      </c>
      <c r="J2573" t="s">
        <v>6054</v>
      </c>
      <c r="K2573" t="s">
        <v>6062</v>
      </c>
      <c r="L2573" t="s">
        <v>8301</v>
      </c>
      <c r="M2573">
        <v>118.65</v>
      </c>
      <c r="N2573">
        <v>7</v>
      </c>
      <c r="O2573">
        <v>0.21</v>
      </c>
      <c r="P2573">
        <v>5.98</v>
      </c>
      <c r="Q2573" t="s">
        <v>9895</v>
      </c>
      <c r="R2573">
        <v>1</v>
      </c>
      <c r="S2573" s="5">
        <f t="shared" si="80"/>
        <v>5.0400337126000845E-2</v>
      </c>
      <c r="T2573">
        <v>16.95</v>
      </c>
      <c r="U2573">
        <v>5</v>
      </c>
      <c r="V2573">
        <v>2022</v>
      </c>
      <c r="W2573">
        <v>2</v>
      </c>
      <c r="X2573" t="s">
        <v>9899</v>
      </c>
      <c r="Y2573" t="s">
        <v>9900</v>
      </c>
      <c r="Z2573" t="s">
        <v>9899</v>
      </c>
      <c r="AD2573">
        <f t="shared" si="81"/>
        <v>1</v>
      </c>
    </row>
    <row r="2574" spans="1:30" x14ac:dyDescent="0.25">
      <c r="A2574" t="s">
        <v>2598</v>
      </c>
      <c r="B2574" s="2">
        <v>45242</v>
      </c>
      <c r="C2574" s="2">
        <v>45249</v>
      </c>
      <c r="D2574" t="s">
        <v>5153</v>
      </c>
      <c r="E2574" t="s">
        <v>5653</v>
      </c>
      <c r="F2574" t="s">
        <v>6027</v>
      </c>
      <c r="G2574" t="s">
        <v>6029</v>
      </c>
      <c r="H2574" t="s">
        <v>6036</v>
      </c>
      <c r="I2574" t="s">
        <v>6046</v>
      </c>
      <c r="J2574" t="s">
        <v>6055</v>
      </c>
      <c r="K2574" t="s">
        <v>6061</v>
      </c>
      <c r="L2574" t="s">
        <v>8302</v>
      </c>
      <c r="M2574">
        <v>331.96</v>
      </c>
      <c r="N2574">
        <v>4</v>
      </c>
      <c r="O2574">
        <v>0.33</v>
      </c>
      <c r="P2574">
        <v>-52.68</v>
      </c>
      <c r="Q2574" t="s">
        <v>9897</v>
      </c>
      <c r="R2574">
        <v>7</v>
      </c>
      <c r="S2574" s="5">
        <f t="shared" si="80"/>
        <v>-0.15869381853235331</v>
      </c>
      <c r="T2574">
        <v>82.99</v>
      </c>
      <c r="U2574">
        <v>11</v>
      </c>
      <c r="V2574">
        <v>2023</v>
      </c>
      <c r="W2574">
        <v>4</v>
      </c>
      <c r="X2574" t="s">
        <v>9898</v>
      </c>
      <c r="Y2574" t="s">
        <v>9902</v>
      </c>
      <c r="Z2574" t="s">
        <v>9899</v>
      </c>
      <c r="AD2574">
        <f t="shared" si="81"/>
        <v>7</v>
      </c>
    </row>
    <row r="2575" spans="1:30" x14ac:dyDescent="0.25">
      <c r="A2575" t="s">
        <v>2599</v>
      </c>
      <c r="B2575" s="2">
        <v>44639</v>
      </c>
      <c r="C2575" s="2">
        <v>44644</v>
      </c>
      <c r="D2575" t="s">
        <v>5162</v>
      </c>
      <c r="E2575" t="s">
        <v>5662</v>
      </c>
      <c r="F2575" t="s">
        <v>6028</v>
      </c>
      <c r="G2575" t="s">
        <v>6030</v>
      </c>
      <c r="H2575" t="s">
        <v>6035</v>
      </c>
      <c r="I2575" t="s">
        <v>6051</v>
      </c>
      <c r="J2575" t="s">
        <v>6054</v>
      </c>
      <c r="K2575" t="s">
        <v>6062</v>
      </c>
      <c r="L2575" t="s">
        <v>8303</v>
      </c>
      <c r="M2575">
        <v>1004.31</v>
      </c>
      <c r="N2575">
        <v>1</v>
      </c>
      <c r="O2575">
        <v>0.27</v>
      </c>
      <c r="P2575">
        <v>-95.22</v>
      </c>
      <c r="Q2575" t="s">
        <v>9895</v>
      </c>
      <c r="R2575">
        <v>5</v>
      </c>
      <c r="S2575" s="5">
        <f t="shared" si="80"/>
        <v>-9.4811363025360695E-2</v>
      </c>
      <c r="T2575">
        <v>1004.31</v>
      </c>
      <c r="U2575">
        <v>3</v>
      </c>
      <c r="V2575">
        <v>2022</v>
      </c>
      <c r="W2575">
        <v>1</v>
      </c>
      <c r="X2575" t="s">
        <v>9898</v>
      </c>
      <c r="Y2575" t="s">
        <v>9900</v>
      </c>
      <c r="Z2575" t="s">
        <v>9898</v>
      </c>
      <c r="AD2575">
        <f t="shared" si="81"/>
        <v>5</v>
      </c>
    </row>
    <row r="2576" spans="1:30" x14ac:dyDescent="0.25">
      <c r="A2576" t="s">
        <v>2600</v>
      </c>
      <c r="B2576" s="2">
        <v>45366</v>
      </c>
      <c r="C2576" s="2">
        <v>45369</v>
      </c>
      <c r="D2576" t="s">
        <v>5053</v>
      </c>
      <c r="E2576" t="s">
        <v>5553</v>
      </c>
      <c r="F2576" t="s">
        <v>6027</v>
      </c>
      <c r="G2576" t="s">
        <v>6031</v>
      </c>
      <c r="H2576" t="s">
        <v>6043</v>
      </c>
      <c r="I2576" t="s">
        <v>6048</v>
      </c>
      <c r="J2576" t="s">
        <v>6054</v>
      </c>
      <c r="K2576" t="s">
        <v>6062</v>
      </c>
      <c r="L2576" t="s">
        <v>8304</v>
      </c>
      <c r="M2576">
        <v>377.39</v>
      </c>
      <c r="N2576">
        <v>5</v>
      </c>
      <c r="O2576">
        <v>0.08</v>
      </c>
      <c r="P2576">
        <v>38.840000000000003</v>
      </c>
      <c r="Q2576" t="s">
        <v>9896</v>
      </c>
      <c r="R2576">
        <v>3</v>
      </c>
      <c r="S2576" s="5">
        <f t="shared" si="80"/>
        <v>0.10291740639656589</v>
      </c>
      <c r="T2576">
        <v>75.477999999999994</v>
      </c>
      <c r="U2576">
        <v>3</v>
      </c>
      <c r="V2576">
        <v>2024</v>
      </c>
      <c r="W2576">
        <v>1</v>
      </c>
      <c r="X2576" t="s">
        <v>9899</v>
      </c>
      <c r="Y2576" t="s">
        <v>9901</v>
      </c>
      <c r="Z2576" t="s">
        <v>9899</v>
      </c>
      <c r="AD2576">
        <f t="shared" si="81"/>
        <v>3</v>
      </c>
    </row>
    <row r="2577" spans="1:30" x14ac:dyDescent="0.25">
      <c r="A2577" t="s">
        <v>2601</v>
      </c>
      <c r="B2577" s="2">
        <v>45017</v>
      </c>
      <c r="C2577" s="2">
        <v>45021</v>
      </c>
      <c r="D2577" t="s">
        <v>5266</v>
      </c>
      <c r="E2577" t="s">
        <v>5766</v>
      </c>
      <c r="F2577" t="s">
        <v>6026</v>
      </c>
      <c r="G2577" t="s">
        <v>6031</v>
      </c>
      <c r="H2577" t="s">
        <v>6043</v>
      </c>
      <c r="I2577" t="s">
        <v>6050</v>
      </c>
      <c r="J2577" t="s">
        <v>6055</v>
      </c>
      <c r="K2577" t="s">
        <v>6061</v>
      </c>
      <c r="L2577" t="s">
        <v>8220</v>
      </c>
      <c r="M2577">
        <v>919.22</v>
      </c>
      <c r="N2577">
        <v>4</v>
      </c>
      <c r="O2577">
        <v>0.21</v>
      </c>
      <c r="P2577">
        <v>-21.49</v>
      </c>
      <c r="Q2577" t="s">
        <v>9894</v>
      </c>
      <c r="R2577">
        <v>4</v>
      </c>
      <c r="S2577" s="5">
        <f t="shared" si="80"/>
        <v>-2.3378516568394941E-2</v>
      </c>
      <c r="T2577">
        <v>229.80500000000001</v>
      </c>
      <c r="U2577">
        <v>4</v>
      </c>
      <c r="V2577">
        <v>2023</v>
      </c>
      <c r="W2577">
        <v>2</v>
      </c>
      <c r="X2577" t="s">
        <v>9898</v>
      </c>
      <c r="Y2577" t="s">
        <v>9900</v>
      </c>
      <c r="Z2577" t="s">
        <v>9899</v>
      </c>
      <c r="AD2577">
        <f t="shared" si="81"/>
        <v>4</v>
      </c>
    </row>
    <row r="2578" spans="1:30" x14ac:dyDescent="0.25">
      <c r="A2578" t="s">
        <v>2602</v>
      </c>
      <c r="B2578" s="2">
        <v>44705</v>
      </c>
      <c r="C2578" s="2">
        <v>44706</v>
      </c>
      <c r="D2578" t="s">
        <v>5140</v>
      </c>
      <c r="E2578" t="s">
        <v>5640</v>
      </c>
      <c r="F2578" t="s">
        <v>6026</v>
      </c>
      <c r="G2578" t="s">
        <v>6030</v>
      </c>
      <c r="H2578" t="s">
        <v>6035</v>
      </c>
      <c r="I2578" t="s">
        <v>6047</v>
      </c>
      <c r="J2578" t="s">
        <v>6054</v>
      </c>
      <c r="K2578" t="s">
        <v>6062</v>
      </c>
      <c r="L2578" t="s">
        <v>7890</v>
      </c>
      <c r="M2578">
        <v>1113.03</v>
      </c>
      <c r="N2578">
        <v>8</v>
      </c>
      <c r="O2578">
        <v>0.28000000000000003</v>
      </c>
      <c r="P2578">
        <v>-188.54</v>
      </c>
      <c r="Q2578" t="s">
        <v>9896</v>
      </c>
      <c r="R2578">
        <v>1</v>
      </c>
      <c r="S2578" s="5">
        <f t="shared" si="80"/>
        <v>-0.16939345749889939</v>
      </c>
      <c r="T2578">
        <v>139.12875</v>
      </c>
      <c r="U2578">
        <v>5</v>
      </c>
      <c r="V2578">
        <v>2022</v>
      </c>
      <c r="W2578">
        <v>2</v>
      </c>
      <c r="X2578" t="s">
        <v>9898</v>
      </c>
      <c r="Y2578" t="s">
        <v>9900</v>
      </c>
      <c r="Z2578" t="s">
        <v>9898</v>
      </c>
      <c r="AD2578">
        <f t="shared" si="81"/>
        <v>1</v>
      </c>
    </row>
    <row r="2579" spans="1:30" x14ac:dyDescent="0.25">
      <c r="A2579" t="s">
        <v>2603</v>
      </c>
      <c r="B2579" s="2">
        <v>45097</v>
      </c>
      <c r="C2579" s="2">
        <v>45098</v>
      </c>
      <c r="D2579" t="s">
        <v>5453</v>
      </c>
      <c r="E2579" t="s">
        <v>5953</v>
      </c>
      <c r="F2579" t="s">
        <v>6028</v>
      </c>
      <c r="G2579" t="s">
        <v>6030</v>
      </c>
      <c r="H2579" t="s">
        <v>6035</v>
      </c>
      <c r="I2579" t="s">
        <v>6047</v>
      </c>
      <c r="J2579" t="s">
        <v>6053</v>
      </c>
      <c r="K2579" t="s">
        <v>6056</v>
      </c>
      <c r="L2579" t="s">
        <v>7745</v>
      </c>
      <c r="M2579">
        <v>1129.04</v>
      </c>
      <c r="N2579">
        <v>4</v>
      </c>
      <c r="O2579">
        <v>0.05</v>
      </c>
      <c r="P2579">
        <v>183.62</v>
      </c>
      <c r="Q2579" t="s">
        <v>9893</v>
      </c>
      <c r="R2579">
        <v>1</v>
      </c>
      <c r="S2579" s="5">
        <f t="shared" si="80"/>
        <v>0.16263374194005528</v>
      </c>
      <c r="T2579">
        <v>282.26</v>
      </c>
      <c r="U2579">
        <v>6</v>
      </c>
      <c r="V2579">
        <v>2023</v>
      </c>
      <c r="W2579">
        <v>2</v>
      </c>
      <c r="X2579" t="s">
        <v>9899</v>
      </c>
      <c r="Y2579" t="s">
        <v>9901</v>
      </c>
      <c r="Z2579" t="s">
        <v>9898</v>
      </c>
      <c r="AD2579">
        <f t="shared" si="81"/>
        <v>1</v>
      </c>
    </row>
    <row r="2580" spans="1:30" x14ac:dyDescent="0.25">
      <c r="A2580" t="s">
        <v>2604</v>
      </c>
      <c r="B2580" s="2">
        <v>45022</v>
      </c>
      <c r="C2580" s="2">
        <v>45025</v>
      </c>
      <c r="D2580" t="s">
        <v>5057</v>
      </c>
      <c r="E2580" t="s">
        <v>5557</v>
      </c>
      <c r="F2580" t="s">
        <v>6028</v>
      </c>
      <c r="G2580" t="s">
        <v>6030</v>
      </c>
      <c r="H2580" t="s">
        <v>6035</v>
      </c>
      <c r="I2580" t="s">
        <v>6047</v>
      </c>
      <c r="J2580" t="s">
        <v>6053</v>
      </c>
      <c r="K2580" t="s">
        <v>6058</v>
      </c>
      <c r="L2580" t="s">
        <v>8305</v>
      </c>
      <c r="M2580">
        <v>1633.7</v>
      </c>
      <c r="N2580">
        <v>6</v>
      </c>
      <c r="O2580">
        <v>0.02</v>
      </c>
      <c r="P2580">
        <v>227.33</v>
      </c>
      <c r="Q2580" t="s">
        <v>9897</v>
      </c>
      <c r="R2580">
        <v>3</v>
      </c>
      <c r="S2580" s="5">
        <f t="shared" si="80"/>
        <v>0.13915039480932853</v>
      </c>
      <c r="T2580">
        <v>272.28333333333342</v>
      </c>
      <c r="U2580">
        <v>4</v>
      </c>
      <c r="V2580">
        <v>2023</v>
      </c>
      <c r="W2580">
        <v>2</v>
      </c>
      <c r="X2580" t="s">
        <v>9899</v>
      </c>
      <c r="Y2580" t="s">
        <v>9901</v>
      </c>
      <c r="Z2580" t="s">
        <v>9898</v>
      </c>
      <c r="AD2580">
        <f t="shared" si="81"/>
        <v>3</v>
      </c>
    </row>
    <row r="2581" spans="1:30" x14ac:dyDescent="0.25">
      <c r="A2581" t="s">
        <v>2605</v>
      </c>
      <c r="B2581" s="2">
        <v>45174</v>
      </c>
      <c r="C2581" s="2">
        <v>45180</v>
      </c>
      <c r="D2581" t="s">
        <v>5108</v>
      </c>
      <c r="E2581" t="s">
        <v>5608</v>
      </c>
      <c r="F2581" t="s">
        <v>6027</v>
      </c>
      <c r="G2581" t="s">
        <v>6030</v>
      </c>
      <c r="H2581" t="s">
        <v>6033</v>
      </c>
      <c r="I2581" t="s">
        <v>6047</v>
      </c>
      <c r="J2581" t="s">
        <v>6054</v>
      </c>
      <c r="K2581" t="s">
        <v>6060</v>
      </c>
      <c r="L2581" t="s">
        <v>8306</v>
      </c>
      <c r="M2581">
        <v>566.33000000000004</v>
      </c>
      <c r="N2581">
        <v>4</v>
      </c>
      <c r="O2581">
        <v>0.2</v>
      </c>
      <c r="P2581">
        <v>-11.83</v>
      </c>
      <c r="Q2581" t="s">
        <v>9894</v>
      </c>
      <c r="R2581">
        <v>6</v>
      </c>
      <c r="S2581" s="5">
        <f t="shared" si="80"/>
        <v>-2.0888881041089116E-2</v>
      </c>
      <c r="T2581">
        <v>141.58250000000001</v>
      </c>
      <c r="U2581">
        <v>9</v>
      </c>
      <c r="V2581">
        <v>2023</v>
      </c>
      <c r="W2581">
        <v>3</v>
      </c>
      <c r="X2581" t="s">
        <v>9898</v>
      </c>
      <c r="Y2581" t="s">
        <v>9900</v>
      </c>
      <c r="Z2581" t="s">
        <v>9899</v>
      </c>
      <c r="AD2581">
        <f t="shared" si="81"/>
        <v>6</v>
      </c>
    </row>
    <row r="2582" spans="1:30" x14ac:dyDescent="0.25">
      <c r="A2582" t="s">
        <v>2606</v>
      </c>
      <c r="B2582" s="2">
        <v>44651</v>
      </c>
      <c r="C2582" s="2">
        <v>44654</v>
      </c>
      <c r="D2582" t="s">
        <v>5368</v>
      </c>
      <c r="E2582" t="s">
        <v>5868</v>
      </c>
      <c r="F2582" t="s">
        <v>6026</v>
      </c>
      <c r="G2582" t="s">
        <v>6031</v>
      </c>
      <c r="H2582" t="s">
        <v>6040</v>
      </c>
      <c r="I2582" t="s">
        <v>6052</v>
      </c>
      <c r="J2582" t="s">
        <v>6053</v>
      </c>
      <c r="K2582" t="s">
        <v>6057</v>
      </c>
      <c r="L2582" t="s">
        <v>6558</v>
      </c>
      <c r="M2582">
        <v>534.15</v>
      </c>
      <c r="N2582">
        <v>3</v>
      </c>
      <c r="O2582">
        <v>0.2</v>
      </c>
      <c r="P2582">
        <v>26.68</v>
      </c>
      <c r="Q2582" t="s">
        <v>9895</v>
      </c>
      <c r="R2582">
        <v>3</v>
      </c>
      <c r="S2582" s="5">
        <f t="shared" si="80"/>
        <v>4.9948516334363008E-2</v>
      </c>
      <c r="T2582">
        <v>178.05</v>
      </c>
      <c r="U2582">
        <v>3</v>
      </c>
      <c r="V2582">
        <v>2022</v>
      </c>
      <c r="W2582">
        <v>1</v>
      </c>
      <c r="X2582" t="s">
        <v>9899</v>
      </c>
      <c r="Y2582" t="s">
        <v>9900</v>
      </c>
      <c r="Z2582" t="s">
        <v>9899</v>
      </c>
      <c r="AD2582">
        <f t="shared" si="81"/>
        <v>3</v>
      </c>
    </row>
    <row r="2583" spans="1:30" x14ac:dyDescent="0.25">
      <c r="A2583" t="s">
        <v>2607</v>
      </c>
      <c r="B2583" s="2">
        <v>44933</v>
      </c>
      <c r="C2583" s="2">
        <v>44938</v>
      </c>
      <c r="D2583" t="s">
        <v>5346</v>
      </c>
      <c r="E2583" t="s">
        <v>5846</v>
      </c>
      <c r="F2583" t="s">
        <v>6026</v>
      </c>
      <c r="G2583" t="s">
        <v>6029</v>
      </c>
      <c r="H2583" t="s">
        <v>6032</v>
      </c>
      <c r="I2583" t="s">
        <v>6046</v>
      </c>
      <c r="J2583" t="s">
        <v>6055</v>
      </c>
      <c r="K2583" t="s">
        <v>6063</v>
      </c>
      <c r="L2583" t="s">
        <v>8307</v>
      </c>
      <c r="M2583">
        <v>1078.83</v>
      </c>
      <c r="N2583">
        <v>7</v>
      </c>
      <c r="O2583">
        <v>0.06</v>
      </c>
      <c r="P2583">
        <v>204.83</v>
      </c>
      <c r="Q2583" t="s">
        <v>9896</v>
      </c>
      <c r="R2583">
        <v>5</v>
      </c>
      <c r="S2583" s="5">
        <f t="shared" si="80"/>
        <v>0.18986309242420032</v>
      </c>
      <c r="T2583">
        <v>154.11857142857141</v>
      </c>
      <c r="U2583">
        <v>1</v>
      </c>
      <c r="V2583">
        <v>2023</v>
      </c>
      <c r="W2583">
        <v>1</v>
      </c>
      <c r="X2583" t="s">
        <v>9899</v>
      </c>
      <c r="Y2583" t="s">
        <v>9901</v>
      </c>
      <c r="Z2583" t="s">
        <v>9898</v>
      </c>
      <c r="AD2583">
        <f t="shared" si="81"/>
        <v>5</v>
      </c>
    </row>
    <row r="2584" spans="1:30" x14ac:dyDescent="0.25">
      <c r="A2584" t="s">
        <v>2608</v>
      </c>
      <c r="B2584" s="2">
        <v>44644</v>
      </c>
      <c r="C2584" s="2">
        <v>44647</v>
      </c>
      <c r="D2584" t="s">
        <v>5034</v>
      </c>
      <c r="E2584" t="s">
        <v>5534</v>
      </c>
      <c r="F2584" t="s">
        <v>6028</v>
      </c>
      <c r="G2584" t="s">
        <v>6030</v>
      </c>
      <c r="H2584" t="s">
        <v>6035</v>
      </c>
      <c r="I2584" t="s">
        <v>6051</v>
      </c>
      <c r="J2584" t="s">
        <v>6054</v>
      </c>
      <c r="K2584" t="s">
        <v>6060</v>
      </c>
      <c r="L2584" t="s">
        <v>7041</v>
      </c>
      <c r="M2584">
        <v>934.12</v>
      </c>
      <c r="N2584">
        <v>3</v>
      </c>
      <c r="O2584">
        <v>0.17</v>
      </c>
      <c r="P2584">
        <v>75.86</v>
      </c>
      <c r="Q2584" t="s">
        <v>9896</v>
      </c>
      <c r="R2584">
        <v>3</v>
      </c>
      <c r="S2584" s="5">
        <f t="shared" si="80"/>
        <v>8.1210122896415882E-2</v>
      </c>
      <c r="T2584">
        <v>311.37333333333328</v>
      </c>
      <c r="U2584">
        <v>3</v>
      </c>
      <c r="V2584">
        <v>2022</v>
      </c>
      <c r="W2584">
        <v>1</v>
      </c>
      <c r="X2584" t="s">
        <v>9899</v>
      </c>
      <c r="Y2584" t="s">
        <v>9900</v>
      </c>
      <c r="Z2584" t="s">
        <v>9899</v>
      </c>
      <c r="AD2584">
        <f t="shared" si="81"/>
        <v>3</v>
      </c>
    </row>
    <row r="2585" spans="1:30" x14ac:dyDescent="0.25">
      <c r="A2585" t="s">
        <v>2609</v>
      </c>
      <c r="B2585" s="2">
        <v>44830</v>
      </c>
      <c r="C2585" s="2">
        <v>44837</v>
      </c>
      <c r="D2585" t="s">
        <v>5339</v>
      </c>
      <c r="E2585" t="s">
        <v>5839</v>
      </c>
      <c r="F2585" t="s">
        <v>6026</v>
      </c>
      <c r="G2585" t="s">
        <v>6031</v>
      </c>
      <c r="H2585" t="s">
        <v>6043</v>
      </c>
      <c r="I2585" t="s">
        <v>6048</v>
      </c>
      <c r="J2585" t="s">
        <v>6053</v>
      </c>
      <c r="K2585" t="s">
        <v>6058</v>
      </c>
      <c r="L2585" t="s">
        <v>8308</v>
      </c>
      <c r="M2585">
        <v>1969.9</v>
      </c>
      <c r="N2585">
        <v>6</v>
      </c>
      <c r="O2585">
        <v>0.32</v>
      </c>
      <c r="P2585">
        <v>-152.55000000000001</v>
      </c>
      <c r="Q2585" t="s">
        <v>9895</v>
      </c>
      <c r="R2585">
        <v>7</v>
      </c>
      <c r="S2585" s="5">
        <f t="shared" si="80"/>
        <v>-7.7440479212142754E-2</v>
      </c>
      <c r="T2585">
        <v>328.31666666666672</v>
      </c>
      <c r="U2585">
        <v>9</v>
      </c>
      <c r="V2585">
        <v>2022</v>
      </c>
      <c r="W2585">
        <v>3</v>
      </c>
      <c r="X2585" t="s">
        <v>9898</v>
      </c>
      <c r="Y2585" t="s">
        <v>9902</v>
      </c>
      <c r="Z2585" t="s">
        <v>9898</v>
      </c>
      <c r="AD2585">
        <f t="shared" si="81"/>
        <v>7</v>
      </c>
    </row>
    <row r="2586" spans="1:30" x14ac:dyDescent="0.25">
      <c r="A2586" t="s">
        <v>2610</v>
      </c>
      <c r="B2586" s="2">
        <v>44649</v>
      </c>
      <c r="C2586" s="2">
        <v>44655</v>
      </c>
      <c r="D2586" t="s">
        <v>5176</v>
      </c>
      <c r="E2586" t="s">
        <v>5676</v>
      </c>
      <c r="F2586" t="s">
        <v>6027</v>
      </c>
      <c r="G2586" t="s">
        <v>6030</v>
      </c>
      <c r="H2586" t="s">
        <v>6039</v>
      </c>
      <c r="I2586" t="s">
        <v>6047</v>
      </c>
      <c r="J2586" t="s">
        <v>6054</v>
      </c>
      <c r="K2586" t="s">
        <v>6060</v>
      </c>
      <c r="L2586" t="s">
        <v>7649</v>
      </c>
      <c r="M2586">
        <v>268.91000000000003</v>
      </c>
      <c r="N2586">
        <v>1</v>
      </c>
      <c r="O2586">
        <v>0.31</v>
      </c>
      <c r="P2586">
        <v>-49.08</v>
      </c>
      <c r="Q2586" t="s">
        <v>9893</v>
      </c>
      <c r="R2586">
        <v>6</v>
      </c>
      <c r="S2586" s="5">
        <f t="shared" si="80"/>
        <v>-0.18251459596147407</v>
      </c>
      <c r="T2586">
        <v>268.91000000000003</v>
      </c>
      <c r="U2586">
        <v>3</v>
      </c>
      <c r="V2586">
        <v>2022</v>
      </c>
      <c r="W2586">
        <v>1</v>
      </c>
      <c r="X2586" t="s">
        <v>9898</v>
      </c>
      <c r="Y2586" t="s">
        <v>9902</v>
      </c>
      <c r="Z2586" t="s">
        <v>9899</v>
      </c>
      <c r="AD2586">
        <f t="shared" si="81"/>
        <v>6</v>
      </c>
    </row>
    <row r="2587" spans="1:30" x14ac:dyDescent="0.25">
      <c r="A2587" t="s">
        <v>2611</v>
      </c>
      <c r="B2587" s="2">
        <v>44637</v>
      </c>
      <c r="C2587" s="2">
        <v>44638</v>
      </c>
      <c r="D2587" t="s">
        <v>5272</v>
      </c>
      <c r="E2587" t="s">
        <v>5772</v>
      </c>
      <c r="F2587" t="s">
        <v>6026</v>
      </c>
      <c r="G2587" t="s">
        <v>6031</v>
      </c>
      <c r="H2587" t="s">
        <v>6034</v>
      </c>
      <c r="I2587" t="s">
        <v>6050</v>
      </c>
      <c r="J2587" t="s">
        <v>6053</v>
      </c>
      <c r="K2587" t="s">
        <v>6057</v>
      </c>
      <c r="L2587" t="s">
        <v>6836</v>
      </c>
      <c r="M2587">
        <v>1382.76</v>
      </c>
      <c r="N2587">
        <v>1</v>
      </c>
      <c r="O2587">
        <v>0.34</v>
      </c>
      <c r="P2587">
        <v>-141.36000000000001</v>
      </c>
      <c r="Q2587" t="s">
        <v>9896</v>
      </c>
      <c r="R2587">
        <v>1</v>
      </c>
      <c r="S2587" s="5">
        <f t="shared" si="80"/>
        <v>-0.10223032196476613</v>
      </c>
      <c r="T2587">
        <v>1382.76</v>
      </c>
      <c r="U2587">
        <v>3</v>
      </c>
      <c r="V2587">
        <v>2022</v>
      </c>
      <c r="W2587">
        <v>1</v>
      </c>
      <c r="X2587" t="s">
        <v>9898</v>
      </c>
      <c r="Y2587" t="s">
        <v>9902</v>
      </c>
      <c r="Z2587" t="s">
        <v>9898</v>
      </c>
      <c r="AD2587">
        <f t="shared" si="81"/>
        <v>1</v>
      </c>
    </row>
    <row r="2588" spans="1:30" x14ac:dyDescent="0.25">
      <c r="A2588" t="s">
        <v>2612</v>
      </c>
      <c r="B2588" s="2">
        <v>45167</v>
      </c>
      <c r="C2588" s="2">
        <v>45170</v>
      </c>
      <c r="D2588" t="s">
        <v>5332</v>
      </c>
      <c r="E2588" t="s">
        <v>5832</v>
      </c>
      <c r="F2588" t="s">
        <v>6028</v>
      </c>
      <c r="G2588" t="s">
        <v>6029</v>
      </c>
      <c r="H2588" t="s">
        <v>6045</v>
      </c>
      <c r="I2588" t="s">
        <v>6049</v>
      </c>
      <c r="J2588" t="s">
        <v>6055</v>
      </c>
      <c r="K2588" t="s">
        <v>6063</v>
      </c>
      <c r="L2588" t="s">
        <v>8309</v>
      </c>
      <c r="M2588">
        <v>104.45</v>
      </c>
      <c r="N2588">
        <v>5</v>
      </c>
      <c r="O2588">
        <v>0.01</v>
      </c>
      <c r="P2588">
        <v>27.18</v>
      </c>
      <c r="Q2588" t="s">
        <v>9893</v>
      </c>
      <c r="R2588">
        <v>3</v>
      </c>
      <c r="S2588" s="5">
        <f t="shared" si="80"/>
        <v>0.26022020105313548</v>
      </c>
      <c r="T2588">
        <v>20.89</v>
      </c>
      <c r="U2588">
        <v>8</v>
      </c>
      <c r="V2588">
        <v>2023</v>
      </c>
      <c r="W2588">
        <v>3</v>
      </c>
      <c r="X2588" t="s">
        <v>9899</v>
      </c>
      <c r="Y2588" t="s">
        <v>9901</v>
      </c>
      <c r="Z2588" t="s">
        <v>9899</v>
      </c>
      <c r="AD2588">
        <f t="shared" si="81"/>
        <v>3</v>
      </c>
    </row>
    <row r="2589" spans="1:30" x14ac:dyDescent="0.25">
      <c r="A2589" t="s">
        <v>2613</v>
      </c>
      <c r="B2589" s="2">
        <v>44961</v>
      </c>
      <c r="C2589" s="2">
        <v>44964</v>
      </c>
      <c r="D2589" t="s">
        <v>5326</v>
      </c>
      <c r="E2589" t="s">
        <v>5826</v>
      </c>
      <c r="F2589" t="s">
        <v>6028</v>
      </c>
      <c r="G2589" t="s">
        <v>6029</v>
      </c>
      <c r="H2589" t="s">
        <v>6044</v>
      </c>
      <c r="I2589" t="s">
        <v>6050</v>
      </c>
      <c r="J2589" t="s">
        <v>6053</v>
      </c>
      <c r="K2589" t="s">
        <v>6057</v>
      </c>
      <c r="L2589" t="s">
        <v>7524</v>
      </c>
      <c r="M2589">
        <v>1369.63</v>
      </c>
      <c r="N2589">
        <v>8</v>
      </c>
      <c r="O2589">
        <v>7.0000000000000007E-2</v>
      </c>
      <c r="P2589">
        <v>72.08</v>
      </c>
      <c r="Q2589" t="s">
        <v>9897</v>
      </c>
      <c r="R2589">
        <v>3</v>
      </c>
      <c r="S2589" s="5">
        <f t="shared" si="80"/>
        <v>5.2627351912560322E-2</v>
      </c>
      <c r="T2589">
        <v>171.20375000000001</v>
      </c>
      <c r="U2589">
        <v>2</v>
      </c>
      <c r="V2589">
        <v>2023</v>
      </c>
      <c r="W2589">
        <v>1</v>
      </c>
      <c r="X2589" t="s">
        <v>9899</v>
      </c>
      <c r="Y2589" t="s">
        <v>9901</v>
      </c>
      <c r="Z2589" t="s">
        <v>9898</v>
      </c>
      <c r="AD2589">
        <f t="shared" si="81"/>
        <v>3</v>
      </c>
    </row>
    <row r="2590" spans="1:30" x14ac:dyDescent="0.25">
      <c r="A2590" t="s">
        <v>2614</v>
      </c>
      <c r="B2590" s="2">
        <v>44965</v>
      </c>
      <c r="C2590" s="2">
        <v>44969</v>
      </c>
      <c r="D2590" t="s">
        <v>5177</v>
      </c>
      <c r="E2590" t="s">
        <v>5677</v>
      </c>
      <c r="F2590" t="s">
        <v>6026</v>
      </c>
      <c r="G2590" t="s">
        <v>6030</v>
      </c>
      <c r="H2590" t="s">
        <v>6039</v>
      </c>
      <c r="I2590" t="s">
        <v>6051</v>
      </c>
      <c r="J2590" t="s">
        <v>6054</v>
      </c>
      <c r="K2590" t="s">
        <v>6062</v>
      </c>
      <c r="L2590" t="s">
        <v>6771</v>
      </c>
      <c r="M2590">
        <v>246.99</v>
      </c>
      <c r="N2590">
        <v>8</v>
      </c>
      <c r="O2590">
        <v>0.18</v>
      </c>
      <c r="P2590">
        <v>28.03</v>
      </c>
      <c r="Q2590" t="s">
        <v>9897</v>
      </c>
      <c r="R2590">
        <v>4</v>
      </c>
      <c r="S2590" s="5">
        <f t="shared" si="80"/>
        <v>0.11348637596663833</v>
      </c>
      <c r="T2590">
        <v>30.873750000000001</v>
      </c>
      <c r="U2590">
        <v>2</v>
      </c>
      <c r="V2590">
        <v>2023</v>
      </c>
      <c r="W2590">
        <v>1</v>
      </c>
      <c r="X2590" t="s">
        <v>9899</v>
      </c>
      <c r="Y2590" t="s">
        <v>9900</v>
      </c>
      <c r="Z2590" t="s">
        <v>9899</v>
      </c>
      <c r="AD2590">
        <f t="shared" si="81"/>
        <v>4</v>
      </c>
    </row>
    <row r="2591" spans="1:30" x14ac:dyDescent="0.25">
      <c r="A2591" t="s">
        <v>2615</v>
      </c>
      <c r="B2591" s="2">
        <v>44893</v>
      </c>
      <c r="C2591" s="2">
        <v>44899</v>
      </c>
      <c r="D2591" t="s">
        <v>5395</v>
      </c>
      <c r="E2591" t="s">
        <v>5895</v>
      </c>
      <c r="F2591" t="s">
        <v>6028</v>
      </c>
      <c r="G2591" t="s">
        <v>6029</v>
      </c>
      <c r="H2591" t="s">
        <v>6032</v>
      </c>
      <c r="I2591" t="s">
        <v>6050</v>
      </c>
      <c r="J2591" t="s">
        <v>6054</v>
      </c>
      <c r="K2591" t="s">
        <v>6060</v>
      </c>
      <c r="L2591" t="s">
        <v>8310</v>
      </c>
      <c r="M2591">
        <v>345.08</v>
      </c>
      <c r="N2591">
        <v>2</v>
      </c>
      <c r="O2591">
        <v>0.23</v>
      </c>
      <c r="P2591">
        <v>-14.27</v>
      </c>
      <c r="Q2591" t="s">
        <v>9896</v>
      </c>
      <c r="R2591">
        <v>6</v>
      </c>
      <c r="S2591" s="5">
        <f t="shared" si="80"/>
        <v>-4.1352729801785094E-2</v>
      </c>
      <c r="T2591">
        <v>172.54</v>
      </c>
      <c r="U2591">
        <v>11</v>
      </c>
      <c r="V2591">
        <v>2022</v>
      </c>
      <c r="W2591">
        <v>4</v>
      </c>
      <c r="X2591" t="s">
        <v>9898</v>
      </c>
      <c r="Y2591" t="s">
        <v>9900</v>
      </c>
      <c r="Z2591" t="s">
        <v>9899</v>
      </c>
      <c r="AD2591">
        <f t="shared" si="81"/>
        <v>6</v>
      </c>
    </row>
    <row r="2592" spans="1:30" x14ac:dyDescent="0.25">
      <c r="A2592" t="s">
        <v>2616</v>
      </c>
      <c r="B2592" s="2">
        <v>45393</v>
      </c>
      <c r="C2592" s="2">
        <v>45398</v>
      </c>
      <c r="D2592" t="s">
        <v>5153</v>
      </c>
      <c r="E2592" t="s">
        <v>5653</v>
      </c>
      <c r="F2592" t="s">
        <v>6027</v>
      </c>
      <c r="G2592" t="s">
        <v>6031</v>
      </c>
      <c r="H2592" t="s">
        <v>6040</v>
      </c>
      <c r="I2592" t="s">
        <v>6050</v>
      </c>
      <c r="J2592" t="s">
        <v>6055</v>
      </c>
      <c r="K2592" t="s">
        <v>6063</v>
      </c>
      <c r="L2592" t="s">
        <v>8311</v>
      </c>
      <c r="M2592">
        <v>1318.83</v>
      </c>
      <c r="N2592">
        <v>3</v>
      </c>
      <c r="O2592">
        <v>0.14000000000000001</v>
      </c>
      <c r="P2592">
        <v>30.26</v>
      </c>
      <c r="Q2592" t="s">
        <v>9893</v>
      </c>
      <c r="R2592">
        <v>5</v>
      </c>
      <c r="S2592" s="5">
        <f t="shared" si="80"/>
        <v>2.2944579665309404E-2</v>
      </c>
      <c r="T2592">
        <v>439.61</v>
      </c>
      <c r="U2592">
        <v>4</v>
      </c>
      <c r="V2592">
        <v>2024</v>
      </c>
      <c r="W2592">
        <v>2</v>
      </c>
      <c r="X2592" t="s">
        <v>9899</v>
      </c>
      <c r="Y2592" t="s">
        <v>9901</v>
      </c>
      <c r="Z2592" t="s">
        <v>9898</v>
      </c>
      <c r="AD2592">
        <f t="shared" si="81"/>
        <v>5</v>
      </c>
    </row>
    <row r="2593" spans="1:30" x14ac:dyDescent="0.25">
      <c r="A2593" t="s">
        <v>2617</v>
      </c>
      <c r="B2593" s="2">
        <v>44710</v>
      </c>
      <c r="C2593" s="2">
        <v>44717</v>
      </c>
      <c r="D2593" t="s">
        <v>5513</v>
      </c>
      <c r="E2593" t="s">
        <v>6013</v>
      </c>
      <c r="F2593" t="s">
        <v>6026</v>
      </c>
      <c r="G2593" t="s">
        <v>6031</v>
      </c>
      <c r="H2593" t="s">
        <v>6034</v>
      </c>
      <c r="I2593" t="s">
        <v>6050</v>
      </c>
      <c r="J2593" t="s">
        <v>6054</v>
      </c>
      <c r="K2593" t="s">
        <v>6062</v>
      </c>
      <c r="L2593" t="s">
        <v>8312</v>
      </c>
      <c r="M2593">
        <v>637.44000000000005</v>
      </c>
      <c r="N2593">
        <v>5</v>
      </c>
      <c r="O2593">
        <v>0.08</v>
      </c>
      <c r="P2593">
        <v>27.16</v>
      </c>
      <c r="Q2593" t="s">
        <v>9896</v>
      </c>
      <c r="R2593">
        <v>7</v>
      </c>
      <c r="S2593" s="5">
        <f t="shared" si="80"/>
        <v>4.2607931726907626E-2</v>
      </c>
      <c r="T2593">
        <v>127.488</v>
      </c>
      <c r="U2593">
        <v>5</v>
      </c>
      <c r="V2593">
        <v>2022</v>
      </c>
      <c r="W2593">
        <v>2</v>
      </c>
      <c r="X2593" t="s">
        <v>9899</v>
      </c>
      <c r="Y2593" t="s">
        <v>9901</v>
      </c>
      <c r="Z2593" t="s">
        <v>9899</v>
      </c>
      <c r="AD2593">
        <f t="shared" si="81"/>
        <v>7</v>
      </c>
    </row>
    <row r="2594" spans="1:30" x14ac:dyDescent="0.25">
      <c r="A2594" t="s">
        <v>2618</v>
      </c>
      <c r="B2594" s="2">
        <v>44890</v>
      </c>
      <c r="C2594" s="2">
        <v>44893</v>
      </c>
      <c r="D2594" t="s">
        <v>5168</v>
      </c>
      <c r="E2594" t="s">
        <v>5668</v>
      </c>
      <c r="F2594" t="s">
        <v>6027</v>
      </c>
      <c r="G2594" t="s">
        <v>6030</v>
      </c>
      <c r="H2594" t="s">
        <v>6035</v>
      </c>
      <c r="I2594" t="s">
        <v>6047</v>
      </c>
      <c r="J2594" t="s">
        <v>6053</v>
      </c>
      <c r="K2594" t="s">
        <v>6056</v>
      </c>
      <c r="L2594" t="s">
        <v>8313</v>
      </c>
      <c r="M2594">
        <v>493.04</v>
      </c>
      <c r="N2594">
        <v>4</v>
      </c>
      <c r="O2594">
        <v>0.22</v>
      </c>
      <c r="P2594">
        <v>-29.78</v>
      </c>
      <c r="Q2594" t="s">
        <v>9893</v>
      </c>
      <c r="R2594">
        <v>3</v>
      </c>
      <c r="S2594" s="5">
        <f t="shared" si="80"/>
        <v>-6.040077884147331E-2</v>
      </c>
      <c r="T2594">
        <v>123.26</v>
      </c>
      <c r="U2594">
        <v>11</v>
      </c>
      <c r="V2594">
        <v>2022</v>
      </c>
      <c r="W2594">
        <v>4</v>
      </c>
      <c r="X2594" t="s">
        <v>9898</v>
      </c>
      <c r="Y2594" t="s">
        <v>9900</v>
      </c>
      <c r="Z2594" t="s">
        <v>9899</v>
      </c>
      <c r="AD2594">
        <f t="shared" si="81"/>
        <v>3</v>
      </c>
    </row>
    <row r="2595" spans="1:30" x14ac:dyDescent="0.25">
      <c r="A2595" t="s">
        <v>2619</v>
      </c>
      <c r="B2595" s="2">
        <v>44784</v>
      </c>
      <c r="C2595" s="2">
        <v>44785</v>
      </c>
      <c r="D2595" t="s">
        <v>5426</v>
      </c>
      <c r="E2595" t="s">
        <v>5926</v>
      </c>
      <c r="F2595" t="s">
        <v>6027</v>
      </c>
      <c r="G2595" t="s">
        <v>6029</v>
      </c>
      <c r="H2595" t="s">
        <v>6036</v>
      </c>
      <c r="I2595" t="s">
        <v>6049</v>
      </c>
      <c r="J2595" t="s">
        <v>6054</v>
      </c>
      <c r="K2595" t="s">
        <v>6060</v>
      </c>
      <c r="L2595" t="s">
        <v>8314</v>
      </c>
      <c r="M2595">
        <v>417.19</v>
      </c>
      <c r="N2595">
        <v>1</v>
      </c>
      <c r="O2595">
        <v>0.08</v>
      </c>
      <c r="P2595">
        <v>52.99</v>
      </c>
      <c r="Q2595" t="s">
        <v>9895</v>
      </c>
      <c r="R2595">
        <v>1</v>
      </c>
      <c r="S2595" s="5">
        <f t="shared" si="80"/>
        <v>0.1270164673170498</v>
      </c>
      <c r="T2595">
        <v>417.19</v>
      </c>
      <c r="U2595">
        <v>8</v>
      </c>
      <c r="V2595">
        <v>2022</v>
      </c>
      <c r="W2595">
        <v>3</v>
      </c>
      <c r="X2595" t="s">
        <v>9899</v>
      </c>
      <c r="Y2595" t="s">
        <v>9901</v>
      </c>
      <c r="Z2595" t="s">
        <v>9899</v>
      </c>
      <c r="AD2595">
        <f t="shared" si="81"/>
        <v>1</v>
      </c>
    </row>
    <row r="2596" spans="1:30" x14ac:dyDescent="0.25">
      <c r="A2596" t="s">
        <v>2620</v>
      </c>
      <c r="B2596" s="2">
        <v>45022</v>
      </c>
      <c r="C2596" s="2">
        <v>45027</v>
      </c>
      <c r="D2596" t="s">
        <v>5237</v>
      </c>
      <c r="E2596" t="s">
        <v>5737</v>
      </c>
      <c r="F2596" t="s">
        <v>6028</v>
      </c>
      <c r="G2596" t="s">
        <v>6029</v>
      </c>
      <c r="H2596" t="s">
        <v>6044</v>
      </c>
      <c r="I2596" t="s">
        <v>6046</v>
      </c>
      <c r="J2596" t="s">
        <v>6053</v>
      </c>
      <c r="K2596" t="s">
        <v>6057</v>
      </c>
      <c r="L2596" t="s">
        <v>8315</v>
      </c>
      <c r="M2596">
        <v>1554.54</v>
      </c>
      <c r="N2596">
        <v>7</v>
      </c>
      <c r="O2596">
        <v>0.17</v>
      </c>
      <c r="P2596">
        <v>149.86000000000001</v>
      </c>
      <c r="Q2596" t="s">
        <v>9894</v>
      </c>
      <c r="R2596">
        <v>5</v>
      </c>
      <c r="S2596" s="5">
        <f t="shared" si="80"/>
        <v>9.6401507841547995E-2</v>
      </c>
      <c r="T2596">
        <v>222.07714285714289</v>
      </c>
      <c r="U2596">
        <v>4</v>
      </c>
      <c r="V2596">
        <v>2023</v>
      </c>
      <c r="W2596">
        <v>2</v>
      </c>
      <c r="X2596" t="s">
        <v>9899</v>
      </c>
      <c r="Y2596" t="s">
        <v>9900</v>
      </c>
      <c r="Z2596" t="s">
        <v>9898</v>
      </c>
      <c r="AD2596">
        <f t="shared" si="81"/>
        <v>5</v>
      </c>
    </row>
    <row r="2597" spans="1:30" x14ac:dyDescent="0.25">
      <c r="A2597" t="s">
        <v>2621</v>
      </c>
      <c r="B2597" s="2">
        <v>45261</v>
      </c>
      <c r="C2597" s="2">
        <v>45265</v>
      </c>
      <c r="D2597" t="s">
        <v>5260</v>
      </c>
      <c r="E2597" t="s">
        <v>5760</v>
      </c>
      <c r="F2597" t="s">
        <v>6028</v>
      </c>
      <c r="G2597" t="s">
        <v>6029</v>
      </c>
      <c r="H2597" t="s">
        <v>6036</v>
      </c>
      <c r="I2597" t="s">
        <v>6050</v>
      </c>
      <c r="J2597" t="s">
        <v>6054</v>
      </c>
      <c r="K2597" t="s">
        <v>6060</v>
      </c>
      <c r="L2597" t="s">
        <v>8316</v>
      </c>
      <c r="M2597">
        <v>1606.76</v>
      </c>
      <c r="N2597">
        <v>5</v>
      </c>
      <c r="O2597">
        <v>0.17</v>
      </c>
      <c r="P2597">
        <v>56.49</v>
      </c>
      <c r="Q2597" t="s">
        <v>9896</v>
      </c>
      <c r="R2597">
        <v>4</v>
      </c>
      <c r="S2597" s="5">
        <f t="shared" si="80"/>
        <v>3.5157708680823525E-2</v>
      </c>
      <c r="T2597">
        <v>321.35199999999998</v>
      </c>
      <c r="U2597">
        <v>12</v>
      </c>
      <c r="V2597">
        <v>2023</v>
      </c>
      <c r="W2597">
        <v>4</v>
      </c>
      <c r="X2597" t="s">
        <v>9899</v>
      </c>
      <c r="Y2597" t="s">
        <v>9900</v>
      </c>
      <c r="Z2597" t="s">
        <v>9898</v>
      </c>
      <c r="AD2597">
        <f t="shared" si="81"/>
        <v>4</v>
      </c>
    </row>
    <row r="2598" spans="1:30" x14ac:dyDescent="0.25">
      <c r="A2598" t="s">
        <v>2622</v>
      </c>
      <c r="B2598" s="2">
        <v>44887</v>
      </c>
      <c r="C2598" s="2">
        <v>44890</v>
      </c>
      <c r="D2598" t="s">
        <v>5487</v>
      </c>
      <c r="E2598" t="s">
        <v>5987</v>
      </c>
      <c r="F2598" t="s">
        <v>6028</v>
      </c>
      <c r="G2598" t="s">
        <v>6030</v>
      </c>
      <c r="H2598" t="s">
        <v>6035</v>
      </c>
      <c r="I2598" t="s">
        <v>6047</v>
      </c>
      <c r="J2598" t="s">
        <v>6055</v>
      </c>
      <c r="K2598" t="s">
        <v>6064</v>
      </c>
      <c r="L2598" t="s">
        <v>8317</v>
      </c>
      <c r="M2598">
        <v>389.55</v>
      </c>
      <c r="N2598">
        <v>4</v>
      </c>
      <c r="O2598">
        <v>0.13</v>
      </c>
      <c r="P2598">
        <v>46.11</v>
      </c>
      <c r="Q2598" t="s">
        <v>9895</v>
      </c>
      <c r="R2598">
        <v>3</v>
      </c>
      <c r="S2598" s="5">
        <f t="shared" si="80"/>
        <v>0.1183673469387755</v>
      </c>
      <c r="T2598">
        <v>97.387500000000003</v>
      </c>
      <c r="U2598">
        <v>11</v>
      </c>
      <c r="V2598">
        <v>2022</v>
      </c>
      <c r="W2598">
        <v>4</v>
      </c>
      <c r="X2598" t="s">
        <v>9899</v>
      </c>
      <c r="Y2598" t="s">
        <v>9901</v>
      </c>
      <c r="Z2598" t="s">
        <v>9899</v>
      </c>
      <c r="AD2598">
        <f t="shared" si="81"/>
        <v>3</v>
      </c>
    </row>
    <row r="2599" spans="1:30" x14ac:dyDescent="0.25">
      <c r="A2599" t="s">
        <v>2623</v>
      </c>
      <c r="B2599" s="2">
        <v>45341</v>
      </c>
      <c r="C2599" s="2">
        <v>45343</v>
      </c>
      <c r="D2599" t="s">
        <v>5401</v>
      </c>
      <c r="E2599" t="s">
        <v>5901</v>
      </c>
      <c r="F2599" t="s">
        <v>6026</v>
      </c>
      <c r="G2599" t="s">
        <v>6031</v>
      </c>
      <c r="H2599" t="s">
        <v>6043</v>
      </c>
      <c r="I2599" t="s">
        <v>6052</v>
      </c>
      <c r="J2599" t="s">
        <v>6053</v>
      </c>
      <c r="K2599" t="s">
        <v>6058</v>
      </c>
      <c r="L2599" t="s">
        <v>8318</v>
      </c>
      <c r="M2599">
        <v>636.29</v>
      </c>
      <c r="N2599">
        <v>7</v>
      </c>
      <c r="O2599">
        <v>0.27</v>
      </c>
      <c r="P2599">
        <v>-70.8</v>
      </c>
      <c r="Q2599" t="s">
        <v>9893</v>
      </c>
      <c r="R2599">
        <v>2</v>
      </c>
      <c r="S2599" s="5">
        <f t="shared" si="80"/>
        <v>-0.11127001838784202</v>
      </c>
      <c r="T2599">
        <v>90.898571428571429</v>
      </c>
      <c r="U2599">
        <v>2</v>
      </c>
      <c r="V2599">
        <v>2024</v>
      </c>
      <c r="W2599">
        <v>1</v>
      </c>
      <c r="X2599" t="s">
        <v>9898</v>
      </c>
      <c r="Y2599" t="s">
        <v>9900</v>
      </c>
      <c r="Z2599" t="s">
        <v>9899</v>
      </c>
      <c r="AD2599">
        <f t="shared" si="81"/>
        <v>2</v>
      </c>
    </row>
    <row r="2600" spans="1:30" x14ac:dyDescent="0.25">
      <c r="A2600" t="s">
        <v>2624</v>
      </c>
      <c r="B2600" s="2">
        <v>45336</v>
      </c>
      <c r="C2600" s="2">
        <v>45342</v>
      </c>
      <c r="D2600" t="s">
        <v>5320</v>
      </c>
      <c r="E2600" t="s">
        <v>5820</v>
      </c>
      <c r="F2600" t="s">
        <v>6026</v>
      </c>
      <c r="G2600" t="s">
        <v>6031</v>
      </c>
      <c r="H2600" t="s">
        <v>6034</v>
      </c>
      <c r="I2600" t="s">
        <v>6052</v>
      </c>
      <c r="J2600" t="s">
        <v>6054</v>
      </c>
      <c r="K2600" t="s">
        <v>6059</v>
      </c>
      <c r="L2600" t="s">
        <v>8319</v>
      </c>
      <c r="M2600">
        <v>1059.8</v>
      </c>
      <c r="N2600">
        <v>6</v>
      </c>
      <c r="O2600">
        <v>0.23</v>
      </c>
      <c r="P2600">
        <v>-18.12</v>
      </c>
      <c r="Q2600" t="s">
        <v>9894</v>
      </c>
      <c r="R2600">
        <v>6</v>
      </c>
      <c r="S2600" s="5">
        <f t="shared" si="80"/>
        <v>-1.7097565578411023E-2</v>
      </c>
      <c r="T2600">
        <v>176.6333333333333</v>
      </c>
      <c r="U2600">
        <v>2</v>
      </c>
      <c r="V2600">
        <v>2024</v>
      </c>
      <c r="W2600">
        <v>1</v>
      </c>
      <c r="X2600" t="s">
        <v>9898</v>
      </c>
      <c r="Y2600" t="s">
        <v>9900</v>
      </c>
      <c r="Z2600" t="s">
        <v>9898</v>
      </c>
      <c r="AD2600">
        <f t="shared" si="81"/>
        <v>6</v>
      </c>
    </row>
    <row r="2601" spans="1:30" x14ac:dyDescent="0.25">
      <c r="A2601" t="s">
        <v>2625</v>
      </c>
      <c r="B2601" s="2">
        <v>44665</v>
      </c>
      <c r="C2601" s="2">
        <v>44667</v>
      </c>
      <c r="D2601" t="s">
        <v>5030</v>
      </c>
      <c r="E2601" t="s">
        <v>5530</v>
      </c>
      <c r="F2601" t="s">
        <v>6027</v>
      </c>
      <c r="G2601" t="s">
        <v>6029</v>
      </c>
      <c r="H2601" t="s">
        <v>6044</v>
      </c>
      <c r="I2601" t="s">
        <v>6049</v>
      </c>
      <c r="J2601" t="s">
        <v>6054</v>
      </c>
      <c r="K2601" t="s">
        <v>6060</v>
      </c>
      <c r="L2601" t="s">
        <v>8320</v>
      </c>
      <c r="M2601">
        <v>1457.99</v>
      </c>
      <c r="N2601">
        <v>6</v>
      </c>
      <c r="O2601">
        <v>0.02</v>
      </c>
      <c r="P2601">
        <v>215</v>
      </c>
      <c r="Q2601" t="s">
        <v>9893</v>
      </c>
      <c r="R2601">
        <v>2</v>
      </c>
      <c r="S2601" s="5">
        <f t="shared" si="80"/>
        <v>0.14746328849992113</v>
      </c>
      <c r="T2601">
        <v>242.99833333333331</v>
      </c>
      <c r="U2601">
        <v>4</v>
      </c>
      <c r="V2601">
        <v>2022</v>
      </c>
      <c r="W2601">
        <v>2</v>
      </c>
      <c r="X2601" t="s">
        <v>9899</v>
      </c>
      <c r="Y2601" t="s">
        <v>9901</v>
      </c>
      <c r="Z2601" t="s">
        <v>9898</v>
      </c>
      <c r="AD2601">
        <f t="shared" si="81"/>
        <v>2</v>
      </c>
    </row>
    <row r="2602" spans="1:30" x14ac:dyDescent="0.25">
      <c r="A2602" t="s">
        <v>2626</v>
      </c>
      <c r="B2602" s="2">
        <v>45425</v>
      </c>
      <c r="C2602" s="2">
        <v>45431</v>
      </c>
      <c r="D2602" t="s">
        <v>5248</v>
      </c>
      <c r="E2602" t="s">
        <v>5748</v>
      </c>
      <c r="F2602" t="s">
        <v>6026</v>
      </c>
      <c r="G2602" t="s">
        <v>6029</v>
      </c>
      <c r="H2602" t="s">
        <v>6041</v>
      </c>
      <c r="I2602" t="s">
        <v>6046</v>
      </c>
      <c r="J2602" t="s">
        <v>6055</v>
      </c>
      <c r="K2602" t="s">
        <v>6064</v>
      </c>
      <c r="L2602" t="s">
        <v>8321</v>
      </c>
      <c r="M2602">
        <v>581.96</v>
      </c>
      <c r="N2602">
        <v>8</v>
      </c>
      <c r="O2602">
        <v>0.28000000000000003</v>
      </c>
      <c r="P2602">
        <v>-78.569999999999993</v>
      </c>
      <c r="Q2602" t="s">
        <v>9895</v>
      </c>
      <c r="R2602">
        <v>6</v>
      </c>
      <c r="S2602" s="5">
        <f t="shared" si="80"/>
        <v>-0.13500927898824661</v>
      </c>
      <c r="T2602">
        <v>72.745000000000005</v>
      </c>
      <c r="U2602">
        <v>5</v>
      </c>
      <c r="V2602">
        <v>2024</v>
      </c>
      <c r="W2602">
        <v>2</v>
      </c>
      <c r="X2602" t="s">
        <v>9898</v>
      </c>
      <c r="Y2602" t="s">
        <v>9900</v>
      </c>
      <c r="Z2602" t="s">
        <v>9899</v>
      </c>
      <c r="AD2602">
        <f t="shared" si="81"/>
        <v>6</v>
      </c>
    </row>
    <row r="2603" spans="1:30" x14ac:dyDescent="0.25">
      <c r="A2603" t="s">
        <v>2627</v>
      </c>
      <c r="B2603" s="2">
        <v>45093</v>
      </c>
      <c r="C2603" s="2">
        <v>45096</v>
      </c>
      <c r="D2603" t="s">
        <v>5225</v>
      </c>
      <c r="E2603" t="s">
        <v>5725</v>
      </c>
      <c r="F2603" t="s">
        <v>6027</v>
      </c>
      <c r="G2603" t="s">
        <v>6030</v>
      </c>
      <c r="H2603" t="s">
        <v>6035</v>
      </c>
      <c r="I2603" t="s">
        <v>6047</v>
      </c>
      <c r="J2603" t="s">
        <v>6053</v>
      </c>
      <c r="K2603" t="s">
        <v>6057</v>
      </c>
      <c r="L2603" t="s">
        <v>6921</v>
      </c>
      <c r="M2603">
        <v>762.31</v>
      </c>
      <c r="N2603">
        <v>2</v>
      </c>
      <c r="O2603">
        <v>0.16</v>
      </c>
      <c r="P2603">
        <v>8.6</v>
      </c>
      <c r="Q2603" t="s">
        <v>9897</v>
      </c>
      <c r="R2603">
        <v>3</v>
      </c>
      <c r="S2603" s="5">
        <f t="shared" si="80"/>
        <v>1.1281499652372394E-2</v>
      </c>
      <c r="T2603">
        <v>381.15499999999997</v>
      </c>
      <c r="U2603">
        <v>6</v>
      </c>
      <c r="V2603">
        <v>2023</v>
      </c>
      <c r="W2603">
        <v>2</v>
      </c>
      <c r="X2603" t="s">
        <v>9899</v>
      </c>
      <c r="Y2603" t="s">
        <v>9900</v>
      </c>
      <c r="Z2603" t="s">
        <v>9899</v>
      </c>
      <c r="AD2603">
        <f t="shared" si="81"/>
        <v>3</v>
      </c>
    </row>
    <row r="2604" spans="1:30" x14ac:dyDescent="0.25">
      <c r="A2604" t="s">
        <v>2628</v>
      </c>
      <c r="B2604" s="2">
        <v>44749</v>
      </c>
      <c r="C2604" s="2">
        <v>44754</v>
      </c>
      <c r="D2604" t="s">
        <v>5481</v>
      </c>
      <c r="E2604" t="s">
        <v>5981</v>
      </c>
      <c r="F2604" t="s">
        <v>6028</v>
      </c>
      <c r="G2604" t="s">
        <v>6031</v>
      </c>
      <c r="H2604" t="s">
        <v>6040</v>
      </c>
      <c r="I2604" t="s">
        <v>6050</v>
      </c>
      <c r="J2604" t="s">
        <v>6055</v>
      </c>
      <c r="K2604" t="s">
        <v>6061</v>
      </c>
      <c r="L2604" t="s">
        <v>8322</v>
      </c>
      <c r="M2604">
        <v>247.16</v>
      </c>
      <c r="N2604">
        <v>3</v>
      </c>
      <c r="O2604">
        <v>0.01</v>
      </c>
      <c r="P2604">
        <v>40.76</v>
      </c>
      <c r="Q2604" t="s">
        <v>9894</v>
      </c>
      <c r="R2604">
        <v>5</v>
      </c>
      <c r="S2604" s="5">
        <f t="shared" si="80"/>
        <v>0.1649134164104224</v>
      </c>
      <c r="T2604">
        <v>82.38666666666667</v>
      </c>
      <c r="U2604">
        <v>7</v>
      </c>
      <c r="V2604">
        <v>2022</v>
      </c>
      <c r="W2604">
        <v>3</v>
      </c>
      <c r="X2604" t="s">
        <v>9899</v>
      </c>
      <c r="Y2604" t="s">
        <v>9901</v>
      </c>
      <c r="Z2604" t="s">
        <v>9899</v>
      </c>
      <c r="AD2604">
        <f t="shared" si="81"/>
        <v>5</v>
      </c>
    </row>
    <row r="2605" spans="1:30" x14ac:dyDescent="0.25">
      <c r="A2605" t="s">
        <v>2629</v>
      </c>
      <c r="B2605" s="2">
        <v>44830</v>
      </c>
      <c r="C2605" s="2">
        <v>44831</v>
      </c>
      <c r="D2605" t="s">
        <v>5385</v>
      </c>
      <c r="E2605" t="s">
        <v>5885</v>
      </c>
      <c r="F2605" t="s">
        <v>6026</v>
      </c>
      <c r="G2605" t="s">
        <v>6029</v>
      </c>
      <c r="H2605" t="s">
        <v>6036</v>
      </c>
      <c r="I2605" t="s">
        <v>6050</v>
      </c>
      <c r="J2605" t="s">
        <v>6053</v>
      </c>
      <c r="K2605" t="s">
        <v>6058</v>
      </c>
      <c r="L2605" t="s">
        <v>8323</v>
      </c>
      <c r="M2605">
        <v>1963.97</v>
      </c>
      <c r="N2605">
        <v>2</v>
      </c>
      <c r="O2605">
        <v>0.28000000000000003</v>
      </c>
      <c r="P2605">
        <v>-71.040000000000006</v>
      </c>
      <c r="Q2605" t="s">
        <v>9893</v>
      </c>
      <c r="R2605">
        <v>1</v>
      </c>
      <c r="S2605" s="5">
        <f t="shared" si="80"/>
        <v>-3.6171631949571535E-2</v>
      </c>
      <c r="T2605">
        <v>981.98500000000001</v>
      </c>
      <c r="U2605">
        <v>9</v>
      </c>
      <c r="V2605">
        <v>2022</v>
      </c>
      <c r="W2605">
        <v>3</v>
      </c>
      <c r="X2605" t="s">
        <v>9898</v>
      </c>
      <c r="Y2605" t="s">
        <v>9900</v>
      </c>
      <c r="Z2605" t="s">
        <v>9898</v>
      </c>
      <c r="AD2605">
        <f t="shared" si="81"/>
        <v>1</v>
      </c>
    </row>
    <row r="2606" spans="1:30" x14ac:dyDescent="0.25">
      <c r="A2606" t="s">
        <v>2630</v>
      </c>
      <c r="B2606" s="2">
        <v>45054</v>
      </c>
      <c r="C2606" s="2">
        <v>45055</v>
      </c>
      <c r="D2606" t="s">
        <v>5045</v>
      </c>
      <c r="E2606" t="s">
        <v>5545</v>
      </c>
      <c r="F2606" t="s">
        <v>6028</v>
      </c>
      <c r="G2606" t="s">
        <v>6029</v>
      </c>
      <c r="H2606" t="s">
        <v>6045</v>
      </c>
      <c r="I2606" t="s">
        <v>6050</v>
      </c>
      <c r="J2606" t="s">
        <v>6055</v>
      </c>
      <c r="K2606" t="s">
        <v>6064</v>
      </c>
      <c r="L2606" t="s">
        <v>8324</v>
      </c>
      <c r="M2606">
        <v>653.04999999999995</v>
      </c>
      <c r="N2606">
        <v>4</v>
      </c>
      <c r="O2606">
        <v>0.2</v>
      </c>
      <c r="P2606">
        <v>7.38</v>
      </c>
      <c r="Q2606" t="s">
        <v>9896</v>
      </c>
      <c r="R2606">
        <v>1</v>
      </c>
      <c r="S2606" s="5">
        <f t="shared" si="80"/>
        <v>1.1300819232830566E-2</v>
      </c>
      <c r="T2606">
        <v>163.26249999999999</v>
      </c>
      <c r="U2606">
        <v>5</v>
      </c>
      <c r="V2606">
        <v>2023</v>
      </c>
      <c r="W2606">
        <v>2</v>
      </c>
      <c r="X2606" t="s">
        <v>9899</v>
      </c>
      <c r="Y2606" t="s">
        <v>9900</v>
      </c>
      <c r="Z2606" t="s">
        <v>9899</v>
      </c>
      <c r="AD2606">
        <f t="shared" si="81"/>
        <v>1</v>
      </c>
    </row>
    <row r="2607" spans="1:30" x14ac:dyDescent="0.25">
      <c r="A2607" t="s">
        <v>2631</v>
      </c>
      <c r="B2607" s="2">
        <v>44970</v>
      </c>
      <c r="C2607" s="2">
        <v>44974</v>
      </c>
      <c r="D2607" t="s">
        <v>5431</v>
      </c>
      <c r="E2607" t="s">
        <v>5931</v>
      </c>
      <c r="F2607" t="s">
        <v>6027</v>
      </c>
      <c r="G2607" t="s">
        <v>6030</v>
      </c>
      <c r="H2607" t="s">
        <v>6035</v>
      </c>
      <c r="I2607" t="s">
        <v>6051</v>
      </c>
      <c r="J2607" t="s">
        <v>6055</v>
      </c>
      <c r="K2607" t="s">
        <v>6064</v>
      </c>
      <c r="L2607" t="s">
        <v>8325</v>
      </c>
      <c r="M2607">
        <v>749.07</v>
      </c>
      <c r="N2607">
        <v>6</v>
      </c>
      <c r="O2607">
        <v>0.1</v>
      </c>
      <c r="P2607">
        <v>32.86</v>
      </c>
      <c r="Q2607" t="s">
        <v>9896</v>
      </c>
      <c r="R2607">
        <v>4</v>
      </c>
      <c r="S2607" s="5">
        <f t="shared" si="80"/>
        <v>4.386772931768726E-2</v>
      </c>
      <c r="T2607">
        <v>124.845</v>
      </c>
      <c r="U2607">
        <v>2</v>
      </c>
      <c r="V2607">
        <v>2023</v>
      </c>
      <c r="W2607">
        <v>1</v>
      </c>
      <c r="X2607" t="s">
        <v>9899</v>
      </c>
      <c r="Y2607" t="s">
        <v>9901</v>
      </c>
      <c r="Z2607" t="s">
        <v>9899</v>
      </c>
      <c r="AD2607">
        <f t="shared" si="81"/>
        <v>4</v>
      </c>
    </row>
    <row r="2608" spans="1:30" x14ac:dyDescent="0.25">
      <c r="A2608" t="s">
        <v>2632</v>
      </c>
      <c r="B2608" s="2">
        <v>45433</v>
      </c>
      <c r="C2608" s="2">
        <v>45438</v>
      </c>
      <c r="D2608" t="s">
        <v>5034</v>
      </c>
      <c r="E2608" t="s">
        <v>5534</v>
      </c>
      <c r="F2608" t="s">
        <v>6028</v>
      </c>
      <c r="G2608" t="s">
        <v>6029</v>
      </c>
      <c r="H2608" t="s">
        <v>6045</v>
      </c>
      <c r="I2608" t="s">
        <v>6050</v>
      </c>
      <c r="J2608" t="s">
        <v>6053</v>
      </c>
      <c r="K2608" t="s">
        <v>6057</v>
      </c>
      <c r="L2608" t="s">
        <v>7065</v>
      </c>
      <c r="M2608">
        <v>1138.43</v>
      </c>
      <c r="N2608">
        <v>1</v>
      </c>
      <c r="O2608">
        <v>0.03</v>
      </c>
      <c r="P2608">
        <v>273.36</v>
      </c>
      <c r="Q2608" t="s">
        <v>9894</v>
      </c>
      <c r="R2608">
        <v>5</v>
      </c>
      <c r="S2608" s="5">
        <f t="shared" si="80"/>
        <v>0.24012016549107104</v>
      </c>
      <c r="T2608">
        <v>1138.43</v>
      </c>
      <c r="U2608">
        <v>5</v>
      </c>
      <c r="V2608">
        <v>2024</v>
      </c>
      <c r="W2608">
        <v>2</v>
      </c>
      <c r="X2608" t="s">
        <v>9899</v>
      </c>
      <c r="Y2608" t="s">
        <v>9901</v>
      </c>
      <c r="Z2608" t="s">
        <v>9898</v>
      </c>
      <c r="AD2608">
        <f t="shared" si="81"/>
        <v>5</v>
      </c>
    </row>
    <row r="2609" spans="1:30" x14ac:dyDescent="0.25">
      <c r="A2609" t="s">
        <v>2633</v>
      </c>
      <c r="B2609" s="2">
        <v>44700</v>
      </c>
      <c r="C2609" s="2">
        <v>44705</v>
      </c>
      <c r="D2609" t="s">
        <v>5394</v>
      </c>
      <c r="E2609" t="s">
        <v>5894</v>
      </c>
      <c r="F2609" t="s">
        <v>6026</v>
      </c>
      <c r="G2609" t="s">
        <v>6031</v>
      </c>
      <c r="H2609" t="s">
        <v>6042</v>
      </c>
      <c r="I2609" t="s">
        <v>6048</v>
      </c>
      <c r="J2609" t="s">
        <v>6054</v>
      </c>
      <c r="K2609" t="s">
        <v>6060</v>
      </c>
      <c r="L2609" t="s">
        <v>8326</v>
      </c>
      <c r="M2609">
        <v>953.95</v>
      </c>
      <c r="N2609">
        <v>3</v>
      </c>
      <c r="O2609">
        <v>0.05</v>
      </c>
      <c r="P2609">
        <v>224.9</v>
      </c>
      <c r="Q2609" t="s">
        <v>9896</v>
      </c>
      <c r="R2609">
        <v>5</v>
      </c>
      <c r="S2609" s="5">
        <f t="shared" si="80"/>
        <v>0.23575659101630064</v>
      </c>
      <c r="T2609">
        <v>317.98333333333329</v>
      </c>
      <c r="U2609">
        <v>5</v>
      </c>
      <c r="V2609">
        <v>2022</v>
      </c>
      <c r="W2609">
        <v>2</v>
      </c>
      <c r="X2609" t="s">
        <v>9899</v>
      </c>
      <c r="Y2609" t="s">
        <v>9901</v>
      </c>
      <c r="Z2609" t="s">
        <v>9899</v>
      </c>
      <c r="AD2609">
        <f t="shared" si="81"/>
        <v>5</v>
      </c>
    </row>
    <row r="2610" spans="1:30" x14ac:dyDescent="0.25">
      <c r="A2610" t="s">
        <v>2634</v>
      </c>
      <c r="B2610" s="2">
        <v>45062</v>
      </c>
      <c r="C2610" s="2">
        <v>45069</v>
      </c>
      <c r="D2610" t="s">
        <v>5246</v>
      </c>
      <c r="E2610" t="s">
        <v>5746</v>
      </c>
      <c r="F2610" t="s">
        <v>6028</v>
      </c>
      <c r="G2610" t="s">
        <v>6031</v>
      </c>
      <c r="H2610" t="s">
        <v>6037</v>
      </c>
      <c r="I2610" t="s">
        <v>6050</v>
      </c>
      <c r="J2610" t="s">
        <v>6055</v>
      </c>
      <c r="K2610" t="s">
        <v>6061</v>
      </c>
      <c r="L2610" t="s">
        <v>8327</v>
      </c>
      <c r="M2610">
        <v>335.4</v>
      </c>
      <c r="N2610">
        <v>7</v>
      </c>
      <c r="O2610">
        <v>0.11</v>
      </c>
      <c r="P2610">
        <v>-0.93</v>
      </c>
      <c r="Q2610" t="s">
        <v>9895</v>
      </c>
      <c r="R2610">
        <v>7</v>
      </c>
      <c r="S2610" s="5">
        <f t="shared" si="80"/>
        <v>-2.7728085867620754E-3</v>
      </c>
      <c r="T2610">
        <v>47.914285714285711</v>
      </c>
      <c r="U2610">
        <v>5</v>
      </c>
      <c r="V2610">
        <v>2023</v>
      </c>
      <c r="W2610">
        <v>2</v>
      </c>
      <c r="X2610" t="s">
        <v>9898</v>
      </c>
      <c r="Y2610" t="s">
        <v>9901</v>
      </c>
      <c r="Z2610" t="s">
        <v>9899</v>
      </c>
      <c r="AD2610">
        <f t="shared" si="81"/>
        <v>7</v>
      </c>
    </row>
    <row r="2611" spans="1:30" x14ac:dyDescent="0.25">
      <c r="A2611" t="s">
        <v>2635</v>
      </c>
      <c r="B2611" s="2">
        <v>44858</v>
      </c>
      <c r="C2611" s="2">
        <v>44861</v>
      </c>
      <c r="D2611" t="s">
        <v>5475</v>
      </c>
      <c r="E2611" t="s">
        <v>5975</v>
      </c>
      <c r="F2611" t="s">
        <v>6026</v>
      </c>
      <c r="G2611" t="s">
        <v>6031</v>
      </c>
      <c r="H2611" t="s">
        <v>6043</v>
      </c>
      <c r="I2611" t="s">
        <v>6052</v>
      </c>
      <c r="J2611" t="s">
        <v>6054</v>
      </c>
      <c r="K2611" t="s">
        <v>6062</v>
      </c>
      <c r="L2611" t="s">
        <v>8328</v>
      </c>
      <c r="M2611">
        <v>1930.86</v>
      </c>
      <c r="N2611">
        <v>5</v>
      </c>
      <c r="O2611">
        <v>0.17</v>
      </c>
      <c r="P2611">
        <v>76.2</v>
      </c>
      <c r="Q2611" t="s">
        <v>9894</v>
      </c>
      <c r="R2611">
        <v>3</v>
      </c>
      <c r="S2611" s="5">
        <f t="shared" si="80"/>
        <v>3.946428016531494E-2</v>
      </c>
      <c r="T2611">
        <v>386.17200000000003</v>
      </c>
      <c r="U2611">
        <v>10</v>
      </c>
      <c r="V2611">
        <v>2022</v>
      </c>
      <c r="W2611">
        <v>4</v>
      </c>
      <c r="X2611" t="s">
        <v>9899</v>
      </c>
      <c r="Y2611" t="s">
        <v>9900</v>
      </c>
      <c r="Z2611" t="s">
        <v>9898</v>
      </c>
      <c r="AD2611">
        <f t="shared" si="81"/>
        <v>3</v>
      </c>
    </row>
    <row r="2612" spans="1:30" x14ac:dyDescent="0.25">
      <c r="A2612" t="s">
        <v>2636</v>
      </c>
      <c r="B2612" s="2">
        <v>44886</v>
      </c>
      <c r="C2612" s="2">
        <v>44888</v>
      </c>
      <c r="D2612" t="s">
        <v>5341</v>
      </c>
      <c r="E2612" t="s">
        <v>5841</v>
      </c>
      <c r="F2612" t="s">
        <v>6027</v>
      </c>
      <c r="G2612" t="s">
        <v>6031</v>
      </c>
      <c r="H2612" t="s">
        <v>6034</v>
      </c>
      <c r="I2612" t="s">
        <v>6050</v>
      </c>
      <c r="J2612" t="s">
        <v>6055</v>
      </c>
      <c r="K2612" t="s">
        <v>6064</v>
      </c>
      <c r="L2612" t="s">
        <v>7780</v>
      </c>
      <c r="M2612">
        <v>1464.67</v>
      </c>
      <c r="N2612">
        <v>5</v>
      </c>
      <c r="O2612">
        <v>0.13</v>
      </c>
      <c r="P2612">
        <v>48.31</v>
      </c>
      <c r="Q2612" t="s">
        <v>9897</v>
      </c>
      <c r="R2612">
        <v>2</v>
      </c>
      <c r="S2612" s="5">
        <f t="shared" si="80"/>
        <v>3.2983538954167148E-2</v>
      </c>
      <c r="T2612">
        <v>292.93400000000003</v>
      </c>
      <c r="U2612">
        <v>11</v>
      </c>
      <c r="V2612">
        <v>2022</v>
      </c>
      <c r="W2612">
        <v>4</v>
      </c>
      <c r="X2612" t="s">
        <v>9899</v>
      </c>
      <c r="Y2612" t="s">
        <v>9901</v>
      </c>
      <c r="Z2612" t="s">
        <v>9898</v>
      </c>
      <c r="AD2612">
        <f t="shared" si="81"/>
        <v>2</v>
      </c>
    </row>
    <row r="2613" spans="1:30" x14ac:dyDescent="0.25">
      <c r="A2613" t="s">
        <v>2637</v>
      </c>
      <c r="B2613" s="2">
        <v>44994</v>
      </c>
      <c r="C2613" s="2">
        <v>44996</v>
      </c>
      <c r="D2613" t="s">
        <v>5268</v>
      </c>
      <c r="E2613" t="s">
        <v>5768</v>
      </c>
      <c r="F2613" t="s">
        <v>6027</v>
      </c>
      <c r="G2613" t="s">
        <v>6029</v>
      </c>
      <c r="H2613" t="s">
        <v>6041</v>
      </c>
      <c r="I2613" t="s">
        <v>6049</v>
      </c>
      <c r="J2613" t="s">
        <v>6053</v>
      </c>
      <c r="K2613" t="s">
        <v>6058</v>
      </c>
      <c r="L2613" t="s">
        <v>7082</v>
      </c>
      <c r="M2613">
        <v>1550.77</v>
      </c>
      <c r="N2613">
        <v>2</v>
      </c>
      <c r="O2613">
        <v>0.32</v>
      </c>
      <c r="P2613">
        <v>-320.85000000000002</v>
      </c>
      <c r="Q2613" t="s">
        <v>9895</v>
      </c>
      <c r="R2613">
        <v>2</v>
      </c>
      <c r="S2613" s="5">
        <f t="shared" si="80"/>
        <v>-0.20689721880098275</v>
      </c>
      <c r="T2613">
        <v>775.38499999999999</v>
      </c>
      <c r="U2613">
        <v>3</v>
      </c>
      <c r="V2613">
        <v>2023</v>
      </c>
      <c r="W2613">
        <v>1</v>
      </c>
      <c r="X2613" t="s">
        <v>9898</v>
      </c>
      <c r="Y2613" t="s">
        <v>9902</v>
      </c>
      <c r="Z2613" t="s">
        <v>9898</v>
      </c>
      <c r="AD2613">
        <f t="shared" si="81"/>
        <v>2</v>
      </c>
    </row>
    <row r="2614" spans="1:30" x14ac:dyDescent="0.25">
      <c r="A2614" t="s">
        <v>2638</v>
      </c>
      <c r="B2614" s="2">
        <v>44624</v>
      </c>
      <c r="C2614" s="2">
        <v>44626</v>
      </c>
      <c r="D2614" t="s">
        <v>5168</v>
      </c>
      <c r="E2614" t="s">
        <v>5668</v>
      </c>
      <c r="F2614" t="s">
        <v>6026</v>
      </c>
      <c r="G2614" t="s">
        <v>6029</v>
      </c>
      <c r="H2614" t="s">
        <v>6045</v>
      </c>
      <c r="I2614" t="s">
        <v>6050</v>
      </c>
      <c r="J2614" t="s">
        <v>6054</v>
      </c>
      <c r="K2614" t="s">
        <v>6059</v>
      </c>
      <c r="L2614" t="s">
        <v>6294</v>
      </c>
      <c r="M2614">
        <v>261.11</v>
      </c>
      <c r="N2614">
        <v>8</v>
      </c>
      <c r="O2614">
        <v>0.2</v>
      </c>
      <c r="P2614">
        <v>16.16</v>
      </c>
      <c r="Q2614" t="s">
        <v>9895</v>
      </c>
      <c r="R2614">
        <v>2</v>
      </c>
      <c r="S2614" s="5">
        <f t="shared" si="80"/>
        <v>6.1889625062234305E-2</v>
      </c>
      <c r="T2614">
        <v>32.638750000000002</v>
      </c>
      <c r="U2614">
        <v>3</v>
      </c>
      <c r="V2614">
        <v>2022</v>
      </c>
      <c r="W2614">
        <v>1</v>
      </c>
      <c r="X2614" t="s">
        <v>9899</v>
      </c>
      <c r="Y2614" t="s">
        <v>9900</v>
      </c>
      <c r="Z2614" t="s">
        <v>9899</v>
      </c>
      <c r="AD2614">
        <f t="shared" si="81"/>
        <v>2</v>
      </c>
    </row>
    <row r="2615" spans="1:30" x14ac:dyDescent="0.25">
      <c r="A2615" t="s">
        <v>2639</v>
      </c>
      <c r="B2615" s="2">
        <v>45169</v>
      </c>
      <c r="C2615" s="2">
        <v>45171</v>
      </c>
      <c r="D2615" t="s">
        <v>5058</v>
      </c>
      <c r="E2615" t="s">
        <v>5558</v>
      </c>
      <c r="F2615" t="s">
        <v>6027</v>
      </c>
      <c r="G2615" t="s">
        <v>6031</v>
      </c>
      <c r="H2615" t="s">
        <v>6040</v>
      </c>
      <c r="I2615" t="s">
        <v>6048</v>
      </c>
      <c r="J2615" t="s">
        <v>6053</v>
      </c>
      <c r="K2615" t="s">
        <v>6057</v>
      </c>
      <c r="L2615" t="s">
        <v>8329</v>
      </c>
      <c r="M2615">
        <v>1262.6199999999999</v>
      </c>
      <c r="N2615">
        <v>2</v>
      </c>
      <c r="O2615">
        <v>0.23</v>
      </c>
      <c r="P2615">
        <v>58.71</v>
      </c>
      <c r="Q2615" t="s">
        <v>9894</v>
      </c>
      <c r="R2615">
        <v>2</v>
      </c>
      <c r="S2615" s="5">
        <f t="shared" si="80"/>
        <v>4.6498550632811143E-2</v>
      </c>
      <c r="T2615">
        <v>631.30999999999995</v>
      </c>
      <c r="U2615">
        <v>8</v>
      </c>
      <c r="V2615">
        <v>2023</v>
      </c>
      <c r="W2615">
        <v>3</v>
      </c>
      <c r="X2615" t="s">
        <v>9899</v>
      </c>
      <c r="Y2615" t="s">
        <v>9900</v>
      </c>
      <c r="Z2615" t="s">
        <v>9898</v>
      </c>
      <c r="AD2615">
        <f t="shared" si="81"/>
        <v>2</v>
      </c>
    </row>
    <row r="2616" spans="1:30" x14ac:dyDescent="0.25">
      <c r="A2616" t="s">
        <v>2640</v>
      </c>
      <c r="B2616" s="2">
        <v>45279</v>
      </c>
      <c r="C2616" s="2">
        <v>45284</v>
      </c>
      <c r="D2616" t="s">
        <v>5096</v>
      </c>
      <c r="E2616" t="s">
        <v>5596</v>
      </c>
      <c r="F2616" t="s">
        <v>6026</v>
      </c>
      <c r="G2616" t="s">
        <v>6031</v>
      </c>
      <c r="H2616" t="s">
        <v>6040</v>
      </c>
      <c r="I2616" t="s">
        <v>6050</v>
      </c>
      <c r="J2616" t="s">
        <v>6054</v>
      </c>
      <c r="K2616" t="s">
        <v>6060</v>
      </c>
      <c r="L2616" t="s">
        <v>8106</v>
      </c>
      <c r="M2616">
        <v>1446.8</v>
      </c>
      <c r="N2616">
        <v>7</v>
      </c>
      <c r="O2616">
        <v>0.09</v>
      </c>
      <c r="P2616">
        <v>92.01</v>
      </c>
      <c r="Q2616" t="s">
        <v>9893</v>
      </c>
      <c r="R2616">
        <v>5</v>
      </c>
      <c r="S2616" s="5">
        <f t="shared" si="80"/>
        <v>6.3595521150124415E-2</v>
      </c>
      <c r="T2616">
        <v>206.68571428571431</v>
      </c>
      <c r="U2616">
        <v>12</v>
      </c>
      <c r="V2616">
        <v>2023</v>
      </c>
      <c r="W2616">
        <v>4</v>
      </c>
      <c r="X2616" t="s">
        <v>9899</v>
      </c>
      <c r="Y2616" t="s">
        <v>9901</v>
      </c>
      <c r="Z2616" t="s">
        <v>9898</v>
      </c>
      <c r="AD2616">
        <f t="shared" si="81"/>
        <v>5</v>
      </c>
    </row>
    <row r="2617" spans="1:30" x14ac:dyDescent="0.25">
      <c r="A2617" t="s">
        <v>2641</v>
      </c>
      <c r="B2617" s="2">
        <v>45278</v>
      </c>
      <c r="C2617" s="2">
        <v>45285</v>
      </c>
      <c r="D2617" t="s">
        <v>5357</v>
      </c>
      <c r="E2617" t="s">
        <v>5857</v>
      </c>
      <c r="F2617" t="s">
        <v>6027</v>
      </c>
      <c r="G2617" t="s">
        <v>6030</v>
      </c>
      <c r="H2617" t="s">
        <v>6035</v>
      </c>
      <c r="I2617" t="s">
        <v>6051</v>
      </c>
      <c r="J2617" t="s">
        <v>6055</v>
      </c>
      <c r="K2617" t="s">
        <v>6063</v>
      </c>
      <c r="L2617" t="s">
        <v>8330</v>
      </c>
      <c r="M2617">
        <v>1597.96</v>
      </c>
      <c r="N2617">
        <v>5</v>
      </c>
      <c r="O2617">
        <v>0.28999999999999998</v>
      </c>
      <c r="P2617">
        <v>0.9</v>
      </c>
      <c r="Q2617" t="s">
        <v>9897</v>
      </c>
      <c r="R2617">
        <v>7</v>
      </c>
      <c r="S2617" s="5">
        <f t="shared" si="80"/>
        <v>5.632181030814288E-4</v>
      </c>
      <c r="T2617">
        <v>319.59199999999998</v>
      </c>
      <c r="U2617">
        <v>12</v>
      </c>
      <c r="V2617">
        <v>2023</v>
      </c>
      <c r="W2617">
        <v>4</v>
      </c>
      <c r="X2617" t="s">
        <v>9899</v>
      </c>
      <c r="Y2617" t="s">
        <v>9900</v>
      </c>
      <c r="Z2617" t="s">
        <v>9898</v>
      </c>
      <c r="AD2617">
        <f t="shared" si="81"/>
        <v>7</v>
      </c>
    </row>
    <row r="2618" spans="1:30" x14ac:dyDescent="0.25">
      <c r="A2618" t="s">
        <v>2642</v>
      </c>
      <c r="B2618" s="2">
        <v>45219</v>
      </c>
      <c r="C2618" s="2">
        <v>45224</v>
      </c>
      <c r="D2618" t="s">
        <v>5103</v>
      </c>
      <c r="E2618" t="s">
        <v>5603</v>
      </c>
      <c r="F2618" t="s">
        <v>6028</v>
      </c>
      <c r="G2618" t="s">
        <v>6030</v>
      </c>
      <c r="H2618" t="s">
        <v>6033</v>
      </c>
      <c r="I2618" t="s">
        <v>6051</v>
      </c>
      <c r="J2618" t="s">
        <v>6055</v>
      </c>
      <c r="K2618" t="s">
        <v>6063</v>
      </c>
      <c r="L2618" t="s">
        <v>8331</v>
      </c>
      <c r="M2618">
        <v>1836.4</v>
      </c>
      <c r="N2618">
        <v>3</v>
      </c>
      <c r="O2618">
        <v>0.28000000000000003</v>
      </c>
      <c r="P2618">
        <v>-97.15</v>
      </c>
      <c r="Q2618" t="s">
        <v>9895</v>
      </c>
      <c r="R2618">
        <v>5</v>
      </c>
      <c r="S2618" s="5">
        <f t="shared" si="80"/>
        <v>-5.2902417773905468E-2</v>
      </c>
      <c r="T2618">
        <v>612.13333333333333</v>
      </c>
      <c r="U2618">
        <v>10</v>
      </c>
      <c r="V2618">
        <v>2023</v>
      </c>
      <c r="W2618">
        <v>4</v>
      </c>
      <c r="X2618" t="s">
        <v>9898</v>
      </c>
      <c r="Y2618" t="s">
        <v>9900</v>
      </c>
      <c r="Z2618" t="s">
        <v>9898</v>
      </c>
      <c r="AD2618">
        <f t="shared" si="81"/>
        <v>5</v>
      </c>
    </row>
    <row r="2619" spans="1:30" x14ac:dyDescent="0.25">
      <c r="A2619" t="s">
        <v>2643</v>
      </c>
      <c r="B2619" s="2">
        <v>44899</v>
      </c>
      <c r="C2619" s="2">
        <v>44903</v>
      </c>
      <c r="D2619" t="s">
        <v>5341</v>
      </c>
      <c r="E2619" t="s">
        <v>5841</v>
      </c>
      <c r="F2619" t="s">
        <v>6026</v>
      </c>
      <c r="G2619" t="s">
        <v>6031</v>
      </c>
      <c r="H2619" t="s">
        <v>6037</v>
      </c>
      <c r="I2619" t="s">
        <v>6050</v>
      </c>
      <c r="J2619" t="s">
        <v>6055</v>
      </c>
      <c r="K2619" t="s">
        <v>6064</v>
      </c>
      <c r="L2619" t="s">
        <v>8332</v>
      </c>
      <c r="M2619">
        <v>1122.52</v>
      </c>
      <c r="N2619">
        <v>1</v>
      </c>
      <c r="O2619">
        <v>0.02</v>
      </c>
      <c r="P2619">
        <v>216.12</v>
      </c>
      <c r="Q2619" t="s">
        <v>9894</v>
      </c>
      <c r="R2619">
        <v>4</v>
      </c>
      <c r="S2619" s="5">
        <f t="shared" si="80"/>
        <v>0.19253109076007555</v>
      </c>
      <c r="T2619">
        <v>1122.52</v>
      </c>
      <c r="U2619">
        <v>12</v>
      </c>
      <c r="V2619">
        <v>2022</v>
      </c>
      <c r="W2619">
        <v>4</v>
      </c>
      <c r="X2619" t="s">
        <v>9899</v>
      </c>
      <c r="Y2619" t="s">
        <v>9901</v>
      </c>
      <c r="Z2619" t="s">
        <v>9898</v>
      </c>
      <c r="AD2619">
        <f t="shared" si="81"/>
        <v>4</v>
      </c>
    </row>
    <row r="2620" spans="1:30" x14ac:dyDescent="0.25">
      <c r="A2620" t="s">
        <v>2644</v>
      </c>
      <c r="B2620" s="2">
        <v>44582</v>
      </c>
      <c r="C2620" s="2">
        <v>44588</v>
      </c>
      <c r="D2620" t="s">
        <v>5422</v>
      </c>
      <c r="E2620" t="s">
        <v>5922</v>
      </c>
      <c r="F2620" t="s">
        <v>6026</v>
      </c>
      <c r="G2620" t="s">
        <v>6029</v>
      </c>
      <c r="H2620" t="s">
        <v>6045</v>
      </c>
      <c r="I2620" t="s">
        <v>6046</v>
      </c>
      <c r="J2620" t="s">
        <v>6054</v>
      </c>
      <c r="K2620" t="s">
        <v>6059</v>
      </c>
      <c r="L2620" t="s">
        <v>8333</v>
      </c>
      <c r="M2620">
        <v>233.16</v>
      </c>
      <c r="N2620">
        <v>2</v>
      </c>
      <c r="O2620">
        <v>0.28999999999999998</v>
      </c>
      <c r="P2620">
        <v>-6.65</v>
      </c>
      <c r="Q2620" t="s">
        <v>9896</v>
      </c>
      <c r="R2620">
        <v>6</v>
      </c>
      <c r="S2620" s="5">
        <f t="shared" si="80"/>
        <v>-2.8521187167610228E-2</v>
      </c>
      <c r="T2620">
        <v>116.58</v>
      </c>
      <c r="U2620">
        <v>1</v>
      </c>
      <c r="V2620">
        <v>2022</v>
      </c>
      <c r="W2620">
        <v>1</v>
      </c>
      <c r="X2620" t="s">
        <v>9898</v>
      </c>
      <c r="Y2620" t="s">
        <v>9900</v>
      </c>
      <c r="Z2620" t="s">
        <v>9899</v>
      </c>
      <c r="AD2620">
        <f t="shared" si="81"/>
        <v>6</v>
      </c>
    </row>
    <row r="2621" spans="1:30" x14ac:dyDescent="0.25">
      <c r="A2621" t="s">
        <v>2645</v>
      </c>
      <c r="B2621" s="2">
        <v>44667</v>
      </c>
      <c r="C2621" s="2">
        <v>44672</v>
      </c>
      <c r="D2621" t="s">
        <v>5492</v>
      </c>
      <c r="E2621" t="s">
        <v>5992</v>
      </c>
      <c r="F2621" t="s">
        <v>6026</v>
      </c>
      <c r="G2621" t="s">
        <v>6029</v>
      </c>
      <c r="H2621" t="s">
        <v>6044</v>
      </c>
      <c r="I2621" t="s">
        <v>6050</v>
      </c>
      <c r="J2621" t="s">
        <v>6055</v>
      </c>
      <c r="K2621" t="s">
        <v>6061</v>
      </c>
      <c r="L2621" t="s">
        <v>8334</v>
      </c>
      <c r="M2621">
        <v>1307.44</v>
      </c>
      <c r="N2621">
        <v>8</v>
      </c>
      <c r="O2621">
        <v>0.26</v>
      </c>
      <c r="P2621">
        <v>-111.52</v>
      </c>
      <c r="Q2621" t="s">
        <v>9897</v>
      </c>
      <c r="R2621">
        <v>5</v>
      </c>
      <c r="S2621" s="5">
        <f t="shared" si="80"/>
        <v>-8.5296457198800704E-2</v>
      </c>
      <c r="T2621">
        <v>163.43</v>
      </c>
      <c r="U2621">
        <v>4</v>
      </c>
      <c r="V2621">
        <v>2022</v>
      </c>
      <c r="W2621">
        <v>2</v>
      </c>
      <c r="X2621" t="s">
        <v>9898</v>
      </c>
      <c r="Y2621" t="s">
        <v>9900</v>
      </c>
      <c r="Z2621" t="s">
        <v>9898</v>
      </c>
      <c r="AD2621">
        <f t="shared" si="81"/>
        <v>5</v>
      </c>
    </row>
    <row r="2622" spans="1:30" x14ac:dyDescent="0.25">
      <c r="A2622" t="s">
        <v>2646</v>
      </c>
      <c r="B2622" s="2">
        <v>45092</v>
      </c>
      <c r="C2622" s="2">
        <v>45098</v>
      </c>
      <c r="D2622" t="s">
        <v>5160</v>
      </c>
      <c r="E2622" t="s">
        <v>5660</v>
      </c>
      <c r="F2622" t="s">
        <v>6026</v>
      </c>
      <c r="G2622" t="s">
        <v>6030</v>
      </c>
      <c r="H2622" t="s">
        <v>6035</v>
      </c>
      <c r="I2622" t="s">
        <v>6051</v>
      </c>
      <c r="J2622" t="s">
        <v>6054</v>
      </c>
      <c r="K2622" t="s">
        <v>6060</v>
      </c>
      <c r="L2622" t="s">
        <v>8335</v>
      </c>
      <c r="M2622">
        <v>1722.14</v>
      </c>
      <c r="N2622">
        <v>3</v>
      </c>
      <c r="O2622">
        <v>0.35</v>
      </c>
      <c r="P2622">
        <v>-145.53</v>
      </c>
      <c r="Q2622" t="s">
        <v>9893</v>
      </c>
      <c r="R2622">
        <v>6</v>
      </c>
      <c r="S2622" s="5">
        <f t="shared" si="80"/>
        <v>-8.4505324770343865E-2</v>
      </c>
      <c r="T2622">
        <v>574.04666666666674</v>
      </c>
      <c r="U2622">
        <v>6</v>
      </c>
      <c r="V2622">
        <v>2023</v>
      </c>
      <c r="W2622">
        <v>2</v>
      </c>
      <c r="X2622" t="s">
        <v>9898</v>
      </c>
      <c r="Y2622" t="s">
        <v>9902</v>
      </c>
      <c r="Z2622" t="s">
        <v>9898</v>
      </c>
      <c r="AD2622">
        <f t="shared" si="81"/>
        <v>6</v>
      </c>
    </row>
    <row r="2623" spans="1:30" x14ac:dyDescent="0.25">
      <c r="A2623" t="s">
        <v>2647</v>
      </c>
      <c r="B2623" s="2">
        <v>44599</v>
      </c>
      <c r="C2623" s="2">
        <v>44604</v>
      </c>
      <c r="D2623" t="s">
        <v>5259</v>
      </c>
      <c r="E2623" t="s">
        <v>5759</v>
      </c>
      <c r="F2623" t="s">
        <v>6028</v>
      </c>
      <c r="G2623" t="s">
        <v>6031</v>
      </c>
      <c r="H2623" t="s">
        <v>6043</v>
      </c>
      <c r="I2623" t="s">
        <v>6048</v>
      </c>
      <c r="J2623" t="s">
        <v>6055</v>
      </c>
      <c r="K2623" t="s">
        <v>6063</v>
      </c>
      <c r="L2623" t="s">
        <v>7921</v>
      </c>
      <c r="M2623">
        <v>534.70000000000005</v>
      </c>
      <c r="N2623">
        <v>7</v>
      </c>
      <c r="O2623">
        <v>0.27</v>
      </c>
      <c r="P2623">
        <v>-27.7</v>
      </c>
      <c r="Q2623" t="s">
        <v>9894</v>
      </c>
      <c r="R2623">
        <v>5</v>
      </c>
      <c r="S2623" s="5">
        <f t="shared" si="80"/>
        <v>-5.180475032728632E-2</v>
      </c>
      <c r="T2623">
        <v>76.385714285714286</v>
      </c>
      <c r="U2623">
        <v>2</v>
      </c>
      <c r="V2623">
        <v>2022</v>
      </c>
      <c r="W2623">
        <v>1</v>
      </c>
      <c r="X2623" t="s">
        <v>9898</v>
      </c>
      <c r="Y2623" t="s">
        <v>9900</v>
      </c>
      <c r="Z2623" t="s">
        <v>9899</v>
      </c>
      <c r="AD2623">
        <f t="shared" si="81"/>
        <v>5</v>
      </c>
    </row>
    <row r="2624" spans="1:30" x14ac:dyDescent="0.25">
      <c r="A2624" t="s">
        <v>2648</v>
      </c>
      <c r="B2624" s="2">
        <v>45317</v>
      </c>
      <c r="C2624" s="2">
        <v>45319</v>
      </c>
      <c r="D2624" t="s">
        <v>5166</v>
      </c>
      <c r="E2624" t="s">
        <v>5666</v>
      </c>
      <c r="F2624" t="s">
        <v>6027</v>
      </c>
      <c r="G2624" t="s">
        <v>6029</v>
      </c>
      <c r="H2624" t="s">
        <v>6045</v>
      </c>
      <c r="I2624" t="s">
        <v>6050</v>
      </c>
      <c r="J2624" t="s">
        <v>6054</v>
      </c>
      <c r="K2624" t="s">
        <v>6059</v>
      </c>
      <c r="L2624" t="s">
        <v>8336</v>
      </c>
      <c r="M2624">
        <v>701.41</v>
      </c>
      <c r="N2624">
        <v>8</v>
      </c>
      <c r="O2624">
        <v>0.33</v>
      </c>
      <c r="P2624">
        <v>-139.66</v>
      </c>
      <c r="Q2624" t="s">
        <v>9894</v>
      </c>
      <c r="R2624">
        <v>2</v>
      </c>
      <c r="S2624" s="5">
        <f t="shared" si="80"/>
        <v>-0.19911321481016808</v>
      </c>
      <c r="T2624">
        <v>87.676249999999996</v>
      </c>
      <c r="U2624">
        <v>1</v>
      </c>
      <c r="V2624">
        <v>2024</v>
      </c>
      <c r="W2624">
        <v>1</v>
      </c>
      <c r="X2624" t="s">
        <v>9898</v>
      </c>
      <c r="Y2624" t="s">
        <v>9902</v>
      </c>
      <c r="Z2624" t="s">
        <v>9899</v>
      </c>
      <c r="AD2624">
        <f t="shared" si="81"/>
        <v>2</v>
      </c>
    </row>
    <row r="2625" spans="1:30" x14ac:dyDescent="0.25">
      <c r="A2625" t="s">
        <v>2649</v>
      </c>
      <c r="B2625" s="2">
        <v>45061</v>
      </c>
      <c r="C2625" s="2">
        <v>45067</v>
      </c>
      <c r="D2625" t="s">
        <v>5238</v>
      </c>
      <c r="E2625" t="s">
        <v>5738</v>
      </c>
      <c r="F2625" t="s">
        <v>6026</v>
      </c>
      <c r="G2625" t="s">
        <v>6029</v>
      </c>
      <c r="H2625" t="s">
        <v>6044</v>
      </c>
      <c r="I2625" t="s">
        <v>6046</v>
      </c>
      <c r="J2625" t="s">
        <v>6053</v>
      </c>
      <c r="K2625" t="s">
        <v>6057</v>
      </c>
      <c r="L2625" t="s">
        <v>7106</v>
      </c>
      <c r="M2625">
        <v>1779.36</v>
      </c>
      <c r="N2625">
        <v>4</v>
      </c>
      <c r="O2625">
        <v>0.11</v>
      </c>
      <c r="P2625">
        <v>56.18</v>
      </c>
      <c r="Q2625" t="s">
        <v>9896</v>
      </c>
      <c r="R2625">
        <v>6</v>
      </c>
      <c r="S2625" s="5">
        <f t="shared" si="80"/>
        <v>3.1573149896592032E-2</v>
      </c>
      <c r="T2625">
        <v>444.84</v>
      </c>
      <c r="U2625">
        <v>5</v>
      </c>
      <c r="V2625">
        <v>2023</v>
      </c>
      <c r="W2625">
        <v>2</v>
      </c>
      <c r="X2625" t="s">
        <v>9899</v>
      </c>
      <c r="Y2625" t="s">
        <v>9901</v>
      </c>
      <c r="Z2625" t="s">
        <v>9898</v>
      </c>
      <c r="AD2625">
        <f t="shared" si="81"/>
        <v>6</v>
      </c>
    </row>
    <row r="2626" spans="1:30" x14ac:dyDescent="0.25">
      <c r="A2626" t="s">
        <v>2650</v>
      </c>
      <c r="B2626" s="2">
        <v>45004</v>
      </c>
      <c r="C2626" s="2">
        <v>45011</v>
      </c>
      <c r="D2626" t="s">
        <v>5232</v>
      </c>
      <c r="E2626" t="s">
        <v>5732</v>
      </c>
      <c r="F2626" t="s">
        <v>6027</v>
      </c>
      <c r="G2626" t="s">
        <v>6029</v>
      </c>
      <c r="H2626" t="s">
        <v>6044</v>
      </c>
      <c r="I2626" t="s">
        <v>6050</v>
      </c>
      <c r="J2626" t="s">
        <v>6053</v>
      </c>
      <c r="K2626" t="s">
        <v>6058</v>
      </c>
      <c r="L2626" t="s">
        <v>8337</v>
      </c>
      <c r="M2626">
        <v>1742.51</v>
      </c>
      <c r="N2626">
        <v>3</v>
      </c>
      <c r="O2626">
        <v>0.11</v>
      </c>
      <c r="P2626">
        <v>11.26</v>
      </c>
      <c r="Q2626" t="s">
        <v>9895</v>
      </c>
      <c r="R2626">
        <v>7</v>
      </c>
      <c r="S2626" s="5">
        <f t="shared" si="80"/>
        <v>6.4619428295963864E-3</v>
      </c>
      <c r="T2626">
        <v>580.8366666666667</v>
      </c>
      <c r="U2626">
        <v>3</v>
      </c>
      <c r="V2626">
        <v>2023</v>
      </c>
      <c r="W2626">
        <v>1</v>
      </c>
      <c r="X2626" t="s">
        <v>9899</v>
      </c>
      <c r="Y2626" t="s">
        <v>9901</v>
      </c>
      <c r="Z2626" t="s">
        <v>9898</v>
      </c>
      <c r="AD2626">
        <f t="shared" si="81"/>
        <v>7</v>
      </c>
    </row>
    <row r="2627" spans="1:30" x14ac:dyDescent="0.25">
      <c r="A2627" t="s">
        <v>2651</v>
      </c>
      <c r="B2627" s="2">
        <v>45453</v>
      </c>
      <c r="C2627" s="2">
        <v>45458</v>
      </c>
      <c r="D2627" t="s">
        <v>5113</v>
      </c>
      <c r="E2627" t="s">
        <v>5613</v>
      </c>
      <c r="F2627" t="s">
        <v>6027</v>
      </c>
      <c r="G2627" t="s">
        <v>6031</v>
      </c>
      <c r="H2627" t="s">
        <v>6034</v>
      </c>
      <c r="I2627" t="s">
        <v>6052</v>
      </c>
      <c r="J2627" t="s">
        <v>6055</v>
      </c>
      <c r="K2627" t="s">
        <v>6061</v>
      </c>
      <c r="L2627" t="s">
        <v>8338</v>
      </c>
      <c r="M2627">
        <v>1597.91</v>
      </c>
      <c r="N2627">
        <v>8</v>
      </c>
      <c r="O2627">
        <v>0.16</v>
      </c>
      <c r="P2627">
        <v>6.38</v>
      </c>
      <c r="Q2627" t="s">
        <v>9896</v>
      </c>
      <c r="R2627">
        <v>5</v>
      </c>
      <c r="S2627" s="5">
        <f t="shared" ref="S2627:S2690" si="82">P2627/M2627</f>
        <v>3.9927154846017606E-3</v>
      </c>
      <c r="T2627">
        <v>199.73875000000001</v>
      </c>
      <c r="U2627">
        <v>6</v>
      </c>
      <c r="V2627">
        <v>2024</v>
      </c>
      <c r="W2627">
        <v>2</v>
      </c>
      <c r="X2627" t="s">
        <v>9899</v>
      </c>
      <c r="Y2627" t="s">
        <v>9900</v>
      </c>
      <c r="Z2627" t="s">
        <v>9898</v>
      </c>
      <c r="AD2627">
        <f t="shared" ref="AD2627:AD2690" si="83">C2627-B2627</f>
        <v>5</v>
      </c>
    </row>
    <row r="2628" spans="1:30" x14ac:dyDescent="0.25">
      <c r="A2628" t="s">
        <v>2652</v>
      </c>
      <c r="B2628" s="2">
        <v>45069</v>
      </c>
      <c r="C2628" s="2">
        <v>45075</v>
      </c>
      <c r="D2628" t="s">
        <v>5090</v>
      </c>
      <c r="E2628" t="s">
        <v>5590</v>
      </c>
      <c r="F2628" t="s">
        <v>6026</v>
      </c>
      <c r="G2628" t="s">
        <v>6030</v>
      </c>
      <c r="H2628" t="s">
        <v>6039</v>
      </c>
      <c r="I2628" t="s">
        <v>6051</v>
      </c>
      <c r="J2628" t="s">
        <v>6055</v>
      </c>
      <c r="K2628" t="s">
        <v>6063</v>
      </c>
      <c r="L2628" t="s">
        <v>8339</v>
      </c>
      <c r="M2628">
        <v>917.35</v>
      </c>
      <c r="N2628">
        <v>7</v>
      </c>
      <c r="O2628">
        <v>0.16</v>
      </c>
      <c r="P2628">
        <v>127.36</v>
      </c>
      <c r="Q2628" t="s">
        <v>9895</v>
      </c>
      <c r="R2628">
        <v>6</v>
      </c>
      <c r="S2628" s="5">
        <f t="shared" si="82"/>
        <v>0.13883468686978798</v>
      </c>
      <c r="T2628">
        <v>131.05000000000001</v>
      </c>
      <c r="U2628">
        <v>5</v>
      </c>
      <c r="V2628">
        <v>2023</v>
      </c>
      <c r="W2628">
        <v>2</v>
      </c>
      <c r="X2628" t="s">
        <v>9899</v>
      </c>
      <c r="Y2628" t="s">
        <v>9900</v>
      </c>
      <c r="Z2628" t="s">
        <v>9899</v>
      </c>
      <c r="AD2628">
        <f t="shared" si="83"/>
        <v>6</v>
      </c>
    </row>
    <row r="2629" spans="1:30" x14ac:dyDescent="0.25">
      <c r="A2629" t="s">
        <v>2653</v>
      </c>
      <c r="B2629" s="2">
        <v>45061</v>
      </c>
      <c r="C2629" s="2">
        <v>45064</v>
      </c>
      <c r="D2629" t="s">
        <v>5455</v>
      </c>
      <c r="E2629" t="s">
        <v>5955</v>
      </c>
      <c r="F2629" t="s">
        <v>6028</v>
      </c>
      <c r="G2629" t="s">
        <v>6029</v>
      </c>
      <c r="H2629" t="s">
        <v>6045</v>
      </c>
      <c r="I2629" t="s">
        <v>6050</v>
      </c>
      <c r="J2629" t="s">
        <v>6053</v>
      </c>
      <c r="K2629" t="s">
        <v>6057</v>
      </c>
      <c r="L2629" t="s">
        <v>8340</v>
      </c>
      <c r="M2629">
        <v>1342.36</v>
      </c>
      <c r="N2629">
        <v>3</v>
      </c>
      <c r="O2629">
        <v>0.11</v>
      </c>
      <c r="P2629">
        <v>184.07</v>
      </c>
      <c r="Q2629" t="s">
        <v>9896</v>
      </c>
      <c r="R2629">
        <v>3</v>
      </c>
      <c r="S2629" s="5">
        <f t="shared" si="82"/>
        <v>0.13712416937334249</v>
      </c>
      <c r="T2629">
        <v>447.45333333333332</v>
      </c>
      <c r="U2629">
        <v>5</v>
      </c>
      <c r="V2629">
        <v>2023</v>
      </c>
      <c r="W2629">
        <v>2</v>
      </c>
      <c r="X2629" t="s">
        <v>9899</v>
      </c>
      <c r="Y2629" t="s">
        <v>9901</v>
      </c>
      <c r="Z2629" t="s">
        <v>9898</v>
      </c>
      <c r="AD2629">
        <f t="shared" si="83"/>
        <v>3</v>
      </c>
    </row>
    <row r="2630" spans="1:30" x14ac:dyDescent="0.25">
      <c r="A2630" t="s">
        <v>2654</v>
      </c>
      <c r="B2630" s="2">
        <v>45087</v>
      </c>
      <c r="C2630" s="2">
        <v>45091</v>
      </c>
      <c r="D2630" t="s">
        <v>5131</v>
      </c>
      <c r="E2630" t="s">
        <v>5631</v>
      </c>
      <c r="F2630" t="s">
        <v>6028</v>
      </c>
      <c r="G2630" t="s">
        <v>6031</v>
      </c>
      <c r="H2630" t="s">
        <v>6037</v>
      </c>
      <c r="I2630" t="s">
        <v>6050</v>
      </c>
      <c r="J2630" t="s">
        <v>6053</v>
      </c>
      <c r="K2630" t="s">
        <v>6057</v>
      </c>
      <c r="L2630" t="s">
        <v>8341</v>
      </c>
      <c r="M2630">
        <v>949.92</v>
      </c>
      <c r="N2630">
        <v>3</v>
      </c>
      <c r="O2630">
        <v>0.08</v>
      </c>
      <c r="P2630">
        <v>122.16</v>
      </c>
      <c r="Q2630" t="s">
        <v>9897</v>
      </c>
      <c r="R2630">
        <v>4</v>
      </c>
      <c r="S2630" s="5">
        <f t="shared" si="82"/>
        <v>0.12860030318342597</v>
      </c>
      <c r="T2630">
        <v>316.64</v>
      </c>
      <c r="U2630">
        <v>6</v>
      </c>
      <c r="V2630">
        <v>2023</v>
      </c>
      <c r="W2630">
        <v>2</v>
      </c>
      <c r="X2630" t="s">
        <v>9899</v>
      </c>
      <c r="Y2630" t="s">
        <v>9901</v>
      </c>
      <c r="Z2630" t="s">
        <v>9899</v>
      </c>
      <c r="AD2630">
        <f t="shared" si="83"/>
        <v>4</v>
      </c>
    </row>
    <row r="2631" spans="1:30" x14ac:dyDescent="0.25">
      <c r="A2631" t="s">
        <v>2655</v>
      </c>
      <c r="B2631" s="2">
        <v>45044</v>
      </c>
      <c r="C2631" s="2">
        <v>45045</v>
      </c>
      <c r="D2631" t="s">
        <v>5161</v>
      </c>
      <c r="E2631" t="s">
        <v>5661</v>
      </c>
      <c r="F2631" t="s">
        <v>6028</v>
      </c>
      <c r="G2631" t="s">
        <v>6030</v>
      </c>
      <c r="H2631" t="s">
        <v>6033</v>
      </c>
      <c r="I2631" t="s">
        <v>6047</v>
      </c>
      <c r="J2631" t="s">
        <v>6053</v>
      </c>
      <c r="K2631" t="s">
        <v>6057</v>
      </c>
      <c r="L2631" t="s">
        <v>8342</v>
      </c>
      <c r="M2631">
        <v>1664.82</v>
      </c>
      <c r="N2631">
        <v>4</v>
      </c>
      <c r="O2631">
        <v>0.11</v>
      </c>
      <c r="P2631">
        <v>-15.14</v>
      </c>
      <c r="Q2631" t="s">
        <v>9894</v>
      </c>
      <c r="R2631">
        <v>1</v>
      </c>
      <c r="S2631" s="5">
        <f t="shared" si="82"/>
        <v>-9.0940762364700098E-3</v>
      </c>
      <c r="T2631">
        <v>416.20499999999998</v>
      </c>
      <c r="U2631">
        <v>4</v>
      </c>
      <c r="V2631">
        <v>2023</v>
      </c>
      <c r="W2631">
        <v>2</v>
      </c>
      <c r="X2631" t="s">
        <v>9898</v>
      </c>
      <c r="Y2631" t="s">
        <v>9901</v>
      </c>
      <c r="Z2631" t="s">
        <v>9898</v>
      </c>
      <c r="AD2631">
        <f t="shared" si="83"/>
        <v>1</v>
      </c>
    </row>
    <row r="2632" spans="1:30" x14ac:dyDescent="0.25">
      <c r="A2632" t="s">
        <v>2656</v>
      </c>
      <c r="B2632" s="2">
        <v>44683</v>
      </c>
      <c r="C2632" s="2">
        <v>44690</v>
      </c>
      <c r="D2632" t="s">
        <v>5307</v>
      </c>
      <c r="E2632" t="s">
        <v>5807</v>
      </c>
      <c r="F2632" t="s">
        <v>6027</v>
      </c>
      <c r="G2632" t="s">
        <v>6030</v>
      </c>
      <c r="H2632" t="s">
        <v>6033</v>
      </c>
      <c r="I2632" t="s">
        <v>6051</v>
      </c>
      <c r="J2632" t="s">
        <v>6055</v>
      </c>
      <c r="K2632" t="s">
        <v>6063</v>
      </c>
      <c r="L2632" t="s">
        <v>8343</v>
      </c>
      <c r="M2632">
        <v>1822.46</v>
      </c>
      <c r="N2632">
        <v>2</v>
      </c>
      <c r="O2632">
        <v>0.2</v>
      </c>
      <c r="P2632">
        <v>-134.56</v>
      </c>
      <c r="Q2632" t="s">
        <v>9894</v>
      </c>
      <c r="R2632">
        <v>7</v>
      </c>
      <c r="S2632" s="5">
        <f t="shared" si="82"/>
        <v>-7.3834267967472542E-2</v>
      </c>
      <c r="T2632">
        <v>911.23</v>
      </c>
      <c r="U2632">
        <v>5</v>
      </c>
      <c r="V2632">
        <v>2022</v>
      </c>
      <c r="W2632">
        <v>2</v>
      </c>
      <c r="X2632" t="s">
        <v>9898</v>
      </c>
      <c r="Y2632" t="s">
        <v>9900</v>
      </c>
      <c r="Z2632" t="s">
        <v>9898</v>
      </c>
      <c r="AD2632">
        <f t="shared" si="83"/>
        <v>7</v>
      </c>
    </row>
    <row r="2633" spans="1:30" x14ac:dyDescent="0.25">
      <c r="A2633" t="s">
        <v>2657</v>
      </c>
      <c r="B2633" s="2">
        <v>44793</v>
      </c>
      <c r="C2633" s="2">
        <v>44798</v>
      </c>
      <c r="D2633" t="s">
        <v>5115</v>
      </c>
      <c r="E2633" t="s">
        <v>5615</v>
      </c>
      <c r="F2633" t="s">
        <v>6026</v>
      </c>
      <c r="G2633" t="s">
        <v>6030</v>
      </c>
      <c r="H2633" t="s">
        <v>6035</v>
      </c>
      <c r="I2633" t="s">
        <v>6047</v>
      </c>
      <c r="J2633" t="s">
        <v>6053</v>
      </c>
      <c r="K2633" t="s">
        <v>6058</v>
      </c>
      <c r="L2633" t="s">
        <v>6956</v>
      </c>
      <c r="M2633">
        <v>1591.25</v>
      </c>
      <c r="N2633">
        <v>8</v>
      </c>
      <c r="O2633">
        <v>0.33</v>
      </c>
      <c r="P2633">
        <v>-102.12</v>
      </c>
      <c r="Q2633" t="s">
        <v>9895</v>
      </c>
      <c r="R2633">
        <v>5</v>
      </c>
      <c r="S2633" s="5">
        <f t="shared" si="82"/>
        <v>-6.4175962293794186E-2</v>
      </c>
      <c r="T2633">
        <v>198.90625</v>
      </c>
      <c r="U2633">
        <v>8</v>
      </c>
      <c r="V2633">
        <v>2022</v>
      </c>
      <c r="W2633">
        <v>3</v>
      </c>
      <c r="X2633" t="s">
        <v>9898</v>
      </c>
      <c r="Y2633" t="s">
        <v>9902</v>
      </c>
      <c r="Z2633" t="s">
        <v>9898</v>
      </c>
      <c r="AD2633">
        <f t="shared" si="83"/>
        <v>5</v>
      </c>
    </row>
    <row r="2634" spans="1:30" x14ac:dyDescent="0.25">
      <c r="A2634" t="s">
        <v>2658</v>
      </c>
      <c r="B2634" s="2">
        <v>45329</v>
      </c>
      <c r="C2634" s="2">
        <v>45336</v>
      </c>
      <c r="D2634" t="s">
        <v>5041</v>
      </c>
      <c r="E2634" t="s">
        <v>5541</v>
      </c>
      <c r="F2634" t="s">
        <v>6028</v>
      </c>
      <c r="G2634" t="s">
        <v>6030</v>
      </c>
      <c r="H2634" t="s">
        <v>6039</v>
      </c>
      <c r="I2634" t="s">
        <v>6047</v>
      </c>
      <c r="J2634" t="s">
        <v>6053</v>
      </c>
      <c r="K2634" t="s">
        <v>6058</v>
      </c>
      <c r="L2634" t="s">
        <v>7419</v>
      </c>
      <c r="M2634">
        <v>1798.76</v>
      </c>
      <c r="N2634">
        <v>3</v>
      </c>
      <c r="O2634">
        <v>7.0000000000000007E-2</v>
      </c>
      <c r="P2634">
        <v>215.33</v>
      </c>
      <c r="Q2634" t="s">
        <v>9897</v>
      </c>
      <c r="R2634">
        <v>7</v>
      </c>
      <c r="S2634" s="5">
        <f t="shared" si="82"/>
        <v>0.11971024483533102</v>
      </c>
      <c r="T2634">
        <v>599.5866666666667</v>
      </c>
      <c r="U2634">
        <v>2</v>
      </c>
      <c r="V2634">
        <v>2024</v>
      </c>
      <c r="W2634">
        <v>1</v>
      </c>
      <c r="X2634" t="s">
        <v>9899</v>
      </c>
      <c r="Y2634" t="s">
        <v>9901</v>
      </c>
      <c r="Z2634" t="s">
        <v>9898</v>
      </c>
      <c r="AD2634">
        <f t="shared" si="83"/>
        <v>7</v>
      </c>
    </row>
    <row r="2635" spans="1:30" x14ac:dyDescent="0.25">
      <c r="A2635" t="s">
        <v>2659</v>
      </c>
      <c r="B2635" s="2">
        <v>45260</v>
      </c>
      <c r="C2635" s="2">
        <v>45267</v>
      </c>
      <c r="D2635" t="s">
        <v>5108</v>
      </c>
      <c r="E2635" t="s">
        <v>5608</v>
      </c>
      <c r="F2635" t="s">
        <v>6028</v>
      </c>
      <c r="G2635" t="s">
        <v>6031</v>
      </c>
      <c r="H2635" t="s">
        <v>6037</v>
      </c>
      <c r="I2635" t="s">
        <v>6050</v>
      </c>
      <c r="J2635" t="s">
        <v>6055</v>
      </c>
      <c r="K2635" t="s">
        <v>6063</v>
      </c>
      <c r="L2635" t="s">
        <v>8344</v>
      </c>
      <c r="M2635">
        <v>235.37</v>
      </c>
      <c r="N2635">
        <v>8</v>
      </c>
      <c r="O2635">
        <v>0.34</v>
      </c>
      <c r="P2635">
        <v>-52.54</v>
      </c>
      <c r="Q2635" t="s">
        <v>9896</v>
      </c>
      <c r="R2635">
        <v>7</v>
      </c>
      <c r="S2635" s="5">
        <f t="shared" si="82"/>
        <v>-0.22322301057908825</v>
      </c>
      <c r="T2635">
        <v>29.421250000000001</v>
      </c>
      <c r="U2635">
        <v>11</v>
      </c>
      <c r="V2635">
        <v>2023</v>
      </c>
      <c r="W2635">
        <v>4</v>
      </c>
      <c r="X2635" t="s">
        <v>9898</v>
      </c>
      <c r="Y2635" t="s">
        <v>9902</v>
      </c>
      <c r="Z2635" t="s">
        <v>9899</v>
      </c>
      <c r="AD2635">
        <f t="shared" si="83"/>
        <v>7</v>
      </c>
    </row>
    <row r="2636" spans="1:30" x14ac:dyDescent="0.25">
      <c r="A2636" t="s">
        <v>2660</v>
      </c>
      <c r="B2636" s="2">
        <v>45398</v>
      </c>
      <c r="C2636" s="2">
        <v>45402</v>
      </c>
      <c r="D2636" t="s">
        <v>5313</v>
      </c>
      <c r="E2636" t="s">
        <v>5813</v>
      </c>
      <c r="F2636" t="s">
        <v>6027</v>
      </c>
      <c r="G2636" t="s">
        <v>6031</v>
      </c>
      <c r="H2636" t="s">
        <v>6043</v>
      </c>
      <c r="I2636" t="s">
        <v>6050</v>
      </c>
      <c r="J2636" t="s">
        <v>6053</v>
      </c>
      <c r="K2636" t="s">
        <v>6056</v>
      </c>
      <c r="L2636" t="s">
        <v>8345</v>
      </c>
      <c r="M2636">
        <v>1648.67</v>
      </c>
      <c r="N2636">
        <v>6</v>
      </c>
      <c r="O2636">
        <v>0.21</v>
      </c>
      <c r="P2636">
        <v>-18.57</v>
      </c>
      <c r="Q2636" t="s">
        <v>9894</v>
      </c>
      <c r="R2636">
        <v>4</v>
      </c>
      <c r="S2636" s="5">
        <f t="shared" si="82"/>
        <v>-1.1263624618631988E-2</v>
      </c>
      <c r="T2636">
        <v>274.77833333333342</v>
      </c>
      <c r="U2636">
        <v>4</v>
      </c>
      <c r="V2636">
        <v>2024</v>
      </c>
      <c r="W2636">
        <v>2</v>
      </c>
      <c r="X2636" t="s">
        <v>9898</v>
      </c>
      <c r="Y2636" t="s">
        <v>9900</v>
      </c>
      <c r="Z2636" t="s">
        <v>9898</v>
      </c>
      <c r="AD2636">
        <f t="shared" si="83"/>
        <v>4</v>
      </c>
    </row>
    <row r="2637" spans="1:30" x14ac:dyDescent="0.25">
      <c r="A2637" t="s">
        <v>2661</v>
      </c>
      <c r="B2637" s="2">
        <v>45426</v>
      </c>
      <c r="C2637" s="2">
        <v>45433</v>
      </c>
      <c r="D2637" t="s">
        <v>5269</v>
      </c>
      <c r="E2637" t="s">
        <v>5769</v>
      </c>
      <c r="F2637" t="s">
        <v>6026</v>
      </c>
      <c r="G2637" t="s">
        <v>6029</v>
      </c>
      <c r="H2637" t="s">
        <v>6036</v>
      </c>
      <c r="I2637" t="s">
        <v>6046</v>
      </c>
      <c r="J2637" t="s">
        <v>6053</v>
      </c>
      <c r="K2637" t="s">
        <v>6057</v>
      </c>
      <c r="L2637" t="s">
        <v>8346</v>
      </c>
      <c r="M2637">
        <v>1315.59</v>
      </c>
      <c r="N2637">
        <v>1</v>
      </c>
      <c r="O2637">
        <v>0.04</v>
      </c>
      <c r="P2637">
        <v>262.11</v>
      </c>
      <c r="Q2637" t="s">
        <v>9896</v>
      </c>
      <c r="R2637">
        <v>7</v>
      </c>
      <c r="S2637" s="5">
        <f t="shared" si="82"/>
        <v>0.19923380384466288</v>
      </c>
      <c r="T2637">
        <v>1315.59</v>
      </c>
      <c r="U2637">
        <v>5</v>
      </c>
      <c r="V2637">
        <v>2024</v>
      </c>
      <c r="W2637">
        <v>2</v>
      </c>
      <c r="X2637" t="s">
        <v>9899</v>
      </c>
      <c r="Y2637" t="s">
        <v>9901</v>
      </c>
      <c r="Z2637" t="s">
        <v>9898</v>
      </c>
      <c r="AD2637">
        <f t="shared" si="83"/>
        <v>7</v>
      </c>
    </row>
    <row r="2638" spans="1:30" x14ac:dyDescent="0.25">
      <c r="A2638" t="s">
        <v>2662</v>
      </c>
      <c r="B2638" s="2">
        <v>44941</v>
      </c>
      <c r="C2638" s="2">
        <v>44946</v>
      </c>
      <c r="D2638" t="s">
        <v>5462</v>
      </c>
      <c r="E2638" t="s">
        <v>5962</v>
      </c>
      <c r="F2638" t="s">
        <v>6026</v>
      </c>
      <c r="G2638" t="s">
        <v>6029</v>
      </c>
      <c r="H2638" t="s">
        <v>6041</v>
      </c>
      <c r="I2638" t="s">
        <v>6049</v>
      </c>
      <c r="J2638" t="s">
        <v>6055</v>
      </c>
      <c r="K2638" t="s">
        <v>6064</v>
      </c>
      <c r="L2638" t="s">
        <v>8347</v>
      </c>
      <c r="M2638">
        <v>1863.16</v>
      </c>
      <c r="N2638">
        <v>2</v>
      </c>
      <c r="O2638">
        <v>0.27</v>
      </c>
      <c r="P2638">
        <v>-171.96</v>
      </c>
      <c r="Q2638" t="s">
        <v>9897</v>
      </c>
      <c r="R2638">
        <v>5</v>
      </c>
      <c r="S2638" s="5">
        <f t="shared" si="82"/>
        <v>-9.2294810966315297E-2</v>
      </c>
      <c r="T2638">
        <v>931.58</v>
      </c>
      <c r="U2638">
        <v>1</v>
      </c>
      <c r="V2638">
        <v>2023</v>
      </c>
      <c r="W2638">
        <v>1</v>
      </c>
      <c r="X2638" t="s">
        <v>9898</v>
      </c>
      <c r="Y2638" t="s">
        <v>9900</v>
      </c>
      <c r="Z2638" t="s">
        <v>9898</v>
      </c>
      <c r="AD2638">
        <f t="shared" si="83"/>
        <v>5</v>
      </c>
    </row>
    <row r="2639" spans="1:30" x14ac:dyDescent="0.25">
      <c r="A2639" t="s">
        <v>2663</v>
      </c>
      <c r="B2639" s="2">
        <v>44645</v>
      </c>
      <c r="C2639" s="2">
        <v>44647</v>
      </c>
      <c r="D2639" t="s">
        <v>5430</v>
      </c>
      <c r="E2639" t="s">
        <v>5930</v>
      </c>
      <c r="F2639" t="s">
        <v>6027</v>
      </c>
      <c r="G2639" t="s">
        <v>6031</v>
      </c>
      <c r="H2639" t="s">
        <v>6042</v>
      </c>
      <c r="I2639" t="s">
        <v>6052</v>
      </c>
      <c r="J2639" t="s">
        <v>6053</v>
      </c>
      <c r="K2639" t="s">
        <v>6056</v>
      </c>
      <c r="L2639" t="s">
        <v>6267</v>
      </c>
      <c r="M2639">
        <v>1908</v>
      </c>
      <c r="N2639">
        <v>5</v>
      </c>
      <c r="O2639">
        <v>0.28999999999999998</v>
      </c>
      <c r="P2639">
        <v>-8.6300000000000008</v>
      </c>
      <c r="Q2639" t="s">
        <v>9895</v>
      </c>
      <c r="R2639">
        <v>2</v>
      </c>
      <c r="S2639" s="5">
        <f t="shared" si="82"/>
        <v>-4.5230607966457023E-3</v>
      </c>
      <c r="T2639">
        <v>381.6</v>
      </c>
      <c r="U2639">
        <v>3</v>
      </c>
      <c r="V2639">
        <v>2022</v>
      </c>
      <c r="W2639">
        <v>1</v>
      </c>
      <c r="X2639" t="s">
        <v>9898</v>
      </c>
      <c r="Y2639" t="s">
        <v>9900</v>
      </c>
      <c r="Z2639" t="s">
        <v>9898</v>
      </c>
      <c r="AD2639">
        <f t="shared" si="83"/>
        <v>2</v>
      </c>
    </row>
    <row r="2640" spans="1:30" x14ac:dyDescent="0.25">
      <c r="A2640" t="s">
        <v>2664</v>
      </c>
      <c r="B2640" s="2">
        <v>44784</v>
      </c>
      <c r="C2640" s="2">
        <v>44787</v>
      </c>
      <c r="D2640" t="s">
        <v>5262</v>
      </c>
      <c r="E2640" t="s">
        <v>5762</v>
      </c>
      <c r="F2640" t="s">
        <v>6026</v>
      </c>
      <c r="G2640" t="s">
        <v>6030</v>
      </c>
      <c r="H2640" t="s">
        <v>6033</v>
      </c>
      <c r="I2640" t="s">
        <v>6047</v>
      </c>
      <c r="J2640" t="s">
        <v>6054</v>
      </c>
      <c r="K2640" t="s">
        <v>6060</v>
      </c>
      <c r="L2640" t="s">
        <v>8348</v>
      </c>
      <c r="M2640">
        <v>449.24</v>
      </c>
      <c r="N2640">
        <v>1</v>
      </c>
      <c r="O2640">
        <v>0.02</v>
      </c>
      <c r="P2640">
        <v>54.63</v>
      </c>
      <c r="Q2640" t="s">
        <v>9894</v>
      </c>
      <c r="R2640">
        <v>3</v>
      </c>
      <c r="S2640" s="5">
        <f t="shared" si="82"/>
        <v>0.12160537797168551</v>
      </c>
      <c r="T2640">
        <v>449.24</v>
      </c>
      <c r="U2640">
        <v>8</v>
      </c>
      <c r="V2640">
        <v>2022</v>
      </c>
      <c r="W2640">
        <v>3</v>
      </c>
      <c r="X2640" t="s">
        <v>9899</v>
      </c>
      <c r="Y2640" t="s">
        <v>9901</v>
      </c>
      <c r="Z2640" t="s">
        <v>9899</v>
      </c>
      <c r="AD2640">
        <f t="shared" si="83"/>
        <v>3</v>
      </c>
    </row>
    <row r="2641" spans="1:30" x14ac:dyDescent="0.25">
      <c r="A2641" t="s">
        <v>2665</v>
      </c>
      <c r="B2641" s="2">
        <v>44768</v>
      </c>
      <c r="C2641" s="2">
        <v>44770</v>
      </c>
      <c r="D2641" t="s">
        <v>5071</v>
      </c>
      <c r="E2641" t="s">
        <v>5571</v>
      </c>
      <c r="F2641" t="s">
        <v>6027</v>
      </c>
      <c r="G2641" t="s">
        <v>6029</v>
      </c>
      <c r="H2641" t="s">
        <v>6036</v>
      </c>
      <c r="I2641" t="s">
        <v>6046</v>
      </c>
      <c r="J2641" t="s">
        <v>6055</v>
      </c>
      <c r="K2641" t="s">
        <v>6061</v>
      </c>
      <c r="L2641" t="s">
        <v>8349</v>
      </c>
      <c r="M2641">
        <v>993.67</v>
      </c>
      <c r="N2641">
        <v>8</v>
      </c>
      <c r="O2641">
        <v>0.24</v>
      </c>
      <c r="P2641">
        <v>45.09</v>
      </c>
      <c r="Q2641" t="s">
        <v>9893</v>
      </c>
      <c r="R2641">
        <v>2</v>
      </c>
      <c r="S2641" s="5">
        <f t="shared" si="82"/>
        <v>4.5377237916008339E-2</v>
      </c>
      <c r="T2641">
        <v>124.20874999999999</v>
      </c>
      <c r="U2641">
        <v>7</v>
      </c>
      <c r="V2641">
        <v>2022</v>
      </c>
      <c r="W2641">
        <v>3</v>
      </c>
      <c r="X2641" t="s">
        <v>9899</v>
      </c>
      <c r="Y2641" t="s">
        <v>9900</v>
      </c>
      <c r="Z2641" t="s">
        <v>9899</v>
      </c>
      <c r="AD2641">
        <f t="shared" si="83"/>
        <v>2</v>
      </c>
    </row>
    <row r="2642" spans="1:30" x14ac:dyDescent="0.25">
      <c r="A2642" t="s">
        <v>2666</v>
      </c>
      <c r="B2642" s="2">
        <v>45206</v>
      </c>
      <c r="C2642" s="2">
        <v>45213</v>
      </c>
      <c r="D2642" t="s">
        <v>5259</v>
      </c>
      <c r="E2642" t="s">
        <v>5759</v>
      </c>
      <c r="F2642" t="s">
        <v>6026</v>
      </c>
      <c r="G2642" t="s">
        <v>6029</v>
      </c>
      <c r="H2642" t="s">
        <v>6041</v>
      </c>
      <c r="I2642" t="s">
        <v>6046</v>
      </c>
      <c r="J2642" t="s">
        <v>6054</v>
      </c>
      <c r="K2642" t="s">
        <v>6062</v>
      </c>
      <c r="L2642" t="s">
        <v>8350</v>
      </c>
      <c r="M2642">
        <v>1439.17</v>
      </c>
      <c r="N2642">
        <v>2</v>
      </c>
      <c r="O2642">
        <v>0.32</v>
      </c>
      <c r="P2642">
        <v>-265.5</v>
      </c>
      <c r="Q2642" t="s">
        <v>9896</v>
      </c>
      <c r="R2642">
        <v>7</v>
      </c>
      <c r="S2642" s="5">
        <f t="shared" si="82"/>
        <v>-0.18448133299054315</v>
      </c>
      <c r="T2642">
        <v>719.58500000000004</v>
      </c>
      <c r="U2642">
        <v>10</v>
      </c>
      <c r="V2642">
        <v>2023</v>
      </c>
      <c r="W2642">
        <v>4</v>
      </c>
      <c r="X2642" t="s">
        <v>9898</v>
      </c>
      <c r="Y2642" t="s">
        <v>9902</v>
      </c>
      <c r="Z2642" t="s">
        <v>9898</v>
      </c>
      <c r="AD2642">
        <f t="shared" si="83"/>
        <v>7</v>
      </c>
    </row>
    <row r="2643" spans="1:30" x14ac:dyDescent="0.25">
      <c r="A2643" t="s">
        <v>2667</v>
      </c>
      <c r="B2643" s="2">
        <v>45011</v>
      </c>
      <c r="C2643" s="2">
        <v>45017</v>
      </c>
      <c r="D2643" t="s">
        <v>5153</v>
      </c>
      <c r="E2643" t="s">
        <v>5653</v>
      </c>
      <c r="F2643" t="s">
        <v>6026</v>
      </c>
      <c r="G2643" t="s">
        <v>6030</v>
      </c>
      <c r="H2643" t="s">
        <v>6038</v>
      </c>
      <c r="I2643" t="s">
        <v>6047</v>
      </c>
      <c r="J2643" t="s">
        <v>6055</v>
      </c>
      <c r="K2643" t="s">
        <v>6061</v>
      </c>
      <c r="L2643" t="s">
        <v>7779</v>
      </c>
      <c r="M2643">
        <v>825.36</v>
      </c>
      <c r="N2643">
        <v>6</v>
      </c>
      <c r="O2643">
        <v>0.19</v>
      </c>
      <c r="P2643">
        <v>73.209999999999994</v>
      </c>
      <c r="Q2643" t="s">
        <v>9894</v>
      </c>
      <c r="R2643">
        <v>6</v>
      </c>
      <c r="S2643" s="5">
        <f t="shared" si="82"/>
        <v>8.8700688184549764E-2</v>
      </c>
      <c r="T2643">
        <v>137.56</v>
      </c>
      <c r="U2643">
        <v>3</v>
      </c>
      <c r="V2643">
        <v>2023</v>
      </c>
      <c r="W2643">
        <v>1</v>
      </c>
      <c r="X2643" t="s">
        <v>9899</v>
      </c>
      <c r="Y2643" t="s">
        <v>9900</v>
      </c>
      <c r="Z2643" t="s">
        <v>9899</v>
      </c>
      <c r="AD2643">
        <f t="shared" si="83"/>
        <v>6</v>
      </c>
    </row>
    <row r="2644" spans="1:30" x14ac:dyDescent="0.25">
      <c r="A2644" t="s">
        <v>2668</v>
      </c>
      <c r="B2644" s="2">
        <v>44655</v>
      </c>
      <c r="C2644" s="2">
        <v>44658</v>
      </c>
      <c r="D2644" t="s">
        <v>5041</v>
      </c>
      <c r="E2644" t="s">
        <v>5541</v>
      </c>
      <c r="F2644" t="s">
        <v>6026</v>
      </c>
      <c r="G2644" t="s">
        <v>6029</v>
      </c>
      <c r="H2644" t="s">
        <v>6036</v>
      </c>
      <c r="I2644" t="s">
        <v>6050</v>
      </c>
      <c r="J2644" t="s">
        <v>6053</v>
      </c>
      <c r="K2644" t="s">
        <v>6058</v>
      </c>
      <c r="L2644" t="s">
        <v>8351</v>
      </c>
      <c r="M2644">
        <v>781.9</v>
      </c>
      <c r="N2644">
        <v>1</v>
      </c>
      <c r="O2644">
        <v>0.02</v>
      </c>
      <c r="P2644">
        <v>174.7</v>
      </c>
      <c r="Q2644" t="s">
        <v>9894</v>
      </c>
      <c r="R2644">
        <v>3</v>
      </c>
      <c r="S2644" s="5">
        <f t="shared" si="82"/>
        <v>0.2234301061516818</v>
      </c>
      <c r="T2644">
        <v>781.9</v>
      </c>
      <c r="U2644">
        <v>4</v>
      </c>
      <c r="V2644">
        <v>2022</v>
      </c>
      <c r="W2644">
        <v>2</v>
      </c>
      <c r="X2644" t="s">
        <v>9899</v>
      </c>
      <c r="Y2644" t="s">
        <v>9901</v>
      </c>
      <c r="Z2644" t="s">
        <v>9899</v>
      </c>
      <c r="AD2644">
        <f t="shared" si="83"/>
        <v>3</v>
      </c>
    </row>
    <row r="2645" spans="1:30" x14ac:dyDescent="0.25">
      <c r="A2645" t="s">
        <v>2669</v>
      </c>
      <c r="B2645" s="2">
        <v>45330</v>
      </c>
      <c r="C2645" s="2">
        <v>45336</v>
      </c>
      <c r="D2645" t="s">
        <v>5075</v>
      </c>
      <c r="E2645" t="s">
        <v>5575</v>
      </c>
      <c r="F2645" t="s">
        <v>6028</v>
      </c>
      <c r="G2645" t="s">
        <v>6029</v>
      </c>
      <c r="H2645" t="s">
        <v>6041</v>
      </c>
      <c r="I2645" t="s">
        <v>6049</v>
      </c>
      <c r="J2645" t="s">
        <v>6055</v>
      </c>
      <c r="K2645" t="s">
        <v>6064</v>
      </c>
      <c r="L2645" t="s">
        <v>8352</v>
      </c>
      <c r="M2645">
        <v>869.07</v>
      </c>
      <c r="N2645">
        <v>4</v>
      </c>
      <c r="O2645">
        <v>0.31</v>
      </c>
      <c r="P2645">
        <v>-161.59</v>
      </c>
      <c r="Q2645" t="s">
        <v>9897</v>
      </c>
      <c r="R2645">
        <v>6</v>
      </c>
      <c r="S2645" s="5">
        <f t="shared" si="82"/>
        <v>-0.18593438963489706</v>
      </c>
      <c r="T2645">
        <v>217.26750000000001</v>
      </c>
      <c r="U2645">
        <v>2</v>
      </c>
      <c r="V2645">
        <v>2024</v>
      </c>
      <c r="W2645">
        <v>1</v>
      </c>
      <c r="X2645" t="s">
        <v>9898</v>
      </c>
      <c r="Y2645" t="s">
        <v>9902</v>
      </c>
      <c r="Z2645" t="s">
        <v>9899</v>
      </c>
      <c r="AD2645">
        <f t="shared" si="83"/>
        <v>6</v>
      </c>
    </row>
    <row r="2646" spans="1:30" x14ac:dyDescent="0.25">
      <c r="A2646" t="s">
        <v>2670</v>
      </c>
      <c r="B2646" s="2">
        <v>44600</v>
      </c>
      <c r="C2646" s="2">
        <v>44604</v>
      </c>
      <c r="D2646" t="s">
        <v>5038</v>
      </c>
      <c r="E2646" t="s">
        <v>5538</v>
      </c>
      <c r="F2646" t="s">
        <v>6028</v>
      </c>
      <c r="G2646" t="s">
        <v>6031</v>
      </c>
      <c r="H2646" t="s">
        <v>6043</v>
      </c>
      <c r="I2646" t="s">
        <v>6050</v>
      </c>
      <c r="J2646" t="s">
        <v>6054</v>
      </c>
      <c r="K2646" t="s">
        <v>6062</v>
      </c>
      <c r="L2646" t="s">
        <v>8353</v>
      </c>
      <c r="M2646">
        <v>1451.33</v>
      </c>
      <c r="N2646">
        <v>7</v>
      </c>
      <c r="O2646">
        <v>0.32</v>
      </c>
      <c r="P2646">
        <v>-104.57</v>
      </c>
      <c r="Q2646" t="s">
        <v>9893</v>
      </c>
      <c r="R2646">
        <v>4</v>
      </c>
      <c r="S2646" s="5">
        <f t="shared" si="82"/>
        <v>-7.2051153080278083E-2</v>
      </c>
      <c r="T2646">
        <v>207.33285714285711</v>
      </c>
      <c r="U2646">
        <v>2</v>
      </c>
      <c r="V2646">
        <v>2022</v>
      </c>
      <c r="W2646">
        <v>1</v>
      </c>
      <c r="X2646" t="s">
        <v>9898</v>
      </c>
      <c r="Y2646" t="s">
        <v>9902</v>
      </c>
      <c r="Z2646" t="s">
        <v>9898</v>
      </c>
      <c r="AD2646">
        <f t="shared" si="83"/>
        <v>4</v>
      </c>
    </row>
    <row r="2647" spans="1:30" x14ac:dyDescent="0.25">
      <c r="A2647" t="s">
        <v>2671</v>
      </c>
      <c r="B2647" s="2">
        <v>44737</v>
      </c>
      <c r="C2647" s="2">
        <v>44742</v>
      </c>
      <c r="D2647" t="s">
        <v>5158</v>
      </c>
      <c r="E2647" t="s">
        <v>5658</v>
      </c>
      <c r="F2647" t="s">
        <v>6028</v>
      </c>
      <c r="G2647" t="s">
        <v>6029</v>
      </c>
      <c r="H2647" t="s">
        <v>6036</v>
      </c>
      <c r="I2647" t="s">
        <v>6049</v>
      </c>
      <c r="J2647" t="s">
        <v>6054</v>
      </c>
      <c r="K2647" t="s">
        <v>6062</v>
      </c>
      <c r="L2647" t="s">
        <v>8354</v>
      </c>
      <c r="M2647">
        <v>122.84</v>
      </c>
      <c r="N2647">
        <v>2</v>
      </c>
      <c r="O2647">
        <v>0.06</v>
      </c>
      <c r="P2647">
        <v>24.78</v>
      </c>
      <c r="Q2647" t="s">
        <v>9897</v>
      </c>
      <c r="R2647">
        <v>5</v>
      </c>
      <c r="S2647" s="5">
        <f t="shared" si="82"/>
        <v>0.20172582220774993</v>
      </c>
      <c r="T2647">
        <v>61.42</v>
      </c>
      <c r="U2647">
        <v>6</v>
      </c>
      <c r="V2647">
        <v>2022</v>
      </c>
      <c r="W2647">
        <v>2</v>
      </c>
      <c r="X2647" t="s">
        <v>9899</v>
      </c>
      <c r="Y2647" t="s">
        <v>9901</v>
      </c>
      <c r="Z2647" t="s">
        <v>9899</v>
      </c>
      <c r="AD2647">
        <f t="shared" si="83"/>
        <v>5</v>
      </c>
    </row>
    <row r="2648" spans="1:30" x14ac:dyDescent="0.25">
      <c r="A2648" t="s">
        <v>2672</v>
      </c>
      <c r="B2648" s="2">
        <v>44679</v>
      </c>
      <c r="C2648" s="2">
        <v>44685</v>
      </c>
      <c r="D2648" t="s">
        <v>5421</v>
      </c>
      <c r="E2648" t="s">
        <v>5921</v>
      </c>
      <c r="F2648" t="s">
        <v>6026</v>
      </c>
      <c r="G2648" t="s">
        <v>6031</v>
      </c>
      <c r="H2648" t="s">
        <v>6043</v>
      </c>
      <c r="I2648" t="s">
        <v>6050</v>
      </c>
      <c r="J2648" t="s">
        <v>6053</v>
      </c>
      <c r="K2648" t="s">
        <v>6058</v>
      </c>
      <c r="L2648" t="s">
        <v>8355</v>
      </c>
      <c r="M2648">
        <v>961.11</v>
      </c>
      <c r="N2648">
        <v>8</v>
      </c>
      <c r="O2648">
        <v>7.0000000000000007E-2</v>
      </c>
      <c r="P2648">
        <v>203.19</v>
      </c>
      <c r="Q2648" t="s">
        <v>9895</v>
      </c>
      <c r="R2648">
        <v>6</v>
      </c>
      <c r="S2648" s="5">
        <f t="shared" si="82"/>
        <v>0.21141180510035271</v>
      </c>
      <c r="T2648">
        <v>120.13875</v>
      </c>
      <c r="U2648">
        <v>4</v>
      </c>
      <c r="V2648">
        <v>2022</v>
      </c>
      <c r="W2648">
        <v>2</v>
      </c>
      <c r="X2648" t="s">
        <v>9899</v>
      </c>
      <c r="Y2648" t="s">
        <v>9901</v>
      </c>
      <c r="Z2648" t="s">
        <v>9899</v>
      </c>
      <c r="AD2648">
        <f t="shared" si="83"/>
        <v>6</v>
      </c>
    </row>
    <row r="2649" spans="1:30" x14ac:dyDescent="0.25">
      <c r="A2649" t="s">
        <v>2673</v>
      </c>
      <c r="B2649" s="2">
        <v>44797</v>
      </c>
      <c r="C2649" s="2">
        <v>44799</v>
      </c>
      <c r="D2649" t="s">
        <v>5263</v>
      </c>
      <c r="E2649" t="s">
        <v>5763</v>
      </c>
      <c r="F2649" t="s">
        <v>6026</v>
      </c>
      <c r="G2649" t="s">
        <v>6030</v>
      </c>
      <c r="H2649" t="s">
        <v>6033</v>
      </c>
      <c r="I2649" t="s">
        <v>6047</v>
      </c>
      <c r="J2649" t="s">
        <v>6054</v>
      </c>
      <c r="K2649" t="s">
        <v>6059</v>
      </c>
      <c r="L2649" t="s">
        <v>6324</v>
      </c>
      <c r="M2649">
        <v>1528.93</v>
      </c>
      <c r="N2649">
        <v>1</v>
      </c>
      <c r="O2649">
        <v>0.12</v>
      </c>
      <c r="P2649">
        <v>59.2</v>
      </c>
      <c r="Q2649" t="s">
        <v>9897</v>
      </c>
      <c r="R2649">
        <v>2</v>
      </c>
      <c r="S2649" s="5">
        <f t="shared" si="82"/>
        <v>3.8719889072750223E-2</v>
      </c>
      <c r="T2649">
        <v>1528.93</v>
      </c>
      <c r="U2649">
        <v>8</v>
      </c>
      <c r="V2649">
        <v>2022</v>
      </c>
      <c r="W2649">
        <v>3</v>
      </c>
      <c r="X2649" t="s">
        <v>9899</v>
      </c>
      <c r="Y2649" t="s">
        <v>9901</v>
      </c>
      <c r="Z2649" t="s">
        <v>9898</v>
      </c>
      <c r="AD2649">
        <f t="shared" si="83"/>
        <v>2</v>
      </c>
    </row>
    <row r="2650" spans="1:30" x14ac:dyDescent="0.25">
      <c r="A2650" t="s">
        <v>2674</v>
      </c>
      <c r="B2650" s="2">
        <v>44917</v>
      </c>
      <c r="C2650" s="2">
        <v>44920</v>
      </c>
      <c r="D2650" t="s">
        <v>5038</v>
      </c>
      <c r="E2650" t="s">
        <v>5538</v>
      </c>
      <c r="F2650" t="s">
        <v>6028</v>
      </c>
      <c r="G2650" t="s">
        <v>6030</v>
      </c>
      <c r="H2650" t="s">
        <v>6033</v>
      </c>
      <c r="I2650" t="s">
        <v>6051</v>
      </c>
      <c r="J2650" t="s">
        <v>6053</v>
      </c>
      <c r="K2650" t="s">
        <v>6058</v>
      </c>
      <c r="L2650" t="s">
        <v>8356</v>
      </c>
      <c r="M2650">
        <v>1935.05</v>
      </c>
      <c r="N2650">
        <v>8</v>
      </c>
      <c r="O2650">
        <v>0.34</v>
      </c>
      <c r="P2650">
        <v>-108.42</v>
      </c>
      <c r="Q2650" t="s">
        <v>9893</v>
      </c>
      <c r="R2650">
        <v>3</v>
      </c>
      <c r="S2650" s="5">
        <f t="shared" si="82"/>
        <v>-5.6029559959690965E-2</v>
      </c>
      <c r="T2650">
        <v>241.88124999999999</v>
      </c>
      <c r="U2650">
        <v>12</v>
      </c>
      <c r="V2650">
        <v>2022</v>
      </c>
      <c r="W2650">
        <v>4</v>
      </c>
      <c r="X2650" t="s">
        <v>9898</v>
      </c>
      <c r="Y2650" t="s">
        <v>9902</v>
      </c>
      <c r="Z2650" t="s">
        <v>9898</v>
      </c>
      <c r="AD2650">
        <f t="shared" si="83"/>
        <v>3</v>
      </c>
    </row>
    <row r="2651" spans="1:30" x14ac:dyDescent="0.25">
      <c r="A2651" t="s">
        <v>2675</v>
      </c>
      <c r="B2651" s="2">
        <v>45387</v>
      </c>
      <c r="C2651" s="2">
        <v>45394</v>
      </c>
      <c r="D2651" t="s">
        <v>5318</v>
      </c>
      <c r="E2651" t="s">
        <v>5818</v>
      </c>
      <c r="F2651" t="s">
        <v>6026</v>
      </c>
      <c r="G2651" t="s">
        <v>6031</v>
      </c>
      <c r="H2651" t="s">
        <v>6040</v>
      </c>
      <c r="I2651" t="s">
        <v>6048</v>
      </c>
      <c r="J2651" t="s">
        <v>6053</v>
      </c>
      <c r="K2651" t="s">
        <v>6056</v>
      </c>
      <c r="L2651" t="s">
        <v>8357</v>
      </c>
      <c r="M2651">
        <v>1088.74</v>
      </c>
      <c r="N2651">
        <v>6</v>
      </c>
      <c r="O2651">
        <v>0.09</v>
      </c>
      <c r="P2651">
        <v>111.64</v>
      </c>
      <c r="Q2651" t="s">
        <v>9896</v>
      </c>
      <c r="R2651">
        <v>7</v>
      </c>
      <c r="S2651" s="5">
        <f t="shared" si="82"/>
        <v>0.10254055146315925</v>
      </c>
      <c r="T2651">
        <v>181.45666666666671</v>
      </c>
      <c r="U2651">
        <v>4</v>
      </c>
      <c r="V2651">
        <v>2024</v>
      </c>
      <c r="W2651">
        <v>2</v>
      </c>
      <c r="X2651" t="s">
        <v>9899</v>
      </c>
      <c r="Y2651" t="s">
        <v>9901</v>
      </c>
      <c r="Z2651" t="s">
        <v>9898</v>
      </c>
      <c r="AD2651">
        <f t="shared" si="83"/>
        <v>7</v>
      </c>
    </row>
    <row r="2652" spans="1:30" x14ac:dyDescent="0.25">
      <c r="A2652" t="s">
        <v>2676</v>
      </c>
      <c r="B2652" s="2">
        <v>45250</v>
      </c>
      <c r="C2652" s="2">
        <v>45256</v>
      </c>
      <c r="D2652" t="s">
        <v>5505</v>
      </c>
      <c r="E2652" t="s">
        <v>6005</v>
      </c>
      <c r="F2652" t="s">
        <v>6026</v>
      </c>
      <c r="G2652" t="s">
        <v>6029</v>
      </c>
      <c r="H2652" t="s">
        <v>6032</v>
      </c>
      <c r="I2652" t="s">
        <v>6046</v>
      </c>
      <c r="J2652" t="s">
        <v>6053</v>
      </c>
      <c r="K2652" t="s">
        <v>6058</v>
      </c>
      <c r="L2652" t="s">
        <v>7614</v>
      </c>
      <c r="M2652">
        <v>1534.39</v>
      </c>
      <c r="N2652">
        <v>8</v>
      </c>
      <c r="O2652">
        <v>0.26</v>
      </c>
      <c r="P2652">
        <v>-94.45</v>
      </c>
      <c r="Q2652" t="s">
        <v>9897</v>
      </c>
      <c r="R2652">
        <v>6</v>
      </c>
      <c r="S2652" s="5">
        <f t="shared" si="82"/>
        <v>-6.1555406382992589E-2</v>
      </c>
      <c r="T2652">
        <v>191.79875000000001</v>
      </c>
      <c r="U2652">
        <v>11</v>
      </c>
      <c r="V2652">
        <v>2023</v>
      </c>
      <c r="W2652">
        <v>4</v>
      </c>
      <c r="X2652" t="s">
        <v>9898</v>
      </c>
      <c r="Y2652" t="s">
        <v>9900</v>
      </c>
      <c r="Z2652" t="s">
        <v>9898</v>
      </c>
      <c r="AD2652">
        <f t="shared" si="83"/>
        <v>6</v>
      </c>
    </row>
    <row r="2653" spans="1:30" x14ac:dyDescent="0.25">
      <c r="A2653" t="s">
        <v>2677</v>
      </c>
      <c r="B2653" s="2">
        <v>45380</v>
      </c>
      <c r="C2653" s="2">
        <v>45384</v>
      </c>
      <c r="D2653" t="s">
        <v>5367</v>
      </c>
      <c r="E2653" t="s">
        <v>5867</v>
      </c>
      <c r="F2653" t="s">
        <v>6028</v>
      </c>
      <c r="G2653" t="s">
        <v>6031</v>
      </c>
      <c r="H2653" t="s">
        <v>6043</v>
      </c>
      <c r="I2653" t="s">
        <v>6048</v>
      </c>
      <c r="J2653" t="s">
        <v>6053</v>
      </c>
      <c r="K2653" t="s">
        <v>6057</v>
      </c>
      <c r="L2653" t="s">
        <v>8358</v>
      </c>
      <c r="M2653">
        <v>1853.32</v>
      </c>
      <c r="N2653">
        <v>1</v>
      </c>
      <c r="O2653">
        <v>0.26</v>
      </c>
      <c r="P2653">
        <v>-79.569999999999993</v>
      </c>
      <c r="Q2653" t="s">
        <v>9893</v>
      </c>
      <c r="R2653">
        <v>4</v>
      </c>
      <c r="S2653" s="5">
        <f t="shared" si="82"/>
        <v>-4.2933762113396494E-2</v>
      </c>
      <c r="T2653">
        <v>1853.32</v>
      </c>
      <c r="U2653">
        <v>3</v>
      </c>
      <c r="V2653">
        <v>2024</v>
      </c>
      <c r="W2653">
        <v>1</v>
      </c>
      <c r="X2653" t="s">
        <v>9898</v>
      </c>
      <c r="Y2653" t="s">
        <v>9900</v>
      </c>
      <c r="Z2653" t="s">
        <v>9898</v>
      </c>
      <c r="AD2653">
        <f t="shared" si="83"/>
        <v>4</v>
      </c>
    </row>
    <row r="2654" spans="1:30" x14ac:dyDescent="0.25">
      <c r="A2654" t="s">
        <v>2678</v>
      </c>
      <c r="B2654" s="2">
        <v>45055</v>
      </c>
      <c r="C2654" s="2">
        <v>45058</v>
      </c>
      <c r="D2654" t="s">
        <v>5158</v>
      </c>
      <c r="E2654" t="s">
        <v>5658</v>
      </c>
      <c r="F2654" t="s">
        <v>6027</v>
      </c>
      <c r="G2654" t="s">
        <v>6030</v>
      </c>
      <c r="H2654" t="s">
        <v>6038</v>
      </c>
      <c r="I2654" t="s">
        <v>6047</v>
      </c>
      <c r="J2654" t="s">
        <v>6055</v>
      </c>
      <c r="K2654" t="s">
        <v>6063</v>
      </c>
      <c r="L2654" t="s">
        <v>8359</v>
      </c>
      <c r="M2654">
        <v>1407.06</v>
      </c>
      <c r="N2654">
        <v>2</v>
      </c>
      <c r="O2654">
        <v>0.16</v>
      </c>
      <c r="P2654">
        <v>78.33</v>
      </c>
      <c r="Q2654" t="s">
        <v>9895</v>
      </c>
      <c r="R2654">
        <v>3</v>
      </c>
      <c r="S2654" s="5">
        <f t="shared" si="82"/>
        <v>5.5669267835060342E-2</v>
      </c>
      <c r="T2654">
        <v>703.53</v>
      </c>
      <c r="U2654">
        <v>5</v>
      </c>
      <c r="V2654">
        <v>2023</v>
      </c>
      <c r="W2654">
        <v>2</v>
      </c>
      <c r="X2654" t="s">
        <v>9899</v>
      </c>
      <c r="Y2654" t="s">
        <v>9900</v>
      </c>
      <c r="Z2654" t="s">
        <v>9898</v>
      </c>
      <c r="AD2654">
        <f t="shared" si="83"/>
        <v>3</v>
      </c>
    </row>
    <row r="2655" spans="1:30" x14ac:dyDescent="0.25">
      <c r="A2655" t="s">
        <v>2679</v>
      </c>
      <c r="B2655" s="2">
        <v>44959</v>
      </c>
      <c r="C2655" s="2">
        <v>44961</v>
      </c>
      <c r="D2655" t="s">
        <v>5418</v>
      </c>
      <c r="E2655" t="s">
        <v>5918</v>
      </c>
      <c r="F2655" t="s">
        <v>6026</v>
      </c>
      <c r="G2655" t="s">
        <v>6030</v>
      </c>
      <c r="H2655" t="s">
        <v>6039</v>
      </c>
      <c r="I2655" t="s">
        <v>6051</v>
      </c>
      <c r="J2655" t="s">
        <v>6054</v>
      </c>
      <c r="K2655" t="s">
        <v>6059</v>
      </c>
      <c r="L2655" t="s">
        <v>8360</v>
      </c>
      <c r="M2655">
        <v>699.23</v>
      </c>
      <c r="N2655">
        <v>2</v>
      </c>
      <c r="O2655">
        <v>0.26</v>
      </c>
      <c r="P2655">
        <v>-91.35</v>
      </c>
      <c r="Q2655" t="s">
        <v>9896</v>
      </c>
      <c r="R2655">
        <v>2</v>
      </c>
      <c r="S2655" s="5">
        <f t="shared" si="82"/>
        <v>-0.13064370807888676</v>
      </c>
      <c r="T2655">
        <v>349.61500000000001</v>
      </c>
      <c r="U2655">
        <v>2</v>
      </c>
      <c r="V2655">
        <v>2023</v>
      </c>
      <c r="W2655">
        <v>1</v>
      </c>
      <c r="X2655" t="s">
        <v>9898</v>
      </c>
      <c r="Y2655" t="s">
        <v>9900</v>
      </c>
      <c r="Z2655" t="s">
        <v>9899</v>
      </c>
      <c r="AD2655">
        <f t="shared" si="83"/>
        <v>2</v>
      </c>
    </row>
    <row r="2656" spans="1:30" x14ac:dyDescent="0.25">
      <c r="A2656" t="s">
        <v>2680</v>
      </c>
      <c r="B2656" s="2">
        <v>44981</v>
      </c>
      <c r="C2656" s="2">
        <v>44983</v>
      </c>
      <c r="D2656" t="s">
        <v>5150</v>
      </c>
      <c r="E2656" t="s">
        <v>5650</v>
      </c>
      <c r="F2656" t="s">
        <v>6028</v>
      </c>
      <c r="G2656" t="s">
        <v>6031</v>
      </c>
      <c r="H2656" t="s">
        <v>6037</v>
      </c>
      <c r="I2656" t="s">
        <v>6052</v>
      </c>
      <c r="J2656" t="s">
        <v>6054</v>
      </c>
      <c r="K2656" t="s">
        <v>6060</v>
      </c>
      <c r="L2656" t="s">
        <v>8361</v>
      </c>
      <c r="M2656">
        <v>1547.39</v>
      </c>
      <c r="N2656">
        <v>2</v>
      </c>
      <c r="O2656">
        <v>0.2</v>
      </c>
      <c r="P2656">
        <v>-104.27</v>
      </c>
      <c r="Q2656" t="s">
        <v>9893</v>
      </c>
      <c r="R2656">
        <v>2</v>
      </c>
      <c r="S2656" s="5">
        <f t="shared" si="82"/>
        <v>-6.7384434434757876E-2</v>
      </c>
      <c r="T2656">
        <v>773.69500000000005</v>
      </c>
      <c r="U2656">
        <v>2</v>
      </c>
      <c r="V2656">
        <v>2023</v>
      </c>
      <c r="W2656">
        <v>1</v>
      </c>
      <c r="X2656" t="s">
        <v>9898</v>
      </c>
      <c r="Y2656" t="s">
        <v>9900</v>
      </c>
      <c r="Z2656" t="s">
        <v>9898</v>
      </c>
      <c r="AD2656">
        <f t="shared" si="83"/>
        <v>2</v>
      </c>
    </row>
    <row r="2657" spans="1:30" x14ac:dyDescent="0.25">
      <c r="A2657" t="s">
        <v>2681</v>
      </c>
      <c r="B2657" s="2">
        <v>45244</v>
      </c>
      <c r="C2657" s="2">
        <v>45245</v>
      </c>
      <c r="D2657" t="s">
        <v>5517</v>
      </c>
      <c r="E2657" t="s">
        <v>6017</v>
      </c>
      <c r="F2657" t="s">
        <v>6026</v>
      </c>
      <c r="G2657" t="s">
        <v>6030</v>
      </c>
      <c r="H2657" t="s">
        <v>6033</v>
      </c>
      <c r="I2657" t="s">
        <v>6047</v>
      </c>
      <c r="J2657" t="s">
        <v>6053</v>
      </c>
      <c r="K2657" t="s">
        <v>6057</v>
      </c>
      <c r="L2657" t="s">
        <v>8362</v>
      </c>
      <c r="M2657">
        <v>374.44</v>
      </c>
      <c r="N2657">
        <v>2</v>
      </c>
      <c r="O2657">
        <v>0.15</v>
      </c>
      <c r="P2657">
        <v>-11.81</v>
      </c>
      <c r="Q2657" t="s">
        <v>9894</v>
      </c>
      <c r="R2657">
        <v>1</v>
      </c>
      <c r="S2657" s="5">
        <f t="shared" si="82"/>
        <v>-3.1540433714346762E-2</v>
      </c>
      <c r="T2657">
        <v>187.22</v>
      </c>
      <c r="U2657">
        <v>11</v>
      </c>
      <c r="V2657">
        <v>2023</v>
      </c>
      <c r="W2657">
        <v>4</v>
      </c>
      <c r="X2657" t="s">
        <v>9898</v>
      </c>
      <c r="Y2657" t="s">
        <v>9901</v>
      </c>
      <c r="Z2657" t="s">
        <v>9899</v>
      </c>
      <c r="AD2657">
        <f t="shared" si="83"/>
        <v>1</v>
      </c>
    </row>
    <row r="2658" spans="1:30" x14ac:dyDescent="0.25">
      <c r="A2658" t="s">
        <v>2682</v>
      </c>
      <c r="B2658" s="2">
        <v>44778</v>
      </c>
      <c r="C2658" s="2">
        <v>44781</v>
      </c>
      <c r="D2658" t="s">
        <v>5493</v>
      </c>
      <c r="E2658" t="s">
        <v>5993</v>
      </c>
      <c r="F2658" t="s">
        <v>6028</v>
      </c>
      <c r="G2658" t="s">
        <v>6030</v>
      </c>
      <c r="H2658" t="s">
        <v>6038</v>
      </c>
      <c r="I2658" t="s">
        <v>6051</v>
      </c>
      <c r="J2658" t="s">
        <v>6053</v>
      </c>
      <c r="K2658" t="s">
        <v>6057</v>
      </c>
      <c r="L2658" t="s">
        <v>8363</v>
      </c>
      <c r="M2658">
        <v>466.93</v>
      </c>
      <c r="N2658">
        <v>7</v>
      </c>
      <c r="O2658">
        <v>0.14000000000000001</v>
      </c>
      <c r="P2658">
        <v>2.63</v>
      </c>
      <c r="Q2658" t="s">
        <v>9896</v>
      </c>
      <c r="R2658">
        <v>3</v>
      </c>
      <c r="S2658" s="5">
        <f t="shared" si="82"/>
        <v>5.6325359261559542E-3</v>
      </c>
      <c r="T2658">
        <v>66.704285714285717</v>
      </c>
      <c r="U2658">
        <v>8</v>
      </c>
      <c r="V2658">
        <v>2022</v>
      </c>
      <c r="W2658">
        <v>3</v>
      </c>
      <c r="X2658" t="s">
        <v>9899</v>
      </c>
      <c r="Y2658" t="s">
        <v>9901</v>
      </c>
      <c r="Z2658" t="s">
        <v>9899</v>
      </c>
      <c r="AD2658">
        <f t="shared" si="83"/>
        <v>3</v>
      </c>
    </row>
    <row r="2659" spans="1:30" x14ac:dyDescent="0.25">
      <c r="A2659" t="s">
        <v>2683</v>
      </c>
      <c r="B2659" s="2">
        <v>45147</v>
      </c>
      <c r="C2659" s="2">
        <v>45154</v>
      </c>
      <c r="D2659" t="s">
        <v>5483</v>
      </c>
      <c r="E2659" t="s">
        <v>5983</v>
      </c>
      <c r="F2659" t="s">
        <v>6028</v>
      </c>
      <c r="G2659" t="s">
        <v>6030</v>
      </c>
      <c r="H2659" t="s">
        <v>6039</v>
      </c>
      <c r="I2659" t="s">
        <v>6047</v>
      </c>
      <c r="J2659" t="s">
        <v>6054</v>
      </c>
      <c r="K2659" t="s">
        <v>6059</v>
      </c>
      <c r="L2659" t="s">
        <v>6780</v>
      </c>
      <c r="M2659">
        <v>899.77</v>
      </c>
      <c r="N2659">
        <v>8</v>
      </c>
      <c r="O2659">
        <v>0.33</v>
      </c>
      <c r="P2659">
        <v>-155.15</v>
      </c>
      <c r="Q2659" t="s">
        <v>9897</v>
      </c>
      <c r="R2659">
        <v>7</v>
      </c>
      <c r="S2659" s="5">
        <f t="shared" si="82"/>
        <v>-0.17243295508852263</v>
      </c>
      <c r="T2659">
        <v>112.47125</v>
      </c>
      <c r="U2659">
        <v>8</v>
      </c>
      <c r="V2659">
        <v>2023</v>
      </c>
      <c r="W2659">
        <v>3</v>
      </c>
      <c r="X2659" t="s">
        <v>9898</v>
      </c>
      <c r="Y2659" t="s">
        <v>9902</v>
      </c>
      <c r="Z2659" t="s">
        <v>9899</v>
      </c>
      <c r="AD2659">
        <f t="shared" si="83"/>
        <v>7</v>
      </c>
    </row>
    <row r="2660" spans="1:30" x14ac:dyDescent="0.25">
      <c r="A2660" t="s">
        <v>2684</v>
      </c>
      <c r="B2660" s="2">
        <v>44680</v>
      </c>
      <c r="C2660" s="2">
        <v>44684</v>
      </c>
      <c r="D2660" t="s">
        <v>5441</v>
      </c>
      <c r="E2660" t="s">
        <v>5941</v>
      </c>
      <c r="F2660" t="s">
        <v>6028</v>
      </c>
      <c r="G2660" t="s">
        <v>6031</v>
      </c>
      <c r="H2660" t="s">
        <v>6034</v>
      </c>
      <c r="I2660" t="s">
        <v>6050</v>
      </c>
      <c r="J2660" t="s">
        <v>6053</v>
      </c>
      <c r="K2660" t="s">
        <v>6056</v>
      </c>
      <c r="L2660" t="s">
        <v>8364</v>
      </c>
      <c r="M2660">
        <v>1851.83</v>
      </c>
      <c r="N2660">
        <v>7</v>
      </c>
      <c r="O2660">
        <v>7.0000000000000007E-2</v>
      </c>
      <c r="P2660">
        <v>313.25</v>
      </c>
      <c r="Q2660" t="s">
        <v>9895</v>
      </c>
      <c r="R2660">
        <v>4</v>
      </c>
      <c r="S2660" s="5">
        <f t="shared" si="82"/>
        <v>0.16915699605255344</v>
      </c>
      <c r="T2660">
        <v>264.54714285714277</v>
      </c>
      <c r="U2660">
        <v>4</v>
      </c>
      <c r="V2660">
        <v>2022</v>
      </c>
      <c r="W2660">
        <v>2</v>
      </c>
      <c r="X2660" t="s">
        <v>9899</v>
      </c>
      <c r="Y2660" t="s">
        <v>9901</v>
      </c>
      <c r="Z2660" t="s">
        <v>9898</v>
      </c>
      <c r="AD2660">
        <f t="shared" si="83"/>
        <v>4</v>
      </c>
    </row>
    <row r="2661" spans="1:30" x14ac:dyDescent="0.25">
      <c r="A2661" t="s">
        <v>2685</v>
      </c>
      <c r="B2661" s="2">
        <v>45211</v>
      </c>
      <c r="C2661" s="2">
        <v>45214</v>
      </c>
      <c r="D2661" t="s">
        <v>5263</v>
      </c>
      <c r="E2661" t="s">
        <v>5763</v>
      </c>
      <c r="F2661" t="s">
        <v>6027</v>
      </c>
      <c r="G2661" t="s">
        <v>6030</v>
      </c>
      <c r="H2661" t="s">
        <v>6039</v>
      </c>
      <c r="I2661" t="s">
        <v>6051</v>
      </c>
      <c r="J2661" t="s">
        <v>6054</v>
      </c>
      <c r="K2661" t="s">
        <v>6062</v>
      </c>
      <c r="L2661" t="s">
        <v>6319</v>
      </c>
      <c r="M2661">
        <v>1225.3599999999999</v>
      </c>
      <c r="N2661">
        <v>3</v>
      </c>
      <c r="O2661">
        <v>0.18</v>
      </c>
      <c r="P2661">
        <v>-55.61</v>
      </c>
      <c r="Q2661" t="s">
        <v>9895</v>
      </c>
      <c r="R2661">
        <v>3</v>
      </c>
      <c r="S2661" s="5">
        <f t="shared" si="82"/>
        <v>-4.538258144545277E-2</v>
      </c>
      <c r="T2661">
        <v>408.45333333333332</v>
      </c>
      <c r="U2661">
        <v>10</v>
      </c>
      <c r="V2661">
        <v>2023</v>
      </c>
      <c r="W2661">
        <v>4</v>
      </c>
      <c r="X2661" t="s">
        <v>9898</v>
      </c>
      <c r="Y2661" t="s">
        <v>9900</v>
      </c>
      <c r="Z2661" t="s">
        <v>9898</v>
      </c>
      <c r="AD2661">
        <f t="shared" si="83"/>
        <v>3</v>
      </c>
    </row>
    <row r="2662" spans="1:30" x14ac:dyDescent="0.25">
      <c r="A2662" t="s">
        <v>2686</v>
      </c>
      <c r="B2662" s="2">
        <v>44628</v>
      </c>
      <c r="C2662" s="2">
        <v>44635</v>
      </c>
      <c r="D2662" t="s">
        <v>5242</v>
      </c>
      <c r="E2662" t="s">
        <v>5742</v>
      </c>
      <c r="F2662" t="s">
        <v>6027</v>
      </c>
      <c r="G2662" t="s">
        <v>6030</v>
      </c>
      <c r="H2662" t="s">
        <v>6039</v>
      </c>
      <c r="I2662" t="s">
        <v>6051</v>
      </c>
      <c r="J2662" t="s">
        <v>6055</v>
      </c>
      <c r="K2662" t="s">
        <v>6064</v>
      </c>
      <c r="L2662" t="s">
        <v>8365</v>
      </c>
      <c r="M2662">
        <v>296.3</v>
      </c>
      <c r="N2662">
        <v>5</v>
      </c>
      <c r="O2662">
        <v>0.15</v>
      </c>
      <c r="P2662">
        <v>17</v>
      </c>
      <c r="Q2662" t="s">
        <v>9893</v>
      </c>
      <c r="R2662">
        <v>7</v>
      </c>
      <c r="S2662" s="5">
        <f t="shared" si="82"/>
        <v>5.7374282821464728E-2</v>
      </c>
      <c r="T2662">
        <v>59.260000000000012</v>
      </c>
      <c r="U2662">
        <v>3</v>
      </c>
      <c r="V2662">
        <v>2022</v>
      </c>
      <c r="W2662">
        <v>1</v>
      </c>
      <c r="X2662" t="s">
        <v>9899</v>
      </c>
      <c r="Y2662" t="s">
        <v>9901</v>
      </c>
      <c r="Z2662" t="s">
        <v>9899</v>
      </c>
      <c r="AD2662">
        <f t="shared" si="83"/>
        <v>7</v>
      </c>
    </row>
    <row r="2663" spans="1:30" x14ac:dyDescent="0.25">
      <c r="A2663" t="s">
        <v>2687</v>
      </c>
      <c r="B2663" s="2">
        <v>44816</v>
      </c>
      <c r="C2663" s="2">
        <v>44820</v>
      </c>
      <c r="D2663" t="s">
        <v>5244</v>
      </c>
      <c r="E2663" t="s">
        <v>5744</v>
      </c>
      <c r="F2663" t="s">
        <v>6027</v>
      </c>
      <c r="G2663" t="s">
        <v>6031</v>
      </c>
      <c r="H2663" t="s">
        <v>6043</v>
      </c>
      <c r="I2663" t="s">
        <v>6048</v>
      </c>
      <c r="J2663" t="s">
        <v>6055</v>
      </c>
      <c r="K2663" t="s">
        <v>6061</v>
      </c>
      <c r="L2663" t="s">
        <v>7094</v>
      </c>
      <c r="M2663">
        <v>589.52</v>
      </c>
      <c r="N2663">
        <v>8</v>
      </c>
      <c r="O2663">
        <v>0.23</v>
      </c>
      <c r="P2663">
        <v>-39.090000000000003</v>
      </c>
      <c r="Q2663" t="s">
        <v>9897</v>
      </c>
      <c r="R2663">
        <v>4</v>
      </c>
      <c r="S2663" s="5">
        <f t="shared" si="82"/>
        <v>-6.6308182928484199E-2</v>
      </c>
      <c r="T2663">
        <v>73.69</v>
      </c>
      <c r="U2663">
        <v>9</v>
      </c>
      <c r="V2663">
        <v>2022</v>
      </c>
      <c r="W2663">
        <v>3</v>
      </c>
      <c r="X2663" t="s">
        <v>9898</v>
      </c>
      <c r="Y2663" t="s">
        <v>9900</v>
      </c>
      <c r="Z2663" t="s">
        <v>9899</v>
      </c>
      <c r="AD2663">
        <f t="shared" si="83"/>
        <v>4</v>
      </c>
    </row>
    <row r="2664" spans="1:30" x14ac:dyDescent="0.25">
      <c r="A2664" t="s">
        <v>2688</v>
      </c>
      <c r="B2664" s="2">
        <v>45438</v>
      </c>
      <c r="C2664" s="2">
        <v>45445</v>
      </c>
      <c r="D2664" t="s">
        <v>5110</v>
      </c>
      <c r="E2664" t="s">
        <v>5610</v>
      </c>
      <c r="F2664" t="s">
        <v>6026</v>
      </c>
      <c r="G2664" t="s">
        <v>6031</v>
      </c>
      <c r="H2664" t="s">
        <v>6037</v>
      </c>
      <c r="I2664" t="s">
        <v>6048</v>
      </c>
      <c r="J2664" t="s">
        <v>6055</v>
      </c>
      <c r="K2664" t="s">
        <v>6064</v>
      </c>
      <c r="L2664" t="s">
        <v>8366</v>
      </c>
      <c r="M2664">
        <v>355.88</v>
      </c>
      <c r="N2664">
        <v>6</v>
      </c>
      <c r="O2664">
        <v>0.28000000000000003</v>
      </c>
      <c r="P2664">
        <v>-58.5</v>
      </c>
      <c r="Q2664" t="s">
        <v>9893</v>
      </c>
      <c r="R2664">
        <v>7</v>
      </c>
      <c r="S2664" s="5">
        <f t="shared" si="82"/>
        <v>-0.16438125210745194</v>
      </c>
      <c r="T2664">
        <v>59.313333333333333</v>
      </c>
      <c r="U2664">
        <v>5</v>
      </c>
      <c r="V2664">
        <v>2024</v>
      </c>
      <c r="W2664">
        <v>2</v>
      </c>
      <c r="X2664" t="s">
        <v>9898</v>
      </c>
      <c r="Y2664" t="s">
        <v>9900</v>
      </c>
      <c r="Z2664" t="s">
        <v>9899</v>
      </c>
      <c r="AD2664">
        <f t="shared" si="83"/>
        <v>7</v>
      </c>
    </row>
    <row r="2665" spans="1:30" x14ac:dyDescent="0.25">
      <c r="A2665" t="s">
        <v>2689</v>
      </c>
      <c r="B2665" s="2">
        <v>44979</v>
      </c>
      <c r="C2665" s="2">
        <v>44981</v>
      </c>
      <c r="D2665" t="s">
        <v>5516</v>
      </c>
      <c r="E2665" t="s">
        <v>6016</v>
      </c>
      <c r="F2665" t="s">
        <v>6026</v>
      </c>
      <c r="G2665" t="s">
        <v>6031</v>
      </c>
      <c r="H2665" t="s">
        <v>6040</v>
      </c>
      <c r="I2665" t="s">
        <v>6050</v>
      </c>
      <c r="J2665" t="s">
        <v>6054</v>
      </c>
      <c r="K2665" t="s">
        <v>6062</v>
      </c>
      <c r="L2665" t="s">
        <v>8367</v>
      </c>
      <c r="M2665">
        <v>544.07000000000005</v>
      </c>
      <c r="N2665">
        <v>3</v>
      </c>
      <c r="O2665">
        <v>0.03</v>
      </c>
      <c r="P2665">
        <v>118.34</v>
      </c>
      <c r="Q2665" t="s">
        <v>9894</v>
      </c>
      <c r="R2665">
        <v>2</v>
      </c>
      <c r="S2665" s="5">
        <f t="shared" si="82"/>
        <v>0.21750877644420755</v>
      </c>
      <c r="T2665">
        <v>181.35666666666671</v>
      </c>
      <c r="U2665">
        <v>2</v>
      </c>
      <c r="V2665">
        <v>2023</v>
      </c>
      <c r="W2665">
        <v>1</v>
      </c>
      <c r="X2665" t="s">
        <v>9899</v>
      </c>
      <c r="Y2665" t="s">
        <v>9901</v>
      </c>
      <c r="Z2665" t="s">
        <v>9899</v>
      </c>
      <c r="AD2665">
        <f t="shared" si="83"/>
        <v>2</v>
      </c>
    </row>
    <row r="2666" spans="1:30" x14ac:dyDescent="0.25">
      <c r="A2666" t="s">
        <v>2690</v>
      </c>
      <c r="B2666" s="2">
        <v>45210</v>
      </c>
      <c r="C2666" s="2">
        <v>45212</v>
      </c>
      <c r="D2666" t="s">
        <v>5390</v>
      </c>
      <c r="E2666" t="s">
        <v>5890</v>
      </c>
      <c r="F2666" t="s">
        <v>6027</v>
      </c>
      <c r="G2666" t="s">
        <v>6031</v>
      </c>
      <c r="H2666" t="s">
        <v>6043</v>
      </c>
      <c r="I2666" t="s">
        <v>6052</v>
      </c>
      <c r="J2666" t="s">
        <v>6055</v>
      </c>
      <c r="K2666" t="s">
        <v>6063</v>
      </c>
      <c r="L2666" t="s">
        <v>8368</v>
      </c>
      <c r="M2666">
        <v>840.38</v>
      </c>
      <c r="N2666">
        <v>8</v>
      </c>
      <c r="O2666">
        <v>0.1</v>
      </c>
      <c r="P2666">
        <v>155.13</v>
      </c>
      <c r="Q2666" t="s">
        <v>9893</v>
      </c>
      <c r="R2666">
        <v>2</v>
      </c>
      <c r="S2666" s="5">
        <f t="shared" si="82"/>
        <v>0.184595064137652</v>
      </c>
      <c r="T2666">
        <v>105.0475</v>
      </c>
      <c r="U2666">
        <v>10</v>
      </c>
      <c r="V2666">
        <v>2023</v>
      </c>
      <c r="W2666">
        <v>4</v>
      </c>
      <c r="X2666" t="s">
        <v>9899</v>
      </c>
      <c r="Y2666" t="s">
        <v>9901</v>
      </c>
      <c r="Z2666" t="s">
        <v>9899</v>
      </c>
      <c r="AD2666">
        <f t="shared" si="83"/>
        <v>2</v>
      </c>
    </row>
    <row r="2667" spans="1:30" x14ac:dyDescent="0.25">
      <c r="A2667" t="s">
        <v>2691</v>
      </c>
      <c r="B2667" s="2">
        <v>45219</v>
      </c>
      <c r="C2667" s="2">
        <v>45222</v>
      </c>
      <c r="D2667" t="s">
        <v>5189</v>
      </c>
      <c r="E2667" t="s">
        <v>5689</v>
      </c>
      <c r="F2667" t="s">
        <v>6026</v>
      </c>
      <c r="G2667" t="s">
        <v>6030</v>
      </c>
      <c r="H2667" t="s">
        <v>6035</v>
      </c>
      <c r="I2667" t="s">
        <v>6051</v>
      </c>
      <c r="J2667" t="s">
        <v>6053</v>
      </c>
      <c r="K2667" t="s">
        <v>6058</v>
      </c>
      <c r="L2667" t="s">
        <v>6996</v>
      </c>
      <c r="M2667">
        <v>883.51</v>
      </c>
      <c r="N2667">
        <v>5</v>
      </c>
      <c r="O2667">
        <v>0.27</v>
      </c>
      <c r="P2667">
        <v>-53.8</v>
      </c>
      <c r="Q2667" t="s">
        <v>9893</v>
      </c>
      <c r="R2667">
        <v>3</v>
      </c>
      <c r="S2667" s="5">
        <f t="shared" si="82"/>
        <v>-6.0893481681022286E-2</v>
      </c>
      <c r="T2667">
        <v>176.702</v>
      </c>
      <c r="U2667">
        <v>10</v>
      </c>
      <c r="V2667">
        <v>2023</v>
      </c>
      <c r="W2667">
        <v>4</v>
      </c>
      <c r="X2667" t="s">
        <v>9898</v>
      </c>
      <c r="Y2667" t="s">
        <v>9900</v>
      </c>
      <c r="Z2667" t="s">
        <v>9899</v>
      </c>
      <c r="AD2667">
        <f t="shared" si="83"/>
        <v>3</v>
      </c>
    </row>
    <row r="2668" spans="1:30" x14ac:dyDescent="0.25">
      <c r="A2668" t="s">
        <v>2692</v>
      </c>
      <c r="B2668" s="2">
        <v>45051</v>
      </c>
      <c r="C2668" s="2">
        <v>45056</v>
      </c>
      <c r="D2668" t="s">
        <v>5466</v>
      </c>
      <c r="E2668" t="s">
        <v>5966</v>
      </c>
      <c r="F2668" t="s">
        <v>6028</v>
      </c>
      <c r="G2668" t="s">
        <v>6030</v>
      </c>
      <c r="H2668" t="s">
        <v>6035</v>
      </c>
      <c r="I2668" t="s">
        <v>6051</v>
      </c>
      <c r="J2668" t="s">
        <v>6055</v>
      </c>
      <c r="K2668" t="s">
        <v>6061</v>
      </c>
      <c r="L2668" t="s">
        <v>8369</v>
      </c>
      <c r="M2668">
        <v>787.8</v>
      </c>
      <c r="N2668">
        <v>4</v>
      </c>
      <c r="O2668">
        <v>0.19</v>
      </c>
      <c r="P2668">
        <v>59.56</v>
      </c>
      <c r="Q2668" t="s">
        <v>9896</v>
      </c>
      <c r="R2668">
        <v>5</v>
      </c>
      <c r="S2668" s="5">
        <f t="shared" si="82"/>
        <v>7.5602944909875611E-2</v>
      </c>
      <c r="T2668">
        <v>196.95</v>
      </c>
      <c r="U2668">
        <v>5</v>
      </c>
      <c r="V2668">
        <v>2023</v>
      </c>
      <c r="W2668">
        <v>2</v>
      </c>
      <c r="X2668" t="s">
        <v>9899</v>
      </c>
      <c r="Y2668" t="s">
        <v>9900</v>
      </c>
      <c r="Z2668" t="s">
        <v>9899</v>
      </c>
      <c r="AD2668">
        <f t="shared" si="83"/>
        <v>5</v>
      </c>
    </row>
    <row r="2669" spans="1:30" x14ac:dyDescent="0.25">
      <c r="A2669" t="s">
        <v>2693</v>
      </c>
      <c r="B2669" s="2">
        <v>45292</v>
      </c>
      <c r="C2669" s="2">
        <v>45297</v>
      </c>
      <c r="D2669" t="s">
        <v>5056</v>
      </c>
      <c r="E2669" t="s">
        <v>5556</v>
      </c>
      <c r="F2669" t="s">
        <v>6026</v>
      </c>
      <c r="G2669" t="s">
        <v>6031</v>
      </c>
      <c r="H2669" t="s">
        <v>6037</v>
      </c>
      <c r="I2669" t="s">
        <v>6048</v>
      </c>
      <c r="J2669" t="s">
        <v>6054</v>
      </c>
      <c r="K2669" t="s">
        <v>6059</v>
      </c>
      <c r="L2669" t="s">
        <v>6245</v>
      </c>
      <c r="M2669">
        <v>969.6</v>
      </c>
      <c r="N2669">
        <v>1</v>
      </c>
      <c r="O2669">
        <v>0.05</v>
      </c>
      <c r="P2669">
        <v>240.34</v>
      </c>
      <c r="Q2669" t="s">
        <v>9897</v>
      </c>
      <c r="R2669">
        <v>5</v>
      </c>
      <c r="S2669" s="5">
        <f t="shared" si="82"/>
        <v>0.24787541254125411</v>
      </c>
      <c r="T2669">
        <v>969.6</v>
      </c>
      <c r="U2669">
        <v>1</v>
      </c>
      <c r="V2669">
        <v>2024</v>
      </c>
      <c r="W2669">
        <v>1</v>
      </c>
      <c r="X2669" t="s">
        <v>9899</v>
      </c>
      <c r="Y2669" t="s">
        <v>9901</v>
      </c>
      <c r="Z2669" t="s">
        <v>9899</v>
      </c>
      <c r="AD2669">
        <f t="shared" si="83"/>
        <v>5</v>
      </c>
    </row>
    <row r="2670" spans="1:30" x14ac:dyDescent="0.25">
      <c r="A2670" t="s">
        <v>2694</v>
      </c>
      <c r="B2670" s="2">
        <v>45355</v>
      </c>
      <c r="C2670" s="2">
        <v>45362</v>
      </c>
      <c r="D2670" t="s">
        <v>5090</v>
      </c>
      <c r="E2670" t="s">
        <v>5590</v>
      </c>
      <c r="F2670" t="s">
        <v>6028</v>
      </c>
      <c r="G2670" t="s">
        <v>6031</v>
      </c>
      <c r="H2670" t="s">
        <v>6037</v>
      </c>
      <c r="I2670" t="s">
        <v>6052</v>
      </c>
      <c r="J2670" t="s">
        <v>6055</v>
      </c>
      <c r="K2670" t="s">
        <v>6063</v>
      </c>
      <c r="L2670" t="s">
        <v>8370</v>
      </c>
      <c r="M2670">
        <v>133.04</v>
      </c>
      <c r="N2670">
        <v>4</v>
      </c>
      <c r="O2670">
        <v>0.31</v>
      </c>
      <c r="P2670">
        <v>-3.49</v>
      </c>
      <c r="Q2670" t="s">
        <v>9895</v>
      </c>
      <c r="R2670">
        <v>7</v>
      </c>
      <c r="S2670" s="5">
        <f t="shared" si="82"/>
        <v>-2.6232711966325921E-2</v>
      </c>
      <c r="T2670">
        <v>33.26</v>
      </c>
      <c r="U2670">
        <v>3</v>
      </c>
      <c r="V2670">
        <v>2024</v>
      </c>
      <c r="W2670">
        <v>1</v>
      </c>
      <c r="X2670" t="s">
        <v>9898</v>
      </c>
      <c r="Y2670" t="s">
        <v>9902</v>
      </c>
      <c r="Z2670" t="s">
        <v>9899</v>
      </c>
      <c r="AD2670">
        <f t="shared" si="83"/>
        <v>7</v>
      </c>
    </row>
    <row r="2671" spans="1:30" x14ac:dyDescent="0.25">
      <c r="A2671" t="s">
        <v>2695</v>
      </c>
      <c r="B2671" s="2">
        <v>45291</v>
      </c>
      <c r="C2671" s="2">
        <v>45295</v>
      </c>
      <c r="D2671" t="s">
        <v>5335</v>
      </c>
      <c r="E2671" t="s">
        <v>5835</v>
      </c>
      <c r="F2671" t="s">
        <v>6028</v>
      </c>
      <c r="G2671" t="s">
        <v>6030</v>
      </c>
      <c r="H2671" t="s">
        <v>6035</v>
      </c>
      <c r="I2671" t="s">
        <v>6051</v>
      </c>
      <c r="J2671" t="s">
        <v>6053</v>
      </c>
      <c r="K2671" t="s">
        <v>6058</v>
      </c>
      <c r="L2671" t="s">
        <v>8371</v>
      </c>
      <c r="M2671">
        <v>1741.93</v>
      </c>
      <c r="N2671">
        <v>1</v>
      </c>
      <c r="O2671">
        <v>0.01</v>
      </c>
      <c r="P2671">
        <v>191.63</v>
      </c>
      <c r="Q2671" t="s">
        <v>9894</v>
      </c>
      <c r="R2671">
        <v>4</v>
      </c>
      <c r="S2671" s="5">
        <f t="shared" si="82"/>
        <v>0.11001016114309989</v>
      </c>
      <c r="T2671">
        <v>1741.93</v>
      </c>
      <c r="U2671">
        <v>12</v>
      </c>
      <c r="V2671">
        <v>2023</v>
      </c>
      <c r="W2671">
        <v>4</v>
      </c>
      <c r="X2671" t="s">
        <v>9899</v>
      </c>
      <c r="Y2671" t="s">
        <v>9901</v>
      </c>
      <c r="Z2671" t="s">
        <v>9898</v>
      </c>
      <c r="AD2671">
        <f t="shared" si="83"/>
        <v>4</v>
      </c>
    </row>
    <row r="2672" spans="1:30" x14ac:dyDescent="0.25">
      <c r="A2672" t="s">
        <v>2696</v>
      </c>
      <c r="B2672" s="2">
        <v>45180</v>
      </c>
      <c r="C2672" s="2">
        <v>45187</v>
      </c>
      <c r="D2672" t="s">
        <v>5364</v>
      </c>
      <c r="E2672" t="s">
        <v>5864</v>
      </c>
      <c r="F2672" t="s">
        <v>6028</v>
      </c>
      <c r="G2672" t="s">
        <v>6029</v>
      </c>
      <c r="H2672" t="s">
        <v>6044</v>
      </c>
      <c r="I2672" t="s">
        <v>6049</v>
      </c>
      <c r="J2672" t="s">
        <v>6053</v>
      </c>
      <c r="K2672" t="s">
        <v>6056</v>
      </c>
      <c r="L2672" t="s">
        <v>8372</v>
      </c>
      <c r="M2672">
        <v>606.84</v>
      </c>
      <c r="N2672">
        <v>2</v>
      </c>
      <c r="O2672">
        <v>0.05</v>
      </c>
      <c r="P2672">
        <v>115.43</v>
      </c>
      <c r="Q2672" t="s">
        <v>9896</v>
      </c>
      <c r="R2672">
        <v>7</v>
      </c>
      <c r="S2672" s="5">
        <f t="shared" si="82"/>
        <v>0.19021488365961373</v>
      </c>
      <c r="T2672">
        <v>303.42</v>
      </c>
      <c r="U2672">
        <v>9</v>
      </c>
      <c r="V2672">
        <v>2023</v>
      </c>
      <c r="W2672">
        <v>3</v>
      </c>
      <c r="X2672" t="s">
        <v>9899</v>
      </c>
      <c r="Y2672" t="s">
        <v>9901</v>
      </c>
      <c r="Z2672" t="s">
        <v>9899</v>
      </c>
      <c r="AD2672">
        <f t="shared" si="83"/>
        <v>7</v>
      </c>
    </row>
    <row r="2673" spans="1:30" x14ac:dyDescent="0.25">
      <c r="A2673" t="s">
        <v>2697</v>
      </c>
      <c r="B2673" s="2">
        <v>44856</v>
      </c>
      <c r="C2673" s="2">
        <v>44860</v>
      </c>
      <c r="D2673" t="s">
        <v>5172</v>
      </c>
      <c r="E2673" t="s">
        <v>5672</v>
      </c>
      <c r="F2673" t="s">
        <v>6026</v>
      </c>
      <c r="G2673" t="s">
        <v>6030</v>
      </c>
      <c r="H2673" t="s">
        <v>6038</v>
      </c>
      <c r="I2673" t="s">
        <v>6047</v>
      </c>
      <c r="J2673" t="s">
        <v>6053</v>
      </c>
      <c r="K2673" t="s">
        <v>6056</v>
      </c>
      <c r="L2673" t="s">
        <v>8373</v>
      </c>
      <c r="M2673">
        <v>600.23</v>
      </c>
      <c r="N2673">
        <v>7</v>
      </c>
      <c r="O2673">
        <v>0.12</v>
      </c>
      <c r="P2673">
        <v>-5.81</v>
      </c>
      <c r="Q2673" t="s">
        <v>9893</v>
      </c>
      <c r="R2673">
        <v>4</v>
      </c>
      <c r="S2673" s="5">
        <f t="shared" si="82"/>
        <v>-9.6796228112556847E-3</v>
      </c>
      <c r="T2673">
        <v>85.747142857142862</v>
      </c>
      <c r="U2673">
        <v>10</v>
      </c>
      <c r="V2673">
        <v>2022</v>
      </c>
      <c r="W2673">
        <v>4</v>
      </c>
      <c r="X2673" t="s">
        <v>9898</v>
      </c>
      <c r="Y2673" t="s">
        <v>9901</v>
      </c>
      <c r="Z2673" t="s">
        <v>9899</v>
      </c>
      <c r="AD2673">
        <f t="shared" si="83"/>
        <v>4</v>
      </c>
    </row>
    <row r="2674" spans="1:30" x14ac:dyDescent="0.25">
      <c r="A2674" t="s">
        <v>2698</v>
      </c>
      <c r="B2674" s="2">
        <v>44920</v>
      </c>
      <c r="C2674" s="2">
        <v>44922</v>
      </c>
      <c r="D2674" t="s">
        <v>5196</v>
      </c>
      <c r="E2674" t="s">
        <v>5696</v>
      </c>
      <c r="F2674" t="s">
        <v>6026</v>
      </c>
      <c r="G2674" t="s">
        <v>6031</v>
      </c>
      <c r="H2674" t="s">
        <v>6037</v>
      </c>
      <c r="I2674" t="s">
        <v>6052</v>
      </c>
      <c r="J2674" t="s">
        <v>6053</v>
      </c>
      <c r="K2674" t="s">
        <v>6057</v>
      </c>
      <c r="L2674" t="s">
        <v>6272</v>
      </c>
      <c r="M2674">
        <v>1242.32</v>
      </c>
      <c r="N2674">
        <v>3</v>
      </c>
      <c r="O2674">
        <v>0.3</v>
      </c>
      <c r="P2674">
        <v>-228.44</v>
      </c>
      <c r="Q2674" t="s">
        <v>9897</v>
      </c>
      <c r="R2674">
        <v>2</v>
      </c>
      <c r="S2674" s="5">
        <f t="shared" si="82"/>
        <v>-0.18388176959237557</v>
      </c>
      <c r="T2674">
        <v>414.10666666666663</v>
      </c>
      <c r="U2674">
        <v>12</v>
      </c>
      <c r="V2674">
        <v>2022</v>
      </c>
      <c r="W2674">
        <v>4</v>
      </c>
      <c r="X2674" t="s">
        <v>9898</v>
      </c>
      <c r="Y2674" t="s">
        <v>9900</v>
      </c>
      <c r="Z2674" t="s">
        <v>9898</v>
      </c>
      <c r="AD2674">
        <f t="shared" si="83"/>
        <v>2</v>
      </c>
    </row>
    <row r="2675" spans="1:30" x14ac:dyDescent="0.25">
      <c r="A2675" t="s">
        <v>2699</v>
      </c>
      <c r="B2675" s="2">
        <v>45238</v>
      </c>
      <c r="C2675" s="2">
        <v>45244</v>
      </c>
      <c r="D2675" t="s">
        <v>5405</v>
      </c>
      <c r="E2675" t="s">
        <v>5905</v>
      </c>
      <c r="F2675" t="s">
        <v>6026</v>
      </c>
      <c r="G2675" t="s">
        <v>6029</v>
      </c>
      <c r="H2675" t="s">
        <v>6036</v>
      </c>
      <c r="I2675" t="s">
        <v>6046</v>
      </c>
      <c r="J2675" t="s">
        <v>6054</v>
      </c>
      <c r="K2675" t="s">
        <v>6060</v>
      </c>
      <c r="L2675" t="s">
        <v>8374</v>
      </c>
      <c r="M2675">
        <v>186.23</v>
      </c>
      <c r="N2675">
        <v>8</v>
      </c>
      <c r="O2675">
        <v>0.15</v>
      </c>
      <c r="P2675">
        <v>11.19</v>
      </c>
      <c r="Q2675" t="s">
        <v>9893</v>
      </c>
      <c r="R2675">
        <v>6</v>
      </c>
      <c r="S2675" s="5">
        <f t="shared" si="82"/>
        <v>6.0086989206894703E-2</v>
      </c>
      <c r="T2675">
        <v>23.278749999999999</v>
      </c>
      <c r="U2675">
        <v>11</v>
      </c>
      <c r="V2675">
        <v>2023</v>
      </c>
      <c r="W2675">
        <v>4</v>
      </c>
      <c r="X2675" t="s">
        <v>9899</v>
      </c>
      <c r="Y2675" t="s">
        <v>9901</v>
      </c>
      <c r="Z2675" t="s">
        <v>9899</v>
      </c>
      <c r="AD2675">
        <f t="shared" si="83"/>
        <v>6</v>
      </c>
    </row>
    <row r="2676" spans="1:30" x14ac:dyDescent="0.25">
      <c r="A2676" t="s">
        <v>2700</v>
      </c>
      <c r="B2676" s="2">
        <v>44769</v>
      </c>
      <c r="C2676" s="2">
        <v>44773</v>
      </c>
      <c r="D2676" t="s">
        <v>5273</v>
      </c>
      <c r="E2676" t="s">
        <v>5773</v>
      </c>
      <c r="F2676" t="s">
        <v>6026</v>
      </c>
      <c r="G2676" t="s">
        <v>6029</v>
      </c>
      <c r="H2676" t="s">
        <v>6036</v>
      </c>
      <c r="I2676" t="s">
        <v>6046</v>
      </c>
      <c r="J2676" t="s">
        <v>6055</v>
      </c>
      <c r="K2676" t="s">
        <v>6064</v>
      </c>
      <c r="L2676" t="s">
        <v>8375</v>
      </c>
      <c r="M2676">
        <v>907.62</v>
      </c>
      <c r="N2676">
        <v>7</v>
      </c>
      <c r="O2676">
        <v>0.23</v>
      </c>
      <c r="P2676">
        <v>31.37</v>
      </c>
      <c r="Q2676" t="s">
        <v>9896</v>
      </c>
      <c r="R2676">
        <v>4</v>
      </c>
      <c r="S2676" s="5">
        <f t="shared" si="82"/>
        <v>3.4562922809105133E-2</v>
      </c>
      <c r="T2676">
        <v>129.66</v>
      </c>
      <c r="U2676">
        <v>7</v>
      </c>
      <c r="V2676">
        <v>2022</v>
      </c>
      <c r="W2676">
        <v>3</v>
      </c>
      <c r="X2676" t="s">
        <v>9899</v>
      </c>
      <c r="Y2676" t="s">
        <v>9900</v>
      </c>
      <c r="Z2676" t="s">
        <v>9899</v>
      </c>
      <c r="AD2676">
        <f t="shared" si="83"/>
        <v>4</v>
      </c>
    </row>
    <row r="2677" spans="1:30" x14ac:dyDescent="0.25">
      <c r="A2677" t="s">
        <v>2701</v>
      </c>
      <c r="B2677" s="2">
        <v>44852</v>
      </c>
      <c r="C2677" s="2">
        <v>44858</v>
      </c>
      <c r="D2677" t="s">
        <v>5041</v>
      </c>
      <c r="E2677" t="s">
        <v>5541</v>
      </c>
      <c r="F2677" t="s">
        <v>6026</v>
      </c>
      <c r="G2677" t="s">
        <v>6030</v>
      </c>
      <c r="H2677" t="s">
        <v>6039</v>
      </c>
      <c r="I2677" t="s">
        <v>6051</v>
      </c>
      <c r="J2677" t="s">
        <v>6054</v>
      </c>
      <c r="K2677" t="s">
        <v>6060</v>
      </c>
      <c r="L2677" t="s">
        <v>8376</v>
      </c>
      <c r="M2677">
        <v>392.71</v>
      </c>
      <c r="N2677">
        <v>3</v>
      </c>
      <c r="O2677">
        <v>0.17</v>
      </c>
      <c r="P2677">
        <v>38.450000000000003</v>
      </c>
      <c r="Q2677" t="s">
        <v>9897</v>
      </c>
      <c r="R2677">
        <v>6</v>
      </c>
      <c r="S2677" s="5">
        <f t="shared" si="82"/>
        <v>9.7909398793002478E-2</v>
      </c>
      <c r="T2677">
        <v>130.90333333333331</v>
      </c>
      <c r="U2677">
        <v>10</v>
      </c>
      <c r="V2677">
        <v>2022</v>
      </c>
      <c r="W2677">
        <v>4</v>
      </c>
      <c r="X2677" t="s">
        <v>9899</v>
      </c>
      <c r="Y2677" t="s">
        <v>9900</v>
      </c>
      <c r="Z2677" t="s">
        <v>9899</v>
      </c>
      <c r="AD2677">
        <f t="shared" si="83"/>
        <v>6</v>
      </c>
    </row>
    <row r="2678" spans="1:30" x14ac:dyDescent="0.25">
      <c r="A2678" t="s">
        <v>2702</v>
      </c>
      <c r="B2678" s="2">
        <v>44638</v>
      </c>
      <c r="C2678" s="2">
        <v>44644</v>
      </c>
      <c r="D2678" t="s">
        <v>5351</v>
      </c>
      <c r="E2678" t="s">
        <v>5851</v>
      </c>
      <c r="F2678" t="s">
        <v>6026</v>
      </c>
      <c r="G2678" t="s">
        <v>6030</v>
      </c>
      <c r="H2678" t="s">
        <v>6033</v>
      </c>
      <c r="I2678" t="s">
        <v>6051</v>
      </c>
      <c r="J2678" t="s">
        <v>6055</v>
      </c>
      <c r="K2678" t="s">
        <v>6064</v>
      </c>
      <c r="L2678" t="s">
        <v>6096</v>
      </c>
      <c r="M2678">
        <v>1537.05</v>
      </c>
      <c r="N2678">
        <v>1</v>
      </c>
      <c r="O2678">
        <v>0.2</v>
      </c>
      <c r="P2678">
        <v>93.92</v>
      </c>
      <c r="Q2678" t="s">
        <v>9894</v>
      </c>
      <c r="R2678">
        <v>6</v>
      </c>
      <c r="S2678" s="5">
        <f t="shared" si="82"/>
        <v>6.110406297778212E-2</v>
      </c>
      <c r="T2678">
        <v>1537.05</v>
      </c>
      <c r="U2678">
        <v>3</v>
      </c>
      <c r="V2678">
        <v>2022</v>
      </c>
      <c r="W2678">
        <v>1</v>
      </c>
      <c r="X2678" t="s">
        <v>9899</v>
      </c>
      <c r="Y2678" t="s">
        <v>9900</v>
      </c>
      <c r="Z2678" t="s">
        <v>9898</v>
      </c>
      <c r="AD2678">
        <f t="shared" si="83"/>
        <v>6</v>
      </c>
    </row>
    <row r="2679" spans="1:30" x14ac:dyDescent="0.25">
      <c r="A2679" t="s">
        <v>2703</v>
      </c>
      <c r="B2679" s="2">
        <v>45344</v>
      </c>
      <c r="C2679" s="2">
        <v>45347</v>
      </c>
      <c r="D2679" t="s">
        <v>5317</v>
      </c>
      <c r="E2679" t="s">
        <v>5817</v>
      </c>
      <c r="F2679" t="s">
        <v>6026</v>
      </c>
      <c r="G2679" t="s">
        <v>6030</v>
      </c>
      <c r="H2679" t="s">
        <v>6033</v>
      </c>
      <c r="I2679" t="s">
        <v>6047</v>
      </c>
      <c r="J2679" t="s">
        <v>6053</v>
      </c>
      <c r="K2679" t="s">
        <v>6056</v>
      </c>
      <c r="L2679" t="s">
        <v>8377</v>
      </c>
      <c r="M2679">
        <v>1254.6300000000001</v>
      </c>
      <c r="N2679">
        <v>8</v>
      </c>
      <c r="O2679">
        <v>0.03</v>
      </c>
      <c r="P2679">
        <v>288.29000000000002</v>
      </c>
      <c r="Q2679" t="s">
        <v>9893</v>
      </c>
      <c r="R2679">
        <v>3</v>
      </c>
      <c r="S2679" s="5">
        <f t="shared" si="82"/>
        <v>0.22978089157759657</v>
      </c>
      <c r="T2679">
        <v>156.82875000000001</v>
      </c>
      <c r="U2679">
        <v>2</v>
      </c>
      <c r="V2679">
        <v>2024</v>
      </c>
      <c r="W2679">
        <v>1</v>
      </c>
      <c r="X2679" t="s">
        <v>9899</v>
      </c>
      <c r="Y2679" t="s">
        <v>9901</v>
      </c>
      <c r="Z2679" t="s">
        <v>9898</v>
      </c>
      <c r="AD2679">
        <f t="shared" si="83"/>
        <v>3</v>
      </c>
    </row>
    <row r="2680" spans="1:30" x14ac:dyDescent="0.25">
      <c r="A2680" t="s">
        <v>2704</v>
      </c>
      <c r="B2680" s="2">
        <v>44716</v>
      </c>
      <c r="C2680" s="2">
        <v>44720</v>
      </c>
      <c r="D2680" t="s">
        <v>5441</v>
      </c>
      <c r="E2680" t="s">
        <v>5941</v>
      </c>
      <c r="F2680" t="s">
        <v>6028</v>
      </c>
      <c r="G2680" t="s">
        <v>6031</v>
      </c>
      <c r="H2680" t="s">
        <v>6034</v>
      </c>
      <c r="I2680" t="s">
        <v>6048</v>
      </c>
      <c r="J2680" t="s">
        <v>6053</v>
      </c>
      <c r="K2680" t="s">
        <v>6056</v>
      </c>
      <c r="L2680" t="s">
        <v>8378</v>
      </c>
      <c r="M2680">
        <v>1317.98</v>
      </c>
      <c r="N2680">
        <v>3</v>
      </c>
      <c r="O2680">
        <v>0.17</v>
      </c>
      <c r="P2680">
        <v>39.72</v>
      </c>
      <c r="Q2680" t="s">
        <v>9895</v>
      </c>
      <c r="R2680">
        <v>4</v>
      </c>
      <c r="S2680" s="5">
        <f t="shared" si="82"/>
        <v>3.0137027875992047E-2</v>
      </c>
      <c r="T2680">
        <v>439.32666666666671</v>
      </c>
      <c r="U2680">
        <v>6</v>
      </c>
      <c r="V2680">
        <v>2022</v>
      </c>
      <c r="W2680">
        <v>2</v>
      </c>
      <c r="X2680" t="s">
        <v>9899</v>
      </c>
      <c r="Y2680" t="s">
        <v>9900</v>
      </c>
      <c r="Z2680" t="s">
        <v>9898</v>
      </c>
      <c r="AD2680">
        <f t="shared" si="83"/>
        <v>4</v>
      </c>
    </row>
    <row r="2681" spans="1:30" x14ac:dyDescent="0.25">
      <c r="A2681" t="s">
        <v>2705</v>
      </c>
      <c r="B2681" s="2">
        <v>45236</v>
      </c>
      <c r="C2681" s="2">
        <v>45240</v>
      </c>
      <c r="D2681" t="s">
        <v>5152</v>
      </c>
      <c r="E2681" t="s">
        <v>5652</v>
      </c>
      <c r="F2681" t="s">
        <v>6028</v>
      </c>
      <c r="G2681" t="s">
        <v>6030</v>
      </c>
      <c r="H2681" t="s">
        <v>6039</v>
      </c>
      <c r="I2681" t="s">
        <v>6047</v>
      </c>
      <c r="J2681" t="s">
        <v>6055</v>
      </c>
      <c r="K2681" t="s">
        <v>6064</v>
      </c>
      <c r="L2681" t="s">
        <v>8379</v>
      </c>
      <c r="M2681">
        <v>549.78</v>
      </c>
      <c r="N2681">
        <v>2</v>
      </c>
      <c r="O2681">
        <v>0.33</v>
      </c>
      <c r="P2681">
        <v>-43.54</v>
      </c>
      <c r="Q2681" t="s">
        <v>9894</v>
      </c>
      <c r="R2681">
        <v>4</v>
      </c>
      <c r="S2681" s="5">
        <f t="shared" si="82"/>
        <v>-7.9195314489432136E-2</v>
      </c>
      <c r="T2681">
        <v>274.89</v>
      </c>
      <c r="U2681">
        <v>11</v>
      </c>
      <c r="V2681">
        <v>2023</v>
      </c>
      <c r="W2681">
        <v>4</v>
      </c>
      <c r="X2681" t="s">
        <v>9898</v>
      </c>
      <c r="Y2681" t="s">
        <v>9902</v>
      </c>
      <c r="Z2681" t="s">
        <v>9899</v>
      </c>
      <c r="AD2681">
        <f t="shared" si="83"/>
        <v>4</v>
      </c>
    </row>
    <row r="2682" spans="1:30" x14ac:dyDescent="0.25">
      <c r="A2682" t="s">
        <v>2706</v>
      </c>
      <c r="B2682" s="2">
        <v>44735</v>
      </c>
      <c r="C2682" s="2">
        <v>44739</v>
      </c>
      <c r="D2682" t="s">
        <v>5234</v>
      </c>
      <c r="E2682" t="s">
        <v>5734</v>
      </c>
      <c r="F2682" t="s">
        <v>6027</v>
      </c>
      <c r="G2682" t="s">
        <v>6029</v>
      </c>
      <c r="H2682" t="s">
        <v>6041</v>
      </c>
      <c r="I2682" t="s">
        <v>6050</v>
      </c>
      <c r="J2682" t="s">
        <v>6054</v>
      </c>
      <c r="K2682" t="s">
        <v>6059</v>
      </c>
      <c r="L2682" t="s">
        <v>8380</v>
      </c>
      <c r="M2682">
        <v>1160.68</v>
      </c>
      <c r="N2682">
        <v>3</v>
      </c>
      <c r="O2682">
        <v>0.06</v>
      </c>
      <c r="P2682">
        <v>239.48</v>
      </c>
      <c r="Q2682" t="s">
        <v>9895</v>
      </c>
      <c r="R2682">
        <v>4</v>
      </c>
      <c r="S2682" s="5">
        <f t="shared" si="82"/>
        <v>0.20632732536099527</v>
      </c>
      <c r="T2682">
        <v>386.89333333333337</v>
      </c>
      <c r="U2682">
        <v>6</v>
      </c>
      <c r="V2682">
        <v>2022</v>
      </c>
      <c r="W2682">
        <v>2</v>
      </c>
      <c r="X2682" t="s">
        <v>9899</v>
      </c>
      <c r="Y2682" t="s">
        <v>9901</v>
      </c>
      <c r="Z2682" t="s">
        <v>9898</v>
      </c>
      <c r="AD2682">
        <f t="shared" si="83"/>
        <v>4</v>
      </c>
    </row>
    <row r="2683" spans="1:30" x14ac:dyDescent="0.25">
      <c r="A2683" t="s">
        <v>2707</v>
      </c>
      <c r="B2683" s="2">
        <v>44948</v>
      </c>
      <c r="C2683" s="2">
        <v>44953</v>
      </c>
      <c r="D2683" t="s">
        <v>5191</v>
      </c>
      <c r="E2683" t="s">
        <v>5691</v>
      </c>
      <c r="F2683" t="s">
        <v>6028</v>
      </c>
      <c r="G2683" t="s">
        <v>6030</v>
      </c>
      <c r="H2683" t="s">
        <v>6033</v>
      </c>
      <c r="I2683" t="s">
        <v>6051</v>
      </c>
      <c r="J2683" t="s">
        <v>6053</v>
      </c>
      <c r="K2683" t="s">
        <v>6057</v>
      </c>
      <c r="L2683" t="s">
        <v>8381</v>
      </c>
      <c r="M2683">
        <v>1001.85</v>
      </c>
      <c r="N2683">
        <v>8</v>
      </c>
      <c r="O2683">
        <v>0.27</v>
      </c>
      <c r="P2683">
        <v>5.63</v>
      </c>
      <c r="Q2683" t="s">
        <v>9893</v>
      </c>
      <c r="R2683">
        <v>5</v>
      </c>
      <c r="S2683" s="5">
        <f t="shared" si="82"/>
        <v>5.6196037330937766E-3</v>
      </c>
      <c r="T2683">
        <v>125.23125</v>
      </c>
      <c r="U2683">
        <v>1</v>
      </c>
      <c r="V2683">
        <v>2023</v>
      </c>
      <c r="W2683">
        <v>1</v>
      </c>
      <c r="X2683" t="s">
        <v>9899</v>
      </c>
      <c r="Y2683" t="s">
        <v>9900</v>
      </c>
      <c r="Z2683" t="s">
        <v>9898</v>
      </c>
      <c r="AD2683">
        <f t="shared" si="83"/>
        <v>5</v>
      </c>
    </row>
    <row r="2684" spans="1:30" x14ac:dyDescent="0.25">
      <c r="A2684" t="s">
        <v>2708</v>
      </c>
      <c r="B2684" s="2">
        <v>44795</v>
      </c>
      <c r="C2684" s="2">
        <v>44802</v>
      </c>
      <c r="D2684" t="s">
        <v>5282</v>
      </c>
      <c r="E2684" t="s">
        <v>5782</v>
      </c>
      <c r="F2684" t="s">
        <v>6026</v>
      </c>
      <c r="G2684" t="s">
        <v>6030</v>
      </c>
      <c r="H2684" t="s">
        <v>6035</v>
      </c>
      <c r="I2684" t="s">
        <v>6051</v>
      </c>
      <c r="J2684" t="s">
        <v>6055</v>
      </c>
      <c r="K2684" t="s">
        <v>6063</v>
      </c>
      <c r="L2684" t="s">
        <v>8382</v>
      </c>
      <c r="M2684">
        <v>324.16000000000003</v>
      </c>
      <c r="N2684">
        <v>7</v>
      </c>
      <c r="O2684">
        <v>0.33</v>
      </c>
      <c r="P2684">
        <v>-28.57</v>
      </c>
      <c r="Q2684" t="s">
        <v>9893</v>
      </c>
      <c r="R2684">
        <v>7</v>
      </c>
      <c r="S2684" s="5">
        <f t="shared" si="82"/>
        <v>-8.8135488647581431E-2</v>
      </c>
      <c r="T2684">
        <v>46.308571428571433</v>
      </c>
      <c r="U2684">
        <v>8</v>
      </c>
      <c r="V2684">
        <v>2022</v>
      </c>
      <c r="W2684">
        <v>3</v>
      </c>
      <c r="X2684" t="s">
        <v>9898</v>
      </c>
      <c r="Y2684" t="s">
        <v>9902</v>
      </c>
      <c r="Z2684" t="s">
        <v>9899</v>
      </c>
      <c r="AD2684">
        <f t="shared" si="83"/>
        <v>7</v>
      </c>
    </row>
    <row r="2685" spans="1:30" x14ac:dyDescent="0.25">
      <c r="A2685" t="s">
        <v>2709</v>
      </c>
      <c r="B2685" s="2">
        <v>44906</v>
      </c>
      <c r="C2685" s="2">
        <v>44908</v>
      </c>
      <c r="D2685" t="s">
        <v>5414</v>
      </c>
      <c r="E2685" t="s">
        <v>5914</v>
      </c>
      <c r="F2685" t="s">
        <v>6027</v>
      </c>
      <c r="G2685" t="s">
        <v>6030</v>
      </c>
      <c r="H2685" t="s">
        <v>6035</v>
      </c>
      <c r="I2685" t="s">
        <v>6051</v>
      </c>
      <c r="J2685" t="s">
        <v>6054</v>
      </c>
      <c r="K2685" t="s">
        <v>6060</v>
      </c>
      <c r="L2685" t="s">
        <v>7215</v>
      </c>
      <c r="M2685">
        <v>1643.08</v>
      </c>
      <c r="N2685">
        <v>4</v>
      </c>
      <c r="O2685">
        <v>7.0000000000000007E-2</v>
      </c>
      <c r="P2685">
        <v>323.42</v>
      </c>
      <c r="Q2685" t="s">
        <v>9897</v>
      </c>
      <c r="R2685">
        <v>2</v>
      </c>
      <c r="S2685" s="5">
        <f t="shared" si="82"/>
        <v>0.19683764637144877</v>
      </c>
      <c r="T2685">
        <v>410.77</v>
      </c>
      <c r="U2685">
        <v>12</v>
      </c>
      <c r="V2685">
        <v>2022</v>
      </c>
      <c r="W2685">
        <v>4</v>
      </c>
      <c r="X2685" t="s">
        <v>9899</v>
      </c>
      <c r="Y2685" t="s">
        <v>9901</v>
      </c>
      <c r="Z2685" t="s">
        <v>9898</v>
      </c>
      <c r="AD2685">
        <f t="shared" si="83"/>
        <v>2</v>
      </c>
    </row>
    <row r="2686" spans="1:30" x14ac:dyDescent="0.25">
      <c r="A2686" t="s">
        <v>2710</v>
      </c>
      <c r="B2686" s="2">
        <v>45171</v>
      </c>
      <c r="C2686" s="2">
        <v>45175</v>
      </c>
      <c r="D2686" t="s">
        <v>5255</v>
      </c>
      <c r="E2686" t="s">
        <v>5755</v>
      </c>
      <c r="F2686" t="s">
        <v>6026</v>
      </c>
      <c r="G2686" t="s">
        <v>6030</v>
      </c>
      <c r="H2686" t="s">
        <v>6039</v>
      </c>
      <c r="I2686" t="s">
        <v>6051</v>
      </c>
      <c r="J2686" t="s">
        <v>6053</v>
      </c>
      <c r="K2686" t="s">
        <v>6058</v>
      </c>
      <c r="L2686" t="s">
        <v>8383</v>
      </c>
      <c r="M2686">
        <v>1176.3900000000001</v>
      </c>
      <c r="N2686">
        <v>8</v>
      </c>
      <c r="O2686">
        <v>0.34</v>
      </c>
      <c r="P2686">
        <v>-169.39</v>
      </c>
      <c r="Q2686" t="s">
        <v>9894</v>
      </c>
      <c r="R2686">
        <v>4</v>
      </c>
      <c r="S2686" s="5">
        <f t="shared" si="82"/>
        <v>-0.14399136340839344</v>
      </c>
      <c r="T2686">
        <v>147.04875000000001</v>
      </c>
      <c r="U2686">
        <v>9</v>
      </c>
      <c r="V2686">
        <v>2023</v>
      </c>
      <c r="W2686">
        <v>3</v>
      </c>
      <c r="X2686" t="s">
        <v>9898</v>
      </c>
      <c r="Y2686" t="s">
        <v>9902</v>
      </c>
      <c r="Z2686" t="s">
        <v>9898</v>
      </c>
      <c r="AD2686">
        <f t="shared" si="83"/>
        <v>4</v>
      </c>
    </row>
    <row r="2687" spans="1:30" x14ac:dyDescent="0.25">
      <c r="A2687" t="s">
        <v>2711</v>
      </c>
      <c r="B2687" s="2">
        <v>44853</v>
      </c>
      <c r="C2687" s="2">
        <v>44855</v>
      </c>
      <c r="D2687" t="s">
        <v>5202</v>
      </c>
      <c r="E2687" t="s">
        <v>5702</v>
      </c>
      <c r="F2687" t="s">
        <v>6027</v>
      </c>
      <c r="G2687" t="s">
        <v>6031</v>
      </c>
      <c r="H2687" t="s">
        <v>6040</v>
      </c>
      <c r="I2687" t="s">
        <v>6050</v>
      </c>
      <c r="J2687" t="s">
        <v>6053</v>
      </c>
      <c r="K2687" t="s">
        <v>6058</v>
      </c>
      <c r="L2687" t="s">
        <v>6614</v>
      </c>
      <c r="M2687">
        <v>1276.5999999999999</v>
      </c>
      <c r="N2687">
        <v>1</v>
      </c>
      <c r="O2687">
        <v>0.13</v>
      </c>
      <c r="P2687">
        <v>188.9</v>
      </c>
      <c r="Q2687" t="s">
        <v>9893</v>
      </c>
      <c r="R2687">
        <v>2</v>
      </c>
      <c r="S2687" s="5">
        <f t="shared" si="82"/>
        <v>0.14797117342942193</v>
      </c>
      <c r="T2687">
        <v>1276.5999999999999</v>
      </c>
      <c r="U2687">
        <v>10</v>
      </c>
      <c r="V2687">
        <v>2022</v>
      </c>
      <c r="W2687">
        <v>4</v>
      </c>
      <c r="X2687" t="s">
        <v>9899</v>
      </c>
      <c r="Y2687" t="s">
        <v>9901</v>
      </c>
      <c r="Z2687" t="s">
        <v>9898</v>
      </c>
      <c r="AD2687">
        <f t="shared" si="83"/>
        <v>2</v>
      </c>
    </row>
    <row r="2688" spans="1:30" x14ac:dyDescent="0.25">
      <c r="A2688" t="s">
        <v>2712</v>
      </c>
      <c r="B2688" s="2">
        <v>45124</v>
      </c>
      <c r="C2688" s="2">
        <v>45130</v>
      </c>
      <c r="D2688" t="s">
        <v>5103</v>
      </c>
      <c r="E2688" t="s">
        <v>5603</v>
      </c>
      <c r="F2688" t="s">
        <v>6026</v>
      </c>
      <c r="G2688" t="s">
        <v>6031</v>
      </c>
      <c r="H2688" t="s">
        <v>6042</v>
      </c>
      <c r="I2688" t="s">
        <v>6052</v>
      </c>
      <c r="J2688" t="s">
        <v>6055</v>
      </c>
      <c r="K2688" t="s">
        <v>6061</v>
      </c>
      <c r="L2688" t="s">
        <v>7819</v>
      </c>
      <c r="M2688">
        <v>1361.32</v>
      </c>
      <c r="N2688">
        <v>1</v>
      </c>
      <c r="O2688">
        <v>0.04</v>
      </c>
      <c r="P2688">
        <v>91.09</v>
      </c>
      <c r="Q2688" t="s">
        <v>9895</v>
      </c>
      <c r="R2688">
        <v>6</v>
      </c>
      <c r="S2688" s="5">
        <f t="shared" si="82"/>
        <v>6.6912996209561315E-2</v>
      </c>
      <c r="T2688">
        <v>1361.32</v>
      </c>
      <c r="U2688">
        <v>7</v>
      </c>
      <c r="V2688">
        <v>2023</v>
      </c>
      <c r="W2688">
        <v>3</v>
      </c>
      <c r="X2688" t="s">
        <v>9899</v>
      </c>
      <c r="Y2688" t="s">
        <v>9901</v>
      </c>
      <c r="Z2688" t="s">
        <v>9898</v>
      </c>
      <c r="AD2688">
        <f t="shared" si="83"/>
        <v>6</v>
      </c>
    </row>
    <row r="2689" spans="1:30" x14ac:dyDescent="0.25">
      <c r="A2689" t="s">
        <v>2713</v>
      </c>
      <c r="B2689" s="2">
        <v>45378</v>
      </c>
      <c r="C2689" s="2">
        <v>45382</v>
      </c>
      <c r="D2689" t="s">
        <v>5208</v>
      </c>
      <c r="E2689" t="s">
        <v>5708</v>
      </c>
      <c r="F2689" t="s">
        <v>6028</v>
      </c>
      <c r="G2689" t="s">
        <v>6031</v>
      </c>
      <c r="H2689" t="s">
        <v>6040</v>
      </c>
      <c r="I2689" t="s">
        <v>6048</v>
      </c>
      <c r="J2689" t="s">
        <v>6055</v>
      </c>
      <c r="K2689" t="s">
        <v>6064</v>
      </c>
      <c r="L2689" t="s">
        <v>8384</v>
      </c>
      <c r="M2689">
        <v>1974.71</v>
      </c>
      <c r="N2689">
        <v>6</v>
      </c>
      <c r="O2689">
        <v>0.13</v>
      </c>
      <c r="P2689">
        <v>125.56</v>
      </c>
      <c r="Q2689" t="s">
        <v>9895</v>
      </c>
      <c r="R2689">
        <v>4</v>
      </c>
      <c r="S2689" s="5">
        <f t="shared" si="82"/>
        <v>6.3584019932040658E-2</v>
      </c>
      <c r="T2689">
        <v>329.11833333333328</v>
      </c>
      <c r="U2689">
        <v>3</v>
      </c>
      <c r="V2689">
        <v>2024</v>
      </c>
      <c r="W2689">
        <v>1</v>
      </c>
      <c r="X2689" t="s">
        <v>9899</v>
      </c>
      <c r="Y2689" t="s">
        <v>9901</v>
      </c>
      <c r="Z2689" t="s">
        <v>9898</v>
      </c>
      <c r="AD2689">
        <f t="shared" si="83"/>
        <v>4</v>
      </c>
    </row>
    <row r="2690" spans="1:30" x14ac:dyDescent="0.25">
      <c r="A2690" t="s">
        <v>2714</v>
      </c>
      <c r="B2690" s="2">
        <v>44899</v>
      </c>
      <c r="C2690" s="2">
        <v>44901</v>
      </c>
      <c r="D2690" t="s">
        <v>5495</v>
      </c>
      <c r="E2690" t="s">
        <v>5995</v>
      </c>
      <c r="F2690" t="s">
        <v>6028</v>
      </c>
      <c r="G2690" t="s">
        <v>6030</v>
      </c>
      <c r="H2690" t="s">
        <v>6039</v>
      </c>
      <c r="I2690" t="s">
        <v>6051</v>
      </c>
      <c r="J2690" t="s">
        <v>6055</v>
      </c>
      <c r="K2690" t="s">
        <v>6064</v>
      </c>
      <c r="L2690" t="s">
        <v>7221</v>
      </c>
      <c r="M2690">
        <v>1562.06</v>
      </c>
      <c r="N2690">
        <v>4</v>
      </c>
      <c r="O2690">
        <v>0.06</v>
      </c>
      <c r="P2690">
        <v>112.61</v>
      </c>
      <c r="Q2690" t="s">
        <v>9893</v>
      </c>
      <c r="R2690">
        <v>2</v>
      </c>
      <c r="S2690" s="5">
        <f t="shared" si="82"/>
        <v>7.2090700741328756E-2</v>
      </c>
      <c r="T2690">
        <v>390.51499999999999</v>
      </c>
      <c r="U2690">
        <v>12</v>
      </c>
      <c r="V2690">
        <v>2022</v>
      </c>
      <c r="W2690">
        <v>4</v>
      </c>
      <c r="X2690" t="s">
        <v>9899</v>
      </c>
      <c r="Y2690" t="s">
        <v>9901</v>
      </c>
      <c r="Z2690" t="s">
        <v>9898</v>
      </c>
      <c r="AD2690">
        <f t="shared" si="83"/>
        <v>2</v>
      </c>
    </row>
    <row r="2691" spans="1:30" x14ac:dyDescent="0.25">
      <c r="A2691" t="s">
        <v>2715</v>
      </c>
      <c r="B2691" s="2">
        <v>44729</v>
      </c>
      <c r="C2691" s="2">
        <v>44735</v>
      </c>
      <c r="D2691" t="s">
        <v>5212</v>
      </c>
      <c r="E2691" t="s">
        <v>5712</v>
      </c>
      <c r="F2691" t="s">
        <v>6028</v>
      </c>
      <c r="G2691" t="s">
        <v>6030</v>
      </c>
      <c r="H2691" t="s">
        <v>6035</v>
      </c>
      <c r="I2691" t="s">
        <v>6047</v>
      </c>
      <c r="J2691" t="s">
        <v>6055</v>
      </c>
      <c r="K2691" t="s">
        <v>6061</v>
      </c>
      <c r="L2691" t="s">
        <v>6690</v>
      </c>
      <c r="M2691">
        <v>234.78</v>
      </c>
      <c r="N2691">
        <v>8</v>
      </c>
      <c r="O2691">
        <v>0.09</v>
      </c>
      <c r="P2691">
        <v>26.54</v>
      </c>
      <c r="Q2691" t="s">
        <v>9896</v>
      </c>
      <c r="R2691">
        <v>6</v>
      </c>
      <c r="S2691" s="5">
        <f t="shared" ref="S2691:S2754" si="84">P2691/M2691</f>
        <v>0.11304199676292699</v>
      </c>
      <c r="T2691">
        <v>29.3475</v>
      </c>
      <c r="U2691">
        <v>6</v>
      </c>
      <c r="V2691">
        <v>2022</v>
      </c>
      <c r="W2691">
        <v>2</v>
      </c>
      <c r="X2691" t="s">
        <v>9899</v>
      </c>
      <c r="Y2691" t="s">
        <v>9901</v>
      </c>
      <c r="Z2691" t="s">
        <v>9899</v>
      </c>
      <c r="AD2691">
        <f t="shared" ref="AD2691:AD2754" si="85">C2691-B2691</f>
        <v>6</v>
      </c>
    </row>
    <row r="2692" spans="1:30" x14ac:dyDescent="0.25">
      <c r="A2692" t="s">
        <v>2716</v>
      </c>
      <c r="B2692" s="2">
        <v>44997</v>
      </c>
      <c r="C2692" s="2">
        <v>45003</v>
      </c>
      <c r="D2692" t="s">
        <v>5471</v>
      </c>
      <c r="E2692" t="s">
        <v>5971</v>
      </c>
      <c r="F2692" t="s">
        <v>6027</v>
      </c>
      <c r="G2692" t="s">
        <v>6031</v>
      </c>
      <c r="H2692" t="s">
        <v>6034</v>
      </c>
      <c r="I2692" t="s">
        <v>6052</v>
      </c>
      <c r="J2692" t="s">
        <v>6053</v>
      </c>
      <c r="K2692" t="s">
        <v>6056</v>
      </c>
      <c r="L2692" t="s">
        <v>8385</v>
      </c>
      <c r="M2692">
        <v>700.93</v>
      </c>
      <c r="N2692">
        <v>6</v>
      </c>
      <c r="O2692">
        <v>0.14000000000000001</v>
      </c>
      <c r="P2692">
        <v>27.56</v>
      </c>
      <c r="Q2692" t="s">
        <v>9897</v>
      </c>
      <c r="R2692">
        <v>6</v>
      </c>
      <c r="S2692" s="5">
        <f t="shared" si="84"/>
        <v>3.9319190218709429E-2</v>
      </c>
      <c r="T2692">
        <v>116.8216666666667</v>
      </c>
      <c r="U2692">
        <v>3</v>
      </c>
      <c r="V2692">
        <v>2023</v>
      </c>
      <c r="W2692">
        <v>1</v>
      </c>
      <c r="X2692" t="s">
        <v>9899</v>
      </c>
      <c r="Y2692" t="s">
        <v>9901</v>
      </c>
      <c r="Z2692" t="s">
        <v>9899</v>
      </c>
      <c r="AD2692">
        <f t="shared" si="85"/>
        <v>6</v>
      </c>
    </row>
    <row r="2693" spans="1:30" x14ac:dyDescent="0.25">
      <c r="A2693" t="s">
        <v>2717</v>
      </c>
      <c r="B2693" s="2">
        <v>45045</v>
      </c>
      <c r="C2693" s="2">
        <v>45049</v>
      </c>
      <c r="D2693" t="s">
        <v>5138</v>
      </c>
      <c r="E2693" t="s">
        <v>5638</v>
      </c>
      <c r="F2693" t="s">
        <v>6028</v>
      </c>
      <c r="G2693" t="s">
        <v>6029</v>
      </c>
      <c r="H2693" t="s">
        <v>6045</v>
      </c>
      <c r="I2693" t="s">
        <v>6050</v>
      </c>
      <c r="J2693" t="s">
        <v>6053</v>
      </c>
      <c r="K2693" t="s">
        <v>6056</v>
      </c>
      <c r="L2693" t="s">
        <v>8386</v>
      </c>
      <c r="M2693">
        <v>1521.34</v>
      </c>
      <c r="N2693">
        <v>2</v>
      </c>
      <c r="O2693">
        <v>0.16</v>
      </c>
      <c r="P2693">
        <v>-59.83</v>
      </c>
      <c r="Q2693" t="s">
        <v>9897</v>
      </c>
      <c r="R2693">
        <v>4</v>
      </c>
      <c r="S2693" s="5">
        <f t="shared" si="84"/>
        <v>-3.9327172098281779E-2</v>
      </c>
      <c r="T2693">
        <v>760.67</v>
      </c>
      <c r="U2693">
        <v>4</v>
      </c>
      <c r="V2693">
        <v>2023</v>
      </c>
      <c r="W2693">
        <v>2</v>
      </c>
      <c r="X2693" t="s">
        <v>9898</v>
      </c>
      <c r="Y2693" t="s">
        <v>9900</v>
      </c>
      <c r="Z2693" t="s">
        <v>9898</v>
      </c>
      <c r="AD2693">
        <f t="shared" si="85"/>
        <v>4</v>
      </c>
    </row>
    <row r="2694" spans="1:30" x14ac:dyDescent="0.25">
      <c r="A2694" t="s">
        <v>2718</v>
      </c>
      <c r="B2694" s="2">
        <v>45462</v>
      </c>
      <c r="C2694" s="2">
        <v>45468</v>
      </c>
      <c r="D2694" t="s">
        <v>5281</v>
      </c>
      <c r="E2694" t="s">
        <v>5781</v>
      </c>
      <c r="F2694" t="s">
        <v>6026</v>
      </c>
      <c r="G2694" t="s">
        <v>6031</v>
      </c>
      <c r="H2694" t="s">
        <v>6040</v>
      </c>
      <c r="I2694" t="s">
        <v>6048</v>
      </c>
      <c r="J2694" t="s">
        <v>6053</v>
      </c>
      <c r="K2694" t="s">
        <v>6057</v>
      </c>
      <c r="L2694" t="s">
        <v>8387</v>
      </c>
      <c r="M2694">
        <v>1991.46</v>
      </c>
      <c r="N2694">
        <v>1</v>
      </c>
      <c r="O2694">
        <v>0.11</v>
      </c>
      <c r="P2694">
        <v>114.5</v>
      </c>
      <c r="Q2694" t="s">
        <v>9895</v>
      </c>
      <c r="R2694">
        <v>6</v>
      </c>
      <c r="S2694" s="5">
        <f t="shared" si="84"/>
        <v>5.7495505809807876E-2</v>
      </c>
      <c r="T2694">
        <v>1991.46</v>
      </c>
      <c r="U2694">
        <v>6</v>
      </c>
      <c r="V2694">
        <v>2024</v>
      </c>
      <c r="W2694">
        <v>2</v>
      </c>
      <c r="X2694" t="s">
        <v>9899</v>
      </c>
      <c r="Y2694" t="s">
        <v>9901</v>
      </c>
      <c r="Z2694" t="s">
        <v>9898</v>
      </c>
      <c r="AD2694">
        <f t="shared" si="85"/>
        <v>6</v>
      </c>
    </row>
    <row r="2695" spans="1:30" x14ac:dyDescent="0.25">
      <c r="A2695" t="s">
        <v>2719</v>
      </c>
      <c r="B2695" s="2">
        <v>44734</v>
      </c>
      <c r="C2695" s="2">
        <v>44737</v>
      </c>
      <c r="D2695" t="s">
        <v>5345</v>
      </c>
      <c r="E2695" t="s">
        <v>5845</v>
      </c>
      <c r="F2695" t="s">
        <v>6026</v>
      </c>
      <c r="G2695" t="s">
        <v>6030</v>
      </c>
      <c r="H2695" t="s">
        <v>6033</v>
      </c>
      <c r="I2695" t="s">
        <v>6051</v>
      </c>
      <c r="J2695" t="s">
        <v>6055</v>
      </c>
      <c r="K2695" t="s">
        <v>6063</v>
      </c>
      <c r="L2695" t="s">
        <v>8388</v>
      </c>
      <c r="M2695">
        <v>1529</v>
      </c>
      <c r="N2695">
        <v>5</v>
      </c>
      <c r="O2695">
        <v>0.28000000000000003</v>
      </c>
      <c r="P2695">
        <v>0.78</v>
      </c>
      <c r="Q2695" t="s">
        <v>9894</v>
      </c>
      <c r="R2695">
        <v>3</v>
      </c>
      <c r="S2695" s="5">
        <f t="shared" si="84"/>
        <v>5.1013734466971879E-4</v>
      </c>
      <c r="T2695">
        <v>305.8</v>
      </c>
      <c r="U2695">
        <v>6</v>
      </c>
      <c r="V2695">
        <v>2022</v>
      </c>
      <c r="W2695">
        <v>2</v>
      </c>
      <c r="X2695" t="s">
        <v>9899</v>
      </c>
      <c r="Y2695" t="s">
        <v>9900</v>
      </c>
      <c r="Z2695" t="s">
        <v>9898</v>
      </c>
      <c r="AD2695">
        <f t="shared" si="85"/>
        <v>3</v>
      </c>
    </row>
    <row r="2696" spans="1:30" x14ac:dyDescent="0.25">
      <c r="A2696" t="s">
        <v>2720</v>
      </c>
      <c r="B2696" s="2">
        <v>45035</v>
      </c>
      <c r="C2696" s="2">
        <v>45042</v>
      </c>
      <c r="D2696" t="s">
        <v>5450</v>
      </c>
      <c r="E2696" t="s">
        <v>5950</v>
      </c>
      <c r="F2696" t="s">
        <v>6027</v>
      </c>
      <c r="G2696" t="s">
        <v>6031</v>
      </c>
      <c r="H2696" t="s">
        <v>6037</v>
      </c>
      <c r="I2696" t="s">
        <v>6052</v>
      </c>
      <c r="J2696" t="s">
        <v>6055</v>
      </c>
      <c r="K2696" t="s">
        <v>6061</v>
      </c>
      <c r="L2696" t="s">
        <v>8389</v>
      </c>
      <c r="M2696">
        <v>334.33</v>
      </c>
      <c r="N2696">
        <v>2</v>
      </c>
      <c r="O2696">
        <v>0.35</v>
      </c>
      <c r="P2696">
        <v>-52.02</v>
      </c>
      <c r="Q2696" t="s">
        <v>9896</v>
      </c>
      <c r="R2696">
        <v>7</v>
      </c>
      <c r="S2696" s="5">
        <f t="shared" si="84"/>
        <v>-0.1555947716328179</v>
      </c>
      <c r="T2696">
        <v>167.16499999999999</v>
      </c>
      <c r="U2696">
        <v>4</v>
      </c>
      <c r="V2696">
        <v>2023</v>
      </c>
      <c r="W2696">
        <v>2</v>
      </c>
      <c r="X2696" t="s">
        <v>9898</v>
      </c>
      <c r="Y2696" t="s">
        <v>9902</v>
      </c>
      <c r="Z2696" t="s">
        <v>9899</v>
      </c>
      <c r="AD2696">
        <f t="shared" si="85"/>
        <v>7</v>
      </c>
    </row>
    <row r="2697" spans="1:30" x14ac:dyDescent="0.25">
      <c r="A2697" t="s">
        <v>2721</v>
      </c>
      <c r="B2697" s="2">
        <v>44740</v>
      </c>
      <c r="C2697" s="2">
        <v>44744</v>
      </c>
      <c r="D2697" t="s">
        <v>5050</v>
      </c>
      <c r="E2697" t="s">
        <v>5550</v>
      </c>
      <c r="F2697" t="s">
        <v>6027</v>
      </c>
      <c r="G2697" t="s">
        <v>6030</v>
      </c>
      <c r="H2697" t="s">
        <v>6035</v>
      </c>
      <c r="I2697" t="s">
        <v>6051</v>
      </c>
      <c r="J2697" t="s">
        <v>6054</v>
      </c>
      <c r="K2697" t="s">
        <v>6062</v>
      </c>
      <c r="L2697" t="s">
        <v>8390</v>
      </c>
      <c r="M2697">
        <v>1640.49</v>
      </c>
      <c r="N2697">
        <v>3</v>
      </c>
      <c r="O2697">
        <v>0.19</v>
      </c>
      <c r="P2697">
        <v>104</v>
      </c>
      <c r="Q2697" t="s">
        <v>9893</v>
      </c>
      <c r="R2697">
        <v>4</v>
      </c>
      <c r="S2697" s="5">
        <f t="shared" si="84"/>
        <v>6.3395692750336796E-2</v>
      </c>
      <c r="T2697">
        <v>546.83000000000004</v>
      </c>
      <c r="U2697">
        <v>6</v>
      </c>
      <c r="V2697">
        <v>2022</v>
      </c>
      <c r="W2697">
        <v>2</v>
      </c>
      <c r="X2697" t="s">
        <v>9899</v>
      </c>
      <c r="Y2697" t="s">
        <v>9900</v>
      </c>
      <c r="Z2697" t="s">
        <v>9898</v>
      </c>
      <c r="AD2697">
        <f t="shared" si="85"/>
        <v>4</v>
      </c>
    </row>
    <row r="2698" spans="1:30" x14ac:dyDescent="0.25">
      <c r="A2698" t="s">
        <v>2722</v>
      </c>
      <c r="B2698" s="2">
        <v>45385</v>
      </c>
      <c r="C2698" s="2">
        <v>45388</v>
      </c>
      <c r="D2698" t="s">
        <v>5351</v>
      </c>
      <c r="E2698" t="s">
        <v>5851</v>
      </c>
      <c r="F2698" t="s">
        <v>6027</v>
      </c>
      <c r="G2698" t="s">
        <v>6029</v>
      </c>
      <c r="H2698" t="s">
        <v>6032</v>
      </c>
      <c r="I2698" t="s">
        <v>6050</v>
      </c>
      <c r="J2698" t="s">
        <v>6053</v>
      </c>
      <c r="K2698" t="s">
        <v>6056</v>
      </c>
      <c r="L2698" t="s">
        <v>6661</v>
      </c>
      <c r="M2698">
        <v>1596.28</v>
      </c>
      <c r="N2698">
        <v>2</v>
      </c>
      <c r="O2698">
        <v>0.23</v>
      </c>
      <c r="P2698">
        <v>18.170000000000002</v>
      </c>
      <c r="Q2698" t="s">
        <v>9894</v>
      </c>
      <c r="R2698">
        <v>3</v>
      </c>
      <c r="S2698" s="5">
        <f t="shared" si="84"/>
        <v>1.1382714811937757E-2</v>
      </c>
      <c r="T2698">
        <v>798.14</v>
      </c>
      <c r="U2698">
        <v>4</v>
      </c>
      <c r="V2698">
        <v>2024</v>
      </c>
      <c r="W2698">
        <v>2</v>
      </c>
      <c r="X2698" t="s">
        <v>9899</v>
      </c>
      <c r="Y2698" t="s">
        <v>9900</v>
      </c>
      <c r="Z2698" t="s">
        <v>9898</v>
      </c>
      <c r="AD2698">
        <f t="shared" si="85"/>
        <v>3</v>
      </c>
    </row>
    <row r="2699" spans="1:30" x14ac:dyDescent="0.25">
      <c r="A2699" t="s">
        <v>2723</v>
      </c>
      <c r="B2699" s="2">
        <v>45270</v>
      </c>
      <c r="C2699" s="2">
        <v>45272</v>
      </c>
      <c r="D2699" t="s">
        <v>5401</v>
      </c>
      <c r="E2699" t="s">
        <v>5901</v>
      </c>
      <c r="F2699" t="s">
        <v>6027</v>
      </c>
      <c r="G2699" t="s">
        <v>6031</v>
      </c>
      <c r="H2699" t="s">
        <v>6034</v>
      </c>
      <c r="I2699" t="s">
        <v>6050</v>
      </c>
      <c r="J2699" t="s">
        <v>6055</v>
      </c>
      <c r="K2699" t="s">
        <v>6061</v>
      </c>
      <c r="L2699" t="s">
        <v>8391</v>
      </c>
      <c r="M2699">
        <v>1979.26</v>
      </c>
      <c r="N2699">
        <v>4</v>
      </c>
      <c r="O2699">
        <v>0.03</v>
      </c>
      <c r="P2699">
        <v>426.43</v>
      </c>
      <c r="Q2699" t="s">
        <v>9895</v>
      </c>
      <c r="R2699">
        <v>2</v>
      </c>
      <c r="S2699" s="5">
        <f t="shared" si="84"/>
        <v>0.21544920828996697</v>
      </c>
      <c r="T2699">
        <v>494.815</v>
      </c>
      <c r="U2699">
        <v>12</v>
      </c>
      <c r="V2699">
        <v>2023</v>
      </c>
      <c r="W2699">
        <v>4</v>
      </c>
      <c r="X2699" t="s">
        <v>9899</v>
      </c>
      <c r="Y2699" t="s">
        <v>9901</v>
      </c>
      <c r="Z2699" t="s">
        <v>9898</v>
      </c>
      <c r="AD2699">
        <f t="shared" si="85"/>
        <v>2</v>
      </c>
    </row>
    <row r="2700" spans="1:30" x14ac:dyDescent="0.25">
      <c r="A2700" t="s">
        <v>2724</v>
      </c>
      <c r="B2700" s="2">
        <v>45454</v>
      </c>
      <c r="C2700" s="2">
        <v>45455</v>
      </c>
      <c r="D2700" t="s">
        <v>5505</v>
      </c>
      <c r="E2700" t="s">
        <v>6005</v>
      </c>
      <c r="F2700" t="s">
        <v>6026</v>
      </c>
      <c r="G2700" t="s">
        <v>6030</v>
      </c>
      <c r="H2700" t="s">
        <v>6035</v>
      </c>
      <c r="I2700" t="s">
        <v>6051</v>
      </c>
      <c r="J2700" t="s">
        <v>6053</v>
      </c>
      <c r="K2700" t="s">
        <v>6056</v>
      </c>
      <c r="L2700" t="s">
        <v>8392</v>
      </c>
      <c r="M2700">
        <v>1379.61</v>
      </c>
      <c r="N2700">
        <v>1</v>
      </c>
      <c r="O2700">
        <v>0.3</v>
      </c>
      <c r="P2700">
        <v>-239.36</v>
      </c>
      <c r="Q2700" t="s">
        <v>9894</v>
      </c>
      <c r="R2700">
        <v>1</v>
      </c>
      <c r="S2700" s="5">
        <f t="shared" si="84"/>
        <v>-0.17349830749269723</v>
      </c>
      <c r="T2700">
        <v>1379.61</v>
      </c>
      <c r="U2700">
        <v>6</v>
      </c>
      <c r="V2700">
        <v>2024</v>
      </c>
      <c r="W2700">
        <v>2</v>
      </c>
      <c r="X2700" t="s">
        <v>9898</v>
      </c>
      <c r="Y2700" t="s">
        <v>9900</v>
      </c>
      <c r="Z2700" t="s">
        <v>9898</v>
      </c>
      <c r="AD2700">
        <f t="shared" si="85"/>
        <v>1</v>
      </c>
    </row>
    <row r="2701" spans="1:30" x14ac:dyDescent="0.25">
      <c r="A2701" t="s">
        <v>2725</v>
      </c>
      <c r="B2701" s="2">
        <v>44689</v>
      </c>
      <c r="C2701" s="2">
        <v>44694</v>
      </c>
      <c r="D2701" t="s">
        <v>5486</v>
      </c>
      <c r="E2701" t="s">
        <v>5986</v>
      </c>
      <c r="F2701" t="s">
        <v>6026</v>
      </c>
      <c r="G2701" t="s">
        <v>6031</v>
      </c>
      <c r="H2701" t="s">
        <v>6040</v>
      </c>
      <c r="I2701" t="s">
        <v>6048</v>
      </c>
      <c r="J2701" t="s">
        <v>6055</v>
      </c>
      <c r="K2701" t="s">
        <v>6063</v>
      </c>
      <c r="L2701" t="s">
        <v>8393</v>
      </c>
      <c r="M2701">
        <v>532.1</v>
      </c>
      <c r="N2701">
        <v>4</v>
      </c>
      <c r="O2701">
        <v>0.34</v>
      </c>
      <c r="P2701">
        <v>-78.930000000000007</v>
      </c>
      <c r="Q2701" t="s">
        <v>9894</v>
      </c>
      <c r="R2701">
        <v>5</v>
      </c>
      <c r="S2701" s="5">
        <f t="shared" si="84"/>
        <v>-0.14833677880097726</v>
      </c>
      <c r="T2701">
        <v>133.02500000000001</v>
      </c>
      <c r="U2701">
        <v>5</v>
      </c>
      <c r="V2701">
        <v>2022</v>
      </c>
      <c r="W2701">
        <v>2</v>
      </c>
      <c r="X2701" t="s">
        <v>9898</v>
      </c>
      <c r="Y2701" t="s">
        <v>9902</v>
      </c>
      <c r="Z2701" t="s">
        <v>9899</v>
      </c>
      <c r="AD2701">
        <f t="shared" si="85"/>
        <v>5</v>
      </c>
    </row>
    <row r="2702" spans="1:30" x14ac:dyDescent="0.25">
      <c r="A2702" t="s">
        <v>2726</v>
      </c>
      <c r="B2702" s="2">
        <v>45221</v>
      </c>
      <c r="C2702" s="2">
        <v>45222</v>
      </c>
      <c r="D2702" t="s">
        <v>5310</v>
      </c>
      <c r="E2702" t="s">
        <v>5810</v>
      </c>
      <c r="F2702" t="s">
        <v>6027</v>
      </c>
      <c r="G2702" t="s">
        <v>6030</v>
      </c>
      <c r="H2702" t="s">
        <v>6035</v>
      </c>
      <c r="I2702" t="s">
        <v>6051</v>
      </c>
      <c r="J2702" t="s">
        <v>6054</v>
      </c>
      <c r="K2702" t="s">
        <v>6059</v>
      </c>
      <c r="L2702" t="s">
        <v>8394</v>
      </c>
      <c r="M2702">
        <v>614.04999999999995</v>
      </c>
      <c r="N2702">
        <v>5</v>
      </c>
      <c r="O2702">
        <v>0.24</v>
      </c>
      <c r="P2702">
        <v>-59.49</v>
      </c>
      <c r="Q2702" t="s">
        <v>9894</v>
      </c>
      <c r="R2702">
        <v>1</v>
      </c>
      <c r="S2702" s="5">
        <f t="shared" si="84"/>
        <v>-9.6881361452650444E-2</v>
      </c>
      <c r="T2702">
        <v>122.81</v>
      </c>
      <c r="U2702">
        <v>10</v>
      </c>
      <c r="V2702">
        <v>2023</v>
      </c>
      <c r="W2702">
        <v>4</v>
      </c>
      <c r="X2702" t="s">
        <v>9898</v>
      </c>
      <c r="Y2702" t="s">
        <v>9900</v>
      </c>
      <c r="Z2702" t="s">
        <v>9899</v>
      </c>
      <c r="AD2702">
        <f t="shared" si="85"/>
        <v>1</v>
      </c>
    </row>
    <row r="2703" spans="1:30" x14ac:dyDescent="0.25">
      <c r="A2703" t="s">
        <v>2727</v>
      </c>
      <c r="B2703" s="2">
        <v>44921</v>
      </c>
      <c r="C2703" s="2">
        <v>44924</v>
      </c>
      <c r="D2703" t="s">
        <v>5400</v>
      </c>
      <c r="E2703" t="s">
        <v>5900</v>
      </c>
      <c r="F2703" t="s">
        <v>6027</v>
      </c>
      <c r="G2703" t="s">
        <v>6031</v>
      </c>
      <c r="H2703" t="s">
        <v>6034</v>
      </c>
      <c r="I2703" t="s">
        <v>6050</v>
      </c>
      <c r="J2703" t="s">
        <v>6054</v>
      </c>
      <c r="K2703" t="s">
        <v>6060</v>
      </c>
      <c r="L2703" t="s">
        <v>7621</v>
      </c>
      <c r="M2703">
        <v>257.93</v>
      </c>
      <c r="N2703">
        <v>2</v>
      </c>
      <c r="O2703">
        <v>0.25</v>
      </c>
      <c r="P2703">
        <v>-11.81</v>
      </c>
      <c r="Q2703" t="s">
        <v>9896</v>
      </c>
      <c r="R2703">
        <v>3</v>
      </c>
      <c r="S2703" s="5">
        <f t="shared" si="84"/>
        <v>-4.5787616795254525E-2</v>
      </c>
      <c r="T2703">
        <v>128.965</v>
      </c>
      <c r="U2703">
        <v>12</v>
      </c>
      <c r="V2703">
        <v>2022</v>
      </c>
      <c r="W2703">
        <v>4</v>
      </c>
      <c r="X2703" t="s">
        <v>9898</v>
      </c>
      <c r="Y2703" t="s">
        <v>9900</v>
      </c>
      <c r="Z2703" t="s">
        <v>9899</v>
      </c>
      <c r="AD2703">
        <f t="shared" si="85"/>
        <v>3</v>
      </c>
    </row>
    <row r="2704" spans="1:30" x14ac:dyDescent="0.25">
      <c r="A2704" t="s">
        <v>2728</v>
      </c>
      <c r="B2704" s="2">
        <v>44655</v>
      </c>
      <c r="C2704" s="2">
        <v>44657</v>
      </c>
      <c r="D2704" t="s">
        <v>5211</v>
      </c>
      <c r="E2704" t="s">
        <v>5711</v>
      </c>
      <c r="F2704" t="s">
        <v>6027</v>
      </c>
      <c r="G2704" t="s">
        <v>6031</v>
      </c>
      <c r="H2704" t="s">
        <v>6040</v>
      </c>
      <c r="I2704" t="s">
        <v>6048</v>
      </c>
      <c r="J2704" t="s">
        <v>6055</v>
      </c>
      <c r="K2704" t="s">
        <v>6061</v>
      </c>
      <c r="L2704" t="s">
        <v>8395</v>
      </c>
      <c r="M2704">
        <v>151.31</v>
      </c>
      <c r="N2704">
        <v>5</v>
      </c>
      <c r="O2704">
        <v>0.03</v>
      </c>
      <c r="P2704">
        <v>24.44</v>
      </c>
      <c r="Q2704" t="s">
        <v>9893</v>
      </c>
      <c r="R2704">
        <v>2</v>
      </c>
      <c r="S2704" s="5">
        <f t="shared" si="84"/>
        <v>0.16152270173815347</v>
      </c>
      <c r="T2704">
        <v>30.262</v>
      </c>
      <c r="U2704">
        <v>4</v>
      </c>
      <c r="V2704">
        <v>2022</v>
      </c>
      <c r="W2704">
        <v>2</v>
      </c>
      <c r="X2704" t="s">
        <v>9899</v>
      </c>
      <c r="Y2704" t="s">
        <v>9901</v>
      </c>
      <c r="Z2704" t="s">
        <v>9899</v>
      </c>
      <c r="AD2704">
        <f t="shared" si="85"/>
        <v>2</v>
      </c>
    </row>
    <row r="2705" spans="1:30" x14ac:dyDescent="0.25">
      <c r="A2705" t="s">
        <v>2729</v>
      </c>
      <c r="B2705" s="2">
        <v>44842</v>
      </c>
      <c r="C2705" s="2">
        <v>44848</v>
      </c>
      <c r="D2705" t="s">
        <v>5513</v>
      </c>
      <c r="E2705" t="s">
        <v>6013</v>
      </c>
      <c r="F2705" t="s">
        <v>6028</v>
      </c>
      <c r="G2705" t="s">
        <v>6029</v>
      </c>
      <c r="H2705" t="s">
        <v>6044</v>
      </c>
      <c r="I2705" t="s">
        <v>6046</v>
      </c>
      <c r="J2705" t="s">
        <v>6055</v>
      </c>
      <c r="K2705" t="s">
        <v>6063</v>
      </c>
      <c r="L2705" t="s">
        <v>8396</v>
      </c>
      <c r="M2705">
        <v>600.53</v>
      </c>
      <c r="N2705">
        <v>7</v>
      </c>
      <c r="O2705">
        <v>0.03</v>
      </c>
      <c r="P2705">
        <v>67.63</v>
      </c>
      <c r="Q2705" t="s">
        <v>9895</v>
      </c>
      <c r="R2705">
        <v>6</v>
      </c>
      <c r="S2705" s="5">
        <f t="shared" si="84"/>
        <v>0.11261718815046709</v>
      </c>
      <c r="T2705">
        <v>85.789999999999992</v>
      </c>
      <c r="U2705">
        <v>10</v>
      </c>
      <c r="V2705">
        <v>2022</v>
      </c>
      <c r="W2705">
        <v>4</v>
      </c>
      <c r="X2705" t="s">
        <v>9899</v>
      </c>
      <c r="Y2705" t="s">
        <v>9901</v>
      </c>
      <c r="Z2705" t="s">
        <v>9899</v>
      </c>
      <c r="AD2705">
        <f t="shared" si="85"/>
        <v>6</v>
      </c>
    </row>
    <row r="2706" spans="1:30" x14ac:dyDescent="0.25">
      <c r="A2706" t="s">
        <v>2730</v>
      </c>
      <c r="B2706" s="2">
        <v>45074</v>
      </c>
      <c r="C2706" s="2">
        <v>45075</v>
      </c>
      <c r="D2706" t="s">
        <v>5226</v>
      </c>
      <c r="E2706" t="s">
        <v>5726</v>
      </c>
      <c r="F2706" t="s">
        <v>6028</v>
      </c>
      <c r="G2706" t="s">
        <v>6030</v>
      </c>
      <c r="H2706" t="s">
        <v>6033</v>
      </c>
      <c r="I2706" t="s">
        <v>6051</v>
      </c>
      <c r="J2706" t="s">
        <v>6055</v>
      </c>
      <c r="K2706" t="s">
        <v>6064</v>
      </c>
      <c r="L2706" t="s">
        <v>6378</v>
      </c>
      <c r="M2706">
        <v>1718.58</v>
      </c>
      <c r="N2706">
        <v>8</v>
      </c>
      <c r="O2706">
        <v>0.02</v>
      </c>
      <c r="P2706">
        <v>141.38</v>
      </c>
      <c r="Q2706" t="s">
        <v>9897</v>
      </c>
      <c r="R2706">
        <v>1</v>
      </c>
      <c r="S2706" s="5">
        <f t="shared" si="84"/>
        <v>8.2265591360309087E-2</v>
      </c>
      <c r="T2706">
        <v>214.82249999999999</v>
      </c>
      <c r="U2706">
        <v>5</v>
      </c>
      <c r="V2706">
        <v>2023</v>
      </c>
      <c r="W2706">
        <v>2</v>
      </c>
      <c r="X2706" t="s">
        <v>9899</v>
      </c>
      <c r="Y2706" t="s">
        <v>9901</v>
      </c>
      <c r="Z2706" t="s">
        <v>9898</v>
      </c>
      <c r="AD2706">
        <f t="shared" si="85"/>
        <v>1</v>
      </c>
    </row>
    <row r="2707" spans="1:30" x14ac:dyDescent="0.25">
      <c r="A2707" t="s">
        <v>2731</v>
      </c>
      <c r="B2707" s="2">
        <v>45004</v>
      </c>
      <c r="C2707" s="2">
        <v>45010</v>
      </c>
      <c r="D2707" t="s">
        <v>5177</v>
      </c>
      <c r="E2707" t="s">
        <v>5677</v>
      </c>
      <c r="F2707" t="s">
        <v>6026</v>
      </c>
      <c r="G2707" t="s">
        <v>6029</v>
      </c>
      <c r="H2707" t="s">
        <v>6041</v>
      </c>
      <c r="I2707" t="s">
        <v>6046</v>
      </c>
      <c r="J2707" t="s">
        <v>6054</v>
      </c>
      <c r="K2707" t="s">
        <v>6059</v>
      </c>
      <c r="L2707" t="s">
        <v>6557</v>
      </c>
      <c r="M2707">
        <v>380.93</v>
      </c>
      <c r="N2707">
        <v>1</v>
      </c>
      <c r="O2707">
        <v>0.02</v>
      </c>
      <c r="P2707">
        <v>35.17</v>
      </c>
      <c r="Q2707" t="s">
        <v>9895</v>
      </c>
      <c r="R2707">
        <v>6</v>
      </c>
      <c r="S2707" s="5">
        <f t="shared" si="84"/>
        <v>9.2326674192108785E-2</v>
      </c>
      <c r="T2707">
        <v>380.93</v>
      </c>
      <c r="U2707">
        <v>3</v>
      </c>
      <c r="V2707">
        <v>2023</v>
      </c>
      <c r="W2707">
        <v>1</v>
      </c>
      <c r="X2707" t="s">
        <v>9899</v>
      </c>
      <c r="Y2707" t="s">
        <v>9901</v>
      </c>
      <c r="Z2707" t="s">
        <v>9899</v>
      </c>
      <c r="AD2707">
        <f t="shared" si="85"/>
        <v>6</v>
      </c>
    </row>
    <row r="2708" spans="1:30" x14ac:dyDescent="0.25">
      <c r="A2708" t="s">
        <v>2732</v>
      </c>
      <c r="B2708" s="2">
        <v>44917</v>
      </c>
      <c r="C2708" s="2">
        <v>44919</v>
      </c>
      <c r="D2708" t="s">
        <v>5344</v>
      </c>
      <c r="E2708" t="s">
        <v>5844</v>
      </c>
      <c r="F2708" t="s">
        <v>6028</v>
      </c>
      <c r="G2708" t="s">
        <v>6029</v>
      </c>
      <c r="H2708" t="s">
        <v>6041</v>
      </c>
      <c r="I2708" t="s">
        <v>6049</v>
      </c>
      <c r="J2708" t="s">
        <v>6055</v>
      </c>
      <c r="K2708" t="s">
        <v>6064</v>
      </c>
      <c r="L2708" t="s">
        <v>8397</v>
      </c>
      <c r="M2708">
        <v>1082.6199999999999</v>
      </c>
      <c r="N2708">
        <v>3</v>
      </c>
      <c r="O2708">
        <v>0.24</v>
      </c>
      <c r="P2708">
        <v>-16.48</v>
      </c>
      <c r="Q2708" t="s">
        <v>9894</v>
      </c>
      <c r="R2708">
        <v>2</v>
      </c>
      <c r="S2708" s="5">
        <f t="shared" si="84"/>
        <v>-1.5222331011804698E-2</v>
      </c>
      <c r="T2708">
        <v>360.87333333333328</v>
      </c>
      <c r="U2708">
        <v>12</v>
      </c>
      <c r="V2708">
        <v>2022</v>
      </c>
      <c r="W2708">
        <v>4</v>
      </c>
      <c r="X2708" t="s">
        <v>9898</v>
      </c>
      <c r="Y2708" t="s">
        <v>9900</v>
      </c>
      <c r="Z2708" t="s">
        <v>9898</v>
      </c>
      <c r="AD2708">
        <f t="shared" si="85"/>
        <v>2</v>
      </c>
    </row>
    <row r="2709" spans="1:30" x14ac:dyDescent="0.25">
      <c r="A2709" t="s">
        <v>2733</v>
      </c>
      <c r="B2709" s="2">
        <v>44843</v>
      </c>
      <c r="C2709" s="2">
        <v>44845</v>
      </c>
      <c r="D2709" t="s">
        <v>5075</v>
      </c>
      <c r="E2709" t="s">
        <v>5575</v>
      </c>
      <c r="F2709" t="s">
        <v>6026</v>
      </c>
      <c r="G2709" t="s">
        <v>6030</v>
      </c>
      <c r="H2709" t="s">
        <v>6035</v>
      </c>
      <c r="I2709" t="s">
        <v>6051</v>
      </c>
      <c r="J2709" t="s">
        <v>6054</v>
      </c>
      <c r="K2709" t="s">
        <v>6062</v>
      </c>
      <c r="L2709" t="s">
        <v>8398</v>
      </c>
      <c r="M2709">
        <v>292.06</v>
      </c>
      <c r="N2709">
        <v>1</v>
      </c>
      <c r="O2709">
        <v>0.13</v>
      </c>
      <c r="P2709">
        <v>6.95</v>
      </c>
      <c r="Q2709" t="s">
        <v>9897</v>
      </c>
      <c r="R2709">
        <v>2</v>
      </c>
      <c r="S2709" s="5">
        <f t="shared" si="84"/>
        <v>2.3796480175306445E-2</v>
      </c>
      <c r="T2709">
        <v>292.06</v>
      </c>
      <c r="U2709">
        <v>10</v>
      </c>
      <c r="V2709">
        <v>2022</v>
      </c>
      <c r="W2709">
        <v>4</v>
      </c>
      <c r="X2709" t="s">
        <v>9899</v>
      </c>
      <c r="Y2709" t="s">
        <v>9901</v>
      </c>
      <c r="Z2709" t="s">
        <v>9899</v>
      </c>
      <c r="AD2709">
        <f t="shared" si="85"/>
        <v>2</v>
      </c>
    </row>
    <row r="2710" spans="1:30" x14ac:dyDescent="0.25">
      <c r="A2710" t="s">
        <v>2734</v>
      </c>
      <c r="B2710" s="2">
        <v>44869</v>
      </c>
      <c r="C2710" s="2">
        <v>44871</v>
      </c>
      <c r="D2710" t="s">
        <v>5236</v>
      </c>
      <c r="E2710" t="s">
        <v>5736</v>
      </c>
      <c r="F2710" t="s">
        <v>6028</v>
      </c>
      <c r="G2710" t="s">
        <v>6030</v>
      </c>
      <c r="H2710" t="s">
        <v>6039</v>
      </c>
      <c r="I2710" t="s">
        <v>6047</v>
      </c>
      <c r="J2710" t="s">
        <v>6055</v>
      </c>
      <c r="K2710" t="s">
        <v>6064</v>
      </c>
      <c r="L2710" t="s">
        <v>7633</v>
      </c>
      <c r="M2710">
        <v>102.4</v>
      </c>
      <c r="N2710">
        <v>7</v>
      </c>
      <c r="O2710">
        <v>0.08</v>
      </c>
      <c r="P2710">
        <v>16.18</v>
      </c>
      <c r="Q2710" t="s">
        <v>9897</v>
      </c>
      <c r="R2710">
        <v>2</v>
      </c>
      <c r="S2710" s="5">
        <f t="shared" si="84"/>
        <v>0.15800781249999998</v>
      </c>
      <c r="T2710">
        <v>14.62857142857143</v>
      </c>
      <c r="U2710">
        <v>11</v>
      </c>
      <c r="V2710">
        <v>2022</v>
      </c>
      <c r="W2710">
        <v>4</v>
      </c>
      <c r="X2710" t="s">
        <v>9899</v>
      </c>
      <c r="Y2710" t="s">
        <v>9901</v>
      </c>
      <c r="Z2710" t="s">
        <v>9899</v>
      </c>
      <c r="AD2710">
        <f t="shared" si="85"/>
        <v>2</v>
      </c>
    </row>
    <row r="2711" spans="1:30" x14ac:dyDescent="0.25">
      <c r="A2711" t="s">
        <v>2735</v>
      </c>
      <c r="B2711" s="2">
        <v>45098</v>
      </c>
      <c r="C2711" s="2">
        <v>45105</v>
      </c>
      <c r="D2711" t="s">
        <v>5104</v>
      </c>
      <c r="E2711" t="s">
        <v>5604</v>
      </c>
      <c r="F2711" t="s">
        <v>6027</v>
      </c>
      <c r="G2711" t="s">
        <v>6029</v>
      </c>
      <c r="H2711" t="s">
        <v>6045</v>
      </c>
      <c r="I2711" t="s">
        <v>6050</v>
      </c>
      <c r="J2711" t="s">
        <v>6054</v>
      </c>
      <c r="K2711" t="s">
        <v>6062</v>
      </c>
      <c r="L2711" t="s">
        <v>8399</v>
      </c>
      <c r="M2711">
        <v>1552.17</v>
      </c>
      <c r="N2711">
        <v>3</v>
      </c>
      <c r="O2711">
        <v>0.04</v>
      </c>
      <c r="P2711">
        <v>265.62</v>
      </c>
      <c r="Q2711" t="s">
        <v>9893</v>
      </c>
      <c r="R2711">
        <v>7</v>
      </c>
      <c r="S2711" s="5">
        <f t="shared" si="84"/>
        <v>0.17112816250797269</v>
      </c>
      <c r="T2711">
        <v>517.39</v>
      </c>
      <c r="U2711">
        <v>6</v>
      </c>
      <c r="V2711">
        <v>2023</v>
      </c>
      <c r="W2711">
        <v>2</v>
      </c>
      <c r="X2711" t="s">
        <v>9899</v>
      </c>
      <c r="Y2711" t="s">
        <v>9901</v>
      </c>
      <c r="Z2711" t="s">
        <v>9898</v>
      </c>
      <c r="AD2711">
        <f t="shared" si="85"/>
        <v>7</v>
      </c>
    </row>
    <row r="2712" spans="1:30" x14ac:dyDescent="0.25">
      <c r="A2712" t="s">
        <v>2736</v>
      </c>
      <c r="B2712" s="2">
        <v>45346</v>
      </c>
      <c r="C2712" s="2">
        <v>45350</v>
      </c>
      <c r="D2712" t="s">
        <v>5427</v>
      </c>
      <c r="E2712" t="s">
        <v>5927</v>
      </c>
      <c r="F2712" t="s">
        <v>6028</v>
      </c>
      <c r="G2712" t="s">
        <v>6029</v>
      </c>
      <c r="H2712" t="s">
        <v>6041</v>
      </c>
      <c r="I2712" t="s">
        <v>6049</v>
      </c>
      <c r="J2712" t="s">
        <v>6054</v>
      </c>
      <c r="K2712" t="s">
        <v>6060</v>
      </c>
      <c r="L2712" t="s">
        <v>8400</v>
      </c>
      <c r="M2712">
        <v>1138.26</v>
      </c>
      <c r="N2712">
        <v>2</v>
      </c>
      <c r="O2712">
        <v>0.23</v>
      </c>
      <c r="P2712">
        <v>26.79</v>
      </c>
      <c r="Q2712" t="s">
        <v>9893</v>
      </c>
      <c r="R2712">
        <v>4</v>
      </c>
      <c r="S2712" s="5">
        <f t="shared" si="84"/>
        <v>2.3535923251278266E-2</v>
      </c>
      <c r="T2712">
        <v>569.13</v>
      </c>
      <c r="U2712">
        <v>2</v>
      </c>
      <c r="V2712">
        <v>2024</v>
      </c>
      <c r="W2712">
        <v>1</v>
      </c>
      <c r="X2712" t="s">
        <v>9899</v>
      </c>
      <c r="Y2712" t="s">
        <v>9900</v>
      </c>
      <c r="Z2712" t="s">
        <v>9898</v>
      </c>
      <c r="AD2712">
        <f t="shared" si="85"/>
        <v>4</v>
      </c>
    </row>
    <row r="2713" spans="1:30" x14ac:dyDescent="0.25">
      <c r="A2713" t="s">
        <v>2737</v>
      </c>
      <c r="B2713" s="2">
        <v>45014</v>
      </c>
      <c r="C2713" s="2">
        <v>45021</v>
      </c>
      <c r="D2713" t="s">
        <v>5111</v>
      </c>
      <c r="E2713" t="s">
        <v>5611</v>
      </c>
      <c r="F2713" t="s">
        <v>6026</v>
      </c>
      <c r="G2713" t="s">
        <v>6031</v>
      </c>
      <c r="H2713" t="s">
        <v>6043</v>
      </c>
      <c r="I2713" t="s">
        <v>6050</v>
      </c>
      <c r="J2713" t="s">
        <v>6054</v>
      </c>
      <c r="K2713" t="s">
        <v>6059</v>
      </c>
      <c r="L2713" t="s">
        <v>8401</v>
      </c>
      <c r="M2713">
        <v>761.67</v>
      </c>
      <c r="N2713">
        <v>3</v>
      </c>
      <c r="O2713">
        <v>0.33</v>
      </c>
      <c r="P2713">
        <v>-169.66</v>
      </c>
      <c r="Q2713" t="s">
        <v>9895</v>
      </c>
      <c r="R2713">
        <v>7</v>
      </c>
      <c r="S2713" s="5">
        <f t="shared" si="84"/>
        <v>-0.22274738403770664</v>
      </c>
      <c r="T2713">
        <v>253.89</v>
      </c>
      <c r="U2713">
        <v>3</v>
      </c>
      <c r="V2713">
        <v>2023</v>
      </c>
      <c r="W2713">
        <v>1</v>
      </c>
      <c r="X2713" t="s">
        <v>9898</v>
      </c>
      <c r="Y2713" t="s">
        <v>9902</v>
      </c>
      <c r="Z2713" t="s">
        <v>9899</v>
      </c>
      <c r="AD2713">
        <f t="shared" si="85"/>
        <v>7</v>
      </c>
    </row>
    <row r="2714" spans="1:30" x14ac:dyDescent="0.25">
      <c r="A2714" t="s">
        <v>2738</v>
      </c>
      <c r="B2714" s="2">
        <v>44999</v>
      </c>
      <c r="C2714" s="2">
        <v>45006</v>
      </c>
      <c r="D2714" t="s">
        <v>5506</v>
      </c>
      <c r="E2714" t="s">
        <v>6006</v>
      </c>
      <c r="F2714" t="s">
        <v>6028</v>
      </c>
      <c r="G2714" t="s">
        <v>6030</v>
      </c>
      <c r="H2714" t="s">
        <v>6039</v>
      </c>
      <c r="I2714" t="s">
        <v>6047</v>
      </c>
      <c r="J2714" t="s">
        <v>6053</v>
      </c>
      <c r="K2714" t="s">
        <v>6058</v>
      </c>
      <c r="L2714" t="s">
        <v>8402</v>
      </c>
      <c r="M2714">
        <v>1365.5</v>
      </c>
      <c r="N2714">
        <v>8</v>
      </c>
      <c r="O2714">
        <v>0.18</v>
      </c>
      <c r="P2714">
        <v>63.22</v>
      </c>
      <c r="Q2714" t="s">
        <v>9893</v>
      </c>
      <c r="R2714">
        <v>7</v>
      </c>
      <c r="S2714" s="5">
        <f t="shared" si="84"/>
        <v>4.6298059318930794E-2</v>
      </c>
      <c r="T2714">
        <v>170.6875</v>
      </c>
      <c r="U2714">
        <v>3</v>
      </c>
      <c r="V2714">
        <v>2023</v>
      </c>
      <c r="W2714">
        <v>1</v>
      </c>
      <c r="X2714" t="s">
        <v>9899</v>
      </c>
      <c r="Y2714" t="s">
        <v>9900</v>
      </c>
      <c r="Z2714" t="s">
        <v>9898</v>
      </c>
      <c r="AD2714">
        <f t="shared" si="85"/>
        <v>7</v>
      </c>
    </row>
    <row r="2715" spans="1:30" x14ac:dyDescent="0.25">
      <c r="A2715" t="s">
        <v>2739</v>
      </c>
      <c r="B2715" s="2">
        <v>44883</v>
      </c>
      <c r="C2715" s="2">
        <v>44888</v>
      </c>
      <c r="D2715" t="s">
        <v>5270</v>
      </c>
      <c r="E2715" t="s">
        <v>5770</v>
      </c>
      <c r="F2715" t="s">
        <v>6028</v>
      </c>
      <c r="G2715" t="s">
        <v>6029</v>
      </c>
      <c r="H2715" t="s">
        <v>6041</v>
      </c>
      <c r="I2715" t="s">
        <v>6050</v>
      </c>
      <c r="J2715" t="s">
        <v>6055</v>
      </c>
      <c r="K2715" t="s">
        <v>6061</v>
      </c>
      <c r="L2715" t="s">
        <v>7073</v>
      </c>
      <c r="M2715">
        <v>351.71</v>
      </c>
      <c r="N2715">
        <v>8</v>
      </c>
      <c r="O2715">
        <v>0.33</v>
      </c>
      <c r="P2715">
        <v>-64.680000000000007</v>
      </c>
      <c r="Q2715" t="s">
        <v>9894</v>
      </c>
      <c r="R2715">
        <v>5</v>
      </c>
      <c r="S2715" s="5">
        <f t="shared" si="84"/>
        <v>-0.18390150976656908</v>
      </c>
      <c r="T2715">
        <v>43.963749999999997</v>
      </c>
      <c r="U2715">
        <v>11</v>
      </c>
      <c r="V2715">
        <v>2022</v>
      </c>
      <c r="W2715">
        <v>4</v>
      </c>
      <c r="X2715" t="s">
        <v>9898</v>
      </c>
      <c r="Y2715" t="s">
        <v>9902</v>
      </c>
      <c r="Z2715" t="s">
        <v>9899</v>
      </c>
      <c r="AD2715">
        <f t="shared" si="85"/>
        <v>5</v>
      </c>
    </row>
    <row r="2716" spans="1:30" x14ac:dyDescent="0.25">
      <c r="A2716" t="s">
        <v>2740</v>
      </c>
      <c r="B2716" s="2">
        <v>44984</v>
      </c>
      <c r="C2716" s="2">
        <v>44991</v>
      </c>
      <c r="D2716" t="s">
        <v>5516</v>
      </c>
      <c r="E2716" t="s">
        <v>6016</v>
      </c>
      <c r="F2716" t="s">
        <v>6027</v>
      </c>
      <c r="G2716" t="s">
        <v>6029</v>
      </c>
      <c r="H2716" t="s">
        <v>6036</v>
      </c>
      <c r="I2716" t="s">
        <v>6050</v>
      </c>
      <c r="J2716" t="s">
        <v>6053</v>
      </c>
      <c r="K2716" t="s">
        <v>6057</v>
      </c>
      <c r="L2716" t="s">
        <v>8403</v>
      </c>
      <c r="M2716">
        <v>412.02</v>
      </c>
      <c r="N2716">
        <v>2</v>
      </c>
      <c r="O2716">
        <v>7.0000000000000007E-2</v>
      </c>
      <c r="P2716">
        <v>63.74</v>
      </c>
      <c r="Q2716" t="s">
        <v>9896</v>
      </c>
      <c r="R2716">
        <v>7</v>
      </c>
      <c r="S2716" s="5">
        <f t="shared" si="84"/>
        <v>0.15470122809572351</v>
      </c>
      <c r="T2716">
        <v>206.01</v>
      </c>
      <c r="U2716">
        <v>2</v>
      </c>
      <c r="V2716">
        <v>2023</v>
      </c>
      <c r="W2716">
        <v>1</v>
      </c>
      <c r="X2716" t="s">
        <v>9899</v>
      </c>
      <c r="Y2716" t="s">
        <v>9901</v>
      </c>
      <c r="Z2716" t="s">
        <v>9899</v>
      </c>
      <c r="AD2716">
        <f t="shared" si="85"/>
        <v>7</v>
      </c>
    </row>
    <row r="2717" spans="1:30" x14ac:dyDescent="0.25">
      <c r="A2717" t="s">
        <v>2741</v>
      </c>
      <c r="B2717" s="2">
        <v>44595</v>
      </c>
      <c r="C2717" s="2">
        <v>44599</v>
      </c>
      <c r="D2717" t="s">
        <v>5464</v>
      </c>
      <c r="E2717" t="s">
        <v>5964</v>
      </c>
      <c r="F2717" t="s">
        <v>6026</v>
      </c>
      <c r="G2717" t="s">
        <v>6030</v>
      </c>
      <c r="H2717" t="s">
        <v>6039</v>
      </c>
      <c r="I2717" t="s">
        <v>6051</v>
      </c>
      <c r="J2717" t="s">
        <v>6053</v>
      </c>
      <c r="K2717" t="s">
        <v>6057</v>
      </c>
      <c r="L2717" t="s">
        <v>8404</v>
      </c>
      <c r="M2717">
        <v>456.44</v>
      </c>
      <c r="N2717">
        <v>4</v>
      </c>
      <c r="O2717">
        <v>0.11</v>
      </c>
      <c r="P2717">
        <v>59.08</v>
      </c>
      <c r="Q2717" t="s">
        <v>9897</v>
      </c>
      <c r="R2717">
        <v>4</v>
      </c>
      <c r="S2717" s="5">
        <f t="shared" si="84"/>
        <v>0.12943650863202172</v>
      </c>
      <c r="T2717">
        <v>114.11</v>
      </c>
      <c r="U2717">
        <v>2</v>
      </c>
      <c r="V2717">
        <v>2022</v>
      </c>
      <c r="W2717">
        <v>1</v>
      </c>
      <c r="X2717" t="s">
        <v>9899</v>
      </c>
      <c r="Y2717" t="s">
        <v>9901</v>
      </c>
      <c r="Z2717" t="s">
        <v>9899</v>
      </c>
      <c r="AD2717">
        <f t="shared" si="85"/>
        <v>4</v>
      </c>
    </row>
    <row r="2718" spans="1:30" x14ac:dyDescent="0.25">
      <c r="A2718" t="s">
        <v>2742</v>
      </c>
      <c r="B2718" s="2">
        <v>44790</v>
      </c>
      <c r="C2718" s="2">
        <v>44797</v>
      </c>
      <c r="D2718" t="s">
        <v>5166</v>
      </c>
      <c r="E2718" t="s">
        <v>5666</v>
      </c>
      <c r="F2718" t="s">
        <v>6026</v>
      </c>
      <c r="G2718" t="s">
        <v>6031</v>
      </c>
      <c r="H2718" t="s">
        <v>6037</v>
      </c>
      <c r="I2718" t="s">
        <v>6052</v>
      </c>
      <c r="J2718" t="s">
        <v>6054</v>
      </c>
      <c r="K2718" t="s">
        <v>6060</v>
      </c>
      <c r="L2718" t="s">
        <v>8405</v>
      </c>
      <c r="M2718">
        <v>264.54000000000002</v>
      </c>
      <c r="N2718">
        <v>3</v>
      </c>
      <c r="O2718">
        <v>0.04</v>
      </c>
      <c r="P2718">
        <v>16.28</v>
      </c>
      <c r="Q2718" t="s">
        <v>9893</v>
      </c>
      <c r="R2718">
        <v>7</v>
      </c>
      <c r="S2718" s="5">
        <f t="shared" si="84"/>
        <v>6.1540787782565963E-2</v>
      </c>
      <c r="T2718">
        <v>88.18</v>
      </c>
      <c r="U2718">
        <v>8</v>
      </c>
      <c r="V2718">
        <v>2022</v>
      </c>
      <c r="W2718">
        <v>3</v>
      </c>
      <c r="X2718" t="s">
        <v>9899</v>
      </c>
      <c r="Y2718" t="s">
        <v>9901</v>
      </c>
      <c r="Z2718" t="s">
        <v>9899</v>
      </c>
      <c r="AD2718">
        <f t="shared" si="85"/>
        <v>7</v>
      </c>
    </row>
    <row r="2719" spans="1:30" x14ac:dyDescent="0.25">
      <c r="A2719" t="s">
        <v>2743</v>
      </c>
      <c r="B2719" s="2">
        <v>45272</v>
      </c>
      <c r="C2719" s="2">
        <v>45273</v>
      </c>
      <c r="D2719" t="s">
        <v>5425</v>
      </c>
      <c r="E2719" t="s">
        <v>5925</v>
      </c>
      <c r="F2719" t="s">
        <v>6027</v>
      </c>
      <c r="G2719" t="s">
        <v>6029</v>
      </c>
      <c r="H2719" t="s">
        <v>6045</v>
      </c>
      <c r="I2719" t="s">
        <v>6049</v>
      </c>
      <c r="J2719" t="s">
        <v>6055</v>
      </c>
      <c r="K2719" t="s">
        <v>6061</v>
      </c>
      <c r="L2719" t="s">
        <v>7217</v>
      </c>
      <c r="M2719">
        <v>819.09</v>
      </c>
      <c r="N2719">
        <v>2</v>
      </c>
      <c r="O2719">
        <v>0.2</v>
      </c>
      <c r="P2719">
        <v>81.45</v>
      </c>
      <c r="Q2719" t="s">
        <v>9895</v>
      </c>
      <c r="R2719">
        <v>1</v>
      </c>
      <c r="S2719" s="5">
        <f t="shared" si="84"/>
        <v>9.9439622019558291E-2</v>
      </c>
      <c r="T2719">
        <v>409.54500000000002</v>
      </c>
      <c r="U2719">
        <v>12</v>
      </c>
      <c r="V2719">
        <v>2023</v>
      </c>
      <c r="W2719">
        <v>4</v>
      </c>
      <c r="X2719" t="s">
        <v>9899</v>
      </c>
      <c r="Y2719" t="s">
        <v>9900</v>
      </c>
      <c r="Z2719" t="s">
        <v>9899</v>
      </c>
      <c r="AD2719">
        <f t="shared" si="85"/>
        <v>1</v>
      </c>
    </row>
    <row r="2720" spans="1:30" x14ac:dyDescent="0.25">
      <c r="A2720" t="s">
        <v>2744</v>
      </c>
      <c r="B2720" s="2">
        <v>44624</v>
      </c>
      <c r="C2720" s="2">
        <v>44628</v>
      </c>
      <c r="D2720" t="s">
        <v>5214</v>
      </c>
      <c r="E2720" t="s">
        <v>5714</v>
      </c>
      <c r="F2720" t="s">
        <v>6027</v>
      </c>
      <c r="G2720" t="s">
        <v>6030</v>
      </c>
      <c r="H2720" t="s">
        <v>6038</v>
      </c>
      <c r="I2720" t="s">
        <v>6051</v>
      </c>
      <c r="J2720" t="s">
        <v>6055</v>
      </c>
      <c r="K2720" t="s">
        <v>6063</v>
      </c>
      <c r="L2720" t="s">
        <v>8406</v>
      </c>
      <c r="M2720">
        <v>1920.42</v>
      </c>
      <c r="N2720">
        <v>1</v>
      </c>
      <c r="O2720">
        <v>0.28999999999999998</v>
      </c>
      <c r="P2720">
        <v>-252.2</v>
      </c>
      <c r="Q2720" t="s">
        <v>9895</v>
      </c>
      <c r="R2720">
        <v>4</v>
      </c>
      <c r="S2720" s="5">
        <f t="shared" si="84"/>
        <v>-0.13132543922683579</v>
      </c>
      <c r="T2720">
        <v>1920.42</v>
      </c>
      <c r="U2720">
        <v>3</v>
      </c>
      <c r="V2720">
        <v>2022</v>
      </c>
      <c r="W2720">
        <v>1</v>
      </c>
      <c r="X2720" t="s">
        <v>9898</v>
      </c>
      <c r="Y2720" t="s">
        <v>9900</v>
      </c>
      <c r="Z2720" t="s">
        <v>9898</v>
      </c>
      <c r="AD2720">
        <f t="shared" si="85"/>
        <v>4</v>
      </c>
    </row>
    <row r="2721" spans="1:30" x14ac:dyDescent="0.25">
      <c r="A2721" t="s">
        <v>2745</v>
      </c>
      <c r="B2721" s="2">
        <v>44840</v>
      </c>
      <c r="C2721" s="2">
        <v>44844</v>
      </c>
      <c r="D2721" t="s">
        <v>5419</v>
      </c>
      <c r="E2721" t="s">
        <v>5919</v>
      </c>
      <c r="F2721" t="s">
        <v>6027</v>
      </c>
      <c r="G2721" t="s">
        <v>6029</v>
      </c>
      <c r="H2721" t="s">
        <v>6045</v>
      </c>
      <c r="I2721" t="s">
        <v>6046</v>
      </c>
      <c r="J2721" t="s">
        <v>6054</v>
      </c>
      <c r="K2721" t="s">
        <v>6062</v>
      </c>
      <c r="L2721" t="s">
        <v>8407</v>
      </c>
      <c r="M2721">
        <v>1861.99</v>
      </c>
      <c r="N2721">
        <v>5</v>
      </c>
      <c r="O2721">
        <v>0.2</v>
      </c>
      <c r="P2721">
        <v>-22.69</v>
      </c>
      <c r="Q2721" t="s">
        <v>9895</v>
      </c>
      <c r="R2721">
        <v>4</v>
      </c>
      <c r="S2721" s="5">
        <f t="shared" si="84"/>
        <v>-1.2185887142251033E-2</v>
      </c>
      <c r="T2721">
        <v>372.39800000000002</v>
      </c>
      <c r="U2721">
        <v>10</v>
      </c>
      <c r="V2721">
        <v>2022</v>
      </c>
      <c r="W2721">
        <v>4</v>
      </c>
      <c r="X2721" t="s">
        <v>9898</v>
      </c>
      <c r="Y2721" t="s">
        <v>9900</v>
      </c>
      <c r="Z2721" t="s">
        <v>9898</v>
      </c>
      <c r="AD2721">
        <f t="shared" si="85"/>
        <v>4</v>
      </c>
    </row>
    <row r="2722" spans="1:30" x14ac:dyDescent="0.25">
      <c r="A2722" t="s">
        <v>2746</v>
      </c>
      <c r="B2722" s="2">
        <v>45399</v>
      </c>
      <c r="C2722" s="2">
        <v>45406</v>
      </c>
      <c r="D2722" t="s">
        <v>5322</v>
      </c>
      <c r="E2722" t="s">
        <v>5822</v>
      </c>
      <c r="F2722" t="s">
        <v>6028</v>
      </c>
      <c r="G2722" t="s">
        <v>6031</v>
      </c>
      <c r="H2722" t="s">
        <v>6037</v>
      </c>
      <c r="I2722" t="s">
        <v>6050</v>
      </c>
      <c r="J2722" t="s">
        <v>6053</v>
      </c>
      <c r="K2722" t="s">
        <v>6057</v>
      </c>
      <c r="L2722" t="s">
        <v>7498</v>
      </c>
      <c r="M2722">
        <v>1375.1</v>
      </c>
      <c r="N2722">
        <v>8</v>
      </c>
      <c r="O2722">
        <v>0.01</v>
      </c>
      <c r="P2722">
        <v>136.66999999999999</v>
      </c>
      <c r="Q2722" t="s">
        <v>9894</v>
      </c>
      <c r="R2722">
        <v>7</v>
      </c>
      <c r="S2722" s="5">
        <f t="shared" si="84"/>
        <v>9.9389135335611958E-2</v>
      </c>
      <c r="T2722">
        <v>171.88749999999999</v>
      </c>
      <c r="U2722">
        <v>4</v>
      </c>
      <c r="V2722">
        <v>2024</v>
      </c>
      <c r="W2722">
        <v>2</v>
      </c>
      <c r="X2722" t="s">
        <v>9899</v>
      </c>
      <c r="Y2722" t="s">
        <v>9901</v>
      </c>
      <c r="Z2722" t="s">
        <v>9898</v>
      </c>
      <c r="AD2722">
        <f t="shared" si="85"/>
        <v>7</v>
      </c>
    </row>
    <row r="2723" spans="1:30" x14ac:dyDescent="0.25">
      <c r="A2723" t="s">
        <v>2747</v>
      </c>
      <c r="B2723" s="2">
        <v>44665</v>
      </c>
      <c r="C2723" s="2">
        <v>44670</v>
      </c>
      <c r="D2723" t="s">
        <v>5386</v>
      </c>
      <c r="E2723" t="s">
        <v>5886</v>
      </c>
      <c r="F2723" t="s">
        <v>6028</v>
      </c>
      <c r="G2723" t="s">
        <v>6030</v>
      </c>
      <c r="H2723" t="s">
        <v>6038</v>
      </c>
      <c r="I2723" t="s">
        <v>6047</v>
      </c>
      <c r="J2723" t="s">
        <v>6054</v>
      </c>
      <c r="K2723" t="s">
        <v>6059</v>
      </c>
      <c r="L2723" t="s">
        <v>6071</v>
      </c>
      <c r="M2723">
        <v>231.94</v>
      </c>
      <c r="N2723">
        <v>2</v>
      </c>
      <c r="O2723">
        <v>0.09</v>
      </c>
      <c r="P2723">
        <v>31.6</v>
      </c>
      <c r="Q2723" t="s">
        <v>9895</v>
      </c>
      <c r="R2723">
        <v>5</v>
      </c>
      <c r="S2723" s="5">
        <f t="shared" si="84"/>
        <v>0.13624213158575493</v>
      </c>
      <c r="T2723">
        <v>115.97</v>
      </c>
      <c r="U2723">
        <v>4</v>
      </c>
      <c r="V2723">
        <v>2022</v>
      </c>
      <c r="W2723">
        <v>2</v>
      </c>
      <c r="X2723" t="s">
        <v>9899</v>
      </c>
      <c r="Y2723" t="s">
        <v>9901</v>
      </c>
      <c r="Z2723" t="s">
        <v>9899</v>
      </c>
      <c r="AD2723">
        <f t="shared" si="85"/>
        <v>5</v>
      </c>
    </row>
    <row r="2724" spans="1:30" x14ac:dyDescent="0.25">
      <c r="A2724" t="s">
        <v>2748</v>
      </c>
      <c r="B2724" s="2">
        <v>44731</v>
      </c>
      <c r="C2724" s="2">
        <v>44738</v>
      </c>
      <c r="D2724" t="s">
        <v>5045</v>
      </c>
      <c r="E2724" t="s">
        <v>5545</v>
      </c>
      <c r="F2724" t="s">
        <v>6026</v>
      </c>
      <c r="G2724" t="s">
        <v>6031</v>
      </c>
      <c r="H2724" t="s">
        <v>6042</v>
      </c>
      <c r="I2724" t="s">
        <v>6050</v>
      </c>
      <c r="J2724" t="s">
        <v>6053</v>
      </c>
      <c r="K2724" t="s">
        <v>6058</v>
      </c>
      <c r="L2724" t="s">
        <v>8408</v>
      </c>
      <c r="M2724">
        <v>1098.0899999999999</v>
      </c>
      <c r="N2724">
        <v>3</v>
      </c>
      <c r="O2724">
        <v>0.01</v>
      </c>
      <c r="P2724">
        <v>164.11</v>
      </c>
      <c r="Q2724" t="s">
        <v>9893</v>
      </c>
      <c r="R2724">
        <v>7</v>
      </c>
      <c r="S2724" s="5">
        <f t="shared" si="84"/>
        <v>0.14945040934713916</v>
      </c>
      <c r="T2724">
        <v>366.03</v>
      </c>
      <c r="U2724">
        <v>6</v>
      </c>
      <c r="V2724">
        <v>2022</v>
      </c>
      <c r="W2724">
        <v>2</v>
      </c>
      <c r="X2724" t="s">
        <v>9899</v>
      </c>
      <c r="Y2724" t="s">
        <v>9901</v>
      </c>
      <c r="Z2724" t="s">
        <v>9898</v>
      </c>
      <c r="AD2724">
        <f t="shared" si="85"/>
        <v>7</v>
      </c>
    </row>
    <row r="2725" spans="1:30" x14ac:dyDescent="0.25">
      <c r="A2725" t="s">
        <v>2749</v>
      </c>
      <c r="B2725" s="2">
        <v>45208</v>
      </c>
      <c r="C2725" s="2">
        <v>45214</v>
      </c>
      <c r="D2725" t="s">
        <v>5228</v>
      </c>
      <c r="E2725" t="s">
        <v>5728</v>
      </c>
      <c r="F2725" t="s">
        <v>6028</v>
      </c>
      <c r="G2725" t="s">
        <v>6029</v>
      </c>
      <c r="H2725" t="s">
        <v>6045</v>
      </c>
      <c r="I2725" t="s">
        <v>6050</v>
      </c>
      <c r="J2725" t="s">
        <v>6054</v>
      </c>
      <c r="K2725" t="s">
        <v>6062</v>
      </c>
      <c r="L2725" t="s">
        <v>8409</v>
      </c>
      <c r="M2725">
        <v>1409.56</v>
      </c>
      <c r="N2725">
        <v>2</v>
      </c>
      <c r="O2725">
        <v>0.03</v>
      </c>
      <c r="P2725">
        <v>347.17</v>
      </c>
      <c r="Q2725" t="s">
        <v>9896</v>
      </c>
      <c r="R2725">
        <v>6</v>
      </c>
      <c r="S2725" s="5">
        <f t="shared" si="84"/>
        <v>0.24629671670592243</v>
      </c>
      <c r="T2725">
        <v>704.78</v>
      </c>
      <c r="U2725">
        <v>10</v>
      </c>
      <c r="V2725">
        <v>2023</v>
      </c>
      <c r="W2725">
        <v>4</v>
      </c>
      <c r="X2725" t="s">
        <v>9899</v>
      </c>
      <c r="Y2725" t="s">
        <v>9901</v>
      </c>
      <c r="Z2725" t="s">
        <v>9898</v>
      </c>
      <c r="AD2725">
        <f t="shared" si="85"/>
        <v>6</v>
      </c>
    </row>
    <row r="2726" spans="1:30" x14ac:dyDescent="0.25">
      <c r="A2726" t="s">
        <v>2750</v>
      </c>
      <c r="B2726" s="2">
        <v>44774</v>
      </c>
      <c r="C2726" s="2">
        <v>44779</v>
      </c>
      <c r="D2726" t="s">
        <v>5258</v>
      </c>
      <c r="E2726" t="s">
        <v>5758</v>
      </c>
      <c r="F2726" t="s">
        <v>6028</v>
      </c>
      <c r="G2726" t="s">
        <v>6030</v>
      </c>
      <c r="H2726" t="s">
        <v>6039</v>
      </c>
      <c r="I2726" t="s">
        <v>6047</v>
      </c>
      <c r="J2726" t="s">
        <v>6054</v>
      </c>
      <c r="K2726" t="s">
        <v>6062</v>
      </c>
      <c r="L2726" t="s">
        <v>8410</v>
      </c>
      <c r="M2726">
        <v>175.64</v>
      </c>
      <c r="N2726">
        <v>6</v>
      </c>
      <c r="O2726">
        <v>0.23</v>
      </c>
      <c r="P2726">
        <v>9.26</v>
      </c>
      <c r="Q2726" t="s">
        <v>9893</v>
      </c>
      <c r="R2726">
        <v>5</v>
      </c>
      <c r="S2726" s="5">
        <f t="shared" si="84"/>
        <v>5.2721475745843772E-2</v>
      </c>
      <c r="T2726">
        <v>29.27333333333333</v>
      </c>
      <c r="U2726">
        <v>8</v>
      </c>
      <c r="V2726">
        <v>2022</v>
      </c>
      <c r="W2726">
        <v>3</v>
      </c>
      <c r="X2726" t="s">
        <v>9899</v>
      </c>
      <c r="Y2726" t="s">
        <v>9900</v>
      </c>
      <c r="Z2726" t="s">
        <v>9899</v>
      </c>
      <c r="AD2726">
        <f t="shared" si="85"/>
        <v>5</v>
      </c>
    </row>
    <row r="2727" spans="1:30" x14ac:dyDescent="0.25">
      <c r="A2727" t="s">
        <v>2751</v>
      </c>
      <c r="B2727" s="2">
        <v>44630</v>
      </c>
      <c r="C2727" s="2">
        <v>44633</v>
      </c>
      <c r="D2727" t="s">
        <v>5158</v>
      </c>
      <c r="E2727" t="s">
        <v>5658</v>
      </c>
      <c r="F2727" t="s">
        <v>6026</v>
      </c>
      <c r="G2727" t="s">
        <v>6029</v>
      </c>
      <c r="H2727" t="s">
        <v>6032</v>
      </c>
      <c r="I2727" t="s">
        <v>6050</v>
      </c>
      <c r="J2727" t="s">
        <v>6053</v>
      </c>
      <c r="K2727" t="s">
        <v>6056</v>
      </c>
      <c r="L2727" t="s">
        <v>7865</v>
      </c>
      <c r="M2727">
        <v>121.2</v>
      </c>
      <c r="N2727">
        <v>4</v>
      </c>
      <c r="O2727">
        <v>0.22</v>
      </c>
      <c r="P2727">
        <v>-5.36</v>
      </c>
      <c r="Q2727" t="s">
        <v>9894</v>
      </c>
      <c r="R2727">
        <v>3</v>
      </c>
      <c r="S2727" s="5">
        <f t="shared" si="84"/>
        <v>-4.4224422442244227E-2</v>
      </c>
      <c r="T2727">
        <v>30.3</v>
      </c>
      <c r="U2727">
        <v>3</v>
      </c>
      <c r="V2727">
        <v>2022</v>
      </c>
      <c r="W2727">
        <v>1</v>
      </c>
      <c r="X2727" t="s">
        <v>9898</v>
      </c>
      <c r="Y2727" t="s">
        <v>9900</v>
      </c>
      <c r="Z2727" t="s">
        <v>9899</v>
      </c>
      <c r="AD2727">
        <f t="shared" si="85"/>
        <v>3</v>
      </c>
    </row>
    <row r="2728" spans="1:30" x14ac:dyDescent="0.25">
      <c r="A2728" t="s">
        <v>2752</v>
      </c>
      <c r="B2728" s="2">
        <v>45242</v>
      </c>
      <c r="C2728" s="2">
        <v>45245</v>
      </c>
      <c r="D2728" t="s">
        <v>5186</v>
      </c>
      <c r="E2728" t="s">
        <v>5686</v>
      </c>
      <c r="F2728" t="s">
        <v>6027</v>
      </c>
      <c r="G2728" t="s">
        <v>6031</v>
      </c>
      <c r="H2728" t="s">
        <v>6042</v>
      </c>
      <c r="I2728" t="s">
        <v>6048</v>
      </c>
      <c r="J2728" t="s">
        <v>6055</v>
      </c>
      <c r="K2728" t="s">
        <v>6061</v>
      </c>
      <c r="L2728" t="s">
        <v>8411</v>
      </c>
      <c r="M2728">
        <v>1281.83</v>
      </c>
      <c r="N2728">
        <v>2</v>
      </c>
      <c r="O2728">
        <v>0.25</v>
      </c>
      <c r="P2728">
        <v>-104.34</v>
      </c>
      <c r="Q2728" t="s">
        <v>9894</v>
      </c>
      <c r="R2728">
        <v>3</v>
      </c>
      <c r="S2728" s="5">
        <f t="shared" si="84"/>
        <v>-8.139924951046551E-2</v>
      </c>
      <c r="T2728">
        <v>640.91499999999996</v>
      </c>
      <c r="U2728">
        <v>11</v>
      </c>
      <c r="V2728">
        <v>2023</v>
      </c>
      <c r="W2728">
        <v>4</v>
      </c>
      <c r="X2728" t="s">
        <v>9898</v>
      </c>
      <c r="Y2728" t="s">
        <v>9900</v>
      </c>
      <c r="Z2728" t="s">
        <v>9898</v>
      </c>
      <c r="AD2728">
        <f t="shared" si="85"/>
        <v>3</v>
      </c>
    </row>
    <row r="2729" spans="1:30" x14ac:dyDescent="0.25">
      <c r="A2729" t="s">
        <v>2753</v>
      </c>
      <c r="B2729" s="2">
        <v>44751</v>
      </c>
      <c r="C2729" s="2">
        <v>44758</v>
      </c>
      <c r="D2729" t="s">
        <v>5425</v>
      </c>
      <c r="E2729" t="s">
        <v>5925</v>
      </c>
      <c r="F2729" t="s">
        <v>6028</v>
      </c>
      <c r="G2729" t="s">
        <v>6030</v>
      </c>
      <c r="H2729" t="s">
        <v>6038</v>
      </c>
      <c r="I2729" t="s">
        <v>6047</v>
      </c>
      <c r="J2729" t="s">
        <v>6054</v>
      </c>
      <c r="K2729" t="s">
        <v>6062</v>
      </c>
      <c r="L2729" t="s">
        <v>8367</v>
      </c>
      <c r="M2729">
        <v>1422.65</v>
      </c>
      <c r="N2729">
        <v>1</v>
      </c>
      <c r="O2729">
        <v>0.22</v>
      </c>
      <c r="P2729">
        <v>109.7</v>
      </c>
      <c r="Q2729" t="s">
        <v>9896</v>
      </c>
      <c r="R2729">
        <v>7</v>
      </c>
      <c r="S2729" s="5">
        <f t="shared" si="84"/>
        <v>7.7109619372298169E-2</v>
      </c>
      <c r="T2729">
        <v>1422.65</v>
      </c>
      <c r="U2729">
        <v>7</v>
      </c>
      <c r="V2729">
        <v>2022</v>
      </c>
      <c r="W2729">
        <v>3</v>
      </c>
      <c r="X2729" t="s">
        <v>9899</v>
      </c>
      <c r="Y2729" t="s">
        <v>9900</v>
      </c>
      <c r="Z2729" t="s">
        <v>9898</v>
      </c>
      <c r="AD2729">
        <f t="shared" si="85"/>
        <v>7</v>
      </c>
    </row>
    <row r="2730" spans="1:30" x14ac:dyDescent="0.25">
      <c r="A2730" t="s">
        <v>2754</v>
      </c>
      <c r="B2730" s="2">
        <v>45312</v>
      </c>
      <c r="C2730" s="2">
        <v>45315</v>
      </c>
      <c r="D2730" t="s">
        <v>5297</v>
      </c>
      <c r="E2730" t="s">
        <v>5797</v>
      </c>
      <c r="F2730" t="s">
        <v>6028</v>
      </c>
      <c r="G2730" t="s">
        <v>6030</v>
      </c>
      <c r="H2730" t="s">
        <v>6035</v>
      </c>
      <c r="I2730" t="s">
        <v>6051</v>
      </c>
      <c r="J2730" t="s">
        <v>6055</v>
      </c>
      <c r="K2730" t="s">
        <v>6064</v>
      </c>
      <c r="L2730" t="s">
        <v>6108</v>
      </c>
      <c r="M2730">
        <v>1888.48</v>
      </c>
      <c r="N2730">
        <v>5</v>
      </c>
      <c r="O2730">
        <v>0.33</v>
      </c>
      <c r="P2730">
        <v>-199.51</v>
      </c>
      <c r="Q2730" t="s">
        <v>9896</v>
      </c>
      <c r="R2730">
        <v>3</v>
      </c>
      <c r="S2730" s="5">
        <f t="shared" si="84"/>
        <v>-0.10564581038718969</v>
      </c>
      <c r="T2730">
        <v>377.69600000000003</v>
      </c>
      <c r="U2730">
        <v>1</v>
      </c>
      <c r="V2730">
        <v>2024</v>
      </c>
      <c r="W2730">
        <v>1</v>
      </c>
      <c r="X2730" t="s">
        <v>9898</v>
      </c>
      <c r="Y2730" t="s">
        <v>9902</v>
      </c>
      <c r="Z2730" t="s">
        <v>9898</v>
      </c>
      <c r="AD2730">
        <f t="shared" si="85"/>
        <v>3</v>
      </c>
    </row>
    <row r="2731" spans="1:30" x14ac:dyDescent="0.25">
      <c r="A2731" t="s">
        <v>2755</v>
      </c>
      <c r="B2731" s="2">
        <v>45429</v>
      </c>
      <c r="C2731" s="2">
        <v>45436</v>
      </c>
      <c r="D2731" t="s">
        <v>5238</v>
      </c>
      <c r="E2731" t="s">
        <v>5738</v>
      </c>
      <c r="F2731" t="s">
        <v>6026</v>
      </c>
      <c r="G2731" t="s">
        <v>6030</v>
      </c>
      <c r="H2731" t="s">
        <v>6039</v>
      </c>
      <c r="I2731" t="s">
        <v>6047</v>
      </c>
      <c r="J2731" t="s">
        <v>6054</v>
      </c>
      <c r="K2731" t="s">
        <v>6059</v>
      </c>
      <c r="L2731" t="s">
        <v>8412</v>
      </c>
      <c r="M2731">
        <v>348.97</v>
      </c>
      <c r="N2731">
        <v>3</v>
      </c>
      <c r="O2731">
        <v>0.13</v>
      </c>
      <c r="P2731">
        <v>-7.82</v>
      </c>
      <c r="Q2731" t="s">
        <v>9894</v>
      </c>
      <c r="R2731">
        <v>7</v>
      </c>
      <c r="S2731" s="5">
        <f t="shared" si="84"/>
        <v>-2.2408803048972688E-2</v>
      </c>
      <c r="T2731">
        <v>116.3233333333333</v>
      </c>
      <c r="U2731">
        <v>5</v>
      </c>
      <c r="V2731">
        <v>2024</v>
      </c>
      <c r="W2731">
        <v>2</v>
      </c>
      <c r="X2731" t="s">
        <v>9898</v>
      </c>
      <c r="Y2731" t="s">
        <v>9901</v>
      </c>
      <c r="Z2731" t="s">
        <v>9899</v>
      </c>
      <c r="AD2731">
        <f t="shared" si="85"/>
        <v>7</v>
      </c>
    </row>
    <row r="2732" spans="1:30" x14ac:dyDescent="0.25">
      <c r="A2732" t="s">
        <v>2756</v>
      </c>
      <c r="B2732" s="2">
        <v>45197</v>
      </c>
      <c r="C2732" s="2">
        <v>45204</v>
      </c>
      <c r="D2732" t="s">
        <v>5209</v>
      </c>
      <c r="E2732" t="s">
        <v>5709</v>
      </c>
      <c r="F2732" t="s">
        <v>6026</v>
      </c>
      <c r="G2732" t="s">
        <v>6030</v>
      </c>
      <c r="H2732" t="s">
        <v>6039</v>
      </c>
      <c r="I2732" t="s">
        <v>6047</v>
      </c>
      <c r="J2732" t="s">
        <v>6053</v>
      </c>
      <c r="K2732" t="s">
        <v>6056</v>
      </c>
      <c r="L2732" t="s">
        <v>8413</v>
      </c>
      <c r="M2732">
        <v>477.65</v>
      </c>
      <c r="N2732">
        <v>4</v>
      </c>
      <c r="O2732">
        <v>0.11</v>
      </c>
      <c r="P2732">
        <v>27.79</v>
      </c>
      <c r="Q2732" t="s">
        <v>9897</v>
      </c>
      <c r="R2732">
        <v>7</v>
      </c>
      <c r="S2732" s="5">
        <f t="shared" si="84"/>
        <v>5.8180676227363136E-2</v>
      </c>
      <c r="T2732">
        <v>119.41249999999999</v>
      </c>
      <c r="U2732">
        <v>9</v>
      </c>
      <c r="V2732">
        <v>2023</v>
      </c>
      <c r="W2732">
        <v>3</v>
      </c>
      <c r="X2732" t="s">
        <v>9899</v>
      </c>
      <c r="Y2732" t="s">
        <v>9901</v>
      </c>
      <c r="Z2732" t="s">
        <v>9899</v>
      </c>
      <c r="AD2732">
        <f t="shared" si="85"/>
        <v>7</v>
      </c>
    </row>
    <row r="2733" spans="1:30" x14ac:dyDescent="0.25">
      <c r="A2733" t="s">
        <v>2757</v>
      </c>
      <c r="B2733" s="2">
        <v>45161</v>
      </c>
      <c r="C2733" s="2">
        <v>45164</v>
      </c>
      <c r="D2733" t="s">
        <v>5285</v>
      </c>
      <c r="E2733" t="s">
        <v>5785</v>
      </c>
      <c r="F2733" t="s">
        <v>6026</v>
      </c>
      <c r="G2733" t="s">
        <v>6031</v>
      </c>
      <c r="H2733" t="s">
        <v>6034</v>
      </c>
      <c r="I2733" t="s">
        <v>6050</v>
      </c>
      <c r="J2733" t="s">
        <v>6053</v>
      </c>
      <c r="K2733" t="s">
        <v>6056</v>
      </c>
      <c r="L2733" t="s">
        <v>8414</v>
      </c>
      <c r="M2733">
        <v>360.15</v>
      </c>
      <c r="N2733">
        <v>3</v>
      </c>
      <c r="O2733">
        <v>0.08</v>
      </c>
      <c r="P2733">
        <v>32.99</v>
      </c>
      <c r="Q2733" t="s">
        <v>9894</v>
      </c>
      <c r="R2733">
        <v>3</v>
      </c>
      <c r="S2733" s="5">
        <f t="shared" si="84"/>
        <v>9.1600721921421643E-2</v>
      </c>
      <c r="T2733">
        <v>120.05</v>
      </c>
      <c r="U2733">
        <v>8</v>
      </c>
      <c r="V2733">
        <v>2023</v>
      </c>
      <c r="W2733">
        <v>3</v>
      </c>
      <c r="X2733" t="s">
        <v>9899</v>
      </c>
      <c r="Y2733" t="s">
        <v>9901</v>
      </c>
      <c r="Z2733" t="s">
        <v>9899</v>
      </c>
      <c r="AD2733">
        <f t="shared" si="85"/>
        <v>3</v>
      </c>
    </row>
    <row r="2734" spans="1:30" x14ac:dyDescent="0.25">
      <c r="A2734" t="s">
        <v>2758</v>
      </c>
      <c r="B2734" s="2">
        <v>44863</v>
      </c>
      <c r="C2734" s="2">
        <v>44866</v>
      </c>
      <c r="D2734" t="s">
        <v>5296</v>
      </c>
      <c r="E2734" t="s">
        <v>5796</v>
      </c>
      <c r="F2734" t="s">
        <v>6026</v>
      </c>
      <c r="G2734" t="s">
        <v>6029</v>
      </c>
      <c r="H2734" t="s">
        <v>6041</v>
      </c>
      <c r="I2734" t="s">
        <v>6049</v>
      </c>
      <c r="J2734" t="s">
        <v>6055</v>
      </c>
      <c r="K2734" t="s">
        <v>6064</v>
      </c>
      <c r="L2734" t="s">
        <v>8415</v>
      </c>
      <c r="M2734">
        <v>1856.82</v>
      </c>
      <c r="N2734">
        <v>4</v>
      </c>
      <c r="O2734">
        <v>0.04</v>
      </c>
      <c r="P2734">
        <v>345.16</v>
      </c>
      <c r="Q2734" t="s">
        <v>9895</v>
      </c>
      <c r="R2734">
        <v>3</v>
      </c>
      <c r="S2734" s="5">
        <f t="shared" si="84"/>
        <v>0.18588770047715988</v>
      </c>
      <c r="T2734">
        <v>464.20499999999998</v>
      </c>
      <c r="U2734">
        <v>10</v>
      </c>
      <c r="V2734">
        <v>2022</v>
      </c>
      <c r="W2734">
        <v>4</v>
      </c>
      <c r="X2734" t="s">
        <v>9899</v>
      </c>
      <c r="Y2734" t="s">
        <v>9901</v>
      </c>
      <c r="Z2734" t="s">
        <v>9898</v>
      </c>
      <c r="AD2734">
        <f t="shared" si="85"/>
        <v>3</v>
      </c>
    </row>
    <row r="2735" spans="1:30" x14ac:dyDescent="0.25">
      <c r="A2735" t="s">
        <v>2759</v>
      </c>
      <c r="B2735" s="2">
        <v>44935</v>
      </c>
      <c r="C2735" s="2">
        <v>44936</v>
      </c>
      <c r="D2735" t="s">
        <v>5404</v>
      </c>
      <c r="E2735" t="s">
        <v>5904</v>
      </c>
      <c r="F2735" t="s">
        <v>6026</v>
      </c>
      <c r="G2735" t="s">
        <v>6029</v>
      </c>
      <c r="H2735" t="s">
        <v>6041</v>
      </c>
      <c r="I2735" t="s">
        <v>6049</v>
      </c>
      <c r="J2735" t="s">
        <v>6054</v>
      </c>
      <c r="K2735" t="s">
        <v>6062</v>
      </c>
      <c r="L2735" t="s">
        <v>8416</v>
      </c>
      <c r="M2735">
        <v>408.91</v>
      </c>
      <c r="N2735">
        <v>5</v>
      </c>
      <c r="O2735">
        <v>0.13</v>
      </c>
      <c r="P2735">
        <v>42.77</v>
      </c>
      <c r="Q2735" t="s">
        <v>9893</v>
      </c>
      <c r="R2735">
        <v>1</v>
      </c>
      <c r="S2735" s="5">
        <f t="shared" si="84"/>
        <v>0.10459514318554206</v>
      </c>
      <c r="T2735">
        <v>81.782000000000011</v>
      </c>
      <c r="U2735">
        <v>1</v>
      </c>
      <c r="V2735">
        <v>2023</v>
      </c>
      <c r="W2735">
        <v>1</v>
      </c>
      <c r="X2735" t="s">
        <v>9899</v>
      </c>
      <c r="Y2735" t="s">
        <v>9901</v>
      </c>
      <c r="Z2735" t="s">
        <v>9899</v>
      </c>
      <c r="AD2735">
        <f t="shared" si="85"/>
        <v>1</v>
      </c>
    </row>
    <row r="2736" spans="1:30" x14ac:dyDescent="0.25">
      <c r="A2736" t="s">
        <v>2760</v>
      </c>
      <c r="B2736" s="2">
        <v>44776</v>
      </c>
      <c r="C2736" s="2">
        <v>44778</v>
      </c>
      <c r="D2736" t="s">
        <v>5494</v>
      </c>
      <c r="E2736" t="s">
        <v>5994</v>
      </c>
      <c r="F2736" t="s">
        <v>6028</v>
      </c>
      <c r="G2736" t="s">
        <v>6030</v>
      </c>
      <c r="H2736" t="s">
        <v>6038</v>
      </c>
      <c r="I2736" t="s">
        <v>6051</v>
      </c>
      <c r="J2736" t="s">
        <v>6055</v>
      </c>
      <c r="K2736" t="s">
        <v>6061</v>
      </c>
      <c r="L2736" t="s">
        <v>8068</v>
      </c>
      <c r="M2736">
        <v>164.07</v>
      </c>
      <c r="N2736">
        <v>1</v>
      </c>
      <c r="O2736">
        <v>0.02</v>
      </c>
      <c r="P2736">
        <v>18.27</v>
      </c>
      <c r="Q2736" t="s">
        <v>9893</v>
      </c>
      <c r="R2736">
        <v>2</v>
      </c>
      <c r="S2736" s="5">
        <f t="shared" si="84"/>
        <v>0.1113549094898519</v>
      </c>
      <c r="T2736">
        <v>164.07</v>
      </c>
      <c r="U2736">
        <v>8</v>
      </c>
      <c r="V2736">
        <v>2022</v>
      </c>
      <c r="W2736">
        <v>3</v>
      </c>
      <c r="X2736" t="s">
        <v>9899</v>
      </c>
      <c r="Y2736" t="s">
        <v>9901</v>
      </c>
      <c r="Z2736" t="s">
        <v>9899</v>
      </c>
      <c r="AD2736">
        <f t="shared" si="85"/>
        <v>2</v>
      </c>
    </row>
    <row r="2737" spans="1:30" x14ac:dyDescent="0.25">
      <c r="A2737" t="s">
        <v>2761</v>
      </c>
      <c r="B2737" s="2">
        <v>45204</v>
      </c>
      <c r="C2737" s="2">
        <v>45208</v>
      </c>
      <c r="D2737" t="s">
        <v>5237</v>
      </c>
      <c r="E2737" t="s">
        <v>5737</v>
      </c>
      <c r="F2737" t="s">
        <v>6028</v>
      </c>
      <c r="G2737" t="s">
        <v>6030</v>
      </c>
      <c r="H2737" t="s">
        <v>6035</v>
      </c>
      <c r="I2737" t="s">
        <v>6047</v>
      </c>
      <c r="J2737" t="s">
        <v>6054</v>
      </c>
      <c r="K2737" t="s">
        <v>6059</v>
      </c>
      <c r="L2737" t="s">
        <v>8417</v>
      </c>
      <c r="M2737">
        <v>547.15</v>
      </c>
      <c r="N2737">
        <v>1</v>
      </c>
      <c r="O2737">
        <v>0.13</v>
      </c>
      <c r="P2737">
        <v>89.02</v>
      </c>
      <c r="Q2737" t="s">
        <v>9896</v>
      </c>
      <c r="R2737">
        <v>4</v>
      </c>
      <c r="S2737" s="5">
        <f t="shared" si="84"/>
        <v>0.16269761491364343</v>
      </c>
      <c r="T2737">
        <v>547.15</v>
      </c>
      <c r="U2737">
        <v>10</v>
      </c>
      <c r="V2737">
        <v>2023</v>
      </c>
      <c r="W2737">
        <v>4</v>
      </c>
      <c r="X2737" t="s">
        <v>9899</v>
      </c>
      <c r="Y2737" t="s">
        <v>9901</v>
      </c>
      <c r="Z2737" t="s">
        <v>9899</v>
      </c>
      <c r="AD2737">
        <f t="shared" si="85"/>
        <v>4</v>
      </c>
    </row>
    <row r="2738" spans="1:30" x14ac:dyDescent="0.25">
      <c r="A2738" t="s">
        <v>2762</v>
      </c>
      <c r="B2738" s="2">
        <v>44969</v>
      </c>
      <c r="C2738" s="2">
        <v>44976</v>
      </c>
      <c r="D2738" t="s">
        <v>5426</v>
      </c>
      <c r="E2738" t="s">
        <v>5926</v>
      </c>
      <c r="F2738" t="s">
        <v>6026</v>
      </c>
      <c r="G2738" t="s">
        <v>6031</v>
      </c>
      <c r="H2738" t="s">
        <v>6034</v>
      </c>
      <c r="I2738" t="s">
        <v>6048</v>
      </c>
      <c r="J2738" t="s">
        <v>6054</v>
      </c>
      <c r="K2738" t="s">
        <v>6060</v>
      </c>
      <c r="L2738" t="s">
        <v>8418</v>
      </c>
      <c r="M2738">
        <v>1560.2</v>
      </c>
      <c r="N2738">
        <v>6</v>
      </c>
      <c r="O2738">
        <v>0.18</v>
      </c>
      <c r="P2738">
        <v>-69.819999999999993</v>
      </c>
      <c r="Q2738" t="s">
        <v>9896</v>
      </c>
      <c r="R2738">
        <v>7</v>
      </c>
      <c r="S2738" s="5">
        <f t="shared" si="84"/>
        <v>-4.4750672990642219E-2</v>
      </c>
      <c r="T2738">
        <v>260.03333333333342</v>
      </c>
      <c r="U2738">
        <v>2</v>
      </c>
      <c r="V2738">
        <v>2023</v>
      </c>
      <c r="W2738">
        <v>1</v>
      </c>
      <c r="X2738" t="s">
        <v>9898</v>
      </c>
      <c r="Y2738" t="s">
        <v>9900</v>
      </c>
      <c r="Z2738" t="s">
        <v>9898</v>
      </c>
      <c r="AD2738">
        <f t="shared" si="85"/>
        <v>7</v>
      </c>
    </row>
    <row r="2739" spans="1:30" x14ac:dyDescent="0.25">
      <c r="A2739" t="s">
        <v>2763</v>
      </c>
      <c r="B2739" s="2">
        <v>44971</v>
      </c>
      <c r="C2739" s="2">
        <v>44973</v>
      </c>
      <c r="D2739" t="s">
        <v>5302</v>
      </c>
      <c r="E2739" t="s">
        <v>5802</v>
      </c>
      <c r="F2739" t="s">
        <v>6026</v>
      </c>
      <c r="G2739" t="s">
        <v>6030</v>
      </c>
      <c r="H2739" t="s">
        <v>6035</v>
      </c>
      <c r="I2739" t="s">
        <v>6047</v>
      </c>
      <c r="J2739" t="s">
        <v>6054</v>
      </c>
      <c r="K2739" t="s">
        <v>6062</v>
      </c>
      <c r="L2739" t="s">
        <v>8419</v>
      </c>
      <c r="M2739">
        <v>966.64</v>
      </c>
      <c r="N2739">
        <v>5</v>
      </c>
      <c r="O2739">
        <v>0.17</v>
      </c>
      <c r="P2739">
        <v>-24.45</v>
      </c>
      <c r="Q2739" t="s">
        <v>9897</v>
      </c>
      <c r="R2739">
        <v>2</v>
      </c>
      <c r="S2739" s="5">
        <f t="shared" si="84"/>
        <v>-2.5293801208309194E-2</v>
      </c>
      <c r="T2739">
        <v>193.328</v>
      </c>
      <c r="U2739">
        <v>2</v>
      </c>
      <c r="V2739">
        <v>2023</v>
      </c>
      <c r="W2739">
        <v>1</v>
      </c>
      <c r="X2739" t="s">
        <v>9898</v>
      </c>
      <c r="Y2739" t="s">
        <v>9900</v>
      </c>
      <c r="Z2739" t="s">
        <v>9899</v>
      </c>
      <c r="AD2739">
        <f t="shared" si="85"/>
        <v>2</v>
      </c>
    </row>
    <row r="2740" spans="1:30" x14ac:dyDescent="0.25">
      <c r="A2740" t="s">
        <v>2764</v>
      </c>
      <c r="B2740" s="2">
        <v>45335</v>
      </c>
      <c r="C2740" s="2">
        <v>45339</v>
      </c>
      <c r="D2740" t="s">
        <v>5388</v>
      </c>
      <c r="E2740" t="s">
        <v>5888</v>
      </c>
      <c r="F2740" t="s">
        <v>6026</v>
      </c>
      <c r="G2740" t="s">
        <v>6030</v>
      </c>
      <c r="H2740" t="s">
        <v>6033</v>
      </c>
      <c r="I2740" t="s">
        <v>6047</v>
      </c>
      <c r="J2740" t="s">
        <v>6054</v>
      </c>
      <c r="K2740" t="s">
        <v>6062</v>
      </c>
      <c r="L2740" t="s">
        <v>8420</v>
      </c>
      <c r="M2740">
        <v>641.4</v>
      </c>
      <c r="N2740">
        <v>1</v>
      </c>
      <c r="O2740">
        <v>0.11</v>
      </c>
      <c r="P2740">
        <v>10.74</v>
      </c>
      <c r="Q2740" t="s">
        <v>9896</v>
      </c>
      <c r="R2740">
        <v>4</v>
      </c>
      <c r="S2740" s="5">
        <f t="shared" si="84"/>
        <v>1.674462114125351E-2</v>
      </c>
      <c r="T2740">
        <v>641.4</v>
      </c>
      <c r="U2740">
        <v>2</v>
      </c>
      <c r="V2740">
        <v>2024</v>
      </c>
      <c r="W2740">
        <v>1</v>
      </c>
      <c r="X2740" t="s">
        <v>9899</v>
      </c>
      <c r="Y2740" t="s">
        <v>9901</v>
      </c>
      <c r="Z2740" t="s">
        <v>9899</v>
      </c>
      <c r="AD2740">
        <f t="shared" si="85"/>
        <v>4</v>
      </c>
    </row>
    <row r="2741" spans="1:30" x14ac:dyDescent="0.25">
      <c r="A2741" t="s">
        <v>2765</v>
      </c>
      <c r="B2741" s="2">
        <v>44632</v>
      </c>
      <c r="C2741" s="2">
        <v>44638</v>
      </c>
      <c r="D2741" t="s">
        <v>5326</v>
      </c>
      <c r="E2741" t="s">
        <v>5826</v>
      </c>
      <c r="F2741" t="s">
        <v>6026</v>
      </c>
      <c r="G2741" t="s">
        <v>6030</v>
      </c>
      <c r="H2741" t="s">
        <v>6039</v>
      </c>
      <c r="I2741" t="s">
        <v>6051</v>
      </c>
      <c r="J2741" t="s">
        <v>6053</v>
      </c>
      <c r="K2741" t="s">
        <v>6057</v>
      </c>
      <c r="L2741" t="s">
        <v>8421</v>
      </c>
      <c r="M2741">
        <v>1257.4000000000001</v>
      </c>
      <c r="N2741">
        <v>5</v>
      </c>
      <c r="O2741">
        <v>0.34</v>
      </c>
      <c r="P2741">
        <v>-199.5</v>
      </c>
      <c r="Q2741" t="s">
        <v>9894</v>
      </c>
      <c r="R2741">
        <v>6</v>
      </c>
      <c r="S2741" s="5">
        <f t="shared" si="84"/>
        <v>-0.15866072848735485</v>
      </c>
      <c r="T2741">
        <v>251.48</v>
      </c>
      <c r="U2741">
        <v>3</v>
      </c>
      <c r="V2741">
        <v>2022</v>
      </c>
      <c r="W2741">
        <v>1</v>
      </c>
      <c r="X2741" t="s">
        <v>9898</v>
      </c>
      <c r="Y2741" t="s">
        <v>9902</v>
      </c>
      <c r="Z2741" t="s">
        <v>9898</v>
      </c>
      <c r="AD2741">
        <f t="shared" si="85"/>
        <v>6</v>
      </c>
    </row>
    <row r="2742" spans="1:30" x14ac:dyDescent="0.25">
      <c r="A2742" t="s">
        <v>2766</v>
      </c>
      <c r="B2742" s="2">
        <v>44830</v>
      </c>
      <c r="C2742" s="2">
        <v>44837</v>
      </c>
      <c r="D2742" t="s">
        <v>5299</v>
      </c>
      <c r="E2742" t="s">
        <v>5799</v>
      </c>
      <c r="F2742" t="s">
        <v>6027</v>
      </c>
      <c r="G2742" t="s">
        <v>6029</v>
      </c>
      <c r="H2742" t="s">
        <v>6044</v>
      </c>
      <c r="I2742" t="s">
        <v>6050</v>
      </c>
      <c r="J2742" t="s">
        <v>6055</v>
      </c>
      <c r="K2742" t="s">
        <v>6063</v>
      </c>
      <c r="L2742" t="s">
        <v>8422</v>
      </c>
      <c r="M2742">
        <v>1079.6099999999999</v>
      </c>
      <c r="N2742">
        <v>1</v>
      </c>
      <c r="O2742">
        <v>0.23</v>
      </c>
      <c r="P2742">
        <v>15.71</v>
      </c>
      <c r="Q2742" t="s">
        <v>9897</v>
      </c>
      <c r="R2742">
        <v>7</v>
      </c>
      <c r="S2742" s="5">
        <f t="shared" si="84"/>
        <v>1.4551551023054624E-2</v>
      </c>
      <c r="T2742">
        <v>1079.6099999999999</v>
      </c>
      <c r="U2742">
        <v>9</v>
      </c>
      <c r="V2742">
        <v>2022</v>
      </c>
      <c r="W2742">
        <v>3</v>
      </c>
      <c r="X2742" t="s">
        <v>9899</v>
      </c>
      <c r="Y2742" t="s">
        <v>9900</v>
      </c>
      <c r="Z2742" t="s">
        <v>9898</v>
      </c>
      <c r="AD2742">
        <f t="shared" si="85"/>
        <v>7</v>
      </c>
    </row>
    <row r="2743" spans="1:30" x14ac:dyDescent="0.25">
      <c r="A2743" t="s">
        <v>2767</v>
      </c>
      <c r="B2743" s="2">
        <v>45217</v>
      </c>
      <c r="C2743" s="2">
        <v>45223</v>
      </c>
      <c r="D2743" t="s">
        <v>5120</v>
      </c>
      <c r="E2743" t="s">
        <v>5620</v>
      </c>
      <c r="F2743" t="s">
        <v>6027</v>
      </c>
      <c r="G2743" t="s">
        <v>6031</v>
      </c>
      <c r="H2743" t="s">
        <v>6040</v>
      </c>
      <c r="I2743" t="s">
        <v>6050</v>
      </c>
      <c r="J2743" t="s">
        <v>6055</v>
      </c>
      <c r="K2743" t="s">
        <v>6063</v>
      </c>
      <c r="L2743" t="s">
        <v>8423</v>
      </c>
      <c r="M2743">
        <v>790.58</v>
      </c>
      <c r="N2743">
        <v>3</v>
      </c>
      <c r="O2743">
        <v>0.15</v>
      </c>
      <c r="P2743">
        <v>115.6</v>
      </c>
      <c r="Q2743" t="s">
        <v>9893</v>
      </c>
      <c r="R2743">
        <v>6</v>
      </c>
      <c r="S2743" s="5">
        <f t="shared" si="84"/>
        <v>0.14622176123858432</v>
      </c>
      <c r="T2743">
        <v>263.5266666666667</v>
      </c>
      <c r="U2743">
        <v>10</v>
      </c>
      <c r="V2743">
        <v>2023</v>
      </c>
      <c r="W2743">
        <v>4</v>
      </c>
      <c r="X2743" t="s">
        <v>9899</v>
      </c>
      <c r="Y2743" t="s">
        <v>9901</v>
      </c>
      <c r="Z2743" t="s">
        <v>9899</v>
      </c>
      <c r="AD2743">
        <f t="shared" si="85"/>
        <v>6</v>
      </c>
    </row>
    <row r="2744" spans="1:30" x14ac:dyDescent="0.25">
      <c r="A2744" t="s">
        <v>2768</v>
      </c>
      <c r="B2744" s="2">
        <v>44821</v>
      </c>
      <c r="C2744" s="2">
        <v>44823</v>
      </c>
      <c r="D2744" t="s">
        <v>5218</v>
      </c>
      <c r="E2744" t="s">
        <v>5718</v>
      </c>
      <c r="F2744" t="s">
        <v>6026</v>
      </c>
      <c r="G2744" t="s">
        <v>6029</v>
      </c>
      <c r="H2744" t="s">
        <v>6044</v>
      </c>
      <c r="I2744" t="s">
        <v>6049</v>
      </c>
      <c r="J2744" t="s">
        <v>6054</v>
      </c>
      <c r="K2744" t="s">
        <v>6060</v>
      </c>
      <c r="L2744" t="s">
        <v>8424</v>
      </c>
      <c r="M2744">
        <v>521.02</v>
      </c>
      <c r="N2744">
        <v>2</v>
      </c>
      <c r="O2744">
        <v>0.18</v>
      </c>
      <c r="P2744">
        <v>10.69</v>
      </c>
      <c r="Q2744" t="s">
        <v>9896</v>
      </c>
      <c r="R2744">
        <v>2</v>
      </c>
      <c r="S2744" s="5">
        <f t="shared" si="84"/>
        <v>2.0517446547157498E-2</v>
      </c>
      <c r="T2744">
        <v>260.51</v>
      </c>
      <c r="U2744">
        <v>9</v>
      </c>
      <c r="V2744">
        <v>2022</v>
      </c>
      <c r="W2744">
        <v>3</v>
      </c>
      <c r="X2744" t="s">
        <v>9899</v>
      </c>
      <c r="Y2744" t="s">
        <v>9900</v>
      </c>
      <c r="Z2744" t="s">
        <v>9899</v>
      </c>
      <c r="AD2744">
        <f t="shared" si="85"/>
        <v>2</v>
      </c>
    </row>
    <row r="2745" spans="1:30" x14ac:dyDescent="0.25">
      <c r="A2745" t="s">
        <v>2769</v>
      </c>
      <c r="B2745" s="2">
        <v>45362</v>
      </c>
      <c r="C2745" s="2">
        <v>45367</v>
      </c>
      <c r="D2745" t="s">
        <v>5273</v>
      </c>
      <c r="E2745" t="s">
        <v>5773</v>
      </c>
      <c r="F2745" t="s">
        <v>6028</v>
      </c>
      <c r="G2745" t="s">
        <v>6030</v>
      </c>
      <c r="H2745" t="s">
        <v>6033</v>
      </c>
      <c r="I2745" t="s">
        <v>6047</v>
      </c>
      <c r="J2745" t="s">
        <v>6053</v>
      </c>
      <c r="K2745" t="s">
        <v>6056</v>
      </c>
      <c r="L2745" t="s">
        <v>8425</v>
      </c>
      <c r="M2745">
        <v>1441.56</v>
      </c>
      <c r="N2745">
        <v>2</v>
      </c>
      <c r="O2745">
        <v>0.35</v>
      </c>
      <c r="P2745">
        <v>-184.46</v>
      </c>
      <c r="Q2745" t="s">
        <v>9893</v>
      </c>
      <c r="R2745">
        <v>5</v>
      </c>
      <c r="S2745" s="5">
        <f t="shared" si="84"/>
        <v>-0.1279586004051167</v>
      </c>
      <c r="T2745">
        <v>720.78</v>
      </c>
      <c r="U2745">
        <v>3</v>
      </c>
      <c r="V2745">
        <v>2024</v>
      </c>
      <c r="W2745">
        <v>1</v>
      </c>
      <c r="X2745" t="s">
        <v>9898</v>
      </c>
      <c r="Y2745" t="s">
        <v>9902</v>
      </c>
      <c r="Z2745" t="s">
        <v>9898</v>
      </c>
      <c r="AD2745">
        <f t="shared" si="85"/>
        <v>5</v>
      </c>
    </row>
    <row r="2746" spans="1:30" x14ac:dyDescent="0.25">
      <c r="A2746" t="s">
        <v>2770</v>
      </c>
      <c r="B2746" s="2">
        <v>45192</v>
      </c>
      <c r="C2746" s="2">
        <v>45196</v>
      </c>
      <c r="D2746" t="s">
        <v>5079</v>
      </c>
      <c r="E2746" t="s">
        <v>5579</v>
      </c>
      <c r="F2746" t="s">
        <v>6028</v>
      </c>
      <c r="G2746" t="s">
        <v>6031</v>
      </c>
      <c r="H2746" t="s">
        <v>6040</v>
      </c>
      <c r="I2746" t="s">
        <v>6050</v>
      </c>
      <c r="J2746" t="s">
        <v>6053</v>
      </c>
      <c r="K2746" t="s">
        <v>6058</v>
      </c>
      <c r="L2746" t="s">
        <v>6199</v>
      </c>
      <c r="M2746">
        <v>1346.66</v>
      </c>
      <c r="N2746">
        <v>1</v>
      </c>
      <c r="O2746">
        <v>0.25</v>
      </c>
      <c r="P2746">
        <v>-162.43</v>
      </c>
      <c r="Q2746" t="s">
        <v>9894</v>
      </c>
      <c r="R2746">
        <v>4</v>
      </c>
      <c r="S2746" s="5">
        <f t="shared" si="84"/>
        <v>-0.12061693374719677</v>
      </c>
      <c r="T2746">
        <v>1346.66</v>
      </c>
      <c r="U2746">
        <v>9</v>
      </c>
      <c r="V2746">
        <v>2023</v>
      </c>
      <c r="W2746">
        <v>3</v>
      </c>
      <c r="X2746" t="s">
        <v>9898</v>
      </c>
      <c r="Y2746" t="s">
        <v>9900</v>
      </c>
      <c r="Z2746" t="s">
        <v>9898</v>
      </c>
      <c r="AD2746">
        <f t="shared" si="85"/>
        <v>4</v>
      </c>
    </row>
    <row r="2747" spans="1:30" x14ac:dyDescent="0.25">
      <c r="A2747" t="s">
        <v>2771</v>
      </c>
      <c r="B2747" s="2">
        <v>45102</v>
      </c>
      <c r="C2747" s="2">
        <v>45103</v>
      </c>
      <c r="D2747" t="s">
        <v>5427</v>
      </c>
      <c r="E2747" t="s">
        <v>5927</v>
      </c>
      <c r="F2747" t="s">
        <v>6027</v>
      </c>
      <c r="G2747" t="s">
        <v>6030</v>
      </c>
      <c r="H2747" t="s">
        <v>6035</v>
      </c>
      <c r="I2747" t="s">
        <v>6051</v>
      </c>
      <c r="J2747" t="s">
        <v>6054</v>
      </c>
      <c r="K2747" t="s">
        <v>6059</v>
      </c>
      <c r="L2747" t="s">
        <v>8426</v>
      </c>
      <c r="M2747">
        <v>1409.74</v>
      </c>
      <c r="N2747">
        <v>2</v>
      </c>
      <c r="O2747">
        <v>0.1</v>
      </c>
      <c r="P2747">
        <v>171.86</v>
      </c>
      <c r="Q2747" t="s">
        <v>9896</v>
      </c>
      <c r="R2747">
        <v>1</v>
      </c>
      <c r="S2747" s="5">
        <f t="shared" si="84"/>
        <v>0.1219090044972832</v>
      </c>
      <c r="T2747">
        <v>704.87</v>
      </c>
      <c r="U2747">
        <v>6</v>
      </c>
      <c r="V2747">
        <v>2023</v>
      </c>
      <c r="W2747">
        <v>2</v>
      </c>
      <c r="X2747" t="s">
        <v>9899</v>
      </c>
      <c r="Y2747" t="s">
        <v>9901</v>
      </c>
      <c r="Z2747" t="s">
        <v>9898</v>
      </c>
      <c r="AD2747">
        <f t="shared" si="85"/>
        <v>1</v>
      </c>
    </row>
    <row r="2748" spans="1:30" x14ac:dyDescent="0.25">
      <c r="A2748" t="s">
        <v>2772</v>
      </c>
      <c r="B2748" s="2">
        <v>45133</v>
      </c>
      <c r="C2748" s="2">
        <v>45136</v>
      </c>
      <c r="D2748" t="s">
        <v>5516</v>
      </c>
      <c r="E2748" t="s">
        <v>6016</v>
      </c>
      <c r="F2748" t="s">
        <v>6028</v>
      </c>
      <c r="G2748" t="s">
        <v>6031</v>
      </c>
      <c r="H2748" t="s">
        <v>6042</v>
      </c>
      <c r="I2748" t="s">
        <v>6052</v>
      </c>
      <c r="J2748" t="s">
        <v>6053</v>
      </c>
      <c r="K2748" t="s">
        <v>6058</v>
      </c>
      <c r="L2748" t="s">
        <v>6956</v>
      </c>
      <c r="M2748">
        <v>1721.33</v>
      </c>
      <c r="N2748">
        <v>4</v>
      </c>
      <c r="O2748">
        <v>0.02</v>
      </c>
      <c r="P2748">
        <v>298.37</v>
      </c>
      <c r="Q2748" t="s">
        <v>9893</v>
      </c>
      <c r="R2748">
        <v>3</v>
      </c>
      <c r="S2748" s="5">
        <f t="shared" si="84"/>
        <v>0.17333689646959038</v>
      </c>
      <c r="T2748">
        <v>430.33249999999998</v>
      </c>
      <c r="U2748">
        <v>7</v>
      </c>
      <c r="V2748">
        <v>2023</v>
      </c>
      <c r="W2748">
        <v>3</v>
      </c>
      <c r="X2748" t="s">
        <v>9899</v>
      </c>
      <c r="Y2748" t="s">
        <v>9901</v>
      </c>
      <c r="Z2748" t="s">
        <v>9898</v>
      </c>
      <c r="AD2748">
        <f t="shared" si="85"/>
        <v>3</v>
      </c>
    </row>
    <row r="2749" spans="1:30" x14ac:dyDescent="0.25">
      <c r="A2749" t="s">
        <v>2773</v>
      </c>
      <c r="B2749" s="2">
        <v>45156</v>
      </c>
      <c r="C2749" s="2">
        <v>45163</v>
      </c>
      <c r="D2749" t="s">
        <v>5328</v>
      </c>
      <c r="E2749" t="s">
        <v>5828</v>
      </c>
      <c r="F2749" t="s">
        <v>6026</v>
      </c>
      <c r="G2749" t="s">
        <v>6030</v>
      </c>
      <c r="H2749" t="s">
        <v>6039</v>
      </c>
      <c r="I2749" t="s">
        <v>6047</v>
      </c>
      <c r="J2749" t="s">
        <v>6053</v>
      </c>
      <c r="K2749" t="s">
        <v>6057</v>
      </c>
      <c r="L2749" t="s">
        <v>8427</v>
      </c>
      <c r="M2749">
        <v>1521.4</v>
      </c>
      <c r="N2749">
        <v>6</v>
      </c>
      <c r="O2749">
        <v>0.01</v>
      </c>
      <c r="P2749">
        <v>272.88</v>
      </c>
      <c r="Q2749" t="s">
        <v>9897</v>
      </c>
      <c r="R2749">
        <v>7</v>
      </c>
      <c r="S2749" s="5">
        <f t="shared" si="84"/>
        <v>0.17936111476271854</v>
      </c>
      <c r="T2749">
        <v>253.56666666666669</v>
      </c>
      <c r="U2749">
        <v>8</v>
      </c>
      <c r="V2749">
        <v>2023</v>
      </c>
      <c r="W2749">
        <v>3</v>
      </c>
      <c r="X2749" t="s">
        <v>9899</v>
      </c>
      <c r="Y2749" t="s">
        <v>9901</v>
      </c>
      <c r="Z2749" t="s">
        <v>9898</v>
      </c>
      <c r="AD2749">
        <f t="shared" si="85"/>
        <v>7</v>
      </c>
    </row>
    <row r="2750" spans="1:30" x14ac:dyDescent="0.25">
      <c r="A2750" t="s">
        <v>2774</v>
      </c>
      <c r="B2750" s="2">
        <v>45178</v>
      </c>
      <c r="C2750" s="2">
        <v>45180</v>
      </c>
      <c r="D2750" t="s">
        <v>5444</v>
      </c>
      <c r="E2750" t="s">
        <v>5944</v>
      </c>
      <c r="F2750" t="s">
        <v>6027</v>
      </c>
      <c r="G2750" t="s">
        <v>6030</v>
      </c>
      <c r="H2750" t="s">
        <v>6033</v>
      </c>
      <c r="I2750" t="s">
        <v>6047</v>
      </c>
      <c r="J2750" t="s">
        <v>6053</v>
      </c>
      <c r="K2750" t="s">
        <v>6056</v>
      </c>
      <c r="L2750" t="s">
        <v>7401</v>
      </c>
      <c r="M2750">
        <v>911.18</v>
      </c>
      <c r="N2750">
        <v>3</v>
      </c>
      <c r="O2750">
        <v>0.03</v>
      </c>
      <c r="P2750">
        <v>241.97</v>
      </c>
      <c r="Q2750" t="s">
        <v>9893</v>
      </c>
      <c r="R2750">
        <v>2</v>
      </c>
      <c r="S2750" s="5">
        <f t="shared" si="84"/>
        <v>0.26555675058715073</v>
      </c>
      <c r="T2750">
        <v>303.72666666666657</v>
      </c>
      <c r="U2750">
        <v>9</v>
      </c>
      <c r="V2750">
        <v>2023</v>
      </c>
      <c r="W2750">
        <v>3</v>
      </c>
      <c r="X2750" t="s">
        <v>9899</v>
      </c>
      <c r="Y2750" t="s">
        <v>9901</v>
      </c>
      <c r="Z2750" t="s">
        <v>9899</v>
      </c>
      <c r="AD2750">
        <f t="shared" si="85"/>
        <v>2</v>
      </c>
    </row>
    <row r="2751" spans="1:30" x14ac:dyDescent="0.25">
      <c r="A2751" t="s">
        <v>2775</v>
      </c>
      <c r="B2751" s="2">
        <v>44735</v>
      </c>
      <c r="C2751" s="2">
        <v>44736</v>
      </c>
      <c r="D2751" t="s">
        <v>5127</v>
      </c>
      <c r="E2751" t="s">
        <v>5627</v>
      </c>
      <c r="F2751" t="s">
        <v>6027</v>
      </c>
      <c r="G2751" t="s">
        <v>6030</v>
      </c>
      <c r="H2751" t="s">
        <v>6033</v>
      </c>
      <c r="I2751" t="s">
        <v>6051</v>
      </c>
      <c r="J2751" t="s">
        <v>6055</v>
      </c>
      <c r="K2751" t="s">
        <v>6063</v>
      </c>
      <c r="L2751" t="s">
        <v>8428</v>
      </c>
      <c r="M2751">
        <v>893.3</v>
      </c>
      <c r="N2751">
        <v>4</v>
      </c>
      <c r="O2751">
        <v>0.18</v>
      </c>
      <c r="P2751">
        <v>-39.869999999999997</v>
      </c>
      <c r="Q2751" t="s">
        <v>9895</v>
      </c>
      <c r="R2751">
        <v>1</v>
      </c>
      <c r="S2751" s="5">
        <f t="shared" si="84"/>
        <v>-4.4632262397850668E-2</v>
      </c>
      <c r="T2751">
        <v>223.32499999999999</v>
      </c>
      <c r="U2751">
        <v>6</v>
      </c>
      <c r="V2751">
        <v>2022</v>
      </c>
      <c r="W2751">
        <v>2</v>
      </c>
      <c r="X2751" t="s">
        <v>9898</v>
      </c>
      <c r="Y2751" t="s">
        <v>9900</v>
      </c>
      <c r="Z2751" t="s">
        <v>9899</v>
      </c>
      <c r="AD2751">
        <f t="shared" si="85"/>
        <v>1</v>
      </c>
    </row>
    <row r="2752" spans="1:30" x14ac:dyDescent="0.25">
      <c r="A2752" t="s">
        <v>2776</v>
      </c>
      <c r="B2752" s="2">
        <v>44782</v>
      </c>
      <c r="C2752" s="2">
        <v>44788</v>
      </c>
      <c r="D2752" t="s">
        <v>5361</v>
      </c>
      <c r="E2752" t="s">
        <v>5861</v>
      </c>
      <c r="F2752" t="s">
        <v>6028</v>
      </c>
      <c r="G2752" t="s">
        <v>6030</v>
      </c>
      <c r="H2752" t="s">
        <v>6035</v>
      </c>
      <c r="I2752" t="s">
        <v>6047</v>
      </c>
      <c r="J2752" t="s">
        <v>6054</v>
      </c>
      <c r="K2752" t="s">
        <v>6059</v>
      </c>
      <c r="L2752" t="s">
        <v>8429</v>
      </c>
      <c r="M2752">
        <v>1568.27</v>
      </c>
      <c r="N2752">
        <v>2</v>
      </c>
      <c r="O2752">
        <v>0.08</v>
      </c>
      <c r="P2752">
        <v>53.81</v>
      </c>
      <c r="Q2752" t="s">
        <v>9897</v>
      </c>
      <c r="R2752">
        <v>6</v>
      </c>
      <c r="S2752" s="5">
        <f t="shared" si="84"/>
        <v>3.4311693777219487E-2</v>
      </c>
      <c r="T2752">
        <v>784.13499999999999</v>
      </c>
      <c r="U2752">
        <v>8</v>
      </c>
      <c r="V2752">
        <v>2022</v>
      </c>
      <c r="W2752">
        <v>3</v>
      </c>
      <c r="X2752" t="s">
        <v>9899</v>
      </c>
      <c r="Y2752" t="s">
        <v>9901</v>
      </c>
      <c r="Z2752" t="s">
        <v>9898</v>
      </c>
      <c r="AD2752">
        <f t="shared" si="85"/>
        <v>6</v>
      </c>
    </row>
    <row r="2753" spans="1:30" x14ac:dyDescent="0.25">
      <c r="A2753" t="s">
        <v>2777</v>
      </c>
      <c r="B2753" s="2">
        <v>44748</v>
      </c>
      <c r="C2753" s="2">
        <v>44752</v>
      </c>
      <c r="D2753" t="s">
        <v>5401</v>
      </c>
      <c r="E2753" t="s">
        <v>5901</v>
      </c>
      <c r="F2753" t="s">
        <v>6028</v>
      </c>
      <c r="G2753" t="s">
        <v>6031</v>
      </c>
      <c r="H2753" t="s">
        <v>6040</v>
      </c>
      <c r="I2753" t="s">
        <v>6050</v>
      </c>
      <c r="J2753" t="s">
        <v>6055</v>
      </c>
      <c r="K2753" t="s">
        <v>6061</v>
      </c>
      <c r="L2753" t="s">
        <v>8430</v>
      </c>
      <c r="M2753">
        <v>449.56</v>
      </c>
      <c r="N2753">
        <v>4</v>
      </c>
      <c r="O2753">
        <v>0.06</v>
      </c>
      <c r="P2753">
        <v>62.35</v>
      </c>
      <c r="Q2753" t="s">
        <v>9893</v>
      </c>
      <c r="R2753">
        <v>4</v>
      </c>
      <c r="S2753" s="5">
        <f t="shared" si="84"/>
        <v>0.13869116469436782</v>
      </c>
      <c r="T2753">
        <v>112.39</v>
      </c>
      <c r="U2753">
        <v>7</v>
      </c>
      <c r="V2753">
        <v>2022</v>
      </c>
      <c r="W2753">
        <v>3</v>
      </c>
      <c r="X2753" t="s">
        <v>9899</v>
      </c>
      <c r="Y2753" t="s">
        <v>9901</v>
      </c>
      <c r="Z2753" t="s">
        <v>9899</v>
      </c>
      <c r="AD2753">
        <f t="shared" si="85"/>
        <v>4</v>
      </c>
    </row>
    <row r="2754" spans="1:30" x14ac:dyDescent="0.25">
      <c r="A2754" t="s">
        <v>2778</v>
      </c>
      <c r="B2754" s="2">
        <v>45335</v>
      </c>
      <c r="C2754" s="2">
        <v>45342</v>
      </c>
      <c r="D2754" t="s">
        <v>5478</v>
      </c>
      <c r="E2754" t="s">
        <v>5978</v>
      </c>
      <c r="F2754" t="s">
        <v>6026</v>
      </c>
      <c r="G2754" t="s">
        <v>6030</v>
      </c>
      <c r="H2754" t="s">
        <v>6035</v>
      </c>
      <c r="I2754" t="s">
        <v>6051</v>
      </c>
      <c r="J2754" t="s">
        <v>6054</v>
      </c>
      <c r="K2754" t="s">
        <v>6062</v>
      </c>
      <c r="L2754" t="s">
        <v>8431</v>
      </c>
      <c r="M2754">
        <v>1683.56</v>
      </c>
      <c r="N2754">
        <v>8</v>
      </c>
      <c r="O2754">
        <v>0.1</v>
      </c>
      <c r="P2754">
        <v>310.85000000000002</v>
      </c>
      <c r="Q2754" t="s">
        <v>9896</v>
      </c>
      <c r="R2754">
        <v>7</v>
      </c>
      <c r="S2754" s="5">
        <f t="shared" si="84"/>
        <v>0.18463850412221722</v>
      </c>
      <c r="T2754">
        <v>210.44499999999999</v>
      </c>
      <c r="U2754">
        <v>2</v>
      </c>
      <c r="V2754">
        <v>2024</v>
      </c>
      <c r="W2754">
        <v>1</v>
      </c>
      <c r="X2754" t="s">
        <v>9899</v>
      </c>
      <c r="Y2754" t="s">
        <v>9901</v>
      </c>
      <c r="Z2754" t="s">
        <v>9898</v>
      </c>
      <c r="AD2754">
        <f t="shared" si="85"/>
        <v>7</v>
      </c>
    </row>
    <row r="2755" spans="1:30" x14ac:dyDescent="0.25">
      <c r="A2755" t="s">
        <v>2779</v>
      </c>
      <c r="B2755" s="2">
        <v>44799</v>
      </c>
      <c r="C2755" s="2">
        <v>44805</v>
      </c>
      <c r="D2755" t="s">
        <v>5484</v>
      </c>
      <c r="E2755" t="s">
        <v>5984</v>
      </c>
      <c r="F2755" t="s">
        <v>6026</v>
      </c>
      <c r="G2755" t="s">
        <v>6029</v>
      </c>
      <c r="H2755" t="s">
        <v>6032</v>
      </c>
      <c r="I2755" t="s">
        <v>6049</v>
      </c>
      <c r="J2755" t="s">
        <v>6054</v>
      </c>
      <c r="K2755" t="s">
        <v>6062</v>
      </c>
      <c r="L2755" t="s">
        <v>8432</v>
      </c>
      <c r="M2755">
        <v>329.97</v>
      </c>
      <c r="N2755">
        <v>3</v>
      </c>
      <c r="O2755">
        <v>0.34</v>
      </c>
      <c r="P2755">
        <v>-73.650000000000006</v>
      </c>
      <c r="Q2755" t="s">
        <v>9893</v>
      </c>
      <c r="R2755">
        <v>6</v>
      </c>
      <c r="S2755" s="5">
        <f t="shared" ref="S2755:S2818" si="86">P2755/M2755</f>
        <v>-0.22320210928266207</v>
      </c>
      <c r="T2755">
        <v>109.99</v>
      </c>
      <c r="U2755">
        <v>8</v>
      </c>
      <c r="V2755">
        <v>2022</v>
      </c>
      <c r="W2755">
        <v>3</v>
      </c>
      <c r="X2755" t="s">
        <v>9898</v>
      </c>
      <c r="Y2755" t="s">
        <v>9902</v>
      </c>
      <c r="Z2755" t="s">
        <v>9899</v>
      </c>
      <c r="AD2755">
        <f t="shared" ref="AD2755:AD2818" si="87">C2755-B2755</f>
        <v>6</v>
      </c>
    </row>
    <row r="2756" spans="1:30" x14ac:dyDescent="0.25">
      <c r="A2756" t="s">
        <v>2780</v>
      </c>
      <c r="B2756" s="2">
        <v>45420</v>
      </c>
      <c r="C2756" s="2">
        <v>45422</v>
      </c>
      <c r="D2756" t="s">
        <v>5376</v>
      </c>
      <c r="E2756" t="s">
        <v>5876</v>
      </c>
      <c r="F2756" t="s">
        <v>6027</v>
      </c>
      <c r="G2756" t="s">
        <v>6030</v>
      </c>
      <c r="H2756" t="s">
        <v>6035</v>
      </c>
      <c r="I2756" t="s">
        <v>6051</v>
      </c>
      <c r="J2756" t="s">
        <v>6054</v>
      </c>
      <c r="K2756" t="s">
        <v>6059</v>
      </c>
      <c r="L2756" t="s">
        <v>8433</v>
      </c>
      <c r="M2756">
        <v>294.77</v>
      </c>
      <c r="N2756">
        <v>4</v>
      </c>
      <c r="O2756">
        <v>0.06</v>
      </c>
      <c r="P2756">
        <v>64.08</v>
      </c>
      <c r="Q2756" t="s">
        <v>9896</v>
      </c>
      <c r="R2756">
        <v>2</v>
      </c>
      <c r="S2756" s="5">
        <f t="shared" si="86"/>
        <v>0.21738982935848289</v>
      </c>
      <c r="T2756">
        <v>73.692499999999995</v>
      </c>
      <c r="U2756">
        <v>5</v>
      </c>
      <c r="V2756">
        <v>2024</v>
      </c>
      <c r="W2756">
        <v>2</v>
      </c>
      <c r="X2756" t="s">
        <v>9899</v>
      </c>
      <c r="Y2756" t="s">
        <v>9901</v>
      </c>
      <c r="Z2756" t="s">
        <v>9899</v>
      </c>
      <c r="AD2756">
        <f t="shared" si="87"/>
        <v>2</v>
      </c>
    </row>
    <row r="2757" spans="1:30" x14ac:dyDescent="0.25">
      <c r="A2757" t="s">
        <v>2781</v>
      </c>
      <c r="B2757" s="2">
        <v>45265</v>
      </c>
      <c r="C2757" s="2">
        <v>45268</v>
      </c>
      <c r="D2757" t="s">
        <v>5072</v>
      </c>
      <c r="E2757" t="s">
        <v>5572</v>
      </c>
      <c r="F2757" t="s">
        <v>6026</v>
      </c>
      <c r="G2757" t="s">
        <v>6030</v>
      </c>
      <c r="H2757" t="s">
        <v>6039</v>
      </c>
      <c r="I2757" t="s">
        <v>6047</v>
      </c>
      <c r="J2757" t="s">
        <v>6055</v>
      </c>
      <c r="K2757" t="s">
        <v>6061</v>
      </c>
      <c r="L2757" t="s">
        <v>8434</v>
      </c>
      <c r="M2757">
        <v>251.5</v>
      </c>
      <c r="N2757">
        <v>2</v>
      </c>
      <c r="O2757">
        <v>0.34</v>
      </c>
      <c r="P2757">
        <v>-45.58</v>
      </c>
      <c r="Q2757" t="s">
        <v>9897</v>
      </c>
      <c r="R2757">
        <v>3</v>
      </c>
      <c r="S2757" s="5">
        <f t="shared" si="86"/>
        <v>-0.18123260437375746</v>
      </c>
      <c r="T2757">
        <v>125.75</v>
      </c>
      <c r="U2757">
        <v>12</v>
      </c>
      <c r="V2757">
        <v>2023</v>
      </c>
      <c r="W2757">
        <v>4</v>
      </c>
      <c r="X2757" t="s">
        <v>9898</v>
      </c>
      <c r="Y2757" t="s">
        <v>9902</v>
      </c>
      <c r="Z2757" t="s">
        <v>9899</v>
      </c>
      <c r="AD2757">
        <f t="shared" si="87"/>
        <v>3</v>
      </c>
    </row>
    <row r="2758" spans="1:30" x14ac:dyDescent="0.25">
      <c r="A2758" t="s">
        <v>2782</v>
      </c>
      <c r="B2758" s="2">
        <v>44925</v>
      </c>
      <c r="C2758" s="2">
        <v>44929</v>
      </c>
      <c r="D2758" t="s">
        <v>5058</v>
      </c>
      <c r="E2758" t="s">
        <v>5558</v>
      </c>
      <c r="F2758" t="s">
        <v>6026</v>
      </c>
      <c r="G2758" t="s">
        <v>6030</v>
      </c>
      <c r="H2758" t="s">
        <v>6033</v>
      </c>
      <c r="I2758" t="s">
        <v>6047</v>
      </c>
      <c r="J2758" t="s">
        <v>6053</v>
      </c>
      <c r="K2758" t="s">
        <v>6056</v>
      </c>
      <c r="L2758" t="s">
        <v>8425</v>
      </c>
      <c r="M2758">
        <v>345.12</v>
      </c>
      <c r="N2758">
        <v>4</v>
      </c>
      <c r="O2758">
        <v>0.09</v>
      </c>
      <c r="P2758">
        <v>36.71</v>
      </c>
      <c r="Q2758" t="s">
        <v>9893</v>
      </c>
      <c r="R2758">
        <v>4</v>
      </c>
      <c r="S2758" s="5">
        <f t="shared" si="86"/>
        <v>0.10636879925822902</v>
      </c>
      <c r="T2758">
        <v>86.28</v>
      </c>
      <c r="U2758">
        <v>12</v>
      </c>
      <c r="V2758">
        <v>2022</v>
      </c>
      <c r="W2758">
        <v>4</v>
      </c>
      <c r="X2758" t="s">
        <v>9899</v>
      </c>
      <c r="Y2758" t="s">
        <v>9901</v>
      </c>
      <c r="Z2758" t="s">
        <v>9899</v>
      </c>
      <c r="AD2758">
        <f t="shared" si="87"/>
        <v>4</v>
      </c>
    </row>
    <row r="2759" spans="1:30" x14ac:dyDescent="0.25">
      <c r="A2759" t="s">
        <v>2783</v>
      </c>
      <c r="B2759" s="2">
        <v>45452</v>
      </c>
      <c r="C2759" s="2">
        <v>45454</v>
      </c>
      <c r="D2759" t="s">
        <v>5449</v>
      </c>
      <c r="E2759" t="s">
        <v>5949</v>
      </c>
      <c r="F2759" t="s">
        <v>6027</v>
      </c>
      <c r="G2759" t="s">
        <v>6030</v>
      </c>
      <c r="H2759" t="s">
        <v>6035</v>
      </c>
      <c r="I2759" t="s">
        <v>6047</v>
      </c>
      <c r="J2759" t="s">
        <v>6055</v>
      </c>
      <c r="K2759" t="s">
        <v>6061</v>
      </c>
      <c r="L2759" t="s">
        <v>8435</v>
      </c>
      <c r="M2759">
        <v>398.58</v>
      </c>
      <c r="N2759">
        <v>7</v>
      </c>
      <c r="O2759">
        <v>0.34</v>
      </c>
      <c r="P2759">
        <v>-79.849999999999994</v>
      </c>
      <c r="Q2759" t="s">
        <v>9894</v>
      </c>
      <c r="R2759">
        <v>2</v>
      </c>
      <c r="S2759" s="5">
        <f t="shared" si="86"/>
        <v>-0.20033619348687842</v>
      </c>
      <c r="T2759">
        <v>56.94</v>
      </c>
      <c r="U2759">
        <v>6</v>
      </c>
      <c r="V2759">
        <v>2024</v>
      </c>
      <c r="W2759">
        <v>2</v>
      </c>
      <c r="X2759" t="s">
        <v>9898</v>
      </c>
      <c r="Y2759" t="s">
        <v>9902</v>
      </c>
      <c r="Z2759" t="s">
        <v>9899</v>
      </c>
      <c r="AD2759">
        <f t="shared" si="87"/>
        <v>2</v>
      </c>
    </row>
    <row r="2760" spans="1:30" x14ac:dyDescent="0.25">
      <c r="A2760" t="s">
        <v>2784</v>
      </c>
      <c r="B2760" s="2">
        <v>44636</v>
      </c>
      <c r="C2760" s="2">
        <v>44642</v>
      </c>
      <c r="D2760" t="s">
        <v>5434</v>
      </c>
      <c r="E2760" t="s">
        <v>5934</v>
      </c>
      <c r="F2760" t="s">
        <v>6027</v>
      </c>
      <c r="G2760" t="s">
        <v>6031</v>
      </c>
      <c r="H2760" t="s">
        <v>6040</v>
      </c>
      <c r="I2760" t="s">
        <v>6052</v>
      </c>
      <c r="J2760" t="s">
        <v>6055</v>
      </c>
      <c r="K2760" t="s">
        <v>6061</v>
      </c>
      <c r="L2760" t="s">
        <v>8436</v>
      </c>
      <c r="M2760">
        <v>1514.62</v>
      </c>
      <c r="N2760">
        <v>3</v>
      </c>
      <c r="O2760">
        <v>0.09</v>
      </c>
      <c r="P2760">
        <v>148.63999999999999</v>
      </c>
      <c r="Q2760" t="s">
        <v>9895</v>
      </c>
      <c r="R2760">
        <v>6</v>
      </c>
      <c r="S2760" s="5">
        <f t="shared" si="86"/>
        <v>9.8136826398700666E-2</v>
      </c>
      <c r="T2760">
        <v>504.87333333333328</v>
      </c>
      <c r="U2760">
        <v>3</v>
      </c>
      <c r="V2760">
        <v>2022</v>
      </c>
      <c r="W2760">
        <v>1</v>
      </c>
      <c r="X2760" t="s">
        <v>9899</v>
      </c>
      <c r="Y2760" t="s">
        <v>9901</v>
      </c>
      <c r="Z2760" t="s">
        <v>9898</v>
      </c>
      <c r="AD2760">
        <f t="shared" si="87"/>
        <v>6</v>
      </c>
    </row>
    <row r="2761" spans="1:30" x14ac:dyDescent="0.25">
      <c r="A2761" t="s">
        <v>2785</v>
      </c>
      <c r="B2761" s="2">
        <v>45064</v>
      </c>
      <c r="C2761" s="2">
        <v>45068</v>
      </c>
      <c r="D2761" t="s">
        <v>5353</v>
      </c>
      <c r="E2761" t="s">
        <v>5853</v>
      </c>
      <c r="F2761" t="s">
        <v>6026</v>
      </c>
      <c r="G2761" t="s">
        <v>6030</v>
      </c>
      <c r="H2761" t="s">
        <v>6035</v>
      </c>
      <c r="I2761" t="s">
        <v>6051</v>
      </c>
      <c r="J2761" t="s">
        <v>6055</v>
      </c>
      <c r="K2761" t="s">
        <v>6064</v>
      </c>
      <c r="L2761" t="s">
        <v>8437</v>
      </c>
      <c r="M2761">
        <v>739.43</v>
      </c>
      <c r="N2761">
        <v>2</v>
      </c>
      <c r="O2761">
        <v>0.23</v>
      </c>
      <c r="P2761">
        <v>-13.96</v>
      </c>
      <c r="Q2761" t="s">
        <v>9897</v>
      </c>
      <c r="R2761">
        <v>4</v>
      </c>
      <c r="S2761" s="5">
        <f t="shared" si="86"/>
        <v>-1.887940711088271E-2</v>
      </c>
      <c r="T2761">
        <v>369.71499999999997</v>
      </c>
      <c r="U2761">
        <v>5</v>
      </c>
      <c r="V2761">
        <v>2023</v>
      </c>
      <c r="W2761">
        <v>2</v>
      </c>
      <c r="X2761" t="s">
        <v>9898</v>
      </c>
      <c r="Y2761" t="s">
        <v>9900</v>
      </c>
      <c r="Z2761" t="s">
        <v>9899</v>
      </c>
      <c r="AD2761">
        <f t="shared" si="87"/>
        <v>4</v>
      </c>
    </row>
    <row r="2762" spans="1:30" x14ac:dyDescent="0.25">
      <c r="A2762" t="s">
        <v>2786</v>
      </c>
      <c r="B2762" s="2">
        <v>44600</v>
      </c>
      <c r="C2762" s="2">
        <v>44604</v>
      </c>
      <c r="D2762" t="s">
        <v>5326</v>
      </c>
      <c r="E2762" t="s">
        <v>5826</v>
      </c>
      <c r="F2762" t="s">
        <v>6026</v>
      </c>
      <c r="G2762" t="s">
        <v>6029</v>
      </c>
      <c r="H2762" t="s">
        <v>6041</v>
      </c>
      <c r="I2762" t="s">
        <v>6046</v>
      </c>
      <c r="J2762" t="s">
        <v>6055</v>
      </c>
      <c r="K2762" t="s">
        <v>6063</v>
      </c>
      <c r="L2762" t="s">
        <v>7232</v>
      </c>
      <c r="M2762">
        <v>250.42</v>
      </c>
      <c r="N2762">
        <v>5</v>
      </c>
      <c r="O2762">
        <v>0.26</v>
      </c>
      <c r="P2762">
        <v>-28.14</v>
      </c>
      <c r="Q2762" t="s">
        <v>9897</v>
      </c>
      <c r="R2762">
        <v>4</v>
      </c>
      <c r="S2762" s="5">
        <f t="shared" si="86"/>
        <v>-0.11237121635652106</v>
      </c>
      <c r="T2762">
        <v>50.084000000000003</v>
      </c>
      <c r="U2762">
        <v>2</v>
      </c>
      <c r="V2762">
        <v>2022</v>
      </c>
      <c r="W2762">
        <v>1</v>
      </c>
      <c r="X2762" t="s">
        <v>9898</v>
      </c>
      <c r="Y2762" t="s">
        <v>9900</v>
      </c>
      <c r="Z2762" t="s">
        <v>9899</v>
      </c>
      <c r="AD2762">
        <f t="shared" si="87"/>
        <v>4</v>
      </c>
    </row>
    <row r="2763" spans="1:30" x14ac:dyDescent="0.25">
      <c r="A2763" t="s">
        <v>2787</v>
      </c>
      <c r="B2763" s="2">
        <v>45055</v>
      </c>
      <c r="C2763" s="2">
        <v>45058</v>
      </c>
      <c r="D2763" t="s">
        <v>5438</v>
      </c>
      <c r="E2763" t="s">
        <v>5938</v>
      </c>
      <c r="F2763" t="s">
        <v>6027</v>
      </c>
      <c r="G2763" t="s">
        <v>6030</v>
      </c>
      <c r="H2763" t="s">
        <v>6033</v>
      </c>
      <c r="I2763" t="s">
        <v>6051</v>
      </c>
      <c r="J2763" t="s">
        <v>6055</v>
      </c>
      <c r="K2763" t="s">
        <v>6064</v>
      </c>
      <c r="L2763" t="s">
        <v>7458</v>
      </c>
      <c r="M2763">
        <v>1732.83</v>
      </c>
      <c r="N2763">
        <v>4</v>
      </c>
      <c r="O2763">
        <v>0.11</v>
      </c>
      <c r="P2763">
        <v>276.93</v>
      </c>
      <c r="Q2763" t="s">
        <v>9893</v>
      </c>
      <c r="R2763">
        <v>3</v>
      </c>
      <c r="S2763" s="5">
        <f t="shared" si="86"/>
        <v>0.1598137151365108</v>
      </c>
      <c r="T2763">
        <v>433.20749999999998</v>
      </c>
      <c r="U2763">
        <v>5</v>
      </c>
      <c r="V2763">
        <v>2023</v>
      </c>
      <c r="W2763">
        <v>2</v>
      </c>
      <c r="X2763" t="s">
        <v>9899</v>
      </c>
      <c r="Y2763" t="s">
        <v>9901</v>
      </c>
      <c r="Z2763" t="s">
        <v>9898</v>
      </c>
      <c r="AD2763">
        <f t="shared" si="87"/>
        <v>3</v>
      </c>
    </row>
    <row r="2764" spans="1:30" x14ac:dyDescent="0.25">
      <c r="A2764" t="s">
        <v>2788</v>
      </c>
      <c r="B2764" s="2">
        <v>44656</v>
      </c>
      <c r="C2764" s="2">
        <v>44660</v>
      </c>
      <c r="D2764" t="s">
        <v>5331</v>
      </c>
      <c r="E2764" t="s">
        <v>5831</v>
      </c>
      <c r="F2764" t="s">
        <v>6028</v>
      </c>
      <c r="G2764" t="s">
        <v>6030</v>
      </c>
      <c r="H2764" t="s">
        <v>6039</v>
      </c>
      <c r="I2764" t="s">
        <v>6047</v>
      </c>
      <c r="J2764" t="s">
        <v>6055</v>
      </c>
      <c r="K2764" t="s">
        <v>6061</v>
      </c>
      <c r="L2764" t="s">
        <v>8438</v>
      </c>
      <c r="M2764">
        <v>1327.9</v>
      </c>
      <c r="N2764">
        <v>6</v>
      </c>
      <c r="O2764">
        <v>0.25</v>
      </c>
      <c r="P2764">
        <v>-128.86000000000001</v>
      </c>
      <c r="Q2764" t="s">
        <v>9893</v>
      </c>
      <c r="R2764">
        <v>4</v>
      </c>
      <c r="S2764" s="5">
        <f t="shared" si="86"/>
        <v>-9.704043979215303E-2</v>
      </c>
      <c r="T2764">
        <v>221.31666666666669</v>
      </c>
      <c r="U2764">
        <v>4</v>
      </c>
      <c r="V2764">
        <v>2022</v>
      </c>
      <c r="W2764">
        <v>2</v>
      </c>
      <c r="X2764" t="s">
        <v>9898</v>
      </c>
      <c r="Y2764" t="s">
        <v>9900</v>
      </c>
      <c r="Z2764" t="s">
        <v>9898</v>
      </c>
      <c r="AD2764">
        <f t="shared" si="87"/>
        <v>4</v>
      </c>
    </row>
    <row r="2765" spans="1:30" x14ac:dyDescent="0.25">
      <c r="A2765" t="s">
        <v>2789</v>
      </c>
      <c r="B2765" s="2">
        <v>45053</v>
      </c>
      <c r="C2765" s="2">
        <v>45060</v>
      </c>
      <c r="D2765" t="s">
        <v>5394</v>
      </c>
      <c r="E2765" t="s">
        <v>5894</v>
      </c>
      <c r="F2765" t="s">
        <v>6026</v>
      </c>
      <c r="G2765" t="s">
        <v>6030</v>
      </c>
      <c r="H2765" t="s">
        <v>6038</v>
      </c>
      <c r="I2765" t="s">
        <v>6047</v>
      </c>
      <c r="J2765" t="s">
        <v>6055</v>
      </c>
      <c r="K2765" t="s">
        <v>6064</v>
      </c>
      <c r="L2765" t="s">
        <v>8439</v>
      </c>
      <c r="M2765">
        <v>273.63</v>
      </c>
      <c r="N2765">
        <v>1</v>
      </c>
      <c r="O2765">
        <v>0.08</v>
      </c>
      <c r="P2765">
        <v>25.58</v>
      </c>
      <c r="Q2765" t="s">
        <v>9894</v>
      </c>
      <c r="R2765">
        <v>7</v>
      </c>
      <c r="S2765" s="5">
        <f t="shared" si="86"/>
        <v>9.3483901618974519E-2</v>
      </c>
      <c r="T2765">
        <v>273.63</v>
      </c>
      <c r="U2765">
        <v>5</v>
      </c>
      <c r="V2765">
        <v>2023</v>
      </c>
      <c r="W2765">
        <v>2</v>
      </c>
      <c r="X2765" t="s">
        <v>9899</v>
      </c>
      <c r="Y2765" t="s">
        <v>9901</v>
      </c>
      <c r="Z2765" t="s">
        <v>9899</v>
      </c>
      <c r="AD2765">
        <f t="shared" si="87"/>
        <v>7</v>
      </c>
    </row>
    <row r="2766" spans="1:30" x14ac:dyDescent="0.25">
      <c r="A2766" t="s">
        <v>2790</v>
      </c>
      <c r="B2766" s="2">
        <v>45265</v>
      </c>
      <c r="C2766" s="2">
        <v>45270</v>
      </c>
      <c r="D2766" t="s">
        <v>5360</v>
      </c>
      <c r="E2766" t="s">
        <v>5860</v>
      </c>
      <c r="F2766" t="s">
        <v>6028</v>
      </c>
      <c r="G2766" t="s">
        <v>6029</v>
      </c>
      <c r="H2766" t="s">
        <v>6041</v>
      </c>
      <c r="I2766" t="s">
        <v>6050</v>
      </c>
      <c r="J2766" t="s">
        <v>6054</v>
      </c>
      <c r="K2766" t="s">
        <v>6062</v>
      </c>
      <c r="L2766" t="s">
        <v>6864</v>
      </c>
      <c r="M2766">
        <v>1858.9</v>
      </c>
      <c r="N2766">
        <v>8</v>
      </c>
      <c r="O2766">
        <v>0.34</v>
      </c>
      <c r="P2766">
        <v>-271.57</v>
      </c>
      <c r="Q2766" t="s">
        <v>9894</v>
      </c>
      <c r="R2766">
        <v>5</v>
      </c>
      <c r="S2766" s="5">
        <f t="shared" si="86"/>
        <v>-0.14609177470547097</v>
      </c>
      <c r="T2766">
        <v>232.36250000000001</v>
      </c>
      <c r="U2766">
        <v>12</v>
      </c>
      <c r="V2766">
        <v>2023</v>
      </c>
      <c r="W2766">
        <v>4</v>
      </c>
      <c r="X2766" t="s">
        <v>9898</v>
      </c>
      <c r="Y2766" t="s">
        <v>9902</v>
      </c>
      <c r="Z2766" t="s">
        <v>9898</v>
      </c>
      <c r="AD2766">
        <f t="shared" si="87"/>
        <v>5</v>
      </c>
    </row>
    <row r="2767" spans="1:30" x14ac:dyDescent="0.25">
      <c r="A2767" t="s">
        <v>2791</v>
      </c>
      <c r="B2767" s="2">
        <v>44892</v>
      </c>
      <c r="C2767" s="2">
        <v>44899</v>
      </c>
      <c r="D2767" t="s">
        <v>5435</v>
      </c>
      <c r="E2767" t="s">
        <v>5935</v>
      </c>
      <c r="F2767" t="s">
        <v>6027</v>
      </c>
      <c r="G2767" t="s">
        <v>6029</v>
      </c>
      <c r="H2767" t="s">
        <v>6041</v>
      </c>
      <c r="I2767" t="s">
        <v>6049</v>
      </c>
      <c r="J2767" t="s">
        <v>6055</v>
      </c>
      <c r="K2767" t="s">
        <v>6061</v>
      </c>
      <c r="L2767" t="s">
        <v>8440</v>
      </c>
      <c r="M2767">
        <v>1681.3</v>
      </c>
      <c r="N2767">
        <v>8</v>
      </c>
      <c r="O2767">
        <v>0.15</v>
      </c>
      <c r="P2767">
        <v>59.51</v>
      </c>
      <c r="Q2767" t="s">
        <v>9895</v>
      </c>
      <c r="R2767">
        <v>7</v>
      </c>
      <c r="S2767" s="5">
        <f t="shared" si="86"/>
        <v>3.5395229881639206E-2</v>
      </c>
      <c r="T2767">
        <v>210.16249999999999</v>
      </c>
      <c r="U2767">
        <v>11</v>
      </c>
      <c r="V2767">
        <v>2022</v>
      </c>
      <c r="W2767">
        <v>4</v>
      </c>
      <c r="X2767" t="s">
        <v>9899</v>
      </c>
      <c r="Y2767" t="s">
        <v>9901</v>
      </c>
      <c r="Z2767" t="s">
        <v>9898</v>
      </c>
      <c r="AD2767">
        <f t="shared" si="87"/>
        <v>7</v>
      </c>
    </row>
    <row r="2768" spans="1:30" x14ac:dyDescent="0.25">
      <c r="A2768" t="s">
        <v>2792</v>
      </c>
      <c r="B2768" s="2">
        <v>44575</v>
      </c>
      <c r="C2768" s="2">
        <v>44580</v>
      </c>
      <c r="D2768" t="s">
        <v>5220</v>
      </c>
      <c r="E2768" t="s">
        <v>5720</v>
      </c>
      <c r="F2768" t="s">
        <v>6027</v>
      </c>
      <c r="G2768" t="s">
        <v>6029</v>
      </c>
      <c r="H2768" t="s">
        <v>6041</v>
      </c>
      <c r="I2768" t="s">
        <v>6046</v>
      </c>
      <c r="J2768" t="s">
        <v>6053</v>
      </c>
      <c r="K2768" t="s">
        <v>6057</v>
      </c>
      <c r="L2768" t="s">
        <v>8441</v>
      </c>
      <c r="M2768">
        <v>369.75</v>
      </c>
      <c r="N2768">
        <v>1</v>
      </c>
      <c r="O2768">
        <v>0.22</v>
      </c>
      <c r="P2768">
        <v>-30.21</v>
      </c>
      <c r="Q2768" t="s">
        <v>9897</v>
      </c>
      <c r="R2768">
        <v>5</v>
      </c>
      <c r="S2768" s="5">
        <f t="shared" si="86"/>
        <v>-8.1703853955375258E-2</v>
      </c>
      <c r="T2768">
        <v>369.75</v>
      </c>
      <c r="U2768">
        <v>1</v>
      </c>
      <c r="V2768">
        <v>2022</v>
      </c>
      <c r="W2768">
        <v>1</v>
      </c>
      <c r="X2768" t="s">
        <v>9898</v>
      </c>
      <c r="Y2768" t="s">
        <v>9900</v>
      </c>
      <c r="Z2768" t="s">
        <v>9899</v>
      </c>
      <c r="AD2768">
        <f t="shared" si="87"/>
        <v>5</v>
      </c>
    </row>
    <row r="2769" spans="1:30" x14ac:dyDescent="0.25">
      <c r="A2769" t="s">
        <v>2793</v>
      </c>
      <c r="B2769" s="2">
        <v>45395</v>
      </c>
      <c r="C2769" s="2">
        <v>45398</v>
      </c>
      <c r="D2769" t="s">
        <v>5066</v>
      </c>
      <c r="E2769" t="s">
        <v>5566</v>
      </c>
      <c r="F2769" t="s">
        <v>6026</v>
      </c>
      <c r="G2769" t="s">
        <v>6031</v>
      </c>
      <c r="H2769" t="s">
        <v>6034</v>
      </c>
      <c r="I2769" t="s">
        <v>6048</v>
      </c>
      <c r="J2769" t="s">
        <v>6053</v>
      </c>
      <c r="K2769" t="s">
        <v>6056</v>
      </c>
      <c r="L2769" t="s">
        <v>8442</v>
      </c>
      <c r="M2769">
        <v>384.75</v>
      </c>
      <c r="N2769">
        <v>2</v>
      </c>
      <c r="O2769">
        <v>0.12</v>
      </c>
      <c r="P2769">
        <v>24.85</v>
      </c>
      <c r="Q2769" t="s">
        <v>9894</v>
      </c>
      <c r="R2769">
        <v>3</v>
      </c>
      <c r="S2769" s="5">
        <f t="shared" si="86"/>
        <v>6.4587394411955823E-2</v>
      </c>
      <c r="T2769">
        <v>192.375</v>
      </c>
      <c r="U2769">
        <v>4</v>
      </c>
      <c r="V2769">
        <v>2024</v>
      </c>
      <c r="W2769">
        <v>2</v>
      </c>
      <c r="X2769" t="s">
        <v>9899</v>
      </c>
      <c r="Y2769" t="s">
        <v>9901</v>
      </c>
      <c r="Z2769" t="s">
        <v>9899</v>
      </c>
      <c r="AD2769">
        <f t="shared" si="87"/>
        <v>3</v>
      </c>
    </row>
    <row r="2770" spans="1:30" x14ac:dyDescent="0.25">
      <c r="A2770" t="s">
        <v>2794</v>
      </c>
      <c r="B2770" s="2">
        <v>45158</v>
      </c>
      <c r="C2770" s="2">
        <v>45159</v>
      </c>
      <c r="D2770" t="s">
        <v>5076</v>
      </c>
      <c r="E2770" t="s">
        <v>5576</v>
      </c>
      <c r="F2770" t="s">
        <v>6028</v>
      </c>
      <c r="G2770" t="s">
        <v>6029</v>
      </c>
      <c r="H2770" t="s">
        <v>6041</v>
      </c>
      <c r="I2770" t="s">
        <v>6049</v>
      </c>
      <c r="J2770" t="s">
        <v>6054</v>
      </c>
      <c r="K2770" t="s">
        <v>6062</v>
      </c>
      <c r="L2770" t="s">
        <v>8443</v>
      </c>
      <c r="M2770">
        <v>1728.17</v>
      </c>
      <c r="N2770">
        <v>6</v>
      </c>
      <c r="O2770">
        <v>0.22</v>
      </c>
      <c r="P2770">
        <v>-132.12</v>
      </c>
      <c r="Q2770" t="s">
        <v>9893</v>
      </c>
      <c r="R2770">
        <v>1</v>
      </c>
      <c r="S2770" s="5">
        <f t="shared" si="86"/>
        <v>-7.6450812130751028E-2</v>
      </c>
      <c r="T2770">
        <v>288.02833333333342</v>
      </c>
      <c r="U2770">
        <v>8</v>
      </c>
      <c r="V2770">
        <v>2023</v>
      </c>
      <c r="W2770">
        <v>3</v>
      </c>
      <c r="X2770" t="s">
        <v>9898</v>
      </c>
      <c r="Y2770" t="s">
        <v>9900</v>
      </c>
      <c r="Z2770" t="s">
        <v>9898</v>
      </c>
      <c r="AD2770">
        <f t="shared" si="87"/>
        <v>1</v>
      </c>
    </row>
    <row r="2771" spans="1:30" x14ac:dyDescent="0.25">
      <c r="A2771" t="s">
        <v>2795</v>
      </c>
      <c r="B2771" s="2">
        <v>45016</v>
      </c>
      <c r="C2771" s="2">
        <v>45022</v>
      </c>
      <c r="D2771" t="s">
        <v>5208</v>
      </c>
      <c r="E2771" t="s">
        <v>5708</v>
      </c>
      <c r="F2771" t="s">
        <v>6026</v>
      </c>
      <c r="G2771" t="s">
        <v>6031</v>
      </c>
      <c r="H2771" t="s">
        <v>6037</v>
      </c>
      <c r="I2771" t="s">
        <v>6050</v>
      </c>
      <c r="J2771" t="s">
        <v>6053</v>
      </c>
      <c r="K2771" t="s">
        <v>6057</v>
      </c>
      <c r="L2771" t="s">
        <v>8444</v>
      </c>
      <c r="M2771">
        <v>1249.5</v>
      </c>
      <c r="N2771">
        <v>3</v>
      </c>
      <c r="O2771">
        <v>0.09</v>
      </c>
      <c r="P2771">
        <v>212.1</v>
      </c>
      <c r="Q2771" t="s">
        <v>9896</v>
      </c>
      <c r="R2771">
        <v>6</v>
      </c>
      <c r="S2771" s="5">
        <f t="shared" si="86"/>
        <v>0.16974789915966387</v>
      </c>
      <c r="T2771">
        <v>416.5</v>
      </c>
      <c r="U2771">
        <v>3</v>
      </c>
      <c r="V2771">
        <v>2023</v>
      </c>
      <c r="W2771">
        <v>1</v>
      </c>
      <c r="X2771" t="s">
        <v>9899</v>
      </c>
      <c r="Y2771" t="s">
        <v>9901</v>
      </c>
      <c r="Z2771" t="s">
        <v>9898</v>
      </c>
      <c r="AD2771">
        <f t="shared" si="87"/>
        <v>6</v>
      </c>
    </row>
    <row r="2772" spans="1:30" x14ac:dyDescent="0.25">
      <c r="A2772" t="s">
        <v>2796</v>
      </c>
      <c r="B2772" s="2">
        <v>44948</v>
      </c>
      <c r="C2772" s="2">
        <v>44955</v>
      </c>
      <c r="D2772" t="s">
        <v>5326</v>
      </c>
      <c r="E2772" t="s">
        <v>5826</v>
      </c>
      <c r="F2772" t="s">
        <v>6027</v>
      </c>
      <c r="G2772" t="s">
        <v>6029</v>
      </c>
      <c r="H2772" t="s">
        <v>6045</v>
      </c>
      <c r="I2772" t="s">
        <v>6046</v>
      </c>
      <c r="J2772" t="s">
        <v>6053</v>
      </c>
      <c r="K2772" t="s">
        <v>6058</v>
      </c>
      <c r="L2772" t="s">
        <v>8445</v>
      </c>
      <c r="M2772">
        <v>812.49</v>
      </c>
      <c r="N2772">
        <v>3</v>
      </c>
      <c r="O2772">
        <v>0.2</v>
      </c>
      <c r="P2772">
        <v>-22.61</v>
      </c>
      <c r="Q2772" t="s">
        <v>9896</v>
      </c>
      <c r="R2772">
        <v>7</v>
      </c>
      <c r="S2772" s="5">
        <f t="shared" si="86"/>
        <v>-2.7828034806582233E-2</v>
      </c>
      <c r="T2772">
        <v>270.83</v>
      </c>
      <c r="U2772">
        <v>1</v>
      </c>
      <c r="V2772">
        <v>2023</v>
      </c>
      <c r="W2772">
        <v>1</v>
      </c>
      <c r="X2772" t="s">
        <v>9898</v>
      </c>
      <c r="Y2772" t="s">
        <v>9900</v>
      </c>
      <c r="Z2772" t="s">
        <v>9899</v>
      </c>
      <c r="AD2772">
        <f t="shared" si="87"/>
        <v>7</v>
      </c>
    </row>
    <row r="2773" spans="1:30" x14ac:dyDescent="0.25">
      <c r="A2773" t="s">
        <v>2797</v>
      </c>
      <c r="B2773" s="2">
        <v>45337</v>
      </c>
      <c r="C2773" s="2">
        <v>45338</v>
      </c>
      <c r="D2773" t="s">
        <v>5162</v>
      </c>
      <c r="E2773" t="s">
        <v>5662</v>
      </c>
      <c r="F2773" t="s">
        <v>6026</v>
      </c>
      <c r="G2773" t="s">
        <v>6031</v>
      </c>
      <c r="H2773" t="s">
        <v>6040</v>
      </c>
      <c r="I2773" t="s">
        <v>6048</v>
      </c>
      <c r="J2773" t="s">
        <v>6054</v>
      </c>
      <c r="K2773" t="s">
        <v>6062</v>
      </c>
      <c r="L2773" t="s">
        <v>8446</v>
      </c>
      <c r="M2773">
        <v>413.91</v>
      </c>
      <c r="N2773">
        <v>8</v>
      </c>
      <c r="O2773">
        <v>0.08</v>
      </c>
      <c r="P2773">
        <v>42.19</v>
      </c>
      <c r="Q2773" t="s">
        <v>9893</v>
      </c>
      <c r="R2773">
        <v>1</v>
      </c>
      <c r="S2773" s="5">
        <f t="shared" si="86"/>
        <v>0.10193037133676403</v>
      </c>
      <c r="T2773">
        <v>51.738750000000003</v>
      </c>
      <c r="U2773">
        <v>2</v>
      </c>
      <c r="V2773">
        <v>2024</v>
      </c>
      <c r="W2773">
        <v>1</v>
      </c>
      <c r="X2773" t="s">
        <v>9899</v>
      </c>
      <c r="Y2773" t="s">
        <v>9901</v>
      </c>
      <c r="Z2773" t="s">
        <v>9899</v>
      </c>
      <c r="AD2773">
        <f t="shared" si="87"/>
        <v>1</v>
      </c>
    </row>
    <row r="2774" spans="1:30" x14ac:dyDescent="0.25">
      <c r="A2774" t="s">
        <v>2798</v>
      </c>
      <c r="B2774" s="2">
        <v>45300</v>
      </c>
      <c r="C2774" s="2">
        <v>45301</v>
      </c>
      <c r="D2774" t="s">
        <v>5125</v>
      </c>
      <c r="E2774" t="s">
        <v>5625</v>
      </c>
      <c r="F2774" t="s">
        <v>6027</v>
      </c>
      <c r="G2774" t="s">
        <v>6029</v>
      </c>
      <c r="H2774" t="s">
        <v>6036</v>
      </c>
      <c r="I2774" t="s">
        <v>6050</v>
      </c>
      <c r="J2774" t="s">
        <v>6055</v>
      </c>
      <c r="K2774" t="s">
        <v>6061</v>
      </c>
      <c r="L2774" t="s">
        <v>8395</v>
      </c>
      <c r="M2774">
        <v>632.14</v>
      </c>
      <c r="N2774">
        <v>7</v>
      </c>
      <c r="O2774">
        <v>0.08</v>
      </c>
      <c r="P2774">
        <v>47.97</v>
      </c>
      <c r="Q2774" t="s">
        <v>9894</v>
      </c>
      <c r="R2774">
        <v>1</v>
      </c>
      <c r="S2774" s="5">
        <f t="shared" si="86"/>
        <v>7.5885088746163828E-2</v>
      </c>
      <c r="T2774">
        <v>90.305714285714288</v>
      </c>
      <c r="U2774">
        <v>1</v>
      </c>
      <c r="V2774">
        <v>2024</v>
      </c>
      <c r="W2774">
        <v>1</v>
      </c>
      <c r="X2774" t="s">
        <v>9899</v>
      </c>
      <c r="Y2774" t="s">
        <v>9901</v>
      </c>
      <c r="Z2774" t="s">
        <v>9899</v>
      </c>
      <c r="AD2774">
        <f t="shared" si="87"/>
        <v>1</v>
      </c>
    </row>
    <row r="2775" spans="1:30" x14ac:dyDescent="0.25">
      <c r="A2775" t="s">
        <v>2799</v>
      </c>
      <c r="B2775" s="2">
        <v>44576</v>
      </c>
      <c r="C2775" s="2">
        <v>44580</v>
      </c>
      <c r="D2775" t="s">
        <v>5444</v>
      </c>
      <c r="E2775" t="s">
        <v>5944</v>
      </c>
      <c r="F2775" t="s">
        <v>6028</v>
      </c>
      <c r="G2775" t="s">
        <v>6030</v>
      </c>
      <c r="H2775" t="s">
        <v>6033</v>
      </c>
      <c r="I2775" t="s">
        <v>6051</v>
      </c>
      <c r="J2775" t="s">
        <v>6055</v>
      </c>
      <c r="K2775" t="s">
        <v>6063</v>
      </c>
      <c r="L2775" t="s">
        <v>8447</v>
      </c>
      <c r="M2775">
        <v>234.67</v>
      </c>
      <c r="N2775">
        <v>7</v>
      </c>
      <c r="O2775">
        <v>0.19</v>
      </c>
      <c r="P2775">
        <v>-17.63</v>
      </c>
      <c r="Q2775" t="s">
        <v>9897</v>
      </c>
      <c r="R2775">
        <v>4</v>
      </c>
      <c r="S2775" s="5">
        <f t="shared" si="86"/>
        <v>-7.5126773767418081E-2</v>
      </c>
      <c r="T2775">
        <v>33.52428571428571</v>
      </c>
      <c r="U2775">
        <v>1</v>
      </c>
      <c r="V2775">
        <v>2022</v>
      </c>
      <c r="W2775">
        <v>1</v>
      </c>
      <c r="X2775" t="s">
        <v>9898</v>
      </c>
      <c r="Y2775" t="s">
        <v>9900</v>
      </c>
      <c r="Z2775" t="s">
        <v>9899</v>
      </c>
      <c r="AD2775">
        <f t="shared" si="87"/>
        <v>4</v>
      </c>
    </row>
    <row r="2776" spans="1:30" x14ac:dyDescent="0.25">
      <c r="A2776" t="s">
        <v>2800</v>
      </c>
      <c r="B2776" s="2">
        <v>44825</v>
      </c>
      <c r="C2776" s="2">
        <v>44828</v>
      </c>
      <c r="D2776" t="s">
        <v>5397</v>
      </c>
      <c r="E2776" t="s">
        <v>5897</v>
      </c>
      <c r="F2776" t="s">
        <v>6028</v>
      </c>
      <c r="G2776" t="s">
        <v>6029</v>
      </c>
      <c r="H2776" t="s">
        <v>6041</v>
      </c>
      <c r="I2776" t="s">
        <v>6046</v>
      </c>
      <c r="J2776" t="s">
        <v>6054</v>
      </c>
      <c r="K2776" t="s">
        <v>6060</v>
      </c>
      <c r="L2776" t="s">
        <v>7721</v>
      </c>
      <c r="M2776">
        <v>1816.23</v>
      </c>
      <c r="N2776">
        <v>2</v>
      </c>
      <c r="O2776">
        <v>0.21</v>
      </c>
      <c r="P2776">
        <v>-1.8</v>
      </c>
      <c r="Q2776" t="s">
        <v>9895</v>
      </c>
      <c r="R2776">
        <v>3</v>
      </c>
      <c r="S2776" s="5">
        <f t="shared" si="86"/>
        <v>-9.9106390710427639E-4</v>
      </c>
      <c r="T2776">
        <v>908.11500000000001</v>
      </c>
      <c r="U2776">
        <v>9</v>
      </c>
      <c r="V2776">
        <v>2022</v>
      </c>
      <c r="W2776">
        <v>3</v>
      </c>
      <c r="X2776" t="s">
        <v>9898</v>
      </c>
      <c r="Y2776" t="s">
        <v>9900</v>
      </c>
      <c r="Z2776" t="s">
        <v>9898</v>
      </c>
      <c r="AD2776">
        <f t="shared" si="87"/>
        <v>3</v>
      </c>
    </row>
    <row r="2777" spans="1:30" x14ac:dyDescent="0.25">
      <c r="A2777" t="s">
        <v>2801</v>
      </c>
      <c r="B2777" s="2">
        <v>44715</v>
      </c>
      <c r="C2777" s="2">
        <v>44717</v>
      </c>
      <c r="D2777" t="s">
        <v>5514</v>
      </c>
      <c r="E2777" t="s">
        <v>6014</v>
      </c>
      <c r="F2777" t="s">
        <v>6028</v>
      </c>
      <c r="G2777" t="s">
        <v>6031</v>
      </c>
      <c r="H2777" t="s">
        <v>6042</v>
      </c>
      <c r="I2777" t="s">
        <v>6050</v>
      </c>
      <c r="J2777" t="s">
        <v>6054</v>
      </c>
      <c r="K2777" t="s">
        <v>6062</v>
      </c>
      <c r="L2777" t="s">
        <v>8448</v>
      </c>
      <c r="M2777">
        <v>1785.53</v>
      </c>
      <c r="N2777">
        <v>6</v>
      </c>
      <c r="O2777">
        <v>0.16</v>
      </c>
      <c r="P2777">
        <v>38.54</v>
      </c>
      <c r="Q2777" t="s">
        <v>9897</v>
      </c>
      <c r="R2777">
        <v>2</v>
      </c>
      <c r="S2777" s="5">
        <f t="shared" si="86"/>
        <v>2.1584627533561464E-2</v>
      </c>
      <c r="T2777">
        <v>297.58833333333331</v>
      </c>
      <c r="U2777">
        <v>6</v>
      </c>
      <c r="V2777">
        <v>2022</v>
      </c>
      <c r="W2777">
        <v>2</v>
      </c>
      <c r="X2777" t="s">
        <v>9899</v>
      </c>
      <c r="Y2777" t="s">
        <v>9900</v>
      </c>
      <c r="Z2777" t="s">
        <v>9898</v>
      </c>
      <c r="AD2777">
        <f t="shared" si="87"/>
        <v>2</v>
      </c>
    </row>
    <row r="2778" spans="1:30" x14ac:dyDescent="0.25">
      <c r="A2778" t="s">
        <v>2802</v>
      </c>
      <c r="B2778" s="2">
        <v>45249</v>
      </c>
      <c r="C2778" s="2">
        <v>45254</v>
      </c>
      <c r="D2778" t="s">
        <v>5320</v>
      </c>
      <c r="E2778" t="s">
        <v>5820</v>
      </c>
      <c r="F2778" t="s">
        <v>6027</v>
      </c>
      <c r="G2778" t="s">
        <v>6031</v>
      </c>
      <c r="H2778" t="s">
        <v>6042</v>
      </c>
      <c r="I2778" t="s">
        <v>6050</v>
      </c>
      <c r="J2778" t="s">
        <v>6054</v>
      </c>
      <c r="K2778" t="s">
        <v>6060</v>
      </c>
      <c r="L2778" t="s">
        <v>8449</v>
      </c>
      <c r="M2778">
        <v>1937.23</v>
      </c>
      <c r="N2778">
        <v>2</v>
      </c>
      <c r="O2778">
        <v>0.04</v>
      </c>
      <c r="P2778">
        <v>185.38</v>
      </c>
      <c r="Q2778" t="s">
        <v>9894</v>
      </c>
      <c r="R2778">
        <v>5</v>
      </c>
      <c r="S2778" s="5">
        <f t="shared" si="86"/>
        <v>9.5693335329310403E-2</v>
      </c>
      <c r="T2778">
        <v>968.61500000000001</v>
      </c>
      <c r="U2778">
        <v>11</v>
      </c>
      <c r="V2778">
        <v>2023</v>
      </c>
      <c r="W2778">
        <v>4</v>
      </c>
      <c r="X2778" t="s">
        <v>9899</v>
      </c>
      <c r="Y2778" t="s">
        <v>9901</v>
      </c>
      <c r="Z2778" t="s">
        <v>9898</v>
      </c>
      <c r="AD2778">
        <f t="shared" si="87"/>
        <v>5</v>
      </c>
    </row>
    <row r="2779" spans="1:30" x14ac:dyDescent="0.25">
      <c r="A2779" t="s">
        <v>2803</v>
      </c>
      <c r="B2779" s="2">
        <v>44573</v>
      </c>
      <c r="C2779" s="2">
        <v>44577</v>
      </c>
      <c r="D2779" t="s">
        <v>5430</v>
      </c>
      <c r="E2779" t="s">
        <v>5930</v>
      </c>
      <c r="F2779" t="s">
        <v>6026</v>
      </c>
      <c r="G2779" t="s">
        <v>6030</v>
      </c>
      <c r="H2779" t="s">
        <v>6033</v>
      </c>
      <c r="I2779" t="s">
        <v>6051</v>
      </c>
      <c r="J2779" t="s">
        <v>6053</v>
      </c>
      <c r="K2779" t="s">
        <v>6058</v>
      </c>
      <c r="L2779" t="s">
        <v>8450</v>
      </c>
      <c r="M2779">
        <v>1590.6</v>
      </c>
      <c r="N2779">
        <v>1</v>
      </c>
      <c r="O2779">
        <v>0.21</v>
      </c>
      <c r="P2779">
        <v>-164.51</v>
      </c>
      <c r="Q2779" t="s">
        <v>9893</v>
      </c>
      <c r="R2779">
        <v>4</v>
      </c>
      <c r="S2779" s="5">
        <f t="shared" si="86"/>
        <v>-0.10342637998239658</v>
      </c>
      <c r="T2779">
        <v>1590.6</v>
      </c>
      <c r="U2779">
        <v>1</v>
      </c>
      <c r="V2779">
        <v>2022</v>
      </c>
      <c r="W2779">
        <v>1</v>
      </c>
      <c r="X2779" t="s">
        <v>9898</v>
      </c>
      <c r="Y2779" t="s">
        <v>9900</v>
      </c>
      <c r="Z2779" t="s">
        <v>9898</v>
      </c>
      <c r="AD2779">
        <f t="shared" si="87"/>
        <v>4</v>
      </c>
    </row>
    <row r="2780" spans="1:30" x14ac:dyDescent="0.25">
      <c r="A2780" t="s">
        <v>2804</v>
      </c>
      <c r="B2780" s="2">
        <v>45276</v>
      </c>
      <c r="C2780" s="2">
        <v>45278</v>
      </c>
      <c r="D2780" t="s">
        <v>5267</v>
      </c>
      <c r="E2780" t="s">
        <v>5767</v>
      </c>
      <c r="F2780" t="s">
        <v>6027</v>
      </c>
      <c r="G2780" t="s">
        <v>6030</v>
      </c>
      <c r="H2780" t="s">
        <v>6035</v>
      </c>
      <c r="I2780" t="s">
        <v>6047</v>
      </c>
      <c r="J2780" t="s">
        <v>6055</v>
      </c>
      <c r="K2780" t="s">
        <v>6064</v>
      </c>
      <c r="L2780" t="s">
        <v>8451</v>
      </c>
      <c r="M2780">
        <v>1783.5</v>
      </c>
      <c r="N2780">
        <v>8</v>
      </c>
      <c r="O2780">
        <v>0.01</v>
      </c>
      <c r="P2780">
        <v>489.5</v>
      </c>
      <c r="Q2780" t="s">
        <v>9897</v>
      </c>
      <c r="R2780">
        <v>2</v>
      </c>
      <c r="S2780" s="5">
        <f t="shared" si="86"/>
        <v>0.27446033081020466</v>
      </c>
      <c r="T2780">
        <v>222.9375</v>
      </c>
      <c r="U2780">
        <v>12</v>
      </c>
      <c r="V2780">
        <v>2023</v>
      </c>
      <c r="W2780">
        <v>4</v>
      </c>
      <c r="X2780" t="s">
        <v>9899</v>
      </c>
      <c r="Y2780" t="s">
        <v>9901</v>
      </c>
      <c r="Z2780" t="s">
        <v>9898</v>
      </c>
      <c r="AD2780">
        <f t="shared" si="87"/>
        <v>2</v>
      </c>
    </row>
    <row r="2781" spans="1:30" x14ac:dyDescent="0.25">
      <c r="A2781" t="s">
        <v>2805</v>
      </c>
      <c r="B2781" s="2">
        <v>44917</v>
      </c>
      <c r="C2781" s="2">
        <v>44922</v>
      </c>
      <c r="D2781" t="s">
        <v>5366</v>
      </c>
      <c r="E2781" t="s">
        <v>5866</v>
      </c>
      <c r="F2781" t="s">
        <v>6027</v>
      </c>
      <c r="G2781" t="s">
        <v>6029</v>
      </c>
      <c r="H2781" t="s">
        <v>6036</v>
      </c>
      <c r="I2781" t="s">
        <v>6049</v>
      </c>
      <c r="J2781" t="s">
        <v>6054</v>
      </c>
      <c r="K2781" t="s">
        <v>6060</v>
      </c>
      <c r="L2781" t="s">
        <v>8452</v>
      </c>
      <c r="M2781">
        <v>432.43</v>
      </c>
      <c r="N2781">
        <v>5</v>
      </c>
      <c r="O2781">
        <v>7.0000000000000007E-2</v>
      </c>
      <c r="P2781">
        <v>23.02</v>
      </c>
      <c r="Q2781" t="s">
        <v>9894</v>
      </c>
      <c r="R2781">
        <v>5</v>
      </c>
      <c r="S2781" s="5">
        <f t="shared" si="86"/>
        <v>5.3234049441528104E-2</v>
      </c>
      <c r="T2781">
        <v>86.486000000000004</v>
      </c>
      <c r="U2781">
        <v>12</v>
      </c>
      <c r="V2781">
        <v>2022</v>
      </c>
      <c r="W2781">
        <v>4</v>
      </c>
      <c r="X2781" t="s">
        <v>9899</v>
      </c>
      <c r="Y2781" t="s">
        <v>9901</v>
      </c>
      <c r="Z2781" t="s">
        <v>9899</v>
      </c>
      <c r="AD2781">
        <f t="shared" si="87"/>
        <v>5</v>
      </c>
    </row>
    <row r="2782" spans="1:30" x14ac:dyDescent="0.25">
      <c r="A2782" t="s">
        <v>2806</v>
      </c>
      <c r="B2782" s="2">
        <v>44643</v>
      </c>
      <c r="C2782" s="2">
        <v>44648</v>
      </c>
      <c r="D2782" t="s">
        <v>5520</v>
      </c>
      <c r="E2782" t="s">
        <v>6020</v>
      </c>
      <c r="F2782" t="s">
        <v>6027</v>
      </c>
      <c r="G2782" t="s">
        <v>6030</v>
      </c>
      <c r="H2782" t="s">
        <v>6033</v>
      </c>
      <c r="I2782" t="s">
        <v>6047</v>
      </c>
      <c r="J2782" t="s">
        <v>6053</v>
      </c>
      <c r="K2782" t="s">
        <v>6058</v>
      </c>
      <c r="L2782" t="s">
        <v>8453</v>
      </c>
      <c r="M2782">
        <v>530.14</v>
      </c>
      <c r="N2782">
        <v>4</v>
      </c>
      <c r="O2782">
        <v>0.11</v>
      </c>
      <c r="P2782">
        <v>87.53</v>
      </c>
      <c r="Q2782" t="s">
        <v>9893</v>
      </c>
      <c r="R2782">
        <v>5</v>
      </c>
      <c r="S2782" s="5">
        <f t="shared" si="86"/>
        <v>0.16510733013920853</v>
      </c>
      <c r="T2782">
        <v>132.535</v>
      </c>
      <c r="U2782">
        <v>3</v>
      </c>
      <c r="V2782">
        <v>2022</v>
      </c>
      <c r="W2782">
        <v>1</v>
      </c>
      <c r="X2782" t="s">
        <v>9899</v>
      </c>
      <c r="Y2782" t="s">
        <v>9901</v>
      </c>
      <c r="Z2782" t="s">
        <v>9899</v>
      </c>
      <c r="AD2782">
        <f t="shared" si="87"/>
        <v>5</v>
      </c>
    </row>
    <row r="2783" spans="1:30" x14ac:dyDescent="0.25">
      <c r="A2783" t="s">
        <v>2807</v>
      </c>
      <c r="B2783" s="2">
        <v>45374</v>
      </c>
      <c r="C2783" s="2">
        <v>45377</v>
      </c>
      <c r="D2783" t="s">
        <v>5205</v>
      </c>
      <c r="E2783" t="s">
        <v>5705</v>
      </c>
      <c r="F2783" t="s">
        <v>6027</v>
      </c>
      <c r="G2783" t="s">
        <v>6031</v>
      </c>
      <c r="H2783" t="s">
        <v>6043</v>
      </c>
      <c r="I2783" t="s">
        <v>6048</v>
      </c>
      <c r="J2783" t="s">
        <v>6055</v>
      </c>
      <c r="K2783" t="s">
        <v>6063</v>
      </c>
      <c r="L2783" t="s">
        <v>6934</v>
      </c>
      <c r="M2783">
        <v>236.95</v>
      </c>
      <c r="N2783">
        <v>1</v>
      </c>
      <c r="O2783">
        <v>0.32</v>
      </c>
      <c r="P2783">
        <v>-23.8</v>
      </c>
      <c r="Q2783" t="s">
        <v>9897</v>
      </c>
      <c r="R2783">
        <v>3</v>
      </c>
      <c r="S2783" s="5">
        <f t="shared" si="86"/>
        <v>-0.10044313146233383</v>
      </c>
      <c r="T2783">
        <v>236.95</v>
      </c>
      <c r="U2783">
        <v>3</v>
      </c>
      <c r="V2783">
        <v>2024</v>
      </c>
      <c r="W2783">
        <v>1</v>
      </c>
      <c r="X2783" t="s">
        <v>9898</v>
      </c>
      <c r="Y2783" t="s">
        <v>9902</v>
      </c>
      <c r="Z2783" t="s">
        <v>9899</v>
      </c>
      <c r="AD2783">
        <f t="shared" si="87"/>
        <v>3</v>
      </c>
    </row>
    <row r="2784" spans="1:30" x14ac:dyDescent="0.25">
      <c r="A2784" t="s">
        <v>2808</v>
      </c>
      <c r="B2784" s="2">
        <v>45269</v>
      </c>
      <c r="C2784" s="2">
        <v>45270</v>
      </c>
      <c r="D2784" t="s">
        <v>5288</v>
      </c>
      <c r="E2784" t="s">
        <v>5788</v>
      </c>
      <c r="F2784" t="s">
        <v>6027</v>
      </c>
      <c r="G2784" t="s">
        <v>6029</v>
      </c>
      <c r="H2784" t="s">
        <v>6041</v>
      </c>
      <c r="I2784" t="s">
        <v>6046</v>
      </c>
      <c r="J2784" t="s">
        <v>6055</v>
      </c>
      <c r="K2784" t="s">
        <v>6064</v>
      </c>
      <c r="L2784" t="s">
        <v>8454</v>
      </c>
      <c r="M2784">
        <v>1559.55</v>
      </c>
      <c r="N2784">
        <v>7</v>
      </c>
      <c r="O2784">
        <v>0.28000000000000003</v>
      </c>
      <c r="P2784">
        <v>-250.72</v>
      </c>
      <c r="Q2784" t="s">
        <v>9895</v>
      </c>
      <c r="R2784">
        <v>1</v>
      </c>
      <c r="S2784" s="5">
        <f t="shared" si="86"/>
        <v>-0.16076432304190311</v>
      </c>
      <c r="T2784">
        <v>222.79285714285709</v>
      </c>
      <c r="U2784">
        <v>12</v>
      </c>
      <c r="V2784">
        <v>2023</v>
      </c>
      <c r="W2784">
        <v>4</v>
      </c>
      <c r="X2784" t="s">
        <v>9898</v>
      </c>
      <c r="Y2784" t="s">
        <v>9900</v>
      </c>
      <c r="Z2784" t="s">
        <v>9898</v>
      </c>
      <c r="AD2784">
        <f t="shared" si="87"/>
        <v>1</v>
      </c>
    </row>
    <row r="2785" spans="1:30" x14ac:dyDescent="0.25">
      <c r="A2785" t="s">
        <v>2809</v>
      </c>
      <c r="B2785" s="2">
        <v>44981</v>
      </c>
      <c r="C2785" s="2">
        <v>44986</v>
      </c>
      <c r="D2785" t="s">
        <v>5497</v>
      </c>
      <c r="E2785" t="s">
        <v>5997</v>
      </c>
      <c r="F2785" t="s">
        <v>6026</v>
      </c>
      <c r="G2785" t="s">
        <v>6031</v>
      </c>
      <c r="H2785" t="s">
        <v>6034</v>
      </c>
      <c r="I2785" t="s">
        <v>6048</v>
      </c>
      <c r="J2785" t="s">
        <v>6054</v>
      </c>
      <c r="K2785" t="s">
        <v>6060</v>
      </c>
      <c r="L2785" t="s">
        <v>8455</v>
      </c>
      <c r="M2785">
        <v>1677.57</v>
      </c>
      <c r="N2785">
        <v>2</v>
      </c>
      <c r="O2785">
        <v>0.26</v>
      </c>
      <c r="P2785">
        <v>-140.08000000000001</v>
      </c>
      <c r="Q2785" t="s">
        <v>9897</v>
      </c>
      <c r="R2785">
        <v>5</v>
      </c>
      <c r="S2785" s="5">
        <f t="shared" si="86"/>
        <v>-8.3501731671405677E-2</v>
      </c>
      <c r="T2785">
        <v>838.78499999999997</v>
      </c>
      <c r="U2785">
        <v>2</v>
      </c>
      <c r="V2785">
        <v>2023</v>
      </c>
      <c r="W2785">
        <v>1</v>
      </c>
      <c r="X2785" t="s">
        <v>9898</v>
      </c>
      <c r="Y2785" t="s">
        <v>9900</v>
      </c>
      <c r="Z2785" t="s">
        <v>9898</v>
      </c>
      <c r="AD2785">
        <f t="shared" si="87"/>
        <v>5</v>
      </c>
    </row>
    <row r="2786" spans="1:30" x14ac:dyDescent="0.25">
      <c r="A2786" t="s">
        <v>2810</v>
      </c>
      <c r="B2786" s="2">
        <v>45290</v>
      </c>
      <c r="C2786" s="2">
        <v>45294</v>
      </c>
      <c r="D2786" t="s">
        <v>5380</v>
      </c>
      <c r="E2786" t="s">
        <v>5880</v>
      </c>
      <c r="F2786" t="s">
        <v>6028</v>
      </c>
      <c r="G2786" t="s">
        <v>6029</v>
      </c>
      <c r="H2786" t="s">
        <v>6044</v>
      </c>
      <c r="I2786" t="s">
        <v>6049</v>
      </c>
      <c r="J2786" t="s">
        <v>6053</v>
      </c>
      <c r="K2786" t="s">
        <v>6057</v>
      </c>
      <c r="L2786" t="s">
        <v>8456</v>
      </c>
      <c r="M2786">
        <v>573.74</v>
      </c>
      <c r="N2786">
        <v>4</v>
      </c>
      <c r="O2786">
        <v>0.28999999999999998</v>
      </c>
      <c r="P2786">
        <v>-19.05</v>
      </c>
      <c r="Q2786" t="s">
        <v>9896</v>
      </c>
      <c r="R2786">
        <v>4</v>
      </c>
      <c r="S2786" s="5">
        <f t="shared" si="86"/>
        <v>-3.3203193083975319E-2</v>
      </c>
      <c r="T2786">
        <v>143.435</v>
      </c>
      <c r="U2786">
        <v>12</v>
      </c>
      <c r="V2786">
        <v>2023</v>
      </c>
      <c r="W2786">
        <v>4</v>
      </c>
      <c r="X2786" t="s">
        <v>9898</v>
      </c>
      <c r="Y2786" t="s">
        <v>9900</v>
      </c>
      <c r="Z2786" t="s">
        <v>9899</v>
      </c>
      <c r="AD2786">
        <f t="shared" si="87"/>
        <v>4</v>
      </c>
    </row>
    <row r="2787" spans="1:30" x14ac:dyDescent="0.25">
      <c r="A2787" t="s">
        <v>2811</v>
      </c>
      <c r="B2787" s="2">
        <v>45377</v>
      </c>
      <c r="C2787" s="2">
        <v>45383</v>
      </c>
      <c r="D2787" t="s">
        <v>5104</v>
      </c>
      <c r="E2787" t="s">
        <v>5604</v>
      </c>
      <c r="F2787" t="s">
        <v>6026</v>
      </c>
      <c r="G2787" t="s">
        <v>6029</v>
      </c>
      <c r="H2787" t="s">
        <v>6041</v>
      </c>
      <c r="I2787" t="s">
        <v>6049</v>
      </c>
      <c r="J2787" t="s">
        <v>6054</v>
      </c>
      <c r="K2787" t="s">
        <v>6059</v>
      </c>
      <c r="L2787" t="s">
        <v>8457</v>
      </c>
      <c r="M2787">
        <v>1147.03</v>
      </c>
      <c r="N2787">
        <v>6</v>
      </c>
      <c r="O2787">
        <v>0.2</v>
      </c>
      <c r="P2787">
        <v>-55.34</v>
      </c>
      <c r="Q2787" t="s">
        <v>9897</v>
      </c>
      <c r="R2787">
        <v>6</v>
      </c>
      <c r="S2787" s="5">
        <f t="shared" si="86"/>
        <v>-4.8246340549070212E-2</v>
      </c>
      <c r="T2787">
        <v>191.17166666666671</v>
      </c>
      <c r="U2787">
        <v>3</v>
      </c>
      <c r="V2787">
        <v>2024</v>
      </c>
      <c r="W2787">
        <v>1</v>
      </c>
      <c r="X2787" t="s">
        <v>9898</v>
      </c>
      <c r="Y2787" t="s">
        <v>9900</v>
      </c>
      <c r="Z2787" t="s">
        <v>9898</v>
      </c>
      <c r="AD2787">
        <f t="shared" si="87"/>
        <v>6</v>
      </c>
    </row>
    <row r="2788" spans="1:30" x14ac:dyDescent="0.25">
      <c r="A2788" t="s">
        <v>2812</v>
      </c>
      <c r="B2788" s="2">
        <v>45300</v>
      </c>
      <c r="C2788" s="2">
        <v>45302</v>
      </c>
      <c r="D2788" t="s">
        <v>5173</v>
      </c>
      <c r="E2788" t="s">
        <v>5673</v>
      </c>
      <c r="F2788" t="s">
        <v>6026</v>
      </c>
      <c r="G2788" t="s">
        <v>6029</v>
      </c>
      <c r="H2788" t="s">
        <v>6044</v>
      </c>
      <c r="I2788" t="s">
        <v>6046</v>
      </c>
      <c r="J2788" t="s">
        <v>6055</v>
      </c>
      <c r="K2788" t="s">
        <v>6061</v>
      </c>
      <c r="L2788" t="s">
        <v>8458</v>
      </c>
      <c r="M2788">
        <v>343.49</v>
      </c>
      <c r="N2788">
        <v>4</v>
      </c>
      <c r="O2788">
        <v>0.11</v>
      </c>
      <c r="P2788">
        <v>21.53</v>
      </c>
      <c r="Q2788" t="s">
        <v>9894</v>
      </c>
      <c r="R2788">
        <v>2</v>
      </c>
      <c r="S2788" s="5">
        <f t="shared" si="86"/>
        <v>6.2680136248507962E-2</v>
      </c>
      <c r="T2788">
        <v>85.872500000000002</v>
      </c>
      <c r="U2788">
        <v>1</v>
      </c>
      <c r="V2788">
        <v>2024</v>
      </c>
      <c r="W2788">
        <v>1</v>
      </c>
      <c r="X2788" t="s">
        <v>9899</v>
      </c>
      <c r="Y2788" t="s">
        <v>9901</v>
      </c>
      <c r="Z2788" t="s">
        <v>9899</v>
      </c>
      <c r="AD2788">
        <f t="shared" si="87"/>
        <v>2</v>
      </c>
    </row>
    <row r="2789" spans="1:30" x14ac:dyDescent="0.25">
      <c r="A2789" t="s">
        <v>2813</v>
      </c>
      <c r="B2789" s="2">
        <v>44809</v>
      </c>
      <c r="C2789" s="2">
        <v>44815</v>
      </c>
      <c r="D2789" t="s">
        <v>5282</v>
      </c>
      <c r="E2789" t="s">
        <v>5782</v>
      </c>
      <c r="F2789" t="s">
        <v>6026</v>
      </c>
      <c r="G2789" t="s">
        <v>6031</v>
      </c>
      <c r="H2789" t="s">
        <v>6037</v>
      </c>
      <c r="I2789" t="s">
        <v>6048</v>
      </c>
      <c r="J2789" t="s">
        <v>6054</v>
      </c>
      <c r="K2789" t="s">
        <v>6062</v>
      </c>
      <c r="L2789" t="s">
        <v>8312</v>
      </c>
      <c r="M2789">
        <v>167.07</v>
      </c>
      <c r="N2789">
        <v>8</v>
      </c>
      <c r="O2789">
        <v>0.15</v>
      </c>
      <c r="P2789">
        <v>3.09</v>
      </c>
      <c r="Q2789" t="s">
        <v>9894</v>
      </c>
      <c r="R2789">
        <v>6</v>
      </c>
      <c r="S2789" s="5">
        <f t="shared" si="86"/>
        <v>1.8495241515532411E-2</v>
      </c>
      <c r="T2789">
        <v>20.883749999999999</v>
      </c>
      <c r="U2789">
        <v>9</v>
      </c>
      <c r="V2789">
        <v>2022</v>
      </c>
      <c r="W2789">
        <v>3</v>
      </c>
      <c r="X2789" t="s">
        <v>9899</v>
      </c>
      <c r="Y2789" t="s">
        <v>9901</v>
      </c>
      <c r="Z2789" t="s">
        <v>9899</v>
      </c>
      <c r="AD2789">
        <f t="shared" si="87"/>
        <v>6</v>
      </c>
    </row>
    <row r="2790" spans="1:30" x14ac:dyDescent="0.25">
      <c r="A2790" t="s">
        <v>2814</v>
      </c>
      <c r="B2790" s="2">
        <v>45284</v>
      </c>
      <c r="C2790" s="2">
        <v>45289</v>
      </c>
      <c r="D2790" t="s">
        <v>5268</v>
      </c>
      <c r="E2790" t="s">
        <v>5768</v>
      </c>
      <c r="F2790" t="s">
        <v>6026</v>
      </c>
      <c r="G2790" t="s">
        <v>6031</v>
      </c>
      <c r="H2790" t="s">
        <v>6037</v>
      </c>
      <c r="I2790" t="s">
        <v>6050</v>
      </c>
      <c r="J2790" t="s">
        <v>6054</v>
      </c>
      <c r="K2790" t="s">
        <v>6062</v>
      </c>
      <c r="L2790" t="s">
        <v>8459</v>
      </c>
      <c r="M2790">
        <v>1898.12</v>
      </c>
      <c r="N2790">
        <v>3</v>
      </c>
      <c r="O2790">
        <v>0.28000000000000003</v>
      </c>
      <c r="P2790">
        <v>-198.06</v>
      </c>
      <c r="Q2790" t="s">
        <v>9894</v>
      </c>
      <c r="R2790">
        <v>5</v>
      </c>
      <c r="S2790" s="5">
        <f t="shared" si="86"/>
        <v>-0.10434535224327229</v>
      </c>
      <c r="T2790">
        <v>632.70666666666659</v>
      </c>
      <c r="U2790">
        <v>12</v>
      </c>
      <c r="V2790">
        <v>2023</v>
      </c>
      <c r="W2790">
        <v>4</v>
      </c>
      <c r="X2790" t="s">
        <v>9898</v>
      </c>
      <c r="Y2790" t="s">
        <v>9900</v>
      </c>
      <c r="Z2790" t="s">
        <v>9898</v>
      </c>
      <c r="AD2790">
        <f t="shared" si="87"/>
        <v>5</v>
      </c>
    </row>
    <row r="2791" spans="1:30" x14ac:dyDescent="0.25">
      <c r="A2791" t="s">
        <v>2815</v>
      </c>
      <c r="B2791" s="2">
        <v>45434</v>
      </c>
      <c r="C2791" s="2">
        <v>45437</v>
      </c>
      <c r="D2791" t="s">
        <v>5027</v>
      </c>
      <c r="E2791" t="s">
        <v>5527</v>
      </c>
      <c r="F2791" t="s">
        <v>6028</v>
      </c>
      <c r="G2791" t="s">
        <v>6029</v>
      </c>
      <c r="H2791" t="s">
        <v>6045</v>
      </c>
      <c r="I2791" t="s">
        <v>6049</v>
      </c>
      <c r="J2791" t="s">
        <v>6054</v>
      </c>
      <c r="K2791" t="s">
        <v>6059</v>
      </c>
      <c r="L2791" t="s">
        <v>8460</v>
      </c>
      <c r="M2791">
        <v>499.12</v>
      </c>
      <c r="N2791">
        <v>5</v>
      </c>
      <c r="O2791">
        <v>0.06</v>
      </c>
      <c r="P2791">
        <v>69.06</v>
      </c>
      <c r="Q2791" t="s">
        <v>9893</v>
      </c>
      <c r="R2791">
        <v>3</v>
      </c>
      <c r="S2791" s="5">
        <f t="shared" si="86"/>
        <v>0.13836351979483891</v>
      </c>
      <c r="T2791">
        <v>99.823999999999998</v>
      </c>
      <c r="U2791">
        <v>5</v>
      </c>
      <c r="V2791">
        <v>2024</v>
      </c>
      <c r="W2791">
        <v>2</v>
      </c>
      <c r="X2791" t="s">
        <v>9899</v>
      </c>
      <c r="Y2791" t="s">
        <v>9901</v>
      </c>
      <c r="Z2791" t="s">
        <v>9899</v>
      </c>
      <c r="AD2791">
        <f t="shared" si="87"/>
        <v>3</v>
      </c>
    </row>
    <row r="2792" spans="1:30" x14ac:dyDescent="0.25">
      <c r="A2792" t="s">
        <v>2816</v>
      </c>
      <c r="B2792" s="2">
        <v>44742</v>
      </c>
      <c r="C2792" s="2">
        <v>44746</v>
      </c>
      <c r="D2792" t="s">
        <v>5482</v>
      </c>
      <c r="E2792" t="s">
        <v>5982</v>
      </c>
      <c r="F2792" t="s">
        <v>6028</v>
      </c>
      <c r="G2792" t="s">
        <v>6029</v>
      </c>
      <c r="H2792" t="s">
        <v>6041</v>
      </c>
      <c r="I2792" t="s">
        <v>6050</v>
      </c>
      <c r="J2792" t="s">
        <v>6053</v>
      </c>
      <c r="K2792" t="s">
        <v>6056</v>
      </c>
      <c r="L2792" t="s">
        <v>8461</v>
      </c>
      <c r="M2792">
        <v>685.49</v>
      </c>
      <c r="N2792">
        <v>2</v>
      </c>
      <c r="O2792">
        <v>0.34</v>
      </c>
      <c r="P2792">
        <v>-127.92</v>
      </c>
      <c r="Q2792" t="s">
        <v>9896</v>
      </c>
      <c r="R2792">
        <v>4</v>
      </c>
      <c r="S2792" s="5">
        <f t="shared" si="86"/>
        <v>-0.18661103736013654</v>
      </c>
      <c r="T2792">
        <v>342.745</v>
      </c>
      <c r="U2792">
        <v>6</v>
      </c>
      <c r="V2792">
        <v>2022</v>
      </c>
      <c r="W2792">
        <v>2</v>
      </c>
      <c r="X2792" t="s">
        <v>9898</v>
      </c>
      <c r="Y2792" t="s">
        <v>9902</v>
      </c>
      <c r="Z2792" t="s">
        <v>9899</v>
      </c>
      <c r="AD2792">
        <f t="shared" si="87"/>
        <v>4</v>
      </c>
    </row>
    <row r="2793" spans="1:30" x14ac:dyDescent="0.25">
      <c r="A2793" t="s">
        <v>2817</v>
      </c>
      <c r="B2793" s="2">
        <v>45220</v>
      </c>
      <c r="C2793" s="2">
        <v>45224</v>
      </c>
      <c r="D2793" t="s">
        <v>5151</v>
      </c>
      <c r="E2793" t="s">
        <v>5651</v>
      </c>
      <c r="F2793" t="s">
        <v>6026</v>
      </c>
      <c r="G2793" t="s">
        <v>6031</v>
      </c>
      <c r="H2793" t="s">
        <v>6037</v>
      </c>
      <c r="I2793" t="s">
        <v>6050</v>
      </c>
      <c r="J2793" t="s">
        <v>6054</v>
      </c>
      <c r="K2793" t="s">
        <v>6060</v>
      </c>
      <c r="L2793" t="s">
        <v>8462</v>
      </c>
      <c r="M2793">
        <v>900.21</v>
      </c>
      <c r="N2793">
        <v>1</v>
      </c>
      <c r="O2793">
        <v>0.19</v>
      </c>
      <c r="P2793">
        <v>0.26</v>
      </c>
      <c r="Q2793" t="s">
        <v>9897</v>
      </c>
      <c r="R2793">
        <v>4</v>
      </c>
      <c r="S2793" s="5">
        <f t="shared" si="86"/>
        <v>2.8882149720620744E-4</v>
      </c>
      <c r="T2793">
        <v>900.21</v>
      </c>
      <c r="U2793">
        <v>10</v>
      </c>
      <c r="V2793">
        <v>2023</v>
      </c>
      <c r="W2793">
        <v>4</v>
      </c>
      <c r="X2793" t="s">
        <v>9899</v>
      </c>
      <c r="Y2793" t="s">
        <v>9900</v>
      </c>
      <c r="Z2793" t="s">
        <v>9899</v>
      </c>
      <c r="AD2793">
        <f t="shared" si="87"/>
        <v>4</v>
      </c>
    </row>
    <row r="2794" spans="1:30" x14ac:dyDescent="0.25">
      <c r="A2794" t="s">
        <v>2818</v>
      </c>
      <c r="B2794" s="2">
        <v>45452</v>
      </c>
      <c r="C2794" s="2">
        <v>45456</v>
      </c>
      <c r="D2794" t="s">
        <v>5353</v>
      </c>
      <c r="E2794" t="s">
        <v>5853</v>
      </c>
      <c r="F2794" t="s">
        <v>6028</v>
      </c>
      <c r="G2794" t="s">
        <v>6031</v>
      </c>
      <c r="H2794" t="s">
        <v>6040</v>
      </c>
      <c r="I2794" t="s">
        <v>6048</v>
      </c>
      <c r="J2794" t="s">
        <v>6055</v>
      </c>
      <c r="K2794" t="s">
        <v>6064</v>
      </c>
      <c r="L2794" t="s">
        <v>7295</v>
      </c>
      <c r="M2794">
        <v>969.59</v>
      </c>
      <c r="N2794">
        <v>4</v>
      </c>
      <c r="O2794">
        <v>0.03</v>
      </c>
      <c r="P2794">
        <v>190.09</v>
      </c>
      <c r="Q2794" t="s">
        <v>9893</v>
      </c>
      <c r="R2794">
        <v>4</v>
      </c>
      <c r="S2794" s="5">
        <f t="shared" si="86"/>
        <v>0.19605193947957383</v>
      </c>
      <c r="T2794">
        <v>242.39750000000001</v>
      </c>
      <c r="U2794">
        <v>6</v>
      </c>
      <c r="V2794">
        <v>2024</v>
      </c>
      <c r="W2794">
        <v>2</v>
      </c>
      <c r="X2794" t="s">
        <v>9899</v>
      </c>
      <c r="Y2794" t="s">
        <v>9901</v>
      </c>
      <c r="Z2794" t="s">
        <v>9899</v>
      </c>
      <c r="AD2794">
        <f t="shared" si="87"/>
        <v>4</v>
      </c>
    </row>
    <row r="2795" spans="1:30" x14ac:dyDescent="0.25">
      <c r="A2795" t="s">
        <v>2819</v>
      </c>
      <c r="B2795" s="2">
        <v>45057</v>
      </c>
      <c r="C2795" s="2">
        <v>45061</v>
      </c>
      <c r="D2795" t="s">
        <v>5400</v>
      </c>
      <c r="E2795" t="s">
        <v>5900</v>
      </c>
      <c r="F2795" t="s">
        <v>6028</v>
      </c>
      <c r="G2795" t="s">
        <v>6030</v>
      </c>
      <c r="H2795" t="s">
        <v>6039</v>
      </c>
      <c r="I2795" t="s">
        <v>6047</v>
      </c>
      <c r="J2795" t="s">
        <v>6055</v>
      </c>
      <c r="K2795" t="s">
        <v>6061</v>
      </c>
      <c r="L2795" t="s">
        <v>8463</v>
      </c>
      <c r="M2795">
        <v>1702.83</v>
      </c>
      <c r="N2795">
        <v>1</v>
      </c>
      <c r="O2795">
        <v>0</v>
      </c>
      <c r="P2795">
        <v>217.51</v>
      </c>
      <c r="Q2795" t="s">
        <v>9895</v>
      </c>
      <c r="R2795">
        <v>4</v>
      </c>
      <c r="S2795" s="5">
        <f t="shared" si="86"/>
        <v>0.12773441858553114</v>
      </c>
      <c r="T2795">
        <v>1702.83</v>
      </c>
      <c r="U2795">
        <v>5</v>
      </c>
      <c r="V2795">
        <v>2023</v>
      </c>
      <c r="W2795">
        <v>2</v>
      </c>
      <c r="X2795" t="s">
        <v>9899</v>
      </c>
      <c r="Y2795" t="s">
        <v>9901</v>
      </c>
      <c r="Z2795" t="s">
        <v>9898</v>
      </c>
      <c r="AD2795">
        <f t="shared" si="87"/>
        <v>4</v>
      </c>
    </row>
    <row r="2796" spans="1:30" x14ac:dyDescent="0.25">
      <c r="A2796" t="s">
        <v>2820</v>
      </c>
      <c r="B2796" s="2">
        <v>44745</v>
      </c>
      <c r="C2796" s="2">
        <v>44750</v>
      </c>
      <c r="D2796" t="s">
        <v>5241</v>
      </c>
      <c r="E2796" t="s">
        <v>5741</v>
      </c>
      <c r="F2796" t="s">
        <v>6026</v>
      </c>
      <c r="G2796" t="s">
        <v>6029</v>
      </c>
      <c r="H2796" t="s">
        <v>6044</v>
      </c>
      <c r="I2796" t="s">
        <v>6049</v>
      </c>
      <c r="J2796" t="s">
        <v>6053</v>
      </c>
      <c r="K2796" t="s">
        <v>6056</v>
      </c>
      <c r="L2796" t="s">
        <v>8464</v>
      </c>
      <c r="M2796">
        <v>1777.99</v>
      </c>
      <c r="N2796">
        <v>3</v>
      </c>
      <c r="O2796">
        <v>0.34</v>
      </c>
      <c r="P2796">
        <v>-188.91</v>
      </c>
      <c r="Q2796" t="s">
        <v>9893</v>
      </c>
      <c r="R2796">
        <v>5</v>
      </c>
      <c r="S2796" s="5">
        <f t="shared" si="86"/>
        <v>-0.10624919150276435</v>
      </c>
      <c r="T2796">
        <v>592.6633333333333</v>
      </c>
      <c r="U2796">
        <v>7</v>
      </c>
      <c r="V2796">
        <v>2022</v>
      </c>
      <c r="W2796">
        <v>3</v>
      </c>
      <c r="X2796" t="s">
        <v>9898</v>
      </c>
      <c r="Y2796" t="s">
        <v>9902</v>
      </c>
      <c r="Z2796" t="s">
        <v>9898</v>
      </c>
      <c r="AD2796">
        <f t="shared" si="87"/>
        <v>5</v>
      </c>
    </row>
    <row r="2797" spans="1:30" x14ac:dyDescent="0.25">
      <c r="A2797" t="s">
        <v>2821</v>
      </c>
      <c r="B2797" s="2">
        <v>44888</v>
      </c>
      <c r="C2797" s="2">
        <v>44889</v>
      </c>
      <c r="D2797" t="s">
        <v>5200</v>
      </c>
      <c r="E2797" t="s">
        <v>5700</v>
      </c>
      <c r="F2797" t="s">
        <v>6028</v>
      </c>
      <c r="G2797" t="s">
        <v>6030</v>
      </c>
      <c r="H2797" t="s">
        <v>6038</v>
      </c>
      <c r="I2797" t="s">
        <v>6051</v>
      </c>
      <c r="J2797" t="s">
        <v>6055</v>
      </c>
      <c r="K2797" t="s">
        <v>6064</v>
      </c>
      <c r="L2797" t="s">
        <v>7753</v>
      </c>
      <c r="M2797">
        <v>357.74</v>
      </c>
      <c r="N2797">
        <v>1</v>
      </c>
      <c r="O2797">
        <v>0.21</v>
      </c>
      <c r="P2797">
        <v>-35.9</v>
      </c>
      <c r="Q2797" t="s">
        <v>9895</v>
      </c>
      <c r="R2797">
        <v>1</v>
      </c>
      <c r="S2797" s="5">
        <f t="shared" si="86"/>
        <v>-0.10035221110303572</v>
      </c>
      <c r="T2797">
        <v>357.74</v>
      </c>
      <c r="U2797">
        <v>11</v>
      </c>
      <c r="V2797">
        <v>2022</v>
      </c>
      <c r="W2797">
        <v>4</v>
      </c>
      <c r="X2797" t="s">
        <v>9898</v>
      </c>
      <c r="Y2797" t="s">
        <v>9900</v>
      </c>
      <c r="Z2797" t="s">
        <v>9899</v>
      </c>
      <c r="AD2797">
        <f t="shared" si="87"/>
        <v>1</v>
      </c>
    </row>
    <row r="2798" spans="1:30" x14ac:dyDescent="0.25">
      <c r="A2798" t="s">
        <v>2822</v>
      </c>
      <c r="B2798" s="2">
        <v>45197</v>
      </c>
      <c r="C2798" s="2">
        <v>45203</v>
      </c>
      <c r="D2798" t="s">
        <v>5144</v>
      </c>
      <c r="E2798" t="s">
        <v>5644</v>
      </c>
      <c r="F2798" t="s">
        <v>6028</v>
      </c>
      <c r="G2798" t="s">
        <v>6030</v>
      </c>
      <c r="H2798" t="s">
        <v>6039</v>
      </c>
      <c r="I2798" t="s">
        <v>6047</v>
      </c>
      <c r="J2798" t="s">
        <v>6055</v>
      </c>
      <c r="K2798" t="s">
        <v>6061</v>
      </c>
      <c r="L2798" t="s">
        <v>8465</v>
      </c>
      <c r="M2798">
        <v>745.81</v>
      </c>
      <c r="N2798">
        <v>4</v>
      </c>
      <c r="O2798">
        <v>0.03</v>
      </c>
      <c r="P2798">
        <v>107.36</v>
      </c>
      <c r="Q2798" t="s">
        <v>9896</v>
      </c>
      <c r="R2798">
        <v>6</v>
      </c>
      <c r="S2798" s="5">
        <f t="shared" si="86"/>
        <v>0.14395087220605784</v>
      </c>
      <c r="T2798">
        <v>186.45249999999999</v>
      </c>
      <c r="U2798">
        <v>9</v>
      </c>
      <c r="V2798">
        <v>2023</v>
      </c>
      <c r="W2798">
        <v>3</v>
      </c>
      <c r="X2798" t="s">
        <v>9899</v>
      </c>
      <c r="Y2798" t="s">
        <v>9901</v>
      </c>
      <c r="Z2798" t="s">
        <v>9899</v>
      </c>
      <c r="AD2798">
        <f t="shared" si="87"/>
        <v>6</v>
      </c>
    </row>
    <row r="2799" spans="1:30" x14ac:dyDescent="0.25">
      <c r="A2799" t="s">
        <v>2823</v>
      </c>
      <c r="B2799" s="2">
        <v>45046</v>
      </c>
      <c r="C2799" s="2">
        <v>45047</v>
      </c>
      <c r="D2799" t="s">
        <v>5214</v>
      </c>
      <c r="E2799" t="s">
        <v>5714</v>
      </c>
      <c r="F2799" t="s">
        <v>6028</v>
      </c>
      <c r="G2799" t="s">
        <v>6030</v>
      </c>
      <c r="H2799" t="s">
        <v>6038</v>
      </c>
      <c r="I2799" t="s">
        <v>6047</v>
      </c>
      <c r="J2799" t="s">
        <v>6053</v>
      </c>
      <c r="K2799" t="s">
        <v>6056</v>
      </c>
      <c r="L2799" t="s">
        <v>8466</v>
      </c>
      <c r="M2799">
        <v>1172.48</v>
      </c>
      <c r="N2799">
        <v>8</v>
      </c>
      <c r="O2799">
        <v>0.18</v>
      </c>
      <c r="P2799">
        <v>21.62</v>
      </c>
      <c r="Q2799" t="s">
        <v>9895</v>
      </c>
      <c r="R2799">
        <v>1</v>
      </c>
      <c r="S2799" s="5">
        <f t="shared" si="86"/>
        <v>1.8439546943231442E-2</v>
      </c>
      <c r="T2799">
        <v>146.56</v>
      </c>
      <c r="U2799">
        <v>4</v>
      </c>
      <c r="V2799">
        <v>2023</v>
      </c>
      <c r="W2799">
        <v>2</v>
      </c>
      <c r="X2799" t="s">
        <v>9899</v>
      </c>
      <c r="Y2799" t="s">
        <v>9900</v>
      </c>
      <c r="Z2799" t="s">
        <v>9898</v>
      </c>
      <c r="AD2799">
        <f t="shared" si="87"/>
        <v>1</v>
      </c>
    </row>
    <row r="2800" spans="1:30" x14ac:dyDescent="0.25">
      <c r="A2800" t="s">
        <v>2824</v>
      </c>
      <c r="B2800" s="2">
        <v>45117</v>
      </c>
      <c r="C2800" s="2">
        <v>45121</v>
      </c>
      <c r="D2800" t="s">
        <v>5140</v>
      </c>
      <c r="E2800" t="s">
        <v>5640</v>
      </c>
      <c r="F2800" t="s">
        <v>6028</v>
      </c>
      <c r="G2800" t="s">
        <v>6031</v>
      </c>
      <c r="H2800" t="s">
        <v>6034</v>
      </c>
      <c r="I2800" t="s">
        <v>6052</v>
      </c>
      <c r="J2800" t="s">
        <v>6053</v>
      </c>
      <c r="K2800" t="s">
        <v>6058</v>
      </c>
      <c r="L2800" t="s">
        <v>7443</v>
      </c>
      <c r="M2800">
        <v>757.43</v>
      </c>
      <c r="N2800">
        <v>4</v>
      </c>
      <c r="O2800">
        <v>0.34</v>
      </c>
      <c r="P2800">
        <v>-46.09</v>
      </c>
      <c r="Q2800" t="s">
        <v>9893</v>
      </c>
      <c r="R2800">
        <v>4</v>
      </c>
      <c r="S2800" s="5">
        <f t="shared" si="86"/>
        <v>-6.0850507637669499E-2</v>
      </c>
      <c r="T2800">
        <v>189.35749999999999</v>
      </c>
      <c r="U2800">
        <v>7</v>
      </c>
      <c r="V2800">
        <v>2023</v>
      </c>
      <c r="W2800">
        <v>3</v>
      </c>
      <c r="X2800" t="s">
        <v>9898</v>
      </c>
      <c r="Y2800" t="s">
        <v>9902</v>
      </c>
      <c r="Z2800" t="s">
        <v>9899</v>
      </c>
      <c r="AD2800">
        <f t="shared" si="87"/>
        <v>4</v>
      </c>
    </row>
    <row r="2801" spans="1:30" x14ac:dyDescent="0.25">
      <c r="A2801" t="s">
        <v>2825</v>
      </c>
      <c r="B2801" s="2">
        <v>45267</v>
      </c>
      <c r="C2801" s="2">
        <v>45269</v>
      </c>
      <c r="D2801" t="s">
        <v>5165</v>
      </c>
      <c r="E2801" t="s">
        <v>5665</v>
      </c>
      <c r="F2801" t="s">
        <v>6028</v>
      </c>
      <c r="G2801" t="s">
        <v>6030</v>
      </c>
      <c r="H2801" t="s">
        <v>6038</v>
      </c>
      <c r="I2801" t="s">
        <v>6047</v>
      </c>
      <c r="J2801" t="s">
        <v>6055</v>
      </c>
      <c r="K2801" t="s">
        <v>6064</v>
      </c>
      <c r="L2801" t="s">
        <v>8467</v>
      </c>
      <c r="M2801">
        <v>626.79999999999995</v>
      </c>
      <c r="N2801">
        <v>4</v>
      </c>
      <c r="O2801">
        <v>0.17</v>
      </c>
      <c r="P2801">
        <v>-10.61</v>
      </c>
      <c r="Q2801" t="s">
        <v>9895</v>
      </c>
      <c r="R2801">
        <v>2</v>
      </c>
      <c r="S2801" s="5">
        <f t="shared" si="86"/>
        <v>-1.6927249521378432E-2</v>
      </c>
      <c r="T2801">
        <v>156.69999999999999</v>
      </c>
      <c r="U2801">
        <v>12</v>
      </c>
      <c r="V2801">
        <v>2023</v>
      </c>
      <c r="W2801">
        <v>4</v>
      </c>
      <c r="X2801" t="s">
        <v>9898</v>
      </c>
      <c r="Y2801" t="s">
        <v>9900</v>
      </c>
      <c r="Z2801" t="s">
        <v>9899</v>
      </c>
      <c r="AD2801">
        <f t="shared" si="87"/>
        <v>2</v>
      </c>
    </row>
    <row r="2802" spans="1:30" x14ac:dyDescent="0.25">
      <c r="A2802" t="s">
        <v>2826</v>
      </c>
      <c r="B2802" s="2">
        <v>45214</v>
      </c>
      <c r="C2802" s="2">
        <v>45220</v>
      </c>
      <c r="D2802" t="s">
        <v>5484</v>
      </c>
      <c r="E2802" t="s">
        <v>5984</v>
      </c>
      <c r="F2802" t="s">
        <v>6026</v>
      </c>
      <c r="G2802" t="s">
        <v>6030</v>
      </c>
      <c r="H2802" t="s">
        <v>6033</v>
      </c>
      <c r="I2802" t="s">
        <v>6051</v>
      </c>
      <c r="J2802" t="s">
        <v>6054</v>
      </c>
      <c r="K2802" t="s">
        <v>6062</v>
      </c>
      <c r="L2802" t="s">
        <v>7531</v>
      </c>
      <c r="M2802">
        <v>1519.59</v>
      </c>
      <c r="N2802">
        <v>8</v>
      </c>
      <c r="O2802">
        <v>0.35</v>
      </c>
      <c r="P2802">
        <v>-153.44999999999999</v>
      </c>
      <c r="Q2802" t="s">
        <v>9894</v>
      </c>
      <c r="R2802">
        <v>6</v>
      </c>
      <c r="S2802" s="5">
        <f t="shared" si="86"/>
        <v>-0.10098118571456774</v>
      </c>
      <c r="T2802">
        <v>189.94874999999999</v>
      </c>
      <c r="U2802">
        <v>10</v>
      </c>
      <c r="V2802">
        <v>2023</v>
      </c>
      <c r="W2802">
        <v>4</v>
      </c>
      <c r="X2802" t="s">
        <v>9898</v>
      </c>
      <c r="Y2802" t="s">
        <v>9902</v>
      </c>
      <c r="Z2802" t="s">
        <v>9898</v>
      </c>
      <c r="AD2802">
        <f t="shared" si="87"/>
        <v>6</v>
      </c>
    </row>
    <row r="2803" spans="1:30" x14ac:dyDescent="0.25">
      <c r="A2803" t="s">
        <v>2827</v>
      </c>
      <c r="B2803" s="2">
        <v>44885</v>
      </c>
      <c r="C2803" s="2">
        <v>44886</v>
      </c>
      <c r="D2803" t="s">
        <v>5084</v>
      </c>
      <c r="E2803" t="s">
        <v>5584</v>
      </c>
      <c r="F2803" t="s">
        <v>6028</v>
      </c>
      <c r="G2803" t="s">
        <v>6031</v>
      </c>
      <c r="H2803" t="s">
        <v>6040</v>
      </c>
      <c r="I2803" t="s">
        <v>6048</v>
      </c>
      <c r="J2803" t="s">
        <v>6055</v>
      </c>
      <c r="K2803" t="s">
        <v>6061</v>
      </c>
      <c r="L2803" t="s">
        <v>8468</v>
      </c>
      <c r="M2803">
        <v>1541.15</v>
      </c>
      <c r="N2803">
        <v>6</v>
      </c>
      <c r="O2803">
        <v>0.15</v>
      </c>
      <c r="P2803">
        <v>164.36</v>
      </c>
      <c r="Q2803" t="s">
        <v>9896</v>
      </c>
      <c r="R2803">
        <v>1</v>
      </c>
      <c r="S2803" s="5">
        <f t="shared" si="86"/>
        <v>0.10664763326087662</v>
      </c>
      <c r="T2803">
        <v>256.85833333333329</v>
      </c>
      <c r="U2803">
        <v>11</v>
      </c>
      <c r="V2803">
        <v>2022</v>
      </c>
      <c r="W2803">
        <v>4</v>
      </c>
      <c r="X2803" t="s">
        <v>9899</v>
      </c>
      <c r="Y2803" t="s">
        <v>9901</v>
      </c>
      <c r="Z2803" t="s">
        <v>9898</v>
      </c>
      <c r="AD2803">
        <f t="shared" si="87"/>
        <v>1</v>
      </c>
    </row>
    <row r="2804" spans="1:30" x14ac:dyDescent="0.25">
      <c r="A2804" t="s">
        <v>2828</v>
      </c>
      <c r="B2804" s="2">
        <v>45197</v>
      </c>
      <c r="C2804" s="2">
        <v>45203</v>
      </c>
      <c r="D2804" t="s">
        <v>5441</v>
      </c>
      <c r="E2804" t="s">
        <v>5941</v>
      </c>
      <c r="F2804" t="s">
        <v>6027</v>
      </c>
      <c r="G2804" t="s">
        <v>6030</v>
      </c>
      <c r="H2804" t="s">
        <v>6038</v>
      </c>
      <c r="I2804" t="s">
        <v>6047</v>
      </c>
      <c r="J2804" t="s">
        <v>6055</v>
      </c>
      <c r="K2804" t="s">
        <v>6061</v>
      </c>
      <c r="L2804" t="s">
        <v>8469</v>
      </c>
      <c r="M2804">
        <v>544.59</v>
      </c>
      <c r="N2804">
        <v>1</v>
      </c>
      <c r="O2804">
        <v>0.03</v>
      </c>
      <c r="P2804">
        <v>69.599999999999994</v>
      </c>
      <c r="Q2804" t="s">
        <v>9897</v>
      </c>
      <c r="R2804">
        <v>6</v>
      </c>
      <c r="S2804" s="5">
        <f t="shared" si="86"/>
        <v>0.12780256706880402</v>
      </c>
      <c r="T2804">
        <v>544.59</v>
      </c>
      <c r="U2804">
        <v>9</v>
      </c>
      <c r="V2804">
        <v>2023</v>
      </c>
      <c r="W2804">
        <v>3</v>
      </c>
      <c r="X2804" t="s">
        <v>9899</v>
      </c>
      <c r="Y2804" t="s">
        <v>9901</v>
      </c>
      <c r="Z2804" t="s">
        <v>9899</v>
      </c>
      <c r="AD2804">
        <f t="shared" si="87"/>
        <v>6</v>
      </c>
    </row>
    <row r="2805" spans="1:30" x14ac:dyDescent="0.25">
      <c r="A2805" t="s">
        <v>2829</v>
      </c>
      <c r="B2805" s="2">
        <v>45001</v>
      </c>
      <c r="C2805" s="2">
        <v>45004</v>
      </c>
      <c r="D2805" t="s">
        <v>5501</v>
      </c>
      <c r="E2805" t="s">
        <v>6001</v>
      </c>
      <c r="F2805" t="s">
        <v>6026</v>
      </c>
      <c r="G2805" t="s">
        <v>6029</v>
      </c>
      <c r="H2805" t="s">
        <v>6044</v>
      </c>
      <c r="I2805" t="s">
        <v>6046</v>
      </c>
      <c r="J2805" t="s">
        <v>6054</v>
      </c>
      <c r="K2805" t="s">
        <v>6060</v>
      </c>
      <c r="L2805" t="s">
        <v>7876</v>
      </c>
      <c r="M2805">
        <v>1737.5</v>
      </c>
      <c r="N2805">
        <v>6</v>
      </c>
      <c r="O2805">
        <v>0.11</v>
      </c>
      <c r="P2805">
        <v>125.01</v>
      </c>
      <c r="Q2805" t="s">
        <v>9895</v>
      </c>
      <c r="R2805">
        <v>3</v>
      </c>
      <c r="S2805" s="5">
        <f t="shared" si="86"/>
        <v>7.1948201438848919E-2</v>
      </c>
      <c r="T2805">
        <v>289.58333333333331</v>
      </c>
      <c r="U2805">
        <v>3</v>
      </c>
      <c r="V2805">
        <v>2023</v>
      </c>
      <c r="W2805">
        <v>1</v>
      </c>
      <c r="X2805" t="s">
        <v>9899</v>
      </c>
      <c r="Y2805" t="s">
        <v>9901</v>
      </c>
      <c r="Z2805" t="s">
        <v>9898</v>
      </c>
      <c r="AD2805">
        <f t="shared" si="87"/>
        <v>3</v>
      </c>
    </row>
    <row r="2806" spans="1:30" x14ac:dyDescent="0.25">
      <c r="A2806" t="s">
        <v>2830</v>
      </c>
      <c r="B2806" s="2">
        <v>44716</v>
      </c>
      <c r="C2806" s="2">
        <v>44720</v>
      </c>
      <c r="D2806" t="s">
        <v>5214</v>
      </c>
      <c r="E2806" t="s">
        <v>5714</v>
      </c>
      <c r="F2806" t="s">
        <v>6027</v>
      </c>
      <c r="G2806" t="s">
        <v>6029</v>
      </c>
      <c r="H2806" t="s">
        <v>6045</v>
      </c>
      <c r="I2806" t="s">
        <v>6049</v>
      </c>
      <c r="J2806" t="s">
        <v>6055</v>
      </c>
      <c r="K2806" t="s">
        <v>6063</v>
      </c>
      <c r="L2806" t="s">
        <v>8470</v>
      </c>
      <c r="M2806">
        <v>887.82</v>
      </c>
      <c r="N2806">
        <v>4</v>
      </c>
      <c r="O2806">
        <v>0.3</v>
      </c>
      <c r="P2806">
        <v>-140.88999999999999</v>
      </c>
      <c r="Q2806" t="s">
        <v>9893</v>
      </c>
      <c r="R2806">
        <v>4</v>
      </c>
      <c r="S2806" s="5">
        <f t="shared" si="86"/>
        <v>-0.15869207722286047</v>
      </c>
      <c r="T2806">
        <v>221.95500000000001</v>
      </c>
      <c r="U2806">
        <v>6</v>
      </c>
      <c r="V2806">
        <v>2022</v>
      </c>
      <c r="W2806">
        <v>2</v>
      </c>
      <c r="X2806" t="s">
        <v>9898</v>
      </c>
      <c r="Y2806" t="s">
        <v>9900</v>
      </c>
      <c r="Z2806" t="s">
        <v>9899</v>
      </c>
      <c r="AD2806">
        <f t="shared" si="87"/>
        <v>4</v>
      </c>
    </row>
    <row r="2807" spans="1:30" x14ac:dyDescent="0.25">
      <c r="A2807" t="s">
        <v>2831</v>
      </c>
      <c r="B2807" s="2">
        <v>45130</v>
      </c>
      <c r="C2807" s="2">
        <v>45134</v>
      </c>
      <c r="D2807" t="s">
        <v>5448</v>
      </c>
      <c r="E2807" t="s">
        <v>5948</v>
      </c>
      <c r="F2807" t="s">
        <v>6026</v>
      </c>
      <c r="G2807" t="s">
        <v>6031</v>
      </c>
      <c r="H2807" t="s">
        <v>6043</v>
      </c>
      <c r="I2807" t="s">
        <v>6048</v>
      </c>
      <c r="J2807" t="s">
        <v>6055</v>
      </c>
      <c r="K2807" t="s">
        <v>6061</v>
      </c>
      <c r="L2807" t="s">
        <v>6205</v>
      </c>
      <c r="M2807">
        <v>1374.17</v>
      </c>
      <c r="N2807">
        <v>2</v>
      </c>
      <c r="O2807">
        <v>0.23</v>
      </c>
      <c r="P2807">
        <v>-27.16</v>
      </c>
      <c r="Q2807" t="s">
        <v>9897</v>
      </c>
      <c r="R2807">
        <v>4</v>
      </c>
      <c r="S2807" s="5">
        <f t="shared" si="86"/>
        <v>-1.976465793897407E-2</v>
      </c>
      <c r="T2807">
        <v>687.08500000000004</v>
      </c>
      <c r="U2807">
        <v>7</v>
      </c>
      <c r="V2807">
        <v>2023</v>
      </c>
      <c r="W2807">
        <v>3</v>
      </c>
      <c r="X2807" t="s">
        <v>9898</v>
      </c>
      <c r="Y2807" t="s">
        <v>9900</v>
      </c>
      <c r="Z2807" t="s">
        <v>9898</v>
      </c>
      <c r="AD2807">
        <f t="shared" si="87"/>
        <v>4</v>
      </c>
    </row>
    <row r="2808" spans="1:30" x14ac:dyDescent="0.25">
      <c r="A2808" t="s">
        <v>2832</v>
      </c>
      <c r="B2808" s="2">
        <v>45224</v>
      </c>
      <c r="C2808" s="2">
        <v>45229</v>
      </c>
      <c r="D2808" t="s">
        <v>5257</v>
      </c>
      <c r="E2808" t="s">
        <v>5757</v>
      </c>
      <c r="F2808" t="s">
        <v>6027</v>
      </c>
      <c r="G2808" t="s">
        <v>6029</v>
      </c>
      <c r="H2808" t="s">
        <v>6044</v>
      </c>
      <c r="I2808" t="s">
        <v>6046</v>
      </c>
      <c r="J2808" t="s">
        <v>6055</v>
      </c>
      <c r="K2808" t="s">
        <v>6063</v>
      </c>
      <c r="L2808" t="s">
        <v>6953</v>
      </c>
      <c r="M2808">
        <v>472.56</v>
      </c>
      <c r="N2808">
        <v>3</v>
      </c>
      <c r="O2808">
        <v>0.21</v>
      </c>
      <c r="P2808">
        <v>-45.64</v>
      </c>
      <c r="Q2808" t="s">
        <v>9897</v>
      </c>
      <c r="R2808">
        <v>5</v>
      </c>
      <c r="S2808" s="5">
        <f t="shared" si="86"/>
        <v>-9.658032842390385E-2</v>
      </c>
      <c r="T2808">
        <v>157.52000000000001</v>
      </c>
      <c r="U2808">
        <v>10</v>
      </c>
      <c r="V2808">
        <v>2023</v>
      </c>
      <c r="W2808">
        <v>4</v>
      </c>
      <c r="X2808" t="s">
        <v>9898</v>
      </c>
      <c r="Y2808" t="s">
        <v>9900</v>
      </c>
      <c r="Z2808" t="s">
        <v>9899</v>
      </c>
      <c r="AD2808">
        <f t="shared" si="87"/>
        <v>5</v>
      </c>
    </row>
    <row r="2809" spans="1:30" x14ac:dyDescent="0.25">
      <c r="A2809" t="s">
        <v>2833</v>
      </c>
      <c r="B2809" s="2">
        <v>45183</v>
      </c>
      <c r="C2809" s="2">
        <v>45186</v>
      </c>
      <c r="D2809" t="s">
        <v>5518</v>
      </c>
      <c r="E2809" t="s">
        <v>6018</v>
      </c>
      <c r="F2809" t="s">
        <v>6028</v>
      </c>
      <c r="G2809" t="s">
        <v>6031</v>
      </c>
      <c r="H2809" t="s">
        <v>6042</v>
      </c>
      <c r="I2809" t="s">
        <v>6052</v>
      </c>
      <c r="J2809" t="s">
        <v>6053</v>
      </c>
      <c r="K2809" t="s">
        <v>6058</v>
      </c>
      <c r="L2809" t="s">
        <v>8471</v>
      </c>
      <c r="M2809">
        <v>1705.44</v>
      </c>
      <c r="N2809">
        <v>6</v>
      </c>
      <c r="O2809">
        <v>0.11</v>
      </c>
      <c r="P2809">
        <v>177.59</v>
      </c>
      <c r="Q2809" t="s">
        <v>9896</v>
      </c>
      <c r="R2809">
        <v>3</v>
      </c>
      <c r="S2809" s="5">
        <f t="shared" si="86"/>
        <v>0.10413148512993714</v>
      </c>
      <c r="T2809">
        <v>284.24</v>
      </c>
      <c r="U2809">
        <v>9</v>
      </c>
      <c r="V2809">
        <v>2023</v>
      </c>
      <c r="W2809">
        <v>3</v>
      </c>
      <c r="X2809" t="s">
        <v>9899</v>
      </c>
      <c r="Y2809" t="s">
        <v>9901</v>
      </c>
      <c r="Z2809" t="s">
        <v>9898</v>
      </c>
      <c r="AD2809">
        <f t="shared" si="87"/>
        <v>3</v>
      </c>
    </row>
    <row r="2810" spans="1:30" x14ac:dyDescent="0.25">
      <c r="A2810" t="s">
        <v>2834</v>
      </c>
      <c r="B2810" s="2">
        <v>44794</v>
      </c>
      <c r="C2810" s="2">
        <v>44798</v>
      </c>
      <c r="D2810" t="s">
        <v>5409</v>
      </c>
      <c r="E2810" t="s">
        <v>5909</v>
      </c>
      <c r="F2810" t="s">
        <v>6028</v>
      </c>
      <c r="G2810" t="s">
        <v>6031</v>
      </c>
      <c r="H2810" t="s">
        <v>6034</v>
      </c>
      <c r="I2810" t="s">
        <v>6052</v>
      </c>
      <c r="J2810" t="s">
        <v>6053</v>
      </c>
      <c r="K2810" t="s">
        <v>6057</v>
      </c>
      <c r="L2810" t="s">
        <v>8472</v>
      </c>
      <c r="M2810">
        <v>322.68</v>
      </c>
      <c r="N2810">
        <v>1</v>
      </c>
      <c r="O2810">
        <v>0.3</v>
      </c>
      <c r="P2810">
        <v>-10.65</v>
      </c>
      <c r="Q2810" t="s">
        <v>9893</v>
      </c>
      <c r="R2810">
        <v>4</v>
      </c>
      <c r="S2810" s="5">
        <f t="shared" si="86"/>
        <v>-3.3004834510970624E-2</v>
      </c>
      <c r="T2810">
        <v>322.68</v>
      </c>
      <c r="U2810">
        <v>8</v>
      </c>
      <c r="V2810">
        <v>2022</v>
      </c>
      <c r="W2810">
        <v>3</v>
      </c>
      <c r="X2810" t="s">
        <v>9898</v>
      </c>
      <c r="Y2810" t="s">
        <v>9900</v>
      </c>
      <c r="Z2810" t="s">
        <v>9899</v>
      </c>
      <c r="AD2810">
        <f t="shared" si="87"/>
        <v>4</v>
      </c>
    </row>
    <row r="2811" spans="1:30" x14ac:dyDescent="0.25">
      <c r="A2811" t="s">
        <v>2835</v>
      </c>
      <c r="B2811" s="2">
        <v>45442</v>
      </c>
      <c r="C2811" s="2">
        <v>45445</v>
      </c>
      <c r="D2811" t="s">
        <v>5218</v>
      </c>
      <c r="E2811" t="s">
        <v>5718</v>
      </c>
      <c r="F2811" t="s">
        <v>6027</v>
      </c>
      <c r="G2811" t="s">
        <v>6031</v>
      </c>
      <c r="H2811" t="s">
        <v>6043</v>
      </c>
      <c r="I2811" t="s">
        <v>6050</v>
      </c>
      <c r="J2811" t="s">
        <v>6054</v>
      </c>
      <c r="K2811" t="s">
        <v>6060</v>
      </c>
      <c r="L2811" t="s">
        <v>6185</v>
      </c>
      <c r="M2811">
        <v>1888.5</v>
      </c>
      <c r="N2811">
        <v>4</v>
      </c>
      <c r="O2811">
        <v>0.21</v>
      </c>
      <c r="P2811">
        <v>-179.86</v>
      </c>
      <c r="Q2811" t="s">
        <v>9894</v>
      </c>
      <c r="R2811">
        <v>3</v>
      </c>
      <c r="S2811" s="5">
        <f t="shared" si="86"/>
        <v>-9.523960815462007E-2</v>
      </c>
      <c r="T2811">
        <v>472.125</v>
      </c>
      <c r="U2811">
        <v>5</v>
      </c>
      <c r="V2811">
        <v>2024</v>
      </c>
      <c r="W2811">
        <v>2</v>
      </c>
      <c r="X2811" t="s">
        <v>9898</v>
      </c>
      <c r="Y2811" t="s">
        <v>9900</v>
      </c>
      <c r="Z2811" t="s">
        <v>9898</v>
      </c>
      <c r="AD2811">
        <f t="shared" si="87"/>
        <v>3</v>
      </c>
    </row>
    <row r="2812" spans="1:30" x14ac:dyDescent="0.25">
      <c r="A2812" t="s">
        <v>2836</v>
      </c>
      <c r="B2812" s="2">
        <v>45284</v>
      </c>
      <c r="C2812" s="2">
        <v>45288</v>
      </c>
      <c r="D2812" t="s">
        <v>5368</v>
      </c>
      <c r="E2812" t="s">
        <v>5868</v>
      </c>
      <c r="F2812" t="s">
        <v>6028</v>
      </c>
      <c r="G2812" t="s">
        <v>6029</v>
      </c>
      <c r="H2812" t="s">
        <v>6045</v>
      </c>
      <c r="I2812" t="s">
        <v>6049</v>
      </c>
      <c r="J2812" t="s">
        <v>6054</v>
      </c>
      <c r="K2812" t="s">
        <v>6060</v>
      </c>
      <c r="L2812" t="s">
        <v>8310</v>
      </c>
      <c r="M2812">
        <v>128.66999999999999</v>
      </c>
      <c r="N2812">
        <v>6</v>
      </c>
      <c r="O2812">
        <v>0</v>
      </c>
      <c r="P2812">
        <v>21.12</v>
      </c>
      <c r="Q2812" t="s">
        <v>9894</v>
      </c>
      <c r="R2812">
        <v>4</v>
      </c>
      <c r="S2812" s="5">
        <f t="shared" si="86"/>
        <v>0.1641408253672185</v>
      </c>
      <c r="T2812">
        <v>21.445</v>
      </c>
      <c r="U2812">
        <v>12</v>
      </c>
      <c r="V2812">
        <v>2023</v>
      </c>
      <c r="W2812">
        <v>4</v>
      </c>
      <c r="X2812" t="s">
        <v>9899</v>
      </c>
      <c r="Y2812" t="s">
        <v>9901</v>
      </c>
      <c r="Z2812" t="s">
        <v>9899</v>
      </c>
      <c r="AD2812">
        <f t="shared" si="87"/>
        <v>4</v>
      </c>
    </row>
    <row r="2813" spans="1:30" x14ac:dyDescent="0.25">
      <c r="A2813" t="s">
        <v>2837</v>
      </c>
      <c r="B2813" s="2">
        <v>44935</v>
      </c>
      <c r="C2813" s="2">
        <v>44942</v>
      </c>
      <c r="D2813" t="s">
        <v>5380</v>
      </c>
      <c r="E2813" t="s">
        <v>5880</v>
      </c>
      <c r="F2813" t="s">
        <v>6028</v>
      </c>
      <c r="G2813" t="s">
        <v>6031</v>
      </c>
      <c r="H2813" t="s">
        <v>6042</v>
      </c>
      <c r="I2813" t="s">
        <v>6050</v>
      </c>
      <c r="J2813" t="s">
        <v>6054</v>
      </c>
      <c r="K2813" t="s">
        <v>6062</v>
      </c>
      <c r="L2813" t="s">
        <v>8473</v>
      </c>
      <c r="M2813">
        <v>309.52</v>
      </c>
      <c r="N2813">
        <v>5</v>
      </c>
      <c r="O2813">
        <v>0.04</v>
      </c>
      <c r="P2813">
        <v>42.3</v>
      </c>
      <c r="Q2813" t="s">
        <v>9897</v>
      </c>
      <c r="R2813">
        <v>7</v>
      </c>
      <c r="S2813" s="5">
        <f t="shared" si="86"/>
        <v>0.1366632204704058</v>
      </c>
      <c r="T2813">
        <v>61.904000000000003</v>
      </c>
      <c r="U2813">
        <v>1</v>
      </c>
      <c r="V2813">
        <v>2023</v>
      </c>
      <c r="W2813">
        <v>1</v>
      </c>
      <c r="X2813" t="s">
        <v>9899</v>
      </c>
      <c r="Y2813" t="s">
        <v>9901</v>
      </c>
      <c r="Z2813" t="s">
        <v>9899</v>
      </c>
      <c r="AD2813">
        <f t="shared" si="87"/>
        <v>7</v>
      </c>
    </row>
    <row r="2814" spans="1:30" x14ac:dyDescent="0.25">
      <c r="A2814" t="s">
        <v>2838</v>
      </c>
      <c r="B2814" s="2">
        <v>44956</v>
      </c>
      <c r="C2814" s="2">
        <v>44961</v>
      </c>
      <c r="D2814" t="s">
        <v>5103</v>
      </c>
      <c r="E2814" t="s">
        <v>5603</v>
      </c>
      <c r="F2814" t="s">
        <v>6027</v>
      </c>
      <c r="G2814" t="s">
        <v>6030</v>
      </c>
      <c r="H2814" t="s">
        <v>6038</v>
      </c>
      <c r="I2814" t="s">
        <v>6051</v>
      </c>
      <c r="J2814" t="s">
        <v>6055</v>
      </c>
      <c r="K2814" t="s">
        <v>6063</v>
      </c>
      <c r="L2814" t="s">
        <v>8474</v>
      </c>
      <c r="M2814">
        <v>1952.07</v>
      </c>
      <c r="N2814">
        <v>5</v>
      </c>
      <c r="O2814">
        <v>0.27</v>
      </c>
      <c r="P2814">
        <v>38.71</v>
      </c>
      <c r="Q2814" t="s">
        <v>9897</v>
      </c>
      <c r="R2814">
        <v>5</v>
      </c>
      <c r="S2814" s="5">
        <f t="shared" si="86"/>
        <v>1.9830231497845876E-2</v>
      </c>
      <c r="T2814">
        <v>390.41399999999999</v>
      </c>
      <c r="U2814">
        <v>1</v>
      </c>
      <c r="V2814">
        <v>2023</v>
      </c>
      <c r="W2814">
        <v>1</v>
      </c>
      <c r="X2814" t="s">
        <v>9899</v>
      </c>
      <c r="Y2814" t="s">
        <v>9900</v>
      </c>
      <c r="Z2814" t="s">
        <v>9898</v>
      </c>
      <c r="AD2814">
        <f t="shared" si="87"/>
        <v>5</v>
      </c>
    </row>
    <row r="2815" spans="1:30" x14ac:dyDescent="0.25">
      <c r="A2815" t="s">
        <v>2839</v>
      </c>
      <c r="B2815" s="2">
        <v>44750</v>
      </c>
      <c r="C2815" s="2">
        <v>44757</v>
      </c>
      <c r="D2815" t="s">
        <v>5257</v>
      </c>
      <c r="E2815" t="s">
        <v>5757</v>
      </c>
      <c r="F2815" t="s">
        <v>6027</v>
      </c>
      <c r="G2815" t="s">
        <v>6031</v>
      </c>
      <c r="H2815" t="s">
        <v>6043</v>
      </c>
      <c r="I2815" t="s">
        <v>6048</v>
      </c>
      <c r="J2815" t="s">
        <v>6055</v>
      </c>
      <c r="K2815" t="s">
        <v>6063</v>
      </c>
      <c r="L2815" t="s">
        <v>8475</v>
      </c>
      <c r="M2815">
        <v>1629.85</v>
      </c>
      <c r="N2815">
        <v>5</v>
      </c>
      <c r="O2815">
        <v>0.04</v>
      </c>
      <c r="P2815">
        <v>126.56</v>
      </c>
      <c r="Q2815" t="s">
        <v>9895</v>
      </c>
      <c r="R2815">
        <v>7</v>
      </c>
      <c r="S2815" s="5">
        <f t="shared" si="86"/>
        <v>7.7651317605914663E-2</v>
      </c>
      <c r="T2815">
        <v>325.97000000000003</v>
      </c>
      <c r="U2815">
        <v>7</v>
      </c>
      <c r="V2815">
        <v>2022</v>
      </c>
      <c r="W2815">
        <v>3</v>
      </c>
      <c r="X2815" t="s">
        <v>9899</v>
      </c>
      <c r="Y2815" t="s">
        <v>9901</v>
      </c>
      <c r="Z2815" t="s">
        <v>9898</v>
      </c>
      <c r="AD2815">
        <f t="shared" si="87"/>
        <v>7</v>
      </c>
    </row>
    <row r="2816" spans="1:30" x14ac:dyDescent="0.25">
      <c r="A2816" t="s">
        <v>2840</v>
      </c>
      <c r="B2816" s="2">
        <v>44603</v>
      </c>
      <c r="C2816" s="2">
        <v>44604</v>
      </c>
      <c r="D2816" t="s">
        <v>5414</v>
      </c>
      <c r="E2816" t="s">
        <v>5914</v>
      </c>
      <c r="F2816" t="s">
        <v>6026</v>
      </c>
      <c r="G2816" t="s">
        <v>6029</v>
      </c>
      <c r="H2816" t="s">
        <v>6032</v>
      </c>
      <c r="I2816" t="s">
        <v>6049</v>
      </c>
      <c r="J2816" t="s">
        <v>6055</v>
      </c>
      <c r="K2816" t="s">
        <v>6063</v>
      </c>
      <c r="L2816" t="s">
        <v>8476</v>
      </c>
      <c r="M2816">
        <v>817.18</v>
      </c>
      <c r="N2816">
        <v>5</v>
      </c>
      <c r="O2816">
        <v>0.28999999999999998</v>
      </c>
      <c r="P2816">
        <v>-77.42</v>
      </c>
      <c r="Q2816" t="s">
        <v>9897</v>
      </c>
      <c r="R2816">
        <v>1</v>
      </c>
      <c r="S2816" s="5">
        <f t="shared" si="86"/>
        <v>-9.4740448860716128E-2</v>
      </c>
      <c r="T2816">
        <v>163.43600000000001</v>
      </c>
      <c r="U2816">
        <v>2</v>
      </c>
      <c r="V2816">
        <v>2022</v>
      </c>
      <c r="W2816">
        <v>1</v>
      </c>
      <c r="X2816" t="s">
        <v>9898</v>
      </c>
      <c r="Y2816" t="s">
        <v>9900</v>
      </c>
      <c r="Z2816" t="s">
        <v>9899</v>
      </c>
      <c r="AD2816">
        <f t="shared" si="87"/>
        <v>1</v>
      </c>
    </row>
    <row r="2817" spans="1:30" x14ac:dyDescent="0.25">
      <c r="A2817" t="s">
        <v>2841</v>
      </c>
      <c r="B2817" s="2">
        <v>44678</v>
      </c>
      <c r="C2817" s="2">
        <v>44681</v>
      </c>
      <c r="D2817" t="s">
        <v>5310</v>
      </c>
      <c r="E2817" t="s">
        <v>5810</v>
      </c>
      <c r="F2817" t="s">
        <v>6028</v>
      </c>
      <c r="G2817" t="s">
        <v>6030</v>
      </c>
      <c r="H2817" t="s">
        <v>6035</v>
      </c>
      <c r="I2817" t="s">
        <v>6047</v>
      </c>
      <c r="J2817" t="s">
        <v>6054</v>
      </c>
      <c r="K2817" t="s">
        <v>6062</v>
      </c>
      <c r="L2817" t="s">
        <v>8477</v>
      </c>
      <c r="M2817">
        <v>1071.52</v>
      </c>
      <c r="N2817">
        <v>3</v>
      </c>
      <c r="O2817">
        <v>0.11</v>
      </c>
      <c r="P2817">
        <v>113.49</v>
      </c>
      <c r="Q2817" t="s">
        <v>9895</v>
      </c>
      <c r="R2817">
        <v>3</v>
      </c>
      <c r="S2817" s="5">
        <f t="shared" si="86"/>
        <v>0.10591496192324922</v>
      </c>
      <c r="T2817">
        <v>357.17333333333329</v>
      </c>
      <c r="U2817">
        <v>4</v>
      </c>
      <c r="V2817">
        <v>2022</v>
      </c>
      <c r="W2817">
        <v>2</v>
      </c>
      <c r="X2817" t="s">
        <v>9899</v>
      </c>
      <c r="Y2817" t="s">
        <v>9901</v>
      </c>
      <c r="Z2817" t="s">
        <v>9898</v>
      </c>
      <c r="AD2817">
        <f t="shared" si="87"/>
        <v>3</v>
      </c>
    </row>
    <row r="2818" spans="1:30" x14ac:dyDescent="0.25">
      <c r="A2818" t="s">
        <v>2842</v>
      </c>
      <c r="B2818" s="2">
        <v>45120</v>
      </c>
      <c r="C2818" s="2">
        <v>45124</v>
      </c>
      <c r="D2818" t="s">
        <v>5176</v>
      </c>
      <c r="E2818" t="s">
        <v>5676</v>
      </c>
      <c r="F2818" t="s">
        <v>6026</v>
      </c>
      <c r="G2818" t="s">
        <v>6030</v>
      </c>
      <c r="H2818" t="s">
        <v>6033</v>
      </c>
      <c r="I2818" t="s">
        <v>6051</v>
      </c>
      <c r="J2818" t="s">
        <v>6055</v>
      </c>
      <c r="K2818" t="s">
        <v>6061</v>
      </c>
      <c r="L2818" t="s">
        <v>8478</v>
      </c>
      <c r="M2818">
        <v>1429.4</v>
      </c>
      <c r="N2818">
        <v>1</v>
      </c>
      <c r="O2818">
        <v>0.18</v>
      </c>
      <c r="P2818">
        <v>133.46</v>
      </c>
      <c r="Q2818" t="s">
        <v>9893</v>
      </c>
      <c r="R2818">
        <v>4</v>
      </c>
      <c r="S2818" s="5">
        <f t="shared" si="86"/>
        <v>9.3367846648943612E-2</v>
      </c>
      <c r="T2818">
        <v>1429.4</v>
      </c>
      <c r="U2818">
        <v>7</v>
      </c>
      <c r="V2818">
        <v>2023</v>
      </c>
      <c r="W2818">
        <v>3</v>
      </c>
      <c r="X2818" t="s">
        <v>9899</v>
      </c>
      <c r="Y2818" t="s">
        <v>9900</v>
      </c>
      <c r="Z2818" t="s">
        <v>9898</v>
      </c>
      <c r="AD2818">
        <f t="shared" si="87"/>
        <v>4</v>
      </c>
    </row>
    <row r="2819" spans="1:30" x14ac:dyDescent="0.25">
      <c r="A2819" t="s">
        <v>2843</v>
      </c>
      <c r="B2819" s="2">
        <v>45265</v>
      </c>
      <c r="C2819" s="2">
        <v>45271</v>
      </c>
      <c r="D2819" t="s">
        <v>5493</v>
      </c>
      <c r="E2819" t="s">
        <v>5993</v>
      </c>
      <c r="F2819" t="s">
        <v>6027</v>
      </c>
      <c r="G2819" t="s">
        <v>6030</v>
      </c>
      <c r="H2819" t="s">
        <v>6038</v>
      </c>
      <c r="I2819" t="s">
        <v>6047</v>
      </c>
      <c r="J2819" t="s">
        <v>6054</v>
      </c>
      <c r="K2819" t="s">
        <v>6060</v>
      </c>
      <c r="L2819" t="s">
        <v>8479</v>
      </c>
      <c r="M2819">
        <v>1136.02</v>
      </c>
      <c r="N2819">
        <v>1</v>
      </c>
      <c r="O2819">
        <v>0.03</v>
      </c>
      <c r="P2819">
        <v>229.25</v>
      </c>
      <c r="Q2819" t="s">
        <v>9895</v>
      </c>
      <c r="R2819">
        <v>6</v>
      </c>
      <c r="S2819" s="5">
        <f t="shared" ref="S2819:S2882" si="88">P2819/M2819</f>
        <v>0.20180102462984806</v>
      </c>
      <c r="T2819">
        <v>1136.02</v>
      </c>
      <c r="U2819">
        <v>12</v>
      </c>
      <c r="V2819">
        <v>2023</v>
      </c>
      <c r="W2819">
        <v>4</v>
      </c>
      <c r="X2819" t="s">
        <v>9899</v>
      </c>
      <c r="Y2819" t="s">
        <v>9901</v>
      </c>
      <c r="Z2819" t="s">
        <v>9898</v>
      </c>
      <c r="AD2819">
        <f t="shared" ref="AD2819:AD2882" si="89">C2819-B2819</f>
        <v>6</v>
      </c>
    </row>
    <row r="2820" spans="1:30" x14ac:dyDescent="0.25">
      <c r="A2820" t="s">
        <v>2844</v>
      </c>
      <c r="B2820" s="2">
        <v>45205</v>
      </c>
      <c r="C2820" s="2">
        <v>45210</v>
      </c>
      <c r="D2820" t="s">
        <v>5443</v>
      </c>
      <c r="E2820" t="s">
        <v>5943</v>
      </c>
      <c r="F2820" t="s">
        <v>6027</v>
      </c>
      <c r="G2820" t="s">
        <v>6030</v>
      </c>
      <c r="H2820" t="s">
        <v>6035</v>
      </c>
      <c r="I2820" t="s">
        <v>6047</v>
      </c>
      <c r="J2820" t="s">
        <v>6055</v>
      </c>
      <c r="K2820" t="s">
        <v>6063</v>
      </c>
      <c r="L2820" t="s">
        <v>8480</v>
      </c>
      <c r="M2820">
        <v>782.08</v>
      </c>
      <c r="N2820">
        <v>5</v>
      </c>
      <c r="O2820">
        <v>0.17</v>
      </c>
      <c r="P2820">
        <v>45.86</v>
      </c>
      <c r="Q2820" t="s">
        <v>9896</v>
      </c>
      <c r="R2820">
        <v>5</v>
      </c>
      <c r="S2820" s="5">
        <f t="shared" si="88"/>
        <v>5.863850245499181E-2</v>
      </c>
      <c r="T2820">
        <v>156.416</v>
      </c>
      <c r="U2820">
        <v>10</v>
      </c>
      <c r="V2820">
        <v>2023</v>
      </c>
      <c r="W2820">
        <v>4</v>
      </c>
      <c r="X2820" t="s">
        <v>9899</v>
      </c>
      <c r="Y2820" t="s">
        <v>9900</v>
      </c>
      <c r="Z2820" t="s">
        <v>9899</v>
      </c>
      <c r="AD2820">
        <f t="shared" si="89"/>
        <v>5</v>
      </c>
    </row>
    <row r="2821" spans="1:30" x14ac:dyDescent="0.25">
      <c r="A2821" t="s">
        <v>2845</v>
      </c>
      <c r="B2821" s="2">
        <v>45359</v>
      </c>
      <c r="C2821" s="2">
        <v>45364</v>
      </c>
      <c r="D2821" t="s">
        <v>5256</v>
      </c>
      <c r="E2821" t="s">
        <v>5756</v>
      </c>
      <c r="F2821" t="s">
        <v>6026</v>
      </c>
      <c r="G2821" t="s">
        <v>6030</v>
      </c>
      <c r="H2821" t="s">
        <v>6035</v>
      </c>
      <c r="I2821" t="s">
        <v>6047</v>
      </c>
      <c r="J2821" t="s">
        <v>6054</v>
      </c>
      <c r="K2821" t="s">
        <v>6062</v>
      </c>
      <c r="L2821" t="s">
        <v>8481</v>
      </c>
      <c r="M2821">
        <v>1971.41</v>
      </c>
      <c r="N2821">
        <v>7</v>
      </c>
      <c r="O2821">
        <v>0.28000000000000003</v>
      </c>
      <c r="P2821">
        <v>-188.64</v>
      </c>
      <c r="Q2821" t="s">
        <v>9896</v>
      </c>
      <c r="R2821">
        <v>5</v>
      </c>
      <c r="S2821" s="5">
        <f t="shared" si="88"/>
        <v>-9.5687857929096426E-2</v>
      </c>
      <c r="T2821">
        <v>281.63</v>
      </c>
      <c r="U2821">
        <v>3</v>
      </c>
      <c r="V2821">
        <v>2024</v>
      </c>
      <c r="W2821">
        <v>1</v>
      </c>
      <c r="X2821" t="s">
        <v>9898</v>
      </c>
      <c r="Y2821" t="s">
        <v>9900</v>
      </c>
      <c r="Z2821" t="s">
        <v>9898</v>
      </c>
      <c r="AD2821">
        <f t="shared" si="89"/>
        <v>5</v>
      </c>
    </row>
    <row r="2822" spans="1:30" x14ac:dyDescent="0.25">
      <c r="A2822" t="s">
        <v>2846</v>
      </c>
      <c r="B2822" s="2">
        <v>45200</v>
      </c>
      <c r="C2822" s="2">
        <v>45206</v>
      </c>
      <c r="D2822" t="s">
        <v>5482</v>
      </c>
      <c r="E2822" t="s">
        <v>5982</v>
      </c>
      <c r="F2822" t="s">
        <v>6026</v>
      </c>
      <c r="G2822" t="s">
        <v>6031</v>
      </c>
      <c r="H2822" t="s">
        <v>6034</v>
      </c>
      <c r="I2822" t="s">
        <v>6052</v>
      </c>
      <c r="J2822" t="s">
        <v>6053</v>
      </c>
      <c r="K2822" t="s">
        <v>6058</v>
      </c>
      <c r="L2822" t="s">
        <v>7808</v>
      </c>
      <c r="M2822">
        <v>469.62</v>
      </c>
      <c r="N2822">
        <v>7</v>
      </c>
      <c r="O2822">
        <v>7.0000000000000007E-2</v>
      </c>
      <c r="P2822">
        <v>99.59</v>
      </c>
      <c r="Q2822" t="s">
        <v>9894</v>
      </c>
      <c r="R2822">
        <v>6</v>
      </c>
      <c r="S2822" s="5">
        <f t="shared" si="88"/>
        <v>0.21206507388952772</v>
      </c>
      <c r="T2822">
        <v>67.088571428571427</v>
      </c>
      <c r="U2822">
        <v>10</v>
      </c>
      <c r="V2822">
        <v>2023</v>
      </c>
      <c r="W2822">
        <v>4</v>
      </c>
      <c r="X2822" t="s">
        <v>9899</v>
      </c>
      <c r="Y2822" t="s">
        <v>9901</v>
      </c>
      <c r="Z2822" t="s">
        <v>9899</v>
      </c>
      <c r="AD2822">
        <f t="shared" si="89"/>
        <v>6</v>
      </c>
    </row>
    <row r="2823" spans="1:30" x14ac:dyDescent="0.25">
      <c r="A2823" t="s">
        <v>2847</v>
      </c>
      <c r="B2823" s="2">
        <v>45410</v>
      </c>
      <c r="C2823" s="2">
        <v>45413</v>
      </c>
      <c r="D2823" t="s">
        <v>5331</v>
      </c>
      <c r="E2823" t="s">
        <v>5831</v>
      </c>
      <c r="F2823" t="s">
        <v>6028</v>
      </c>
      <c r="G2823" t="s">
        <v>6030</v>
      </c>
      <c r="H2823" t="s">
        <v>6035</v>
      </c>
      <c r="I2823" t="s">
        <v>6047</v>
      </c>
      <c r="J2823" t="s">
        <v>6054</v>
      </c>
      <c r="K2823" t="s">
        <v>6059</v>
      </c>
      <c r="L2823" t="s">
        <v>7131</v>
      </c>
      <c r="M2823">
        <v>1442.86</v>
      </c>
      <c r="N2823">
        <v>8</v>
      </c>
      <c r="O2823">
        <v>0.14000000000000001</v>
      </c>
      <c r="P2823">
        <v>70.58</v>
      </c>
      <c r="Q2823" t="s">
        <v>9896</v>
      </c>
      <c r="R2823">
        <v>3</v>
      </c>
      <c r="S2823" s="5">
        <f t="shared" si="88"/>
        <v>4.8916734818346894E-2</v>
      </c>
      <c r="T2823">
        <v>180.35749999999999</v>
      </c>
      <c r="U2823">
        <v>4</v>
      </c>
      <c r="V2823">
        <v>2024</v>
      </c>
      <c r="W2823">
        <v>2</v>
      </c>
      <c r="X2823" t="s">
        <v>9899</v>
      </c>
      <c r="Y2823" t="s">
        <v>9901</v>
      </c>
      <c r="Z2823" t="s">
        <v>9898</v>
      </c>
      <c r="AD2823">
        <f t="shared" si="89"/>
        <v>3</v>
      </c>
    </row>
    <row r="2824" spans="1:30" x14ac:dyDescent="0.25">
      <c r="A2824" t="s">
        <v>2848</v>
      </c>
      <c r="B2824" s="2">
        <v>44715</v>
      </c>
      <c r="C2824" s="2">
        <v>44722</v>
      </c>
      <c r="D2824" t="s">
        <v>5047</v>
      </c>
      <c r="E2824" t="s">
        <v>5547</v>
      </c>
      <c r="F2824" t="s">
        <v>6026</v>
      </c>
      <c r="G2824" t="s">
        <v>6029</v>
      </c>
      <c r="H2824" t="s">
        <v>6032</v>
      </c>
      <c r="I2824" t="s">
        <v>6049</v>
      </c>
      <c r="J2824" t="s">
        <v>6055</v>
      </c>
      <c r="K2824" t="s">
        <v>6064</v>
      </c>
      <c r="L2824" t="s">
        <v>8482</v>
      </c>
      <c r="M2824">
        <v>260.13</v>
      </c>
      <c r="N2824">
        <v>8</v>
      </c>
      <c r="O2824">
        <v>0.24</v>
      </c>
      <c r="P2824">
        <v>-24.22</v>
      </c>
      <c r="Q2824" t="s">
        <v>9897</v>
      </c>
      <c r="R2824">
        <v>7</v>
      </c>
      <c r="S2824" s="5">
        <f t="shared" si="88"/>
        <v>-9.3107292507592351E-2</v>
      </c>
      <c r="T2824">
        <v>32.516249999999999</v>
      </c>
      <c r="U2824">
        <v>6</v>
      </c>
      <c r="V2824">
        <v>2022</v>
      </c>
      <c r="W2824">
        <v>2</v>
      </c>
      <c r="X2824" t="s">
        <v>9898</v>
      </c>
      <c r="Y2824" t="s">
        <v>9900</v>
      </c>
      <c r="Z2824" t="s">
        <v>9899</v>
      </c>
      <c r="AD2824">
        <f t="shared" si="89"/>
        <v>7</v>
      </c>
    </row>
    <row r="2825" spans="1:30" x14ac:dyDescent="0.25">
      <c r="A2825" t="s">
        <v>2849</v>
      </c>
      <c r="B2825" s="2">
        <v>44693</v>
      </c>
      <c r="C2825" s="2">
        <v>44700</v>
      </c>
      <c r="D2825" t="s">
        <v>5104</v>
      </c>
      <c r="E2825" t="s">
        <v>5604</v>
      </c>
      <c r="F2825" t="s">
        <v>6027</v>
      </c>
      <c r="G2825" t="s">
        <v>6030</v>
      </c>
      <c r="H2825" t="s">
        <v>6039</v>
      </c>
      <c r="I2825" t="s">
        <v>6051</v>
      </c>
      <c r="J2825" t="s">
        <v>6053</v>
      </c>
      <c r="K2825" t="s">
        <v>6058</v>
      </c>
      <c r="L2825" t="s">
        <v>8483</v>
      </c>
      <c r="M2825">
        <v>893.43</v>
      </c>
      <c r="N2825">
        <v>2</v>
      </c>
      <c r="O2825">
        <v>0.14000000000000001</v>
      </c>
      <c r="P2825">
        <v>131.11000000000001</v>
      </c>
      <c r="Q2825" t="s">
        <v>9895</v>
      </c>
      <c r="R2825">
        <v>7</v>
      </c>
      <c r="S2825" s="5">
        <f t="shared" si="88"/>
        <v>0.14674904581220691</v>
      </c>
      <c r="T2825">
        <v>446.71499999999997</v>
      </c>
      <c r="U2825">
        <v>5</v>
      </c>
      <c r="V2825">
        <v>2022</v>
      </c>
      <c r="W2825">
        <v>2</v>
      </c>
      <c r="X2825" t="s">
        <v>9899</v>
      </c>
      <c r="Y2825" t="s">
        <v>9901</v>
      </c>
      <c r="Z2825" t="s">
        <v>9899</v>
      </c>
      <c r="AD2825">
        <f t="shared" si="89"/>
        <v>7</v>
      </c>
    </row>
    <row r="2826" spans="1:30" x14ac:dyDescent="0.25">
      <c r="A2826" t="s">
        <v>2850</v>
      </c>
      <c r="B2826" s="2">
        <v>45387</v>
      </c>
      <c r="C2826" s="2">
        <v>45394</v>
      </c>
      <c r="D2826" t="s">
        <v>5275</v>
      </c>
      <c r="E2826" t="s">
        <v>5775</v>
      </c>
      <c r="F2826" t="s">
        <v>6026</v>
      </c>
      <c r="G2826" t="s">
        <v>6029</v>
      </c>
      <c r="H2826" t="s">
        <v>6045</v>
      </c>
      <c r="I2826" t="s">
        <v>6049</v>
      </c>
      <c r="J2826" t="s">
        <v>6055</v>
      </c>
      <c r="K2826" t="s">
        <v>6063</v>
      </c>
      <c r="L2826" t="s">
        <v>8484</v>
      </c>
      <c r="M2826">
        <v>146.38</v>
      </c>
      <c r="N2826">
        <v>4</v>
      </c>
      <c r="O2826">
        <v>0.16</v>
      </c>
      <c r="P2826">
        <v>3.29</v>
      </c>
      <c r="Q2826" t="s">
        <v>9896</v>
      </c>
      <c r="R2826">
        <v>7</v>
      </c>
      <c r="S2826" s="5">
        <f t="shared" si="88"/>
        <v>2.2475748053012709E-2</v>
      </c>
      <c r="T2826">
        <v>36.594999999999999</v>
      </c>
      <c r="U2826">
        <v>4</v>
      </c>
      <c r="V2826">
        <v>2024</v>
      </c>
      <c r="W2826">
        <v>2</v>
      </c>
      <c r="X2826" t="s">
        <v>9899</v>
      </c>
      <c r="Y2826" t="s">
        <v>9900</v>
      </c>
      <c r="Z2826" t="s">
        <v>9899</v>
      </c>
      <c r="AD2826">
        <f t="shared" si="89"/>
        <v>7</v>
      </c>
    </row>
    <row r="2827" spans="1:30" x14ac:dyDescent="0.25">
      <c r="A2827" t="s">
        <v>2851</v>
      </c>
      <c r="B2827" s="2">
        <v>44766</v>
      </c>
      <c r="C2827" s="2">
        <v>44772</v>
      </c>
      <c r="D2827" t="s">
        <v>5319</v>
      </c>
      <c r="E2827" t="s">
        <v>5819</v>
      </c>
      <c r="F2827" t="s">
        <v>6028</v>
      </c>
      <c r="G2827" t="s">
        <v>6029</v>
      </c>
      <c r="H2827" t="s">
        <v>6045</v>
      </c>
      <c r="I2827" t="s">
        <v>6049</v>
      </c>
      <c r="J2827" t="s">
        <v>6054</v>
      </c>
      <c r="K2827" t="s">
        <v>6059</v>
      </c>
      <c r="L2827" t="s">
        <v>8485</v>
      </c>
      <c r="M2827">
        <v>1811.11</v>
      </c>
      <c r="N2827">
        <v>7</v>
      </c>
      <c r="O2827">
        <v>0.12</v>
      </c>
      <c r="P2827">
        <v>170.33</v>
      </c>
      <c r="Q2827" t="s">
        <v>9893</v>
      </c>
      <c r="R2827">
        <v>6</v>
      </c>
      <c r="S2827" s="5">
        <f t="shared" si="88"/>
        <v>9.4047296961531884E-2</v>
      </c>
      <c r="T2827">
        <v>258.73</v>
      </c>
      <c r="U2827">
        <v>7</v>
      </c>
      <c r="V2827">
        <v>2022</v>
      </c>
      <c r="W2827">
        <v>3</v>
      </c>
      <c r="X2827" t="s">
        <v>9899</v>
      </c>
      <c r="Y2827" t="s">
        <v>9901</v>
      </c>
      <c r="Z2827" t="s">
        <v>9898</v>
      </c>
      <c r="AD2827">
        <f t="shared" si="89"/>
        <v>6</v>
      </c>
    </row>
    <row r="2828" spans="1:30" x14ac:dyDescent="0.25">
      <c r="A2828" t="s">
        <v>2852</v>
      </c>
      <c r="B2828" s="2">
        <v>44783</v>
      </c>
      <c r="C2828" s="2">
        <v>44789</v>
      </c>
      <c r="D2828" t="s">
        <v>5506</v>
      </c>
      <c r="E2828" t="s">
        <v>6006</v>
      </c>
      <c r="F2828" t="s">
        <v>6026</v>
      </c>
      <c r="G2828" t="s">
        <v>6030</v>
      </c>
      <c r="H2828" t="s">
        <v>6033</v>
      </c>
      <c r="I2828" t="s">
        <v>6047</v>
      </c>
      <c r="J2828" t="s">
        <v>6054</v>
      </c>
      <c r="K2828" t="s">
        <v>6060</v>
      </c>
      <c r="L2828" t="s">
        <v>8452</v>
      </c>
      <c r="M2828">
        <v>423.06</v>
      </c>
      <c r="N2828">
        <v>4</v>
      </c>
      <c r="O2828">
        <v>0.31</v>
      </c>
      <c r="P2828">
        <v>-39.270000000000003</v>
      </c>
      <c r="Q2828" t="s">
        <v>9893</v>
      </c>
      <c r="R2828">
        <v>6</v>
      </c>
      <c r="S2828" s="5">
        <f t="shared" si="88"/>
        <v>-9.2823712948517947E-2</v>
      </c>
      <c r="T2828">
        <v>105.765</v>
      </c>
      <c r="U2828">
        <v>8</v>
      </c>
      <c r="V2828">
        <v>2022</v>
      </c>
      <c r="W2828">
        <v>3</v>
      </c>
      <c r="X2828" t="s">
        <v>9898</v>
      </c>
      <c r="Y2828" t="s">
        <v>9902</v>
      </c>
      <c r="Z2828" t="s">
        <v>9899</v>
      </c>
      <c r="AD2828">
        <f t="shared" si="89"/>
        <v>6</v>
      </c>
    </row>
    <row r="2829" spans="1:30" x14ac:dyDescent="0.25">
      <c r="A2829" t="s">
        <v>2853</v>
      </c>
      <c r="B2829" s="2">
        <v>44959</v>
      </c>
      <c r="C2829" s="2">
        <v>44964</v>
      </c>
      <c r="D2829" t="s">
        <v>5453</v>
      </c>
      <c r="E2829" t="s">
        <v>5953</v>
      </c>
      <c r="F2829" t="s">
        <v>6028</v>
      </c>
      <c r="G2829" t="s">
        <v>6031</v>
      </c>
      <c r="H2829" t="s">
        <v>6043</v>
      </c>
      <c r="I2829" t="s">
        <v>6052</v>
      </c>
      <c r="J2829" t="s">
        <v>6053</v>
      </c>
      <c r="K2829" t="s">
        <v>6056</v>
      </c>
      <c r="L2829" t="s">
        <v>6483</v>
      </c>
      <c r="M2829">
        <v>1761.65</v>
      </c>
      <c r="N2829">
        <v>7</v>
      </c>
      <c r="O2829">
        <v>0.15</v>
      </c>
      <c r="P2829">
        <v>69.069999999999993</v>
      </c>
      <c r="Q2829" t="s">
        <v>9893</v>
      </c>
      <c r="R2829">
        <v>5</v>
      </c>
      <c r="S2829" s="5">
        <f t="shared" si="88"/>
        <v>3.9207561093293215E-2</v>
      </c>
      <c r="T2829">
        <v>251.66428571428571</v>
      </c>
      <c r="U2829">
        <v>2</v>
      </c>
      <c r="V2829">
        <v>2023</v>
      </c>
      <c r="W2829">
        <v>1</v>
      </c>
      <c r="X2829" t="s">
        <v>9899</v>
      </c>
      <c r="Y2829" t="s">
        <v>9901</v>
      </c>
      <c r="Z2829" t="s">
        <v>9898</v>
      </c>
      <c r="AD2829">
        <f t="shared" si="89"/>
        <v>5</v>
      </c>
    </row>
    <row r="2830" spans="1:30" x14ac:dyDescent="0.25">
      <c r="A2830" t="s">
        <v>2854</v>
      </c>
      <c r="B2830" s="2">
        <v>44764</v>
      </c>
      <c r="C2830" s="2">
        <v>44765</v>
      </c>
      <c r="D2830" t="s">
        <v>5379</v>
      </c>
      <c r="E2830" t="s">
        <v>5879</v>
      </c>
      <c r="F2830" t="s">
        <v>6026</v>
      </c>
      <c r="G2830" t="s">
        <v>6030</v>
      </c>
      <c r="H2830" t="s">
        <v>6033</v>
      </c>
      <c r="I2830" t="s">
        <v>6047</v>
      </c>
      <c r="J2830" t="s">
        <v>6053</v>
      </c>
      <c r="K2830" t="s">
        <v>6058</v>
      </c>
      <c r="L2830" t="s">
        <v>8486</v>
      </c>
      <c r="M2830">
        <v>1393.65</v>
      </c>
      <c r="N2830">
        <v>3</v>
      </c>
      <c r="O2830">
        <v>0.32</v>
      </c>
      <c r="P2830">
        <v>-176.01</v>
      </c>
      <c r="Q2830" t="s">
        <v>9897</v>
      </c>
      <c r="R2830">
        <v>1</v>
      </c>
      <c r="S2830" s="5">
        <f t="shared" si="88"/>
        <v>-0.12629426326552576</v>
      </c>
      <c r="T2830">
        <v>464.55</v>
      </c>
      <c r="U2830">
        <v>7</v>
      </c>
      <c r="V2830">
        <v>2022</v>
      </c>
      <c r="W2830">
        <v>3</v>
      </c>
      <c r="X2830" t="s">
        <v>9898</v>
      </c>
      <c r="Y2830" t="s">
        <v>9902</v>
      </c>
      <c r="Z2830" t="s">
        <v>9898</v>
      </c>
      <c r="AD2830">
        <f t="shared" si="89"/>
        <v>1</v>
      </c>
    </row>
    <row r="2831" spans="1:30" x14ac:dyDescent="0.25">
      <c r="A2831" t="s">
        <v>2855</v>
      </c>
      <c r="B2831" s="2">
        <v>45018</v>
      </c>
      <c r="C2831" s="2">
        <v>45021</v>
      </c>
      <c r="D2831" t="s">
        <v>5162</v>
      </c>
      <c r="E2831" t="s">
        <v>5662</v>
      </c>
      <c r="F2831" t="s">
        <v>6027</v>
      </c>
      <c r="G2831" t="s">
        <v>6030</v>
      </c>
      <c r="H2831" t="s">
        <v>6033</v>
      </c>
      <c r="I2831" t="s">
        <v>6051</v>
      </c>
      <c r="J2831" t="s">
        <v>6055</v>
      </c>
      <c r="K2831" t="s">
        <v>6063</v>
      </c>
      <c r="L2831" t="s">
        <v>6852</v>
      </c>
      <c r="M2831">
        <v>1594.71</v>
      </c>
      <c r="N2831">
        <v>1</v>
      </c>
      <c r="O2831">
        <v>0.2</v>
      </c>
      <c r="P2831">
        <v>30.31</v>
      </c>
      <c r="Q2831" t="s">
        <v>9895</v>
      </c>
      <c r="R2831">
        <v>3</v>
      </c>
      <c r="S2831" s="5">
        <f t="shared" si="88"/>
        <v>1.9006590539972782E-2</v>
      </c>
      <c r="T2831">
        <v>1594.71</v>
      </c>
      <c r="U2831">
        <v>4</v>
      </c>
      <c r="V2831">
        <v>2023</v>
      </c>
      <c r="W2831">
        <v>2</v>
      </c>
      <c r="X2831" t="s">
        <v>9899</v>
      </c>
      <c r="Y2831" t="s">
        <v>9900</v>
      </c>
      <c r="Z2831" t="s">
        <v>9898</v>
      </c>
      <c r="AD2831">
        <f t="shared" si="89"/>
        <v>3</v>
      </c>
    </row>
    <row r="2832" spans="1:30" x14ac:dyDescent="0.25">
      <c r="A2832" t="s">
        <v>2856</v>
      </c>
      <c r="B2832" s="2">
        <v>45213</v>
      </c>
      <c r="C2832" s="2">
        <v>45218</v>
      </c>
      <c r="D2832" t="s">
        <v>5049</v>
      </c>
      <c r="E2832" t="s">
        <v>5549</v>
      </c>
      <c r="F2832" t="s">
        <v>6027</v>
      </c>
      <c r="G2832" t="s">
        <v>6029</v>
      </c>
      <c r="H2832" t="s">
        <v>6045</v>
      </c>
      <c r="I2832" t="s">
        <v>6049</v>
      </c>
      <c r="J2832" t="s">
        <v>6053</v>
      </c>
      <c r="K2832" t="s">
        <v>6056</v>
      </c>
      <c r="L2832" t="s">
        <v>7622</v>
      </c>
      <c r="M2832">
        <v>1579.84</v>
      </c>
      <c r="N2832">
        <v>1</v>
      </c>
      <c r="O2832">
        <v>0.23</v>
      </c>
      <c r="P2832">
        <v>-86.85</v>
      </c>
      <c r="Q2832" t="s">
        <v>9897</v>
      </c>
      <c r="R2832">
        <v>5</v>
      </c>
      <c r="S2832" s="5">
        <f t="shared" si="88"/>
        <v>-5.497392140976301E-2</v>
      </c>
      <c r="T2832">
        <v>1579.84</v>
      </c>
      <c r="U2832">
        <v>10</v>
      </c>
      <c r="V2832">
        <v>2023</v>
      </c>
      <c r="W2832">
        <v>4</v>
      </c>
      <c r="X2832" t="s">
        <v>9898</v>
      </c>
      <c r="Y2832" t="s">
        <v>9900</v>
      </c>
      <c r="Z2832" t="s">
        <v>9898</v>
      </c>
      <c r="AD2832">
        <f t="shared" si="89"/>
        <v>5</v>
      </c>
    </row>
    <row r="2833" spans="1:30" x14ac:dyDescent="0.25">
      <c r="A2833" t="s">
        <v>2857</v>
      </c>
      <c r="B2833" s="2">
        <v>45201</v>
      </c>
      <c r="C2833" s="2">
        <v>45205</v>
      </c>
      <c r="D2833" t="s">
        <v>5381</v>
      </c>
      <c r="E2833" t="s">
        <v>5881</v>
      </c>
      <c r="F2833" t="s">
        <v>6026</v>
      </c>
      <c r="G2833" t="s">
        <v>6030</v>
      </c>
      <c r="H2833" t="s">
        <v>6033</v>
      </c>
      <c r="I2833" t="s">
        <v>6051</v>
      </c>
      <c r="J2833" t="s">
        <v>6053</v>
      </c>
      <c r="K2833" t="s">
        <v>6058</v>
      </c>
      <c r="L2833" t="s">
        <v>8487</v>
      </c>
      <c r="M2833">
        <v>1981.99</v>
      </c>
      <c r="N2833">
        <v>2</v>
      </c>
      <c r="O2833">
        <v>0.34</v>
      </c>
      <c r="P2833">
        <v>-389.43</v>
      </c>
      <c r="Q2833" t="s">
        <v>9897</v>
      </c>
      <c r="R2833">
        <v>4</v>
      </c>
      <c r="S2833" s="5">
        <f t="shared" si="88"/>
        <v>-0.19648434149516394</v>
      </c>
      <c r="T2833">
        <v>990.995</v>
      </c>
      <c r="U2833">
        <v>10</v>
      </c>
      <c r="V2833">
        <v>2023</v>
      </c>
      <c r="W2833">
        <v>4</v>
      </c>
      <c r="X2833" t="s">
        <v>9898</v>
      </c>
      <c r="Y2833" t="s">
        <v>9902</v>
      </c>
      <c r="Z2833" t="s">
        <v>9898</v>
      </c>
      <c r="AD2833">
        <f t="shared" si="89"/>
        <v>4</v>
      </c>
    </row>
    <row r="2834" spans="1:30" x14ac:dyDescent="0.25">
      <c r="A2834" t="s">
        <v>2858</v>
      </c>
      <c r="B2834" s="2">
        <v>44622</v>
      </c>
      <c r="C2834" s="2">
        <v>44623</v>
      </c>
      <c r="D2834" t="s">
        <v>5048</v>
      </c>
      <c r="E2834" t="s">
        <v>5548</v>
      </c>
      <c r="F2834" t="s">
        <v>6027</v>
      </c>
      <c r="G2834" t="s">
        <v>6030</v>
      </c>
      <c r="H2834" t="s">
        <v>6033</v>
      </c>
      <c r="I2834" t="s">
        <v>6047</v>
      </c>
      <c r="J2834" t="s">
        <v>6055</v>
      </c>
      <c r="K2834" t="s">
        <v>6064</v>
      </c>
      <c r="L2834" t="s">
        <v>8379</v>
      </c>
      <c r="M2834">
        <v>302.36</v>
      </c>
      <c r="N2834">
        <v>6</v>
      </c>
      <c r="O2834">
        <v>0.31</v>
      </c>
      <c r="P2834">
        <v>-57.07</v>
      </c>
      <c r="Q2834" t="s">
        <v>9895</v>
      </c>
      <c r="R2834">
        <v>1</v>
      </c>
      <c r="S2834" s="5">
        <f t="shared" si="88"/>
        <v>-0.18874851170789786</v>
      </c>
      <c r="T2834">
        <v>50.393333333333338</v>
      </c>
      <c r="U2834">
        <v>3</v>
      </c>
      <c r="V2834">
        <v>2022</v>
      </c>
      <c r="W2834">
        <v>1</v>
      </c>
      <c r="X2834" t="s">
        <v>9898</v>
      </c>
      <c r="Y2834" t="s">
        <v>9902</v>
      </c>
      <c r="Z2834" t="s">
        <v>9899</v>
      </c>
      <c r="AD2834">
        <f t="shared" si="89"/>
        <v>1</v>
      </c>
    </row>
    <row r="2835" spans="1:30" x14ac:dyDescent="0.25">
      <c r="A2835" t="s">
        <v>2859</v>
      </c>
      <c r="B2835" s="2">
        <v>45124</v>
      </c>
      <c r="C2835" s="2">
        <v>45129</v>
      </c>
      <c r="D2835" t="s">
        <v>5234</v>
      </c>
      <c r="E2835" t="s">
        <v>5734</v>
      </c>
      <c r="F2835" t="s">
        <v>6027</v>
      </c>
      <c r="G2835" t="s">
        <v>6031</v>
      </c>
      <c r="H2835" t="s">
        <v>6040</v>
      </c>
      <c r="I2835" t="s">
        <v>6048</v>
      </c>
      <c r="J2835" t="s">
        <v>6055</v>
      </c>
      <c r="K2835" t="s">
        <v>6064</v>
      </c>
      <c r="L2835" t="s">
        <v>8488</v>
      </c>
      <c r="M2835">
        <v>543.26</v>
      </c>
      <c r="N2835">
        <v>5</v>
      </c>
      <c r="O2835">
        <v>0.23</v>
      </c>
      <c r="P2835">
        <v>-51.46</v>
      </c>
      <c r="Q2835" t="s">
        <v>9897</v>
      </c>
      <c r="R2835">
        <v>5</v>
      </c>
      <c r="S2835" s="5">
        <f t="shared" si="88"/>
        <v>-9.4724441335640397E-2</v>
      </c>
      <c r="T2835">
        <v>108.652</v>
      </c>
      <c r="U2835">
        <v>7</v>
      </c>
      <c r="V2835">
        <v>2023</v>
      </c>
      <c r="W2835">
        <v>3</v>
      </c>
      <c r="X2835" t="s">
        <v>9898</v>
      </c>
      <c r="Y2835" t="s">
        <v>9900</v>
      </c>
      <c r="Z2835" t="s">
        <v>9899</v>
      </c>
      <c r="AD2835">
        <f t="shared" si="89"/>
        <v>5</v>
      </c>
    </row>
    <row r="2836" spans="1:30" x14ac:dyDescent="0.25">
      <c r="A2836" t="s">
        <v>2860</v>
      </c>
      <c r="B2836" s="2">
        <v>44588</v>
      </c>
      <c r="C2836" s="2">
        <v>44589</v>
      </c>
      <c r="D2836" t="s">
        <v>5126</v>
      </c>
      <c r="E2836" t="s">
        <v>5626</v>
      </c>
      <c r="F2836" t="s">
        <v>6027</v>
      </c>
      <c r="G2836" t="s">
        <v>6029</v>
      </c>
      <c r="H2836" t="s">
        <v>6036</v>
      </c>
      <c r="I2836" t="s">
        <v>6046</v>
      </c>
      <c r="J2836" t="s">
        <v>6055</v>
      </c>
      <c r="K2836" t="s">
        <v>6064</v>
      </c>
      <c r="L2836" t="s">
        <v>8489</v>
      </c>
      <c r="M2836">
        <v>182.57</v>
      </c>
      <c r="N2836">
        <v>4</v>
      </c>
      <c r="O2836">
        <v>0.22</v>
      </c>
      <c r="P2836">
        <v>2.27</v>
      </c>
      <c r="Q2836" t="s">
        <v>9897</v>
      </c>
      <c r="R2836">
        <v>1</v>
      </c>
      <c r="S2836" s="5">
        <f t="shared" si="88"/>
        <v>1.2433587117270089E-2</v>
      </c>
      <c r="T2836">
        <v>45.642499999999998</v>
      </c>
      <c r="U2836">
        <v>1</v>
      </c>
      <c r="V2836">
        <v>2022</v>
      </c>
      <c r="W2836">
        <v>1</v>
      </c>
      <c r="X2836" t="s">
        <v>9899</v>
      </c>
      <c r="Y2836" t="s">
        <v>9900</v>
      </c>
      <c r="Z2836" t="s">
        <v>9899</v>
      </c>
      <c r="AD2836">
        <f t="shared" si="89"/>
        <v>1</v>
      </c>
    </row>
    <row r="2837" spans="1:30" x14ac:dyDescent="0.25">
      <c r="A2837" t="s">
        <v>2861</v>
      </c>
      <c r="B2837" s="2">
        <v>44858</v>
      </c>
      <c r="C2837" s="2">
        <v>44862</v>
      </c>
      <c r="D2837" t="s">
        <v>5269</v>
      </c>
      <c r="E2837" t="s">
        <v>5769</v>
      </c>
      <c r="F2837" t="s">
        <v>6027</v>
      </c>
      <c r="G2837" t="s">
        <v>6029</v>
      </c>
      <c r="H2837" t="s">
        <v>6044</v>
      </c>
      <c r="I2837" t="s">
        <v>6049</v>
      </c>
      <c r="J2837" t="s">
        <v>6054</v>
      </c>
      <c r="K2837" t="s">
        <v>6062</v>
      </c>
      <c r="L2837" t="s">
        <v>8490</v>
      </c>
      <c r="M2837">
        <v>106.67</v>
      </c>
      <c r="N2837">
        <v>1</v>
      </c>
      <c r="O2837">
        <v>0.11</v>
      </c>
      <c r="P2837">
        <v>6.2</v>
      </c>
      <c r="Q2837" t="s">
        <v>9896</v>
      </c>
      <c r="R2837">
        <v>4</v>
      </c>
      <c r="S2837" s="5">
        <f t="shared" si="88"/>
        <v>5.8123183650510925E-2</v>
      </c>
      <c r="T2837">
        <v>106.67</v>
      </c>
      <c r="U2837">
        <v>10</v>
      </c>
      <c r="V2837">
        <v>2022</v>
      </c>
      <c r="W2837">
        <v>4</v>
      </c>
      <c r="X2837" t="s">
        <v>9899</v>
      </c>
      <c r="Y2837" t="s">
        <v>9901</v>
      </c>
      <c r="Z2837" t="s">
        <v>9899</v>
      </c>
      <c r="AD2837">
        <f t="shared" si="89"/>
        <v>4</v>
      </c>
    </row>
    <row r="2838" spans="1:30" x14ac:dyDescent="0.25">
      <c r="A2838" t="s">
        <v>2862</v>
      </c>
      <c r="B2838" s="2">
        <v>44741</v>
      </c>
      <c r="C2838" s="2">
        <v>44742</v>
      </c>
      <c r="D2838" t="s">
        <v>5118</v>
      </c>
      <c r="E2838" t="s">
        <v>5618</v>
      </c>
      <c r="F2838" t="s">
        <v>6028</v>
      </c>
      <c r="G2838" t="s">
        <v>6029</v>
      </c>
      <c r="H2838" t="s">
        <v>6036</v>
      </c>
      <c r="I2838" t="s">
        <v>6046</v>
      </c>
      <c r="J2838" t="s">
        <v>6055</v>
      </c>
      <c r="K2838" t="s">
        <v>6064</v>
      </c>
      <c r="L2838" t="s">
        <v>8491</v>
      </c>
      <c r="M2838">
        <v>910.64</v>
      </c>
      <c r="N2838">
        <v>1</v>
      </c>
      <c r="O2838">
        <v>0.32</v>
      </c>
      <c r="P2838">
        <v>-154.09</v>
      </c>
      <c r="Q2838" t="s">
        <v>9894</v>
      </c>
      <c r="R2838">
        <v>1</v>
      </c>
      <c r="S2838" s="5">
        <f t="shared" si="88"/>
        <v>-0.16921066502679435</v>
      </c>
      <c r="T2838">
        <v>910.64</v>
      </c>
      <c r="U2838">
        <v>6</v>
      </c>
      <c r="V2838">
        <v>2022</v>
      </c>
      <c r="W2838">
        <v>2</v>
      </c>
      <c r="X2838" t="s">
        <v>9898</v>
      </c>
      <c r="Y2838" t="s">
        <v>9902</v>
      </c>
      <c r="Z2838" t="s">
        <v>9899</v>
      </c>
      <c r="AD2838">
        <f t="shared" si="89"/>
        <v>1</v>
      </c>
    </row>
    <row r="2839" spans="1:30" x14ac:dyDescent="0.25">
      <c r="A2839" t="s">
        <v>2863</v>
      </c>
      <c r="B2839" s="2">
        <v>45080</v>
      </c>
      <c r="C2839" s="2">
        <v>45081</v>
      </c>
      <c r="D2839" t="s">
        <v>5192</v>
      </c>
      <c r="E2839" t="s">
        <v>5692</v>
      </c>
      <c r="F2839" t="s">
        <v>6026</v>
      </c>
      <c r="G2839" t="s">
        <v>6031</v>
      </c>
      <c r="H2839" t="s">
        <v>6042</v>
      </c>
      <c r="I2839" t="s">
        <v>6052</v>
      </c>
      <c r="J2839" t="s">
        <v>6053</v>
      </c>
      <c r="K2839" t="s">
        <v>6056</v>
      </c>
      <c r="L2839" t="s">
        <v>8492</v>
      </c>
      <c r="M2839">
        <v>900.08</v>
      </c>
      <c r="N2839">
        <v>6</v>
      </c>
      <c r="O2839">
        <v>0.02</v>
      </c>
      <c r="P2839">
        <v>125.31</v>
      </c>
      <c r="Q2839" t="s">
        <v>9894</v>
      </c>
      <c r="R2839">
        <v>1</v>
      </c>
      <c r="S2839" s="5">
        <f t="shared" si="88"/>
        <v>0.13922095813705448</v>
      </c>
      <c r="T2839">
        <v>150.01333333333329</v>
      </c>
      <c r="U2839">
        <v>6</v>
      </c>
      <c r="V2839">
        <v>2023</v>
      </c>
      <c r="W2839">
        <v>2</v>
      </c>
      <c r="X2839" t="s">
        <v>9899</v>
      </c>
      <c r="Y2839" t="s">
        <v>9901</v>
      </c>
      <c r="Z2839" t="s">
        <v>9899</v>
      </c>
      <c r="AD2839">
        <f t="shared" si="89"/>
        <v>1</v>
      </c>
    </row>
    <row r="2840" spans="1:30" x14ac:dyDescent="0.25">
      <c r="A2840" t="s">
        <v>2864</v>
      </c>
      <c r="B2840" s="2">
        <v>44783</v>
      </c>
      <c r="C2840" s="2">
        <v>44784</v>
      </c>
      <c r="D2840" t="s">
        <v>5190</v>
      </c>
      <c r="E2840" t="s">
        <v>5690</v>
      </c>
      <c r="F2840" t="s">
        <v>6027</v>
      </c>
      <c r="G2840" t="s">
        <v>6029</v>
      </c>
      <c r="H2840" t="s">
        <v>6041</v>
      </c>
      <c r="I2840" t="s">
        <v>6049</v>
      </c>
      <c r="J2840" t="s">
        <v>6054</v>
      </c>
      <c r="K2840" t="s">
        <v>6059</v>
      </c>
      <c r="L2840" t="s">
        <v>8493</v>
      </c>
      <c r="M2840">
        <v>1718.3</v>
      </c>
      <c r="N2840">
        <v>5</v>
      </c>
      <c r="O2840">
        <v>0.16</v>
      </c>
      <c r="P2840">
        <v>-31.64</v>
      </c>
      <c r="Q2840" t="s">
        <v>9896</v>
      </c>
      <c r="R2840">
        <v>1</v>
      </c>
      <c r="S2840" s="5">
        <f t="shared" si="88"/>
        <v>-1.8413548274457313E-2</v>
      </c>
      <c r="T2840">
        <v>343.66</v>
      </c>
      <c r="U2840">
        <v>8</v>
      </c>
      <c r="V2840">
        <v>2022</v>
      </c>
      <c r="W2840">
        <v>3</v>
      </c>
      <c r="X2840" t="s">
        <v>9898</v>
      </c>
      <c r="Y2840" t="s">
        <v>9900</v>
      </c>
      <c r="Z2840" t="s">
        <v>9898</v>
      </c>
      <c r="AD2840">
        <f t="shared" si="89"/>
        <v>1</v>
      </c>
    </row>
    <row r="2841" spans="1:30" x14ac:dyDescent="0.25">
      <c r="A2841" t="s">
        <v>2865</v>
      </c>
      <c r="B2841" s="2">
        <v>45182</v>
      </c>
      <c r="C2841" s="2">
        <v>45187</v>
      </c>
      <c r="D2841" t="s">
        <v>5433</v>
      </c>
      <c r="E2841" t="s">
        <v>5933</v>
      </c>
      <c r="F2841" t="s">
        <v>6028</v>
      </c>
      <c r="G2841" t="s">
        <v>6029</v>
      </c>
      <c r="H2841" t="s">
        <v>6044</v>
      </c>
      <c r="I2841" t="s">
        <v>6050</v>
      </c>
      <c r="J2841" t="s">
        <v>6055</v>
      </c>
      <c r="K2841" t="s">
        <v>6063</v>
      </c>
      <c r="L2841" t="s">
        <v>8494</v>
      </c>
      <c r="M2841">
        <v>1022.63</v>
      </c>
      <c r="N2841">
        <v>1</v>
      </c>
      <c r="O2841">
        <v>0</v>
      </c>
      <c r="P2841">
        <v>158.97999999999999</v>
      </c>
      <c r="Q2841" t="s">
        <v>9893</v>
      </c>
      <c r="R2841">
        <v>5</v>
      </c>
      <c r="S2841" s="5">
        <f t="shared" si="88"/>
        <v>0.1554618972648954</v>
      </c>
      <c r="T2841">
        <v>1022.63</v>
      </c>
      <c r="U2841">
        <v>9</v>
      </c>
      <c r="V2841">
        <v>2023</v>
      </c>
      <c r="W2841">
        <v>3</v>
      </c>
      <c r="X2841" t="s">
        <v>9899</v>
      </c>
      <c r="Y2841" t="s">
        <v>9901</v>
      </c>
      <c r="Z2841" t="s">
        <v>9898</v>
      </c>
      <c r="AD2841">
        <f t="shared" si="89"/>
        <v>5</v>
      </c>
    </row>
    <row r="2842" spans="1:30" x14ac:dyDescent="0.25">
      <c r="A2842" t="s">
        <v>2866</v>
      </c>
      <c r="B2842" s="2">
        <v>44901</v>
      </c>
      <c r="C2842" s="2">
        <v>44903</v>
      </c>
      <c r="D2842" t="s">
        <v>5339</v>
      </c>
      <c r="E2842" t="s">
        <v>5839</v>
      </c>
      <c r="F2842" t="s">
        <v>6027</v>
      </c>
      <c r="G2842" t="s">
        <v>6031</v>
      </c>
      <c r="H2842" t="s">
        <v>6037</v>
      </c>
      <c r="I2842" t="s">
        <v>6052</v>
      </c>
      <c r="J2842" t="s">
        <v>6054</v>
      </c>
      <c r="K2842" t="s">
        <v>6060</v>
      </c>
      <c r="L2842" t="s">
        <v>8495</v>
      </c>
      <c r="M2842">
        <v>1459.65</v>
      </c>
      <c r="N2842">
        <v>1</v>
      </c>
      <c r="O2842">
        <v>0.21</v>
      </c>
      <c r="P2842">
        <v>-132.57</v>
      </c>
      <c r="Q2842" t="s">
        <v>9897</v>
      </c>
      <c r="R2842">
        <v>2</v>
      </c>
      <c r="S2842" s="5">
        <f t="shared" si="88"/>
        <v>-9.0823142534169135E-2</v>
      </c>
      <c r="T2842">
        <v>1459.65</v>
      </c>
      <c r="U2842">
        <v>12</v>
      </c>
      <c r="V2842">
        <v>2022</v>
      </c>
      <c r="W2842">
        <v>4</v>
      </c>
      <c r="X2842" t="s">
        <v>9898</v>
      </c>
      <c r="Y2842" t="s">
        <v>9900</v>
      </c>
      <c r="Z2842" t="s">
        <v>9898</v>
      </c>
      <c r="AD2842">
        <f t="shared" si="89"/>
        <v>2</v>
      </c>
    </row>
    <row r="2843" spans="1:30" x14ac:dyDescent="0.25">
      <c r="A2843" t="s">
        <v>2867</v>
      </c>
      <c r="B2843" s="2">
        <v>44668</v>
      </c>
      <c r="C2843" s="2">
        <v>44672</v>
      </c>
      <c r="D2843" t="s">
        <v>5131</v>
      </c>
      <c r="E2843" t="s">
        <v>5631</v>
      </c>
      <c r="F2843" t="s">
        <v>6027</v>
      </c>
      <c r="G2843" t="s">
        <v>6029</v>
      </c>
      <c r="H2843" t="s">
        <v>6032</v>
      </c>
      <c r="I2843" t="s">
        <v>6049</v>
      </c>
      <c r="J2843" t="s">
        <v>6055</v>
      </c>
      <c r="K2843" t="s">
        <v>6063</v>
      </c>
      <c r="L2843" t="s">
        <v>8496</v>
      </c>
      <c r="M2843">
        <v>306.45999999999998</v>
      </c>
      <c r="N2843">
        <v>6</v>
      </c>
      <c r="O2843">
        <v>0.23</v>
      </c>
      <c r="P2843">
        <v>-26.89</v>
      </c>
      <c r="Q2843" t="s">
        <v>9896</v>
      </c>
      <c r="R2843">
        <v>4</v>
      </c>
      <c r="S2843" s="5">
        <f t="shared" si="88"/>
        <v>-8.774391437708022E-2</v>
      </c>
      <c r="T2843">
        <v>51.076666666666661</v>
      </c>
      <c r="U2843">
        <v>4</v>
      </c>
      <c r="V2843">
        <v>2022</v>
      </c>
      <c r="W2843">
        <v>2</v>
      </c>
      <c r="X2843" t="s">
        <v>9898</v>
      </c>
      <c r="Y2843" t="s">
        <v>9900</v>
      </c>
      <c r="Z2843" t="s">
        <v>9899</v>
      </c>
      <c r="AD2843">
        <f t="shared" si="89"/>
        <v>4</v>
      </c>
    </row>
    <row r="2844" spans="1:30" x14ac:dyDescent="0.25">
      <c r="A2844" t="s">
        <v>2868</v>
      </c>
      <c r="B2844" s="2">
        <v>44716</v>
      </c>
      <c r="C2844" s="2">
        <v>44720</v>
      </c>
      <c r="D2844" t="s">
        <v>5461</v>
      </c>
      <c r="E2844" t="s">
        <v>5961</v>
      </c>
      <c r="F2844" t="s">
        <v>6026</v>
      </c>
      <c r="G2844" t="s">
        <v>6030</v>
      </c>
      <c r="H2844" t="s">
        <v>6039</v>
      </c>
      <c r="I2844" t="s">
        <v>6051</v>
      </c>
      <c r="J2844" t="s">
        <v>6053</v>
      </c>
      <c r="K2844" t="s">
        <v>6057</v>
      </c>
      <c r="L2844" t="s">
        <v>8497</v>
      </c>
      <c r="M2844">
        <v>1264.8599999999999</v>
      </c>
      <c r="N2844">
        <v>2</v>
      </c>
      <c r="O2844">
        <v>0.17</v>
      </c>
      <c r="P2844">
        <v>3.44</v>
      </c>
      <c r="Q2844" t="s">
        <v>9894</v>
      </c>
      <c r="R2844">
        <v>4</v>
      </c>
      <c r="S2844" s="5">
        <f t="shared" si="88"/>
        <v>2.7196685799218889E-3</v>
      </c>
      <c r="T2844">
        <v>632.42999999999995</v>
      </c>
      <c r="U2844">
        <v>6</v>
      </c>
      <c r="V2844">
        <v>2022</v>
      </c>
      <c r="W2844">
        <v>2</v>
      </c>
      <c r="X2844" t="s">
        <v>9899</v>
      </c>
      <c r="Y2844" t="s">
        <v>9900</v>
      </c>
      <c r="Z2844" t="s">
        <v>9898</v>
      </c>
      <c r="AD2844">
        <f t="shared" si="89"/>
        <v>4</v>
      </c>
    </row>
    <row r="2845" spans="1:30" x14ac:dyDescent="0.25">
      <c r="A2845" t="s">
        <v>2869</v>
      </c>
      <c r="B2845" s="2">
        <v>45216</v>
      </c>
      <c r="C2845" s="2">
        <v>45223</v>
      </c>
      <c r="D2845" t="s">
        <v>5066</v>
      </c>
      <c r="E2845" t="s">
        <v>5566</v>
      </c>
      <c r="F2845" t="s">
        <v>6028</v>
      </c>
      <c r="G2845" t="s">
        <v>6029</v>
      </c>
      <c r="H2845" t="s">
        <v>6044</v>
      </c>
      <c r="I2845" t="s">
        <v>6046</v>
      </c>
      <c r="J2845" t="s">
        <v>6054</v>
      </c>
      <c r="K2845" t="s">
        <v>6060</v>
      </c>
      <c r="L2845" t="s">
        <v>8498</v>
      </c>
      <c r="M2845">
        <v>766.95</v>
      </c>
      <c r="N2845">
        <v>4</v>
      </c>
      <c r="O2845">
        <v>7.0000000000000007E-2</v>
      </c>
      <c r="P2845">
        <v>128.9</v>
      </c>
      <c r="Q2845" t="s">
        <v>9897</v>
      </c>
      <c r="R2845">
        <v>7</v>
      </c>
      <c r="S2845" s="5">
        <f t="shared" si="88"/>
        <v>0.16806832257643914</v>
      </c>
      <c r="T2845">
        <v>191.73750000000001</v>
      </c>
      <c r="U2845">
        <v>10</v>
      </c>
      <c r="V2845">
        <v>2023</v>
      </c>
      <c r="W2845">
        <v>4</v>
      </c>
      <c r="X2845" t="s">
        <v>9899</v>
      </c>
      <c r="Y2845" t="s">
        <v>9901</v>
      </c>
      <c r="Z2845" t="s">
        <v>9899</v>
      </c>
      <c r="AD2845">
        <f t="shared" si="89"/>
        <v>7</v>
      </c>
    </row>
    <row r="2846" spans="1:30" x14ac:dyDescent="0.25">
      <c r="A2846" t="s">
        <v>2870</v>
      </c>
      <c r="B2846" s="2">
        <v>45354</v>
      </c>
      <c r="C2846" s="2">
        <v>45358</v>
      </c>
      <c r="D2846" t="s">
        <v>5361</v>
      </c>
      <c r="E2846" t="s">
        <v>5861</v>
      </c>
      <c r="F2846" t="s">
        <v>6026</v>
      </c>
      <c r="G2846" t="s">
        <v>6029</v>
      </c>
      <c r="H2846" t="s">
        <v>6045</v>
      </c>
      <c r="I2846" t="s">
        <v>6049</v>
      </c>
      <c r="J2846" t="s">
        <v>6053</v>
      </c>
      <c r="K2846" t="s">
        <v>6057</v>
      </c>
      <c r="L2846" t="s">
        <v>8499</v>
      </c>
      <c r="M2846">
        <v>1744.05</v>
      </c>
      <c r="N2846">
        <v>3</v>
      </c>
      <c r="O2846">
        <v>0.28000000000000003</v>
      </c>
      <c r="P2846">
        <v>-134.61000000000001</v>
      </c>
      <c r="Q2846" t="s">
        <v>9896</v>
      </c>
      <c r="R2846">
        <v>4</v>
      </c>
      <c r="S2846" s="5">
        <f t="shared" si="88"/>
        <v>-7.7182420228777859E-2</v>
      </c>
      <c r="T2846">
        <v>581.35</v>
      </c>
      <c r="U2846">
        <v>3</v>
      </c>
      <c r="V2846">
        <v>2024</v>
      </c>
      <c r="W2846">
        <v>1</v>
      </c>
      <c r="X2846" t="s">
        <v>9898</v>
      </c>
      <c r="Y2846" t="s">
        <v>9900</v>
      </c>
      <c r="Z2846" t="s">
        <v>9898</v>
      </c>
      <c r="AD2846">
        <f t="shared" si="89"/>
        <v>4</v>
      </c>
    </row>
    <row r="2847" spans="1:30" x14ac:dyDescent="0.25">
      <c r="A2847" t="s">
        <v>2871</v>
      </c>
      <c r="B2847" s="2">
        <v>45460</v>
      </c>
      <c r="C2847" s="2">
        <v>45465</v>
      </c>
      <c r="D2847" t="s">
        <v>5347</v>
      </c>
      <c r="E2847" t="s">
        <v>5847</v>
      </c>
      <c r="F2847" t="s">
        <v>6026</v>
      </c>
      <c r="G2847" t="s">
        <v>6029</v>
      </c>
      <c r="H2847" t="s">
        <v>6036</v>
      </c>
      <c r="I2847" t="s">
        <v>6046</v>
      </c>
      <c r="J2847" t="s">
        <v>6055</v>
      </c>
      <c r="K2847" t="s">
        <v>6064</v>
      </c>
      <c r="L2847" t="s">
        <v>7174</v>
      </c>
      <c r="M2847">
        <v>1262.96</v>
      </c>
      <c r="N2847">
        <v>5</v>
      </c>
      <c r="O2847">
        <v>0.31</v>
      </c>
      <c r="P2847">
        <v>-200.09</v>
      </c>
      <c r="Q2847" t="s">
        <v>9896</v>
      </c>
      <c r="R2847">
        <v>5</v>
      </c>
      <c r="S2847" s="5">
        <f t="shared" si="88"/>
        <v>-0.15842940393995059</v>
      </c>
      <c r="T2847">
        <v>252.59200000000001</v>
      </c>
      <c r="U2847">
        <v>6</v>
      </c>
      <c r="V2847">
        <v>2024</v>
      </c>
      <c r="W2847">
        <v>2</v>
      </c>
      <c r="X2847" t="s">
        <v>9898</v>
      </c>
      <c r="Y2847" t="s">
        <v>9902</v>
      </c>
      <c r="Z2847" t="s">
        <v>9898</v>
      </c>
      <c r="AD2847">
        <f t="shared" si="89"/>
        <v>5</v>
      </c>
    </row>
    <row r="2848" spans="1:30" x14ac:dyDescent="0.25">
      <c r="A2848" t="s">
        <v>2872</v>
      </c>
      <c r="B2848" s="2">
        <v>44922</v>
      </c>
      <c r="C2848" s="2">
        <v>44926</v>
      </c>
      <c r="D2848" t="s">
        <v>5116</v>
      </c>
      <c r="E2848" t="s">
        <v>5616</v>
      </c>
      <c r="F2848" t="s">
        <v>6028</v>
      </c>
      <c r="G2848" t="s">
        <v>6029</v>
      </c>
      <c r="H2848" t="s">
        <v>6032</v>
      </c>
      <c r="I2848" t="s">
        <v>6046</v>
      </c>
      <c r="J2848" t="s">
        <v>6055</v>
      </c>
      <c r="K2848" t="s">
        <v>6064</v>
      </c>
      <c r="L2848" t="s">
        <v>8500</v>
      </c>
      <c r="M2848">
        <v>242.97</v>
      </c>
      <c r="N2848">
        <v>5</v>
      </c>
      <c r="O2848">
        <v>0.02</v>
      </c>
      <c r="P2848">
        <v>39.61</v>
      </c>
      <c r="Q2848" t="s">
        <v>9895</v>
      </c>
      <c r="R2848">
        <v>4</v>
      </c>
      <c r="S2848" s="5">
        <f t="shared" si="88"/>
        <v>0.16302424167592708</v>
      </c>
      <c r="T2848">
        <v>48.594000000000001</v>
      </c>
      <c r="U2848">
        <v>12</v>
      </c>
      <c r="V2848">
        <v>2022</v>
      </c>
      <c r="W2848">
        <v>4</v>
      </c>
      <c r="X2848" t="s">
        <v>9899</v>
      </c>
      <c r="Y2848" t="s">
        <v>9901</v>
      </c>
      <c r="Z2848" t="s">
        <v>9899</v>
      </c>
      <c r="AD2848">
        <f t="shared" si="89"/>
        <v>4</v>
      </c>
    </row>
    <row r="2849" spans="1:30" x14ac:dyDescent="0.25">
      <c r="A2849" t="s">
        <v>2873</v>
      </c>
      <c r="B2849" s="2">
        <v>44671</v>
      </c>
      <c r="C2849" s="2">
        <v>44676</v>
      </c>
      <c r="D2849" t="s">
        <v>5289</v>
      </c>
      <c r="E2849" t="s">
        <v>5789</v>
      </c>
      <c r="F2849" t="s">
        <v>6027</v>
      </c>
      <c r="G2849" t="s">
        <v>6029</v>
      </c>
      <c r="H2849" t="s">
        <v>6045</v>
      </c>
      <c r="I2849" t="s">
        <v>6050</v>
      </c>
      <c r="J2849" t="s">
        <v>6053</v>
      </c>
      <c r="K2849" t="s">
        <v>6058</v>
      </c>
      <c r="L2849" t="s">
        <v>8501</v>
      </c>
      <c r="M2849">
        <v>1983.96</v>
      </c>
      <c r="N2849">
        <v>3</v>
      </c>
      <c r="O2849">
        <v>0.32</v>
      </c>
      <c r="P2849">
        <v>-360.65</v>
      </c>
      <c r="Q2849" t="s">
        <v>9895</v>
      </c>
      <c r="R2849">
        <v>5</v>
      </c>
      <c r="S2849" s="5">
        <f t="shared" si="88"/>
        <v>-0.18178289884876711</v>
      </c>
      <c r="T2849">
        <v>661.32</v>
      </c>
      <c r="U2849">
        <v>4</v>
      </c>
      <c r="V2849">
        <v>2022</v>
      </c>
      <c r="W2849">
        <v>2</v>
      </c>
      <c r="X2849" t="s">
        <v>9898</v>
      </c>
      <c r="Y2849" t="s">
        <v>9902</v>
      </c>
      <c r="Z2849" t="s">
        <v>9898</v>
      </c>
      <c r="AD2849">
        <f t="shared" si="89"/>
        <v>5</v>
      </c>
    </row>
    <row r="2850" spans="1:30" x14ac:dyDescent="0.25">
      <c r="A2850" t="s">
        <v>2874</v>
      </c>
      <c r="B2850" s="2">
        <v>44717</v>
      </c>
      <c r="C2850" s="2">
        <v>44724</v>
      </c>
      <c r="D2850" t="s">
        <v>5260</v>
      </c>
      <c r="E2850" t="s">
        <v>5760</v>
      </c>
      <c r="F2850" t="s">
        <v>6028</v>
      </c>
      <c r="G2850" t="s">
        <v>6031</v>
      </c>
      <c r="H2850" t="s">
        <v>6040</v>
      </c>
      <c r="I2850" t="s">
        <v>6048</v>
      </c>
      <c r="J2850" t="s">
        <v>6053</v>
      </c>
      <c r="K2850" t="s">
        <v>6057</v>
      </c>
      <c r="L2850" t="s">
        <v>6143</v>
      </c>
      <c r="M2850">
        <v>1690.29</v>
      </c>
      <c r="N2850">
        <v>5</v>
      </c>
      <c r="O2850">
        <v>0.24</v>
      </c>
      <c r="P2850">
        <v>-221.35</v>
      </c>
      <c r="Q2850" t="s">
        <v>9895</v>
      </c>
      <c r="R2850">
        <v>7</v>
      </c>
      <c r="S2850" s="5">
        <f t="shared" si="88"/>
        <v>-0.13095385998852269</v>
      </c>
      <c r="T2850">
        <v>338.05799999999999</v>
      </c>
      <c r="U2850">
        <v>6</v>
      </c>
      <c r="V2850">
        <v>2022</v>
      </c>
      <c r="W2850">
        <v>2</v>
      </c>
      <c r="X2850" t="s">
        <v>9898</v>
      </c>
      <c r="Y2850" t="s">
        <v>9900</v>
      </c>
      <c r="Z2850" t="s">
        <v>9898</v>
      </c>
      <c r="AD2850">
        <f t="shared" si="89"/>
        <v>7</v>
      </c>
    </row>
    <row r="2851" spans="1:30" x14ac:dyDescent="0.25">
      <c r="A2851" t="s">
        <v>2875</v>
      </c>
      <c r="B2851" s="2">
        <v>45232</v>
      </c>
      <c r="C2851" s="2">
        <v>45235</v>
      </c>
      <c r="D2851" t="s">
        <v>5246</v>
      </c>
      <c r="E2851" t="s">
        <v>5746</v>
      </c>
      <c r="F2851" t="s">
        <v>6028</v>
      </c>
      <c r="G2851" t="s">
        <v>6031</v>
      </c>
      <c r="H2851" t="s">
        <v>6040</v>
      </c>
      <c r="I2851" t="s">
        <v>6048</v>
      </c>
      <c r="J2851" t="s">
        <v>6053</v>
      </c>
      <c r="K2851" t="s">
        <v>6056</v>
      </c>
      <c r="L2851" t="s">
        <v>8502</v>
      </c>
      <c r="M2851">
        <v>1413.4</v>
      </c>
      <c r="N2851">
        <v>7</v>
      </c>
      <c r="O2851">
        <v>0.14000000000000001</v>
      </c>
      <c r="P2851">
        <v>169.71</v>
      </c>
      <c r="Q2851" t="s">
        <v>9893</v>
      </c>
      <c r="R2851">
        <v>3</v>
      </c>
      <c r="S2851" s="5">
        <f t="shared" si="88"/>
        <v>0.12007216640724494</v>
      </c>
      <c r="T2851">
        <v>201.91428571428571</v>
      </c>
      <c r="U2851">
        <v>11</v>
      </c>
      <c r="V2851">
        <v>2023</v>
      </c>
      <c r="W2851">
        <v>4</v>
      </c>
      <c r="X2851" t="s">
        <v>9899</v>
      </c>
      <c r="Y2851" t="s">
        <v>9901</v>
      </c>
      <c r="Z2851" t="s">
        <v>9898</v>
      </c>
      <c r="AD2851">
        <f t="shared" si="89"/>
        <v>3</v>
      </c>
    </row>
    <row r="2852" spans="1:30" x14ac:dyDescent="0.25">
      <c r="A2852" t="s">
        <v>2876</v>
      </c>
      <c r="B2852" s="2">
        <v>45012</v>
      </c>
      <c r="C2852" s="2">
        <v>45018</v>
      </c>
      <c r="D2852" t="s">
        <v>5413</v>
      </c>
      <c r="E2852" t="s">
        <v>5913</v>
      </c>
      <c r="F2852" t="s">
        <v>6027</v>
      </c>
      <c r="G2852" t="s">
        <v>6029</v>
      </c>
      <c r="H2852" t="s">
        <v>6044</v>
      </c>
      <c r="I2852" t="s">
        <v>6049</v>
      </c>
      <c r="J2852" t="s">
        <v>6053</v>
      </c>
      <c r="K2852" t="s">
        <v>6056</v>
      </c>
      <c r="L2852" t="s">
        <v>8503</v>
      </c>
      <c r="M2852">
        <v>1000.25</v>
      </c>
      <c r="N2852">
        <v>8</v>
      </c>
      <c r="O2852">
        <v>0.01</v>
      </c>
      <c r="P2852">
        <v>280.01</v>
      </c>
      <c r="Q2852" t="s">
        <v>9894</v>
      </c>
      <c r="R2852">
        <v>6</v>
      </c>
      <c r="S2852" s="5">
        <f t="shared" si="88"/>
        <v>0.27994001499625093</v>
      </c>
      <c r="T2852">
        <v>125.03125</v>
      </c>
      <c r="U2852">
        <v>3</v>
      </c>
      <c r="V2852">
        <v>2023</v>
      </c>
      <c r="W2852">
        <v>1</v>
      </c>
      <c r="X2852" t="s">
        <v>9899</v>
      </c>
      <c r="Y2852" t="s">
        <v>9901</v>
      </c>
      <c r="Z2852" t="s">
        <v>9898</v>
      </c>
      <c r="AD2852">
        <f t="shared" si="89"/>
        <v>6</v>
      </c>
    </row>
    <row r="2853" spans="1:30" x14ac:dyDescent="0.25">
      <c r="A2853" t="s">
        <v>2877</v>
      </c>
      <c r="B2853" s="2">
        <v>45368</v>
      </c>
      <c r="C2853" s="2">
        <v>45372</v>
      </c>
      <c r="D2853" t="s">
        <v>5385</v>
      </c>
      <c r="E2853" t="s">
        <v>5885</v>
      </c>
      <c r="F2853" t="s">
        <v>6027</v>
      </c>
      <c r="G2853" t="s">
        <v>6029</v>
      </c>
      <c r="H2853" t="s">
        <v>6032</v>
      </c>
      <c r="I2853" t="s">
        <v>6049</v>
      </c>
      <c r="J2853" t="s">
        <v>6055</v>
      </c>
      <c r="K2853" t="s">
        <v>6061</v>
      </c>
      <c r="L2853" t="s">
        <v>8504</v>
      </c>
      <c r="M2853">
        <v>970.27</v>
      </c>
      <c r="N2853">
        <v>6</v>
      </c>
      <c r="O2853">
        <v>0.08</v>
      </c>
      <c r="P2853">
        <v>156.9</v>
      </c>
      <c r="Q2853" t="s">
        <v>9897</v>
      </c>
      <c r="R2853">
        <v>4</v>
      </c>
      <c r="S2853" s="5">
        <f t="shared" si="88"/>
        <v>0.16170756593525515</v>
      </c>
      <c r="T2853">
        <v>161.7116666666667</v>
      </c>
      <c r="U2853">
        <v>3</v>
      </c>
      <c r="V2853">
        <v>2024</v>
      </c>
      <c r="W2853">
        <v>1</v>
      </c>
      <c r="X2853" t="s">
        <v>9899</v>
      </c>
      <c r="Y2853" t="s">
        <v>9901</v>
      </c>
      <c r="Z2853" t="s">
        <v>9899</v>
      </c>
      <c r="AD2853">
        <f t="shared" si="89"/>
        <v>4</v>
      </c>
    </row>
    <row r="2854" spans="1:30" x14ac:dyDescent="0.25">
      <c r="A2854" t="s">
        <v>2878</v>
      </c>
      <c r="B2854" s="2">
        <v>44765</v>
      </c>
      <c r="C2854" s="2">
        <v>44767</v>
      </c>
      <c r="D2854" t="s">
        <v>5080</v>
      </c>
      <c r="E2854" t="s">
        <v>5580</v>
      </c>
      <c r="F2854" t="s">
        <v>6028</v>
      </c>
      <c r="G2854" t="s">
        <v>6030</v>
      </c>
      <c r="H2854" t="s">
        <v>6033</v>
      </c>
      <c r="I2854" t="s">
        <v>6047</v>
      </c>
      <c r="J2854" t="s">
        <v>6053</v>
      </c>
      <c r="K2854" t="s">
        <v>6057</v>
      </c>
      <c r="L2854" t="s">
        <v>8505</v>
      </c>
      <c r="M2854">
        <v>785.75</v>
      </c>
      <c r="N2854">
        <v>1</v>
      </c>
      <c r="O2854">
        <v>0.15</v>
      </c>
      <c r="P2854">
        <v>-21.26</v>
      </c>
      <c r="Q2854" t="s">
        <v>9894</v>
      </c>
      <c r="R2854">
        <v>2</v>
      </c>
      <c r="S2854" s="5">
        <f t="shared" si="88"/>
        <v>-2.705695195672924E-2</v>
      </c>
      <c r="T2854">
        <v>785.75</v>
      </c>
      <c r="U2854">
        <v>7</v>
      </c>
      <c r="V2854">
        <v>2022</v>
      </c>
      <c r="W2854">
        <v>3</v>
      </c>
      <c r="X2854" t="s">
        <v>9898</v>
      </c>
      <c r="Y2854" t="s">
        <v>9901</v>
      </c>
      <c r="Z2854" t="s">
        <v>9899</v>
      </c>
      <c r="AD2854">
        <f t="shared" si="89"/>
        <v>2</v>
      </c>
    </row>
    <row r="2855" spans="1:30" x14ac:dyDescent="0.25">
      <c r="A2855" t="s">
        <v>2879</v>
      </c>
      <c r="B2855" s="2">
        <v>44733</v>
      </c>
      <c r="C2855" s="2">
        <v>44739</v>
      </c>
      <c r="D2855" t="s">
        <v>5157</v>
      </c>
      <c r="E2855" t="s">
        <v>5657</v>
      </c>
      <c r="F2855" t="s">
        <v>6028</v>
      </c>
      <c r="G2855" t="s">
        <v>6031</v>
      </c>
      <c r="H2855" t="s">
        <v>6034</v>
      </c>
      <c r="I2855" t="s">
        <v>6052</v>
      </c>
      <c r="J2855" t="s">
        <v>6053</v>
      </c>
      <c r="K2855" t="s">
        <v>6058</v>
      </c>
      <c r="L2855" t="s">
        <v>8506</v>
      </c>
      <c r="M2855">
        <v>983.72</v>
      </c>
      <c r="N2855">
        <v>1</v>
      </c>
      <c r="O2855">
        <v>0.24</v>
      </c>
      <c r="P2855">
        <v>11.89</v>
      </c>
      <c r="Q2855" t="s">
        <v>9893</v>
      </c>
      <c r="R2855">
        <v>6</v>
      </c>
      <c r="S2855" s="5">
        <f t="shared" si="88"/>
        <v>1.2086772658886675E-2</v>
      </c>
      <c r="T2855">
        <v>983.72</v>
      </c>
      <c r="U2855">
        <v>6</v>
      </c>
      <c r="V2855">
        <v>2022</v>
      </c>
      <c r="W2855">
        <v>2</v>
      </c>
      <c r="X2855" t="s">
        <v>9899</v>
      </c>
      <c r="Y2855" t="s">
        <v>9900</v>
      </c>
      <c r="Z2855" t="s">
        <v>9899</v>
      </c>
      <c r="AD2855">
        <f t="shared" si="89"/>
        <v>6</v>
      </c>
    </row>
    <row r="2856" spans="1:30" x14ac:dyDescent="0.25">
      <c r="A2856" t="s">
        <v>2880</v>
      </c>
      <c r="B2856" s="2">
        <v>44744</v>
      </c>
      <c r="C2856" s="2">
        <v>44751</v>
      </c>
      <c r="D2856" t="s">
        <v>5483</v>
      </c>
      <c r="E2856" t="s">
        <v>5983</v>
      </c>
      <c r="F2856" t="s">
        <v>6027</v>
      </c>
      <c r="G2856" t="s">
        <v>6031</v>
      </c>
      <c r="H2856" t="s">
        <v>6037</v>
      </c>
      <c r="I2856" t="s">
        <v>6050</v>
      </c>
      <c r="J2856" t="s">
        <v>6054</v>
      </c>
      <c r="K2856" t="s">
        <v>6062</v>
      </c>
      <c r="L2856" t="s">
        <v>8507</v>
      </c>
      <c r="M2856">
        <v>104.45</v>
      </c>
      <c r="N2856">
        <v>6</v>
      </c>
      <c r="O2856">
        <v>0.26</v>
      </c>
      <c r="P2856">
        <v>-4.38</v>
      </c>
      <c r="Q2856" t="s">
        <v>9897</v>
      </c>
      <c r="R2856">
        <v>7</v>
      </c>
      <c r="S2856" s="5">
        <f t="shared" si="88"/>
        <v>-4.1933939684059354E-2</v>
      </c>
      <c r="T2856">
        <v>17.408333333333331</v>
      </c>
      <c r="U2856">
        <v>7</v>
      </c>
      <c r="V2856">
        <v>2022</v>
      </c>
      <c r="W2856">
        <v>3</v>
      </c>
      <c r="X2856" t="s">
        <v>9898</v>
      </c>
      <c r="Y2856" t="s">
        <v>9900</v>
      </c>
      <c r="Z2856" t="s">
        <v>9899</v>
      </c>
      <c r="AD2856">
        <f t="shared" si="89"/>
        <v>7</v>
      </c>
    </row>
    <row r="2857" spans="1:30" x14ac:dyDescent="0.25">
      <c r="A2857" t="s">
        <v>2881</v>
      </c>
      <c r="B2857" s="2">
        <v>44892</v>
      </c>
      <c r="C2857" s="2">
        <v>44899</v>
      </c>
      <c r="D2857" t="s">
        <v>5026</v>
      </c>
      <c r="E2857" t="s">
        <v>5526</v>
      </c>
      <c r="F2857" t="s">
        <v>6027</v>
      </c>
      <c r="G2857" t="s">
        <v>6030</v>
      </c>
      <c r="H2857" t="s">
        <v>6038</v>
      </c>
      <c r="I2857" t="s">
        <v>6047</v>
      </c>
      <c r="J2857" t="s">
        <v>6054</v>
      </c>
      <c r="K2857" t="s">
        <v>6060</v>
      </c>
      <c r="L2857" t="s">
        <v>8508</v>
      </c>
      <c r="M2857">
        <v>1293.99</v>
      </c>
      <c r="N2857">
        <v>5</v>
      </c>
      <c r="O2857">
        <v>0.14000000000000001</v>
      </c>
      <c r="P2857">
        <v>-9.49</v>
      </c>
      <c r="Q2857" t="s">
        <v>9894</v>
      </c>
      <c r="R2857">
        <v>7</v>
      </c>
      <c r="S2857" s="5">
        <f t="shared" si="88"/>
        <v>-7.3339052079227814E-3</v>
      </c>
      <c r="T2857">
        <v>258.798</v>
      </c>
      <c r="U2857">
        <v>11</v>
      </c>
      <c r="V2857">
        <v>2022</v>
      </c>
      <c r="W2857">
        <v>4</v>
      </c>
      <c r="X2857" t="s">
        <v>9898</v>
      </c>
      <c r="Y2857" t="s">
        <v>9901</v>
      </c>
      <c r="Z2857" t="s">
        <v>9898</v>
      </c>
      <c r="AD2857">
        <f t="shared" si="89"/>
        <v>7</v>
      </c>
    </row>
    <row r="2858" spans="1:30" x14ac:dyDescent="0.25">
      <c r="A2858" t="s">
        <v>2882</v>
      </c>
      <c r="B2858" s="2">
        <v>44711</v>
      </c>
      <c r="C2858" s="2">
        <v>44716</v>
      </c>
      <c r="D2858" t="s">
        <v>5359</v>
      </c>
      <c r="E2858" t="s">
        <v>5859</v>
      </c>
      <c r="F2858" t="s">
        <v>6027</v>
      </c>
      <c r="G2858" t="s">
        <v>6029</v>
      </c>
      <c r="H2858" t="s">
        <v>6036</v>
      </c>
      <c r="I2858" t="s">
        <v>6050</v>
      </c>
      <c r="J2858" t="s">
        <v>6053</v>
      </c>
      <c r="K2858" t="s">
        <v>6058</v>
      </c>
      <c r="L2858" t="s">
        <v>8509</v>
      </c>
      <c r="M2858">
        <v>1011.82</v>
      </c>
      <c r="N2858">
        <v>4</v>
      </c>
      <c r="O2858">
        <v>0.09</v>
      </c>
      <c r="P2858">
        <v>28.45</v>
      </c>
      <c r="Q2858" t="s">
        <v>9897</v>
      </c>
      <c r="R2858">
        <v>5</v>
      </c>
      <c r="S2858" s="5">
        <f t="shared" si="88"/>
        <v>2.8117649384277833E-2</v>
      </c>
      <c r="T2858">
        <v>252.95500000000001</v>
      </c>
      <c r="U2858">
        <v>5</v>
      </c>
      <c r="V2858">
        <v>2022</v>
      </c>
      <c r="W2858">
        <v>2</v>
      </c>
      <c r="X2858" t="s">
        <v>9899</v>
      </c>
      <c r="Y2858" t="s">
        <v>9901</v>
      </c>
      <c r="Z2858" t="s">
        <v>9898</v>
      </c>
      <c r="AD2858">
        <f t="shared" si="89"/>
        <v>5</v>
      </c>
    </row>
    <row r="2859" spans="1:30" x14ac:dyDescent="0.25">
      <c r="A2859" t="s">
        <v>2883</v>
      </c>
      <c r="B2859" s="2">
        <v>44575</v>
      </c>
      <c r="C2859" s="2">
        <v>44576</v>
      </c>
      <c r="D2859" t="s">
        <v>5193</v>
      </c>
      <c r="E2859" t="s">
        <v>5693</v>
      </c>
      <c r="F2859" t="s">
        <v>6026</v>
      </c>
      <c r="G2859" t="s">
        <v>6031</v>
      </c>
      <c r="H2859" t="s">
        <v>6037</v>
      </c>
      <c r="I2859" t="s">
        <v>6048</v>
      </c>
      <c r="J2859" t="s">
        <v>6055</v>
      </c>
      <c r="K2859" t="s">
        <v>6063</v>
      </c>
      <c r="L2859" t="s">
        <v>8162</v>
      </c>
      <c r="M2859">
        <v>823.21</v>
      </c>
      <c r="N2859">
        <v>2</v>
      </c>
      <c r="O2859">
        <v>0.27</v>
      </c>
      <c r="P2859">
        <v>-97.37</v>
      </c>
      <c r="Q2859" t="s">
        <v>9897</v>
      </c>
      <c r="R2859">
        <v>1</v>
      </c>
      <c r="S2859" s="5">
        <f t="shared" si="88"/>
        <v>-0.11828087608265206</v>
      </c>
      <c r="T2859">
        <v>411.60500000000002</v>
      </c>
      <c r="U2859">
        <v>1</v>
      </c>
      <c r="V2859">
        <v>2022</v>
      </c>
      <c r="W2859">
        <v>1</v>
      </c>
      <c r="X2859" t="s">
        <v>9898</v>
      </c>
      <c r="Y2859" t="s">
        <v>9900</v>
      </c>
      <c r="Z2859" t="s">
        <v>9899</v>
      </c>
      <c r="AD2859">
        <f t="shared" si="89"/>
        <v>1</v>
      </c>
    </row>
    <row r="2860" spans="1:30" x14ac:dyDescent="0.25">
      <c r="A2860" t="s">
        <v>2884</v>
      </c>
      <c r="B2860" s="2">
        <v>44575</v>
      </c>
      <c r="C2860" s="2">
        <v>44579</v>
      </c>
      <c r="D2860" t="s">
        <v>5070</v>
      </c>
      <c r="E2860" t="s">
        <v>5570</v>
      </c>
      <c r="F2860" t="s">
        <v>6028</v>
      </c>
      <c r="G2860" t="s">
        <v>6029</v>
      </c>
      <c r="H2860" t="s">
        <v>6036</v>
      </c>
      <c r="I2860" t="s">
        <v>6049</v>
      </c>
      <c r="J2860" t="s">
        <v>6053</v>
      </c>
      <c r="K2860" t="s">
        <v>6057</v>
      </c>
      <c r="L2860" t="s">
        <v>7801</v>
      </c>
      <c r="M2860">
        <v>1089.97</v>
      </c>
      <c r="N2860">
        <v>7</v>
      </c>
      <c r="O2860">
        <v>0.24</v>
      </c>
      <c r="P2860">
        <v>-22.68</v>
      </c>
      <c r="Q2860" t="s">
        <v>9895</v>
      </c>
      <c r="R2860">
        <v>4</v>
      </c>
      <c r="S2860" s="5">
        <f t="shared" si="88"/>
        <v>-2.0807912144370944E-2</v>
      </c>
      <c r="T2860">
        <v>155.71</v>
      </c>
      <c r="U2860">
        <v>1</v>
      </c>
      <c r="V2860">
        <v>2022</v>
      </c>
      <c r="W2860">
        <v>1</v>
      </c>
      <c r="X2860" t="s">
        <v>9898</v>
      </c>
      <c r="Y2860" t="s">
        <v>9900</v>
      </c>
      <c r="Z2860" t="s">
        <v>9898</v>
      </c>
      <c r="AD2860">
        <f t="shared" si="89"/>
        <v>4</v>
      </c>
    </row>
    <row r="2861" spans="1:30" x14ac:dyDescent="0.25">
      <c r="A2861" t="s">
        <v>2885</v>
      </c>
      <c r="B2861" s="2">
        <v>44747</v>
      </c>
      <c r="C2861" s="2">
        <v>44753</v>
      </c>
      <c r="D2861" t="s">
        <v>5204</v>
      </c>
      <c r="E2861" t="s">
        <v>5704</v>
      </c>
      <c r="F2861" t="s">
        <v>6026</v>
      </c>
      <c r="G2861" t="s">
        <v>6031</v>
      </c>
      <c r="H2861" t="s">
        <v>6037</v>
      </c>
      <c r="I2861" t="s">
        <v>6052</v>
      </c>
      <c r="J2861" t="s">
        <v>6053</v>
      </c>
      <c r="K2861" t="s">
        <v>6057</v>
      </c>
      <c r="L2861" t="s">
        <v>8510</v>
      </c>
      <c r="M2861">
        <v>696.53</v>
      </c>
      <c r="N2861">
        <v>2</v>
      </c>
      <c r="O2861">
        <v>0.16</v>
      </c>
      <c r="P2861">
        <v>50.37</v>
      </c>
      <c r="Q2861" t="s">
        <v>9893</v>
      </c>
      <c r="R2861">
        <v>6</v>
      </c>
      <c r="S2861" s="5">
        <f t="shared" si="88"/>
        <v>7.2315621724835966E-2</v>
      </c>
      <c r="T2861">
        <v>348.26499999999999</v>
      </c>
      <c r="U2861">
        <v>7</v>
      </c>
      <c r="V2861">
        <v>2022</v>
      </c>
      <c r="W2861">
        <v>3</v>
      </c>
      <c r="X2861" t="s">
        <v>9899</v>
      </c>
      <c r="Y2861" t="s">
        <v>9900</v>
      </c>
      <c r="Z2861" t="s">
        <v>9899</v>
      </c>
      <c r="AD2861">
        <f t="shared" si="89"/>
        <v>6</v>
      </c>
    </row>
    <row r="2862" spans="1:30" x14ac:dyDescent="0.25">
      <c r="A2862" t="s">
        <v>2886</v>
      </c>
      <c r="B2862" s="2">
        <v>44935</v>
      </c>
      <c r="C2862" s="2">
        <v>44942</v>
      </c>
      <c r="D2862" t="s">
        <v>5204</v>
      </c>
      <c r="E2862" t="s">
        <v>5704</v>
      </c>
      <c r="F2862" t="s">
        <v>6028</v>
      </c>
      <c r="G2862" t="s">
        <v>6031</v>
      </c>
      <c r="H2862" t="s">
        <v>6034</v>
      </c>
      <c r="I2862" t="s">
        <v>6052</v>
      </c>
      <c r="J2862" t="s">
        <v>6053</v>
      </c>
      <c r="K2862" t="s">
        <v>6056</v>
      </c>
      <c r="L2862" t="s">
        <v>8043</v>
      </c>
      <c r="M2862">
        <v>1201.0999999999999</v>
      </c>
      <c r="N2862">
        <v>6</v>
      </c>
      <c r="O2862">
        <v>0.17</v>
      </c>
      <c r="P2862">
        <v>62.92</v>
      </c>
      <c r="Q2862" t="s">
        <v>9893</v>
      </c>
      <c r="R2862">
        <v>7</v>
      </c>
      <c r="S2862" s="5">
        <f t="shared" si="88"/>
        <v>5.2385313462659233E-2</v>
      </c>
      <c r="T2862">
        <v>200.18333333333331</v>
      </c>
      <c r="U2862">
        <v>1</v>
      </c>
      <c r="V2862">
        <v>2023</v>
      </c>
      <c r="W2862">
        <v>1</v>
      </c>
      <c r="X2862" t="s">
        <v>9899</v>
      </c>
      <c r="Y2862" t="s">
        <v>9900</v>
      </c>
      <c r="Z2862" t="s">
        <v>9898</v>
      </c>
      <c r="AD2862">
        <f t="shared" si="89"/>
        <v>7</v>
      </c>
    </row>
    <row r="2863" spans="1:30" x14ac:dyDescent="0.25">
      <c r="A2863" t="s">
        <v>2887</v>
      </c>
      <c r="B2863" s="2">
        <v>45027</v>
      </c>
      <c r="C2863" s="2">
        <v>45032</v>
      </c>
      <c r="D2863" t="s">
        <v>5355</v>
      </c>
      <c r="E2863" t="s">
        <v>5855</v>
      </c>
      <c r="F2863" t="s">
        <v>6028</v>
      </c>
      <c r="G2863" t="s">
        <v>6031</v>
      </c>
      <c r="H2863" t="s">
        <v>6034</v>
      </c>
      <c r="I2863" t="s">
        <v>6048</v>
      </c>
      <c r="J2863" t="s">
        <v>6055</v>
      </c>
      <c r="K2863" t="s">
        <v>6061</v>
      </c>
      <c r="L2863" t="s">
        <v>8511</v>
      </c>
      <c r="M2863">
        <v>113.19</v>
      </c>
      <c r="N2863">
        <v>8</v>
      </c>
      <c r="O2863">
        <v>0.22</v>
      </c>
      <c r="P2863">
        <v>-1.62</v>
      </c>
      <c r="Q2863" t="s">
        <v>9894</v>
      </c>
      <c r="R2863">
        <v>5</v>
      </c>
      <c r="S2863" s="5">
        <f t="shared" si="88"/>
        <v>-1.4312218393851049E-2</v>
      </c>
      <c r="T2863">
        <v>14.14875</v>
      </c>
      <c r="U2863">
        <v>4</v>
      </c>
      <c r="V2863">
        <v>2023</v>
      </c>
      <c r="W2863">
        <v>2</v>
      </c>
      <c r="X2863" t="s">
        <v>9898</v>
      </c>
      <c r="Y2863" t="s">
        <v>9900</v>
      </c>
      <c r="Z2863" t="s">
        <v>9899</v>
      </c>
      <c r="AD2863">
        <f t="shared" si="89"/>
        <v>5</v>
      </c>
    </row>
    <row r="2864" spans="1:30" x14ac:dyDescent="0.25">
      <c r="A2864" t="s">
        <v>2888</v>
      </c>
      <c r="B2864" s="2">
        <v>44667</v>
      </c>
      <c r="C2864" s="2">
        <v>44674</v>
      </c>
      <c r="D2864" t="s">
        <v>5390</v>
      </c>
      <c r="E2864" t="s">
        <v>5890</v>
      </c>
      <c r="F2864" t="s">
        <v>6028</v>
      </c>
      <c r="G2864" t="s">
        <v>6031</v>
      </c>
      <c r="H2864" t="s">
        <v>6040</v>
      </c>
      <c r="I2864" t="s">
        <v>6048</v>
      </c>
      <c r="J2864" t="s">
        <v>6053</v>
      </c>
      <c r="K2864" t="s">
        <v>6058</v>
      </c>
      <c r="L2864" t="s">
        <v>8450</v>
      </c>
      <c r="M2864">
        <v>915.17</v>
      </c>
      <c r="N2864">
        <v>2</v>
      </c>
      <c r="O2864">
        <v>0.18</v>
      </c>
      <c r="P2864">
        <v>102.8</v>
      </c>
      <c r="Q2864" t="s">
        <v>9893</v>
      </c>
      <c r="R2864">
        <v>7</v>
      </c>
      <c r="S2864" s="5">
        <f t="shared" si="88"/>
        <v>0.11232885693368445</v>
      </c>
      <c r="T2864">
        <v>457.58499999999998</v>
      </c>
      <c r="U2864">
        <v>4</v>
      </c>
      <c r="V2864">
        <v>2022</v>
      </c>
      <c r="W2864">
        <v>2</v>
      </c>
      <c r="X2864" t="s">
        <v>9899</v>
      </c>
      <c r="Y2864" t="s">
        <v>9900</v>
      </c>
      <c r="Z2864" t="s">
        <v>9899</v>
      </c>
      <c r="AD2864">
        <f t="shared" si="89"/>
        <v>7</v>
      </c>
    </row>
    <row r="2865" spans="1:30" x14ac:dyDescent="0.25">
      <c r="A2865" t="s">
        <v>2889</v>
      </c>
      <c r="B2865" s="2">
        <v>45139</v>
      </c>
      <c r="C2865" s="2">
        <v>45146</v>
      </c>
      <c r="D2865" t="s">
        <v>5464</v>
      </c>
      <c r="E2865" t="s">
        <v>5964</v>
      </c>
      <c r="F2865" t="s">
        <v>6028</v>
      </c>
      <c r="G2865" t="s">
        <v>6030</v>
      </c>
      <c r="H2865" t="s">
        <v>6038</v>
      </c>
      <c r="I2865" t="s">
        <v>6051</v>
      </c>
      <c r="J2865" t="s">
        <v>6053</v>
      </c>
      <c r="K2865" t="s">
        <v>6058</v>
      </c>
      <c r="L2865" t="s">
        <v>8512</v>
      </c>
      <c r="M2865">
        <v>918.06</v>
      </c>
      <c r="N2865">
        <v>5</v>
      </c>
      <c r="O2865">
        <v>7.0000000000000007E-2</v>
      </c>
      <c r="P2865">
        <v>210.81</v>
      </c>
      <c r="Q2865" t="s">
        <v>9896</v>
      </c>
      <c r="R2865">
        <v>7</v>
      </c>
      <c r="S2865" s="5">
        <f t="shared" si="88"/>
        <v>0.22962551467224365</v>
      </c>
      <c r="T2865">
        <v>183.61199999999999</v>
      </c>
      <c r="U2865">
        <v>8</v>
      </c>
      <c r="V2865">
        <v>2023</v>
      </c>
      <c r="W2865">
        <v>3</v>
      </c>
      <c r="X2865" t="s">
        <v>9899</v>
      </c>
      <c r="Y2865" t="s">
        <v>9901</v>
      </c>
      <c r="Z2865" t="s">
        <v>9899</v>
      </c>
      <c r="AD2865">
        <f t="shared" si="89"/>
        <v>7</v>
      </c>
    </row>
    <row r="2866" spans="1:30" x14ac:dyDescent="0.25">
      <c r="A2866" t="s">
        <v>2890</v>
      </c>
      <c r="B2866" s="2">
        <v>45238</v>
      </c>
      <c r="C2866" s="2">
        <v>45241</v>
      </c>
      <c r="D2866" t="s">
        <v>5268</v>
      </c>
      <c r="E2866" t="s">
        <v>5768</v>
      </c>
      <c r="F2866" t="s">
        <v>6026</v>
      </c>
      <c r="G2866" t="s">
        <v>6031</v>
      </c>
      <c r="H2866" t="s">
        <v>6042</v>
      </c>
      <c r="I2866" t="s">
        <v>6050</v>
      </c>
      <c r="J2866" t="s">
        <v>6053</v>
      </c>
      <c r="K2866" t="s">
        <v>6058</v>
      </c>
      <c r="L2866" t="s">
        <v>8513</v>
      </c>
      <c r="M2866">
        <v>350.97</v>
      </c>
      <c r="N2866">
        <v>2</v>
      </c>
      <c r="O2866">
        <v>0.15</v>
      </c>
      <c r="P2866">
        <v>35.31</v>
      </c>
      <c r="Q2866" t="s">
        <v>9897</v>
      </c>
      <c r="R2866">
        <v>3</v>
      </c>
      <c r="S2866" s="5">
        <f t="shared" si="88"/>
        <v>0.10060688947773314</v>
      </c>
      <c r="T2866">
        <v>175.48500000000001</v>
      </c>
      <c r="U2866">
        <v>11</v>
      </c>
      <c r="V2866">
        <v>2023</v>
      </c>
      <c r="W2866">
        <v>4</v>
      </c>
      <c r="X2866" t="s">
        <v>9899</v>
      </c>
      <c r="Y2866" t="s">
        <v>9901</v>
      </c>
      <c r="Z2866" t="s">
        <v>9899</v>
      </c>
      <c r="AD2866">
        <f t="shared" si="89"/>
        <v>3</v>
      </c>
    </row>
    <row r="2867" spans="1:30" x14ac:dyDescent="0.25">
      <c r="A2867" t="s">
        <v>2891</v>
      </c>
      <c r="B2867" s="2">
        <v>45336</v>
      </c>
      <c r="C2867" s="2">
        <v>45339</v>
      </c>
      <c r="D2867" t="s">
        <v>5304</v>
      </c>
      <c r="E2867" t="s">
        <v>5804</v>
      </c>
      <c r="F2867" t="s">
        <v>6026</v>
      </c>
      <c r="G2867" t="s">
        <v>6030</v>
      </c>
      <c r="H2867" t="s">
        <v>6035</v>
      </c>
      <c r="I2867" t="s">
        <v>6051</v>
      </c>
      <c r="J2867" t="s">
        <v>6053</v>
      </c>
      <c r="K2867" t="s">
        <v>6058</v>
      </c>
      <c r="L2867" t="s">
        <v>8514</v>
      </c>
      <c r="M2867">
        <v>929.18</v>
      </c>
      <c r="N2867">
        <v>6</v>
      </c>
      <c r="O2867">
        <v>0.06</v>
      </c>
      <c r="P2867">
        <v>118.39</v>
      </c>
      <c r="Q2867" t="s">
        <v>9894</v>
      </c>
      <c r="R2867">
        <v>3</v>
      </c>
      <c r="S2867" s="5">
        <f t="shared" si="88"/>
        <v>0.12741341828278699</v>
      </c>
      <c r="T2867">
        <v>154.86333333333329</v>
      </c>
      <c r="U2867">
        <v>2</v>
      </c>
      <c r="V2867">
        <v>2024</v>
      </c>
      <c r="W2867">
        <v>1</v>
      </c>
      <c r="X2867" t="s">
        <v>9899</v>
      </c>
      <c r="Y2867" t="s">
        <v>9901</v>
      </c>
      <c r="Z2867" t="s">
        <v>9899</v>
      </c>
      <c r="AD2867">
        <f t="shared" si="89"/>
        <v>3</v>
      </c>
    </row>
    <row r="2868" spans="1:30" x14ac:dyDescent="0.25">
      <c r="A2868" t="s">
        <v>2892</v>
      </c>
      <c r="B2868" s="2">
        <v>45359</v>
      </c>
      <c r="C2868" s="2">
        <v>45360</v>
      </c>
      <c r="D2868" t="s">
        <v>5447</v>
      </c>
      <c r="E2868" t="s">
        <v>5947</v>
      </c>
      <c r="F2868" t="s">
        <v>6026</v>
      </c>
      <c r="G2868" t="s">
        <v>6030</v>
      </c>
      <c r="H2868" t="s">
        <v>6038</v>
      </c>
      <c r="I2868" t="s">
        <v>6047</v>
      </c>
      <c r="J2868" t="s">
        <v>6054</v>
      </c>
      <c r="K2868" t="s">
        <v>6060</v>
      </c>
      <c r="L2868" t="s">
        <v>6125</v>
      </c>
      <c r="M2868">
        <v>272.31</v>
      </c>
      <c r="N2868">
        <v>3</v>
      </c>
      <c r="O2868">
        <v>0.31</v>
      </c>
      <c r="P2868">
        <v>-46.69</v>
      </c>
      <c r="Q2868" t="s">
        <v>9894</v>
      </c>
      <c r="R2868">
        <v>1</v>
      </c>
      <c r="S2868" s="5">
        <f t="shared" si="88"/>
        <v>-0.17145899893503727</v>
      </c>
      <c r="T2868">
        <v>90.77</v>
      </c>
      <c r="U2868">
        <v>3</v>
      </c>
      <c r="V2868">
        <v>2024</v>
      </c>
      <c r="W2868">
        <v>1</v>
      </c>
      <c r="X2868" t="s">
        <v>9898</v>
      </c>
      <c r="Y2868" t="s">
        <v>9902</v>
      </c>
      <c r="Z2868" t="s">
        <v>9899</v>
      </c>
      <c r="AD2868">
        <f t="shared" si="89"/>
        <v>1</v>
      </c>
    </row>
    <row r="2869" spans="1:30" x14ac:dyDescent="0.25">
      <c r="A2869" t="s">
        <v>2893</v>
      </c>
      <c r="B2869" s="2">
        <v>44575</v>
      </c>
      <c r="C2869" s="2">
        <v>44579</v>
      </c>
      <c r="D2869" t="s">
        <v>5030</v>
      </c>
      <c r="E2869" t="s">
        <v>5530</v>
      </c>
      <c r="F2869" t="s">
        <v>6026</v>
      </c>
      <c r="G2869" t="s">
        <v>6031</v>
      </c>
      <c r="H2869" t="s">
        <v>6043</v>
      </c>
      <c r="I2869" t="s">
        <v>6050</v>
      </c>
      <c r="J2869" t="s">
        <v>6053</v>
      </c>
      <c r="K2869" t="s">
        <v>6056</v>
      </c>
      <c r="L2869" t="s">
        <v>8515</v>
      </c>
      <c r="M2869">
        <v>411.94</v>
      </c>
      <c r="N2869">
        <v>5</v>
      </c>
      <c r="O2869">
        <v>0.28999999999999998</v>
      </c>
      <c r="P2869">
        <v>-45.72</v>
      </c>
      <c r="Q2869" t="s">
        <v>9894</v>
      </c>
      <c r="R2869">
        <v>4</v>
      </c>
      <c r="S2869" s="5">
        <f t="shared" si="88"/>
        <v>-0.11098703694712822</v>
      </c>
      <c r="T2869">
        <v>82.388000000000005</v>
      </c>
      <c r="U2869">
        <v>1</v>
      </c>
      <c r="V2869">
        <v>2022</v>
      </c>
      <c r="W2869">
        <v>1</v>
      </c>
      <c r="X2869" t="s">
        <v>9898</v>
      </c>
      <c r="Y2869" t="s">
        <v>9900</v>
      </c>
      <c r="Z2869" t="s">
        <v>9899</v>
      </c>
      <c r="AD2869">
        <f t="shared" si="89"/>
        <v>4</v>
      </c>
    </row>
    <row r="2870" spans="1:30" x14ac:dyDescent="0.25">
      <c r="A2870" t="s">
        <v>2894</v>
      </c>
      <c r="B2870" s="2">
        <v>44825</v>
      </c>
      <c r="C2870" s="2">
        <v>44832</v>
      </c>
      <c r="D2870" t="s">
        <v>5265</v>
      </c>
      <c r="E2870" t="s">
        <v>5765</v>
      </c>
      <c r="F2870" t="s">
        <v>6026</v>
      </c>
      <c r="G2870" t="s">
        <v>6031</v>
      </c>
      <c r="H2870" t="s">
        <v>6042</v>
      </c>
      <c r="I2870" t="s">
        <v>6048</v>
      </c>
      <c r="J2870" t="s">
        <v>6053</v>
      </c>
      <c r="K2870" t="s">
        <v>6057</v>
      </c>
      <c r="L2870" t="s">
        <v>7962</v>
      </c>
      <c r="M2870">
        <v>763.45</v>
      </c>
      <c r="N2870">
        <v>5</v>
      </c>
      <c r="O2870">
        <v>0.09</v>
      </c>
      <c r="P2870">
        <v>125.43</v>
      </c>
      <c r="Q2870" t="s">
        <v>9893</v>
      </c>
      <c r="R2870">
        <v>7</v>
      </c>
      <c r="S2870" s="5">
        <f t="shared" si="88"/>
        <v>0.16429366690680464</v>
      </c>
      <c r="T2870">
        <v>152.69</v>
      </c>
      <c r="U2870">
        <v>9</v>
      </c>
      <c r="V2870">
        <v>2022</v>
      </c>
      <c r="W2870">
        <v>3</v>
      </c>
      <c r="X2870" t="s">
        <v>9899</v>
      </c>
      <c r="Y2870" t="s">
        <v>9901</v>
      </c>
      <c r="Z2870" t="s">
        <v>9899</v>
      </c>
      <c r="AD2870">
        <f t="shared" si="89"/>
        <v>7</v>
      </c>
    </row>
    <row r="2871" spans="1:30" x14ac:dyDescent="0.25">
      <c r="A2871" t="s">
        <v>2895</v>
      </c>
      <c r="B2871" s="2">
        <v>44997</v>
      </c>
      <c r="C2871" s="2">
        <v>45001</v>
      </c>
      <c r="D2871" t="s">
        <v>5165</v>
      </c>
      <c r="E2871" t="s">
        <v>5665</v>
      </c>
      <c r="F2871" t="s">
        <v>6027</v>
      </c>
      <c r="G2871" t="s">
        <v>6030</v>
      </c>
      <c r="H2871" t="s">
        <v>6033</v>
      </c>
      <c r="I2871" t="s">
        <v>6047</v>
      </c>
      <c r="J2871" t="s">
        <v>6054</v>
      </c>
      <c r="K2871" t="s">
        <v>6060</v>
      </c>
      <c r="L2871" t="s">
        <v>8516</v>
      </c>
      <c r="M2871">
        <v>1265.1199999999999</v>
      </c>
      <c r="N2871">
        <v>8</v>
      </c>
      <c r="O2871">
        <v>7.0000000000000007E-2</v>
      </c>
      <c r="P2871">
        <v>210.38</v>
      </c>
      <c r="Q2871" t="s">
        <v>9895</v>
      </c>
      <c r="R2871">
        <v>4</v>
      </c>
      <c r="S2871" s="5">
        <f t="shared" si="88"/>
        <v>0.16629252561021882</v>
      </c>
      <c r="T2871">
        <v>158.13999999999999</v>
      </c>
      <c r="U2871">
        <v>3</v>
      </c>
      <c r="V2871">
        <v>2023</v>
      </c>
      <c r="W2871">
        <v>1</v>
      </c>
      <c r="X2871" t="s">
        <v>9899</v>
      </c>
      <c r="Y2871" t="s">
        <v>9901</v>
      </c>
      <c r="Z2871" t="s">
        <v>9898</v>
      </c>
      <c r="AD2871">
        <f t="shared" si="89"/>
        <v>4</v>
      </c>
    </row>
    <row r="2872" spans="1:30" x14ac:dyDescent="0.25">
      <c r="A2872" t="s">
        <v>2896</v>
      </c>
      <c r="B2872" s="2">
        <v>45383</v>
      </c>
      <c r="C2872" s="2">
        <v>45384</v>
      </c>
      <c r="D2872" t="s">
        <v>5324</v>
      </c>
      <c r="E2872" t="s">
        <v>5824</v>
      </c>
      <c r="F2872" t="s">
        <v>6028</v>
      </c>
      <c r="G2872" t="s">
        <v>6031</v>
      </c>
      <c r="H2872" t="s">
        <v>6043</v>
      </c>
      <c r="I2872" t="s">
        <v>6052</v>
      </c>
      <c r="J2872" t="s">
        <v>6055</v>
      </c>
      <c r="K2872" t="s">
        <v>6064</v>
      </c>
      <c r="L2872" t="s">
        <v>8517</v>
      </c>
      <c r="M2872">
        <v>1597.6</v>
      </c>
      <c r="N2872">
        <v>1</v>
      </c>
      <c r="O2872">
        <v>0.13</v>
      </c>
      <c r="P2872">
        <v>268.33</v>
      </c>
      <c r="Q2872" t="s">
        <v>9893</v>
      </c>
      <c r="R2872">
        <v>1</v>
      </c>
      <c r="S2872" s="5">
        <f t="shared" si="88"/>
        <v>0.16795818728092138</v>
      </c>
      <c r="T2872">
        <v>1597.6</v>
      </c>
      <c r="U2872">
        <v>4</v>
      </c>
      <c r="V2872">
        <v>2024</v>
      </c>
      <c r="W2872">
        <v>2</v>
      </c>
      <c r="X2872" t="s">
        <v>9899</v>
      </c>
      <c r="Y2872" t="s">
        <v>9901</v>
      </c>
      <c r="Z2872" t="s">
        <v>9898</v>
      </c>
      <c r="AD2872">
        <f t="shared" si="89"/>
        <v>1</v>
      </c>
    </row>
    <row r="2873" spans="1:30" x14ac:dyDescent="0.25">
      <c r="A2873" t="s">
        <v>2897</v>
      </c>
      <c r="B2873" s="2">
        <v>45356</v>
      </c>
      <c r="C2873" s="2">
        <v>45359</v>
      </c>
      <c r="D2873" t="s">
        <v>5428</v>
      </c>
      <c r="E2873" t="s">
        <v>5928</v>
      </c>
      <c r="F2873" t="s">
        <v>6026</v>
      </c>
      <c r="G2873" t="s">
        <v>6029</v>
      </c>
      <c r="H2873" t="s">
        <v>6045</v>
      </c>
      <c r="I2873" t="s">
        <v>6049</v>
      </c>
      <c r="J2873" t="s">
        <v>6053</v>
      </c>
      <c r="K2873" t="s">
        <v>6058</v>
      </c>
      <c r="L2873" t="s">
        <v>7186</v>
      </c>
      <c r="M2873">
        <v>1754.68</v>
      </c>
      <c r="N2873">
        <v>7</v>
      </c>
      <c r="O2873">
        <v>0.1</v>
      </c>
      <c r="P2873">
        <v>259.57</v>
      </c>
      <c r="Q2873" t="s">
        <v>9897</v>
      </c>
      <c r="R2873">
        <v>3</v>
      </c>
      <c r="S2873" s="5">
        <f t="shared" si="88"/>
        <v>0.14793010691408118</v>
      </c>
      <c r="T2873">
        <v>250.6685714285714</v>
      </c>
      <c r="U2873">
        <v>3</v>
      </c>
      <c r="V2873">
        <v>2024</v>
      </c>
      <c r="W2873">
        <v>1</v>
      </c>
      <c r="X2873" t="s">
        <v>9899</v>
      </c>
      <c r="Y2873" t="s">
        <v>9901</v>
      </c>
      <c r="Z2873" t="s">
        <v>9898</v>
      </c>
      <c r="AD2873">
        <f t="shared" si="89"/>
        <v>3</v>
      </c>
    </row>
    <row r="2874" spans="1:30" x14ac:dyDescent="0.25">
      <c r="A2874" t="s">
        <v>2898</v>
      </c>
      <c r="B2874" s="2">
        <v>44949</v>
      </c>
      <c r="C2874" s="2">
        <v>44956</v>
      </c>
      <c r="D2874" t="s">
        <v>5061</v>
      </c>
      <c r="E2874" t="s">
        <v>5561</v>
      </c>
      <c r="F2874" t="s">
        <v>6028</v>
      </c>
      <c r="G2874" t="s">
        <v>6030</v>
      </c>
      <c r="H2874" t="s">
        <v>6039</v>
      </c>
      <c r="I2874" t="s">
        <v>6047</v>
      </c>
      <c r="J2874" t="s">
        <v>6055</v>
      </c>
      <c r="K2874" t="s">
        <v>6063</v>
      </c>
      <c r="L2874" t="s">
        <v>8518</v>
      </c>
      <c r="M2874">
        <v>282.02</v>
      </c>
      <c r="N2874">
        <v>7</v>
      </c>
      <c r="O2874">
        <v>0.18</v>
      </c>
      <c r="P2874">
        <v>-19.78</v>
      </c>
      <c r="Q2874" t="s">
        <v>9897</v>
      </c>
      <c r="R2874">
        <v>7</v>
      </c>
      <c r="S2874" s="5">
        <f t="shared" si="88"/>
        <v>-7.0136869725551387E-2</v>
      </c>
      <c r="T2874">
        <v>40.288571428571423</v>
      </c>
      <c r="U2874">
        <v>1</v>
      </c>
      <c r="V2874">
        <v>2023</v>
      </c>
      <c r="W2874">
        <v>1</v>
      </c>
      <c r="X2874" t="s">
        <v>9898</v>
      </c>
      <c r="Y2874" t="s">
        <v>9900</v>
      </c>
      <c r="Z2874" t="s">
        <v>9899</v>
      </c>
      <c r="AD2874">
        <f t="shared" si="89"/>
        <v>7</v>
      </c>
    </row>
    <row r="2875" spans="1:30" x14ac:dyDescent="0.25">
      <c r="A2875" t="s">
        <v>2899</v>
      </c>
      <c r="B2875" s="2">
        <v>44924</v>
      </c>
      <c r="C2875" s="2">
        <v>44928</v>
      </c>
      <c r="D2875" t="s">
        <v>5306</v>
      </c>
      <c r="E2875" t="s">
        <v>5806</v>
      </c>
      <c r="F2875" t="s">
        <v>6027</v>
      </c>
      <c r="G2875" t="s">
        <v>6030</v>
      </c>
      <c r="H2875" t="s">
        <v>6035</v>
      </c>
      <c r="I2875" t="s">
        <v>6051</v>
      </c>
      <c r="J2875" t="s">
        <v>6054</v>
      </c>
      <c r="K2875" t="s">
        <v>6060</v>
      </c>
      <c r="L2875" t="s">
        <v>8519</v>
      </c>
      <c r="M2875">
        <v>477.82</v>
      </c>
      <c r="N2875">
        <v>4</v>
      </c>
      <c r="O2875">
        <v>0.03</v>
      </c>
      <c r="P2875">
        <v>51.16</v>
      </c>
      <c r="Q2875" t="s">
        <v>9895</v>
      </c>
      <c r="R2875">
        <v>4</v>
      </c>
      <c r="S2875" s="5">
        <f t="shared" si="88"/>
        <v>0.1070696078021012</v>
      </c>
      <c r="T2875">
        <v>119.455</v>
      </c>
      <c r="U2875">
        <v>12</v>
      </c>
      <c r="V2875">
        <v>2022</v>
      </c>
      <c r="W2875">
        <v>4</v>
      </c>
      <c r="X2875" t="s">
        <v>9899</v>
      </c>
      <c r="Y2875" t="s">
        <v>9901</v>
      </c>
      <c r="Z2875" t="s">
        <v>9899</v>
      </c>
      <c r="AD2875">
        <f t="shared" si="89"/>
        <v>4</v>
      </c>
    </row>
    <row r="2876" spans="1:30" x14ac:dyDescent="0.25">
      <c r="A2876" t="s">
        <v>2900</v>
      </c>
      <c r="B2876" s="2">
        <v>45365</v>
      </c>
      <c r="C2876" s="2">
        <v>45371</v>
      </c>
      <c r="D2876" t="s">
        <v>5264</v>
      </c>
      <c r="E2876" t="s">
        <v>5764</v>
      </c>
      <c r="F2876" t="s">
        <v>6028</v>
      </c>
      <c r="G2876" t="s">
        <v>6030</v>
      </c>
      <c r="H2876" t="s">
        <v>6033</v>
      </c>
      <c r="I2876" t="s">
        <v>6047</v>
      </c>
      <c r="J2876" t="s">
        <v>6053</v>
      </c>
      <c r="K2876" t="s">
        <v>6057</v>
      </c>
      <c r="L2876" t="s">
        <v>8520</v>
      </c>
      <c r="M2876">
        <v>1090.96</v>
      </c>
      <c r="N2876">
        <v>4</v>
      </c>
      <c r="O2876">
        <v>0.08</v>
      </c>
      <c r="P2876">
        <v>160.22999999999999</v>
      </c>
      <c r="Q2876" t="s">
        <v>9894</v>
      </c>
      <c r="R2876">
        <v>6</v>
      </c>
      <c r="S2876" s="5">
        <f t="shared" si="88"/>
        <v>0.14687064603651828</v>
      </c>
      <c r="T2876">
        <v>272.74</v>
      </c>
      <c r="U2876">
        <v>3</v>
      </c>
      <c r="V2876">
        <v>2024</v>
      </c>
      <c r="W2876">
        <v>1</v>
      </c>
      <c r="X2876" t="s">
        <v>9899</v>
      </c>
      <c r="Y2876" t="s">
        <v>9901</v>
      </c>
      <c r="Z2876" t="s">
        <v>9898</v>
      </c>
      <c r="AD2876">
        <f t="shared" si="89"/>
        <v>6</v>
      </c>
    </row>
    <row r="2877" spans="1:30" x14ac:dyDescent="0.25">
      <c r="A2877" t="s">
        <v>2901</v>
      </c>
      <c r="B2877" s="2">
        <v>44824</v>
      </c>
      <c r="C2877" s="2">
        <v>44827</v>
      </c>
      <c r="D2877" t="s">
        <v>5279</v>
      </c>
      <c r="E2877" t="s">
        <v>5779</v>
      </c>
      <c r="F2877" t="s">
        <v>6028</v>
      </c>
      <c r="G2877" t="s">
        <v>6029</v>
      </c>
      <c r="H2877" t="s">
        <v>6032</v>
      </c>
      <c r="I2877" t="s">
        <v>6050</v>
      </c>
      <c r="J2877" t="s">
        <v>6055</v>
      </c>
      <c r="K2877" t="s">
        <v>6064</v>
      </c>
      <c r="L2877" t="s">
        <v>8521</v>
      </c>
      <c r="M2877">
        <v>862.53</v>
      </c>
      <c r="N2877">
        <v>6</v>
      </c>
      <c r="O2877">
        <v>0.11</v>
      </c>
      <c r="P2877">
        <v>4.2699999999999996</v>
      </c>
      <c r="Q2877" t="s">
        <v>9896</v>
      </c>
      <c r="R2877">
        <v>3</v>
      </c>
      <c r="S2877" s="5">
        <f t="shared" si="88"/>
        <v>4.9505524445526529E-3</v>
      </c>
      <c r="T2877">
        <v>143.755</v>
      </c>
      <c r="U2877">
        <v>9</v>
      </c>
      <c r="V2877">
        <v>2022</v>
      </c>
      <c r="W2877">
        <v>3</v>
      </c>
      <c r="X2877" t="s">
        <v>9899</v>
      </c>
      <c r="Y2877" t="s">
        <v>9901</v>
      </c>
      <c r="Z2877" t="s">
        <v>9899</v>
      </c>
      <c r="AD2877">
        <f t="shared" si="89"/>
        <v>3</v>
      </c>
    </row>
    <row r="2878" spans="1:30" x14ac:dyDescent="0.25">
      <c r="A2878" t="s">
        <v>2902</v>
      </c>
      <c r="B2878" s="2">
        <v>45293</v>
      </c>
      <c r="C2878" s="2">
        <v>45294</v>
      </c>
      <c r="D2878" t="s">
        <v>5315</v>
      </c>
      <c r="E2878" t="s">
        <v>5815</v>
      </c>
      <c r="F2878" t="s">
        <v>6028</v>
      </c>
      <c r="G2878" t="s">
        <v>6029</v>
      </c>
      <c r="H2878" t="s">
        <v>6036</v>
      </c>
      <c r="I2878" t="s">
        <v>6046</v>
      </c>
      <c r="J2878" t="s">
        <v>6053</v>
      </c>
      <c r="K2878" t="s">
        <v>6057</v>
      </c>
      <c r="L2878" t="s">
        <v>8522</v>
      </c>
      <c r="M2878">
        <v>198.01</v>
      </c>
      <c r="N2878">
        <v>2</v>
      </c>
      <c r="O2878">
        <v>0.27</v>
      </c>
      <c r="P2878">
        <v>-28.56</v>
      </c>
      <c r="Q2878" t="s">
        <v>9893</v>
      </c>
      <c r="R2878">
        <v>1</v>
      </c>
      <c r="S2878" s="5">
        <f t="shared" si="88"/>
        <v>-0.14423513963941215</v>
      </c>
      <c r="T2878">
        <v>99.004999999999995</v>
      </c>
      <c r="U2878">
        <v>1</v>
      </c>
      <c r="V2878">
        <v>2024</v>
      </c>
      <c r="W2878">
        <v>1</v>
      </c>
      <c r="X2878" t="s">
        <v>9898</v>
      </c>
      <c r="Y2878" t="s">
        <v>9900</v>
      </c>
      <c r="Z2878" t="s">
        <v>9899</v>
      </c>
      <c r="AD2878">
        <f t="shared" si="89"/>
        <v>1</v>
      </c>
    </row>
    <row r="2879" spans="1:30" x14ac:dyDescent="0.25">
      <c r="A2879" t="s">
        <v>2903</v>
      </c>
      <c r="B2879" s="2">
        <v>44962</v>
      </c>
      <c r="C2879" s="2">
        <v>44967</v>
      </c>
      <c r="D2879" t="s">
        <v>5470</v>
      </c>
      <c r="E2879" t="s">
        <v>5970</v>
      </c>
      <c r="F2879" t="s">
        <v>6026</v>
      </c>
      <c r="G2879" t="s">
        <v>6030</v>
      </c>
      <c r="H2879" t="s">
        <v>6033</v>
      </c>
      <c r="I2879" t="s">
        <v>6051</v>
      </c>
      <c r="J2879" t="s">
        <v>6054</v>
      </c>
      <c r="K2879" t="s">
        <v>6062</v>
      </c>
      <c r="L2879" t="s">
        <v>8523</v>
      </c>
      <c r="M2879">
        <v>1837.89</v>
      </c>
      <c r="N2879">
        <v>7</v>
      </c>
      <c r="O2879">
        <v>0.11</v>
      </c>
      <c r="P2879">
        <v>176.55</v>
      </c>
      <c r="Q2879" t="s">
        <v>9895</v>
      </c>
      <c r="R2879">
        <v>5</v>
      </c>
      <c r="S2879" s="5">
        <f t="shared" si="88"/>
        <v>9.6061244144100028E-2</v>
      </c>
      <c r="T2879">
        <v>262.55571428571432</v>
      </c>
      <c r="U2879">
        <v>2</v>
      </c>
      <c r="V2879">
        <v>2023</v>
      </c>
      <c r="W2879">
        <v>1</v>
      </c>
      <c r="X2879" t="s">
        <v>9899</v>
      </c>
      <c r="Y2879" t="s">
        <v>9901</v>
      </c>
      <c r="Z2879" t="s">
        <v>9898</v>
      </c>
      <c r="AD2879">
        <f t="shared" si="89"/>
        <v>5</v>
      </c>
    </row>
    <row r="2880" spans="1:30" x14ac:dyDescent="0.25">
      <c r="A2880" t="s">
        <v>2904</v>
      </c>
      <c r="B2880" s="2">
        <v>45447</v>
      </c>
      <c r="C2880" s="2">
        <v>45449</v>
      </c>
      <c r="D2880" t="s">
        <v>5139</v>
      </c>
      <c r="E2880" t="s">
        <v>5639</v>
      </c>
      <c r="F2880" t="s">
        <v>6027</v>
      </c>
      <c r="G2880" t="s">
        <v>6030</v>
      </c>
      <c r="H2880" t="s">
        <v>6033</v>
      </c>
      <c r="I2880" t="s">
        <v>6047</v>
      </c>
      <c r="J2880" t="s">
        <v>6055</v>
      </c>
      <c r="K2880" t="s">
        <v>6061</v>
      </c>
      <c r="L2880" t="s">
        <v>6476</v>
      </c>
      <c r="M2880">
        <v>1226.04</v>
      </c>
      <c r="N2880">
        <v>3</v>
      </c>
      <c r="O2880">
        <v>0.34</v>
      </c>
      <c r="P2880">
        <v>-237.55</v>
      </c>
      <c r="Q2880" t="s">
        <v>9894</v>
      </c>
      <c r="R2880">
        <v>2</v>
      </c>
      <c r="S2880" s="5">
        <f t="shared" si="88"/>
        <v>-0.19375387426185117</v>
      </c>
      <c r="T2880">
        <v>408.68</v>
      </c>
      <c r="U2880">
        <v>6</v>
      </c>
      <c r="V2880">
        <v>2024</v>
      </c>
      <c r="W2880">
        <v>2</v>
      </c>
      <c r="X2880" t="s">
        <v>9898</v>
      </c>
      <c r="Y2880" t="s">
        <v>9902</v>
      </c>
      <c r="Z2880" t="s">
        <v>9898</v>
      </c>
      <c r="AD2880">
        <f t="shared" si="89"/>
        <v>2</v>
      </c>
    </row>
    <row r="2881" spans="1:30" x14ac:dyDescent="0.25">
      <c r="A2881" t="s">
        <v>2905</v>
      </c>
      <c r="B2881" s="2">
        <v>44702</v>
      </c>
      <c r="C2881" s="2">
        <v>44708</v>
      </c>
      <c r="D2881" t="s">
        <v>5411</v>
      </c>
      <c r="E2881" t="s">
        <v>5911</v>
      </c>
      <c r="F2881" t="s">
        <v>6028</v>
      </c>
      <c r="G2881" t="s">
        <v>6031</v>
      </c>
      <c r="H2881" t="s">
        <v>6043</v>
      </c>
      <c r="I2881" t="s">
        <v>6050</v>
      </c>
      <c r="J2881" t="s">
        <v>6053</v>
      </c>
      <c r="K2881" t="s">
        <v>6056</v>
      </c>
      <c r="L2881" t="s">
        <v>6835</v>
      </c>
      <c r="M2881">
        <v>550.17999999999995</v>
      </c>
      <c r="N2881">
        <v>6</v>
      </c>
      <c r="O2881">
        <v>0.06</v>
      </c>
      <c r="P2881">
        <v>44.11</v>
      </c>
      <c r="Q2881" t="s">
        <v>9895</v>
      </c>
      <c r="R2881">
        <v>6</v>
      </c>
      <c r="S2881" s="5">
        <f t="shared" si="88"/>
        <v>8.0173761314478897E-2</v>
      </c>
      <c r="T2881">
        <v>91.696666666666658</v>
      </c>
      <c r="U2881">
        <v>5</v>
      </c>
      <c r="V2881">
        <v>2022</v>
      </c>
      <c r="W2881">
        <v>2</v>
      </c>
      <c r="X2881" t="s">
        <v>9899</v>
      </c>
      <c r="Y2881" t="s">
        <v>9901</v>
      </c>
      <c r="Z2881" t="s">
        <v>9899</v>
      </c>
      <c r="AD2881">
        <f t="shared" si="89"/>
        <v>6</v>
      </c>
    </row>
    <row r="2882" spans="1:30" x14ac:dyDescent="0.25">
      <c r="A2882" t="s">
        <v>2906</v>
      </c>
      <c r="B2882" s="2">
        <v>44963</v>
      </c>
      <c r="C2882" s="2">
        <v>44966</v>
      </c>
      <c r="D2882" t="s">
        <v>5417</v>
      </c>
      <c r="E2882" t="s">
        <v>5917</v>
      </c>
      <c r="F2882" t="s">
        <v>6028</v>
      </c>
      <c r="G2882" t="s">
        <v>6030</v>
      </c>
      <c r="H2882" t="s">
        <v>6039</v>
      </c>
      <c r="I2882" t="s">
        <v>6047</v>
      </c>
      <c r="J2882" t="s">
        <v>6055</v>
      </c>
      <c r="K2882" t="s">
        <v>6061</v>
      </c>
      <c r="L2882" t="s">
        <v>8524</v>
      </c>
      <c r="M2882">
        <v>1783.4</v>
      </c>
      <c r="N2882">
        <v>7</v>
      </c>
      <c r="O2882">
        <v>0.35</v>
      </c>
      <c r="P2882">
        <v>-154.71</v>
      </c>
      <c r="Q2882" t="s">
        <v>9896</v>
      </c>
      <c r="R2882">
        <v>3</v>
      </c>
      <c r="S2882" s="5">
        <f t="shared" si="88"/>
        <v>-8.6750028036335095E-2</v>
      </c>
      <c r="T2882">
        <v>254.7714285714286</v>
      </c>
      <c r="U2882">
        <v>2</v>
      </c>
      <c r="V2882">
        <v>2023</v>
      </c>
      <c r="W2882">
        <v>1</v>
      </c>
      <c r="X2882" t="s">
        <v>9898</v>
      </c>
      <c r="Y2882" t="s">
        <v>9902</v>
      </c>
      <c r="Z2882" t="s">
        <v>9898</v>
      </c>
      <c r="AD2882">
        <f t="shared" si="89"/>
        <v>3</v>
      </c>
    </row>
    <row r="2883" spans="1:30" x14ac:dyDescent="0.25">
      <c r="A2883" t="s">
        <v>2907</v>
      </c>
      <c r="B2883" s="2">
        <v>45120</v>
      </c>
      <c r="C2883" s="2">
        <v>45125</v>
      </c>
      <c r="D2883" t="s">
        <v>5077</v>
      </c>
      <c r="E2883" t="s">
        <v>5577</v>
      </c>
      <c r="F2883" t="s">
        <v>6028</v>
      </c>
      <c r="G2883" t="s">
        <v>6029</v>
      </c>
      <c r="H2883" t="s">
        <v>6045</v>
      </c>
      <c r="I2883" t="s">
        <v>6046</v>
      </c>
      <c r="J2883" t="s">
        <v>6053</v>
      </c>
      <c r="K2883" t="s">
        <v>6057</v>
      </c>
      <c r="L2883" t="s">
        <v>8026</v>
      </c>
      <c r="M2883">
        <v>195.08</v>
      </c>
      <c r="N2883">
        <v>5</v>
      </c>
      <c r="O2883">
        <v>0.28000000000000003</v>
      </c>
      <c r="P2883">
        <v>-23.76</v>
      </c>
      <c r="Q2883" t="s">
        <v>9897</v>
      </c>
      <c r="R2883">
        <v>5</v>
      </c>
      <c r="S2883" s="5">
        <f t="shared" ref="S2883:S2946" si="90">P2883/M2883</f>
        <v>-0.1217961861800287</v>
      </c>
      <c r="T2883">
        <v>39.016000000000012</v>
      </c>
      <c r="U2883">
        <v>7</v>
      </c>
      <c r="V2883">
        <v>2023</v>
      </c>
      <c r="W2883">
        <v>3</v>
      </c>
      <c r="X2883" t="s">
        <v>9898</v>
      </c>
      <c r="Y2883" t="s">
        <v>9900</v>
      </c>
      <c r="Z2883" t="s">
        <v>9899</v>
      </c>
      <c r="AD2883">
        <f t="shared" ref="AD2883:AD2946" si="91">C2883-B2883</f>
        <v>5</v>
      </c>
    </row>
    <row r="2884" spans="1:30" x14ac:dyDescent="0.25">
      <c r="A2884" t="s">
        <v>2908</v>
      </c>
      <c r="B2884" s="2">
        <v>44971</v>
      </c>
      <c r="C2884" s="2">
        <v>44972</v>
      </c>
      <c r="D2884" t="s">
        <v>5428</v>
      </c>
      <c r="E2884" t="s">
        <v>5928</v>
      </c>
      <c r="F2884" t="s">
        <v>6027</v>
      </c>
      <c r="G2884" t="s">
        <v>6029</v>
      </c>
      <c r="H2884" t="s">
        <v>6044</v>
      </c>
      <c r="I2884" t="s">
        <v>6046</v>
      </c>
      <c r="J2884" t="s">
        <v>6053</v>
      </c>
      <c r="K2884" t="s">
        <v>6058</v>
      </c>
      <c r="L2884" t="s">
        <v>8525</v>
      </c>
      <c r="M2884">
        <v>1517.91</v>
      </c>
      <c r="N2884">
        <v>1</v>
      </c>
      <c r="O2884">
        <v>0.19</v>
      </c>
      <c r="P2884">
        <v>85.2</v>
      </c>
      <c r="Q2884" t="s">
        <v>9897</v>
      </c>
      <c r="R2884">
        <v>1</v>
      </c>
      <c r="S2884" s="5">
        <f t="shared" si="90"/>
        <v>5.6129810067790581E-2</v>
      </c>
      <c r="T2884">
        <v>1517.91</v>
      </c>
      <c r="U2884">
        <v>2</v>
      </c>
      <c r="V2884">
        <v>2023</v>
      </c>
      <c r="W2884">
        <v>1</v>
      </c>
      <c r="X2884" t="s">
        <v>9899</v>
      </c>
      <c r="Y2884" t="s">
        <v>9900</v>
      </c>
      <c r="Z2884" t="s">
        <v>9898</v>
      </c>
      <c r="AD2884">
        <f t="shared" si="91"/>
        <v>1</v>
      </c>
    </row>
    <row r="2885" spans="1:30" x14ac:dyDescent="0.25">
      <c r="A2885" t="s">
        <v>2909</v>
      </c>
      <c r="B2885" s="2">
        <v>45114</v>
      </c>
      <c r="C2885" s="2">
        <v>45117</v>
      </c>
      <c r="D2885" t="s">
        <v>5191</v>
      </c>
      <c r="E2885" t="s">
        <v>5691</v>
      </c>
      <c r="F2885" t="s">
        <v>6028</v>
      </c>
      <c r="G2885" t="s">
        <v>6029</v>
      </c>
      <c r="H2885" t="s">
        <v>6032</v>
      </c>
      <c r="I2885" t="s">
        <v>6049</v>
      </c>
      <c r="J2885" t="s">
        <v>6053</v>
      </c>
      <c r="K2885" t="s">
        <v>6057</v>
      </c>
      <c r="L2885" t="s">
        <v>8526</v>
      </c>
      <c r="M2885">
        <v>947.52</v>
      </c>
      <c r="N2885">
        <v>8</v>
      </c>
      <c r="O2885">
        <v>0.08</v>
      </c>
      <c r="P2885">
        <v>150.9</v>
      </c>
      <c r="Q2885" t="s">
        <v>9893</v>
      </c>
      <c r="R2885">
        <v>3</v>
      </c>
      <c r="S2885" s="5">
        <f t="shared" si="90"/>
        <v>0.15925785207700102</v>
      </c>
      <c r="T2885">
        <v>118.44</v>
      </c>
      <c r="U2885">
        <v>7</v>
      </c>
      <c r="V2885">
        <v>2023</v>
      </c>
      <c r="W2885">
        <v>3</v>
      </c>
      <c r="X2885" t="s">
        <v>9899</v>
      </c>
      <c r="Y2885" t="s">
        <v>9901</v>
      </c>
      <c r="Z2885" t="s">
        <v>9899</v>
      </c>
      <c r="AD2885">
        <f t="shared" si="91"/>
        <v>3</v>
      </c>
    </row>
    <row r="2886" spans="1:30" x14ac:dyDescent="0.25">
      <c r="A2886" t="s">
        <v>2910</v>
      </c>
      <c r="B2886" s="2">
        <v>44783</v>
      </c>
      <c r="C2886" s="2">
        <v>44790</v>
      </c>
      <c r="D2886" t="s">
        <v>5514</v>
      </c>
      <c r="E2886" t="s">
        <v>6014</v>
      </c>
      <c r="F2886" t="s">
        <v>6028</v>
      </c>
      <c r="G2886" t="s">
        <v>6029</v>
      </c>
      <c r="H2886" t="s">
        <v>6032</v>
      </c>
      <c r="I2886" t="s">
        <v>6046</v>
      </c>
      <c r="J2886" t="s">
        <v>6055</v>
      </c>
      <c r="K2886" t="s">
        <v>6064</v>
      </c>
      <c r="L2886" t="s">
        <v>8527</v>
      </c>
      <c r="M2886">
        <v>1563.23</v>
      </c>
      <c r="N2886">
        <v>5</v>
      </c>
      <c r="O2886">
        <v>0.33</v>
      </c>
      <c r="P2886">
        <v>-299.75</v>
      </c>
      <c r="Q2886" t="s">
        <v>9897</v>
      </c>
      <c r="R2886">
        <v>7</v>
      </c>
      <c r="S2886" s="5">
        <f t="shared" si="90"/>
        <v>-0.19175041420648273</v>
      </c>
      <c r="T2886">
        <v>312.64600000000002</v>
      </c>
      <c r="U2886">
        <v>8</v>
      </c>
      <c r="V2886">
        <v>2022</v>
      </c>
      <c r="W2886">
        <v>3</v>
      </c>
      <c r="X2886" t="s">
        <v>9898</v>
      </c>
      <c r="Y2886" t="s">
        <v>9902</v>
      </c>
      <c r="Z2886" t="s">
        <v>9898</v>
      </c>
      <c r="AD2886">
        <f t="shared" si="91"/>
        <v>7</v>
      </c>
    </row>
    <row r="2887" spans="1:30" x14ac:dyDescent="0.25">
      <c r="A2887" t="s">
        <v>2911</v>
      </c>
      <c r="B2887" s="2">
        <v>44617</v>
      </c>
      <c r="C2887" s="2">
        <v>44622</v>
      </c>
      <c r="D2887" t="s">
        <v>5237</v>
      </c>
      <c r="E2887" t="s">
        <v>5737</v>
      </c>
      <c r="F2887" t="s">
        <v>6028</v>
      </c>
      <c r="G2887" t="s">
        <v>6029</v>
      </c>
      <c r="H2887" t="s">
        <v>6045</v>
      </c>
      <c r="I2887" t="s">
        <v>6046</v>
      </c>
      <c r="J2887" t="s">
        <v>6055</v>
      </c>
      <c r="K2887" t="s">
        <v>6064</v>
      </c>
      <c r="L2887" t="s">
        <v>6857</v>
      </c>
      <c r="M2887">
        <v>1351.9</v>
      </c>
      <c r="N2887">
        <v>6</v>
      </c>
      <c r="O2887">
        <v>0.09</v>
      </c>
      <c r="P2887">
        <v>123.4</v>
      </c>
      <c r="Q2887" t="s">
        <v>9896</v>
      </c>
      <c r="R2887">
        <v>5</v>
      </c>
      <c r="S2887" s="5">
        <f t="shared" si="90"/>
        <v>9.1278940750055479E-2</v>
      </c>
      <c r="T2887">
        <v>225.31666666666669</v>
      </c>
      <c r="U2887">
        <v>2</v>
      </c>
      <c r="V2887">
        <v>2022</v>
      </c>
      <c r="W2887">
        <v>1</v>
      </c>
      <c r="X2887" t="s">
        <v>9899</v>
      </c>
      <c r="Y2887" t="s">
        <v>9901</v>
      </c>
      <c r="Z2887" t="s">
        <v>9898</v>
      </c>
      <c r="AD2887">
        <f t="shared" si="91"/>
        <v>5</v>
      </c>
    </row>
    <row r="2888" spans="1:30" x14ac:dyDescent="0.25">
      <c r="A2888" t="s">
        <v>2912</v>
      </c>
      <c r="B2888" s="2">
        <v>45294</v>
      </c>
      <c r="C2888" s="2">
        <v>45301</v>
      </c>
      <c r="D2888" t="s">
        <v>5146</v>
      </c>
      <c r="E2888" t="s">
        <v>5646</v>
      </c>
      <c r="F2888" t="s">
        <v>6027</v>
      </c>
      <c r="G2888" t="s">
        <v>6029</v>
      </c>
      <c r="H2888" t="s">
        <v>6045</v>
      </c>
      <c r="I2888" t="s">
        <v>6050</v>
      </c>
      <c r="J2888" t="s">
        <v>6055</v>
      </c>
      <c r="K2888" t="s">
        <v>6061</v>
      </c>
      <c r="L2888" t="s">
        <v>8528</v>
      </c>
      <c r="M2888">
        <v>852.14</v>
      </c>
      <c r="N2888">
        <v>8</v>
      </c>
      <c r="O2888">
        <v>0.15</v>
      </c>
      <c r="P2888">
        <v>-3.24</v>
      </c>
      <c r="Q2888" t="s">
        <v>9893</v>
      </c>
      <c r="R2888">
        <v>7</v>
      </c>
      <c r="S2888" s="5">
        <f t="shared" si="90"/>
        <v>-3.8021921280540758E-3</v>
      </c>
      <c r="T2888">
        <v>106.5175</v>
      </c>
      <c r="U2888">
        <v>1</v>
      </c>
      <c r="V2888">
        <v>2024</v>
      </c>
      <c r="W2888">
        <v>1</v>
      </c>
      <c r="X2888" t="s">
        <v>9898</v>
      </c>
      <c r="Y2888" t="s">
        <v>9901</v>
      </c>
      <c r="Z2888" t="s">
        <v>9899</v>
      </c>
      <c r="AD2888">
        <f t="shared" si="91"/>
        <v>7</v>
      </c>
    </row>
    <row r="2889" spans="1:30" x14ac:dyDescent="0.25">
      <c r="A2889" t="s">
        <v>2913</v>
      </c>
      <c r="B2889" s="2">
        <v>45133</v>
      </c>
      <c r="C2889" s="2">
        <v>45139</v>
      </c>
      <c r="D2889" t="s">
        <v>5390</v>
      </c>
      <c r="E2889" t="s">
        <v>5890</v>
      </c>
      <c r="F2889" t="s">
        <v>6028</v>
      </c>
      <c r="G2889" t="s">
        <v>6031</v>
      </c>
      <c r="H2889" t="s">
        <v>6042</v>
      </c>
      <c r="I2889" t="s">
        <v>6052</v>
      </c>
      <c r="J2889" t="s">
        <v>6053</v>
      </c>
      <c r="K2889" t="s">
        <v>6056</v>
      </c>
      <c r="L2889" t="s">
        <v>8529</v>
      </c>
      <c r="M2889">
        <v>1111.5899999999999</v>
      </c>
      <c r="N2889">
        <v>4</v>
      </c>
      <c r="O2889">
        <v>0.22</v>
      </c>
      <c r="P2889">
        <v>-88.5</v>
      </c>
      <c r="Q2889" t="s">
        <v>9896</v>
      </c>
      <c r="R2889">
        <v>6</v>
      </c>
      <c r="S2889" s="5">
        <f t="shared" si="90"/>
        <v>-7.9615685639489384E-2</v>
      </c>
      <c r="T2889">
        <v>277.89749999999998</v>
      </c>
      <c r="U2889">
        <v>7</v>
      </c>
      <c r="V2889">
        <v>2023</v>
      </c>
      <c r="W2889">
        <v>3</v>
      </c>
      <c r="X2889" t="s">
        <v>9898</v>
      </c>
      <c r="Y2889" t="s">
        <v>9900</v>
      </c>
      <c r="Z2889" t="s">
        <v>9898</v>
      </c>
      <c r="AD2889">
        <f t="shared" si="91"/>
        <v>6</v>
      </c>
    </row>
    <row r="2890" spans="1:30" x14ac:dyDescent="0.25">
      <c r="A2890" t="s">
        <v>2914</v>
      </c>
      <c r="B2890" s="2">
        <v>44941</v>
      </c>
      <c r="C2890" s="2">
        <v>44947</v>
      </c>
      <c r="D2890" t="s">
        <v>5058</v>
      </c>
      <c r="E2890" t="s">
        <v>5558</v>
      </c>
      <c r="F2890" t="s">
        <v>6026</v>
      </c>
      <c r="G2890" t="s">
        <v>6030</v>
      </c>
      <c r="H2890" t="s">
        <v>6033</v>
      </c>
      <c r="I2890" t="s">
        <v>6051</v>
      </c>
      <c r="J2890" t="s">
        <v>6053</v>
      </c>
      <c r="K2890" t="s">
        <v>6058</v>
      </c>
      <c r="L2890" t="s">
        <v>8530</v>
      </c>
      <c r="M2890">
        <v>1913.39</v>
      </c>
      <c r="N2890">
        <v>7</v>
      </c>
      <c r="O2890">
        <v>0.31</v>
      </c>
      <c r="P2890">
        <v>-194.69</v>
      </c>
      <c r="Q2890" t="s">
        <v>9895</v>
      </c>
      <c r="R2890">
        <v>6</v>
      </c>
      <c r="S2890" s="5">
        <f t="shared" si="90"/>
        <v>-0.10175134185921322</v>
      </c>
      <c r="T2890">
        <v>273.34142857142859</v>
      </c>
      <c r="U2890">
        <v>1</v>
      </c>
      <c r="V2890">
        <v>2023</v>
      </c>
      <c r="W2890">
        <v>1</v>
      </c>
      <c r="X2890" t="s">
        <v>9898</v>
      </c>
      <c r="Y2890" t="s">
        <v>9902</v>
      </c>
      <c r="Z2890" t="s">
        <v>9898</v>
      </c>
      <c r="AD2890">
        <f t="shared" si="91"/>
        <v>6</v>
      </c>
    </row>
    <row r="2891" spans="1:30" x14ac:dyDescent="0.25">
      <c r="A2891" t="s">
        <v>2915</v>
      </c>
      <c r="B2891" s="2">
        <v>45231</v>
      </c>
      <c r="C2891" s="2">
        <v>45235</v>
      </c>
      <c r="D2891" t="s">
        <v>5263</v>
      </c>
      <c r="E2891" t="s">
        <v>5763</v>
      </c>
      <c r="F2891" t="s">
        <v>6026</v>
      </c>
      <c r="G2891" t="s">
        <v>6029</v>
      </c>
      <c r="H2891" t="s">
        <v>6036</v>
      </c>
      <c r="I2891" t="s">
        <v>6050</v>
      </c>
      <c r="J2891" t="s">
        <v>6054</v>
      </c>
      <c r="K2891" t="s">
        <v>6059</v>
      </c>
      <c r="L2891" t="s">
        <v>8531</v>
      </c>
      <c r="M2891">
        <v>102.63</v>
      </c>
      <c r="N2891">
        <v>3</v>
      </c>
      <c r="O2891">
        <v>0.22</v>
      </c>
      <c r="P2891">
        <v>2.94</v>
      </c>
      <c r="Q2891" t="s">
        <v>9893</v>
      </c>
      <c r="R2891">
        <v>4</v>
      </c>
      <c r="S2891" s="5">
        <f t="shared" si="90"/>
        <v>2.8646594562993278E-2</v>
      </c>
      <c r="T2891">
        <v>34.21</v>
      </c>
      <c r="U2891">
        <v>11</v>
      </c>
      <c r="V2891">
        <v>2023</v>
      </c>
      <c r="W2891">
        <v>4</v>
      </c>
      <c r="X2891" t="s">
        <v>9899</v>
      </c>
      <c r="Y2891" t="s">
        <v>9900</v>
      </c>
      <c r="Z2891" t="s">
        <v>9899</v>
      </c>
      <c r="AD2891">
        <f t="shared" si="91"/>
        <v>4</v>
      </c>
    </row>
    <row r="2892" spans="1:30" x14ac:dyDescent="0.25">
      <c r="A2892" t="s">
        <v>2916</v>
      </c>
      <c r="B2892" s="2">
        <v>45258</v>
      </c>
      <c r="C2892" s="2">
        <v>45260</v>
      </c>
      <c r="D2892" t="s">
        <v>5504</v>
      </c>
      <c r="E2892" t="s">
        <v>6004</v>
      </c>
      <c r="F2892" t="s">
        <v>6026</v>
      </c>
      <c r="G2892" t="s">
        <v>6031</v>
      </c>
      <c r="H2892" t="s">
        <v>6037</v>
      </c>
      <c r="I2892" t="s">
        <v>6050</v>
      </c>
      <c r="J2892" t="s">
        <v>6054</v>
      </c>
      <c r="K2892" t="s">
        <v>6059</v>
      </c>
      <c r="L2892" t="s">
        <v>8532</v>
      </c>
      <c r="M2892">
        <v>1970.11</v>
      </c>
      <c r="N2892">
        <v>4</v>
      </c>
      <c r="O2892">
        <v>7.0000000000000007E-2</v>
      </c>
      <c r="P2892">
        <v>141.49</v>
      </c>
      <c r="Q2892" t="s">
        <v>9897</v>
      </c>
      <c r="R2892">
        <v>2</v>
      </c>
      <c r="S2892" s="5">
        <f t="shared" si="90"/>
        <v>7.1818324865109057E-2</v>
      </c>
      <c r="T2892">
        <v>492.52749999999997</v>
      </c>
      <c r="U2892">
        <v>11</v>
      </c>
      <c r="V2892">
        <v>2023</v>
      </c>
      <c r="W2892">
        <v>4</v>
      </c>
      <c r="X2892" t="s">
        <v>9899</v>
      </c>
      <c r="Y2892" t="s">
        <v>9901</v>
      </c>
      <c r="Z2892" t="s">
        <v>9898</v>
      </c>
      <c r="AD2892">
        <f t="shared" si="91"/>
        <v>2</v>
      </c>
    </row>
    <row r="2893" spans="1:30" x14ac:dyDescent="0.25">
      <c r="A2893" t="s">
        <v>2917</v>
      </c>
      <c r="B2893" s="2">
        <v>45226</v>
      </c>
      <c r="C2893" s="2">
        <v>45230</v>
      </c>
      <c r="D2893" t="s">
        <v>5441</v>
      </c>
      <c r="E2893" t="s">
        <v>5941</v>
      </c>
      <c r="F2893" t="s">
        <v>6028</v>
      </c>
      <c r="G2893" t="s">
        <v>6030</v>
      </c>
      <c r="H2893" t="s">
        <v>6038</v>
      </c>
      <c r="I2893" t="s">
        <v>6047</v>
      </c>
      <c r="J2893" t="s">
        <v>6054</v>
      </c>
      <c r="K2893" t="s">
        <v>6060</v>
      </c>
      <c r="L2893" t="s">
        <v>8267</v>
      </c>
      <c r="M2893">
        <v>1650.53</v>
      </c>
      <c r="N2893">
        <v>2</v>
      </c>
      <c r="O2893">
        <v>0.01</v>
      </c>
      <c r="P2893">
        <v>150.80000000000001</v>
      </c>
      <c r="Q2893" t="s">
        <v>9897</v>
      </c>
      <c r="R2893">
        <v>4</v>
      </c>
      <c r="S2893" s="5">
        <f t="shared" si="90"/>
        <v>9.1364591979545967E-2</v>
      </c>
      <c r="T2893">
        <v>825.26499999999999</v>
      </c>
      <c r="U2893">
        <v>10</v>
      </c>
      <c r="V2893">
        <v>2023</v>
      </c>
      <c r="W2893">
        <v>4</v>
      </c>
      <c r="X2893" t="s">
        <v>9899</v>
      </c>
      <c r="Y2893" t="s">
        <v>9901</v>
      </c>
      <c r="Z2893" t="s">
        <v>9898</v>
      </c>
      <c r="AD2893">
        <f t="shared" si="91"/>
        <v>4</v>
      </c>
    </row>
    <row r="2894" spans="1:30" x14ac:dyDescent="0.25">
      <c r="A2894" t="s">
        <v>2918</v>
      </c>
      <c r="B2894" s="2">
        <v>44733</v>
      </c>
      <c r="C2894" s="2">
        <v>44737</v>
      </c>
      <c r="D2894" t="s">
        <v>5089</v>
      </c>
      <c r="E2894" t="s">
        <v>5589</v>
      </c>
      <c r="F2894" t="s">
        <v>6027</v>
      </c>
      <c r="G2894" t="s">
        <v>6029</v>
      </c>
      <c r="H2894" t="s">
        <v>6036</v>
      </c>
      <c r="I2894" t="s">
        <v>6049</v>
      </c>
      <c r="J2894" t="s">
        <v>6053</v>
      </c>
      <c r="K2894" t="s">
        <v>6056</v>
      </c>
      <c r="L2894" t="s">
        <v>8533</v>
      </c>
      <c r="M2894">
        <v>1273.72</v>
      </c>
      <c r="N2894">
        <v>8</v>
      </c>
      <c r="O2894">
        <v>0.3</v>
      </c>
      <c r="P2894">
        <v>-63.59</v>
      </c>
      <c r="Q2894" t="s">
        <v>9896</v>
      </c>
      <c r="R2894">
        <v>4</v>
      </c>
      <c r="S2894" s="5">
        <f t="shared" si="90"/>
        <v>-4.9924630217002171E-2</v>
      </c>
      <c r="T2894">
        <v>159.215</v>
      </c>
      <c r="U2894">
        <v>6</v>
      </c>
      <c r="V2894">
        <v>2022</v>
      </c>
      <c r="W2894">
        <v>2</v>
      </c>
      <c r="X2894" t="s">
        <v>9898</v>
      </c>
      <c r="Y2894" t="s">
        <v>9900</v>
      </c>
      <c r="Z2894" t="s">
        <v>9898</v>
      </c>
      <c r="AD2894">
        <f t="shared" si="91"/>
        <v>4</v>
      </c>
    </row>
    <row r="2895" spans="1:30" x14ac:dyDescent="0.25">
      <c r="A2895" t="s">
        <v>2919</v>
      </c>
      <c r="B2895" s="2">
        <v>44752</v>
      </c>
      <c r="C2895" s="2">
        <v>44759</v>
      </c>
      <c r="D2895" t="s">
        <v>5420</v>
      </c>
      <c r="E2895" t="s">
        <v>5920</v>
      </c>
      <c r="F2895" t="s">
        <v>6026</v>
      </c>
      <c r="G2895" t="s">
        <v>6029</v>
      </c>
      <c r="H2895" t="s">
        <v>6036</v>
      </c>
      <c r="I2895" t="s">
        <v>6046</v>
      </c>
      <c r="J2895" t="s">
        <v>6055</v>
      </c>
      <c r="K2895" t="s">
        <v>6061</v>
      </c>
      <c r="L2895" t="s">
        <v>7863</v>
      </c>
      <c r="M2895">
        <v>1318.59</v>
      </c>
      <c r="N2895">
        <v>7</v>
      </c>
      <c r="O2895">
        <v>0.18</v>
      </c>
      <c r="P2895">
        <v>63.08</v>
      </c>
      <c r="Q2895" t="s">
        <v>9897</v>
      </c>
      <c r="R2895">
        <v>7</v>
      </c>
      <c r="S2895" s="5">
        <f t="shared" si="90"/>
        <v>4.7838979515998151E-2</v>
      </c>
      <c r="T2895">
        <v>188.37</v>
      </c>
      <c r="U2895">
        <v>7</v>
      </c>
      <c r="V2895">
        <v>2022</v>
      </c>
      <c r="W2895">
        <v>3</v>
      </c>
      <c r="X2895" t="s">
        <v>9899</v>
      </c>
      <c r="Y2895" t="s">
        <v>9900</v>
      </c>
      <c r="Z2895" t="s">
        <v>9898</v>
      </c>
      <c r="AD2895">
        <f t="shared" si="91"/>
        <v>7</v>
      </c>
    </row>
    <row r="2896" spans="1:30" x14ac:dyDescent="0.25">
      <c r="A2896" t="s">
        <v>2920</v>
      </c>
      <c r="B2896" s="2">
        <v>45043</v>
      </c>
      <c r="C2896" s="2">
        <v>45045</v>
      </c>
      <c r="D2896" t="s">
        <v>5412</v>
      </c>
      <c r="E2896" t="s">
        <v>5912</v>
      </c>
      <c r="F2896" t="s">
        <v>6028</v>
      </c>
      <c r="G2896" t="s">
        <v>6031</v>
      </c>
      <c r="H2896" t="s">
        <v>6034</v>
      </c>
      <c r="I2896" t="s">
        <v>6048</v>
      </c>
      <c r="J2896" t="s">
        <v>6053</v>
      </c>
      <c r="K2896" t="s">
        <v>6058</v>
      </c>
      <c r="L2896" t="s">
        <v>8534</v>
      </c>
      <c r="M2896">
        <v>1273.0899999999999</v>
      </c>
      <c r="N2896">
        <v>4</v>
      </c>
      <c r="O2896">
        <v>0.18</v>
      </c>
      <c r="P2896">
        <v>-74.3</v>
      </c>
      <c r="Q2896" t="s">
        <v>9896</v>
      </c>
      <c r="R2896">
        <v>2</v>
      </c>
      <c r="S2896" s="5">
        <f t="shared" si="90"/>
        <v>-5.8361938276162727E-2</v>
      </c>
      <c r="T2896">
        <v>318.27249999999998</v>
      </c>
      <c r="U2896">
        <v>4</v>
      </c>
      <c r="V2896">
        <v>2023</v>
      </c>
      <c r="W2896">
        <v>2</v>
      </c>
      <c r="X2896" t="s">
        <v>9898</v>
      </c>
      <c r="Y2896" t="s">
        <v>9900</v>
      </c>
      <c r="Z2896" t="s">
        <v>9898</v>
      </c>
      <c r="AD2896">
        <f t="shared" si="91"/>
        <v>2</v>
      </c>
    </row>
    <row r="2897" spans="1:30" x14ac:dyDescent="0.25">
      <c r="A2897" t="s">
        <v>2921</v>
      </c>
      <c r="B2897" s="2">
        <v>44679</v>
      </c>
      <c r="C2897" s="2">
        <v>44684</v>
      </c>
      <c r="D2897" t="s">
        <v>5184</v>
      </c>
      <c r="E2897" t="s">
        <v>5684</v>
      </c>
      <c r="F2897" t="s">
        <v>6026</v>
      </c>
      <c r="G2897" t="s">
        <v>6030</v>
      </c>
      <c r="H2897" t="s">
        <v>6039</v>
      </c>
      <c r="I2897" t="s">
        <v>6047</v>
      </c>
      <c r="J2897" t="s">
        <v>6055</v>
      </c>
      <c r="K2897" t="s">
        <v>6064</v>
      </c>
      <c r="L2897" t="s">
        <v>7780</v>
      </c>
      <c r="M2897">
        <v>1782.34</v>
      </c>
      <c r="N2897">
        <v>5</v>
      </c>
      <c r="O2897">
        <v>0.16</v>
      </c>
      <c r="P2897">
        <v>110.03</v>
      </c>
      <c r="Q2897" t="s">
        <v>9893</v>
      </c>
      <c r="R2897">
        <v>5</v>
      </c>
      <c r="S2897" s="5">
        <f t="shared" si="90"/>
        <v>6.1733451530011113E-2</v>
      </c>
      <c r="T2897">
        <v>356.46800000000002</v>
      </c>
      <c r="U2897">
        <v>4</v>
      </c>
      <c r="V2897">
        <v>2022</v>
      </c>
      <c r="W2897">
        <v>2</v>
      </c>
      <c r="X2897" t="s">
        <v>9899</v>
      </c>
      <c r="Y2897" t="s">
        <v>9900</v>
      </c>
      <c r="Z2897" t="s">
        <v>9898</v>
      </c>
      <c r="AD2897">
        <f t="shared" si="91"/>
        <v>5</v>
      </c>
    </row>
    <row r="2898" spans="1:30" x14ac:dyDescent="0.25">
      <c r="A2898" t="s">
        <v>2922</v>
      </c>
      <c r="B2898" s="2">
        <v>44794</v>
      </c>
      <c r="C2898" s="2">
        <v>44797</v>
      </c>
      <c r="D2898" t="s">
        <v>5489</v>
      </c>
      <c r="E2898" t="s">
        <v>5989</v>
      </c>
      <c r="F2898" t="s">
        <v>6027</v>
      </c>
      <c r="G2898" t="s">
        <v>6029</v>
      </c>
      <c r="H2898" t="s">
        <v>6045</v>
      </c>
      <c r="I2898" t="s">
        <v>6046</v>
      </c>
      <c r="J2898" t="s">
        <v>6055</v>
      </c>
      <c r="K2898" t="s">
        <v>6061</v>
      </c>
      <c r="L2898" t="s">
        <v>8535</v>
      </c>
      <c r="M2898">
        <v>607.23</v>
      </c>
      <c r="N2898">
        <v>2</v>
      </c>
      <c r="O2898">
        <v>0.09</v>
      </c>
      <c r="P2898">
        <v>21.45</v>
      </c>
      <c r="Q2898" t="s">
        <v>9894</v>
      </c>
      <c r="R2898">
        <v>3</v>
      </c>
      <c r="S2898" s="5">
        <f t="shared" si="90"/>
        <v>3.5324341682723186E-2</v>
      </c>
      <c r="T2898">
        <v>303.61500000000001</v>
      </c>
      <c r="U2898">
        <v>8</v>
      </c>
      <c r="V2898">
        <v>2022</v>
      </c>
      <c r="W2898">
        <v>3</v>
      </c>
      <c r="X2898" t="s">
        <v>9899</v>
      </c>
      <c r="Y2898" t="s">
        <v>9901</v>
      </c>
      <c r="Z2898" t="s">
        <v>9899</v>
      </c>
      <c r="AD2898">
        <f t="shared" si="91"/>
        <v>3</v>
      </c>
    </row>
    <row r="2899" spans="1:30" x14ac:dyDescent="0.25">
      <c r="A2899" t="s">
        <v>2923</v>
      </c>
      <c r="B2899" s="2">
        <v>45323</v>
      </c>
      <c r="C2899" s="2">
        <v>45329</v>
      </c>
      <c r="D2899" t="s">
        <v>5157</v>
      </c>
      <c r="E2899" t="s">
        <v>5657</v>
      </c>
      <c r="F2899" t="s">
        <v>6026</v>
      </c>
      <c r="G2899" t="s">
        <v>6031</v>
      </c>
      <c r="H2899" t="s">
        <v>6043</v>
      </c>
      <c r="I2899" t="s">
        <v>6048</v>
      </c>
      <c r="J2899" t="s">
        <v>6055</v>
      </c>
      <c r="K2899" t="s">
        <v>6063</v>
      </c>
      <c r="L2899" t="s">
        <v>8536</v>
      </c>
      <c r="M2899">
        <v>836.99</v>
      </c>
      <c r="N2899">
        <v>7</v>
      </c>
      <c r="O2899">
        <v>0.09</v>
      </c>
      <c r="P2899">
        <v>73.86</v>
      </c>
      <c r="Q2899" t="s">
        <v>9895</v>
      </c>
      <c r="R2899">
        <v>6</v>
      </c>
      <c r="S2899" s="5">
        <f t="shared" si="90"/>
        <v>8.8244781897035801E-2</v>
      </c>
      <c r="T2899">
        <v>119.57</v>
      </c>
      <c r="U2899">
        <v>2</v>
      </c>
      <c r="V2899">
        <v>2024</v>
      </c>
      <c r="W2899">
        <v>1</v>
      </c>
      <c r="X2899" t="s">
        <v>9899</v>
      </c>
      <c r="Y2899" t="s">
        <v>9901</v>
      </c>
      <c r="Z2899" t="s">
        <v>9899</v>
      </c>
      <c r="AD2899">
        <f t="shared" si="91"/>
        <v>6</v>
      </c>
    </row>
    <row r="2900" spans="1:30" x14ac:dyDescent="0.25">
      <c r="A2900" t="s">
        <v>2924</v>
      </c>
      <c r="B2900" s="2">
        <v>45400</v>
      </c>
      <c r="C2900" s="2">
        <v>45404</v>
      </c>
      <c r="D2900" t="s">
        <v>5106</v>
      </c>
      <c r="E2900" t="s">
        <v>5606</v>
      </c>
      <c r="F2900" t="s">
        <v>6026</v>
      </c>
      <c r="G2900" t="s">
        <v>6031</v>
      </c>
      <c r="H2900" t="s">
        <v>6043</v>
      </c>
      <c r="I2900" t="s">
        <v>6048</v>
      </c>
      <c r="J2900" t="s">
        <v>6054</v>
      </c>
      <c r="K2900" t="s">
        <v>6059</v>
      </c>
      <c r="L2900" t="s">
        <v>8537</v>
      </c>
      <c r="M2900">
        <v>423.32</v>
      </c>
      <c r="N2900">
        <v>8</v>
      </c>
      <c r="O2900">
        <v>0.03</v>
      </c>
      <c r="P2900">
        <v>57</v>
      </c>
      <c r="Q2900" t="s">
        <v>9896</v>
      </c>
      <c r="R2900">
        <v>4</v>
      </c>
      <c r="S2900" s="5">
        <f t="shared" si="90"/>
        <v>0.13464991023339318</v>
      </c>
      <c r="T2900">
        <v>52.914999999999999</v>
      </c>
      <c r="U2900">
        <v>4</v>
      </c>
      <c r="V2900">
        <v>2024</v>
      </c>
      <c r="W2900">
        <v>2</v>
      </c>
      <c r="X2900" t="s">
        <v>9899</v>
      </c>
      <c r="Y2900" t="s">
        <v>9901</v>
      </c>
      <c r="Z2900" t="s">
        <v>9899</v>
      </c>
      <c r="AD2900">
        <f t="shared" si="91"/>
        <v>4</v>
      </c>
    </row>
    <row r="2901" spans="1:30" x14ac:dyDescent="0.25">
      <c r="A2901" t="s">
        <v>2925</v>
      </c>
      <c r="B2901" s="2">
        <v>45080</v>
      </c>
      <c r="C2901" s="2">
        <v>45085</v>
      </c>
      <c r="D2901" t="s">
        <v>5064</v>
      </c>
      <c r="E2901" t="s">
        <v>5564</v>
      </c>
      <c r="F2901" t="s">
        <v>6026</v>
      </c>
      <c r="G2901" t="s">
        <v>6029</v>
      </c>
      <c r="H2901" t="s">
        <v>6044</v>
      </c>
      <c r="I2901" t="s">
        <v>6049</v>
      </c>
      <c r="J2901" t="s">
        <v>6053</v>
      </c>
      <c r="K2901" t="s">
        <v>6056</v>
      </c>
      <c r="L2901" t="s">
        <v>6117</v>
      </c>
      <c r="M2901">
        <v>1481.51</v>
      </c>
      <c r="N2901">
        <v>7</v>
      </c>
      <c r="O2901">
        <v>0.2</v>
      </c>
      <c r="P2901">
        <v>19.690000000000001</v>
      </c>
      <c r="Q2901" t="s">
        <v>9895</v>
      </c>
      <c r="R2901">
        <v>5</v>
      </c>
      <c r="S2901" s="5">
        <f t="shared" si="90"/>
        <v>1.329049415798746E-2</v>
      </c>
      <c r="T2901">
        <v>211.6442857142857</v>
      </c>
      <c r="U2901">
        <v>6</v>
      </c>
      <c r="V2901">
        <v>2023</v>
      </c>
      <c r="W2901">
        <v>2</v>
      </c>
      <c r="X2901" t="s">
        <v>9899</v>
      </c>
      <c r="Y2901" t="s">
        <v>9900</v>
      </c>
      <c r="Z2901" t="s">
        <v>9898</v>
      </c>
      <c r="AD2901">
        <f t="shared" si="91"/>
        <v>5</v>
      </c>
    </row>
    <row r="2902" spans="1:30" x14ac:dyDescent="0.25">
      <c r="A2902" t="s">
        <v>2926</v>
      </c>
      <c r="B2902" s="2">
        <v>45142</v>
      </c>
      <c r="C2902" s="2">
        <v>45145</v>
      </c>
      <c r="D2902" t="s">
        <v>5091</v>
      </c>
      <c r="E2902" t="s">
        <v>5591</v>
      </c>
      <c r="F2902" t="s">
        <v>6026</v>
      </c>
      <c r="G2902" t="s">
        <v>6030</v>
      </c>
      <c r="H2902" t="s">
        <v>6033</v>
      </c>
      <c r="I2902" t="s">
        <v>6047</v>
      </c>
      <c r="J2902" t="s">
        <v>6055</v>
      </c>
      <c r="K2902" t="s">
        <v>6061</v>
      </c>
      <c r="L2902" t="s">
        <v>6932</v>
      </c>
      <c r="M2902">
        <v>1973.03</v>
      </c>
      <c r="N2902">
        <v>5</v>
      </c>
      <c r="O2902">
        <v>0.23</v>
      </c>
      <c r="P2902">
        <v>-143.07</v>
      </c>
      <c r="Q2902" t="s">
        <v>9897</v>
      </c>
      <c r="R2902">
        <v>3</v>
      </c>
      <c r="S2902" s="5">
        <f t="shared" si="90"/>
        <v>-7.2512835587902863E-2</v>
      </c>
      <c r="T2902">
        <v>394.60599999999999</v>
      </c>
      <c r="U2902">
        <v>8</v>
      </c>
      <c r="V2902">
        <v>2023</v>
      </c>
      <c r="W2902">
        <v>3</v>
      </c>
      <c r="X2902" t="s">
        <v>9898</v>
      </c>
      <c r="Y2902" t="s">
        <v>9900</v>
      </c>
      <c r="Z2902" t="s">
        <v>9898</v>
      </c>
      <c r="AD2902">
        <f t="shared" si="91"/>
        <v>3</v>
      </c>
    </row>
    <row r="2903" spans="1:30" x14ac:dyDescent="0.25">
      <c r="A2903" t="s">
        <v>2927</v>
      </c>
      <c r="B2903" s="2">
        <v>44826</v>
      </c>
      <c r="C2903" s="2">
        <v>44830</v>
      </c>
      <c r="D2903" t="s">
        <v>5128</v>
      </c>
      <c r="E2903" t="s">
        <v>5628</v>
      </c>
      <c r="F2903" t="s">
        <v>6027</v>
      </c>
      <c r="G2903" t="s">
        <v>6029</v>
      </c>
      <c r="H2903" t="s">
        <v>6032</v>
      </c>
      <c r="I2903" t="s">
        <v>6050</v>
      </c>
      <c r="J2903" t="s">
        <v>6055</v>
      </c>
      <c r="K2903" t="s">
        <v>6064</v>
      </c>
      <c r="L2903" t="s">
        <v>8538</v>
      </c>
      <c r="M2903">
        <v>982.2</v>
      </c>
      <c r="N2903">
        <v>6</v>
      </c>
      <c r="O2903">
        <v>0.01</v>
      </c>
      <c r="P2903">
        <v>138.84</v>
      </c>
      <c r="Q2903" t="s">
        <v>9896</v>
      </c>
      <c r="R2903">
        <v>4</v>
      </c>
      <c r="S2903" s="5">
        <f t="shared" si="90"/>
        <v>0.14135613927916921</v>
      </c>
      <c r="T2903">
        <v>163.69999999999999</v>
      </c>
      <c r="U2903">
        <v>9</v>
      </c>
      <c r="V2903">
        <v>2022</v>
      </c>
      <c r="W2903">
        <v>3</v>
      </c>
      <c r="X2903" t="s">
        <v>9899</v>
      </c>
      <c r="Y2903" t="s">
        <v>9901</v>
      </c>
      <c r="Z2903" t="s">
        <v>9899</v>
      </c>
      <c r="AD2903">
        <f t="shared" si="91"/>
        <v>4</v>
      </c>
    </row>
    <row r="2904" spans="1:30" x14ac:dyDescent="0.25">
      <c r="A2904" t="s">
        <v>2928</v>
      </c>
      <c r="B2904" s="2">
        <v>44859</v>
      </c>
      <c r="C2904" s="2">
        <v>44860</v>
      </c>
      <c r="D2904" t="s">
        <v>5212</v>
      </c>
      <c r="E2904" t="s">
        <v>5712</v>
      </c>
      <c r="F2904" t="s">
        <v>6027</v>
      </c>
      <c r="G2904" t="s">
        <v>6030</v>
      </c>
      <c r="H2904" t="s">
        <v>6038</v>
      </c>
      <c r="I2904" t="s">
        <v>6051</v>
      </c>
      <c r="J2904" t="s">
        <v>6055</v>
      </c>
      <c r="K2904" t="s">
        <v>6061</v>
      </c>
      <c r="L2904" t="s">
        <v>8539</v>
      </c>
      <c r="M2904">
        <v>985.42</v>
      </c>
      <c r="N2904">
        <v>5</v>
      </c>
      <c r="O2904">
        <v>7.0000000000000007E-2</v>
      </c>
      <c r="P2904">
        <v>169.74</v>
      </c>
      <c r="Q2904" t="s">
        <v>9895</v>
      </c>
      <c r="R2904">
        <v>1</v>
      </c>
      <c r="S2904" s="5">
        <f t="shared" si="90"/>
        <v>0.17225142578798888</v>
      </c>
      <c r="T2904">
        <v>197.084</v>
      </c>
      <c r="U2904">
        <v>10</v>
      </c>
      <c r="V2904">
        <v>2022</v>
      </c>
      <c r="W2904">
        <v>4</v>
      </c>
      <c r="X2904" t="s">
        <v>9899</v>
      </c>
      <c r="Y2904" t="s">
        <v>9901</v>
      </c>
      <c r="Z2904" t="s">
        <v>9899</v>
      </c>
      <c r="AD2904">
        <f t="shared" si="91"/>
        <v>1</v>
      </c>
    </row>
    <row r="2905" spans="1:30" x14ac:dyDescent="0.25">
      <c r="A2905" t="s">
        <v>2929</v>
      </c>
      <c r="B2905" s="2">
        <v>44764</v>
      </c>
      <c r="C2905" s="2">
        <v>44770</v>
      </c>
      <c r="D2905" t="s">
        <v>5224</v>
      </c>
      <c r="E2905" t="s">
        <v>5724</v>
      </c>
      <c r="F2905" t="s">
        <v>6027</v>
      </c>
      <c r="G2905" t="s">
        <v>6031</v>
      </c>
      <c r="H2905" t="s">
        <v>6034</v>
      </c>
      <c r="I2905" t="s">
        <v>6050</v>
      </c>
      <c r="J2905" t="s">
        <v>6054</v>
      </c>
      <c r="K2905" t="s">
        <v>6060</v>
      </c>
      <c r="L2905" t="s">
        <v>8540</v>
      </c>
      <c r="M2905">
        <v>1748.15</v>
      </c>
      <c r="N2905">
        <v>1</v>
      </c>
      <c r="O2905">
        <v>0.11</v>
      </c>
      <c r="P2905">
        <v>156.96</v>
      </c>
      <c r="Q2905" t="s">
        <v>9896</v>
      </c>
      <c r="R2905">
        <v>6</v>
      </c>
      <c r="S2905" s="5">
        <f t="shared" si="90"/>
        <v>8.9786345565311898E-2</v>
      </c>
      <c r="T2905">
        <v>1748.15</v>
      </c>
      <c r="U2905">
        <v>7</v>
      </c>
      <c r="V2905">
        <v>2022</v>
      </c>
      <c r="W2905">
        <v>3</v>
      </c>
      <c r="X2905" t="s">
        <v>9899</v>
      </c>
      <c r="Y2905" t="s">
        <v>9901</v>
      </c>
      <c r="Z2905" t="s">
        <v>9898</v>
      </c>
      <c r="AD2905">
        <f t="shared" si="91"/>
        <v>6</v>
      </c>
    </row>
    <row r="2906" spans="1:30" x14ac:dyDescent="0.25">
      <c r="A2906" t="s">
        <v>2930</v>
      </c>
      <c r="B2906" s="2">
        <v>44775</v>
      </c>
      <c r="C2906" s="2">
        <v>44776</v>
      </c>
      <c r="D2906" t="s">
        <v>5220</v>
      </c>
      <c r="E2906" t="s">
        <v>5720</v>
      </c>
      <c r="F2906" t="s">
        <v>6028</v>
      </c>
      <c r="G2906" t="s">
        <v>6030</v>
      </c>
      <c r="H2906" t="s">
        <v>6039</v>
      </c>
      <c r="I2906" t="s">
        <v>6047</v>
      </c>
      <c r="J2906" t="s">
        <v>6055</v>
      </c>
      <c r="K2906" t="s">
        <v>6061</v>
      </c>
      <c r="L2906" t="s">
        <v>8541</v>
      </c>
      <c r="M2906">
        <v>1688.08</v>
      </c>
      <c r="N2906">
        <v>1</v>
      </c>
      <c r="O2906">
        <v>0.22</v>
      </c>
      <c r="P2906">
        <v>-75.03</v>
      </c>
      <c r="Q2906" t="s">
        <v>9894</v>
      </c>
      <c r="R2906">
        <v>1</v>
      </c>
      <c r="S2906" s="5">
        <f t="shared" si="90"/>
        <v>-4.4446945642386618E-2</v>
      </c>
      <c r="T2906">
        <v>1688.08</v>
      </c>
      <c r="U2906">
        <v>8</v>
      </c>
      <c r="V2906">
        <v>2022</v>
      </c>
      <c r="W2906">
        <v>3</v>
      </c>
      <c r="X2906" t="s">
        <v>9898</v>
      </c>
      <c r="Y2906" t="s">
        <v>9900</v>
      </c>
      <c r="Z2906" t="s">
        <v>9898</v>
      </c>
      <c r="AD2906">
        <f t="shared" si="91"/>
        <v>1</v>
      </c>
    </row>
    <row r="2907" spans="1:30" x14ac:dyDescent="0.25">
      <c r="A2907" t="s">
        <v>2931</v>
      </c>
      <c r="B2907" s="2">
        <v>45447</v>
      </c>
      <c r="C2907" s="2">
        <v>45448</v>
      </c>
      <c r="D2907" t="s">
        <v>5386</v>
      </c>
      <c r="E2907" t="s">
        <v>5886</v>
      </c>
      <c r="F2907" t="s">
        <v>6026</v>
      </c>
      <c r="G2907" t="s">
        <v>6030</v>
      </c>
      <c r="H2907" t="s">
        <v>6035</v>
      </c>
      <c r="I2907" t="s">
        <v>6047</v>
      </c>
      <c r="J2907" t="s">
        <v>6054</v>
      </c>
      <c r="K2907" t="s">
        <v>6059</v>
      </c>
      <c r="L2907" t="s">
        <v>8542</v>
      </c>
      <c r="M2907">
        <v>1744.5</v>
      </c>
      <c r="N2907">
        <v>4</v>
      </c>
      <c r="O2907">
        <v>0.15</v>
      </c>
      <c r="P2907">
        <v>19.809999999999999</v>
      </c>
      <c r="Q2907" t="s">
        <v>9893</v>
      </c>
      <c r="R2907">
        <v>1</v>
      </c>
      <c r="S2907" s="5">
        <f t="shared" si="90"/>
        <v>1.1355689309257667E-2</v>
      </c>
      <c r="T2907">
        <v>436.125</v>
      </c>
      <c r="U2907">
        <v>6</v>
      </c>
      <c r="V2907">
        <v>2024</v>
      </c>
      <c r="W2907">
        <v>2</v>
      </c>
      <c r="X2907" t="s">
        <v>9899</v>
      </c>
      <c r="Y2907" t="s">
        <v>9901</v>
      </c>
      <c r="Z2907" t="s">
        <v>9898</v>
      </c>
      <c r="AD2907">
        <f t="shared" si="91"/>
        <v>1</v>
      </c>
    </row>
    <row r="2908" spans="1:30" x14ac:dyDescent="0.25">
      <c r="A2908" t="s">
        <v>2932</v>
      </c>
      <c r="B2908" s="2">
        <v>44938</v>
      </c>
      <c r="C2908" s="2">
        <v>44944</v>
      </c>
      <c r="D2908" t="s">
        <v>5335</v>
      </c>
      <c r="E2908" t="s">
        <v>5835</v>
      </c>
      <c r="F2908" t="s">
        <v>6027</v>
      </c>
      <c r="G2908" t="s">
        <v>6030</v>
      </c>
      <c r="H2908" t="s">
        <v>6038</v>
      </c>
      <c r="I2908" t="s">
        <v>6051</v>
      </c>
      <c r="J2908" t="s">
        <v>6054</v>
      </c>
      <c r="K2908" t="s">
        <v>6059</v>
      </c>
      <c r="L2908" t="s">
        <v>8543</v>
      </c>
      <c r="M2908">
        <v>1539.63</v>
      </c>
      <c r="N2908">
        <v>7</v>
      </c>
      <c r="O2908">
        <v>0.04</v>
      </c>
      <c r="P2908">
        <v>97.08</v>
      </c>
      <c r="Q2908" t="s">
        <v>9894</v>
      </c>
      <c r="R2908">
        <v>6</v>
      </c>
      <c r="S2908" s="5">
        <f t="shared" si="90"/>
        <v>6.3054110403148803E-2</v>
      </c>
      <c r="T2908">
        <v>219.94714285714289</v>
      </c>
      <c r="U2908">
        <v>1</v>
      </c>
      <c r="V2908">
        <v>2023</v>
      </c>
      <c r="W2908">
        <v>1</v>
      </c>
      <c r="X2908" t="s">
        <v>9899</v>
      </c>
      <c r="Y2908" t="s">
        <v>9901</v>
      </c>
      <c r="Z2908" t="s">
        <v>9898</v>
      </c>
      <c r="AD2908">
        <f t="shared" si="91"/>
        <v>6</v>
      </c>
    </row>
    <row r="2909" spans="1:30" x14ac:dyDescent="0.25">
      <c r="A2909" t="s">
        <v>2933</v>
      </c>
      <c r="B2909" s="2">
        <v>44713</v>
      </c>
      <c r="C2909" s="2">
        <v>44720</v>
      </c>
      <c r="D2909" t="s">
        <v>5310</v>
      </c>
      <c r="E2909" t="s">
        <v>5810</v>
      </c>
      <c r="F2909" t="s">
        <v>6028</v>
      </c>
      <c r="G2909" t="s">
        <v>6030</v>
      </c>
      <c r="H2909" t="s">
        <v>6039</v>
      </c>
      <c r="I2909" t="s">
        <v>6051</v>
      </c>
      <c r="J2909" t="s">
        <v>6054</v>
      </c>
      <c r="K2909" t="s">
        <v>6059</v>
      </c>
      <c r="L2909" t="s">
        <v>8544</v>
      </c>
      <c r="M2909">
        <v>1641.01</v>
      </c>
      <c r="N2909">
        <v>5</v>
      </c>
      <c r="O2909">
        <v>0.3</v>
      </c>
      <c r="P2909">
        <v>-7.78</v>
      </c>
      <c r="Q2909" t="s">
        <v>9897</v>
      </c>
      <c r="R2909">
        <v>7</v>
      </c>
      <c r="S2909" s="5">
        <f t="shared" si="90"/>
        <v>-4.7409826874912405E-3</v>
      </c>
      <c r="T2909">
        <v>328.202</v>
      </c>
      <c r="U2909">
        <v>6</v>
      </c>
      <c r="V2909">
        <v>2022</v>
      </c>
      <c r="W2909">
        <v>2</v>
      </c>
      <c r="X2909" t="s">
        <v>9898</v>
      </c>
      <c r="Y2909" t="s">
        <v>9900</v>
      </c>
      <c r="Z2909" t="s">
        <v>9898</v>
      </c>
      <c r="AD2909">
        <f t="shared" si="91"/>
        <v>7</v>
      </c>
    </row>
    <row r="2910" spans="1:30" x14ac:dyDescent="0.25">
      <c r="A2910" t="s">
        <v>2934</v>
      </c>
      <c r="B2910" s="2">
        <v>44873</v>
      </c>
      <c r="C2910" s="2">
        <v>44876</v>
      </c>
      <c r="D2910" t="s">
        <v>5497</v>
      </c>
      <c r="E2910" t="s">
        <v>5997</v>
      </c>
      <c r="F2910" t="s">
        <v>6028</v>
      </c>
      <c r="G2910" t="s">
        <v>6029</v>
      </c>
      <c r="H2910" t="s">
        <v>6045</v>
      </c>
      <c r="I2910" t="s">
        <v>6049</v>
      </c>
      <c r="J2910" t="s">
        <v>6054</v>
      </c>
      <c r="K2910" t="s">
        <v>6060</v>
      </c>
      <c r="L2910" t="s">
        <v>8545</v>
      </c>
      <c r="M2910">
        <v>1047.55</v>
      </c>
      <c r="N2910">
        <v>3</v>
      </c>
      <c r="O2910">
        <v>0.28000000000000003</v>
      </c>
      <c r="P2910">
        <v>-9.51</v>
      </c>
      <c r="Q2910" t="s">
        <v>9896</v>
      </c>
      <c r="R2910">
        <v>3</v>
      </c>
      <c r="S2910" s="5">
        <f t="shared" si="90"/>
        <v>-9.0783256169156609E-3</v>
      </c>
      <c r="T2910">
        <v>349.18333333333328</v>
      </c>
      <c r="U2910">
        <v>11</v>
      </c>
      <c r="V2910">
        <v>2022</v>
      </c>
      <c r="W2910">
        <v>4</v>
      </c>
      <c r="X2910" t="s">
        <v>9898</v>
      </c>
      <c r="Y2910" t="s">
        <v>9900</v>
      </c>
      <c r="Z2910" t="s">
        <v>9898</v>
      </c>
      <c r="AD2910">
        <f t="shared" si="91"/>
        <v>3</v>
      </c>
    </row>
    <row r="2911" spans="1:30" x14ac:dyDescent="0.25">
      <c r="A2911" t="s">
        <v>2935</v>
      </c>
      <c r="B2911" s="2">
        <v>44776</v>
      </c>
      <c r="C2911" s="2">
        <v>44780</v>
      </c>
      <c r="D2911" t="s">
        <v>5114</v>
      </c>
      <c r="E2911" t="s">
        <v>5614</v>
      </c>
      <c r="F2911" t="s">
        <v>6026</v>
      </c>
      <c r="G2911" t="s">
        <v>6029</v>
      </c>
      <c r="H2911" t="s">
        <v>6036</v>
      </c>
      <c r="I2911" t="s">
        <v>6050</v>
      </c>
      <c r="J2911" t="s">
        <v>6054</v>
      </c>
      <c r="K2911" t="s">
        <v>6062</v>
      </c>
      <c r="L2911" t="s">
        <v>7220</v>
      </c>
      <c r="M2911">
        <v>1819.85</v>
      </c>
      <c r="N2911">
        <v>6</v>
      </c>
      <c r="O2911">
        <v>0.03</v>
      </c>
      <c r="P2911">
        <v>255.63</v>
      </c>
      <c r="Q2911" t="s">
        <v>9895</v>
      </c>
      <c r="R2911">
        <v>4</v>
      </c>
      <c r="S2911" s="5">
        <f t="shared" si="90"/>
        <v>0.14046762095777124</v>
      </c>
      <c r="T2911">
        <v>303.30833333333328</v>
      </c>
      <c r="U2911">
        <v>8</v>
      </c>
      <c r="V2911">
        <v>2022</v>
      </c>
      <c r="W2911">
        <v>3</v>
      </c>
      <c r="X2911" t="s">
        <v>9899</v>
      </c>
      <c r="Y2911" t="s">
        <v>9901</v>
      </c>
      <c r="Z2911" t="s">
        <v>9898</v>
      </c>
      <c r="AD2911">
        <f t="shared" si="91"/>
        <v>4</v>
      </c>
    </row>
    <row r="2912" spans="1:30" x14ac:dyDescent="0.25">
      <c r="A2912" t="s">
        <v>2936</v>
      </c>
      <c r="B2912" s="2">
        <v>44671</v>
      </c>
      <c r="C2912" s="2">
        <v>44674</v>
      </c>
      <c r="D2912" t="s">
        <v>5262</v>
      </c>
      <c r="E2912" t="s">
        <v>5762</v>
      </c>
      <c r="F2912" t="s">
        <v>6027</v>
      </c>
      <c r="G2912" t="s">
        <v>6029</v>
      </c>
      <c r="H2912" t="s">
        <v>6036</v>
      </c>
      <c r="I2912" t="s">
        <v>6050</v>
      </c>
      <c r="J2912" t="s">
        <v>6054</v>
      </c>
      <c r="K2912" t="s">
        <v>6059</v>
      </c>
      <c r="L2912" t="s">
        <v>8546</v>
      </c>
      <c r="M2912">
        <v>916.51</v>
      </c>
      <c r="N2912">
        <v>3</v>
      </c>
      <c r="O2912">
        <v>0.3</v>
      </c>
      <c r="P2912">
        <v>-1.97</v>
      </c>
      <c r="Q2912" t="s">
        <v>9894</v>
      </c>
      <c r="R2912">
        <v>3</v>
      </c>
      <c r="S2912" s="5">
        <f t="shared" si="90"/>
        <v>-2.149458271049961E-3</v>
      </c>
      <c r="T2912">
        <v>305.50333333333327</v>
      </c>
      <c r="U2912">
        <v>4</v>
      </c>
      <c r="V2912">
        <v>2022</v>
      </c>
      <c r="W2912">
        <v>2</v>
      </c>
      <c r="X2912" t="s">
        <v>9898</v>
      </c>
      <c r="Y2912" t="s">
        <v>9900</v>
      </c>
      <c r="Z2912" t="s">
        <v>9899</v>
      </c>
      <c r="AD2912">
        <f t="shared" si="91"/>
        <v>3</v>
      </c>
    </row>
    <row r="2913" spans="1:30" x14ac:dyDescent="0.25">
      <c r="A2913" t="s">
        <v>2937</v>
      </c>
      <c r="B2913" s="2">
        <v>44988</v>
      </c>
      <c r="C2913" s="2">
        <v>44990</v>
      </c>
      <c r="D2913" t="s">
        <v>5321</v>
      </c>
      <c r="E2913" t="s">
        <v>5821</v>
      </c>
      <c r="F2913" t="s">
        <v>6026</v>
      </c>
      <c r="G2913" t="s">
        <v>6029</v>
      </c>
      <c r="H2913" t="s">
        <v>6032</v>
      </c>
      <c r="I2913" t="s">
        <v>6046</v>
      </c>
      <c r="J2913" t="s">
        <v>6053</v>
      </c>
      <c r="K2913" t="s">
        <v>6057</v>
      </c>
      <c r="L2913" t="s">
        <v>8547</v>
      </c>
      <c r="M2913">
        <v>362.59</v>
      </c>
      <c r="N2913">
        <v>2</v>
      </c>
      <c r="O2913">
        <v>0.03</v>
      </c>
      <c r="P2913">
        <v>53.53</v>
      </c>
      <c r="Q2913" t="s">
        <v>9897</v>
      </c>
      <c r="R2913">
        <v>2</v>
      </c>
      <c r="S2913" s="5">
        <f t="shared" si="90"/>
        <v>0.1476323119777159</v>
      </c>
      <c r="T2913">
        <v>181.29499999999999</v>
      </c>
      <c r="U2913">
        <v>3</v>
      </c>
      <c r="V2913">
        <v>2023</v>
      </c>
      <c r="W2913">
        <v>1</v>
      </c>
      <c r="X2913" t="s">
        <v>9899</v>
      </c>
      <c r="Y2913" t="s">
        <v>9901</v>
      </c>
      <c r="Z2913" t="s">
        <v>9899</v>
      </c>
      <c r="AD2913">
        <f t="shared" si="91"/>
        <v>2</v>
      </c>
    </row>
    <row r="2914" spans="1:30" x14ac:dyDescent="0.25">
      <c r="A2914" t="s">
        <v>2938</v>
      </c>
      <c r="B2914" s="2">
        <v>45295</v>
      </c>
      <c r="C2914" s="2">
        <v>45301</v>
      </c>
      <c r="D2914" t="s">
        <v>5368</v>
      </c>
      <c r="E2914" t="s">
        <v>5868</v>
      </c>
      <c r="F2914" t="s">
        <v>6026</v>
      </c>
      <c r="G2914" t="s">
        <v>6030</v>
      </c>
      <c r="H2914" t="s">
        <v>6039</v>
      </c>
      <c r="I2914" t="s">
        <v>6051</v>
      </c>
      <c r="J2914" t="s">
        <v>6055</v>
      </c>
      <c r="K2914" t="s">
        <v>6064</v>
      </c>
      <c r="L2914" t="s">
        <v>8548</v>
      </c>
      <c r="M2914">
        <v>898.63</v>
      </c>
      <c r="N2914">
        <v>1</v>
      </c>
      <c r="O2914">
        <v>0.28000000000000003</v>
      </c>
      <c r="P2914">
        <v>-139.44</v>
      </c>
      <c r="Q2914" t="s">
        <v>9895</v>
      </c>
      <c r="R2914">
        <v>6</v>
      </c>
      <c r="S2914" s="5">
        <f t="shared" si="90"/>
        <v>-0.15516953584901461</v>
      </c>
      <c r="T2914">
        <v>898.63</v>
      </c>
      <c r="U2914">
        <v>1</v>
      </c>
      <c r="V2914">
        <v>2024</v>
      </c>
      <c r="W2914">
        <v>1</v>
      </c>
      <c r="X2914" t="s">
        <v>9898</v>
      </c>
      <c r="Y2914" t="s">
        <v>9900</v>
      </c>
      <c r="Z2914" t="s">
        <v>9899</v>
      </c>
      <c r="AD2914">
        <f t="shared" si="91"/>
        <v>6</v>
      </c>
    </row>
    <row r="2915" spans="1:30" x14ac:dyDescent="0.25">
      <c r="A2915" t="s">
        <v>2939</v>
      </c>
      <c r="B2915" s="2">
        <v>45049</v>
      </c>
      <c r="C2915" s="2">
        <v>45052</v>
      </c>
      <c r="D2915" t="s">
        <v>5309</v>
      </c>
      <c r="E2915" t="s">
        <v>5809</v>
      </c>
      <c r="F2915" t="s">
        <v>6027</v>
      </c>
      <c r="G2915" t="s">
        <v>6029</v>
      </c>
      <c r="H2915" t="s">
        <v>6044</v>
      </c>
      <c r="I2915" t="s">
        <v>6046</v>
      </c>
      <c r="J2915" t="s">
        <v>6055</v>
      </c>
      <c r="K2915" t="s">
        <v>6061</v>
      </c>
      <c r="L2915" t="s">
        <v>8549</v>
      </c>
      <c r="M2915">
        <v>1384.45</v>
      </c>
      <c r="N2915">
        <v>6</v>
      </c>
      <c r="O2915">
        <v>0.24</v>
      </c>
      <c r="P2915">
        <v>-51.95</v>
      </c>
      <c r="Q2915" t="s">
        <v>9897</v>
      </c>
      <c r="R2915">
        <v>3</v>
      </c>
      <c r="S2915" s="5">
        <f t="shared" si="90"/>
        <v>-3.7523926468994911E-2</v>
      </c>
      <c r="T2915">
        <v>230.7416666666667</v>
      </c>
      <c r="U2915">
        <v>5</v>
      </c>
      <c r="V2915">
        <v>2023</v>
      </c>
      <c r="W2915">
        <v>2</v>
      </c>
      <c r="X2915" t="s">
        <v>9898</v>
      </c>
      <c r="Y2915" t="s">
        <v>9900</v>
      </c>
      <c r="Z2915" t="s">
        <v>9898</v>
      </c>
      <c r="AD2915">
        <f t="shared" si="91"/>
        <v>3</v>
      </c>
    </row>
    <row r="2916" spans="1:30" x14ac:dyDescent="0.25">
      <c r="A2916" t="s">
        <v>2940</v>
      </c>
      <c r="B2916" s="2">
        <v>45210</v>
      </c>
      <c r="C2916" s="2">
        <v>45214</v>
      </c>
      <c r="D2916" t="s">
        <v>5436</v>
      </c>
      <c r="E2916" t="s">
        <v>5936</v>
      </c>
      <c r="F2916" t="s">
        <v>6027</v>
      </c>
      <c r="G2916" t="s">
        <v>6031</v>
      </c>
      <c r="H2916" t="s">
        <v>6040</v>
      </c>
      <c r="I2916" t="s">
        <v>6052</v>
      </c>
      <c r="J2916" t="s">
        <v>6055</v>
      </c>
      <c r="K2916" t="s">
        <v>6064</v>
      </c>
      <c r="L2916" t="s">
        <v>8550</v>
      </c>
      <c r="M2916">
        <v>1852.3</v>
      </c>
      <c r="N2916">
        <v>2</v>
      </c>
      <c r="O2916">
        <v>0.22</v>
      </c>
      <c r="P2916">
        <v>116.38</v>
      </c>
      <c r="Q2916" t="s">
        <v>9894</v>
      </c>
      <c r="R2916">
        <v>4</v>
      </c>
      <c r="S2916" s="5">
        <f t="shared" si="90"/>
        <v>6.2829995141175835E-2</v>
      </c>
      <c r="T2916">
        <v>926.15</v>
      </c>
      <c r="U2916">
        <v>10</v>
      </c>
      <c r="V2916">
        <v>2023</v>
      </c>
      <c r="W2916">
        <v>4</v>
      </c>
      <c r="X2916" t="s">
        <v>9899</v>
      </c>
      <c r="Y2916" t="s">
        <v>9900</v>
      </c>
      <c r="Z2916" t="s">
        <v>9898</v>
      </c>
      <c r="AD2916">
        <f t="shared" si="91"/>
        <v>4</v>
      </c>
    </row>
    <row r="2917" spans="1:30" x14ac:dyDescent="0.25">
      <c r="A2917" t="s">
        <v>2941</v>
      </c>
      <c r="B2917" s="2">
        <v>45224</v>
      </c>
      <c r="C2917" s="2">
        <v>45226</v>
      </c>
      <c r="D2917" t="s">
        <v>5269</v>
      </c>
      <c r="E2917" t="s">
        <v>5769</v>
      </c>
      <c r="F2917" t="s">
        <v>6027</v>
      </c>
      <c r="G2917" t="s">
        <v>6029</v>
      </c>
      <c r="H2917" t="s">
        <v>6041</v>
      </c>
      <c r="I2917" t="s">
        <v>6049</v>
      </c>
      <c r="J2917" t="s">
        <v>6054</v>
      </c>
      <c r="K2917" t="s">
        <v>6062</v>
      </c>
      <c r="L2917" t="s">
        <v>6730</v>
      </c>
      <c r="M2917">
        <v>1040.33</v>
      </c>
      <c r="N2917">
        <v>8</v>
      </c>
      <c r="O2917">
        <v>0.35</v>
      </c>
      <c r="P2917">
        <v>-188.39</v>
      </c>
      <c r="Q2917" t="s">
        <v>9894</v>
      </c>
      <c r="R2917">
        <v>2</v>
      </c>
      <c r="S2917" s="5">
        <f t="shared" si="90"/>
        <v>-0.18108677054396202</v>
      </c>
      <c r="T2917">
        <v>130.04124999999999</v>
      </c>
      <c r="U2917">
        <v>10</v>
      </c>
      <c r="V2917">
        <v>2023</v>
      </c>
      <c r="W2917">
        <v>4</v>
      </c>
      <c r="X2917" t="s">
        <v>9898</v>
      </c>
      <c r="Y2917" t="s">
        <v>9902</v>
      </c>
      <c r="Z2917" t="s">
        <v>9898</v>
      </c>
      <c r="AD2917">
        <f t="shared" si="91"/>
        <v>2</v>
      </c>
    </row>
    <row r="2918" spans="1:30" x14ac:dyDescent="0.25">
      <c r="A2918" t="s">
        <v>2942</v>
      </c>
      <c r="B2918" s="2">
        <v>44625</v>
      </c>
      <c r="C2918" s="2">
        <v>44626</v>
      </c>
      <c r="D2918" t="s">
        <v>5495</v>
      </c>
      <c r="E2918" t="s">
        <v>5995</v>
      </c>
      <c r="F2918" t="s">
        <v>6027</v>
      </c>
      <c r="G2918" t="s">
        <v>6031</v>
      </c>
      <c r="H2918" t="s">
        <v>6034</v>
      </c>
      <c r="I2918" t="s">
        <v>6048</v>
      </c>
      <c r="J2918" t="s">
        <v>6054</v>
      </c>
      <c r="K2918" t="s">
        <v>6060</v>
      </c>
      <c r="L2918" t="s">
        <v>8551</v>
      </c>
      <c r="M2918">
        <v>1738.65</v>
      </c>
      <c r="N2918">
        <v>4</v>
      </c>
      <c r="O2918">
        <v>0.14000000000000001</v>
      </c>
      <c r="P2918">
        <v>93.14</v>
      </c>
      <c r="Q2918" t="s">
        <v>9893</v>
      </c>
      <c r="R2918">
        <v>1</v>
      </c>
      <c r="S2918" s="5">
        <f t="shared" si="90"/>
        <v>5.3570298795042125E-2</v>
      </c>
      <c r="T2918">
        <v>434.66250000000002</v>
      </c>
      <c r="U2918">
        <v>3</v>
      </c>
      <c r="V2918">
        <v>2022</v>
      </c>
      <c r="W2918">
        <v>1</v>
      </c>
      <c r="X2918" t="s">
        <v>9899</v>
      </c>
      <c r="Y2918" t="s">
        <v>9901</v>
      </c>
      <c r="Z2918" t="s">
        <v>9898</v>
      </c>
      <c r="AD2918">
        <f t="shared" si="91"/>
        <v>1</v>
      </c>
    </row>
    <row r="2919" spans="1:30" x14ac:dyDescent="0.25">
      <c r="A2919" t="s">
        <v>2943</v>
      </c>
      <c r="B2919" s="2">
        <v>44665</v>
      </c>
      <c r="C2919" s="2">
        <v>44670</v>
      </c>
      <c r="D2919" t="s">
        <v>5158</v>
      </c>
      <c r="E2919" t="s">
        <v>5658</v>
      </c>
      <c r="F2919" t="s">
        <v>6028</v>
      </c>
      <c r="G2919" t="s">
        <v>6031</v>
      </c>
      <c r="H2919" t="s">
        <v>6042</v>
      </c>
      <c r="I2919" t="s">
        <v>6048</v>
      </c>
      <c r="J2919" t="s">
        <v>6055</v>
      </c>
      <c r="K2919" t="s">
        <v>6063</v>
      </c>
      <c r="L2919" t="s">
        <v>8552</v>
      </c>
      <c r="M2919">
        <v>1004.95</v>
      </c>
      <c r="N2919">
        <v>3</v>
      </c>
      <c r="O2919">
        <v>0.34</v>
      </c>
      <c r="P2919">
        <v>-128.19</v>
      </c>
      <c r="Q2919" t="s">
        <v>9895</v>
      </c>
      <c r="R2919">
        <v>5</v>
      </c>
      <c r="S2919" s="5">
        <f t="shared" si="90"/>
        <v>-0.12755858500422906</v>
      </c>
      <c r="T2919">
        <v>334.98333333333329</v>
      </c>
      <c r="U2919">
        <v>4</v>
      </c>
      <c r="V2919">
        <v>2022</v>
      </c>
      <c r="W2919">
        <v>2</v>
      </c>
      <c r="X2919" t="s">
        <v>9898</v>
      </c>
      <c r="Y2919" t="s">
        <v>9902</v>
      </c>
      <c r="Z2919" t="s">
        <v>9898</v>
      </c>
      <c r="AD2919">
        <f t="shared" si="91"/>
        <v>5</v>
      </c>
    </row>
    <row r="2920" spans="1:30" x14ac:dyDescent="0.25">
      <c r="A2920" t="s">
        <v>2944</v>
      </c>
      <c r="B2920" s="2">
        <v>45267</v>
      </c>
      <c r="C2920" s="2">
        <v>45271</v>
      </c>
      <c r="D2920" t="s">
        <v>5102</v>
      </c>
      <c r="E2920" t="s">
        <v>5602</v>
      </c>
      <c r="F2920" t="s">
        <v>6026</v>
      </c>
      <c r="G2920" t="s">
        <v>6031</v>
      </c>
      <c r="H2920" t="s">
        <v>6042</v>
      </c>
      <c r="I2920" t="s">
        <v>6052</v>
      </c>
      <c r="J2920" t="s">
        <v>6054</v>
      </c>
      <c r="K2920" t="s">
        <v>6060</v>
      </c>
      <c r="L2920" t="s">
        <v>8400</v>
      </c>
      <c r="M2920">
        <v>1535.61</v>
      </c>
      <c r="N2920">
        <v>4</v>
      </c>
      <c r="O2920">
        <v>0.2</v>
      </c>
      <c r="P2920">
        <v>-148.52000000000001</v>
      </c>
      <c r="Q2920" t="s">
        <v>9894</v>
      </c>
      <c r="R2920">
        <v>4</v>
      </c>
      <c r="S2920" s="5">
        <f t="shared" si="90"/>
        <v>-9.6717265451514392E-2</v>
      </c>
      <c r="T2920">
        <v>383.90249999999997</v>
      </c>
      <c r="U2920">
        <v>12</v>
      </c>
      <c r="V2920">
        <v>2023</v>
      </c>
      <c r="W2920">
        <v>4</v>
      </c>
      <c r="X2920" t="s">
        <v>9898</v>
      </c>
      <c r="Y2920" t="s">
        <v>9900</v>
      </c>
      <c r="Z2920" t="s">
        <v>9898</v>
      </c>
      <c r="AD2920">
        <f t="shared" si="91"/>
        <v>4</v>
      </c>
    </row>
    <row r="2921" spans="1:30" x14ac:dyDescent="0.25">
      <c r="A2921" t="s">
        <v>2945</v>
      </c>
      <c r="B2921" s="2">
        <v>45169</v>
      </c>
      <c r="C2921" s="2">
        <v>45176</v>
      </c>
      <c r="D2921" t="s">
        <v>5226</v>
      </c>
      <c r="E2921" t="s">
        <v>5726</v>
      </c>
      <c r="F2921" t="s">
        <v>6027</v>
      </c>
      <c r="G2921" t="s">
        <v>6029</v>
      </c>
      <c r="H2921" t="s">
        <v>6044</v>
      </c>
      <c r="I2921" t="s">
        <v>6049</v>
      </c>
      <c r="J2921" t="s">
        <v>6054</v>
      </c>
      <c r="K2921" t="s">
        <v>6059</v>
      </c>
      <c r="L2921" t="s">
        <v>8553</v>
      </c>
      <c r="M2921">
        <v>1666.12</v>
      </c>
      <c r="N2921">
        <v>6</v>
      </c>
      <c r="O2921">
        <v>0.24</v>
      </c>
      <c r="P2921">
        <v>-110.98</v>
      </c>
      <c r="Q2921" t="s">
        <v>9894</v>
      </c>
      <c r="R2921">
        <v>7</v>
      </c>
      <c r="S2921" s="5">
        <f t="shared" si="90"/>
        <v>-6.6609848030153893E-2</v>
      </c>
      <c r="T2921">
        <v>277.68666666666672</v>
      </c>
      <c r="U2921">
        <v>8</v>
      </c>
      <c r="V2921">
        <v>2023</v>
      </c>
      <c r="W2921">
        <v>3</v>
      </c>
      <c r="X2921" t="s">
        <v>9898</v>
      </c>
      <c r="Y2921" t="s">
        <v>9900</v>
      </c>
      <c r="Z2921" t="s">
        <v>9898</v>
      </c>
      <c r="AD2921">
        <f t="shared" si="91"/>
        <v>7</v>
      </c>
    </row>
    <row r="2922" spans="1:30" x14ac:dyDescent="0.25">
      <c r="A2922" t="s">
        <v>2946</v>
      </c>
      <c r="B2922" s="2">
        <v>45392</v>
      </c>
      <c r="C2922" s="2">
        <v>45396</v>
      </c>
      <c r="D2922" t="s">
        <v>5108</v>
      </c>
      <c r="E2922" t="s">
        <v>5608</v>
      </c>
      <c r="F2922" t="s">
        <v>6026</v>
      </c>
      <c r="G2922" t="s">
        <v>6030</v>
      </c>
      <c r="H2922" t="s">
        <v>6039</v>
      </c>
      <c r="I2922" t="s">
        <v>6047</v>
      </c>
      <c r="J2922" t="s">
        <v>6053</v>
      </c>
      <c r="K2922" t="s">
        <v>6057</v>
      </c>
      <c r="L2922" t="s">
        <v>7011</v>
      </c>
      <c r="M2922">
        <v>1901.17</v>
      </c>
      <c r="N2922">
        <v>8</v>
      </c>
      <c r="O2922">
        <v>0.23</v>
      </c>
      <c r="P2922">
        <v>108.05</v>
      </c>
      <c r="Q2922" t="s">
        <v>9897</v>
      </c>
      <c r="R2922">
        <v>4</v>
      </c>
      <c r="S2922" s="5">
        <f t="shared" si="90"/>
        <v>5.6833423628607646E-2</v>
      </c>
      <c r="T2922">
        <v>237.64625000000001</v>
      </c>
      <c r="U2922">
        <v>4</v>
      </c>
      <c r="V2922">
        <v>2024</v>
      </c>
      <c r="W2922">
        <v>2</v>
      </c>
      <c r="X2922" t="s">
        <v>9899</v>
      </c>
      <c r="Y2922" t="s">
        <v>9900</v>
      </c>
      <c r="Z2922" t="s">
        <v>9898</v>
      </c>
      <c r="AD2922">
        <f t="shared" si="91"/>
        <v>4</v>
      </c>
    </row>
    <row r="2923" spans="1:30" x14ac:dyDescent="0.25">
      <c r="A2923" t="s">
        <v>2947</v>
      </c>
      <c r="B2923" s="2">
        <v>45232</v>
      </c>
      <c r="C2923" s="2">
        <v>45234</v>
      </c>
      <c r="D2923" t="s">
        <v>5463</v>
      </c>
      <c r="E2923" t="s">
        <v>5963</v>
      </c>
      <c r="F2923" t="s">
        <v>6027</v>
      </c>
      <c r="G2923" t="s">
        <v>6030</v>
      </c>
      <c r="H2923" t="s">
        <v>6039</v>
      </c>
      <c r="I2923" t="s">
        <v>6047</v>
      </c>
      <c r="J2923" t="s">
        <v>6055</v>
      </c>
      <c r="K2923" t="s">
        <v>6061</v>
      </c>
      <c r="L2923" t="s">
        <v>8554</v>
      </c>
      <c r="M2923">
        <v>1707.38</v>
      </c>
      <c r="N2923">
        <v>3</v>
      </c>
      <c r="O2923">
        <v>0.05</v>
      </c>
      <c r="P2923">
        <v>156.85</v>
      </c>
      <c r="Q2923" t="s">
        <v>9895</v>
      </c>
      <c r="R2923">
        <v>2</v>
      </c>
      <c r="S2923" s="5">
        <f t="shared" si="90"/>
        <v>9.186589979969309E-2</v>
      </c>
      <c r="T2923">
        <v>569.12666666666667</v>
      </c>
      <c r="U2923">
        <v>11</v>
      </c>
      <c r="V2923">
        <v>2023</v>
      </c>
      <c r="W2923">
        <v>4</v>
      </c>
      <c r="X2923" t="s">
        <v>9899</v>
      </c>
      <c r="Y2923" t="s">
        <v>9901</v>
      </c>
      <c r="Z2923" t="s">
        <v>9898</v>
      </c>
      <c r="AD2923">
        <f t="shared" si="91"/>
        <v>2</v>
      </c>
    </row>
    <row r="2924" spans="1:30" x14ac:dyDescent="0.25">
      <c r="A2924" t="s">
        <v>2948</v>
      </c>
      <c r="B2924" s="2">
        <v>44686</v>
      </c>
      <c r="C2924" s="2">
        <v>44692</v>
      </c>
      <c r="D2924" t="s">
        <v>5029</v>
      </c>
      <c r="E2924" t="s">
        <v>5529</v>
      </c>
      <c r="F2924" t="s">
        <v>6028</v>
      </c>
      <c r="G2924" t="s">
        <v>6030</v>
      </c>
      <c r="H2924" t="s">
        <v>6039</v>
      </c>
      <c r="I2924" t="s">
        <v>6051</v>
      </c>
      <c r="J2924" t="s">
        <v>6053</v>
      </c>
      <c r="K2924" t="s">
        <v>6058</v>
      </c>
      <c r="L2924" t="s">
        <v>8555</v>
      </c>
      <c r="M2924">
        <v>813.52</v>
      </c>
      <c r="N2924">
        <v>2</v>
      </c>
      <c r="O2924">
        <v>0.1</v>
      </c>
      <c r="P2924">
        <v>77.58</v>
      </c>
      <c r="Q2924" t="s">
        <v>9893</v>
      </c>
      <c r="R2924">
        <v>6</v>
      </c>
      <c r="S2924" s="5">
        <f t="shared" si="90"/>
        <v>9.5363359229029401E-2</v>
      </c>
      <c r="T2924">
        <v>406.76</v>
      </c>
      <c r="U2924">
        <v>5</v>
      </c>
      <c r="V2924">
        <v>2022</v>
      </c>
      <c r="W2924">
        <v>2</v>
      </c>
      <c r="X2924" t="s">
        <v>9899</v>
      </c>
      <c r="Y2924" t="s">
        <v>9901</v>
      </c>
      <c r="Z2924" t="s">
        <v>9899</v>
      </c>
      <c r="AD2924">
        <f t="shared" si="91"/>
        <v>6</v>
      </c>
    </row>
    <row r="2925" spans="1:30" x14ac:dyDescent="0.25">
      <c r="A2925" t="s">
        <v>2949</v>
      </c>
      <c r="B2925" s="2">
        <v>45460</v>
      </c>
      <c r="C2925" s="2">
        <v>45463</v>
      </c>
      <c r="D2925" t="s">
        <v>5114</v>
      </c>
      <c r="E2925" t="s">
        <v>5614</v>
      </c>
      <c r="F2925" t="s">
        <v>6028</v>
      </c>
      <c r="G2925" t="s">
        <v>6031</v>
      </c>
      <c r="H2925" t="s">
        <v>6037</v>
      </c>
      <c r="I2925" t="s">
        <v>6052</v>
      </c>
      <c r="J2925" t="s">
        <v>6054</v>
      </c>
      <c r="K2925" t="s">
        <v>6060</v>
      </c>
      <c r="L2925" t="s">
        <v>8556</v>
      </c>
      <c r="M2925">
        <v>1459.82</v>
      </c>
      <c r="N2925">
        <v>5</v>
      </c>
      <c r="O2925">
        <v>0.25</v>
      </c>
      <c r="P2925">
        <v>-80.5</v>
      </c>
      <c r="Q2925" t="s">
        <v>9893</v>
      </c>
      <c r="R2925">
        <v>3</v>
      </c>
      <c r="S2925" s="5">
        <f t="shared" si="90"/>
        <v>-5.5143784850187012E-2</v>
      </c>
      <c r="T2925">
        <v>291.964</v>
      </c>
      <c r="U2925">
        <v>6</v>
      </c>
      <c r="V2925">
        <v>2024</v>
      </c>
      <c r="W2925">
        <v>2</v>
      </c>
      <c r="X2925" t="s">
        <v>9898</v>
      </c>
      <c r="Y2925" t="s">
        <v>9900</v>
      </c>
      <c r="Z2925" t="s">
        <v>9898</v>
      </c>
      <c r="AD2925">
        <f t="shared" si="91"/>
        <v>3</v>
      </c>
    </row>
    <row r="2926" spans="1:30" x14ac:dyDescent="0.25">
      <c r="A2926" t="s">
        <v>2950</v>
      </c>
      <c r="B2926" s="2">
        <v>45452</v>
      </c>
      <c r="C2926" s="2">
        <v>45455</v>
      </c>
      <c r="D2926" t="s">
        <v>5124</v>
      </c>
      <c r="E2926" t="s">
        <v>5624</v>
      </c>
      <c r="F2926" t="s">
        <v>6028</v>
      </c>
      <c r="G2926" t="s">
        <v>6030</v>
      </c>
      <c r="H2926" t="s">
        <v>6038</v>
      </c>
      <c r="I2926" t="s">
        <v>6047</v>
      </c>
      <c r="J2926" t="s">
        <v>6054</v>
      </c>
      <c r="K2926" t="s">
        <v>6062</v>
      </c>
      <c r="L2926" t="s">
        <v>8557</v>
      </c>
      <c r="M2926">
        <v>1666.18</v>
      </c>
      <c r="N2926">
        <v>1</v>
      </c>
      <c r="O2926">
        <v>0.01</v>
      </c>
      <c r="P2926">
        <v>251.01</v>
      </c>
      <c r="Q2926" t="s">
        <v>9893</v>
      </c>
      <c r="R2926">
        <v>3</v>
      </c>
      <c r="S2926" s="5">
        <f t="shared" si="90"/>
        <v>0.15064998979702071</v>
      </c>
      <c r="T2926">
        <v>1666.18</v>
      </c>
      <c r="U2926">
        <v>6</v>
      </c>
      <c r="V2926">
        <v>2024</v>
      </c>
      <c r="W2926">
        <v>2</v>
      </c>
      <c r="X2926" t="s">
        <v>9899</v>
      </c>
      <c r="Y2926" t="s">
        <v>9901</v>
      </c>
      <c r="Z2926" t="s">
        <v>9898</v>
      </c>
      <c r="AD2926">
        <f t="shared" si="91"/>
        <v>3</v>
      </c>
    </row>
    <row r="2927" spans="1:30" x14ac:dyDescent="0.25">
      <c r="A2927" t="s">
        <v>2951</v>
      </c>
      <c r="B2927" s="2">
        <v>45370</v>
      </c>
      <c r="C2927" s="2">
        <v>45371</v>
      </c>
      <c r="D2927" t="s">
        <v>5157</v>
      </c>
      <c r="E2927" t="s">
        <v>5657</v>
      </c>
      <c r="F2927" t="s">
        <v>6026</v>
      </c>
      <c r="G2927" t="s">
        <v>6031</v>
      </c>
      <c r="H2927" t="s">
        <v>6037</v>
      </c>
      <c r="I2927" t="s">
        <v>6050</v>
      </c>
      <c r="J2927" t="s">
        <v>6053</v>
      </c>
      <c r="K2927" t="s">
        <v>6057</v>
      </c>
      <c r="L2927" t="s">
        <v>8558</v>
      </c>
      <c r="M2927">
        <v>1796.25</v>
      </c>
      <c r="N2927">
        <v>1</v>
      </c>
      <c r="O2927">
        <v>0.08</v>
      </c>
      <c r="P2927">
        <v>253.32</v>
      </c>
      <c r="Q2927" t="s">
        <v>9895</v>
      </c>
      <c r="R2927">
        <v>1</v>
      </c>
      <c r="S2927" s="5">
        <f t="shared" si="90"/>
        <v>0.14102713987473903</v>
      </c>
      <c r="T2927">
        <v>1796.25</v>
      </c>
      <c r="U2927">
        <v>3</v>
      </c>
      <c r="V2927">
        <v>2024</v>
      </c>
      <c r="W2927">
        <v>1</v>
      </c>
      <c r="X2927" t="s">
        <v>9899</v>
      </c>
      <c r="Y2927" t="s">
        <v>9901</v>
      </c>
      <c r="Z2927" t="s">
        <v>9898</v>
      </c>
      <c r="AD2927">
        <f t="shared" si="91"/>
        <v>1</v>
      </c>
    </row>
    <row r="2928" spans="1:30" x14ac:dyDescent="0.25">
      <c r="A2928" t="s">
        <v>2952</v>
      </c>
      <c r="B2928" s="2">
        <v>45381</v>
      </c>
      <c r="C2928" s="2">
        <v>45387</v>
      </c>
      <c r="D2928" t="s">
        <v>5341</v>
      </c>
      <c r="E2928" t="s">
        <v>5841</v>
      </c>
      <c r="F2928" t="s">
        <v>6028</v>
      </c>
      <c r="G2928" t="s">
        <v>6031</v>
      </c>
      <c r="H2928" t="s">
        <v>6040</v>
      </c>
      <c r="I2928" t="s">
        <v>6048</v>
      </c>
      <c r="J2928" t="s">
        <v>6054</v>
      </c>
      <c r="K2928" t="s">
        <v>6059</v>
      </c>
      <c r="L2928" t="s">
        <v>8559</v>
      </c>
      <c r="M2928">
        <v>353.11</v>
      </c>
      <c r="N2928">
        <v>3</v>
      </c>
      <c r="O2928">
        <v>0.2</v>
      </c>
      <c r="P2928">
        <v>-14.41</v>
      </c>
      <c r="Q2928" t="s">
        <v>9897</v>
      </c>
      <c r="R2928">
        <v>6</v>
      </c>
      <c r="S2928" s="5">
        <f t="shared" si="90"/>
        <v>-4.0808813117725357E-2</v>
      </c>
      <c r="T2928">
        <v>117.7033333333333</v>
      </c>
      <c r="U2928">
        <v>3</v>
      </c>
      <c r="V2928">
        <v>2024</v>
      </c>
      <c r="W2928">
        <v>1</v>
      </c>
      <c r="X2928" t="s">
        <v>9898</v>
      </c>
      <c r="Y2928" t="s">
        <v>9900</v>
      </c>
      <c r="Z2928" t="s">
        <v>9899</v>
      </c>
      <c r="AD2928">
        <f t="shared" si="91"/>
        <v>6</v>
      </c>
    </row>
    <row r="2929" spans="1:30" x14ac:dyDescent="0.25">
      <c r="A2929" t="s">
        <v>2953</v>
      </c>
      <c r="B2929" s="2">
        <v>44723</v>
      </c>
      <c r="C2929" s="2">
        <v>44727</v>
      </c>
      <c r="D2929" t="s">
        <v>5134</v>
      </c>
      <c r="E2929" t="s">
        <v>5634</v>
      </c>
      <c r="F2929" t="s">
        <v>6028</v>
      </c>
      <c r="G2929" t="s">
        <v>6029</v>
      </c>
      <c r="H2929" t="s">
        <v>6032</v>
      </c>
      <c r="I2929" t="s">
        <v>6050</v>
      </c>
      <c r="J2929" t="s">
        <v>6053</v>
      </c>
      <c r="K2929" t="s">
        <v>6056</v>
      </c>
      <c r="L2929" t="s">
        <v>8560</v>
      </c>
      <c r="M2929">
        <v>269.04000000000002</v>
      </c>
      <c r="N2929">
        <v>1</v>
      </c>
      <c r="O2929">
        <v>0.27</v>
      </c>
      <c r="P2929">
        <v>-34.020000000000003</v>
      </c>
      <c r="Q2929" t="s">
        <v>9894</v>
      </c>
      <c r="R2929">
        <v>4</v>
      </c>
      <c r="S2929" s="5">
        <f t="shared" si="90"/>
        <v>-0.12644959857270294</v>
      </c>
      <c r="T2929">
        <v>269.04000000000002</v>
      </c>
      <c r="U2929">
        <v>6</v>
      </c>
      <c r="V2929">
        <v>2022</v>
      </c>
      <c r="W2929">
        <v>2</v>
      </c>
      <c r="X2929" t="s">
        <v>9898</v>
      </c>
      <c r="Y2929" t="s">
        <v>9900</v>
      </c>
      <c r="Z2929" t="s">
        <v>9899</v>
      </c>
      <c r="AD2929">
        <f t="shared" si="91"/>
        <v>4</v>
      </c>
    </row>
    <row r="2930" spans="1:30" x14ac:dyDescent="0.25">
      <c r="A2930" t="s">
        <v>2954</v>
      </c>
      <c r="B2930" s="2">
        <v>45015</v>
      </c>
      <c r="C2930" s="2">
        <v>45016</v>
      </c>
      <c r="D2930" t="s">
        <v>5484</v>
      </c>
      <c r="E2930" t="s">
        <v>5984</v>
      </c>
      <c r="F2930" t="s">
        <v>6027</v>
      </c>
      <c r="G2930" t="s">
        <v>6031</v>
      </c>
      <c r="H2930" t="s">
        <v>6040</v>
      </c>
      <c r="I2930" t="s">
        <v>6048</v>
      </c>
      <c r="J2930" t="s">
        <v>6055</v>
      </c>
      <c r="K2930" t="s">
        <v>6061</v>
      </c>
      <c r="L2930" t="s">
        <v>8561</v>
      </c>
      <c r="M2930">
        <v>332.26</v>
      </c>
      <c r="N2930">
        <v>7</v>
      </c>
      <c r="O2930">
        <v>0.08</v>
      </c>
      <c r="P2930">
        <v>17</v>
      </c>
      <c r="Q2930" t="s">
        <v>9893</v>
      </c>
      <c r="R2930">
        <v>1</v>
      </c>
      <c r="S2930" s="5">
        <f t="shared" si="90"/>
        <v>5.1164750496599049E-2</v>
      </c>
      <c r="T2930">
        <v>47.465714285714277</v>
      </c>
      <c r="U2930">
        <v>3</v>
      </c>
      <c r="V2930">
        <v>2023</v>
      </c>
      <c r="W2930">
        <v>1</v>
      </c>
      <c r="X2930" t="s">
        <v>9899</v>
      </c>
      <c r="Y2930" t="s">
        <v>9901</v>
      </c>
      <c r="Z2930" t="s">
        <v>9899</v>
      </c>
      <c r="AD2930">
        <f t="shared" si="91"/>
        <v>1</v>
      </c>
    </row>
    <row r="2931" spans="1:30" x14ac:dyDescent="0.25">
      <c r="A2931" t="s">
        <v>2955</v>
      </c>
      <c r="B2931" s="2">
        <v>45369</v>
      </c>
      <c r="C2931" s="2">
        <v>45375</v>
      </c>
      <c r="D2931" t="s">
        <v>5089</v>
      </c>
      <c r="E2931" t="s">
        <v>5589</v>
      </c>
      <c r="F2931" t="s">
        <v>6027</v>
      </c>
      <c r="G2931" t="s">
        <v>6029</v>
      </c>
      <c r="H2931" t="s">
        <v>6041</v>
      </c>
      <c r="I2931" t="s">
        <v>6050</v>
      </c>
      <c r="J2931" t="s">
        <v>6053</v>
      </c>
      <c r="K2931" t="s">
        <v>6056</v>
      </c>
      <c r="L2931" t="s">
        <v>6515</v>
      </c>
      <c r="M2931">
        <v>1224.52</v>
      </c>
      <c r="N2931">
        <v>8</v>
      </c>
      <c r="O2931">
        <v>0.24</v>
      </c>
      <c r="P2931">
        <v>-25.83</v>
      </c>
      <c r="Q2931" t="s">
        <v>9896</v>
      </c>
      <c r="R2931">
        <v>6</v>
      </c>
      <c r="S2931" s="5">
        <f t="shared" si="90"/>
        <v>-2.1093979681834515E-2</v>
      </c>
      <c r="T2931">
        <v>153.065</v>
      </c>
      <c r="U2931">
        <v>3</v>
      </c>
      <c r="V2931">
        <v>2024</v>
      </c>
      <c r="W2931">
        <v>1</v>
      </c>
      <c r="X2931" t="s">
        <v>9898</v>
      </c>
      <c r="Y2931" t="s">
        <v>9900</v>
      </c>
      <c r="Z2931" t="s">
        <v>9898</v>
      </c>
      <c r="AD2931">
        <f t="shared" si="91"/>
        <v>6</v>
      </c>
    </row>
    <row r="2932" spans="1:30" x14ac:dyDescent="0.25">
      <c r="A2932" t="s">
        <v>2956</v>
      </c>
      <c r="B2932" s="2">
        <v>44922</v>
      </c>
      <c r="C2932" s="2">
        <v>44926</v>
      </c>
      <c r="D2932" t="s">
        <v>5129</v>
      </c>
      <c r="E2932" t="s">
        <v>5629</v>
      </c>
      <c r="F2932" t="s">
        <v>6026</v>
      </c>
      <c r="G2932" t="s">
        <v>6031</v>
      </c>
      <c r="H2932" t="s">
        <v>6040</v>
      </c>
      <c r="I2932" t="s">
        <v>6050</v>
      </c>
      <c r="J2932" t="s">
        <v>6054</v>
      </c>
      <c r="K2932" t="s">
        <v>6059</v>
      </c>
      <c r="L2932" t="s">
        <v>8562</v>
      </c>
      <c r="M2932">
        <v>894.4</v>
      </c>
      <c r="N2932">
        <v>4</v>
      </c>
      <c r="O2932">
        <v>0.06</v>
      </c>
      <c r="P2932">
        <v>191.26</v>
      </c>
      <c r="Q2932" t="s">
        <v>9896</v>
      </c>
      <c r="R2932">
        <v>4</v>
      </c>
      <c r="S2932" s="5">
        <f t="shared" si="90"/>
        <v>0.21384168157423972</v>
      </c>
      <c r="T2932">
        <v>223.6</v>
      </c>
      <c r="U2932">
        <v>12</v>
      </c>
      <c r="V2932">
        <v>2022</v>
      </c>
      <c r="W2932">
        <v>4</v>
      </c>
      <c r="X2932" t="s">
        <v>9899</v>
      </c>
      <c r="Y2932" t="s">
        <v>9901</v>
      </c>
      <c r="Z2932" t="s">
        <v>9899</v>
      </c>
      <c r="AD2932">
        <f t="shared" si="91"/>
        <v>4</v>
      </c>
    </row>
    <row r="2933" spans="1:30" x14ac:dyDescent="0.25">
      <c r="A2933" t="s">
        <v>2957</v>
      </c>
      <c r="B2933" s="2">
        <v>44621</v>
      </c>
      <c r="C2933" s="2">
        <v>44622</v>
      </c>
      <c r="D2933" t="s">
        <v>5482</v>
      </c>
      <c r="E2933" t="s">
        <v>5982</v>
      </c>
      <c r="F2933" t="s">
        <v>6026</v>
      </c>
      <c r="G2933" t="s">
        <v>6030</v>
      </c>
      <c r="H2933" t="s">
        <v>6038</v>
      </c>
      <c r="I2933" t="s">
        <v>6047</v>
      </c>
      <c r="J2933" t="s">
        <v>6055</v>
      </c>
      <c r="K2933" t="s">
        <v>6064</v>
      </c>
      <c r="L2933" t="s">
        <v>7112</v>
      </c>
      <c r="M2933">
        <v>1480.54</v>
      </c>
      <c r="N2933">
        <v>3</v>
      </c>
      <c r="O2933">
        <v>0.25</v>
      </c>
      <c r="P2933">
        <v>-25.22</v>
      </c>
      <c r="Q2933" t="s">
        <v>9897</v>
      </c>
      <c r="R2933">
        <v>1</v>
      </c>
      <c r="S2933" s="5">
        <f t="shared" si="90"/>
        <v>-1.703432531373688E-2</v>
      </c>
      <c r="T2933">
        <v>493.51333333333332</v>
      </c>
      <c r="U2933">
        <v>3</v>
      </c>
      <c r="V2933">
        <v>2022</v>
      </c>
      <c r="W2933">
        <v>1</v>
      </c>
      <c r="X2933" t="s">
        <v>9898</v>
      </c>
      <c r="Y2933" t="s">
        <v>9900</v>
      </c>
      <c r="Z2933" t="s">
        <v>9898</v>
      </c>
      <c r="AD2933">
        <f t="shared" si="91"/>
        <v>1</v>
      </c>
    </row>
    <row r="2934" spans="1:30" x14ac:dyDescent="0.25">
      <c r="A2934" t="s">
        <v>2958</v>
      </c>
      <c r="B2934" s="2">
        <v>45265</v>
      </c>
      <c r="C2934" s="2">
        <v>45268</v>
      </c>
      <c r="D2934" t="s">
        <v>5269</v>
      </c>
      <c r="E2934" t="s">
        <v>5769</v>
      </c>
      <c r="F2934" t="s">
        <v>6028</v>
      </c>
      <c r="G2934" t="s">
        <v>6031</v>
      </c>
      <c r="H2934" t="s">
        <v>6042</v>
      </c>
      <c r="I2934" t="s">
        <v>6048</v>
      </c>
      <c r="J2934" t="s">
        <v>6053</v>
      </c>
      <c r="K2934" t="s">
        <v>6056</v>
      </c>
      <c r="L2934" t="s">
        <v>8141</v>
      </c>
      <c r="M2934">
        <v>1469.47</v>
      </c>
      <c r="N2934">
        <v>4</v>
      </c>
      <c r="O2934">
        <v>0.16</v>
      </c>
      <c r="P2934">
        <v>151.22999999999999</v>
      </c>
      <c r="Q2934" t="s">
        <v>9897</v>
      </c>
      <c r="R2934">
        <v>3</v>
      </c>
      <c r="S2934" s="5">
        <f t="shared" si="90"/>
        <v>0.10291465630465405</v>
      </c>
      <c r="T2934">
        <v>367.36750000000001</v>
      </c>
      <c r="U2934">
        <v>12</v>
      </c>
      <c r="V2934">
        <v>2023</v>
      </c>
      <c r="W2934">
        <v>4</v>
      </c>
      <c r="X2934" t="s">
        <v>9899</v>
      </c>
      <c r="Y2934" t="s">
        <v>9900</v>
      </c>
      <c r="Z2934" t="s">
        <v>9898</v>
      </c>
      <c r="AD2934">
        <f t="shared" si="91"/>
        <v>3</v>
      </c>
    </row>
    <row r="2935" spans="1:30" x14ac:dyDescent="0.25">
      <c r="A2935" t="s">
        <v>2959</v>
      </c>
      <c r="B2935" s="2">
        <v>45199</v>
      </c>
      <c r="C2935" s="2">
        <v>45202</v>
      </c>
      <c r="D2935" t="s">
        <v>5037</v>
      </c>
      <c r="E2935" t="s">
        <v>5537</v>
      </c>
      <c r="F2935" t="s">
        <v>6027</v>
      </c>
      <c r="G2935" t="s">
        <v>6031</v>
      </c>
      <c r="H2935" t="s">
        <v>6042</v>
      </c>
      <c r="I2935" t="s">
        <v>6050</v>
      </c>
      <c r="J2935" t="s">
        <v>6055</v>
      </c>
      <c r="K2935" t="s">
        <v>6064</v>
      </c>
      <c r="L2935" t="s">
        <v>8563</v>
      </c>
      <c r="M2935">
        <v>1181.77</v>
      </c>
      <c r="N2935">
        <v>7</v>
      </c>
      <c r="O2935">
        <v>0.26</v>
      </c>
      <c r="P2935">
        <v>41.08</v>
      </c>
      <c r="Q2935" t="s">
        <v>9894</v>
      </c>
      <c r="R2935">
        <v>3</v>
      </c>
      <c r="S2935" s="5">
        <f t="shared" si="90"/>
        <v>3.4761417196239541E-2</v>
      </c>
      <c r="T2935">
        <v>168.82428571428571</v>
      </c>
      <c r="U2935">
        <v>9</v>
      </c>
      <c r="V2935">
        <v>2023</v>
      </c>
      <c r="W2935">
        <v>3</v>
      </c>
      <c r="X2935" t="s">
        <v>9899</v>
      </c>
      <c r="Y2935" t="s">
        <v>9900</v>
      </c>
      <c r="Z2935" t="s">
        <v>9898</v>
      </c>
      <c r="AD2935">
        <f t="shared" si="91"/>
        <v>3</v>
      </c>
    </row>
    <row r="2936" spans="1:30" x14ac:dyDescent="0.25">
      <c r="A2936" t="s">
        <v>2960</v>
      </c>
      <c r="B2936" s="2">
        <v>45222</v>
      </c>
      <c r="C2936" s="2">
        <v>45229</v>
      </c>
      <c r="D2936" t="s">
        <v>5260</v>
      </c>
      <c r="E2936" t="s">
        <v>5760</v>
      </c>
      <c r="F2936" t="s">
        <v>6026</v>
      </c>
      <c r="G2936" t="s">
        <v>6030</v>
      </c>
      <c r="H2936" t="s">
        <v>6033</v>
      </c>
      <c r="I2936" t="s">
        <v>6051</v>
      </c>
      <c r="J2936" t="s">
        <v>6055</v>
      </c>
      <c r="K2936" t="s">
        <v>6061</v>
      </c>
      <c r="L2936" t="s">
        <v>8564</v>
      </c>
      <c r="M2936">
        <v>271.39</v>
      </c>
      <c r="N2936">
        <v>4</v>
      </c>
      <c r="O2936">
        <v>0.12</v>
      </c>
      <c r="P2936">
        <v>8.82</v>
      </c>
      <c r="Q2936" t="s">
        <v>9893</v>
      </c>
      <c r="R2936">
        <v>7</v>
      </c>
      <c r="S2936" s="5">
        <f t="shared" si="90"/>
        <v>3.2499355171524379E-2</v>
      </c>
      <c r="T2936">
        <v>67.847499999999997</v>
      </c>
      <c r="U2936">
        <v>10</v>
      </c>
      <c r="V2936">
        <v>2023</v>
      </c>
      <c r="W2936">
        <v>4</v>
      </c>
      <c r="X2936" t="s">
        <v>9899</v>
      </c>
      <c r="Y2936" t="s">
        <v>9901</v>
      </c>
      <c r="Z2936" t="s">
        <v>9899</v>
      </c>
      <c r="AD2936">
        <f t="shared" si="91"/>
        <v>7</v>
      </c>
    </row>
    <row r="2937" spans="1:30" x14ac:dyDescent="0.25">
      <c r="A2937" t="s">
        <v>2961</v>
      </c>
      <c r="B2937" s="2">
        <v>44801</v>
      </c>
      <c r="C2937" s="2">
        <v>44802</v>
      </c>
      <c r="D2937" t="s">
        <v>5052</v>
      </c>
      <c r="E2937" t="s">
        <v>5552</v>
      </c>
      <c r="F2937" t="s">
        <v>6028</v>
      </c>
      <c r="G2937" t="s">
        <v>6030</v>
      </c>
      <c r="H2937" t="s">
        <v>6039</v>
      </c>
      <c r="I2937" t="s">
        <v>6047</v>
      </c>
      <c r="J2937" t="s">
        <v>6054</v>
      </c>
      <c r="K2937" t="s">
        <v>6060</v>
      </c>
      <c r="L2937" t="s">
        <v>7314</v>
      </c>
      <c r="M2937">
        <v>1627.46</v>
      </c>
      <c r="N2937">
        <v>7</v>
      </c>
      <c r="O2937">
        <v>0.04</v>
      </c>
      <c r="P2937">
        <v>295.75</v>
      </c>
      <c r="Q2937" t="s">
        <v>9896</v>
      </c>
      <c r="R2937">
        <v>1</v>
      </c>
      <c r="S2937" s="5">
        <f t="shared" si="90"/>
        <v>0.18172489646442924</v>
      </c>
      <c r="T2937">
        <v>232.4942857142857</v>
      </c>
      <c r="U2937">
        <v>8</v>
      </c>
      <c r="V2937">
        <v>2022</v>
      </c>
      <c r="W2937">
        <v>3</v>
      </c>
      <c r="X2937" t="s">
        <v>9899</v>
      </c>
      <c r="Y2937" t="s">
        <v>9901</v>
      </c>
      <c r="Z2937" t="s">
        <v>9898</v>
      </c>
      <c r="AD2937">
        <f t="shared" si="91"/>
        <v>1</v>
      </c>
    </row>
    <row r="2938" spans="1:30" x14ac:dyDescent="0.25">
      <c r="A2938" t="s">
        <v>2962</v>
      </c>
      <c r="B2938" s="2">
        <v>44876</v>
      </c>
      <c r="C2938" s="2">
        <v>44879</v>
      </c>
      <c r="D2938" t="s">
        <v>5038</v>
      </c>
      <c r="E2938" t="s">
        <v>5538</v>
      </c>
      <c r="F2938" t="s">
        <v>6028</v>
      </c>
      <c r="G2938" t="s">
        <v>6029</v>
      </c>
      <c r="H2938" t="s">
        <v>6045</v>
      </c>
      <c r="I2938" t="s">
        <v>6050</v>
      </c>
      <c r="J2938" t="s">
        <v>6054</v>
      </c>
      <c r="K2938" t="s">
        <v>6060</v>
      </c>
      <c r="L2938" t="s">
        <v>7441</v>
      </c>
      <c r="M2938">
        <v>1657.23</v>
      </c>
      <c r="N2938">
        <v>6</v>
      </c>
      <c r="O2938">
        <v>0.24</v>
      </c>
      <c r="P2938">
        <v>-22.63</v>
      </c>
      <c r="Q2938" t="s">
        <v>9894</v>
      </c>
      <c r="R2938">
        <v>3</v>
      </c>
      <c r="S2938" s="5">
        <f t="shared" si="90"/>
        <v>-1.3655316401465094E-2</v>
      </c>
      <c r="T2938">
        <v>276.20499999999998</v>
      </c>
      <c r="U2938">
        <v>11</v>
      </c>
      <c r="V2938">
        <v>2022</v>
      </c>
      <c r="W2938">
        <v>4</v>
      </c>
      <c r="X2938" t="s">
        <v>9898</v>
      </c>
      <c r="Y2938" t="s">
        <v>9900</v>
      </c>
      <c r="Z2938" t="s">
        <v>9898</v>
      </c>
      <c r="AD2938">
        <f t="shared" si="91"/>
        <v>3</v>
      </c>
    </row>
    <row r="2939" spans="1:30" x14ac:dyDescent="0.25">
      <c r="A2939" t="s">
        <v>2963</v>
      </c>
      <c r="B2939" s="2">
        <v>44781</v>
      </c>
      <c r="C2939" s="2">
        <v>44786</v>
      </c>
      <c r="D2939" t="s">
        <v>5362</v>
      </c>
      <c r="E2939" t="s">
        <v>5862</v>
      </c>
      <c r="F2939" t="s">
        <v>6027</v>
      </c>
      <c r="G2939" t="s">
        <v>6030</v>
      </c>
      <c r="H2939" t="s">
        <v>6033</v>
      </c>
      <c r="I2939" t="s">
        <v>6051</v>
      </c>
      <c r="J2939" t="s">
        <v>6055</v>
      </c>
      <c r="K2939" t="s">
        <v>6064</v>
      </c>
      <c r="L2939" t="s">
        <v>8565</v>
      </c>
      <c r="M2939">
        <v>826.76</v>
      </c>
      <c r="N2939">
        <v>3</v>
      </c>
      <c r="O2939">
        <v>0.23</v>
      </c>
      <c r="P2939">
        <v>-3.77</v>
      </c>
      <c r="Q2939" t="s">
        <v>9893</v>
      </c>
      <c r="R2939">
        <v>5</v>
      </c>
      <c r="S2939" s="5">
        <f t="shared" si="90"/>
        <v>-4.5599690357540279E-3</v>
      </c>
      <c r="T2939">
        <v>275.58666666666659</v>
      </c>
      <c r="U2939">
        <v>8</v>
      </c>
      <c r="V2939">
        <v>2022</v>
      </c>
      <c r="W2939">
        <v>3</v>
      </c>
      <c r="X2939" t="s">
        <v>9898</v>
      </c>
      <c r="Y2939" t="s">
        <v>9900</v>
      </c>
      <c r="Z2939" t="s">
        <v>9899</v>
      </c>
      <c r="AD2939">
        <f t="shared" si="91"/>
        <v>5</v>
      </c>
    </row>
    <row r="2940" spans="1:30" x14ac:dyDescent="0.25">
      <c r="A2940" t="s">
        <v>2964</v>
      </c>
      <c r="B2940" s="2">
        <v>45194</v>
      </c>
      <c r="C2940" s="2">
        <v>45201</v>
      </c>
      <c r="D2940" t="s">
        <v>5362</v>
      </c>
      <c r="E2940" t="s">
        <v>5862</v>
      </c>
      <c r="F2940" t="s">
        <v>6027</v>
      </c>
      <c r="G2940" t="s">
        <v>6031</v>
      </c>
      <c r="H2940" t="s">
        <v>6040</v>
      </c>
      <c r="I2940" t="s">
        <v>6050</v>
      </c>
      <c r="J2940" t="s">
        <v>6054</v>
      </c>
      <c r="K2940" t="s">
        <v>6059</v>
      </c>
      <c r="L2940" t="s">
        <v>8566</v>
      </c>
      <c r="M2940">
        <v>1013.21</v>
      </c>
      <c r="N2940">
        <v>3</v>
      </c>
      <c r="O2940">
        <v>0.03</v>
      </c>
      <c r="P2940">
        <v>171.29</v>
      </c>
      <c r="Q2940" t="s">
        <v>9897</v>
      </c>
      <c r="R2940">
        <v>7</v>
      </c>
      <c r="S2940" s="5">
        <f t="shared" si="90"/>
        <v>0.1690567601977872</v>
      </c>
      <c r="T2940">
        <v>337.73666666666668</v>
      </c>
      <c r="U2940">
        <v>9</v>
      </c>
      <c r="V2940">
        <v>2023</v>
      </c>
      <c r="W2940">
        <v>3</v>
      </c>
      <c r="X2940" t="s">
        <v>9899</v>
      </c>
      <c r="Y2940" t="s">
        <v>9901</v>
      </c>
      <c r="Z2940" t="s">
        <v>9898</v>
      </c>
      <c r="AD2940">
        <f t="shared" si="91"/>
        <v>7</v>
      </c>
    </row>
    <row r="2941" spans="1:30" x14ac:dyDescent="0.25">
      <c r="A2941" t="s">
        <v>2965</v>
      </c>
      <c r="B2941" s="2">
        <v>44806</v>
      </c>
      <c r="C2941" s="2">
        <v>44810</v>
      </c>
      <c r="D2941" t="s">
        <v>5151</v>
      </c>
      <c r="E2941" t="s">
        <v>5651</v>
      </c>
      <c r="F2941" t="s">
        <v>6026</v>
      </c>
      <c r="G2941" t="s">
        <v>6030</v>
      </c>
      <c r="H2941" t="s">
        <v>6038</v>
      </c>
      <c r="I2941" t="s">
        <v>6051</v>
      </c>
      <c r="J2941" t="s">
        <v>6055</v>
      </c>
      <c r="K2941" t="s">
        <v>6064</v>
      </c>
      <c r="L2941" t="s">
        <v>8567</v>
      </c>
      <c r="M2941">
        <v>1773.34</v>
      </c>
      <c r="N2941">
        <v>8</v>
      </c>
      <c r="O2941">
        <v>0</v>
      </c>
      <c r="P2941">
        <v>221.68</v>
      </c>
      <c r="Q2941" t="s">
        <v>9893</v>
      </c>
      <c r="R2941">
        <v>4</v>
      </c>
      <c r="S2941" s="5">
        <f t="shared" si="90"/>
        <v>0.12500704884568103</v>
      </c>
      <c r="T2941">
        <v>221.66749999999999</v>
      </c>
      <c r="U2941">
        <v>9</v>
      </c>
      <c r="V2941">
        <v>2022</v>
      </c>
      <c r="W2941">
        <v>3</v>
      </c>
      <c r="X2941" t="s">
        <v>9899</v>
      </c>
      <c r="Y2941" t="s">
        <v>9901</v>
      </c>
      <c r="Z2941" t="s">
        <v>9898</v>
      </c>
      <c r="AD2941">
        <f t="shared" si="91"/>
        <v>4</v>
      </c>
    </row>
    <row r="2942" spans="1:30" x14ac:dyDescent="0.25">
      <c r="A2942" t="s">
        <v>2966</v>
      </c>
      <c r="B2942" s="2">
        <v>45249</v>
      </c>
      <c r="C2942" s="2">
        <v>45250</v>
      </c>
      <c r="D2942" t="s">
        <v>5261</v>
      </c>
      <c r="E2942" t="s">
        <v>5761</v>
      </c>
      <c r="F2942" t="s">
        <v>6026</v>
      </c>
      <c r="G2942" t="s">
        <v>6031</v>
      </c>
      <c r="H2942" t="s">
        <v>6037</v>
      </c>
      <c r="I2942" t="s">
        <v>6052</v>
      </c>
      <c r="J2942" t="s">
        <v>6055</v>
      </c>
      <c r="K2942" t="s">
        <v>6063</v>
      </c>
      <c r="L2942" t="s">
        <v>8273</v>
      </c>
      <c r="M2942">
        <v>1996.18</v>
      </c>
      <c r="N2942">
        <v>3</v>
      </c>
      <c r="O2942">
        <v>0.04</v>
      </c>
      <c r="P2942">
        <v>255.06</v>
      </c>
      <c r="Q2942" t="s">
        <v>9897</v>
      </c>
      <c r="R2942">
        <v>1</v>
      </c>
      <c r="S2942" s="5">
        <f t="shared" si="90"/>
        <v>0.12777404843250609</v>
      </c>
      <c r="T2942">
        <v>665.39333333333332</v>
      </c>
      <c r="U2942">
        <v>11</v>
      </c>
      <c r="V2942">
        <v>2023</v>
      </c>
      <c r="W2942">
        <v>4</v>
      </c>
      <c r="X2942" t="s">
        <v>9899</v>
      </c>
      <c r="Y2942" t="s">
        <v>9901</v>
      </c>
      <c r="Z2942" t="s">
        <v>9898</v>
      </c>
      <c r="AD2942">
        <f t="shared" si="91"/>
        <v>1</v>
      </c>
    </row>
    <row r="2943" spans="1:30" x14ac:dyDescent="0.25">
      <c r="A2943" t="s">
        <v>2967</v>
      </c>
      <c r="B2943" s="2">
        <v>44915</v>
      </c>
      <c r="C2943" s="2">
        <v>44922</v>
      </c>
      <c r="D2943" t="s">
        <v>5481</v>
      </c>
      <c r="E2943" t="s">
        <v>5981</v>
      </c>
      <c r="F2943" t="s">
        <v>6027</v>
      </c>
      <c r="G2943" t="s">
        <v>6030</v>
      </c>
      <c r="H2943" t="s">
        <v>6038</v>
      </c>
      <c r="I2943" t="s">
        <v>6047</v>
      </c>
      <c r="J2943" t="s">
        <v>6053</v>
      </c>
      <c r="K2943" t="s">
        <v>6058</v>
      </c>
      <c r="L2943" t="s">
        <v>8568</v>
      </c>
      <c r="M2943">
        <v>267.12</v>
      </c>
      <c r="N2943">
        <v>7</v>
      </c>
      <c r="O2943">
        <v>0.21</v>
      </c>
      <c r="P2943">
        <v>-14.59</v>
      </c>
      <c r="Q2943" t="s">
        <v>9895</v>
      </c>
      <c r="R2943">
        <v>7</v>
      </c>
      <c r="S2943" s="5">
        <f t="shared" si="90"/>
        <v>-5.4619646600778678E-2</v>
      </c>
      <c r="T2943">
        <v>38.159999999999997</v>
      </c>
      <c r="U2943">
        <v>12</v>
      </c>
      <c r="V2943">
        <v>2022</v>
      </c>
      <c r="W2943">
        <v>4</v>
      </c>
      <c r="X2943" t="s">
        <v>9898</v>
      </c>
      <c r="Y2943" t="s">
        <v>9900</v>
      </c>
      <c r="Z2943" t="s">
        <v>9899</v>
      </c>
      <c r="AD2943">
        <f t="shared" si="91"/>
        <v>7</v>
      </c>
    </row>
    <row r="2944" spans="1:30" x14ac:dyDescent="0.25">
      <c r="A2944" t="s">
        <v>2968</v>
      </c>
      <c r="B2944" s="2">
        <v>44940</v>
      </c>
      <c r="C2944" s="2">
        <v>44944</v>
      </c>
      <c r="D2944" t="s">
        <v>5045</v>
      </c>
      <c r="E2944" t="s">
        <v>5545</v>
      </c>
      <c r="F2944" t="s">
        <v>6028</v>
      </c>
      <c r="G2944" t="s">
        <v>6030</v>
      </c>
      <c r="H2944" t="s">
        <v>6033</v>
      </c>
      <c r="I2944" t="s">
        <v>6051</v>
      </c>
      <c r="J2944" t="s">
        <v>6053</v>
      </c>
      <c r="K2944" t="s">
        <v>6056</v>
      </c>
      <c r="L2944" t="s">
        <v>8569</v>
      </c>
      <c r="M2944">
        <v>629.16999999999996</v>
      </c>
      <c r="N2944">
        <v>1</v>
      </c>
      <c r="O2944">
        <v>0.28000000000000003</v>
      </c>
      <c r="P2944">
        <v>-51.35</v>
      </c>
      <c r="Q2944" t="s">
        <v>9896</v>
      </c>
      <c r="R2944">
        <v>4</v>
      </c>
      <c r="S2944" s="5">
        <f t="shared" si="90"/>
        <v>-8.1615461639938339E-2</v>
      </c>
      <c r="T2944">
        <v>629.16999999999996</v>
      </c>
      <c r="U2944">
        <v>1</v>
      </c>
      <c r="V2944">
        <v>2023</v>
      </c>
      <c r="W2944">
        <v>1</v>
      </c>
      <c r="X2944" t="s">
        <v>9898</v>
      </c>
      <c r="Y2944" t="s">
        <v>9900</v>
      </c>
      <c r="Z2944" t="s">
        <v>9899</v>
      </c>
      <c r="AD2944">
        <f t="shared" si="91"/>
        <v>4</v>
      </c>
    </row>
    <row r="2945" spans="1:30" x14ac:dyDescent="0.25">
      <c r="A2945" t="s">
        <v>2969</v>
      </c>
      <c r="B2945" s="2">
        <v>45341</v>
      </c>
      <c r="C2945" s="2">
        <v>45348</v>
      </c>
      <c r="D2945" t="s">
        <v>5292</v>
      </c>
      <c r="E2945" t="s">
        <v>5792</v>
      </c>
      <c r="F2945" t="s">
        <v>6026</v>
      </c>
      <c r="G2945" t="s">
        <v>6029</v>
      </c>
      <c r="H2945" t="s">
        <v>6041</v>
      </c>
      <c r="I2945" t="s">
        <v>6046</v>
      </c>
      <c r="J2945" t="s">
        <v>6053</v>
      </c>
      <c r="K2945" t="s">
        <v>6056</v>
      </c>
      <c r="L2945" t="s">
        <v>7675</v>
      </c>
      <c r="M2945">
        <v>1868.03</v>
      </c>
      <c r="N2945">
        <v>5</v>
      </c>
      <c r="O2945">
        <v>0.08</v>
      </c>
      <c r="P2945">
        <v>257.36</v>
      </c>
      <c r="Q2945" t="s">
        <v>9896</v>
      </c>
      <c r="R2945">
        <v>7</v>
      </c>
      <c r="S2945" s="5">
        <f t="shared" si="90"/>
        <v>0.1377708066786936</v>
      </c>
      <c r="T2945">
        <v>373.60599999999999</v>
      </c>
      <c r="U2945">
        <v>2</v>
      </c>
      <c r="V2945">
        <v>2024</v>
      </c>
      <c r="W2945">
        <v>1</v>
      </c>
      <c r="X2945" t="s">
        <v>9899</v>
      </c>
      <c r="Y2945" t="s">
        <v>9901</v>
      </c>
      <c r="Z2945" t="s">
        <v>9898</v>
      </c>
      <c r="AD2945">
        <f t="shared" si="91"/>
        <v>7</v>
      </c>
    </row>
    <row r="2946" spans="1:30" x14ac:dyDescent="0.25">
      <c r="A2946" t="s">
        <v>2970</v>
      </c>
      <c r="B2946" s="2">
        <v>45021</v>
      </c>
      <c r="C2946" s="2">
        <v>45024</v>
      </c>
      <c r="D2946" t="s">
        <v>5488</v>
      </c>
      <c r="E2946" t="s">
        <v>5988</v>
      </c>
      <c r="F2946" t="s">
        <v>6026</v>
      </c>
      <c r="G2946" t="s">
        <v>6030</v>
      </c>
      <c r="H2946" t="s">
        <v>6035</v>
      </c>
      <c r="I2946" t="s">
        <v>6051</v>
      </c>
      <c r="J2946" t="s">
        <v>6053</v>
      </c>
      <c r="K2946" t="s">
        <v>6057</v>
      </c>
      <c r="L2946" t="s">
        <v>7905</v>
      </c>
      <c r="M2946">
        <v>1608.47</v>
      </c>
      <c r="N2946">
        <v>3</v>
      </c>
      <c r="O2946">
        <v>0.19</v>
      </c>
      <c r="P2946">
        <v>0.49</v>
      </c>
      <c r="Q2946" t="s">
        <v>9895</v>
      </c>
      <c r="R2946">
        <v>3</v>
      </c>
      <c r="S2946" s="5">
        <f t="shared" si="90"/>
        <v>3.0463732615466872E-4</v>
      </c>
      <c r="T2946">
        <v>536.15666666666664</v>
      </c>
      <c r="U2946">
        <v>4</v>
      </c>
      <c r="V2946">
        <v>2023</v>
      </c>
      <c r="W2946">
        <v>2</v>
      </c>
      <c r="X2946" t="s">
        <v>9899</v>
      </c>
      <c r="Y2946" t="s">
        <v>9900</v>
      </c>
      <c r="Z2946" t="s">
        <v>9898</v>
      </c>
      <c r="AD2946">
        <f t="shared" si="91"/>
        <v>3</v>
      </c>
    </row>
    <row r="2947" spans="1:30" x14ac:dyDescent="0.25">
      <c r="A2947" t="s">
        <v>2971</v>
      </c>
      <c r="B2947" s="2">
        <v>44737</v>
      </c>
      <c r="C2947" s="2">
        <v>44739</v>
      </c>
      <c r="D2947" t="s">
        <v>5086</v>
      </c>
      <c r="E2947" t="s">
        <v>5586</v>
      </c>
      <c r="F2947" t="s">
        <v>6028</v>
      </c>
      <c r="G2947" t="s">
        <v>6031</v>
      </c>
      <c r="H2947" t="s">
        <v>6037</v>
      </c>
      <c r="I2947" t="s">
        <v>6052</v>
      </c>
      <c r="J2947" t="s">
        <v>6054</v>
      </c>
      <c r="K2947" t="s">
        <v>6059</v>
      </c>
      <c r="L2947" t="s">
        <v>8570</v>
      </c>
      <c r="M2947">
        <v>1540.43</v>
      </c>
      <c r="N2947">
        <v>1</v>
      </c>
      <c r="O2947">
        <v>0</v>
      </c>
      <c r="P2947">
        <v>195.16</v>
      </c>
      <c r="Q2947" t="s">
        <v>9894</v>
      </c>
      <c r="R2947">
        <v>2</v>
      </c>
      <c r="S2947" s="5">
        <f t="shared" ref="S2947:S3010" si="92">P2947/M2947</f>
        <v>0.12669189771687125</v>
      </c>
      <c r="T2947">
        <v>1540.43</v>
      </c>
      <c r="U2947">
        <v>6</v>
      </c>
      <c r="V2947">
        <v>2022</v>
      </c>
      <c r="W2947">
        <v>2</v>
      </c>
      <c r="X2947" t="s">
        <v>9899</v>
      </c>
      <c r="Y2947" t="s">
        <v>9901</v>
      </c>
      <c r="Z2947" t="s">
        <v>9898</v>
      </c>
      <c r="AD2947">
        <f t="shared" ref="AD2947:AD3010" si="93">C2947-B2947</f>
        <v>2</v>
      </c>
    </row>
    <row r="2948" spans="1:30" x14ac:dyDescent="0.25">
      <c r="A2948" t="s">
        <v>2972</v>
      </c>
      <c r="B2948" s="2">
        <v>45388</v>
      </c>
      <c r="C2948" s="2">
        <v>45389</v>
      </c>
      <c r="D2948" t="s">
        <v>5375</v>
      </c>
      <c r="E2948" t="s">
        <v>5875</v>
      </c>
      <c r="F2948" t="s">
        <v>6027</v>
      </c>
      <c r="G2948" t="s">
        <v>6030</v>
      </c>
      <c r="H2948" t="s">
        <v>6033</v>
      </c>
      <c r="I2948" t="s">
        <v>6051</v>
      </c>
      <c r="J2948" t="s">
        <v>6055</v>
      </c>
      <c r="K2948" t="s">
        <v>6064</v>
      </c>
      <c r="L2948" t="s">
        <v>8571</v>
      </c>
      <c r="M2948">
        <v>1519.52</v>
      </c>
      <c r="N2948">
        <v>3</v>
      </c>
      <c r="O2948">
        <v>0.13</v>
      </c>
      <c r="P2948">
        <v>226.73</v>
      </c>
      <c r="Q2948" t="s">
        <v>9897</v>
      </c>
      <c r="R2948">
        <v>1</v>
      </c>
      <c r="S2948" s="5">
        <f t="shared" si="92"/>
        <v>0.14921159313467411</v>
      </c>
      <c r="T2948">
        <v>506.50666666666672</v>
      </c>
      <c r="U2948">
        <v>4</v>
      </c>
      <c r="V2948">
        <v>2024</v>
      </c>
      <c r="W2948">
        <v>2</v>
      </c>
      <c r="X2948" t="s">
        <v>9899</v>
      </c>
      <c r="Y2948" t="s">
        <v>9901</v>
      </c>
      <c r="Z2948" t="s">
        <v>9898</v>
      </c>
      <c r="AD2948">
        <f t="shared" si="93"/>
        <v>1</v>
      </c>
    </row>
    <row r="2949" spans="1:30" x14ac:dyDescent="0.25">
      <c r="A2949" t="s">
        <v>2973</v>
      </c>
      <c r="B2949" s="2">
        <v>45117</v>
      </c>
      <c r="C2949" s="2">
        <v>45122</v>
      </c>
      <c r="D2949" t="s">
        <v>5126</v>
      </c>
      <c r="E2949" t="s">
        <v>5626</v>
      </c>
      <c r="F2949" t="s">
        <v>6026</v>
      </c>
      <c r="G2949" t="s">
        <v>6030</v>
      </c>
      <c r="H2949" t="s">
        <v>6039</v>
      </c>
      <c r="I2949" t="s">
        <v>6051</v>
      </c>
      <c r="J2949" t="s">
        <v>6054</v>
      </c>
      <c r="K2949" t="s">
        <v>6062</v>
      </c>
      <c r="L2949" t="s">
        <v>8572</v>
      </c>
      <c r="M2949">
        <v>1336.49</v>
      </c>
      <c r="N2949">
        <v>1</v>
      </c>
      <c r="O2949">
        <v>0.2</v>
      </c>
      <c r="P2949">
        <v>59.35</v>
      </c>
      <c r="Q2949" t="s">
        <v>9897</v>
      </c>
      <c r="R2949">
        <v>5</v>
      </c>
      <c r="S2949" s="5">
        <f t="shared" si="92"/>
        <v>4.4407365562031891E-2</v>
      </c>
      <c r="T2949">
        <v>1336.49</v>
      </c>
      <c r="U2949">
        <v>7</v>
      </c>
      <c r="V2949">
        <v>2023</v>
      </c>
      <c r="W2949">
        <v>3</v>
      </c>
      <c r="X2949" t="s">
        <v>9899</v>
      </c>
      <c r="Y2949" t="s">
        <v>9900</v>
      </c>
      <c r="Z2949" t="s">
        <v>9898</v>
      </c>
      <c r="AD2949">
        <f t="shared" si="93"/>
        <v>5</v>
      </c>
    </row>
    <row r="2950" spans="1:30" x14ac:dyDescent="0.25">
      <c r="A2950" t="s">
        <v>2974</v>
      </c>
      <c r="B2950" s="2">
        <v>44895</v>
      </c>
      <c r="C2950" s="2">
        <v>44901</v>
      </c>
      <c r="D2950" t="s">
        <v>5463</v>
      </c>
      <c r="E2950" t="s">
        <v>5963</v>
      </c>
      <c r="F2950" t="s">
        <v>6027</v>
      </c>
      <c r="G2950" t="s">
        <v>6029</v>
      </c>
      <c r="H2950" t="s">
        <v>6032</v>
      </c>
      <c r="I2950" t="s">
        <v>6050</v>
      </c>
      <c r="J2950" t="s">
        <v>6055</v>
      </c>
      <c r="K2950" t="s">
        <v>6061</v>
      </c>
      <c r="L2950" t="s">
        <v>8573</v>
      </c>
      <c r="M2950">
        <v>821.23</v>
      </c>
      <c r="N2950">
        <v>2</v>
      </c>
      <c r="O2950">
        <v>0.25</v>
      </c>
      <c r="P2950">
        <v>29.99</v>
      </c>
      <c r="Q2950" t="s">
        <v>9897</v>
      </c>
      <c r="R2950">
        <v>6</v>
      </c>
      <c r="S2950" s="5">
        <f t="shared" si="92"/>
        <v>3.6518393141994322E-2</v>
      </c>
      <c r="T2950">
        <v>410.61500000000001</v>
      </c>
      <c r="U2950">
        <v>11</v>
      </c>
      <c r="V2950">
        <v>2022</v>
      </c>
      <c r="W2950">
        <v>4</v>
      </c>
      <c r="X2950" t="s">
        <v>9899</v>
      </c>
      <c r="Y2950" t="s">
        <v>9900</v>
      </c>
      <c r="Z2950" t="s">
        <v>9899</v>
      </c>
      <c r="AD2950">
        <f t="shared" si="93"/>
        <v>6</v>
      </c>
    </row>
    <row r="2951" spans="1:30" x14ac:dyDescent="0.25">
      <c r="A2951" t="s">
        <v>2975</v>
      </c>
      <c r="B2951" s="2">
        <v>45330</v>
      </c>
      <c r="C2951" s="2">
        <v>45337</v>
      </c>
      <c r="D2951" t="s">
        <v>5097</v>
      </c>
      <c r="E2951" t="s">
        <v>5597</v>
      </c>
      <c r="F2951" t="s">
        <v>6026</v>
      </c>
      <c r="G2951" t="s">
        <v>6030</v>
      </c>
      <c r="H2951" t="s">
        <v>6039</v>
      </c>
      <c r="I2951" t="s">
        <v>6051</v>
      </c>
      <c r="J2951" t="s">
        <v>6053</v>
      </c>
      <c r="K2951" t="s">
        <v>6056</v>
      </c>
      <c r="L2951" t="s">
        <v>6362</v>
      </c>
      <c r="M2951">
        <v>1843.33</v>
      </c>
      <c r="N2951">
        <v>6</v>
      </c>
      <c r="O2951">
        <v>0.09</v>
      </c>
      <c r="P2951">
        <v>197.68</v>
      </c>
      <c r="Q2951" t="s">
        <v>9896</v>
      </c>
      <c r="R2951">
        <v>7</v>
      </c>
      <c r="S2951" s="5">
        <f t="shared" si="92"/>
        <v>0.10724070025443085</v>
      </c>
      <c r="T2951">
        <v>307.22166666666658</v>
      </c>
      <c r="U2951">
        <v>2</v>
      </c>
      <c r="V2951">
        <v>2024</v>
      </c>
      <c r="W2951">
        <v>1</v>
      </c>
      <c r="X2951" t="s">
        <v>9899</v>
      </c>
      <c r="Y2951" t="s">
        <v>9901</v>
      </c>
      <c r="Z2951" t="s">
        <v>9898</v>
      </c>
      <c r="AD2951">
        <f t="shared" si="93"/>
        <v>7</v>
      </c>
    </row>
    <row r="2952" spans="1:30" x14ac:dyDescent="0.25">
      <c r="A2952" t="s">
        <v>2976</v>
      </c>
      <c r="B2952" s="2">
        <v>44715</v>
      </c>
      <c r="C2952" s="2">
        <v>44719</v>
      </c>
      <c r="D2952" t="s">
        <v>5275</v>
      </c>
      <c r="E2952" t="s">
        <v>5775</v>
      </c>
      <c r="F2952" t="s">
        <v>6027</v>
      </c>
      <c r="G2952" t="s">
        <v>6031</v>
      </c>
      <c r="H2952" t="s">
        <v>6037</v>
      </c>
      <c r="I2952" t="s">
        <v>6052</v>
      </c>
      <c r="J2952" t="s">
        <v>6055</v>
      </c>
      <c r="K2952" t="s">
        <v>6061</v>
      </c>
      <c r="L2952" t="s">
        <v>8574</v>
      </c>
      <c r="M2952">
        <v>1386.8</v>
      </c>
      <c r="N2952">
        <v>6</v>
      </c>
      <c r="O2952">
        <v>0.09</v>
      </c>
      <c r="P2952">
        <v>273.94</v>
      </c>
      <c r="Q2952" t="s">
        <v>9895</v>
      </c>
      <c r="R2952">
        <v>4</v>
      </c>
      <c r="S2952" s="5">
        <f t="shared" si="92"/>
        <v>0.19753389097202192</v>
      </c>
      <c r="T2952">
        <v>231.1333333333333</v>
      </c>
      <c r="U2952">
        <v>6</v>
      </c>
      <c r="V2952">
        <v>2022</v>
      </c>
      <c r="W2952">
        <v>2</v>
      </c>
      <c r="X2952" t="s">
        <v>9899</v>
      </c>
      <c r="Y2952" t="s">
        <v>9901</v>
      </c>
      <c r="Z2952" t="s">
        <v>9898</v>
      </c>
      <c r="AD2952">
        <f t="shared" si="93"/>
        <v>4</v>
      </c>
    </row>
    <row r="2953" spans="1:30" x14ac:dyDescent="0.25">
      <c r="A2953" t="s">
        <v>2977</v>
      </c>
      <c r="B2953" s="2">
        <v>45381</v>
      </c>
      <c r="C2953" s="2">
        <v>45382</v>
      </c>
      <c r="D2953" t="s">
        <v>5394</v>
      </c>
      <c r="E2953" t="s">
        <v>5894</v>
      </c>
      <c r="F2953" t="s">
        <v>6028</v>
      </c>
      <c r="G2953" t="s">
        <v>6030</v>
      </c>
      <c r="H2953" t="s">
        <v>6038</v>
      </c>
      <c r="I2953" t="s">
        <v>6047</v>
      </c>
      <c r="J2953" t="s">
        <v>6053</v>
      </c>
      <c r="K2953" t="s">
        <v>6056</v>
      </c>
      <c r="L2953" t="s">
        <v>8575</v>
      </c>
      <c r="M2953">
        <v>1721.07</v>
      </c>
      <c r="N2953">
        <v>1</v>
      </c>
      <c r="O2953">
        <v>0.23</v>
      </c>
      <c r="P2953">
        <v>-106.8</v>
      </c>
      <c r="Q2953" t="s">
        <v>9893</v>
      </c>
      <c r="R2953">
        <v>1</v>
      </c>
      <c r="S2953" s="5">
        <f t="shared" si="92"/>
        <v>-6.2054419634297267E-2</v>
      </c>
      <c r="T2953">
        <v>1721.07</v>
      </c>
      <c r="U2953">
        <v>3</v>
      </c>
      <c r="V2953">
        <v>2024</v>
      </c>
      <c r="W2953">
        <v>1</v>
      </c>
      <c r="X2953" t="s">
        <v>9898</v>
      </c>
      <c r="Y2953" t="s">
        <v>9900</v>
      </c>
      <c r="Z2953" t="s">
        <v>9898</v>
      </c>
      <c r="AD2953">
        <f t="shared" si="93"/>
        <v>1</v>
      </c>
    </row>
    <row r="2954" spans="1:30" x14ac:dyDescent="0.25">
      <c r="A2954" t="s">
        <v>2978</v>
      </c>
      <c r="B2954" s="2">
        <v>44886</v>
      </c>
      <c r="C2954" s="2">
        <v>44888</v>
      </c>
      <c r="D2954" t="s">
        <v>5375</v>
      </c>
      <c r="E2954" t="s">
        <v>5875</v>
      </c>
      <c r="F2954" t="s">
        <v>6026</v>
      </c>
      <c r="G2954" t="s">
        <v>6030</v>
      </c>
      <c r="H2954" t="s">
        <v>6035</v>
      </c>
      <c r="I2954" t="s">
        <v>6051</v>
      </c>
      <c r="J2954" t="s">
        <v>6054</v>
      </c>
      <c r="K2954" t="s">
        <v>6062</v>
      </c>
      <c r="L2954" t="s">
        <v>8576</v>
      </c>
      <c r="M2954">
        <v>742.02</v>
      </c>
      <c r="N2954">
        <v>3</v>
      </c>
      <c r="O2954">
        <v>0.14000000000000001</v>
      </c>
      <c r="P2954">
        <v>13.87</v>
      </c>
      <c r="Q2954" t="s">
        <v>9897</v>
      </c>
      <c r="R2954">
        <v>2</v>
      </c>
      <c r="S2954" s="5">
        <f t="shared" si="92"/>
        <v>1.8692218538583865E-2</v>
      </c>
      <c r="T2954">
        <v>247.34</v>
      </c>
      <c r="U2954">
        <v>11</v>
      </c>
      <c r="V2954">
        <v>2022</v>
      </c>
      <c r="W2954">
        <v>4</v>
      </c>
      <c r="X2954" t="s">
        <v>9899</v>
      </c>
      <c r="Y2954" t="s">
        <v>9901</v>
      </c>
      <c r="Z2954" t="s">
        <v>9899</v>
      </c>
      <c r="AD2954">
        <f t="shared" si="93"/>
        <v>2</v>
      </c>
    </row>
    <row r="2955" spans="1:30" x14ac:dyDescent="0.25">
      <c r="A2955" t="s">
        <v>2979</v>
      </c>
      <c r="B2955" s="2">
        <v>44895</v>
      </c>
      <c r="C2955" s="2">
        <v>44896</v>
      </c>
      <c r="D2955" t="s">
        <v>5258</v>
      </c>
      <c r="E2955" t="s">
        <v>5758</v>
      </c>
      <c r="F2955" t="s">
        <v>6027</v>
      </c>
      <c r="G2955" t="s">
        <v>6030</v>
      </c>
      <c r="H2955" t="s">
        <v>6033</v>
      </c>
      <c r="I2955" t="s">
        <v>6047</v>
      </c>
      <c r="J2955" t="s">
        <v>6054</v>
      </c>
      <c r="K2955" t="s">
        <v>6059</v>
      </c>
      <c r="L2955" t="s">
        <v>8577</v>
      </c>
      <c r="M2955">
        <v>664.78</v>
      </c>
      <c r="N2955">
        <v>4</v>
      </c>
      <c r="O2955">
        <v>0.13</v>
      </c>
      <c r="P2955">
        <v>19.760000000000002</v>
      </c>
      <c r="Q2955" t="s">
        <v>9893</v>
      </c>
      <c r="R2955">
        <v>1</v>
      </c>
      <c r="S2955" s="5">
        <f t="shared" si="92"/>
        <v>2.9724119257498724E-2</v>
      </c>
      <c r="T2955">
        <v>166.19499999999999</v>
      </c>
      <c r="U2955">
        <v>11</v>
      </c>
      <c r="V2955">
        <v>2022</v>
      </c>
      <c r="W2955">
        <v>4</v>
      </c>
      <c r="X2955" t="s">
        <v>9899</v>
      </c>
      <c r="Y2955" t="s">
        <v>9901</v>
      </c>
      <c r="Z2955" t="s">
        <v>9899</v>
      </c>
      <c r="AD2955">
        <f t="shared" si="93"/>
        <v>1</v>
      </c>
    </row>
    <row r="2956" spans="1:30" x14ac:dyDescent="0.25">
      <c r="A2956" t="s">
        <v>2980</v>
      </c>
      <c r="B2956" s="2">
        <v>44988</v>
      </c>
      <c r="C2956" s="2">
        <v>44992</v>
      </c>
      <c r="D2956" t="s">
        <v>5166</v>
      </c>
      <c r="E2956" t="s">
        <v>5666</v>
      </c>
      <c r="F2956" t="s">
        <v>6026</v>
      </c>
      <c r="G2956" t="s">
        <v>6030</v>
      </c>
      <c r="H2956" t="s">
        <v>6035</v>
      </c>
      <c r="I2956" t="s">
        <v>6051</v>
      </c>
      <c r="J2956" t="s">
        <v>6055</v>
      </c>
      <c r="K2956" t="s">
        <v>6061</v>
      </c>
      <c r="L2956" t="s">
        <v>8578</v>
      </c>
      <c r="M2956">
        <v>211.15</v>
      </c>
      <c r="N2956">
        <v>8</v>
      </c>
      <c r="O2956">
        <v>0.04</v>
      </c>
      <c r="P2956">
        <v>52.05</v>
      </c>
      <c r="Q2956" t="s">
        <v>9895</v>
      </c>
      <c r="R2956">
        <v>4</v>
      </c>
      <c r="S2956" s="5">
        <f t="shared" si="92"/>
        <v>0.24650722235377692</v>
      </c>
      <c r="T2956">
        <v>26.393750000000001</v>
      </c>
      <c r="U2956">
        <v>3</v>
      </c>
      <c r="V2956">
        <v>2023</v>
      </c>
      <c r="W2956">
        <v>1</v>
      </c>
      <c r="X2956" t="s">
        <v>9899</v>
      </c>
      <c r="Y2956" t="s">
        <v>9901</v>
      </c>
      <c r="Z2956" t="s">
        <v>9899</v>
      </c>
      <c r="AD2956">
        <f t="shared" si="93"/>
        <v>4</v>
      </c>
    </row>
    <row r="2957" spans="1:30" x14ac:dyDescent="0.25">
      <c r="A2957" t="s">
        <v>2981</v>
      </c>
      <c r="B2957" s="2">
        <v>44707</v>
      </c>
      <c r="C2957" s="2">
        <v>44708</v>
      </c>
      <c r="D2957" t="s">
        <v>5051</v>
      </c>
      <c r="E2957" t="s">
        <v>5551</v>
      </c>
      <c r="F2957" t="s">
        <v>6027</v>
      </c>
      <c r="G2957" t="s">
        <v>6031</v>
      </c>
      <c r="H2957" t="s">
        <v>6034</v>
      </c>
      <c r="I2957" t="s">
        <v>6048</v>
      </c>
      <c r="J2957" t="s">
        <v>6054</v>
      </c>
      <c r="K2957" t="s">
        <v>6060</v>
      </c>
      <c r="L2957" t="s">
        <v>8579</v>
      </c>
      <c r="M2957">
        <v>486.07</v>
      </c>
      <c r="N2957">
        <v>3</v>
      </c>
      <c r="O2957">
        <v>0.16</v>
      </c>
      <c r="P2957">
        <v>46.62</v>
      </c>
      <c r="Q2957" t="s">
        <v>9895</v>
      </c>
      <c r="R2957">
        <v>1</v>
      </c>
      <c r="S2957" s="5">
        <f t="shared" si="92"/>
        <v>9.5912111424280452E-2</v>
      </c>
      <c r="T2957">
        <v>162.02333333333331</v>
      </c>
      <c r="U2957">
        <v>5</v>
      </c>
      <c r="V2957">
        <v>2022</v>
      </c>
      <c r="W2957">
        <v>2</v>
      </c>
      <c r="X2957" t="s">
        <v>9899</v>
      </c>
      <c r="Y2957" t="s">
        <v>9900</v>
      </c>
      <c r="Z2957" t="s">
        <v>9899</v>
      </c>
      <c r="AD2957">
        <f t="shared" si="93"/>
        <v>1</v>
      </c>
    </row>
    <row r="2958" spans="1:30" x14ac:dyDescent="0.25">
      <c r="A2958" t="s">
        <v>2982</v>
      </c>
      <c r="B2958" s="2">
        <v>44617</v>
      </c>
      <c r="C2958" s="2">
        <v>44621</v>
      </c>
      <c r="D2958" t="s">
        <v>5475</v>
      </c>
      <c r="E2958" t="s">
        <v>5975</v>
      </c>
      <c r="F2958" t="s">
        <v>6028</v>
      </c>
      <c r="G2958" t="s">
        <v>6031</v>
      </c>
      <c r="H2958" t="s">
        <v>6037</v>
      </c>
      <c r="I2958" t="s">
        <v>6050</v>
      </c>
      <c r="J2958" t="s">
        <v>6054</v>
      </c>
      <c r="K2958" t="s">
        <v>6059</v>
      </c>
      <c r="L2958" t="s">
        <v>8580</v>
      </c>
      <c r="M2958">
        <v>496.56</v>
      </c>
      <c r="N2958">
        <v>1</v>
      </c>
      <c r="O2958">
        <v>0.16</v>
      </c>
      <c r="P2958">
        <v>-11.59</v>
      </c>
      <c r="Q2958" t="s">
        <v>9897</v>
      </c>
      <c r="R2958">
        <v>4</v>
      </c>
      <c r="S2958" s="5">
        <f t="shared" si="92"/>
        <v>-2.3340583212502014E-2</v>
      </c>
      <c r="T2958">
        <v>496.56</v>
      </c>
      <c r="U2958">
        <v>2</v>
      </c>
      <c r="V2958">
        <v>2022</v>
      </c>
      <c r="W2958">
        <v>1</v>
      </c>
      <c r="X2958" t="s">
        <v>9898</v>
      </c>
      <c r="Y2958" t="s">
        <v>9900</v>
      </c>
      <c r="Z2958" t="s">
        <v>9899</v>
      </c>
      <c r="AD2958">
        <f t="shared" si="93"/>
        <v>4</v>
      </c>
    </row>
    <row r="2959" spans="1:30" x14ac:dyDescent="0.25">
      <c r="A2959" t="s">
        <v>2983</v>
      </c>
      <c r="B2959" s="2">
        <v>44969</v>
      </c>
      <c r="C2959" s="2">
        <v>44975</v>
      </c>
      <c r="D2959" t="s">
        <v>5401</v>
      </c>
      <c r="E2959" t="s">
        <v>5901</v>
      </c>
      <c r="F2959" t="s">
        <v>6026</v>
      </c>
      <c r="G2959" t="s">
        <v>6030</v>
      </c>
      <c r="H2959" t="s">
        <v>6039</v>
      </c>
      <c r="I2959" t="s">
        <v>6051</v>
      </c>
      <c r="J2959" t="s">
        <v>6053</v>
      </c>
      <c r="K2959" t="s">
        <v>6056</v>
      </c>
      <c r="L2959" t="s">
        <v>6686</v>
      </c>
      <c r="M2959">
        <v>841.48</v>
      </c>
      <c r="N2959">
        <v>2</v>
      </c>
      <c r="O2959">
        <v>0.05</v>
      </c>
      <c r="P2959">
        <v>135.77000000000001</v>
      </c>
      <c r="Q2959" t="s">
        <v>9897</v>
      </c>
      <c r="R2959">
        <v>6</v>
      </c>
      <c r="S2959" s="5">
        <f t="shared" si="92"/>
        <v>0.16134667490611779</v>
      </c>
      <c r="T2959">
        <v>420.74</v>
      </c>
      <c r="U2959">
        <v>2</v>
      </c>
      <c r="V2959">
        <v>2023</v>
      </c>
      <c r="W2959">
        <v>1</v>
      </c>
      <c r="X2959" t="s">
        <v>9899</v>
      </c>
      <c r="Y2959" t="s">
        <v>9901</v>
      </c>
      <c r="Z2959" t="s">
        <v>9899</v>
      </c>
      <c r="AD2959">
        <f t="shared" si="93"/>
        <v>6</v>
      </c>
    </row>
    <row r="2960" spans="1:30" x14ac:dyDescent="0.25">
      <c r="A2960" t="s">
        <v>2984</v>
      </c>
      <c r="B2960" s="2">
        <v>45460</v>
      </c>
      <c r="C2960" s="2">
        <v>45463</v>
      </c>
      <c r="D2960" t="s">
        <v>5193</v>
      </c>
      <c r="E2960" t="s">
        <v>5693</v>
      </c>
      <c r="F2960" t="s">
        <v>6027</v>
      </c>
      <c r="G2960" t="s">
        <v>6029</v>
      </c>
      <c r="H2960" t="s">
        <v>6041</v>
      </c>
      <c r="I2960" t="s">
        <v>6050</v>
      </c>
      <c r="J2960" t="s">
        <v>6053</v>
      </c>
      <c r="K2960" t="s">
        <v>6057</v>
      </c>
      <c r="L2960" t="s">
        <v>8581</v>
      </c>
      <c r="M2960">
        <v>701.54</v>
      </c>
      <c r="N2960">
        <v>3</v>
      </c>
      <c r="O2960">
        <v>0.15</v>
      </c>
      <c r="P2960">
        <v>70.75</v>
      </c>
      <c r="Q2960" t="s">
        <v>9896</v>
      </c>
      <c r="R2960">
        <v>3</v>
      </c>
      <c r="S2960" s="5">
        <f t="shared" si="92"/>
        <v>0.10084955954043962</v>
      </c>
      <c r="T2960">
        <v>233.84666666666669</v>
      </c>
      <c r="U2960">
        <v>6</v>
      </c>
      <c r="V2960">
        <v>2024</v>
      </c>
      <c r="W2960">
        <v>2</v>
      </c>
      <c r="X2960" t="s">
        <v>9899</v>
      </c>
      <c r="Y2960" t="s">
        <v>9901</v>
      </c>
      <c r="Z2960" t="s">
        <v>9899</v>
      </c>
      <c r="AD2960">
        <f t="shared" si="93"/>
        <v>3</v>
      </c>
    </row>
    <row r="2961" spans="1:30" x14ac:dyDescent="0.25">
      <c r="A2961" t="s">
        <v>2985</v>
      </c>
      <c r="B2961" s="2">
        <v>44784</v>
      </c>
      <c r="C2961" s="2">
        <v>44788</v>
      </c>
      <c r="D2961" t="s">
        <v>5373</v>
      </c>
      <c r="E2961" t="s">
        <v>5873</v>
      </c>
      <c r="F2961" t="s">
        <v>6026</v>
      </c>
      <c r="G2961" t="s">
        <v>6029</v>
      </c>
      <c r="H2961" t="s">
        <v>6045</v>
      </c>
      <c r="I2961" t="s">
        <v>6046</v>
      </c>
      <c r="J2961" t="s">
        <v>6054</v>
      </c>
      <c r="K2961" t="s">
        <v>6062</v>
      </c>
      <c r="L2961" t="s">
        <v>8582</v>
      </c>
      <c r="M2961">
        <v>1514.57</v>
      </c>
      <c r="N2961">
        <v>8</v>
      </c>
      <c r="O2961">
        <v>0.28999999999999998</v>
      </c>
      <c r="P2961">
        <v>-39.299999999999997</v>
      </c>
      <c r="Q2961" t="s">
        <v>9897</v>
      </c>
      <c r="R2961">
        <v>4</v>
      </c>
      <c r="S2961" s="5">
        <f t="shared" si="92"/>
        <v>-2.5947958826597648E-2</v>
      </c>
      <c r="T2961">
        <v>189.32124999999999</v>
      </c>
      <c r="U2961">
        <v>8</v>
      </c>
      <c r="V2961">
        <v>2022</v>
      </c>
      <c r="W2961">
        <v>3</v>
      </c>
      <c r="X2961" t="s">
        <v>9898</v>
      </c>
      <c r="Y2961" t="s">
        <v>9900</v>
      </c>
      <c r="Z2961" t="s">
        <v>9898</v>
      </c>
      <c r="AD2961">
        <f t="shared" si="93"/>
        <v>4</v>
      </c>
    </row>
    <row r="2962" spans="1:30" x14ac:dyDescent="0.25">
      <c r="A2962" t="s">
        <v>2986</v>
      </c>
      <c r="B2962" s="2">
        <v>44805</v>
      </c>
      <c r="C2962" s="2">
        <v>44809</v>
      </c>
      <c r="D2962" t="s">
        <v>5260</v>
      </c>
      <c r="E2962" t="s">
        <v>5760</v>
      </c>
      <c r="F2962" t="s">
        <v>6026</v>
      </c>
      <c r="G2962" t="s">
        <v>6029</v>
      </c>
      <c r="H2962" t="s">
        <v>6036</v>
      </c>
      <c r="I2962" t="s">
        <v>6046</v>
      </c>
      <c r="J2962" t="s">
        <v>6054</v>
      </c>
      <c r="K2962" t="s">
        <v>6059</v>
      </c>
      <c r="L2962" t="s">
        <v>6145</v>
      </c>
      <c r="M2962">
        <v>1980.3</v>
      </c>
      <c r="N2962">
        <v>5</v>
      </c>
      <c r="O2962">
        <v>0.28000000000000003</v>
      </c>
      <c r="P2962">
        <v>-233.23</v>
      </c>
      <c r="Q2962" t="s">
        <v>9894</v>
      </c>
      <c r="R2962">
        <v>4</v>
      </c>
      <c r="S2962" s="5">
        <f t="shared" si="92"/>
        <v>-0.11777508458314397</v>
      </c>
      <c r="T2962">
        <v>396.06</v>
      </c>
      <c r="U2962">
        <v>9</v>
      </c>
      <c r="V2962">
        <v>2022</v>
      </c>
      <c r="W2962">
        <v>3</v>
      </c>
      <c r="X2962" t="s">
        <v>9898</v>
      </c>
      <c r="Y2962" t="s">
        <v>9900</v>
      </c>
      <c r="Z2962" t="s">
        <v>9898</v>
      </c>
      <c r="AD2962">
        <f t="shared" si="93"/>
        <v>4</v>
      </c>
    </row>
    <row r="2963" spans="1:30" x14ac:dyDescent="0.25">
      <c r="A2963" t="s">
        <v>2987</v>
      </c>
      <c r="B2963" s="2">
        <v>45030</v>
      </c>
      <c r="C2963" s="2">
        <v>45037</v>
      </c>
      <c r="D2963" t="s">
        <v>5342</v>
      </c>
      <c r="E2963" t="s">
        <v>5842</v>
      </c>
      <c r="F2963" t="s">
        <v>6026</v>
      </c>
      <c r="G2963" t="s">
        <v>6030</v>
      </c>
      <c r="H2963" t="s">
        <v>6035</v>
      </c>
      <c r="I2963" t="s">
        <v>6051</v>
      </c>
      <c r="J2963" t="s">
        <v>6055</v>
      </c>
      <c r="K2963" t="s">
        <v>6064</v>
      </c>
      <c r="L2963" t="s">
        <v>8583</v>
      </c>
      <c r="M2963">
        <v>1968.83</v>
      </c>
      <c r="N2963">
        <v>3</v>
      </c>
      <c r="O2963">
        <v>0.01</v>
      </c>
      <c r="P2963">
        <v>331.83</v>
      </c>
      <c r="Q2963" t="s">
        <v>9893</v>
      </c>
      <c r="R2963">
        <v>7</v>
      </c>
      <c r="S2963" s="5">
        <f t="shared" si="92"/>
        <v>0.16854172274904386</v>
      </c>
      <c r="T2963">
        <v>656.27666666666664</v>
      </c>
      <c r="U2963">
        <v>4</v>
      </c>
      <c r="V2963">
        <v>2023</v>
      </c>
      <c r="W2963">
        <v>2</v>
      </c>
      <c r="X2963" t="s">
        <v>9899</v>
      </c>
      <c r="Y2963" t="s">
        <v>9901</v>
      </c>
      <c r="Z2963" t="s">
        <v>9898</v>
      </c>
      <c r="AD2963">
        <f t="shared" si="93"/>
        <v>7</v>
      </c>
    </row>
    <row r="2964" spans="1:30" x14ac:dyDescent="0.25">
      <c r="A2964" t="s">
        <v>2988</v>
      </c>
      <c r="B2964" s="2">
        <v>44723</v>
      </c>
      <c r="C2964" s="2">
        <v>44727</v>
      </c>
      <c r="D2964" t="s">
        <v>5187</v>
      </c>
      <c r="E2964" t="s">
        <v>5687</v>
      </c>
      <c r="F2964" t="s">
        <v>6028</v>
      </c>
      <c r="G2964" t="s">
        <v>6029</v>
      </c>
      <c r="H2964" t="s">
        <v>6041</v>
      </c>
      <c r="I2964" t="s">
        <v>6046</v>
      </c>
      <c r="J2964" t="s">
        <v>6055</v>
      </c>
      <c r="K2964" t="s">
        <v>6063</v>
      </c>
      <c r="L2964" t="s">
        <v>8584</v>
      </c>
      <c r="M2964">
        <v>1987.14</v>
      </c>
      <c r="N2964">
        <v>7</v>
      </c>
      <c r="O2964">
        <v>0.1</v>
      </c>
      <c r="P2964">
        <v>200.15</v>
      </c>
      <c r="Q2964" t="s">
        <v>9897</v>
      </c>
      <c r="R2964">
        <v>4</v>
      </c>
      <c r="S2964" s="5">
        <f t="shared" si="92"/>
        <v>0.10072264661775214</v>
      </c>
      <c r="T2964">
        <v>283.87714285714293</v>
      </c>
      <c r="U2964">
        <v>6</v>
      </c>
      <c r="V2964">
        <v>2022</v>
      </c>
      <c r="W2964">
        <v>2</v>
      </c>
      <c r="X2964" t="s">
        <v>9899</v>
      </c>
      <c r="Y2964" t="s">
        <v>9901</v>
      </c>
      <c r="Z2964" t="s">
        <v>9898</v>
      </c>
      <c r="AD2964">
        <f t="shared" si="93"/>
        <v>4</v>
      </c>
    </row>
    <row r="2965" spans="1:30" x14ac:dyDescent="0.25">
      <c r="A2965" t="s">
        <v>2989</v>
      </c>
      <c r="B2965" s="2">
        <v>44833</v>
      </c>
      <c r="C2965" s="2">
        <v>44836</v>
      </c>
      <c r="D2965" t="s">
        <v>5346</v>
      </c>
      <c r="E2965" t="s">
        <v>5846</v>
      </c>
      <c r="F2965" t="s">
        <v>6027</v>
      </c>
      <c r="G2965" t="s">
        <v>6031</v>
      </c>
      <c r="H2965" t="s">
        <v>6042</v>
      </c>
      <c r="I2965" t="s">
        <v>6048</v>
      </c>
      <c r="J2965" t="s">
        <v>6053</v>
      </c>
      <c r="K2965" t="s">
        <v>6058</v>
      </c>
      <c r="L2965" t="s">
        <v>8585</v>
      </c>
      <c r="M2965">
        <v>1788.19</v>
      </c>
      <c r="N2965">
        <v>3</v>
      </c>
      <c r="O2965">
        <v>0.31</v>
      </c>
      <c r="P2965">
        <v>-102.94</v>
      </c>
      <c r="Q2965" t="s">
        <v>9897</v>
      </c>
      <c r="R2965">
        <v>3</v>
      </c>
      <c r="S2965" s="5">
        <f t="shared" si="92"/>
        <v>-5.7566589680067552E-2</v>
      </c>
      <c r="T2965">
        <v>596.06333333333339</v>
      </c>
      <c r="U2965">
        <v>9</v>
      </c>
      <c r="V2965">
        <v>2022</v>
      </c>
      <c r="W2965">
        <v>3</v>
      </c>
      <c r="X2965" t="s">
        <v>9898</v>
      </c>
      <c r="Y2965" t="s">
        <v>9902</v>
      </c>
      <c r="Z2965" t="s">
        <v>9898</v>
      </c>
      <c r="AD2965">
        <f t="shared" si="93"/>
        <v>3</v>
      </c>
    </row>
    <row r="2966" spans="1:30" x14ac:dyDescent="0.25">
      <c r="A2966" t="s">
        <v>2990</v>
      </c>
      <c r="B2966" s="2">
        <v>45324</v>
      </c>
      <c r="C2966" s="2">
        <v>45329</v>
      </c>
      <c r="D2966" t="s">
        <v>5393</v>
      </c>
      <c r="E2966" t="s">
        <v>5893</v>
      </c>
      <c r="F2966" t="s">
        <v>6027</v>
      </c>
      <c r="G2966" t="s">
        <v>6031</v>
      </c>
      <c r="H2966" t="s">
        <v>6034</v>
      </c>
      <c r="I2966" t="s">
        <v>6052</v>
      </c>
      <c r="J2966" t="s">
        <v>6055</v>
      </c>
      <c r="K2966" t="s">
        <v>6063</v>
      </c>
      <c r="L2966" t="s">
        <v>8586</v>
      </c>
      <c r="M2966">
        <v>882.08</v>
      </c>
      <c r="N2966">
        <v>2</v>
      </c>
      <c r="O2966">
        <v>0.08</v>
      </c>
      <c r="P2966">
        <v>21.79</v>
      </c>
      <c r="Q2966" t="s">
        <v>9897</v>
      </c>
      <c r="R2966">
        <v>5</v>
      </c>
      <c r="S2966" s="5">
        <f t="shared" si="92"/>
        <v>2.4702974786867404E-2</v>
      </c>
      <c r="T2966">
        <v>441.04</v>
      </c>
      <c r="U2966">
        <v>2</v>
      </c>
      <c r="V2966">
        <v>2024</v>
      </c>
      <c r="W2966">
        <v>1</v>
      </c>
      <c r="X2966" t="s">
        <v>9899</v>
      </c>
      <c r="Y2966" t="s">
        <v>9901</v>
      </c>
      <c r="Z2966" t="s">
        <v>9899</v>
      </c>
      <c r="AD2966">
        <f t="shared" si="93"/>
        <v>5</v>
      </c>
    </row>
    <row r="2967" spans="1:30" x14ac:dyDescent="0.25">
      <c r="A2967" t="s">
        <v>2991</v>
      </c>
      <c r="B2967" s="2">
        <v>45182</v>
      </c>
      <c r="C2967" s="2">
        <v>45187</v>
      </c>
      <c r="D2967" t="s">
        <v>5279</v>
      </c>
      <c r="E2967" t="s">
        <v>5779</v>
      </c>
      <c r="F2967" t="s">
        <v>6028</v>
      </c>
      <c r="G2967" t="s">
        <v>6029</v>
      </c>
      <c r="H2967" t="s">
        <v>6036</v>
      </c>
      <c r="I2967" t="s">
        <v>6046</v>
      </c>
      <c r="J2967" t="s">
        <v>6055</v>
      </c>
      <c r="K2967" t="s">
        <v>6064</v>
      </c>
      <c r="L2967" t="s">
        <v>8587</v>
      </c>
      <c r="M2967">
        <v>1668.79</v>
      </c>
      <c r="N2967">
        <v>8</v>
      </c>
      <c r="O2967">
        <v>0.31</v>
      </c>
      <c r="P2967">
        <v>-209.69</v>
      </c>
      <c r="Q2967" t="s">
        <v>9895</v>
      </c>
      <c r="R2967">
        <v>5</v>
      </c>
      <c r="S2967" s="5">
        <f t="shared" si="92"/>
        <v>-0.12565391690985683</v>
      </c>
      <c r="T2967">
        <v>208.59875</v>
      </c>
      <c r="U2967">
        <v>9</v>
      </c>
      <c r="V2967">
        <v>2023</v>
      </c>
      <c r="W2967">
        <v>3</v>
      </c>
      <c r="X2967" t="s">
        <v>9898</v>
      </c>
      <c r="Y2967" t="s">
        <v>9902</v>
      </c>
      <c r="Z2967" t="s">
        <v>9898</v>
      </c>
      <c r="AD2967">
        <f t="shared" si="93"/>
        <v>5</v>
      </c>
    </row>
    <row r="2968" spans="1:30" x14ac:dyDescent="0.25">
      <c r="A2968" t="s">
        <v>2992</v>
      </c>
      <c r="B2968" s="2">
        <v>44984</v>
      </c>
      <c r="C2968" s="2">
        <v>44986</v>
      </c>
      <c r="D2968" t="s">
        <v>5455</v>
      </c>
      <c r="E2968" t="s">
        <v>5955</v>
      </c>
      <c r="F2968" t="s">
        <v>6027</v>
      </c>
      <c r="G2968" t="s">
        <v>6031</v>
      </c>
      <c r="H2968" t="s">
        <v>6037</v>
      </c>
      <c r="I2968" t="s">
        <v>6052</v>
      </c>
      <c r="J2968" t="s">
        <v>6053</v>
      </c>
      <c r="K2968" t="s">
        <v>6056</v>
      </c>
      <c r="L2968" t="s">
        <v>6722</v>
      </c>
      <c r="M2968">
        <v>1378.71</v>
      </c>
      <c r="N2968">
        <v>1</v>
      </c>
      <c r="O2968">
        <v>0.04</v>
      </c>
      <c r="P2968">
        <v>133.69999999999999</v>
      </c>
      <c r="Q2968" t="s">
        <v>9893</v>
      </c>
      <c r="R2968">
        <v>2</v>
      </c>
      <c r="S2968" s="5">
        <f t="shared" si="92"/>
        <v>9.6974708241762214E-2</v>
      </c>
      <c r="T2968">
        <v>1378.71</v>
      </c>
      <c r="U2968">
        <v>2</v>
      </c>
      <c r="V2968">
        <v>2023</v>
      </c>
      <c r="W2968">
        <v>1</v>
      </c>
      <c r="X2968" t="s">
        <v>9899</v>
      </c>
      <c r="Y2968" t="s">
        <v>9901</v>
      </c>
      <c r="Z2968" t="s">
        <v>9898</v>
      </c>
      <c r="AD2968">
        <f t="shared" si="93"/>
        <v>2</v>
      </c>
    </row>
    <row r="2969" spans="1:30" x14ac:dyDescent="0.25">
      <c r="A2969" t="s">
        <v>2993</v>
      </c>
      <c r="B2969" s="2">
        <v>45157</v>
      </c>
      <c r="C2969" s="2">
        <v>45162</v>
      </c>
      <c r="D2969" t="s">
        <v>5422</v>
      </c>
      <c r="E2969" t="s">
        <v>5922</v>
      </c>
      <c r="F2969" t="s">
        <v>6026</v>
      </c>
      <c r="G2969" t="s">
        <v>6030</v>
      </c>
      <c r="H2969" t="s">
        <v>6039</v>
      </c>
      <c r="I2969" t="s">
        <v>6047</v>
      </c>
      <c r="J2969" t="s">
        <v>6055</v>
      </c>
      <c r="K2969" t="s">
        <v>6064</v>
      </c>
      <c r="L2969" t="s">
        <v>8588</v>
      </c>
      <c r="M2969">
        <v>1411.55</v>
      </c>
      <c r="N2969">
        <v>1</v>
      </c>
      <c r="O2969">
        <v>0.19</v>
      </c>
      <c r="P2969">
        <v>-109.67</v>
      </c>
      <c r="Q2969" t="s">
        <v>9897</v>
      </c>
      <c r="R2969">
        <v>5</v>
      </c>
      <c r="S2969" s="5">
        <f t="shared" si="92"/>
        <v>-7.7694732740604303E-2</v>
      </c>
      <c r="T2969">
        <v>1411.55</v>
      </c>
      <c r="U2969">
        <v>8</v>
      </c>
      <c r="V2969">
        <v>2023</v>
      </c>
      <c r="W2969">
        <v>3</v>
      </c>
      <c r="X2969" t="s">
        <v>9898</v>
      </c>
      <c r="Y2969" t="s">
        <v>9900</v>
      </c>
      <c r="Z2969" t="s">
        <v>9898</v>
      </c>
      <c r="AD2969">
        <f t="shared" si="93"/>
        <v>5</v>
      </c>
    </row>
    <row r="2970" spans="1:30" x14ac:dyDescent="0.25">
      <c r="A2970" t="s">
        <v>2994</v>
      </c>
      <c r="B2970" s="2">
        <v>45369</v>
      </c>
      <c r="C2970" s="2">
        <v>45375</v>
      </c>
      <c r="D2970" t="s">
        <v>5517</v>
      </c>
      <c r="E2970" t="s">
        <v>6017</v>
      </c>
      <c r="F2970" t="s">
        <v>6028</v>
      </c>
      <c r="G2970" t="s">
        <v>6031</v>
      </c>
      <c r="H2970" t="s">
        <v>6042</v>
      </c>
      <c r="I2970" t="s">
        <v>6048</v>
      </c>
      <c r="J2970" t="s">
        <v>6053</v>
      </c>
      <c r="K2970" t="s">
        <v>6057</v>
      </c>
      <c r="L2970" t="s">
        <v>8340</v>
      </c>
      <c r="M2970">
        <v>1929.91</v>
      </c>
      <c r="N2970">
        <v>1</v>
      </c>
      <c r="O2970">
        <v>0.11</v>
      </c>
      <c r="P2970">
        <v>233.61</v>
      </c>
      <c r="Q2970" t="s">
        <v>9895</v>
      </c>
      <c r="R2970">
        <v>6</v>
      </c>
      <c r="S2970" s="5">
        <f t="shared" si="92"/>
        <v>0.12104709546041008</v>
      </c>
      <c r="T2970">
        <v>1929.91</v>
      </c>
      <c r="U2970">
        <v>3</v>
      </c>
      <c r="V2970">
        <v>2024</v>
      </c>
      <c r="W2970">
        <v>1</v>
      </c>
      <c r="X2970" t="s">
        <v>9899</v>
      </c>
      <c r="Y2970" t="s">
        <v>9901</v>
      </c>
      <c r="Z2970" t="s">
        <v>9898</v>
      </c>
      <c r="AD2970">
        <f t="shared" si="93"/>
        <v>6</v>
      </c>
    </row>
    <row r="2971" spans="1:30" x14ac:dyDescent="0.25">
      <c r="A2971" t="s">
        <v>2995</v>
      </c>
      <c r="B2971" s="2">
        <v>44698</v>
      </c>
      <c r="C2971" s="2">
        <v>44702</v>
      </c>
      <c r="D2971" t="s">
        <v>5355</v>
      </c>
      <c r="E2971" t="s">
        <v>5855</v>
      </c>
      <c r="F2971" t="s">
        <v>6028</v>
      </c>
      <c r="G2971" t="s">
        <v>6029</v>
      </c>
      <c r="H2971" t="s">
        <v>6044</v>
      </c>
      <c r="I2971" t="s">
        <v>6050</v>
      </c>
      <c r="J2971" t="s">
        <v>6054</v>
      </c>
      <c r="K2971" t="s">
        <v>6060</v>
      </c>
      <c r="L2971" t="s">
        <v>6702</v>
      </c>
      <c r="M2971">
        <v>1652.27</v>
      </c>
      <c r="N2971">
        <v>5</v>
      </c>
      <c r="O2971">
        <v>0.27</v>
      </c>
      <c r="P2971">
        <v>2.4900000000000002</v>
      </c>
      <c r="Q2971" t="s">
        <v>9895</v>
      </c>
      <c r="R2971">
        <v>4</v>
      </c>
      <c r="S2971" s="5">
        <f t="shared" si="92"/>
        <v>1.5070176181858899E-3</v>
      </c>
      <c r="T2971">
        <v>330.45400000000001</v>
      </c>
      <c r="U2971">
        <v>5</v>
      </c>
      <c r="V2971">
        <v>2022</v>
      </c>
      <c r="W2971">
        <v>2</v>
      </c>
      <c r="X2971" t="s">
        <v>9899</v>
      </c>
      <c r="Y2971" t="s">
        <v>9900</v>
      </c>
      <c r="Z2971" t="s">
        <v>9898</v>
      </c>
      <c r="AD2971">
        <f t="shared" si="93"/>
        <v>4</v>
      </c>
    </row>
    <row r="2972" spans="1:30" x14ac:dyDescent="0.25">
      <c r="A2972" t="s">
        <v>2996</v>
      </c>
      <c r="B2972" s="2">
        <v>45166</v>
      </c>
      <c r="C2972" s="2">
        <v>45167</v>
      </c>
      <c r="D2972" t="s">
        <v>5393</v>
      </c>
      <c r="E2972" t="s">
        <v>5893</v>
      </c>
      <c r="F2972" t="s">
        <v>6028</v>
      </c>
      <c r="G2972" t="s">
        <v>6029</v>
      </c>
      <c r="H2972" t="s">
        <v>6044</v>
      </c>
      <c r="I2972" t="s">
        <v>6049</v>
      </c>
      <c r="J2972" t="s">
        <v>6054</v>
      </c>
      <c r="K2972" t="s">
        <v>6059</v>
      </c>
      <c r="L2972" t="s">
        <v>8589</v>
      </c>
      <c r="M2972">
        <v>1129.05</v>
      </c>
      <c r="N2972">
        <v>8</v>
      </c>
      <c r="O2972">
        <v>0.15</v>
      </c>
      <c r="P2972">
        <v>71.790000000000006</v>
      </c>
      <c r="Q2972" t="s">
        <v>9895</v>
      </c>
      <c r="R2972">
        <v>1</v>
      </c>
      <c r="S2972" s="5">
        <f t="shared" si="92"/>
        <v>6.3584429387538208E-2</v>
      </c>
      <c r="T2972">
        <v>141.13124999999999</v>
      </c>
      <c r="U2972">
        <v>8</v>
      </c>
      <c r="V2972">
        <v>2023</v>
      </c>
      <c r="W2972">
        <v>3</v>
      </c>
      <c r="X2972" t="s">
        <v>9899</v>
      </c>
      <c r="Y2972" t="s">
        <v>9901</v>
      </c>
      <c r="Z2972" t="s">
        <v>9898</v>
      </c>
      <c r="AD2972">
        <f t="shared" si="93"/>
        <v>1</v>
      </c>
    </row>
    <row r="2973" spans="1:30" x14ac:dyDescent="0.25">
      <c r="A2973" t="s">
        <v>2997</v>
      </c>
      <c r="B2973" s="2">
        <v>44655</v>
      </c>
      <c r="C2973" s="2">
        <v>44658</v>
      </c>
      <c r="D2973" t="s">
        <v>5193</v>
      </c>
      <c r="E2973" t="s">
        <v>5693</v>
      </c>
      <c r="F2973" t="s">
        <v>6028</v>
      </c>
      <c r="G2973" t="s">
        <v>6031</v>
      </c>
      <c r="H2973" t="s">
        <v>6043</v>
      </c>
      <c r="I2973" t="s">
        <v>6048</v>
      </c>
      <c r="J2973" t="s">
        <v>6055</v>
      </c>
      <c r="K2973" t="s">
        <v>6064</v>
      </c>
      <c r="L2973" t="s">
        <v>8590</v>
      </c>
      <c r="M2973">
        <v>785.75</v>
      </c>
      <c r="N2973">
        <v>3</v>
      </c>
      <c r="O2973">
        <v>0.09</v>
      </c>
      <c r="P2973">
        <v>80.7</v>
      </c>
      <c r="Q2973" t="s">
        <v>9895</v>
      </c>
      <c r="R2973">
        <v>3</v>
      </c>
      <c r="S2973" s="5">
        <f t="shared" si="92"/>
        <v>0.10270442252624881</v>
      </c>
      <c r="T2973">
        <v>261.91666666666669</v>
      </c>
      <c r="U2973">
        <v>4</v>
      </c>
      <c r="V2973">
        <v>2022</v>
      </c>
      <c r="W2973">
        <v>2</v>
      </c>
      <c r="X2973" t="s">
        <v>9899</v>
      </c>
      <c r="Y2973" t="s">
        <v>9901</v>
      </c>
      <c r="Z2973" t="s">
        <v>9899</v>
      </c>
      <c r="AD2973">
        <f t="shared" si="93"/>
        <v>3</v>
      </c>
    </row>
    <row r="2974" spans="1:30" x14ac:dyDescent="0.25">
      <c r="A2974" t="s">
        <v>2998</v>
      </c>
      <c r="B2974" s="2">
        <v>44964</v>
      </c>
      <c r="C2974" s="2">
        <v>44966</v>
      </c>
      <c r="D2974" t="s">
        <v>5159</v>
      </c>
      <c r="E2974" t="s">
        <v>5659</v>
      </c>
      <c r="F2974" t="s">
        <v>6027</v>
      </c>
      <c r="G2974" t="s">
        <v>6029</v>
      </c>
      <c r="H2974" t="s">
        <v>6041</v>
      </c>
      <c r="I2974" t="s">
        <v>6046</v>
      </c>
      <c r="J2974" t="s">
        <v>6053</v>
      </c>
      <c r="K2974" t="s">
        <v>6057</v>
      </c>
      <c r="L2974" t="s">
        <v>8591</v>
      </c>
      <c r="M2974">
        <v>950.41</v>
      </c>
      <c r="N2974">
        <v>7</v>
      </c>
      <c r="O2974">
        <v>0.12</v>
      </c>
      <c r="P2974">
        <v>142.53</v>
      </c>
      <c r="Q2974" t="s">
        <v>9896</v>
      </c>
      <c r="R2974">
        <v>2</v>
      </c>
      <c r="S2974" s="5">
        <f t="shared" si="92"/>
        <v>0.14996685640933913</v>
      </c>
      <c r="T2974">
        <v>135.77285714285711</v>
      </c>
      <c r="U2974">
        <v>2</v>
      </c>
      <c r="V2974">
        <v>2023</v>
      </c>
      <c r="W2974">
        <v>1</v>
      </c>
      <c r="X2974" t="s">
        <v>9899</v>
      </c>
      <c r="Y2974" t="s">
        <v>9901</v>
      </c>
      <c r="Z2974" t="s">
        <v>9899</v>
      </c>
      <c r="AD2974">
        <f t="shared" si="93"/>
        <v>2</v>
      </c>
    </row>
    <row r="2975" spans="1:30" x14ac:dyDescent="0.25">
      <c r="A2975" t="s">
        <v>2999</v>
      </c>
      <c r="B2975" s="2">
        <v>45440</v>
      </c>
      <c r="C2975" s="2">
        <v>45444</v>
      </c>
      <c r="D2975" t="s">
        <v>5118</v>
      </c>
      <c r="E2975" t="s">
        <v>5618</v>
      </c>
      <c r="F2975" t="s">
        <v>6027</v>
      </c>
      <c r="G2975" t="s">
        <v>6029</v>
      </c>
      <c r="H2975" t="s">
        <v>6041</v>
      </c>
      <c r="I2975" t="s">
        <v>6050</v>
      </c>
      <c r="J2975" t="s">
        <v>6055</v>
      </c>
      <c r="K2975" t="s">
        <v>6064</v>
      </c>
      <c r="L2975" t="s">
        <v>8592</v>
      </c>
      <c r="M2975">
        <v>606.02</v>
      </c>
      <c r="N2975">
        <v>5</v>
      </c>
      <c r="O2975">
        <v>0.25</v>
      </c>
      <c r="P2975">
        <v>-68.55</v>
      </c>
      <c r="Q2975" t="s">
        <v>9894</v>
      </c>
      <c r="R2975">
        <v>4</v>
      </c>
      <c r="S2975" s="5">
        <f t="shared" si="92"/>
        <v>-0.11311507871027358</v>
      </c>
      <c r="T2975">
        <v>121.20399999999999</v>
      </c>
      <c r="U2975">
        <v>5</v>
      </c>
      <c r="V2975">
        <v>2024</v>
      </c>
      <c r="W2975">
        <v>2</v>
      </c>
      <c r="X2975" t="s">
        <v>9898</v>
      </c>
      <c r="Y2975" t="s">
        <v>9900</v>
      </c>
      <c r="Z2975" t="s">
        <v>9899</v>
      </c>
      <c r="AD2975">
        <f t="shared" si="93"/>
        <v>4</v>
      </c>
    </row>
    <row r="2976" spans="1:30" x14ac:dyDescent="0.25">
      <c r="A2976" t="s">
        <v>3000</v>
      </c>
      <c r="B2976" s="2">
        <v>45272</v>
      </c>
      <c r="C2976" s="2">
        <v>45278</v>
      </c>
      <c r="D2976" t="s">
        <v>5175</v>
      </c>
      <c r="E2976" t="s">
        <v>5675</v>
      </c>
      <c r="F2976" t="s">
        <v>6028</v>
      </c>
      <c r="G2976" t="s">
        <v>6030</v>
      </c>
      <c r="H2976" t="s">
        <v>6039</v>
      </c>
      <c r="I2976" t="s">
        <v>6047</v>
      </c>
      <c r="J2976" t="s">
        <v>6054</v>
      </c>
      <c r="K2976" t="s">
        <v>6059</v>
      </c>
      <c r="L2976" t="s">
        <v>8593</v>
      </c>
      <c r="M2976">
        <v>1632.56</v>
      </c>
      <c r="N2976">
        <v>7</v>
      </c>
      <c r="O2976">
        <v>0.23</v>
      </c>
      <c r="P2976">
        <v>-130.94</v>
      </c>
      <c r="Q2976" t="s">
        <v>9895</v>
      </c>
      <c r="R2976">
        <v>6</v>
      </c>
      <c r="S2976" s="5">
        <f t="shared" si="92"/>
        <v>-8.0205321703337093E-2</v>
      </c>
      <c r="T2976">
        <v>233.22285714285709</v>
      </c>
      <c r="U2976">
        <v>12</v>
      </c>
      <c r="V2976">
        <v>2023</v>
      </c>
      <c r="W2976">
        <v>4</v>
      </c>
      <c r="X2976" t="s">
        <v>9898</v>
      </c>
      <c r="Y2976" t="s">
        <v>9900</v>
      </c>
      <c r="Z2976" t="s">
        <v>9898</v>
      </c>
      <c r="AD2976">
        <f t="shared" si="93"/>
        <v>6</v>
      </c>
    </row>
    <row r="2977" spans="1:30" x14ac:dyDescent="0.25">
      <c r="A2977" t="s">
        <v>3001</v>
      </c>
      <c r="B2977" s="2">
        <v>44918</v>
      </c>
      <c r="C2977" s="2">
        <v>44921</v>
      </c>
      <c r="D2977" t="s">
        <v>5480</v>
      </c>
      <c r="E2977" t="s">
        <v>5980</v>
      </c>
      <c r="F2977" t="s">
        <v>6027</v>
      </c>
      <c r="G2977" t="s">
        <v>6030</v>
      </c>
      <c r="H2977" t="s">
        <v>6039</v>
      </c>
      <c r="I2977" t="s">
        <v>6047</v>
      </c>
      <c r="J2977" t="s">
        <v>6054</v>
      </c>
      <c r="K2977" t="s">
        <v>6060</v>
      </c>
      <c r="L2977" t="s">
        <v>8594</v>
      </c>
      <c r="M2977">
        <v>1847.82</v>
      </c>
      <c r="N2977">
        <v>2</v>
      </c>
      <c r="O2977">
        <v>0.28999999999999998</v>
      </c>
      <c r="P2977">
        <v>-232.99</v>
      </c>
      <c r="Q2977" t="s">
        <v>9895</v>
      </c>
      <c r="R2977">
        <v>3</v>
      </c>
      <c r="S2977" s="5">
        <f t="shared" si="92"/>
        <v>-0.1260891212347523</v>
      </c>
      <c r="T2977">
        <v>923.91</v>
      </c>
      <c r="U2977">
        <v>12</v>
      </c>
      <c r="V2977">
        <v>2022</v>
      </c>
      <c r="W2977">
        <v>4</v>
      </c>
      <c r="X2977" t="s">
        <v>9898</v>
      </c>
      <c r="Y2977" t="s">
        <v>9900</v>
      </c>
      <c r="Z2977" t="s">
        <v>9898</v>
      </c>
      <c r="AD2977">
        <f t="shared" si="93"/>
        <v>3</v>
      </c>
    </row>
    <row r="2978" spans="1:30" x14ac:dyDescent="0.25">
      <c r="A2978" t="s">
        <v>3002</v>
      </c>
      <c r="B2978" s="2">
        <v>44794</v>
      </c>
      <c r="C2978" s="2">
        <v>44798</v>
      </c>
      <c r="D2978" t="s">
        <v>5457</v>
      </c>
      <c r="E2978" t="s">
        <v>5957</v>
      </c>
      <c r="F2978" t="s">
        <v>6026</v>
      </c>
      <c r="G2978" t="s">
        <v>6030</v>
      </c>
      <c r="H2978" t="s">
        <v>6035</v>
      </c>
      <c r="I2978" t="s">
        <v>6051</v>
      </c>
      <c r="J2978" t="s">
        <v>6055</v>
      </c>
      <c r="K2978" t="s">
        <v>6063</v>
      </c>
      <c r="L2978" t="s">
        <v>8595</v>
      </c>
      <c r="M2978">
        <v>373.6</v>
      </c>
      <c r="N2978">
        <v>3</v>
      </c>
      <c r="O2978">
        <v>0.22</v>
      </c>
      <c r="P2978">
        <v>-1.54</v>
      </c>
      <c r="Q2978" t="s">
        <v>9897</v>
      </c>
      <c r="R2978">
        <v>4</v>
      </c>
      <c r="S2978" s="5">
        <f t="shared" si="92"/>
        <v>-4.1220556745182012E-3</v>
      </c>
      <c r="T2978">
        <v>124.5333333333333</v>
      </c>
      <c r="U2978">
        <v>8</v>
      </c>
      <c r="V2978">
        <v>2022</v>
      </c>
      <c r="W2978">
        <v>3</v>
      </c>
      <c r="X2978" t="s">
        <v>9898</v>
      </c>
      <c r="Y2978" t="s">
        <v>9900</v>
      </c>
      <c r="Z2978" t="s">
        <v>9899</v>
      </c>
      <c r="AD2978">
        <f t="shared" si="93"/>
        <v>4</v>
      </c>
    </row>
    <row r="2979" spans="1:30" x14ac:dyDescent="0.25">
      <c r="A2979" t="s">
        <v>3003</v>
      </c>
      <c r="B2979" s="2">
        <v>44582</v>
      </c>
      <c r="C2979" s="2">
        <v>44584</v>
      </c>
      <c r="D2979" t="s">
        <v>5316</v>
      </c>
      <c r="E2979" t="s">
        <v>5816</v>
      </c>
      <c r="F2979" t="s">
        <v>6026</v>
      </c>
      <c r="G2979" t="s">
        <v>6030</v>
      </c>
      <c r="H2979" t="s">
        <v>6038</v>
      </c>
      <c r="I2979" t="s">
        <v>6051</v>
      </c>
      <c r="J2979" t="s">
        <v>6054</v>
      </c>
      <c r="K2979" t="s">
        <v>6062</v>
      </c>
      <c r="L2979" t="s">
        <v>8596</v>
      </c>
      <c r="M2979">
        <v>1330.7</v>
      </c>
      <c r="N2979">
        <v>6</v>
      </c>
      <c r="O2979">
        <v>7.0000000000000007E-2</v>
      </c>
      <c r="P2979">
        <v>43.01</v>
      </c>
      <c r="Q2979" t="s">
        <v>9895</v>
      </c>
      <c r="R2979">
        <v>2</v>
      </c>
      <c r="S2979" s="5">
        <f t="shared" si="92"/>
        <v>3.2321334635905911E-2</v>
      </c>
      <c r="T2979">
        <v>221.7833333333333</v>
      </c>
      <c r="U2979">
        <v>1</v>
      </c>
      <c r="V2979">
        <v>2022</v>
      </c>
      <c r="W2979">
        <v>1</v>
      </c>
      <c r="X2979" t="s">
        <v>9899</v>
      </c>
      <c r="Y2979" t="s">
        <v>9901</v>
      </c>
      <c r="Z2979" t="s">
        <v>9898</v>
      </c>
      <c r="AD2979">
        <f t="shared" si="93"/>
        <v>2</v>
      </c>
    </row>
    <row r="2980" spans="1:30" x14ac:dyDescent="0.25">
      <c r="A2980" t="s">
        <v>3004</v>
      </c>
      <c r="B2980" s="2">
        <v>44868</v>
      </c>
      <c r="C2980" s="2">
        <v>44872</v>
      </c>
      <c r="D2980" t="s">
        <v>5293</v>
      </c>
      <c r="E2980" t="s">
        <v>5793</v>
      </c>
      <c r="F2980" t="s">
        <v>6026</v>
      </c>
      <c r="G2980" t="s">
        <v>6029</v>
      </c>
      <c r="H2980" t="s">
        <v>6032</v>
      </c>
      <c r="I2980" t="s">
        <v>6046</v>
      </c>
      <c r="J2980" t="s">
        <v>6055</v>
      </c>
      <c r="K2980" t="s">
        <v>6061</v>
      </c>
      <c r="L2980" t="s">
        <v>8597</v>
      </c>
      <c r="M2980">
        <v>1342.79</v>
      </c>
      <c r="N2980">
        <v>7</v>
      </c>
      <c r="O2980">
        <v>0.22</v>
      </c>
      <c r="P2980">
        <v>8.23</v>
      </c>
      <c r="Q2980" t="s">
        <v>9893</v>
      </c>
      <c r="R2980">
        <v>4</v>
      </c>
      <c r="S2980" s="5">
        <f t="shared" si="92"/>
        <v>6.1290298557481072E-3</v>
      </c>
      <c r="T2980">
        <v>191.82714285714289</v>
      </c>
      <c r="U2980">
        <v>11</v>
      </c>
      <c r="V2980">
        <v>2022</v>
      </c>
      <c r="W2980">
        <v>4</v>
      </c>
      <c r="X2980" t="s">
        <v>9899</v>
      </c>
      <c r="Y2980" t="s">
        <v>9900</v>
      </c>
      <c r="Z2980" t="s">
        <v>9898</v>
      </c>
      <c r="AD2980">
        <f t="shared" si="93"/>
        <v>4</v>
      </c>
    </row>
    <row r="2981" spans="1:30" x14ac:dyDescent="0.25">
      <c r="A2981" t="s">
        <v>3005</v>
      </c>
      <c r="B2981" s="2">
        <v>44710</v>
      </c>
      <c r="C2981" s="2">
        <v>44716</v>
      </c>
      <c r="D2981" t="s">
        <v>5328</v>
      </c>
      <c r="E2981" t="s">
        <v>5828</v>
      </c>
      <c r="F2981" t="s">
        <v>6027</v>
      </c>
      <c r="G2981" t="s">
        <v>6029</v>
      </c>
      <c r="H2981" t="s">
        <v>6041</v>
      </c>
      <c r="I2981" t="s">
        <v>6050</v>
      </c>
      <c r="J2981" t="s">
        <v>6054</v>
      </c>
      <c r="K2981" t="s">
        <v>6060</v>
      </c>
      <c r="L2981" t="s">
        <v>8598</v>
      </c>
      <c r="M2981">
        <v>1067.47</v>
      </c>
      <c r="N2981">
        <v>8</v>
      </c>
      <c r="O2981">
        <v>0.22</v>
      </c>
      <c r="P2981">
        <v>-72.34</v>
      </c>
      <c r="Q2981" t="s">
        <v>9896</v>
      </c>
      <c r="R2981">
        <v>6</v>
      </c>
      <c r="S2981" s="5">
        <f t="shared" si="92"/>
        <v>-6.7767712441567443E-2</v>
      </c>
      <c r="T2981">
        <v>133.43375</v>
      </c>
      <c r="U2981">
        <v>5</v>
      </c>
      <c r="V2981">
        <v>2022</v>
      </c>
      <c r="W2981">
        <v>2</v>
      </c>
      <c r="X2981" t="s">
        <v>9898</v>
      </c>
      <c r="Y2981" t="s">
        <v>9900</v>
      </c>
      <c r="Z2981" t="s">
        <v>9898</v>
      </c>
      <c r="AD2981">
        <f t="shared" si="93"/>
        <v>6</v>
      </c>
    </row>
    <row r="2982" spans="1:30" x14ac:dyDescent="0.25">
      <c r="A2982" t="s">
        <v>3006</v>
      </c>
      <c r="B2982" s="2">
        <v>45149</v>
      </c>
      <c r="C2982" s="2">
        <v>45155</v>
      </c>
      <c r="D2982" t="s">
        <v>5219</v>
      </c>
      <c r="E2982" t="s">
        <v>5719</v>
      </c>
      <c r="F2982" t="s">
        <v>6026</v>
      </c>
      <c r="G2982" t="s">
        <v>6029</v>
      </c>
      <c r="H2982" t="s">
        <v>6032</v>
      </c>
      <c r="I2982" t="s">
        <v>6046</v>
      </c>
      <c r="J2982" t="s">
        <v>6053</v>
      </c>
      <c r="K2982" t="s">
        <v>6058</v>
      </c>
      <c r="L2982" t="s">
        <v>8599</v>
      </c>
      <c r="M2982">
        <v>1571.03</v>
      </c>
      <c r="N2982">
        <v>7</v>
      </c>
      <c r="O2982">
        <v>0.24</v>
      </c>
      <c r="P2982">
        <v>-86.85</v>
      </c>
      <c r="Q2982" t="s">
        <v>9893</v>
      </c>
      <c r="R2982">
        <v>6</v>
      </c>
      <c r="S2982" s="5">
        <f t="shared" si="92"/>
        <v>-5.5282203395224785E-2</v>
      </c>
      <c r="T2982">
        <v>224.4328571428571</v>
      </c>
      <c r="U2982">
        <v>8</v>
      </c>
      <c r="V2982">
        <v>2023</v>
      </c>
      <c r="W2982">
        <v>3</v>
      </c>
      <c r="X2982" t="s">
        <v>9898</v>
      </c>
      <c r="Y2982" t="s">
        <v>9900</v>
      </c>
      <c r="Z2982" t="s">
        <v>9898</v>
      </c>
      <c r="AD2982">
        <f t="shared" si="93"/>
        <v>6</v>
      </c>
    </row>
    <row r="2983" spans="1:30" x14ac:dyDescent="0.25">
      <c r="A2983" t="s">
        <v>3007</v>
      </c>
      <c r="B2983" s="2">
        <v>45242</v>
      </c>
      <c r="C2983" s="2">
        <v>45245</v>
      </c>
      <c r="D2983" t="s">
        <v>5040</v>
      </c>
      <c r="E2983" t="s">
        <v>5540</v>
      </c>
      <c r="F2983" t="s">
        <v>6026</v>
      </c>
      <c r="G2983" t="s">
        <v>6031</v>
      </c>
      <c r="H2983" t="s">
        <v>6043</v>
      </c>
      <c r="I2983" t="s">
        <v>6052</v>
      </c>
      <c r="J2983" t="s">
        <v>6054</v>
      </c>
      <c r="K2983" t="s">
        <v>6060</v>
      </c>
      <c r="L2983" t="s">
        <v>8600</v>
      </c>
      <c r="M2983">
        <v>1816.86</v>
      </c>
      <c r="N2983">
        <v>6</v>
      </c>
      <c r="O2983">
        <v>0.21</v>
      </c>
      <c r="P2983">
        <v>60.47</v>
      </c>
      <c r="Q2983" t="s">
        <v>9897</v>
      </c>
      <c r="R2983">
        <v>3</v>
      </c>
      <c r="S2983" s="5">
        <f t="shared" si="92"/>
        <v>3.328269652037031E-2</v>
      </c>
      <c r="T2983">
        <v>302.81</v>
      </c>
      <c r="U2983">
        <v>11</v>
      </c>
      <c r="V2983">
        <v>2023</v>
      </c>
      <c r="W2983">
        <v>4</v>
      </c>
      <c r="X2983" t="s">
        <v>9899</v>
      </c>
      <c r="Y2983" t="s">
        <v>9900</v>
      </c>
      <c r="Z2983" t="s">
        <v>9898</v>
      </c>
      <c r="AD2983">
        <f t="shared" si="93"/>
        <v>3</v>
      </c>
    </row>
    <row r="2984" spans="1:30" x14ac:dyDescent="0.25">
      <c r="A2984" t="s">
        <v>3008</v>
      </c>
      <c r="B2984" s="2">
        <v>45319</v>
      </c>
      <c r="C2984" s="2">
        <v>45325</v>
      </c>
      <c r="D2984" t="s">
        <v>5146</v>
      </c>
      <c r="E2984" t="s">
        <v>5646</v>
      </c>
      <c r="F2984" t="s">
        <v>6026</v>
      </c>
      <c r="G2984" t="s">
        <v>6029</v>
      </c>
      <c r="H2984" t="s">
        <v>6036</v>
      </c>
      <c r="I2984" t="s">
        <v>6046</v>
      </c>
      <c r="J2984" t="s">
        <v>6053</v>
      </c>
      <c r="K2984" t="s">
        <v>6057</v>
      </c>
      <c r="L2984" t="s">
        <v>6558</v>
      </c>
      <c r="M2984">
        <v>377.24</v>
      </c>
      <c r="N2984">
        <v>2</v>
      </c>
      <c r="O2984">
        <v>0.01</v>
      </c>
      <c r="P2984">
        <v>79.239999999999995</v>
      </c>
      <c r="Q2984" t="s">
        <v>9893</v>
      </c>
      <c r="R2984">
        <v>6</v>
      </c>
      <c r="S2984" s="5">
        <f t="shared" si="92"/>
        <v>0.21005195631428267</v>
      </c>
      <c r="T2984">
        <v>188.62</v>
      </c>
      <c r="U2984">
        <v>1</v>
      </c>
      <c r="V2984">
        <v>2024</v>
      </c>
      <c r="W2984">
        <v>1</v>
      </c>
      <c r="X2984" t="s">
        <v>9899</v>
      </c>
      <c r="Y2984" t="s">
        <v>9901</v>
      </c>
      <c r="Z2984" t="s">
        <v>9899</v>
      </c>
      <c r="AD2984">
        <f t="shared" si="93"/>
        <v>6</v>
      </c>
    </row>
    <row r="2985" spans="1:30" x14ac:dyDescent="0.25">
      <c r="A2985" t="s">
        <v>3009</v>
      </c>
      <c r="B2985" s="2">
        <v>45230</v>
      </c>
      <c r="C2985" s="2">
        <v>45235</v>
      </c>
      <c r="D2985" t="s">
        <v>5379</v>
      </c>
      <c r="E2985" t="s">
        <v>5879</v>
      </c>
      <c r="F2985" t="s">
        <v>6027</v>
      </c>
      <c r="G2985" t="s">
        <v>6031</v>
      </c>
      <c r="H2985" t="s">
        <v>6034</v>
      </c>
      <c r="I2985" t="s">
        <v>6052</v>
      </c>
      <c r="J2985" t="s">
        <v>6054</v>
      </c>
      <c r="K2985" t="s">
        <v>6059</v>
      </c>
      <c r="L2985" t="s">
        <v>8102</v>
      </c>
      <c r="M2985">
        <v>1086.32</v>
      </c>
      <c r="N2985">
        <v>1</v>
      </c>
      <c r="O2985">
        <v>0.28000000000000003</v>
      </c>
      <c r="P2985">
        <v>-130.91999999999999</v>
      </c>
      <c r="Q2985" t="s">
        <v>9896</v>
      </c>
      <c r="R2985">
        <v>5</v>
      </c>
      <c r="S2985" s="5">
        <f t="shared" si="92"/>
        <v>-0.12051697474040798</v>
      </c>
      <c r="T2985">
        <v>1086.32</v>
      </c>
      <c r="U2985">
        <v>10</v>
      </c>
      <c r="V2985">
        <v>2023</v>
      </c>
      <c r="W2985">
        <v>4</v>
      </c>
      <c r="X2985" t="s">
        <v>9898</v>
      </c>
      <c r="Y2985" t="s">
        <v>9900</v>
      </c>
      <c r="Z2985" t="s">
        <v>9898</v>
      </c>
      <c r="AD2985">
        <f t="shared" si="93"/>
        <v>5</v>
      </c>
    </row>
    <row r="2986" spans="1:30" x14ac:dyDescent="0.25">
      <c r="A2986" t="s">
        <v>3010</v>
      </c>
      <c r="B2986" s="2">
        <v>44963</v>
      </c>
      <c r="C2986" s="2">
        <v>44969</v>
      </c>
      <c r="D2986" t="s">
        <v>5271</v>
      </c>
      <c r="E2986" t="s">
        <v>5771</v>
      </c>
      <c r="F2986" t="s">
        <v>6027</v>
      </c>
      <c r="G2986" t="s">
        <v>6031</v>
      </c>
      <c r="H2986" t="s">
        <v>6034</v>
      </c>
      <c r="I2986" t="s">
        <v>6052</v>
      </c>
      <c r="J2986" t="s">
        <v>6054</v>
      </c>
      <c r="K2986" t="s">
        <v>6060</v>
      </c>
      <c r="L2986" t="s">
        <v>7228</v>
      </c>
      <c r="M2986">
        <v>1558.68</v>
      </c>
      <c r="N2986">
        <v>4</v>
      </c>
      <c r="O2986">
        <v>0.08</v>
      </c>
      <c r="P2986">
        <v>86.26</v>
      </c>
      <c r="Q2986" t="s">
        <v>9893</v>
      </c>
      <c r="R2986">
        <v>6</v>
      </c>
      <c r="S2986" s="5">
        <f t="shared" si="92"/>
        <v>5.534169938666051E-2</v>
      </c>
      <c r="T2986">
        <v>389.67</v>
      </c>
      <c r="U2986">
        <v>2</v>
      </c>
      <c r="V2986">
        <v>2023</v>
      </c>
      <c r="W2986">
        <v>1</v>
      </c>
      <c r="X2986" t="s">
        <v>9899</v>
      </c>
      <c r="Y2986" t="s">
        <v>9901</v>
      </c>
      <c r="Z2986" t="s">
        <v>9898</v>
      </c>
      <c r="AD2986">
        <f t="shared" si="93"/>
        <v>6</v>
      </c>
    </row>
    <row r="2987" spans="1:30" x14ac:dyDescent="0.25">
      <c r="A2987" t="s">
        <v>3011</v>
      </c>
      <c r="B2987" s="2">
        <v>45314</v>
      </c>
      <c r="C2987" s="2">
        <v>45315</v>
      </c>
      <c r="D2987" t="s">
        <v>5434</v>
      </c>
      <c r="E2987" t="s">
        <v>5934</v>
      </c>
      <c r="F2987" t="s">
        <v>6028</v>
      </c>
      <c r="G2987" t="s">
        <v>6031</v>
      </c>
      <c r="H2987" t="s">
        <v>6037</v>
      </c>
      <c r="I2987" t="s">
        <v>6048</v>
      </c>
      <c r="J2987" t="s">
        <v>6053</v>
      </c>
      <c r="K2987" t="s">
        <v>6058</v>
      </c>
      <c r="L2987" t="s">
        <v>8601</v>
      </c>
      <c r="M2987">
        <v>598.45000000000005</v>
      </c>
      <c r="N2987">
        <v>5</v>
      </c>
      <c r="O2987">
        <v>0.25</v>
      </c>
      <c r="P2987">
        <v>-10.17</v>
      </c>
      <c r="Q2987" t="s">
        <v>9894</v>
      </c>
      <c r="R2987">
        <v>1</v>
      </c>
      <c r="S2987" s="5">
        <f t="shared" si="92"/>
        <v>-1.6993900910685936E-2</v>
      </c>
      <c r="T2987">
        <v>119.69</v>
      </c>
      <c r="U2987">
        <v>1</v>
      </c>
      <c r="V2987">
        <v>2024</v>
      </c>
      <c r="W2987">
        <v>1</v>
      </c>
      <c r="X2987" t="s">
        <v>9898</v>
      </c>
      <c r="Y2987" t="s">
        <v>9900</v>
      </c>
      <c r="Z2987" t="s">
        <v>9899</v>
      </c>
      <c r="AD2987">
        <f t="shared" si="93"/>
        <v>1</v>
      </c>
    </row>
    <row r="2988" spans="1:30" x14ac:dyDescent="0.25">
      <c r="A2988" t="s">
        <v>3012</v>
      </c>
      <c r="B2988" s="2">
        <v>45361</v>
      </c>
      <c r="C2988" s="2">
        <v>45368</v>
      </c>
      <c r="D2988" t="s">
        <v>5047</v>
      </c>
      <c r="E2988" t="s">
        <v>5547</v>
      </c>
      <c r="F2988" t="s">
        <v>6028</v>
      </c>
      <c r="G2988" t="s">
        <v>6031</v>
      </c>
      <c r="H2988" t="s">
        <v>6037</v>
      </c>
      <c r="I2988" t="s">
        <v>6052</v>
      </c>
      <c r="J2988" t="s">
        <v>6053</v>
      </c>
      <c r="K2988" t="s">
        <v>6056</v>
      </c>
      <c r="L2988" t="s">
        <v>8602</v>
      </c>
      <c r="M2988">
        <v>1678.29</v>
      </c>
      <c r="N2988">
        <v>5</v>
      </c>
      <c r="O2988">
        <v>0.31</v>
      </c>
      <c r="P2988">
        <v>-117.37</v>
      </c>
      <c r="Q2988" t="s">
        <v>9894</v>
      </c>
      <c r="R2988">
        <v>7</v>
      </c>
      <c r="S2988" s="5">
        <f t="shared" si="92"/>
        <v>-6.9934278342837053E-2</v>
      </c>
      <c r="T2988">
        <v>335.65800000000002</v>
      </c>
      <c r="U2988">
        <v>3</v>
      </c>
      <c r="V2988">
        <v>2024</v>
      </c>
      <c r="W2988">
        <v>1</v>
      </c>
      <c r="X2988" t="s">
        <v>9898</v>
      </c>
      <c r="Y2988" t="s">
        <v>9902</v>
      </c>
      <c r="Z2988" t="s">
        <v>9898</v>
      </c>
      <c r="AD2988">
        <f t="shared" si="93"/>
        <v>7</v>
      </c>
    </row>
    <row r="2989" spans="1:30" x14ac:dyDescent="0.25">
      <c r="A2989" t="s">
        <v>3013</v>
      </c>
      <c r="B2989" s="2">
        <v>45206</v>
      </c>
      <c r="C2989" s="2">
        <v>45207</v>
      </c>
      <c r="D2989" t="s">
        <v>5402</v>
      </c>
      <c r="E2989" t="s">
        <v>5902</v>
      </c>
      <c r="F2989" t="s">
        <v>6026</v>
      </c>
      <c r="G2989" t="s">
        <v>6030</v>
      </c>
      <c r="H2989" t="s">
        <v>6033</v>
      </c>
      <c r="I2989" t="s">
        <v>6047</v>
      </c>
      <c r="J2989" t="s">
        <v>6053</v>
      </c>
      <c r="K2989" t="s">
        <v>6058</v>
      </c>
      <c r="L2989" t="s">
        <v>7734</v>
      </c>
      <c r="M2989">
        <v>1989.53</v>
      </c>
      <c r="N2989">
        <v>3</v>
      </c>
      <c r="O2989">
        <v>0.12</v>
      </c>
      <c r="P2989">
        <v>149</v>
      </c>
      <c r="Q2989" t="s">
        <v>9893</v>
      </c>
      <c r="R2989">
        <v>1</v>
      </c>
      <c r="S2989" s="5">
        <f t="shared" si="92"/>
        <v>7.4892059933753197E-2</v>
      </c>
      <c r="T2989">
        <v>663.17666666666662</v>
      </c>
      <c r="U2989">
        <v>10</v>
      </c>
      <c r="V2989">
        <v>2023</v>
      </c>
      <c r="W2989">
        <v>4</v>
      </c>
      <c r="X2989" t="s">
        <v>9899</v>
      </c>
      <c r="Y2989" t="s">
        <v>9901</v>
      </c>
      <c r="Z2989" t="s">
        <v>9898</v>
      </c>
      <c r="AD2989">
        <f t="shared" si="93"/>
        <v>1</v>
      </c>
    </row>
    <row r="2990" spans="1:30" x14ac:dyDescent="0.25">
      <c r="A2990" t="s">
        <v>3014</v>
      </c>
      <c r="B2990" s="2">
        <v>45274</v>
      </c>
      <c r="C2990" s="2">
        <v>45276</v>
      </c>
      <c r="D2990" t="s">
        <v>5385</v>
      </c>
      <c r="E2990" t="s">
        <v>5885</v>
      </c>
      <c r="F2990" t="s">
        <v>6027</v>
      </c>
      <c r="G2990" t="s">
        <v>6031</v>
      </c>
      <c r="H2990" t="s">
        <v>6043</v>
      </c>
      <c r="I2990" t="s">
        <v>6050</v>
      </c>
      <c r="J2990" t="s">
        <v>6054</v>
      </c>
      <c r="K2990" t="s">
        <v>6060</v>
      </c>
      <c r="L2990" t="s">
        <v>6426</v>
      </c>
      <c r="M2990">
        <v>1754.43</v>
      </c>
      <c r="N2990">
        <v>5</v>
      </c>
      <c r="O2990">
        <v>0</v>
      </c>
      <c r="P2990">
        <v>197.11</v>
      </c>
      <c r="Q2990" t="s">
        <v>9896</v>
      </c>
      <c r="R2990">
        <v>2</v>
      </c>
      <c r="S2990" s="5">
        <f t="shared" si="92"/>
        <v>0.11234988001801155</v>
      </c>
      <c r="T2990">
        <v>350.88600000000002</v>
      </c>
      <c r="U2990">
        <v>12</v>
      </c>
      <c r="V2990">
        <v>2023</v>
      </c>
      <c r="W2990">
        <v>4</v>
      </c>
      <c r="X2990" t="s">
        <v>9899</v>
      </c>
      <c r="Y2990" t="s">
        <v>9901</v>
      </c>
      <c r="Z2990" t="s">
        <v>9898</v>
      </c>
      <c r="AD2990">
        <f t="shared" si="93"/>
        <v>2</v>
      </c>
    </row>
    <row r="2991" spans="1:30" x14ac:dyDescent="0.25">
      <c r="A2991" t="s">
        <v>3015</v>
      </c>
      <c r="B2991" s="2">
        <v>45063</v>
      </c>
      <c r="C2991" s="2">
        <v>45064</v>
      </c>
      <c r="D2991" t="s">
        <v>5418</v>
      </c>
      <c r="E2991" t="s">
        <v>5918</v>
      </c>
      <c r="F2991" t="s">
        <v>6028</v>
      </c>
      <c r="G2991" t="s">
        <v>6031</v>
      </c>
      <c r="H2991" t="s">
        <v>6042</v>
      </c>
      <c r="I2991" t="s">
        <v>6052</v>
      </c>
      <c r="J2991" t="s">
        <v>6054</v>
      </c>
      <c r="K2991" t="s">
        <v>6062</v>
      </c>
      <c r="L2991" t="s">
        <v>8603</v>
      </c>
      <c r="M2991">
        <v>977.18</v>
      </c>
      <c r="N2991">
        <v>4</v>
      </c>
      <c r="O2991">
        <v>0.34</v>
      </c>
      <c r="P2991">
        <v>-136.1</v>
      </c>
      <c r="Q2991" t="s">
        <v>9897</v>
      </c>
      <c r="R2991">
        <v>1</v>
      </c>
      <c r="S2991" s="5">
        <f t="shared" si="92"/>
        <v>-0.13927833152540986</v>
      </c>
      <c r="T2991">
        <v>244.29499999999999</v>
      </c>
      <c r="U2991">
        <v>5</v>
      </c>
      <c r="V2991">
        <v>2023</v>
      </c>
      <c r="W2991">
        <v>2</v>
      </c>
      <c r="X2991" t="s">
        <v>9898</v>
      </c>
      <c r="Y2991" t="s">
        <v>9902</v>
      </c>
      <c r="Z2991" t="s">
        <v>9899</v>
      </c>
      <c r="AD2991">
        <f t="shared" si="93"/>
        <v>1</v>
      </c>
    </row>
    <row r="2992" spans="1:30" x14ac:dyDescent="0.25">
      <c r="A2992" t="s">
        <v>3016</v>
      </c>
      <c r="B2992" s="2">
        <v>45097</v>
      </c>
      <c r="C2992" s="2">
        <v>45098</v>
      </c>
      <c r="D2992" t="s">
        <v>5209</v>
      </c>
      <c r="E2992" t="s">
        <v>5709</v>
      </c>
      <c r="F2992" t="s">
        <v>6026</v>
      </c>
      <c r="G2992" t="s">
        <v>6030</v>
      </c>
      <c r="H2992" t="s">
        <v>6038</v>
      </c>
      <c r="I2992" t="s">
        <v>6047</v>
      </c>
      <c r="J2992" t="s">
        <v>6053</v>
      </c>
      <c r="K2992" t="s">
        <v>6057</v>
      </c>
      <c r="L2992" t="s">
        <v>8604</v>
      </c>
      <c r="M2992">
        <v>1514.65</v>
      </c>
      <c r="N2992">
        <v>8</v>
      </c>
      <c r="O2992">
        <v>0.18</v>
      </c>
      <c r="P2992">
        <v>92.96</v>
      </c>
      <c r="Q2992" t="s">
        <v>9896</v>
      </c>
      <c r="R2992">
        <v>1</v>
      </c>
      <c r="S2992" s="5">
        <f t="shared" si="92"/>
        <v>6.137391476578747E-2</v>
      </c>
      <c r="T2992">
        <v>189.33125000000001</v>
      </c>
      <c r="U2992">
        <v>6</v>
      </c>
      <c r="V2992">
        <v>2023</v>
      </c>
      <c r="W2992">
        <v>2</v>
      </c>
      <c r="X2992" t="s">
        <v>9899</v>
      </c>
      <c r="Y2992" t="s">
        <v>9900</v>
      </c>
      <c r="Z2992" t="s">
        <v>9898</v>
      </c>
      <c r="AD2992">
        <f t="shared" si="93"/>
        <v>1</v>
      </c>
    </row>
    <row r="2993" spans="1:30" x14ac:dyDescent="0.25">
      <c r="A2993" t="s">
        <v>3017</v>
      </c>
      <c r="B2993" s="2">
        <v>44884</v>
      </c>
      <c r="C2993" s="2">
        <v>44891</v>
      </c>
      <c r="D2993" t="s">
        <v>5248</v>
      </c>
      <c r="E2993" t="s">
        <v>5748</v>
      </c>
      <c r="F2993" t="s">
        <v>6026</v>
      </c>
      <c r="G2993" t="s">
        <v>6031</v>
      </c>
      <c r="H2993" t="s">
        <v>6034</v>
      </c>
      <c r="I2993" t="s">
        <v>6050</v>
      </c>
      <c r="J2993" t="s">
        <v>6053</v>
      </c>
      <c r="K2993" t="s">
        <v>6058</v>
      </c>
      <c r="L2993" t="s">
        <v>8605</v>
      </c>
      <c r="M2993">
        <v>1050.0999999999999</v>
      </c>
      <c r="N2993">
        <v>5</v>
      </c>
      <c r="O2993">
        <v>0.35</v>
      </c>
      <c r="P2993">
        <v>-84.43</v>
      </c>
      <c r="Q2993" t="s">
        <v>9895</v>
      </c>
      <c r="R2993">
        <v>7</v>
      </c>
      <c r="S2993" s="5">
        <f t="shared" si="92"/>
        <v>-8.0401866488905835E-2</v>
      </c>
      <c r="T2993">
        <v>210.02</v>
      </c>
      <c r="U2993">
        <v>11</v>
      </c>
      <c r="V2993">
        <v>2022</v>
      </c>
      <c r="W2993">
        <v>4</v>
      </c>
      <c r="X2993" t="s">
        <v>9898</v>
      </c>
      <c r="Y2993" t="s">
        <v>9902</v>
      </c>
      <c r="Z2993" t="s">
        <v>9898</v>
      </c>
      <c r="AD2993">
        <f t="shared" si="93"/>
        <v>7</v>
      </c>
    </row>
    <row r="2994" spans="1:30" x14ac:dyDescent="0.25">
      <c r="A2994" t="s">
        <v>3018</v>
      </c>
      <c r="B2994" s="2">
        <v>45271</v>
      </c>
      <c r="C2994" s="2">
        <v>45275</v>
      </c>
      <c r="D2994" t="s">
        <v>5429</v>
      </c>
      <c r="E2994" t="s">
        <v>5929</v>
      </c>
      <c r="F2994" t="s">
        <v>6027</v>
      </c>
      <c r="G2994" t="s">
        <v>6031</v>
      </c>
      <c r="H2994" t="s">
        <v>6034</v>
      </c>
      <c r="I2994" t="s">
        <v>6050</v>
      </c>
      <c r="J2994" t="s">
        <v>6055</v>
      </c>
      <c r="K2994" t="s">
        <v>6061</v>
      </c>
      <c r="L2994" t="s">
        <v>7519</v>
      </c>
      <c r="M2994">
        <v>1430.42</v>
      </c>
      <c r="N2994">
        <v>7</v>
      </c>
      <c r="O2994">
        <v>0.26</v>
      </c>
      <c r="P2994">
        <v>16.18</v>
      </c>
      <c r="Q2994" t="s">
        <v>9894</v>
      </c>
      <c r="R2994">
        <v>4</v>
      </c>
      <c r="S2994" s="5">
        <f t="shared" si="92"/>
        <v>1.1311363096153576E-2</v>
      </c>
      <c r="T2994">
        <v>204.34571428571431</v>
      </c>
      <c r="U2994">
        <v>12</v>
      </c>
      <c r="V2994">
        <v>2023</v>
      </c>
      <c r="W2994">
        <v>4</v>
      </c>
      <c r="X2994" t="s">
        <v>9899</v>
      </c>
      <c r="Y2994" t="s">
        <v>9900</v>
      </c>
      <c r="Z2994" t="s">
        <v>9898</v>
      </c>
      <c r="AD2994">
        <f t="shared" si="93"/>
        <v>4</v>
      </c>
    </row>
    <row r="2995" spans="1:30" x14ac:dyDescent="0.25">
      <c r="A2995" t="s">
        <v>3019</v>
      </c>
      <c r="B2995" s="2">
        <v>45186</v>
      </c>
      <c r="C2995" s="2">
        <v>45191</v>
      </c>
      <c r="D2995" t="s">
        <v>5055</v>
      </c>
      <c r="E2995" t="s">
        <v>5555</v>
      </c>
      <c r="F2995" t="s">
        <v>6028</v>
      </c>
      <c r="G2995" t="s">
        <v>6031</v>
      </c>
      <c r="H2995" t="s">
        <v>6037</v>
      </c>
      <c r="I2995" t="s">
        <v>6048</v>
      </c>
      <c r="J2995" t="s">
        <v>6053</v>
      </c>
      <c r="K2995" t="s">
        <v>6057</v>
      </c>
      <c r="L2995" t="s">
        <v>8606</v>
      </c>
      <c r="M2995">
        <v>1196.2</v>
      </c>
      <c r="N2995">
        <v>3</v>
      </c>
      <c r="O2995">
        <v>0.22</v>
      </c>
      <c r="P2995">
        <v>-95.67</v>
      </c>
      <c r="Q2995" t="s">
        <v>9894</v>
      </c>
      <c r="R2995">
        <v>5</v>
      </c>
      <c r="S2995" s="5">
        <f t="shared" si="92"/>
        <v>-7.9978264504263499E-2</v>
      </c>
      <c r="T2995">
        <v>398.73333333333329</v>
      </c>
      <c r="U2995">
        <v>9</v>
      </c>
      <c r="V2995">
        <v>2023</v>
      </c>
      <c r="W2995">
        <v>3</v>
      </c>
      <c r="X2995" t="s">
        <v>9898</v>
      </c>
      <c r="Y2995" t="s">
        <v>9900</v>
      </c>
      <c r="Z2995" t="s">
        <v>9898</v>
      </c>
      <c r="AD2995">
        <f t="shared" si="93"/>
        <v>5</v>
      </c>
    </row>
    <row r="2996" spans="1:30" x14ac:dyDescent="0.25">
      <c r="A2996" t="s">
        <v>3020</v>
      </c>
      <c r="B2996" s="2">
        <v>45108</v>
      </c>
      <c r="C2996" s="2">
        <v>45113</v>
      </c>
      <c r="D2996" t="s">
        <v>5153</v>
      </c>
      <c r="E2996" t="s">
        <v>5653</v>
      </c>
      <c r="F2996" t="s">
        <v>6027</v>
      </c>
      <c r="G2996" t="s">
        <v>6031</v>
      </c>
      <c r="H2996" t="s">
        <v>6034</v>
      </c>
      <c r="I2996" t="s">
        <v>6050</v>
      </c>
      <c r="J2996" t="s">
        <v>6053</v>
      </c>
      <c r="K2996" t="s">
        <v>6056</v>
      </c>
      <c r="L2996" t="s">
        <v>8607</v>
      </c>
      <c r="M2996">
        <v>1755.61</v>
      </c>
      <c r="N2996">
        <v>2</v>
      </c>
      <c r="O2996">
        <v>0.32</v>
      </c>
      <c r="P2996">
        <v>-144.57</v>
      </c>
      <c r="Q2996" t="s">
        <v>9893</v>
      </c>
      <c r="R2996">
        <v>5</v>
      </c>
      <c r="S2996" s="5">
        <f t="shared" si="92"/>
        <v>-8.2347446186795473E-2</v>
      </c>
      <c r="T2996">
        <v>877.80499999999995</v>
      </c>
      <c r="U2996">
        <v>7</v>
      </c>
      <c r="V2996">
        <v>2023</v>
      </c>
      <c r="W2996">
        <v>3</v>
      </c>
      <c r="X2996" t="s">
        <v>9898</v>
      </c>
      <c r="Y2996" t="s">
        <v>9902</v>
      </c>
      <c r="Z2996" t="s">
        <v>9898</v>
      </c>
      <c r="AD2996">
        <f t="shared" si="93"/>
        <v>5</v>
      </c>
    </row>
    <row r="2997" spans="1:30" x14ac:dyDescent="0.25">
      <c r="A2997" t="s">
        <v>3021</v>
      </c>
      <c r="B2997" s="2">
        <v>45025</v>
      </c>
      <c r="C2997" s="2">
        <v>45030</v>
      </c>
      <c r="D2997" t="s">
        <v>5426</v>
      </c>
      <c r="E2997" t="s">
        <v>5926</v>
      </c>
      <c r="F2997" t="s">
        <v>6028</v>
      </c>
      <c r="G2997" t="s">
        <v>6031</v>
      </c>
      <c r="H2997" t="s">
        <v>6034</v>
      </c>
      <c r="I2997" t="s">
        <v>6050</v>
      </c>
      <c r="J2997" t="s">
        <v>6054</v>
      </c>
      <c r="K2997" t="s">
        <v>6062</v>
      </c>
      <c r="L2997" t="s">
        <v>8608</v>
      </c>
      <c r="M2997">
        <v>1111.79</v>
      </c>
      <c r="N2997">
        <v>1</v>
      </c>
      <c r="O2997">
        <v>0</v>
      </c>
      <c r="P2997">
        <v>320.19</v>
      </c>
      <c r="Q2997" t="s">
        <v>9895</v>
      </c>
      <c r="R2997">
        <v>5</v>
      </c>
      <c r="S2997" s="5">
        <f t="shared" si="92"/>
        <v>0.28799503503359447</v>
      </c>
      <c r="T2997">
        <v>1111.79</v>
      </c>
      <c r="U2997">
        <v>4</v>
      </c>
      <c r="V2997">
        <v>2023</v>
      </c>
      <c r="W2997">
        <v>2</v>
      </c>
      <c r="X2997" t="s">
        <v>9899</v>
      </c>
      <c r="Y2997" t="s">
        <v>9901</v>
      </c>
      <c r="Z2997" t="s">
        <v>9898</v>
      </c>
      <c r="AD2997">
        <f t="shared" si="93"/>
        <v>5</v>
      </c>
    </row>
    <row r="2998" spans="1:30" x14ac:dyDescent="0.25">
      <c r="A2998" t="s">
        <v>3022</v>
      </c>
      <c r="B2998" s="2">
        <v>45462</v>
      </c>
      <c r="C2998" s="2">
        <v>45465</v>
      </c>
      <c r="D2998" t="s">
        <v>5146</v>
      </c>
      <c r="E2998" t="s">
        <v>5646</v>
      </c>
      <c r="F2998" t="s">
        <v>6027</v>
      </c>
      <c r="G2998" t="s">
        <v>6031</v>
      </c>
      <c r="H2998" t="s">
        <v>6042</v>
      </c>
      <c r="I2998" t="s">
        <v>6052</v>
      </c>
      <c r="J2998" t="s">
        <v>6055</v>
      </c>
      <c r="K2998" t="s">
        <v>6063</v>
      </c>
      <c r="L2998" t="s">
        <v>8609</v>
      </c>
      <c r="M2998">
        <v>902.55</v>
      </c>
      <c r="N2998">
        <v>8</v>
      </c>
      <c r="O2998">
        <v>0.08</v>
      </c>
      <c r="P2998">
        <v>72.680000000000007</v>
      </c>
      <c r="Q2998" t="s">
        <v>9897</v>
      </c>
      <c r="R2998">
        <v>3</v>
      </c>
      <c r="S2998" s="5">
        <f t="shared" si="92"/>
        <v>8.0527394604177072E-2</v>
      </c>
      <c r="T2998">
        <v>112.81874999999999</v>
      </c>
      <c r="U2998">
        <v>6</v>
      </c>
      <c r="V2998">
        <v>2024</v>
      </c>
      <c r="W2998">
        <v>2</v>
      </c>
      <c r="X2998" t="s">
        <v>9899</v>
      </c>
      <c r="Y2998" t="s">
        <v>9901</v>
      </c>
      <c r="Z2998" t="s">
        <v>9899</v>
      </c>
      <c r="AD2998">
        <f t="shared" si="93"/>
        <v>3</v>
      </c>
    </row>
    <row r="2999" spans="1:30" x14ac:dyDescent="0.25">
      <c r="A2999" t="s">
        <v>3023</v>
      </c>
      <c r="B2999" s="2">
        <v>44961</v>
      </c>
      <c r="C2999" s="2">
        <v>44962</v>
      </c>
      <c r="D2999" t="s">
        <v>5344</v>
      </c>
      <c r="E2999" t="s">
        <v>5844</v>
      </c>
      <c r="F2999" t="s">
        <v>6027</v>
      </c>
      <c r="G2999" t="s">
        <v>6029</v>
      </c>
      <c r="H2999" t="s">
        <v>6044</v>
      </c>
      <c r="I2999" t="s">
        <v>6050</v>
      </c>
      <c r="J2999" t="s">
        <v>6055</v>
      </c>
      <c r="K2999" t="s">
        <v>6063</v>
      </c>
      <c r="L2999" t="s">
        <v>8610</v>
      </c>
      <c r="M2999">
        <v>813.23</v>
      </c>
      <c r="N2999">
        <v>5</v>
      </c>
      <c r="O2999">
        <v>0.08</v>
      </c>
      <c r="P2999">
        <v>155.55000000000001</v>
      </c>
      <c r="Q2999" t="s">
        <v>9894</v>
      </c>
      <c r="R2999">
        <v>1</v>
      </c>
      <c r="S2999" s="5">
        <f t="shared" si="92"/>
        <v>0.19127430124319075</v>
      </c>
      <c r="T2999">
        <v>162.64599999999999</v>
      </c>
      <c r="U2999">
        <v>2</v>
      </c>
      <c r="V2999">
        <v>2023</v>
      </c>
      <c r="W2999">
        <v>1</v>
      </c>
      <c r="X2999" t="s">
        <v>9899</v>
      </c>
      <c r="Y2999" t="s">
        <v>9901</v>
      </c>
      <c r="Z2999" t="s">
        <v>9899</v>
      </c>
      <c r="AD2999">
        <f t="shared" si="93"/>
        <v>1</v>
      </c>
    </row>
    <row r="3000" spans="1:30" x14ac:dyDescent="0.25">
      <c r="A3000" t="s">
        <v>3024</v>
      </c>
      <c r="B3000" s="2">
        <v>45368</v>
      </c>
      <c r="C3000" s="2">
        <v>45374</v>
      </c>
      <c r="D3000" t="s">
        <v>5444</v>
      </c>
      <c r="E3000" t="s">
        <v>5944</v>
      </c>
      <c r="F3000" t="s">
        <v>6028</v>
      </c>
      <c r="G3000" t="s">
        <v>6030</v>
      </c>
      <c r="H3000" t="s">
        <v>6039</v>
      </c>
      <c r="I3000" t="s">
        <v>6047</v>
      </c>
      <c r="J3000" t="s">
        <v>6055</v>
      </c>
      <c r="K3000" t="s">
        <v>6063</v>
      </c>
      <c r="L3000" t="s">
        <v>8610</v>
      </c>
      <c r="M3000">
        <v>272.33</v>
      </c>
      <c r="N3000">
        <v>8</v>
      </c>
      <c r="O3000">
        <v>0</v>
      </c>
      <c r="P3000">
        <v>45.47</v>
      </c>
      <c r="Q3000" t="s">
        <v>9894</v>
      </c>
      <c r="R3000">
        <v>6</v>
      </c>
      <c r="S3000" s="5">
        <f t="shared" si="92"/>
        <v>0.16696654793816326</v>
      </c>
      <c r="T3000">
        <v>34.041249999999998</v>
      </c>
      <c r="U3000">
        <v>3</v>
      </c>
      <c r="V3000">
        <v>2024</v>
      </c>
      <c r="W3000">
        <v>1</v>
      </c>
      <c r="X3000" t="s">
        <v>9899</v>
      </c>
      <c r="Y3000" t="s">
        <v>9901</v>
      </c>
      <c r="Z3000" t="s">
        <v>9899</v>
      </c>
      <c r="AD3000">
        <f t="shared" si="93"/>
        <v>6</v>
      </c>
    </row>
    <row r="3001" spans="1:30" x14ac:dyDescent="0.25">
      <c r="A3001" t="s">
        <v>3025</v>
      </c>
      <c r="B3001" s="2">
        <v>44734</v>
      </c>
      <c r="C3001" s="2">
        <v>44737</v>
      </c>
      <c r="D3001" t="s">
        <v>5412</v>
      </c>
      <c r="E3001" t="s">
        <v>5912</v>
      </c>
      <c r="F3001" t="s">
        <v>6028</v>
      </c>
      <c r="G3001" t="s">
        <v>6029</v>
      </c>
      <c r="H3001" t="s">
        <v>6041</v>
      </c>
      <c r="I3001" t="s">
        <v>6050</v>
      </c>
      <c r="J3001" t="s">
        <v>6054</v>
      </c>
      <c r="K3001" t="s">
        <v>6060</v>
      </c>
      <c r="L3001" t="s">
        <v>6086</v>
      </c>
      <c r="M3001">
        <v>857.96</v>
      </c>
      <c r="N3001">
        <v>2</v>
      </c>
      <c r="O3001">
        <v>0.27</v>
      </c>
      <c r="P3001">
        <v>-89.95</v>
      </c>
      <c r="Q3001" t="s">
        <v>9897</v>
      </c>
      <c r="R3001">
        <v>3</v>
      </c>
      <c r="S3001" s="5">
        <f t="shared" si="92"/>
        <v>-0.10484171756259032</v>
      </c>
      <c r="T3001">
        <v>428.98</v>
      </c>
      <c r="U3001">
        <v>6</v>
      </c>
      <c r="V3001">
        <v>2022</v>
      </c>
      <c r="W3001">
        <v>2</v>
      </c>
      <c r="X3001" t="s">
        <v>9898</v>
      </c>
      <c r="Y3001" t="s">
        <v>9900</v>
      </c>
      <c r="Z3001" t="s">
        <v>9899</v>
      </c>
      <c r="AD3001">
        <f t="shared" si="93"/>
        <v>3</v>
      </c>
    </row>
    <row r="3002" spans="1:30" x14ac:dyDescent="0.25">
      <c r="A3002" t="s">
        <v>3026</v>
      </c>
      <c r="B3002" s="2">
        <v>44871</v>
      </c>
      <c r="C3002" s="2">
        <v>44873</v>
      </c>
      <c r="D3002" t="s">
        <v>5214</v>
      </c>
      <c r="E3002" t="s">
        <v>5714</v>
      </c>
      <c r="F3002" t="s">
        <v>6028</v>
      </c>
      <c r="G3002" t="s">
        <v>6029</v>
      </c>
      <c r="H3002" t="s">
        <v>6041</v>
      </c>
      <c r="I3002" t="s">
        <v>6049</v>
      </c>
      <c r="J3002" t="s">
        <v>6054</v>
      </c>
      <c r="K3002" t="s">
        <v>6060</v>
      </c>
      <c r="L3002" t="s">
        <v>8611</v>
      </c>
      <c r="M3002">
        <v>429.92</v>
      </c>
      <c r="N3002">
        <v>5</v>
      </c>
      <c r="O3002">
        <v>0.33</v>
      </c>
      <c r="P3002">
        <v>-15.31</v>
      </c>
      <c r="Q3002" t="s">
        <v>9893</v>
      </c>
      <c r="R3002">
        <v>2</v>
      </c>
      <c r="S3002" s="5">
        <f t="shared" si="92"/>
        <v>-3.5611276516561222E-2</v>
      </c>
      <c r="T3002">
        <v>85.984000000000009</v>
      </c>
      <c r="U3002">
        <v>11</v>
      </c>
      <c r="V3002">
        <v>2022</v>
      </c>
      <c r="W3002">
        <v>4</v>
      </c>
      <c r="X3002" t="s">
        <v>9898</v>
      </c>
      <c r="Y3002" t="s">
        <v>9902</v>
      </c>
      <c r="Z3002" t="s">
        <v>9899</v>
      </c>
      <c r="AD3002">
        <f t="shared" si="93"/>
        <v>2</v>
      </c>
    </row>
    <row r="3003" spans="1:30" x14ac:dyDescent="0.25">
      <c r="A3003" t="s">
        <v>3027</v>
      </c>
      <c r="B3003" s="2">
        <v>44784</v>
      </c>
      <c r="C3003" s="2">
        <v>44790</v>
      </c>
      <c r="D3003" t="s">
        <v>5507</v>
      </c>
      <c r="E3003" t="s">
        <v>6007</v>
      </c>
      <c r="F3003" t="s">
        <v>6026</v>
      </c>
      <c r="G3003" t="s">
        <v>6029</v>
      </c>
      <c r="H3003" t="s">
        <v>6044</v>
      </c>
      <c r="I3003" t="s">
        <v>6049</v>
      </c>
      <c r="J3003" t="s">
        <v>6053</v>
      </c>
      <c r="K3003" t="s">
        <v>6057</v>
      </c>
      <c r="L3003" t="s">
        <v>8358</v>
      </c>
      <c r="M3003">
        <v>1781.62</v>
      </c>
      <c r="N3003">
        <v>1</v>
      </c>
      <c r="O3003">
        <v>0.1</v>
      </c>
      <c r="P3003">
        <v>5.25</v>
      </c>
      <c r="Q3003" t="s">
        <v>9894</v>
      </c>
      <c r="R3003">
        <v>6</v>
      </c>
      <c r="S3003" s="5">
        <f t="shared" si="92"/>
        <v>2.9467563228971387E-3</v>
      </c>
      <c r="T3003">
        <v>1781.62</v>
      </c>
      <c r="U3003">
        <v>8</v>
      </c>
      <c r="V3003">
        <v>2022</v>
      </c>
      <c r="W3003">
        <v>3</v>
      </c>
      <c r="X3003" t="s">
        <v>9899</v>
      </c>
      <c r="Y3003" t="s">
        <v>9901</v>
      </c>
      <c r="Z3003" t="s">
        <v>9898</v>
      </c>
      <c r="AD3003">
        <f t="shared" si="93"/>
        <v>6</v>
      </c>
    </row>
    <row r="3004" spans="1:30" x14ac:dyDescent="0.25">
      <c r="A3004" t="s">
        <v>3028</v>
      </c>
      <c r="B3004" s="2">
        <v>44829</v>
      </c>
      <c r="C3004" s="2">
        <v>44835</v>
      </c>
      <c r="D3004" t="s">
        <v>5285</v>
      </c>
      <c r="E3004" t="s">
        <v>5785</v>
      </c>
      <c r="F3004" t="s">
        <v>6028</v>
      </c>
      <c r="G3004" t="s">
        <v>6029</v>
      </c>
      <c r="H3004" t="s">
        <v>6041</v>
      </c>
      <c r="I3004" t="s">
        <v>6046</v>
      </c>
      <c r="J3004" t="s">
        <v>6053</v>
      </c>
      <c r="K3004" t="s">
        <v>6057</v>
      </c>
      <c r="L3004" t="s">
        <v>8612</v>
      </c>
      <c r="M3004">
        <v>450.46</v>
      </c>
      <c r="N3004">
        <v>8</v>
      </c>
      <c r="O3004">
        <v>0.04</v>
      </c>
      <c r="P3004">
        <v>47.91</v>
      </c>
      <c r="Q3004" t="s">
        <v>9897</v>
      </c>
      <c r="R3004">
        <v>6</v>
      </c>
      <c r="S3004" s="5">
        <f t="shared" si="92"/>
        <v>0.10635794521156151</v>
      </c>
      <c r="T3004">
        <v>56.307499999999997</v>
      </c>
      <c r="U3004">
        <v>9</v>
      </c>
      <c r="V3004">
        <v>2022</v>
      </c>
      <c r="W3004">
        <v>3</v>
      </c>
      <c r="X3004" t="s">
        <v>9899</v>
      </c>
      <c r="Y3004" t="s">
        <v>9901</v>
      </c>
      <c r="Z3004" t="s">
        <v>9899</v>
      </c>
      <c r="AD3004">
        <f t="shared" si="93"/>
        <v>6</v>
      </c>
    </row>
    <row r="3005" spans="1:30" x14ac:dyDescent="0.25">
      <c r="A3005" t="s">
        <v>3029</v>
      </c>
      <c r="B3005" s="2">
        <v>45248</v>
      </c>
      <c r="C3005" s="2">
        <v>45249</v>
      </c>
      <c r="D3005" t="s">
        <v>5177</v>
      </c>
      <c r="E3005" t="s">
        <v>5677</v>
      </c>
      <c r="F3005" t="s">
        <v>6027</v>
      </c>
      <c r="G3005" t="s">
        <v>6029</v>
      </c>
      <c r="H3005" t="s">
        <v>6036</v>
      </c>
      <c r="I3005" t="s">
        <v>6050</v>
      </c>
      <c r="J3005" t="s">
        <v>6053</v>
      </c>
      <c r="K3005" t="s">
        <v>6058</v>
      </c>
      <c r="L3005" t="s">
        <v>7518</v>
      </c>
      <c r="M3005">
        <v>605.36</v>
      </c>
      <c r="N3005">
        <v>6</v>
      </c>
      <c r="O3005">
        <v>0.33</v>
      </c>
      <c r="P3005">
        <v>-56.62</v>
      </c>
      <c r="Q3005" t="s">
        <v>9895</v>
      </c>
      <c r="R3005">
        <v>1</v>
      </c>
      <c r="S3005" s="5">
        <f t="shared" si="92"/>
        <v>-9.3531121977005416E-2</v>
      </c>
      <c r="T3005">
        <v>100.8933333333333</v>
      </c>
      <c r="U3005">
        <v>11</v>
      </c>
      <c r="V3005">
        <v>2023</v>
      </c>
      <c r="W3005">
        <v>4</v>
      </c>
      <c r="X3005" t="s">
        <v>9898</v>
      </c>
      <c r="Y3005" t="s">
        <v>9902</v>
      </c>
      <c r="Z3005" t="s">
        <v>9899</v>
      </c>
      <c r="AD3005">
        <f t="shared" si="93"/>
        <v>1</v>
      </c>
    </row>
    <row r="3006" spans="1:30" x14ac:dyDescent="0.25">
      <c r="A3006" t="s">
        <v>3030</v>
      </c>
      <c r="B3006" s="2">
        <v>44643</v>
      </c>
      <c r="C3006" s="2">
        <v>44650</v>
      </c>
      <c r="D3006" t="s">
        <v>5397</v>
      </c>
      <c r="E3006" t="s">
        <v>5897</v>
      </c>
      <c r="F3006" t="s">
        <v>6027</v>
      </c>
      <c r="G3006" t="s">
        <v>6029</v>
      </c>
      <c r="H3006" t="s">
        <v>6045</v>
      </c>
      <c r="I3006" t="s">
        <v>6046</v>
      </c>
      <c r="J3006" t="s">
        <v>6055</v>
      </c>
      <c r="K3006" t="s">
        <v>6064</v>
      </c>
      <c r="L3006" t="s">
        <v>6572</v>
      </c>
      <c r="M3006">
        <v>1928.6</v>
      </c>
      <c r="N3006">
        <v>3</v>
      </c>
      <c r="O3006">
        <v>0.28000000000000003</v>
      </c>
      <c r="P3006">
        <v>-10.66</v>
      </c>
      <c r="Q3006" t="s">
        <v>9896</v>
      </c>
      <c r="R3006">
        <v>7</v>
      </c>
      <c r="S3006" s="5">
        <f t="shared" si="92"/>
        <v>-5.5273255211033918E-3</v>
      </c>
      <c r="T3006">
        <v>642.86666666666667</v>
      </c>
      <c r="U3006">
        <v>3</v>
      </c>
      <c r="V3006">
        <v>2022</v>
      </c>
      <c r="W3006">
        <v>1</v>
      </c>
      <c r="X3006" t="s">
        <v>9898</v>
      </c>
      <c r="Y3006" t="s">
        <v>9900</v>
      </c>
      <c r="Z3006" t="s">
        <v>9898</v>
      </c>
      <c r="AD3006">
        <f t="shared" si="93"/>
        <v>7</v>
      </c>
    </row>
    <row r="3007" spans="1:30" x14ac:dyDescent="0.25">
      <c r="A3007" t="s">
        <v>3031</v>
      </c>
      <c r="B3007" s="2">
        <v>45408</v>
      </c>
      <c r="C3007" s="2">
        <v>45415</v>
      </c>
      <c r="D3007" t="s">
        <v>5052</v>
      </c>
      <c r="E3007" t="s">
        <v>5552</v>
      </c>
      <c r="F3007" t="s">
        <v>6028</v>
      </c>
      <c r="G3007" t="s">
        <v>6029</v>
      </c>
      <c r="H3007" t="s">
        <v>6045</v>
      </c>
      <c r="I3007" t="s">
        <v>6046</v>
      </c>
      <c r="J3007" t="s">
        <v>6055</v>
      </c>
      <c r="K3007" t="s">
        <v>6064</v>
      </c>
      <c r="L3007" t="s">
        <v>6220</v>
      </c>
      <c r="M3007">
        <v>231.43</v>
      </c>
      <c r="N3007">
        <v>5</v>
      </c>
      <c r="O3007">
        <v>0.32</v>
      </c>
      <c r="P3007">
        <v>-14.09</v>
      </c>
      <c r="Q3007" t="s">
        <v>9896</v>
      </c>
      <c r="R3007">
        <v>7</v>
      </c>
      <c r="S3007" s="5">
        <f t="shared" si="92"/>
        <v>-6.0882340232467698E-2</v>
      </c>
      <c r="T3007">
        <v>46.286000000000001</v>
      </c>
      <c r="U3007">
        <v>4</v>
      </c>
      <c r="V3007">
        <v>2024</v>
      </c>
      <c r="W3007">
        <v>2</v>
      </c>
      <c r="X3007" t="s">
        <v>9898</v>
      </c>
      <c r="Y3007" t="s">
        <v>9902</v>
      </c>
      <c r="Z3007" t="s">
        <v>9899</v>
      </c>
      <c r="AD3007">
        <f t="shared" si="93"/>
        <v>7</v>
      </c>
    </row>
    <row r="3008" spans="1:30" x14ac:dyDescent="0.25">
      <c r="A3008" t="s">
        <v>3032</v>
      </c>
      <c r="B3008" s="2">
        <v>45029</v>
      </c>
      <c r="C3008" s="2">
        <v>45030</v>
      </c>
      <c r="D3008" t="s">
        <v>5407</v>
      </c>
      <c r="E3008" t="s">
        <v>5907</v>
      </c>
      <c r="F3008" t="s">
        <v>6026</v>
      </c>
      <c r="G3008" t="s">
        <v>6031</v>
      </c>
      <c r="H3008" t="s">
        <v>6042</v>
      </c>
      <c r="I3008" t="s">
        <v>6050</v>
      </c>
      <c r="J3008" t="s">
        <v>6054</v>
      </c>
      <c r="K3008" t="s">
        <v>6062</v>
      </c>
      <c r="L3008" t="s">
        <v>8613</v>
      </c>
      <c r="M3008">
        <v>1349.25</v>
      </c>
      <c r="N3008">
        <v>1</v>
      </c>
      <c r="O3008">
        <v>0.17</v>
      </c>
      <c r="P3008">
        <v>-88.12</v>
      </c>
      <c r="Q3008" t="s">
        <v>9895</v>
      </c>
      <c r="R3008">
        <v>1</v>
      </c>
      <c r="S3008" s="5">
        <f t="shared" si="92"/>
        <v>-6.5310357606077452E-2</v>
      </c>
      <c r="T3008">
        <v>1349.25</v>
      </c>
      <c r="U3008">
        <v>4</v>
      </c>
      <c r="V3008">
        <v>2023</v>
      </c>
      <c r="W3008">
        <v>2</v>
      </c>
      <c r="X3008" t="s">
        <v>9898</v>
      </c>
      <c r="Y3008" t="s">
        <v>9900</v>
      </c>
      <c r="Z3008" t="s">
        <v>9898</v>
      </c>
      <c r="AD3008">
        <f t="shared" si="93"/>
        <v>1</v>
      </c>
    </row>
    <row r="3009" spans="1:30" x14ac:dyDescent="0.25">
      <c r="A3009" t="s">
        <v>3033</v>
      </c>
      <c r="B3009" s="2">
        <v>45047</v>
      </c>
      <c r="C3009" s="2">
        <v>45048</v>
      </c>
      <c r="D3009" t="s">
        <v>5079</v>
      </c>
      <c r="E3009" t="s">
        <v>5579</v>
      </c>
      <c r="F3009" t="s">
        <v>6026</v>
      </c>
      <c r="G3009" t="s">
        <v>6029</v>
      </c>
      <c r="H3009" t="s">
        <v>6045</v>
      </c>
      <c r="I3009" t="s">
        <v>6050</v>
      </c>
      <c r="J3009" t="s">
        <v>6054</v>
      </c>
      <c r="K3009" t="s">
        <v>6060</v>
      </c>
      <c r="L3009" t="s">
        <v>8614</v>
      </c>
      <c r="M3009">
        <v>1033.52</v>
      </c>
      <c r="N3009">
        <v>4</v>
      </c>
      <c r="O3009">
        <v>0.19</v>
      </c>
      <c r="P3009">
        <v>64.069999999999993</v>
      </c>
      <c r="Q3009" t="s">
        <v>9896</v>
      </c>
      <c r="R3009">
        <v>1</v>
      </c>
      <c r="S3009" s="5">
        <f t="shared" si="92"/>
        <v>6.1992027246690916E-2</v>
      </c>
      <c r="T3009">
        <v>258.38</v>
      </c>
      <c r="U3009">
        <v>5</v>
      </c>
      <c r="V3009">
        <v>2023</v>
      </c>
      <c r="W3009">
        <v>2</v>
      </c>
      <c r="X3009" t="s">
        <v>9899</v>
      </c>
      <c r="Y3009" t="s">
        <v>9900</v>
      </c>
      <c r="Z3009" t="s">
        <v>9898</v>
      </c>
      <c r="AD3009">
        <f t="shared" si="93"/>
        <v>1</v>
      </c>
    </row>
    <row r="3010" spans="1:30" x14ac:dyDescent="0.25">
      <c r="A3010" t="s">
        <v>3034</v>
      </c>
      <c r="B3010" s="2">
        <v>44850</v>
      </c>
      <c r="C3010" s="2">
        <v>44857</v>
      </c>
      <c r="D3010" t="s">
        <v>5456</v>
      </c>
      <c r="E3010" t="s">
        <v>5956</v>
      </c>
      <c r="F3010" t="s">
        <v>6028</v>
      </c>
      <c r="G3010" t="s">
        <v>6031</v>
      </c>
      <c r="H3010" t="s">
        <v>6040</v>
      </c>
      <c r="I3010" t="s">
        <v>6050</v>
      </c>
      <c r="J3010" t="s">
        <v>6055</v>
      </c>
      <c r="K3010" t="s">
        <v>6064</v>
      </c>
      <c r="L3010" t="s">
        <v>8615</v>
      </c>
      <c r="M3010">
        <v>237.47</v>
      </c>
      <c r="N3010">
        <v>4</v>
      </c>
      <c r="O3010">
        <v>0.04</v>
      </c>
      <c r="P3010">
        <v>27.6</v>
      </c>
      <c r="Q3010" t="s">
        <v>9894</v>
      </c>
      <c r="R3010">
        <v>7</v>
      </c>
      <c r="S3010" s="5">
        <f t="shared" si="92"/>
        <v>0.11622520739461828</v>
      </c>
      <c r="T3010">
        <v>59.3675</v>
      </c>
      <c r="U3010">
        <v>10</v>
      </c>
      <c r="V3010">
        <v>2022</v>
      </c>
      <c r="W3010">
        <v>4</v>
      </c>
      <c r="X3010" t="s">
        <v>9899</v>
      </c>
      <c r="Y3010" t="s">
        <v>9901</v>
      </c>
      <c r="Z3010" t="s">
        <v>9899</v>
      </c>
      <c r="AD3010">
        <f t="shared" si="93"/>
        <v>7</v>
      </c>
    </row>
    <row r="3011" spans="1:30" x14ac:dyDescent="0.25">
      <c r="A3011" t="s">
        <v>3035</v>
      </c>
      <c r="B3011" s="2">
        <v>45105</v>
      </c>
      <c r="C3011" s="2">
        <v>45111</v>
      </c>
      <c r="D3011" t="s">
        <v>5063</v>
      </c>
      <c r="E3011" t="s">
        <v>5563</v>
      </c>
      <c r="F3011" t="s">
        <v>6026</v>
      </c>
      <c r="G3011" t="s">
        <v>6029</v>
      </c>
      <c r="H3011" t="s">
        <v>6041</v>
      </c>
      <c r="I3011" t="s">
        <v>6050</v>
      </c>
      <c r="J3011" t="s">
        <v>6055</v>
      </c>
      <c r="K3011" t="s">
        <v>6061</v>
      </c>
      <c r="L3011" t="s">
        <v>8616</v>
      </c>
      <c r="M3011">
        <v>721.09</v>
      </c>
      <c r="N3011">
        <v>1</v>
      </c>
      <c r="O3011">
        <v>0.04</v>
      </c>
      <c r="P3011">
        <v>178.49</v>
      </c>
      <c r="Q3011" t="s">
        <v>9896</v>
      </c>
      <c r="R3011">
        <v>6</v>
      </c>
      <c r="S3011" s="5">
        <f t="shared" ref="S3011:S3074" si="94">P3011/M3011</f>
        <v>0.24752804781650004</v>
      </c>
      <c r="T3011">
        <v>721.09</v>
      </c>
      <c r="U3011">
        <v>6</v>
      </c>
      <c r="V3011">
        <v>2023</v>
      </c>
      <c r="W3011">
        <v>2</v>
      </c>
      <c r="X3011" t="s">
        <v>9899</v>
      </c>
      <c r="Y3011" t="s">
        <v>9901</v>
      </c>
      <c r="Z3011" t="s">
        <v>9899</v>
      </c>
      <c r="AD3011">
        <f t="shared" ref="AD3011:AD3074" si="95">C3011-B3011</f>
        <v>6</v>
      </c>
    </row>
    <row r="3012" spans="1:30" x14ac:dyDescent="0.25">
      <c r="A3012" t="s">
        <v>3036</v>
      </c>
      <c r="B3012" s="2">
        <v>45335</v>
      </c>
      <c r="C3012" s="2">
        <v>45338</v>
      </c>
      <c r="D3012" t="s">
        <v>5469</v>
      </c>
      <c r="E3012" t="s">
        <v>5969</v>
      </c>
      <c r="F3012" t="s">
        <v>6026</v>
      </c>
      <c r="G3012" t="s">
        <v>6030</v>
      </c>
      <c r="H3012" t="s">
        <v>6035</v>
      </c>
      <c r="I3012" t="s">
        <v>6047</v>
      </c>
      <c r="J3012" t="s">
        <v>6055</v>
      </c>
      <c r="K3012" t="s">
        <v>6064</v>
      </c>
      <c r="L3012" t="s">
        <v>8617</v>
      </c>
      <c r="M3012">
        <v>1671.45</v>
      </c>
      <c r="N3012">
        <v>8</v>
      </c>
      <c r="O3012">
        <v>0.24</v>
      </c>
      <c r="P3012">
        <v>-196.21</v>
      </c>
      <c r="Q3012" t="s">
        <v>9895</v>
      </c>
      <c r="R3012">
        <v>3</v>
      </c>
      <c r="S3012" s="5">
        <f t="shared" si="94"/>
        <v>-0.11738909330222262</v>
      </c>
      <c r="T3012">
        <v>208.93125000000001</v>
      </c>
      <c r="U3012">
        <v>2</v>
      </c>
      <c r="V3012">
        <v>2024</v>
      </c>
      <c r="W3012">
        <v>1</v>
      </c>
      <c r="X3012" t="s">
        <v>9898</v>
      </c>
      <c r="Y3012" t="s">
        <v>9900</v>
      </c>
      <c r="Z3012" t="s">
        <v>9898</v>
      </c>
      <c r="AD3012">
        <f t="shared" si="95"/>
        <v>3</v>
      </c>
    </row>
    <row r="3013" spans="1:30" x14ac:dyDescent="0.25">
      <c r="A3013" t="s">
        <v>3037</v>
      </c>
      <c r="B3013" s="2">
        <v>45141</v>
      </c>
      <c r="C3013" s="2">
        <v>45143</v>
      </c>
      <c r="D3013" t="s">
        <v>5100</v>
      </c>
      <c r="E3013" t="s">
        <v>5600</v>
      </c>
      <c r="F3013" t="s">
        <v>6026</v>
      </c>
      <c r="G3013" t="s">
        <v>6030</v>
      </c>
      <c r="H3013" t="s">
        <v>6038</v>
      </c>
      <c r="I3013" t="s">
        <v>6047</v>
      </c>
      <c r="J3013" t="s">
        <v>6055</v>
      </c>
      <c r="K3013" t="s">
        <v>6063</v>
      </c>
      <c r="L3013" t="s">
        <v>8618</v>
      </c>
      <c r="M3013">
        <v>1121.03</v>
      </c>
      <c r="N3013">
        <v>8</v>
      </c>
      <c r="O3013">
        <v>0.04</v>
      </c>
      <c r="P3013">
        <v>200.67</v>
      </c>
      <c r="Q3013" t="s">
        <v>9894</v>
      </c>
      <c r="R3013">
        <v>2</v>
      </c>
      <c r="S3013" s="5">
        <f t="shared" si="94"/>
        <v>0.17900502216711417</v>
      </c>
      <c r="T3013">
        <v>140.12875</v>
      </c>
      <c r="U3013">
        <v>8</v>
      </c>
      <c r="V3013">
        <v>2023</v>
      </c>
      <c r="W3013">
        <v>3</v>
      </c>
      <c r="X3013" t="s">
        <v>9899</v>
      </c>
      <c r="Y3013" t="s">
        <v>9901</v>
      </c>
      <c r="Z3013" t="s">
        <v>9898</v>
      </c>
      <c r="AD3013">
        <f t="shared" si="95"/>
        <v>2</v>
      </c>
    </row>
    <row r="3014" spans="1:30" x14ac:dyDescent="0.25">
      <c r="A3014" t="s">
        <v>3038</v>
      </c>
      <c r="B3014" s="2">
        <v>44632</v>
      </c>
      <c r="C3014" s="2">
        <v>44636</v>
      </c>
      <c r="D3014" t="s">
        <v>5348</v>
      </c>
      <c r="E3014" t="s">
        <v>5848</v>
      </c>
      <c r="F3014" t="s">
        <v>6027</v>
      </c>
      <c r="G3014" t="s">
        <v>6030</v>
      </c>
      <c r="H3014" t="s">
        <v>6035</v>
      </c>
      <c r="I3014" t="s">
        <v>6047</v>
      </c>
      <c r="J3014" t="s">
        <v>6054</v>
      </c>
      <c r="K3014" t="s">
        <v>6062</v>
      </c>
      <c r="L3014" t="s">
        <v>8619</v>
      </c>
      <c r="M3014">
        <v>1608.88</v>
      </c>
      <c r="N3014">
        <v>7</v>
      </c>
      <c r="O3014">
        <v>0.22</v>
      </c>
      <c r="P3014">
        <v>-135.12</v>
      </c>
      <c r="Q3014" t="s">
        <v>9893</v>
      </c>
      <c r="R3014">
        <v>4</v>
      </c>
      <c r="S3014" s="5">
        <f t="shared" si="94"/>
        <v>-8.3983889413753662E-2</v>
      </c>
      <c r="T3014">
        <v>229.84</v>
      </c>
      <c r="U3014">
        <v>3</v>
      </c>
      <c r="V3014">
        <v>2022</v>
      </c>
      <c r="W3014">
        <v>1</v>
      </c>
      <c r="X3014" t="s">
        <v>9898</v>
      </c>
      <c r="Y3014" t="s">
        <v>9900</v>
      </c>
      <c r="Z3014" t="s">
        <v>9898</v>
      </c>
      <c r="AD3014">
        <f t="shared" si="95"/>
        <v>4</v>
      </c>
    </row>
    <row r="3015" spans="1:30" x14ac:dyDescent="0.25">
      <c r="A3015" t="s">
        <v>3039</v>
      </c>
      <c r="B3015" s="2">
        <v>45172</v>
      </c>
      <c r="C3015" s="2">
        <v>45177</v>
      </c>
      <c r="D3015" t="s">
        <v>5222</v>
      </c>
      <c r="E3015" t="s">
        <v>5722</v>
      </c>
      <c r="F3015" t="s">
        <v>6026</v>
      </c>
      <c r="G3015" t="s">
        <v>6029</v>
      </c>
      <c r="H3015" t="s">
        <v>6032</v>
      </c>
      <c r="I3015" t="s">
        <v>6050</v>
      </c>
      <c r="J3015" t="s">
        <v>6053</v>
      </c>
      <c r="K3015" t="s">
        <v>6058</v>
      </c>
      <c r="L3015" t="s">
        <v>8620</v>
      </c>
      <c r="M3015">
        <v>274.17</v>
      </c>
      <c r="N3015">
        <v>8</v>
      </c>
      <c r="O3015">
        <v>0.22</v>
      </c>
      <c r="P3015">
        <v>7.94</v>
      </c>
      <c r="Q3015" t="s">
        <v>9896</v>
      </c>
      <c r="R3015">
        <v>5</v>
      </c>
      <c r="S3015" s="5">
        <f t="shared" si="94"/>
        <v>2.8960134223292119E-2</v>
      </c>
      <c r="T3015">
        <v>34.271250000000002</v>
      </c>
      <c r="U3015">
        <v>9</v>
      </c>
      <c r="V3015">
        <v>2023</v>
      </c>
      <c r="W3015">
        <v>3</v>
      </c>
      <c r="X3015" t="s">
        <v>9899</v>
      </c>
      <c r="Y3015" t="s">
        <v>9900</v>
      </c>
      <c r="Z3015" t="s">
        <v>9899</v>
      </c>
      <c r="AD3015">
        <f t="shared" si="95"/>
        <v>5</v>
      </c>
    </row>
    <row r="3016" spans="1:30" x14ac:dyDescent="0.25">
      <c r="A3016" t="s">
        <v>3040</v>
      </c>
      <c r="B3016" s="2">
        <v>45154</v>
      </c>
      <c r="C3016" s="2">
        <v>45160</v>
      </c>
      <c r="D3016" t="s">
        <v>5118</v>
      </c>
      <c r="E3016" t="s">
        <v>5618</v>
      </c>
      <c r="F3016" t="s">
        <v>6026</v>
      </c>
      <c r="G3016" t="s">
        <v>6031</v>
      </c>
      <c r="H3016" t="s">
        <v>6034</v>
      </c>
      <c r="I3016" t="s">
        <v>6052</v>
      </c>
      <c r="J3016" t="s">
        <v>6055</v>
      </c>
      <c r="K3016" t="s">
        <v>6063</v>
      </c>
      <c r="L3016" t="s">
        <v>8621</v>
      </c>
      <c r="M3016">
        <v>298.47000000000003</v>
      </c>
      <c r="N3016">
        <v>1</v>
      </c>
      <c r="O3016">
        <v>0.25</v>
      </c>
      <c r="P3016">
        <v>-42.23</v>
      </c>
      <c r="Q3016" t="s">
        <v>9893</v>
      </c>
      <c r="R3016">
        <v>6</v>
      </c>
      <c r="S3016" s="5">
        <f t="shared" si="94"/>
        <v>-0.1414882567762254</v>
      </c>
      <c r="T3016">
        <v>298.47000000000003</v>
      </c>
      <c r="U3016">
        <v>8</v>
      </c>
      <c r="V3016">
        <v>2023</v>
      </c>
      <c r="W3016">
        <v>3</v>
      </c>
      <c r="X3016" t="s">
        <v>9898</v>
      </c>
      <c r="Y3016" t="s">
        <v>9900</v>
      </c>
      <c r="Z3016" t="s">
        <v>9899</v>
      </c>
      <c r="AD3016">
        <f t="shared" si="95"/>
        <v>6</v>
      </c>
    </row>
    <row r="3017" spans="1:30" x14ac:dyDescent="0.25">
      <c r="A3017" t="s">
        <v>3041</v>
      </c>
      <c r="B3017" s="2">
        <v>44756</v>
      </c>
      <c r="C3017" s="2">
        <v>44761</v>
      </c>
      <c r="D3017" t="s">
        <v>5171</v>
      </c>
      <c r="E3017" t="s">
        <v>5671</v>
      </c>
      <c r="F3017" t="s">
        <v>6026</v>
      </c>
      <c r="G3017" t="s">
        <v>6031</v>
      </c>
      <c r="H3017" t="s">
        <v>6040</v>
      </c>
      <c r="I3017" t="s">
        <v>6052</v>
      </c>
      <c r="J3017" t="s">
        <v>6054</v>
      </c>
      <c r="K3017" t="s">
        <v>6059</v>
      </c>
      <c r="L3017" t="s">
        <v>8622</v>
      </c>
      <c r="M3017">
        <v>1543.31</v>
      </c>
      <c r="N3017">
        <v>4</v>
      </c>
      <c r="O3017">
        <v>0.28000000000000003</v>
      </c>
      <c r="P3017">
        <v>-69.97</v>
      </c>
      <c r="Q3017" t="s">
        <v>9895</v>
      </c>
      <c r="R3017">
        <v>5</v>
      </c>
      <c r="S3017" s="5">
        <f t="shared" si="94"/>
        <v>-4.5337618495312024E-2</v>
      </c>
      <c r="T3017">
        <v>385.82749999999999</v>
      </c>
      <c r="U3017">
        <v>7</v>
      </c>
      <c r="V3017">
        <v>2022</v>
      </c>
      <c r="W3017">
        <v>3</v>
      </c>
      <c r="X3017" t="s">
        <v>9898</v>
      </c>
      <c r="Y3017" t="s">
        <v>9900</v>
      </c>
      <c r="Z3017" t="s">
        <v>9898</v>
      </c>
      <c r="AD3017">
        <f t="shared" si="95"/>
        <v>5</v>
      </c>
    </row>
    <row r="3018" spans="1:30" x14ac:dyDescent="0.25">
      <c r="A3018" t="s">
        <v>3042</v>
      </c>
      <c r="B3018" s="2">
        <v>44981</v>
      </c>
      <c r="C3018" s="2">
        <v>44982</v>
      </c>
      <c r="D3018" t="s">
        <v>5132</v>
      </c>
      <c r="E3018" t="s">
        <v>5632</v>
      </c>
      <c r="F3018" t="s">
        <v>6026</v>
      </c>
      <c r="G3018" t="s">
        <v>6031</v>
      </c>
      <c r="H3018" t="s">
        <v>6040</v>
      </c>
      <c r="I3018" t="s">
        <v>6052</v>
      </c>
      <c r="J3018" t="s">
        <v>6053</v>
      </c>
      <c r="K3018" t="s">
        <v>6058</v>
      </c>
      <c r="L3018" t="s">
        <v>8623</v>
      </c>
      <c r="M3018">
        <v>1396.52</v>
      </c>
      <c r="N3018">
        <v>7</v>
      </c>
      <c r="O3018">
        <v>0.18</v>
      </c>
      <c r="P3018">
        <v>-73.14</v>
      </c>
      <c r="Q3018" t="s">
        <v>9897</v>
      </c>
      <c r="R3018">
        <v>1</v>
      </c>
      <c r="S3018" s="5">
        <f t="shared" si="94"/>
        <v>-5.2373041560450265E-2</v>
      </c>
      <c r="T3018">
        <v>199.50285714285721</v>
      </c>
      <c r="U3018">
        <v>2</v>
      </c>
      <c r="V3018">
        <v>2023</v>
      </c>
      <c r="W3018">
        <v>1</v>
      </c>
      <c r="X3018" t="s">
        <v>9898</v>
      </c>
      <c r="Y3018" t="s">
        <v>9900</v>
      </c>
      <c r="Z3018" t="s">
        <v>9898</v>
      </c>
      <c r="AD3018">
        <f t="shared" si="95"/>
        <v>1</v>
      </c>
    </row>
    <row r="3019" spans="1:30" x14ac:dyDescent="0.25">
      <c r="A3019" t="s">
        <v>3043</v>
      </c>
      <c r="B3019" s="2">
        <v>44740</v>
      </c>
      <c r="C3019" s="2">
        <v>44744</v>
      </c>
      <c r="D3019" t="s">
        <v>5509</v>
      </c>
      <c r="E3019" t="s">
        <v>6009</v>
      </c>
      <c r="F3019" t="s">
        <v>6026</v>
      </c>
      <c r="G3019" t="s">
        <v>6031</v>
      </c>
      <c r="H3019" t="s">
        <v>6042</v>
      </c>
      <c r="I3019" t="s">
        <v>6048</v>
      </c>
      <c r="J3019" t="s">
        <v>6054</v>
      </c>
      <c r="K3019" t="s">
        <v>6060</v>
      </c>
      <c r="L3019" t="s">
        <v>8624</v>
      </c>
      <c r="M3019">
        <v>738.57</v>
      </c>
      <c r="N3019">
        <v>7</v>
      </c>
      <c r="O3019">
        <v>0.28999999999999998</v>
      </c>
      <c r="P3019">
        <v>-132.13</v>
      </c>
      <c r="Q3019" t="s">
        <v>9893</v>
      </c>
      <c r="R3019">
        <v>4</v>
      </c>
      <c r="S3019" s="5">
        <f t="shared" si="94"/>
        <v>-0.17889976576357011</v>
      </c>
      <c r="T3019">
        <v>105.51</v>
      </c>
      <c r="U3019">
        <v>6</v>
      </c>
      <c r="V3019">
        <v>2022</v>
      </c>
      <c r="W3019">
        <v>2</v>
      </c>
      <c r="X3019" t="s">
        <v>9898</v>
      </c>
      <c r="Y3019" t="s">
        <v>9900</v>
      </c>
      <c r="Z3019" t="s">
        <v>9899</v>
      </c>
      <c r="AD3019">
        <f t="shared" si="95"/>
        <v>4</v>
      </c>
    </row>
    <row r="3020" spans="1:30" x14ac:dyDescent="0.25">
      <c r="A3020" t="s">
        <v>3044</v>
      </c>
      <c r="B3020" s="2">
        <v>45255</v>
      </c>
      <c r="C3020" s="2">
        <v>45261</v>
      </c>
      <c r="D3020" t="s">
        <v>5138</v>
      </c>
      <c r="E3020" t="s">
        <v>5638</v>
      </c>
      <c r="F3020" t="s">
        <v>6027</v>
      </c>
      <c r="G3020" t="s">
        <v>6029</v>
      </c>
      <c r="H3020" t="s">
        <v>6036</v>
      </c>
      <c r="I3020" t="s">
        <v>6049</v>
      </c>
      <c r="J3020" t="s">
        <v>6054</v>
      </c>
      <c r="K3020" t="s">
        <v>6062</v>
      </c>
      <c r="L3020" t="s">
        <v>8625</v>
      </c>
      <c r="M3020">
        <v>868.05</v>
      </c>
      <c r="N3020">
        <v>8</v>
      </c>
      <c r="O3020">
        <v>0.32</v>
      </c>
      <c r="P3020">
        <v>-133.09</v>
      </c>
      <c r="Q3020" t="s">
        <v>9895</v>
      </c>
      <c r="R3020">
        <v>6</v>
      </c>
      <c r="S3020" s="5">
        <f t="shared" si="94"/>
        <v>-0.15332066125223204</v>
      </c>
      <c r="T3020">
        <v>108.50624999999999</v>
      </c>
      <c r="U3020">
        <v>11</v>
      </c>
      <c r="V3020">
        <v>2023</v>
      </c>
      <c r="W3020">
        <v>4</v>
      </c>
      <c r="X3020" t="s">
        <v>9898</v>
      </c>
      <c r="Y3020" t="s">
        <v>9902</v>
      </c>
      <c r="Z3020" t="s">
        <v>9899</v>
      </c>
      <c r="AD3020">
        <f t="shared" si="95"/>
        <v>6</v>
      </c>
    </row>
    <row r="3021" spans="1:30" x14ac:dyDescent="0.25">
      <c r="A3021" t="s">
        <v>3045</v>
      </c>
      <c r="B3021" s="2">
        <v>44794</v>
      </c>
      <c r="C3021" s="2">
        <v>44798</v>
      </c>
      <c r="D3021" t="s">
        <v>5501</v>
      </c>
      <c r="E3021" t="s">
        <v>6001</v>
      </c>
      <c r="F3021" t="s">
        <v>6026</v>
      </c>
      <c r="G3021" t="s">
        <v>6030</v>
      </c>
      <c r="H3021" t="s">
        <v>6035</v>
      </c>
      <c r="I3021" t="s">
        <v>6047</v>
      </c>
      <c r="J3021" t="s">
        <v>6053</v>
      </c>
      <c r="K3021" t="s">
        <v>6057</v>
      </c>
      <c r="L3021" t="s">
        <v>6411</v>
      </c>
      <c r="M3021">
        <v>1717.21</v>
      </c>
      <c r="N3021">
        <v>1</v>
      </c>
      <c r="O3021">
        <v>0.02</v>
      </c>
      <c r="P3021">
        <v>451.52</v>
      </c>
      <c r="Q3021" t="s">
        <v>9895</v>
      </c>
      <c r="R3021">
        <v>4</v>
      </c>
      <c r="S3021" s="5">
        <f t="shared" si="94"/>
        <v>0.26293813802621691</v>
      </c>
      <c r="T3021">
        <v>1717.21</v>
      </c>
      <c r="U3021">
        <v>8</v>
      </c>
      <c r="V3021">
        <v>2022</v>
      </c>
      <c r="W3021">
        <v>3</v>
      </c>
      <c r="X3021" t="s">
        <v>9899</v>
      </c>
      <c r="Y3021" t="s">
        <v>9901</v>
      </c>
      <c r="Z3021" t="s">
        <v>9898</v>
      </c>
      <c r="AD3021">
        <f t="shared" si="95"/>
        <v>4</v>
      </c>
    </row>
    <row r="3022" spans="1:30" x14ac:dyDescent="0.25">
      <c r="A3022" t="s">
        <v>3046</v>
      </c>
      <c r="B3022" s="2">
        <v>44918</v>
      </c>
      <c r="C3022" s="2">
        <v>44920</v>
      </c>
      <c r="D3022" t="s">
        <v>5046</v>
      </c>
      <c r="E3022" t="s">
        <v>5546</v>
      </c>
      <c r="F3022" t="s">
        <v>6026</v>
      </c>
      <c r="G3022" t="s">
        <v>6030</v>
      </c>
      <c r="H3022" t="s">
        <v>6039</v>
      </c>
      <c r="I3022" t="s">
        <v>6051</v>
      </c>
      <c r="J3022" t="s">
        <v>6054</v>
      </c>
      <c r="K3022" t="s">
        <v>6062</v>
      </c>
      <c r="L3022" t="s">
        <v>8626</v>
      </c>
      <c r="M3022">
        <v>1430.66</v>
      </c>
      <c r="N3022">
        <v>3</v>
      </c>
      <c r="O3022">
        <v>0.28999999999999998</v>
      </c>
      <c r="P3022">
        <v>-175.33</v>
      </c>
      <c r="Q3022" t="s">
        <v>9893</v>
      </c>
      <c r="R3022">
        <v>2</v>
      </c>
      <c r="S3022" s="5">
        <f t="shared" si="94"/>
        <v>-0.12255182922567207</v>
      </c>
      <c r="T3022">
        <v>476.88666666666671</v>
      </c>
      <c r="U3022">
        <v>12</v>
      </c>
      <c r="V3022">
        <v>2022</v>
      </c>
      <c r="W3022">
        <v>4</v>
      </c>
      <c r="X3022" t="s">
        <v>9898</v>
      </c>
      <c r="Y3022" t="s">
        <v>9900</v>
      </c>
      <c r="Z3022" t="s">
        <v>9898</v>
      </c>
      <c r="AD3022">
        <f t="shared" si="95"/>
        <v>2</v>
      </c>
    </row>
    <row r="3023" spans="1:30" x14ac:dyDescent="0.25">
      <c r="A3023" t="s">
        <v>3047</v>
      </c>
      <c r="B3023" s="2">
        <v>44857</v>
      </c>
      <c r="C3023" s="2">
        <v>44861</v>
      </c>
      <c r="D3023" t="s">
        <v>5502</v>
      </c>
      <c r="E3023" t="s">
        <v>6002</v>
      </c>
      <c r="F3023" t="s">
        <v>6028</v>
      </c>
      <c r="G3023" t="s">
        <v>6031</v>
      </c>
      <c r="H3023" t="s">
        <v>6043</v>
      </c>
      <c r="I3023" t="s">
        <v>6052</v>
      </c>
      <c r="J3023" t="s">
        <v>6053</v>
      </c>
      <c r="K3023" t="s">
        <v>6058</v>
      </c>
      <c r="L3023" t="s">
        <v>8627</v>
      </c>
      <c r="M3023">
        <v>1302.44</v>
      </c>
      <c r="N3023">
        <v>6</v>
      </c>
      <c r="O3023">
        <v>0.12</v>
      </c>
      <c r="P3023">
        <v>154.1</v>
      </c>
      <c r="Q3023" t="s">
        <v>9897</v>
      </c>
      <c r="R3023">
        <v>4</v>
      </c>
      <c r="S3023" s="5">
        <f t="shared" si="94"/>
        <v>0.11831639077423911</v>
      </c>
      <c r="T3023">
        <v>217.07333333333341</v>
      </c>
      <c r="U3023">
        <v>10</v>
      </c>
      <c r="V3023">
        <v>2022</v>
      </c>
      <c r="W3023">
        <v>4</v>
      </c>
      <c r="X3023" t="s">
        <v>9899</v>
      </c>
      <c r="Y3023" t="s">
        <v>9901</v>
      </c>
      <c r="Z3023" t="s">
        <v>9898</v>
      </c>
      <c r="AD3023">
        <f t="shared" si="95"/>
        <v>4</v>
      </c>
    </row>
    <row r="3024" spans="1:30" x14ac:dyDescent="0.25">
      <c r="A3024" t="s">
        <v>3048</v>
      </c>
      <c r="B3024" s="2">
        <v>45118</v>
      </c>
      <c r="C3024" s="2">
        <v>45122</v>
      </c>
      <c r="D3024" t="s">
        <v>5051</v>
      </c>
      <c r="E3024" t="s">
        <v>5551</v>
      </c>
      <c r="F3024" t="s">
        <v>6026</v>
      </c>
      <c r="G3024" t="s">
        <v>6029</v>
      </c>
      <c r="H3024" t="s">
        <v>6032</v>
      </c>
      <c r="I3024" t="s">
        <v>6050</v>
      </c>
      <c r="J3024" t="s">
        <v>6055</v>
      </c>
      <c r="K3024" t="s">
        <v>6063</v>
      </c>
      <c r="L3024" t="s">
        <v>6115</v>
      </c>
      <c r="M3024">
        <v>1726.22</v>
      </c>
      <c r="N3024">
        <v>1</v>
      </c>
      <c r="O3024">
        <v>0.05</v>
      </c>
      <c r="P3024">
        <v>355.41</v>
      </c>
      <c r="Q3024" t="s">
        <v>9894</v>
      </c>
      <c r="R3024">
        <v>4</v>
      </c>
      <c r="S3024" s="5">
        <f t="shared" si="94"/>
        <v>0.20588916824043285</v>
      </c>
      <c r="T3024">
        <v>1726.22</v>
      </c>
      <c r="U3024">
        <v>7</v>
      </c>
      <c r="V3024">
        <v>2023</v>
      </c>
      <c r="W3024">
        <v>3</v>
      </c>
      <c r="X3024" t="s">
        <v>9899</v>
      </c>
      <c r="Y3024" t="s">
        <v>9901</v>
      </c>
      <c r="Z3024" t="s">
        <v>9898</v>
      </c>
      <c r="AD3024">
        <f t="shared" si="95"/>
        <v>4</v>
      </c>
    </row>
    <row r="3025" spans="1:30" x14ac:dyDescent="0.25">
      <c r="A3025" t="s">
        <v>3049</v>
      </c>
      <c r="B3025" s="2">
        <v>45132</v>
      </c>
      <c r="C3025" s="2">
        <v>45137</v>
      </c>
      <c r="D3025" t="s">
        <v>5141</v>
      </c>
      <c r="E3025" t="s">
        <v>5641</v>
      </c>
      <c r="F3025" t="s">
        <v>6026</v>
      </c>
      <c r="G3025" t="s">
        <v>6031</v>
      </c>
      <c r="H3025" t="s">
        <v>6043</v>
      </c>
      <c r="I3025" t="s">
        <v>6052</v>
      </c>
      <c r="J3025" t="s">
        <v>6054</v>
      </c>
      <c r="K3025" t="s">
        <v>6059</v>
      </c>
      <c r="L3025" t="s">
        <v>6576</v>
      </c>
      <c r="M3025">
        <v>302.27</v>
      </c>
      <c r="N3025">
        <v>3</v>
      </c>
      <c r="O3025">
        <v>0.12</v>
      </c>
      <c r="P3025">
        <v>-0.66</v>
      </c>
      <c r="Q3025" t="s">
        <v>9896</v>
      </c>
      <c r="R3025">
        <v>5</v>
      </c>
      <c r="S3025" s="5">
        <f t="shared" si="94"/>
        <v>-2.1834783471730576E-3</v>
      </c>
      <c r="T3025">
        <v>100.7566666666667</v>
      </c>
      <c r="U3025">
        <v>7</v>
      </c>
      <c r="V3025">
        <v>2023</v>
      </c>
      <c r="W3025">
        <v>3</v>
      </c>
      <c r="X3025" t="s">
        <v>9898</v>
      </c>
      <c r="Y3025" t="s">
        <v>9901</v>
      </c>
      <c r="Z3025" t="s">
        <v>9899</v>
      </c>
      <c r="AD3025">
        <f t="shared" si="95"/>
        <v>5</v>
      </c>
    </row>
    <row r="3026" spans="1:30" x14ac:dyDescent="0.25">
      <c r="A3026" t="s">
        <v>3050</v>
      </c>
      <c r="B3026" s="2">
        <v>45136</v>
      </c>
      <c r="C3026" s="2">
        <v>45141</v>
      </c>
      <c r="D3026" t="s">
        <v>5073</v>
      </c>
      <c r="E3026" t="s">
        <v>5573</v>
      </c>
      <c r="F3026" t="s">
        <v>6027</v>
      </c>
      <c r="G3026" t="s">
        <v>6029</v>
      </c>
      <c r="H3026" t="s">
        <v>6036</v>
      </c>
      <c r="I3026" t="s">
        <v>6050</v>
      </c>
      <c r="J3026" t="s">
        <v>6053</v>
      </c>
      <c r="K3026" t="s">
        <v>6058</v>
      </c>
      <c r="L3026" t="s">
        <v>8628</v>
      </c>
      <c r="M3026">
        <v>1257.27</v>
      </c>
      <c r="N3026">
        <v>5</v>
      </c>
      <c r="O3026">
        <v>0.02</v>
      </c>
      <c r="P3026">
        <v>316.22000000000003</v>
      </c>
      <c r="Q3026" t="s">
        <v>9895</v>
      </c>
      <c r="R3026">
        <v>5</v>
      </c>
      <c r="S3026" s="5">
        <f t="shared" si="94"/>
        <v>0.25151319923325938</v>
      </c>
      <c r="T3026">
        <v>251.45400000000001</v>
      </c>
      <c r="U3026">
        <v>7</v>
      </c>
      <c r="V3026">
        <v>2023</v>
      </c>
      <c r="W3026">
        <v>3</v>
      </c>
      <c r="X3026" t="s">
        <v>9899</v>
      </c>
      <c r="Y3026" t="s">
        <v>9901</v>
      </c>
      <c r="Z3026" t="s">
        <v>9898</v>
      </c>
      <c r="AD3026">
        <f t="shared" si="95"/>
        <v>5</v>
      </c>
    </row>
    <row r="3027" spans="1:30" x14ac:dyDescent="0.25">
      <c r="A3027" t="s">
        <v>3051</v>
      </c>
      <c r="B3027" s="2">
        <v>45098</v>
      </c>
      <c r="C3027" s="2">
        <v>45102</v>
      </c>
      <c r="D3027" t="s">
        <v>5511</v>
      </c>
      <c r="E3027" t="s">
        <v>6011</v>
      </c>
      <c r="F3027" t="s">
        <v>6028</v>
      </c>
      <c r="G3027" t="s">
        <v>6031</v>
      </c>
      <c r="H3027" t="s">
        <v>6042</v>
      </c>
      <c r="I3027" t="s">
        <v>6048</v>
      </c>
      <c r="J3027" t="s">
        <v>6054</v>
      </c>
      <c r="K3027" t="s">
        <v>6060</v>
      </c>
      <c r="L3027" t="s">
        <v>8262</v>
      </c>
      <c r="M3027">
        <v>1628.54</v>
      </c>
      <c r="N3027">
        <v>2</v>
      </c>
      <c r="O3027">
        <v>0.31</v>
      </c>
      <c r="P3027">
        <v>-192.85</v>
      </c>
      <c r="Q3027" t="s">
        <v>9894</v>
      </c>
      <c r="R3027">
        <v>4</v>
      </c>
      <c r="S3027" s="5">
        <f t="shared" si="94"/>
        <v>-0.11841895194468666</v>
      </c>
      <c r="T3027">
        <v>814.27</v>
      </c>
      <c r="U3027">
        <v>6</v>
      </c>
      <c r="V3027">
        <v>2023</v>
      </c>
      <c r="W3027">
        <v>2</v>
      </c>
      <c r="X3027" t="s">
        <v>9898</v>
      </c>
      <c r="Y3027" t="s">
        <v>9902</v>
      </c>
      <c r="Z3027" t="s">
        <v>9898</v>
      </c>
      <c r="AD3027">
        <f t="shared" si="95"/>
        <v>4</v>
      </c>
    </row>
    <row r="3028" spans="1:30" x14ac:dyDescent="0.25">
      <c r="A3028" t="s">
        <v>3052</v>
      </c>
      <c r="B3028" s="2">
        <v>45419</v>
      </c>
      <c r="C3028" s="2">
        <v>45426</v>
      </c>
      <c r="D3028" t="s">
        <v>5494</v>
      </c>
      <c r="E3028" t="s">
        <v>5994</v>
      </c>
      <c r="F3028" t="s">
        <v>6028</v>
      </c>
      <c r="G3028" t="s">
        <v>6030</v>
      </c>
      <c r="H3028" t="s">
        <v>6033</v>
      </c>
      <c r="I3028" t="s">
        <v>6051</v>
      </c>
      <c r="J3028" t="s">
        <v>6054</v>
      </c>
      <c r="K3028" t="s">
        <v>6062</v>
      </c>
      <c r="L3028" t="s">
        <v>7147</v>
      </c>
      <c r="M3028">
        <v>611.54999999999995</v>
      </c>
      <c r="N3028">
        <v>5</v>
      </c>
      <c r="O3028">
        <v>0.28000000000000003</v>
      </c>
      <c r="P3028">
        <v>-91.53</v>
      </c>
      <c r="Q3028" t="s">
        <v>9893</v>
      </c>
      <c r="R3028">
        <v>7</v>
      </c>
      <c r="S3028" s="5">
        <f t="shared" si="94"/>
        <v>-0.14966887417218544</v>
      </c>
      <c r="T3028">
        <v>122.31</v>
      </c>
      <c r="U3028">
        <v>5</v>
      </c>
      <c r="V3028">
        <v>2024</v>
      </c>
      <c r="W3028">
        <v>2</v>
      </c>
      <c r="X3028" t="s">
        <v>9898</v>
      </c>
      <c r="Y3028" t="s">
        <v>9900</v>
      </c>
      <c r="Z3028" t="s">
        <v>9899</v>
      </c>
      <c r="AD3028">
        <f t="shared" si="95"/>
        <v>7</v>
      </c>
    </row>
    <row r="3029" spans="1:30" x14ac:dyDescent="0.25">
      <c r="A3029" t="s">
        <v>3053</v>
      </c>
      <c r="B3029" s="2">
        <v>45227</v>
      </c>
      <c r="C3029" s="2">
        <v>45231</v>
      </c>
      <c r="D3029" t="s">
        <v>5516</v>
      </c>
      <c r="E3029" t="s">
        <v>6016</v>
      </c>
      <c r="F3029" t="s">
        <v>6026</v>
      </c>
      <c r="G3029" t="s">
        <v>6031</v>
      </c>
      <c r="H3029" t="s">
        <v>6043</v>
      </c>
      <c r="I3029" t="s">
        <v>6048</v>
      </c>
      <c r="J3029" t="s">
        <v>6055</v>
      </c>
      <c r="K3029" t="s">
        <v>6063</v>
      </c>
      <c r="L3029" t="s">
        <v>8629</v>
      </c>
      <c r="M3029">
        <v>282.13</v>
      </c>
      <c r="N3029">
        <v>7</v>
      </c>
      <c r="O3029">
        <v>0.18</v>
      </c>
      <c r="P3029">
        <v>8.52</v>
      </c>
      <c r="Q3029" t="s">
        <v>9895</v>
      </c>
      <c r="R3029">
        <v>4</v>
      </c>
      <c r="S3029" s="5">
        <f t="shared" si="94"/>
        <v>3.0198844504306523E-2</v>
      </c>
      <c r="T3029">
        <v>40.304285714285712</v>
      </c>
      <c r="U3029">
        <v>10</v>
      </c>
      <c r="V3029">
        <v>2023</v>
      </c>
      <c r="W3029">
        <v>4</v>
      </c>
      <c r="X3029" t="s">
        <v>9899</v>
      </c>
      <c r="Y3029" t="s">
        <v>9900</v>
      </c>
      <c r="Z3029" t="s">
        <v>9899</v>
      </c>
      <c r="AD3029">
        <f t="shared" si="95"/>
        <v>4</v>
      </c>
    </row>
    <row r="3030" spans="1:30" x14ac:dyDescent="0.25">
      <c r="A3030" t="s">
        <v>3054</v>
      </c>
      <c r="B3030" s="2">
        <v>45229</v>
      </c>
      <c r="C3030" s="2">
        <v>45235</v>
      </c>
      <c r="D3030" t="s">
        <v>5087</v>
      </c>
      <c r="E3030" t="s">
        <v>5587</v>
      </c>
      <c r="F3030" t="s">
        <v>6028</v>
      </c>
      <c r="G3030" t="s">
        <v>6031</v>
      </c>
      <c r="H3030" t="s">
        <v>6037</v>
      </c>
      <c r="I3030" t="s">
        <v>6052</v>
      </c>
      <c r="J3030" t="s">
        <v>6055</v>
      </c>
      <c r="K3030" t="s">
        <v>6061</v>
      </c>
      <c r="L3030" t="s">
        <v>6365</v>
      </c>
      <c r="M3030">
        <v>1423.66</v>
      </c>
      <c r="N3030">
        <v>6</v>
      </c>
      <c r="O3030">
        <v>0.08</v>
      </c>
      <c r="P3030">
        <v>112.78</v>
      </c>
      <c r="Q3030" t="s">
        <v>9896</v>
      </c>
      <c r="R3030">
        <v>6</v>
      </c>
      <c r="S3030" s="5">
        <f t="shared" si="94"/>
        <v>7.9218352696570807E-2</v>
      </c>
      <c r="T3030">
        <v>237.2766666666667</v>
      </c>
      <c r="U3030">
        <v>10</v>
      </c>
      <c r="V3030">
        <v>2023</v>
      </c>
      <c r="W3030">
        <v>4</v>
      </c>
      <c r="X3030" t="s">
        <v>9899</v>
      </c>
      <c r="Y3030" t="s">
        <v>9901</v>
      </c>
      <c r="Z3030" t="s">
        <v>9898</v>
      </c>
      <c r="AD3030">
        <f t="shared" si="95"/>
        <v>6</v>
      </c>
    </row>
    <row r="3031" spans="1:30" x14ac:dyDescent="0.25">
      <c r="A3031" t="s">
        <v>3055</v>
      </c>
      <c r="B3031" s="2">
        <v>44930</v>
      </c>
      <c r="C3031" s="2">
        <v>44934</v>
      </c>
      <c r="D3031" t="s">
        <v>5440</v>
      </c>
      <c r="E3031" t="s">
        <v>5940</v>
      </c>
      <c r="F3031" t="s">
        <v>6026</v>
      </c>
      <c r="G3031" t="s">
        <v>6030</v>
      </c>
      <c r="H3031" t="s">
        <v>6038</v>
      </c>
      <c r="I3031" t="s">
        <v>6051</v>
      </c>
      <c r="J3031" t="s">
        <v>6053</v>
      </c>
      <c r="K3031" t="s">
        <v>6058</v>
      </c>
      <c r="L3031" t="s">
        <v>8630</v>
      </c>
      <c r="M3031">
        <v>1481.42</v>
      </c>
      <c r="N3031">
        <v>8</v>
      </c>
      <c r="O3031">
        <v>0.28999999999999998</v>
      </c>
      <c r="P3031">
        <v>-43.39</v>
      </c>
      <c r="Q3031" t="s">
        <v>9895</v>
      </c>
      <c r="R3031">
        <v>4</v>
      </c>
      <c r="S3031" s="5">
        <f t="shared" si="94"/>
        <v>-2.9289465512818781E-2</v>
      </c>
      <c r="T3031">
        <v>185.17750000000001</v>
      </c>
      <c r="U3031">
        <v>1</v>
      </c>
      <c r="V3031">
        <v>2023</v>
      </c>
      <c r="W3031">
        <v>1</v>
      </c>
      <c r="X3031" t="s">
        <v>9898</v>
      </c>
      <c r="Y3031" t="s">
        <v>9900</v>
      </c>
      <c r="Z3031" t="s">
        <v>9898</v>
      </c>
      <c r="AD3031">
        <f t="shared" si="95"/>
        <v>4</v>
      </c>
    </row>
    <row r="3032" spans="1:30" x14ac:dyDescent="0.25">
      <c r="A3032" t="s">
        <v>3056</v>
      </c>
      <c r="B3032" s="2">
        <v>44626</v>
      </c>
      <c r="C3032" s="2">
        <v>44630</v>
      </c>
      <c r="D3032" t="s">
        <v>5109</v>
      </c>
      <c r="E3032" t="s">
        <v>5609</v>
      </c>
      <c r="F3032" t="s">
        <v>6027</v>
      </c>
      <c r="G3032" t="s">
        <v>6030</v>
      </c>
      <c r="H3032" t="s">
        <v>6039</v>
      </c>
      <c r="I3032" t="s">
        <v>6051</v>
      </c>
      <c r="J3032" t="s">
        <v>6054</v>
      </c>
      <c r="K3032" t="s">
        <v>6060</v>
      </c>
      <c r="L3032" t="s">
        <v>8213</v>
      </c>
      <c r="M3032">
        <v>155.26</v>
      </c>
      <c r="N3032">
        <v>4</v>
      </c>
      <c r="O3032">
        <v>0.09</v>
      </c>
      <c r="P3032">
        <v>5.64</v>
      </c>
      <c r="Q3032" t="s">
        <v>9897</v>
      </c>
      <c r="R3032">
        <v>4</v>
      </c>
      <c r="S3032" s="5">
        <f t="shared" si="94"/>
        <v>3.632616256601829E-2</v>
      </c>
      <c r="T3032">
        <v>38.814999999999998</v>
      </c>
      <c r="U3032">
        <v>3</v>
      </c>
      <c r="V3032">
        <v>2022</v>
      </c>
      <c r="W3032">
        <v>1</v>
      </c>
      <c r="X3032" t="s">
        <v>9899</v>
      </c>
      <c r="Y3032" t="s">
        <v>9901</v>
      </c>
      <c r="Z3032" t="s">
        <v>9899</v>
      </c>
      <c r="AD3032">
        <f t="shared" si="95"/>
        <v>4</v>
      </c>
    </row>
    <row r="3033" spans="1:30" x14ac:dyDescent="0.25">
      <c r="A3033" t="s">
        <v>3057</v>
      </c>
      <c r="B3033" s="2">
        <v>44736</v>
      </c>
      <c r="C3033" s="2">
        <v>44742</v>
      </c>
      <c r="D3033" t="s">
        <v>5269</v>
      </c>
      <c r="E3033" t="s">
        <v>5769</v>
      </c>
      <c r="F3033" t="s">
        <v>6027</v>
      </c>
      <c r="G3033" t="s">
        <v>6029</v>
      </c>
      <c r="H3033" t="s">
        <v>6032</v>
      </c>
      <c r="I3033" t="s">
        <v>6050</v>
      </c>
      <c r="J3033" t="s">
        <v>6053</v>
      </c>
      <c r="K3033" t="s">
        <v>6056</v>
      </c>
      <c r="L3033" t="s">
        <v>6117</v>
      </c>
      <c r="M3033">
        <v>1668.25</v>
      </c>
      <c r="N3033">
        <v>5</v>
      </c>
      <c r="O3033">
        <v>0.28999999999999998</v>
      </c>
      <c r="P3033">
        <v>-146.53</v>
      </c>
      <c r="Q3033" t="s">
        <v>9894</v>
      </c>
      <c r="R3033">
        <v>6</v>
      </c>
      <c r="S3033" s="5">
        <f t="shared" si="94"/>
        <v>-8.7834557170687846E-2</v>
      </c>
      <c r="T3033">
        <v>333.65</v>
      </c>
      <c r="U3033">
        <v>6</v>
      </c>
      <c r="V3033">
        <v>2022</v>
      </c>
      <c r="W3033">
        <v>2</v>
      </c>
      <c r="X3033" t="s">
        <v>9898</v>
      </c>
      <c r="Y3033" t="s">
        <v>9900</v>
      </c>
      <c r="Z3033" t="s">
        <v>9898</v>
      </c>
      <c r="AD3033">
        <f t="shared" si="95"/>
        <v>6</v>
      </c>
    </row>
    <row r="3034" spans="1:30" x14ac:dyDescent="0.25">
      <c r="A3034" t="s">
        <v>3058</v>
      </c>
      <c r="B3034" s="2">
        <v>45157</v>
      </c>
      <c r="C3034" s="2">
        <v>45164</v>
      </c>
      <c r="D3034" t="s">
        <v>5315</v>
      </c>
      <c r="E3034" t="s">
        <v>5815</v>
      </c>
      <c r="F3034" t="s">
        <v>6028</v>
      </c>
      <c r="G3034" t="s">
        <v>6031</v>
      </c>
      <c r="H3034" t="s">
        <v>6037</v>
      </c>
      <c r="I3034" t="s">
        <v>6050</v>
      </c>
      <c r="J3034" t="s">
        <v>6053</v>
      </c>
      <c r="K3034" t="s">
        <v>6058</v>
      </c>
      <c r="L3034" t="s">
        <v>8631</v>
      </c>
      <c r="M3034">
        <v>1779.6</v>
      </c>
      <c r="N3034">
        <v>6</v>
      </c>
      <c r="O3034">
        <v>0.05</v>
      </c>
      <c r="P3034">
        <v>252.87</v>
      </c>
      <c r="Q3034" t="s">
        <v>9894</v>
      </c>
      <c r="R3034">
        <v>7</v>
      </c>
      <c r="S3034" s="5">
        <f t="shared" si="94"/>
        <v>0.14209372892784897</v>
      </c>
      <c r="T3034">
        <v>296.60000000000002</v>
      </c>
      <c r="U3034">
        <v>8</v>
      </c>
      <c r="V3034">
        <v>2023</v>
      </c>
      <c r="W3034">
        <v>3</v>
      </c>
      <c r="X3034" t="s">
        <v>9899</v>
      </c>
      <c r="Y3034" t="s">
        <v>9901</v>
      </c>
      <c r="Z3034" t="s">
        <v>9898</v>
      </c>
      <c r="AD3034">
        <f t="shared" si="95"/>
        <v>7</v>
      </c>
    </row>
    <row r="3035" spans="1:30" x14ac:dyDescent="0.25">
      <c r="A3035" t="s">
        <v>3059</v>
      </c>
      <c r="B3035" s="2">
        <v>45174</v>
      </c>
      <c r="C3035" s="2">
        <v>45179</v>
      </c>
      <c r="D3035" t="s">
        <v>5268</v>
      </c>
      <c r="E3035" t="s">
        <v>5768</v>
      </c>
      <c r="F3035" t="s">
        <v>6026</v>
      </c>
      <c r="G3035" t="s">
        <v>6030</v>
      </c>
      <c r="H3035" t="s">
        <v>6033</v>
      </c>
      <c r="I3035" t="s">
        <v>6051</v>
      </c>
      <c r="J3035" t="s">
        <v>6055</v>
      </c>
      <c r="K3035" t="s">
        <v>6064</v>
      </c>
      <c r="L3035" t="s">
        <v>8632</v>
      </c>
      <c r="M3035">
        <v>1855.68</v>
      </c>
      <c r="N3035">
        <v>5</v>
      </c>
      <c r="O3035">
        <v>0.02</v>
      </c>
      <c r="P3035">
        <v>382.34</v>
      </c>
      <c r="Q3035" t="s">
        <v>9896</v>
      </c>
      <c r="R3035">
        <v>5</v>
      </c>
      <c r="S3035" s="5">
        <f t="shared" si="94"/>
        <v>0.2060376789101569</v>
      </c>
      <c r="T3035">
        <v>371.13600000000002</v>
      </c>
      <c r="U3035">
        <v>9</v>
      </c>
      <c r="V3035">
        <v>2023</v>
      </c>
      <c r="W3035">
        <v>3</v>
      </c>
      <c r="X3035" t="s">
        <v>9899</v>
      </c>
      <c r="Y3035" t="s">
        <v>9901</v>
      </c>
      <c r="Z3035" t="s">
        <v>9898</v>
      </c>
      <c r="AD3035">
        <f t="shared" si="95"/>
        <v>5</v>
      </c>
    </row>
    <row r="3036" spans="1:30" x14ac:dyDescent="0.25">
      <c r="A3036" t="s">
        <v>3060</v>
      </c>
      <c r="B3036" s="2">
        <v>45200</v>
      </c>
      <c r="C3036" s="2">
        <v>45201</v>
      </c>
      <c r="D3036" t="s">
        <v>5043</v>
      </c>
      <c r="E3036" t="s">
        <v>5543</v>
      </c>
      <c r="F3036" t="s">
        <v>6028</v>
      </c>
      <c r="G3036" t="s">
        <v>6031</v>
      </c>
      <c r="H3036" t="s">
        <v>6034</v>
      </c>
      <c r="I3036" t="s">
        <v>6050</v>
      </c>
      <c r="J3036" t="s">
        <v>6053</v>
      </c>
      <c r="K3036" t="s">
        <v>6056</v>
      </c>
      <c r="L3036" t="s">
        <v>8633</v>
      </c>
      <c r="M3036">
        <v>683.02</v>
      </c>
      <c r="N3036">
        <v>4</v>
      </c>
      <c r="O3036">
        <v>0.14000000000000001</v>
      </c>
      <c r="P3036">
        <v>83.37</v>
      </c>
      <c r="Q3036" t="s">
        <v>9893</v>
      </c>
      <c r="R3036">
        <v>1</v>
      </c>
      <c r="S3036" s="5">
        <f t="shared" si="94"/>
        <v>0.1220608474129601</v>
      </c>
      <c r="T3036">
        <v>170.755</v>
      </c>
      <c r="U3036">
        <v>10</v>
      </c>
      <c r="V3036">
        <v>2023</v>
      </c>
      <c r="W3036">
        <v>4</v>
      </c>
      <c r="X3036" t="s">
        <v>9899</v>
      </c>
      <c r="Y3036" t="s">
        <v>9901</v>
      </c>
      <c r="Z3036" t="s">
        <v>9899</v>
      </c>
      <c r="AD3036">
        <f t="shared" si="95"/>
        <v>1</v>
      </c>
    </row>
    <row r="3037" spans="1:30" x14ac:dyDescent="0.25">
      <c r="A3037" t="s">
        <v>3061</v>
      </c>
      <c r="B3037" s="2">
        <v>45310</v>
      </c>
      <c r="C3037" s="2">
        <v>45312</v>
      </c>
      <c r="D3037" t="s">
        <v>5382</v>
      </c>
      <c r="E3037" t="s">
        <v>5882</v>
      </c>
      <c r="F3037" t="s">
        <v>6028</v>
      </c>
      <c r="G3037" t="s">
        <v>6031</v>
      </c>
      <c r="H3037" t="s">
        <v>6043</v>
      </c>
      <c r="I3037" t="s">
        <v>6052</v>
      </c>
      <c r="J3037" t="s">
        <v>6053</v>
      </c>
      <c r="K3037" t="s">
        <v>6056</v>
      </c>
      <c r="L3037" t="s">
        <v>8634</v>
      </c>
      <c r="M3037">
        <v>126.79</v>
      </c>
      <c r="N3037">
        <v>4</v>
      </c>
      <c r="O3037">
        <v>0.3</v>
      </c>
      <c r="P3037">
        <v>-12.23</v>
      </c>
      <c r="Q3037" t="s">
        <v>9895</v>
      </c>
      <c r="R3037">
        <v>2</v>
      </c>
      <c r="S3037" s="5">
        <f t="shared" si="94"/>
        <v>-9.6458711254830826E-2</v>
      </c>
      <c r="T3037">
        <v>31.697500000000002</v>
      </c>
      <c r="U3037">
        <v>1</v>
      </c>
      <c r="V3037">
        <v>2024</v>
      </c>
      <c r="W3037">
        <v>1</v>
      </c>
      <c r="X3037" t="s">
        <v>9898</v>
      </c>
      <c r="Y3037" t="s">
        <v>9900</v>
      </c>
      <c r="Z3037" t="s">
        <v>9899</v>
      </c>
      <c r="AD3037">
        <f t="shared" si="95"/>
        <v>2</v>
      </c>
    </row>
    <row r="3038" spans="1:30" x14ac:dyDescent="0.25">
      <c r="A3038" t="s">
        <v>3062</v>
      </c>
      <c r="B3038" s="2">
        <v>44635</v>
      </c>
      <c r="C3038" s="2">
        <v>44636</v>
      </c>
      <c r="D3038" t="s">
        <v>5297</v>
      </c>
      <c r="E3038" t="s">
        <v>5797</v>
      </c>
      <c r="F3038" t="s">
        <v>6026</v>
      </c>
      <c r="G3038" t="s">
        <v>6031</v>
      </c>
      <c r="H3038" t="s">
        <v>6040</v>
      </c>
      <c r="I3038" t="s">
        <v>6052</v>
      </c>
      <c r="J3038" t="s">
        <v>6054</v>
      </c>
      <c r="K3038" t="s">
        <v>6059</v>
      </c>
      <c r="L3038" t="s">
        <v>8635</v>
      </c>
      <c r="M3038">
        <v>1687.44</v>
      </c>
      <c r="N3038">
        <v>1</v>
      </c>
      <c r="O3038">
        <v>0.21</v>
      </c>
      <c r="P3038">
        <v>-179.92</v>
      </c>
      <c r="Q3038" t="s">
        <v>9895</v>
      </c>
      <c r="R3038">
        <v>1</v>
      </c>
      <c r="S3038" s="5">
        <f t="shared" si="94"/>
        <v>-0.10662305030104773</v>
      </c>
      <c r="T3038">
        <v>1687.44</v>
      </c>
      <c r="U3038">
        <v>3</v>
      </c>
      <c r="V3038">
        <v>2022</v>
      </c>
      <c r="W3038">
        <v>1</v>
      </c>
      <c r="X3038" t="s">
        <v>9898</v>
      </c>
      <c r="Y3038" t="s">
        <v>9900</v>
      </c>
      <c r="Z3038" t="s">
        <v>9898</v>
      </c>
      <c r="AD3038">
        <f t="shared" si="95"/>
        <v>1</v>
      </c>
    </row>
    <row r="3039" spans="1:30" x14ac:dyDescent="0.25">
      <c r="A3039" t="s">
        <v>3063</v>
      </c>
      <c r="B3039" s="2">
        <v>44849</v>
      </c>
      <c r="C3039" s="2">
        <v>44856</v>
      </c>
      <c r="D3039" t="s">
        <v>5355</v>
      </c>
      <c r="E3039" t="s">
        <v>5855</v>
      </c>
      <c r="F3039" t="s">
        <v>6027</v>
      </c>
      <c r="G3039" t="s">
        <v>6031</v>
      </c>
      <c r="H3039" t="s">
        <v>6040</v>
      </c>
      <c r="I3039" t="s">
        <v>6052</v>
      </c>
      <c r="J3039" t="s">
        <v>6053</v>
      </c>
      <c r="K3039" t="s">
        <v>6057</v>
      </c>
      <c r="L3039" t="s">
        <v>8636</v>
      </c>
      <c r="M3039">
        <v>962.18</v>
      </c>
      <c r="N3039">
        <v>6</v>
      </c>
      <c r="O3039">
        <v>0.28999999999999998</v>
      </c>
      <c r="P3039">
        <v>-46.03</v>
      </c>
      <c r="Q3039" t="s">
        <v>9897</v>
      </c>
      <c r="R3039">
        <v>7</v>
      </c>
      <c r="S3039" s="5">
        <f t="shared" si="94"/>
        <v>-4.7839281631295603E-2</v>
      </c>
      <c r="T3039">
        <v>160.36333333333329</v>
      </c>
      <c r="U3039">
        <v>10</v>
      </c>
      <c r="V3039">
        <v>2022</v>
      </c>
      <c r="W3039">
        <v>4</v>
      </c>
      <c r="X3039" t="s">
        <v>9898</v>
      </c>
      <c r="Y3039" t="s">
        <v>9900</v>
      </c>
      <c r="Z3039" t="s">
        <v>9899</v>
      </c>
      <c r="AD3039">
        <f t="shared" si="95"/>
        <v>7</v>
      </c>
    </row>
    <row r="3040" spans="1:30" x14ac:dyDescent="0.25">
      <c r="A3040" t="s">
        <v>3064</v>
      </c>
      <c r="B3040" s="2">
        <v>45364</v>
      </c>
      <c r="C3040" s="2">
        <v>45370</v>
      </c>
      <c r="D3040" t="s">
        <v>5330</v>
      </c>
      <c r="E3040" t="s">
        <v>5830</v>
      </c>
      <c r="F3040" t="s">
        <v>6026</v>
      </c>
      <c r="G3040" t="s">
        <v>6030</v>
      </c>
      <c r="H3040" t="s">
        <v>6038</v>
      </c>
      <c r="I3040" t="s">
        <v>6047</v>
      </c>
      <c r="J3040" t="s">
        <v>6053</v>
      </c>
      <c r="K3040" t="s">
        <v>6058</v>
      </c>
      <c r="L3040" t="s">
        <v>7539</v>
      </c>
      <c r="M3040">
        <v>1961.48</v>
      </c>
      <c r="N3040">
        <v>8</v>
      </c>
      <c r="O3040">
        <v>0.28999999999999998</v>
      </c>
      <c r="P3040">
        <v>-318.69</v>
      </c>
      <c r="Q3040" t="s">
        <v>9894</v>
      </c>
      <c r="R3040">
        <v>6</v>
      </c>
      <c r="S3040" s="5">
        <f t="shared" si="94"/>
        <v>-0.16247425413463304</v>
      </c>
      <c r="T3040">
        <v>245.185</v>
      </c>
      <c r="U3040">
        <v>3</v>
      </c>
      <c r="V3040">
        <v>2024</v>
      </c>
      <c r="W3040">
        <v>1</v>
      </c>
      <c r="X3040" t="s">
        <v>9898</v>
      </c>
      <c r="Y3040" t="s">
        <v>9900</v>
      </c>
      <c r="Z3040" t="s">
        <v>9898</v>
      </c>
      <c r="AD3040">
        <f t="shared" si="95"/>
        <v>6</v>
      </c>
    </row>
    <row r="3041" spans="1:30" x14ac:dyDescent="0.25">
      <c r="A3041" t="s">
        <v>3065</v>
      </c>
      <c r="B3041" s="2">
        <v>45150</v>
      </c>
      <c r="C3041" s="2">
        <v>45153</v>
      </c>
      <c r="D3041" t="s">
        <v>5476</v>
      </c>
      <c r="E3041" t="s">
        <v>5976</v>
      </c>
      <c r="F3041" t="s">
        <v>6026</v>
      </c>
      <c r="G3041" t="s">
        <v>6029</v>
      </c>
      <c r="H3041" t="s">
        <v>6044</v>
      </c>
      <c r="I3041" t="s">
        <v>6049</v>
      </c>
      <c r="J3041" t="s">
        <v>6053</v>
      </c>
      <c r="K3041" t="s">
        <v>6058</v>
      </c>
      <c r="L3041" t="s">
        <v>8637</v>
      </c>
      <c r="M3041">
        <v>780.79</v>
      </c>
      <c r="N3041">
        <v>3</v>
      </c>
      <c r="O3041">
        <v>0.2</v>
      </c>
      <c r="P3041">
        <v>-73.8</v>
      </c>
      <c r="Q3041" t="s">
        <v>9893</v>
      </c>
      <c r="R3041">
        <v>3</v>
      </c>
      <c r="S3041" s="5">
        <f t="shared" si="94"/>
        <v>-9.4519653171787552E-2</v>
      </c>
      <c r="T3041">
        <v>260.26333333333332</v>
      </c>
      <c r="U3041">
        <v>8</v>
      </c>
      <c r="V3041">
        <v>2023</v>
      </c>
      <c r="W3041">
        <v>3</v>
      </c>
      <c r="X3041" t="s">
        <v>9898</v>
      </c>
      <c r="Y3041" t="s">
        <v>9900</v>
      </c>
      <c r="Z3041" t="s">
        <v>9899</v>
      </c>
      <c r="AD3041">
        <f t="shared" si="95"/>
        <v>3</v>
      </c>
    </row>
    <row r="3042" spans="1:30" x14ac:dyDescent="0.25">
      <c r="A3042" t="s">
        <v>3066</v>
      </c>
      <c r="B3042" s="2">
        <v>45040</v>
      </c>
      <c r="C3042" s="2">
        <v>45047</v>
      </c>
      <c r="D3042" t="s">
        <v>5364</v>
      </c>
      <c r="E3042" t="s">
        <v>5864</v>
      </c>
      <c r="F3042" t="s">
        <v>6026</v>
      </c>
      <c r="G3042" t="s">
        <v>6031</v>
      </c>
      <c r="H3042" t="s">
        <v>6034</v>
      </c>
      <c r="I3042" t="s">
        <v>6050</v>
      </c>
      <c r="J3042" t="s">
        <v>6054</v>
      </c>
      <c r="K3042" t="s">
        <v>6062</v>
      </c>
      <c r="L3042" t="s">
        <v>8638</v>
      </c>
      <c r="M3042">
        <v>1096.71</v>
      </c>
      <c r="N3042">
        <v>7</v>
      </c>
      <c r="O3042">
        <v>0.32</v>
      </c>
      <c r="P3042">
        <v>-185.11</v>
      </c>
      <c r="Q3042" t="s">
        <v>9894</v>
      </c>
      <c r="R3042">
        <v>7</v>
      </c>
      <c r="S3042" s="5">
        <f t="shared" si="94"/>
        <v>-0.16878664368885121</v>
      </c>
      <c r="T3042">
        <v>156.67285714285711</v>
      </c>
      <c r="U3042">
        <v>4</v>
      </c>
      <c r="V3042">
        <v>2023</v>
      </c>
      <c r="W3042">
        <v>2</v>
      </c>
      <c r="X3042" t="s">
        <v>9898</v>
      </c>
      <c r="Y3042" t="s">
        <v>9902</v>
      </c>
      <c r="Z3042" t="s">
        <v>9898</v>
      </c>
      <c r="AD3042">
        <f t="shared" si="95"/>
        <v>7</v>
      </c>
    </row>
    <row r="3043" spans="1:30" x14ac:dyDescent="0.25">
      <c r="A3043" t="s">
        <v>3067</v>
      </c>
      <c r="B3043" s="2">
        <v>44988</v>
      </c>
      <c r="C3043" s="2">
        <v>44991</v>
      </c>
      <c r="D3043" t="s">
        <v>5106</v>
      </c>
      <c r="E3043" t="s">
        <v>5606</v>
      </c>
      <c r="F3043" t="s">
        <v>6026</v>
      </c>
      <c r="G3043" t="s">
        <v>6031</v>
      </c>
      <c r="H3043" t="s">
        <v>6042</v>
      </c>
      <c r="I3043" t="s">
        <v>6050</v>
      </c>
      <c r="J3043" t="s">
        <v>6055</v>
      </c>
      <c r="K3043" t="s">
        <v>6064</v>
      </c>
      <c r="L3043" t="s">
        <v>8639</v>
      </c>
      <c r="M3043">
        <v>433.72</v>
      </c>
      <c r="N3043">
        <v>6</v>
      </c>
      <c r="O3043">
        <v>0.33</v>
      </c>
      <c r="P3043">
        <v>-97.29</v>
      </c>
      <c r="Q3043" t="s">
        <v>9896</v>
      </c>
      <c r="R3043">
        <v>3</v>
      </c>
      <c r="S3043" s="5">
        <f t="shared" si="94"/>
        <v>-0.22431522641335425</v>
      </c>
      <c r="T3043">
        <v>72.286666666666676</v>
      </c>
      <c r="U3043">
        <v>3</v>
      </c>
      <c r="V3043">
        <v>2023</v>
      </c>
      <c r="W3043">
        <v>1</v>
      </c>
      <c r="X3043" t="s">
        <v>9898</v>
      </c>
      <c r="Y3043" t="s">
        <v>9902</v>
      </c>
      <c r="Z3043" t="s">
        <v>9899</v>
      </c>
      <c r="AD3043">
        <f t="shared" si="95"/>
        <v>3</v>
      </c>
    </row>
    <row r="3044" spans="1:30" x14ac:dyDescent="0.25">
      <c r="A3044" t="s">
        <v>3068</v>
      </c>
      <c r="B3044" s="2">
        <v>45068</v>
      </c>
      <c r="C3044" s="2">
        <v>45075</v>
      </c>
      <c r="D3044" t="s">
        <v>5492</v>
      </c>
      <c r="E3044" t="s">
        <v>5992</v>
      </c>
      <c r="F3044" t="s">
        <v>6027</v>
      </c>
      <c r="G3044" t="s">
        <v>6031</v>
      </c>
      <c r="H3044" t="s">
        <v>6042</v>
      </c>
      <c r="I3044" t="s">
        <v>6050</v>
      </c>
      <c r="J3044" t="s">
        <v>6055</v>
      </c>
      <c r="K3044" t="s">
        <v>6061</v>
      </c>
      <c r="L3044" t="s">
        <v>8268</v>
      </c>
      <c r="M3044">
        <v>1721.24</v>
      </c>
      <c r="N3044">
        <v>4</v>
      </c>
      <c r="O3044">
        <v>0.32</v>
      </c>
      <c r="P3044">
        <v>-166.59</v>
      </c>
      <c r="Q3044" t="s">
        <v>9897</v>
      </c>
      <c r="R3044">
        <v>7</v>
      </c>
      <c r="S3044" s="5">
        <f t="shared" si="94"/>
        <v>-9.6784876019613775E-2</v>
      </c>
      <c r="T3044">
        <v>430.31</v>
      </c>
      <c r="U3044">
        <v>5</v>
      </c>
      <c r="V3044">
        <v>2023</v>
      </c>
      <c r="W3044">
        <v>2</v>
      </c>
      <c r="X3044" t="s">
        <v>9898</v>
      </c>
      <c r="Y3044" t="s">
        <v>9902</v>
      </c>
      <c r="Z3044" t="s">
        <v>9898</v>
      </c>
      <c r="AD3044">
        <f t="shared" si="95"/>
        <v>7</v>
      </c>
    </row>
    <row r="3045" spans="1:30" x14ac:dyDescent="0.25">
      <c r="A3045" t="s">
        <v>3069</v>
      </c>
      <c r="B3045" s="2">
        <v>44765</v>
      </c>
      <c r="C3045" s="2">
        <v>44772</v>
      </c>
      <c r="D3045" t="s">
        <v>5380</v>
      </c>
      <c r="E3045" t="s">
        <v>5880</v>
      </c>
      <c r="F3045" t="s">
        <v>6026</v>
      </c>
      <c r="G3045" t="s">
        <v>6029</v>
      </c>
      <c r="H3045" t="s">
        <v>6032</v>
      </c>
      <c r="I3045" t="s">
        <v>6046</v>
      </c>
      <c r="J3045" t="s">
        <v>6053</v>
      </c>
      <c r="K3045" t="s">
        <v>6057</v>
      </c>
      <c r="L3045" t="s">
        <v>7857</v>
      </c>
      <c r="M3045">
        <v>690.4</v>
      </c>
      <c r="N3045">
        <v>1</v>
      </c>
      <c r="O3045">
        <v>0.26</v>
      </c>
      <c r="P3045">
        <v>-90.16</v>
      </c>
      <c r="Q3045" t="s">
        <v>9896</v>
      </c>
      <c r="R3045">
        <v>7</v>
      </c>
      <c r="S3045" s="5">
        <f t="shared" si="94"/>
        <v>-0.13059096176129781</v>
      </c>
      <c r="T3045">
        <v>690.4</v>
      </c>
      <c r="U3045">
        <v>7</v>
      </c>
      <c r="V3045">
        <v>2022</v>
      </c>
      <c r="W3045">
        <v>3</v>
      </c>
      <c r="X3045" t="s">
        <v>9898</v>
      </c>
      <c r="Y3045" t="s">
        <v>9900</v>
      </c>
      <c r="Z3045" t="s">
        <v>9899</v>
      </c>
      <c r="AD3045">
        <f t="shared" si="95"/>
        <v>7</v>
      </c>
    </row>
    <row r="3046" spans="1:30" x14ac:dyDescent="0.25">
      <c r="A3046" t="s">
        <v>3070</v>
      </c>
      <c r="B3046" s="2">
        <v>44678</v>
      </c>
      <c r="C3046" s="2">
        <v>44682</v>
      </c>
      <c r="D3046" t="s">
        <v>5411</v>
      </c>
      <c r="E3046" t="s">
        <v>5911</v>
      </c>
      <c r="F3046" t="s">
        <v>6027</v>
      </c>
      <c r="G3046" t="s">
        <v>6031</v>
      </c>
      <c r="H3046" t="s">
        <v>6042</v>
      </c>
      <c r="I3046" t="s">
        <v>6050</v>
      </c>
      <c r="J3046" t="s">
        <v>6054</v>
      </c>
      <c r="K3046" t="s">
        <v>6059</v>
      </c>
      <c r="L3046" t="s">
        <v>6154</v>
      </c>
      <c r="M3046">
        <v>1585.32</v>
      </c>
      <c r="N3046">
        <v>8</v>
      </c>
      <c r="O3046">
        <v>0.15</v>
      </c>
      <c r="P3046">
        <v>151.44</v>
      </c>
      <c r="Q3046" t="s">
        <v>9893</v>
      </c>
      <c r="R3046">
        <v>4</v>
      </c>
      <c r="S3046" s="5">
        <f t="shared" si="94"/>
        <v>9.5526455226705026E-2</v>
      </c>
      <c r="T3046">
        <v>198.16499999999999</v>
      </c>
      <c r="U3046">
        <v>4</v>
      </c>
      <c r="V3046">
        <v>2022</v>
      </c>
      <c r="W3046">
        <v>2</v>
      </c>
      <c r="X3046" t="s">
        <v>9899</v>
      </c>
      <c r="Y3046" t="s">
        <v>9901</v>
      </c>
      <c r="Z3046" t="s">
        <v>9898</v>
      </c>
      <c r="AD3046">
        <f t="shared" si="95"/>
        <v>4</v>
      </c>
    </row>
    <row r="3047" spans="1:30" x14ac:dyDescent="0.25">
      <c r="A3047" t="s">
        <v>3071</v>
      </c>
      <c r="B3047" s="2">
        <v>44837</v>
      </c>
      <c r="C3047" s="2">
        <v>44840</v>
      </c>
      <c r="D3047" t="s">
        <v>5074</v>
      </c>
      <c r="E3047" t="s">
        <v>5574</v>
      </c>
      <c r="F3047" t="s">
        <v>6028</v>
      </c>
      <c r="G3047" t="s">
        <v>6029</v>
      </c>
      <c r="H3047" t="s">
        <v>6044</v>
      </c>
      <c r="I3047" t="s">
        <v>6046</v>
      </c>
      <c r="J3047" t="s">
        <v>6054</v>
      </c>
      <c r="K3047" t="s">
        <v>6059</v>
      </c>
      <c r="L3047" t="s">
        <v>8640</v>
      </c>
      <c r="M3047">
        <v>1096.9100000000001</v>
      </c>
      <c r="N3047">
        <v>1</v>
      </c>
      <c r="O3047">
        <v>0.19</v>
      </c>
      <c r="P3047">
        <v>24.06</v>
      </c>
      <c r="Q3047" t="s">
        <v>9895</v>
      </c>
      <c r="R3047">
        <v>3</v>
      </c>
      <c r="S3047" s="5">
        <f t="shared" si="94"/>
        <v>2.1934342835784156E-2</v>
      </c>
      <c r="T3047">
        <v>1096.9100000000001</v>
      </c>
      <c r="U3047">
        <v>10</v>
      </c>
      <c r="V3047">
        <v>2022</v>
      </c>
      <c r="W3047">
        <v>4</v>
      </c>
      <c r="X3047" t="s">
        <v>9899</v>
      </c>
      <c r="Y3047" t="s">
        <v>9900</v>
      </c>
      <c r="Z3047" t="s">
        <v>9898</v>
      </c>
      <c r="AD3047">
        <f t="shared" si="95"/>
        <v>3</v>
      </c>
    </row>
    <row r="3048" spans="1:30" x14ac:dyDescent="0.25">
      <c r="A3048" t="s">
        <v>3072</v>
      </c>
      <c r="B3048" s="2">
        <v>44733</v>
      </c>
      <c r="C3048" s="2">
        <v>44735</v>
      </c>
      <c r="D3048" t="s">
        <v>5236</v>
      </c>
      <c r="E3048" t="s">
        <v>5736</v>
      </c>
      <c r="F3048" t="s">
        <v>6028</v>
      </c>
      <c r="G3048" t="s">
        <v>6029</v>
      </c>
      <c r="H3048" t="s">
        <v>6041</v>
      </c>
      <c r="I3048" t="s">
        <v>6050</v>
      </c>
      <c r="J3048" t="s">
        <v>6053</v>
      </c>
      <c r="K3048" t="s">
        <v>6057</v>
      </c>
      <c r="L3048" t="s">
        <v>8641</v>
      </c>
      <c r="M3048">
        <v>1479.38</v>
      </c>
      <c r="N3048">
        <v>6</v>
      </c>
      <c r="O3048">
        <v>0.06</v>
      </c>
      <c r="P3048">
        <v>133.4</v>
      </c>
      <c r="Q3048" t="s">
        <v>9895</v>
      </c>
      <c r="R3048">
        <v>2</v>
      </c>
      <c r="S3048" s="5">
        <f t="shared" si="94"/>
        <v>9.0172910273222565E-2</v>
      </c>
      <c r="T3048">
        <v>246.56333333333339</v>
      </c>
      <c r="U3048">
        <v>6</v>
      </c>
      <c r="V3048">
        <v>2022</v>
      </c>
      <c r="W3048">
        <v>2</v>
      </c>
      <c r="X3048" t="s">
        <v>9899</v>
      </c>
      <c r="Y3048" t="s">
        <v>9901</v>
      </c>
      <c r="Z3048" t="s">
        <v>9898</v>
      </c>
      <c r="AD3048">
        <f t="shared" si="95"/>
        <v>2</v>
      </c>
    </row>
    <row r="3049" spans="1:30" x14ac:dyDescent="0.25">
      <c r="A3049" t="s">
        <v>3073</v>
      </c>
      <c r="B3049" s="2">
        <v>44581</v>
      </c>
      <c r="C3049" s="2">
        <v>44585</v>
      </c>
      <c r="D3049" t="s">
        <v>5276</v>
      </c>
      <c r="E3049" t="s">
        <v>5776</v>
      </c>
      <c r="F3049" t="s">
        <v>6028</v>
      </c>
      <c r="G3049" t="s">
        <v>6029</v>
      </c>
      <c r="H3049" t="s">
        <v>6036</v>
      </c>
      <c r="I3049" t="s">
        <v>6050</v>
      </c>
      <c r="J3049" t="s">
        <v>6055</v>
      </c>
      <c r="K3049" t="s">
        <v>6061</v>
      </c>
      <c r="L3049" t="s">
        <v>8642</v>
      </c>
      <c r="M3049">
        <v>308.7</v>
      </c>
      <c r="N3049">
        <v>8</v>
      </c>
      <c r="O3049">
        <v>0.16</v>
      </c>
      <c r="P3049">
        <v>23.11</v>
      </c>
      <c r="Q3049" t="s">
        <v>9895</v>
      </c>
      <c r="R3049">
        <v>4</v>
      </c>
      <c r="S3049" s="5">
        <f t="shared" si="94"/>
        <v>7.4862325882734046E-2</v>
      </c>
      <c r="T3049">
        <v>38.587499999999999</v>
      </c>
      <c r="U3049">
        <v>1</v>
      </c>
      <c r="V3049">
        <v>2022</v>
      </c>
      <c r="W3049">
        <v>1</v>
      </c>
      <c r="X3049" t="s">
        <v>9899</v>
      </c>
      <c r="Y3049" t="s">
        <v>9900</v>
      </c>
      <c r="Z3049" t="s">
        <v>9899</v>
      </c>
      <c r="AD3049">
        <f t="shared" si="95"/>
        <v>4</v>
      </c>
    </row>
    <row r="3050" spans="1:30" x14ac:dyDescent="0.25">
      <c r="A3050" t="s">
        <v>3074</v>
      </c>
      <c r="B3050" s="2">
        <v>44761</v>
      </c>
      <c r="C3050" s="2">
        <v>44767</v>
      </c>
      <c r="D3050" t="s">
        <v>5293</v>
      </c>
      <c r="E3050" t="s">
        <v>5793</v>
      </c>
      <c r="F3050" t="s">
        <v>6028</v>
      </c>
      <c r="G3050" t="s">
        <v>6029</v>
      </c>
      <c r="H3050" t="s">
        <v>6045</v>
      </c>
      <c r="I3050" t="s">
        <v>6049</v>
      </c>
      <c r="J3050" t="s">
        <v>6055</v>
      </c>
      <c r="K3050" t="s">
        <v>6063</v>
      </c>
      <c r="L3050" t="s">
        <v>8643</v>
      </c>
      <c r="M3050">
        <v>392.02</v>
      </c>
      <c r="N3050">
        <v>3</v>
      </c>
      <c r="O3050">
        <v>0.17</v>
      </c>
      <c r="P3050">
        <v>42.87</v>
      </c>
      <c r="Q3050" t="s">
        <v>9893</v>
      </c>
      <c r="R3050">
        <v>6</v>
      </c>
      <c r="S3050" s="5">
        <f t="shared" si="94"/>
        <v>0.10935666547625121</v>
      </c>
      <c r="T3050">
        <v>130.67333333333329</v>
      </c>
      <c r="U3050">
        <v>7</v>
      </c>
      <c r="V3050">
        <v>2022</v>
      </c>
      <c r="W3050">
        <v>3</v>
      </c>
      <c r="X3050" t="s">
        <v>9899</v>
      </c>
      <c r="Y3050" t="s">
        <v>9900</v>
      </c>
      <c r="Z3050" t="s">
        <v>9899</v>
      </c>
      <c r="AD3050">
        <f t="shared" si="95"/>
        <v>6</v>
      </c>
    </row>
    <row r="3051" spans="1:30" x14ac:dyDescent="0.25">
      <c r="A3051" t="s">
        <v>3075</v>
      </c>
      <c r="B3051" s="2">
        <v>44861</v>
      </c>
      <c r="C3051" s="2">
        <v>44868</v>
      </c>
      <c r="D3051" t="s">
        <v>5031</v>
      </c>
      <c r="E3051" t="s">
        <v>5531</v>
      </c>
      <c r="F3051" t="s">
        <v>6026</v>
      </c>
      <c r="G3051" t="s">
        <v>6031</v>
      </c>
      <c r="H3051" t="s">
        <v>6034</v>
      </c>
      <c r="I3051" t="s">
        <v>6048</v>
      </c>
      <c r="J3051" t="s">
        <v>6055</v>
      </c>
      <c r="K3051" t="s">
        <v>6061</v>
      </c>
      <c r="L3051" t="s">
        <v>8642</v>
      </c>
      <c r="M3051">
        <v>829.71</v>
      </c>
      <c r="N3051">
        <v>8</v>
      </c>
      <c r="O3051">
        <v>0.25</v>
      </c>
      <c r="P3051">
        <v>16.100000000000001</v>
      </c>
      <c r="Q3051" t="s">
        <v>9894</v>
      </c>
      <c r="R3051">
        <v>7</v>
      </c>
      <c r="S3051" s="5">
        <f t="shared" si="94"/>
        <v>1.9404370201636718E-2</v>
      </c>
      <c r="T3051">
        <v>103.71375</v>
      </c>
      <c r="U3051">
        <v>10</v>
      </c>
      <c r="V3051">
        <v>2022</v>
      </c>
      <c r="W3051">
        <v>4</v>
      </c>
      <c r="X3051" t="s">
        <v>9899</v>
      </c>
      <c r="Y3051" t="s">
        <v>9900</v>
      </c>
      <c r="Z3051" t="s">
        <v>9899</v>
      </c>
      <c r="AD3051">
        <f t="shared" si="95"/>
        <v>7</v>
      </c>
    </row>
    <row r="3052" spans="1:30" x14ac:dyDescent="0.25">
      <c r="A3052" t="s">
        <v>3076</v>
      </c>
      <c r="B3052" s="2">
        <v>44631</v>
      </c>
      <c r="C3052" s="2">
        <v>44635</v>
      </c>
      <c r="D3052" t="s">
        <v>5517</v>
      </c>
      <c r="E3052" t="s">
        <v>6017</v>
      </c>
      <c r="F3052" t="s">
        <v>6027</v>
      </c>
      <c r="G3052" t="s">
        <v>6029</v>
      </c>
      <c r="H3052" t="s">
        <v>6044</v>
      </c>
      <c r="I3052" t="s">
        <v>6049</v>
      </c>
      <c r="J3052" t="s">
        <v>6053</v>
      </c>
      <c r="K3052" t="s">
        <v>6058</v>
      </c>
      <c r="L3052" t="s">
        <v>7415</v>
      </c>
      <c r="M3052">
        <v>992.16</v>
      </c>
      <c r="N3052">
        <v>3</v>
      </c>
      <c r="O3052">
        <v>0.16</v>
      </c>
      <c r="P3052">
        <v>41.7</v>
      </c>
      <c r="Q3052" t="s">
        <v>9894</v>
      </c>
      <c r="R3052">
        <v>4</v>
      </c>
      <c r="S3052" s="5">
        <f t="shared" si="94"/>
        <v>4.2029511369134014E-2</v>
      </c>
      <c r="T3052">
        <v>330.72</v>
      </c>
      <c r="U3052">
        <v>3</v>
      </c>
      <c r="V3052">
        <v>2022</v>
      </c>
      <c r="W3052">
        <v>1</v>
      </c>
      <c r="X3052" t="s">
        <v>9899</v>
      </c>
      <c r="Y3052" t="s">
        <v>9900</v>
      </c>
      <c r="Z3052" t="s">
        <v>9899</v>
      </c>
      <c r="AD3052">
        <f t="shared" si="95"/>
        <v>4</v>
      </c>
    </row>
    <row r="3053" spans="1:30" x14ac:dyDescent="0.25">
      <c r="A3053" t="s">
        <v>3077</v>
      </c>
      <c r="B3053" s="2">
        <v>44564</v>
      </c>
      <c r="C3053" s="2">
        <v>44571</v>
      </c>
      <c r="D3053" t="s">
        <v>5287</v>
      </c>
      <c r="E3053" t="s">
        <v>5787</v>
      </c>
      <c r="F3053" t="s">
        <v>6028</v>
      </c>
      <c r="G3053" t="s">
        <v>6029</v>
      </c>
      <c r="H3053" t="s">
        <v>6032</v>
      </c>
      <c r="I3053" t="s">
        <v>6049</v>
      </c>
      <c r="J3053" t="s">
        <v>6053</v>
      </c>
      <c r="K3053" t="s">
        <v>6056</v>
      </c>
      <c r="L3053" t="s">
        <v>8644</v>
      </c>
      <c r="M3053">
        <v>1293.04</v>
      </c>
      <c r="N3053">
        <v>1</v>
      </c>
      <c r="O3053">
        <v>0.14000000000000001</v>
      </c>
      <c r="P3053">
        <v>200.79</v>
      </c>
      <c r="Q3053" t="s">
        <v>9893</v>
      </c>
      <c r="R3053">
        <v>7</v>
      </c>
      <c r="S3053" s="5">
        <f t="shared" si="94"/>
        <v>0.15528521932809503</v>
      </c>
      <c r="T3053">
        <v>1293.04</v>
      </c>
      <c r="U3053">
        <v>1</v>
      </c>
      <c r="V3053">
        <v>2022</v>
      </c>
      <c r="W3053">
        <v>1</v>
      </c>
      <c r="X3053" t="s">
        <v>9899</v>
      </c>
      <c r="Y3053" t="s">
        <v>9901</v>
      </c>
      <c r="Z3053" t="s">
        <v>9898</v>
      </c>
      <c r="AD3053">
        <f t="shared" si="95"/>
        <v>7</v>
      </c>
    </row>
    <row r="3054" spans="1:30" x14ac:dyDescent="0.25">
      <c r="A3054" t="s">
        <v>3078</v>
      </c>
      <c r="B3054" s="2">
        <v>44992</v>
      </c>
      <c r="C3054" s="2">
        <v>44997</v>
      </c>
      <c r="D3054" t="s">
        <v>5105</v>
      </c>
      <c r="E3054" t="s">
        <v>5605</v>
      </c>
      <c r="F3054" t="s">
        <v>6027</v>
      </c>
      <c r="G3054" t="s">
        <v>6030</v>
      </c>
      <c r="H3054" t="s">
        <v>6038</v>
      </c>
      <c r="I3054" t="s">
        <v>6047</v>
      </c>
      <c r="J3054" t="s">
        <v>6055</v>
      </c>
      <c r="K3054" t="s">
        <v>6064</v>
      </c>
      <c r="L3054" t="s">
        <v>6763</v>
      </c>
      <c r="M3054">
        <v>404.28</v>
      </c>
      <c r="N3054">
        <v>6</v>
      </c>
      <c r="O3054">
        <v>0.06</v>
      </c>
      <c r="P3054">
        <v>68</v>
      </c>
      <c r="Q3054" t="s">
        <v>9896</v>
      </c>
      <c r="R3054">
        <v>5</v>
      </c>
      <c r="S3054" s="5">
        <f t="shared" si="94"/>
        <v>0.16820025724745227</v>
      </c>
      <c r="T3054">
        <v>67.38</v>
      </c>
      <c r="U3054">
        <v>3</v>
      </c>
      <c r="V3054">
        <v>2023</v>
      </c>
      <c r="W3054">
        <v>1</v>
      </c>
      <c r="X3054" t="s">
        <v>9899</v>
      </c>
      <c r="Y3054" t="s">
        <v>9901</v>
      </c>
      <c r="Z3054" t="s">
        <v>9899</v>
      </c>
      <c r="AD3054">
        <f t="shared" si="95"/>
        <v>5</v>
      </c>
    </row>
    <row r="3055" spans="1:30" x14ac:dyDescent="0.25">
      <c r="A3055" t="s">
        <v>3079</v>
      </c>
      <c r="B3055" s="2">
        <v>45068</v>
      </c>
      <c r="C3055" s="2">
        <v>45072</v>
      </c>
      <c r="D3055" t="s">
        <v>5263</v>
      </c>
      <c r="E3055" t="s">
        <v>5763</v>
      </c>
      <c r="F3055" t="s">
        <v>6027</v>
      </c>
      <c r="G3055" t="s">
        <v>6029</v>
      </c>
      <c r="H3055" t="s">
        <v>6041</v>
      </c>
      <c r="I3055" t="s">
        <v>6049</v>
      </c>
      <c r="J3055" t="s">
        <v>6054</v>
      </c>
      <c r="K3055" t="s">
        <v>6060</v>
      </c>
      <c r="L3055" t="s">
        <v>8645</v>
      </c>
      <c r="M3055">
        <v>1753.53</v>
      </c>
      <c r="N3055">
        <v>5</v>
      </c>
      <c r="O3055">
        <v>0.28000000000000003</v>
      </c>
      <c r="P3055">
        <v>-295.99</v>
      </c>
      <c r="Q3055" t="s">
        <v>9896</v>
      </c>
      <c r="R3055">
        <v>4</v>
      </c>
      <c r="S3055" s="5">
        <f t="shared" si="94"/>
        <v>-0.16879665588840795</v>
      </c>
      <c r="T3055">
        <v>350.70600000000002</v>
      </c>
      <c r="U3055">
        <v>5</v>
      </c>
      <c r="V3055">
        <v>2023</v>
      </c>
      <c r="W3055">
        <v>2</v>
      </c>
      <c r="X3055" t="s">
        <v>9898</v>
      </c>
      <c r="Y3055" t="s">
        <v>9900</v>
      </c>
      <c r="Z3055" t="s">
        <v>9898</v>
      </c>
      <c r="AD3055">
        <f t="shared" si="95"/>
        <v>4</v>
      </c>
    </row>
    <row r="3056" spans="1:30" x14ac:dyDescent="0.25">
      <c r="A3056" t="s">
        <v>3080</v>
      </c>
      <c r="B3056" s="2">
        <v>45366</v>
      </c>
      <c r="C3056" s="2">
        <v>45370</v>
      </c>
      <c r="D3056" t="s">
        <v>5404</v>
      </c>
      <c r="E3056" t="s">
        <v>5904</v>
      </c>
      <c r="F3056" t="s">
        <v>6026</v>
      </c>
      <c r="G3056" t="s">
        <v>6031</v>
      </c>
      <c r="H3056" t="s">
        <v>6043</v>
      </c>
      <c r="I3056" t="s">
        <v>6050</v>
      </c>
      <c r="J3056" t="s">
        <v>6054</v>
      </c>
      <c r="K3056" t="s">
        <v>6062</v>
      </c>
      <c r="L3056" t="s">
        <v>7975</v>
      </c>
      <c r="M3056">
        <v>1553.88</v>
      </c>
      <c r="N3056">
        <v>2</v>
      </c>
      <c r="O3056">
        <v>0.05</v>
      </c>
      <c r="P3056">
        <v>365.95</v>
      </c>
      <c r="Q3056" t="s">
        <v>9894</v>
      </c>
      <c r="R3056">
        <v>4</v>
      </c>
      <c r="S3056" s="5">
        <f t="shared" si="94"/>
        <v>0.23550724637681156</v>
      </c>
      <c r="T3056">
        <v>776.94</v>
      </c>
      <c r="U3056">
        <v>3</v>
      </c>
      <c r="V3056">
        <v>2024</v>
      </c>
      <c r="W3056">
        <v>1</v>
      </c>
      <c r="X3056" t="s">
        <v>9899</v>
      </c>
      <c r="Y3056" t="s">
        <v>9901</v>
      </c>
      <c r="Z3056" t="s">
        <v>9898</v>
      </c>
      <c r="AD3056">
        <f t="shared" si="95"/>
        <v>4</v>
      </c>
    </row>
    <row r="3057" spans="1:30" x14ac:dyDescent="0.25">
      <c r="A3057" t="s">
        <v>3081</v>
      </c>
      <c r="B3057" s="2">
        <v>44625</v>
      </c>
      <c r="C3057" s="2">
        <v>44629</v>
      </c>
      <c r="D3057" t="s">
        <v>5031</v>
      </c>
      <c r="E3057" t="s">
        <v>5531</v>
      </c>
      <c r="F3057" t="s">
        <v>6026</v>
      </c>
      <c r="G3057" t="s">
        <v>6031</v>
      </c>
      <c r="H3057" t="s">
        <v>6043</v>
      </c>
      <c r="I3057" t="s">
        <v>6052</v>
      </c>
      <c r="J3057" t="s">
        <v>6053</v>
      </c>
      <c r="K3057" t="s">
        <v>6056</v>
      </c>
      <c r="L3057" t="s">
        <v>8646</v>
      </c>
      <c r="M3057">
        <v>1060.98</v>
      </c>
      <c r="N3057">
        <v>6</v>
      </c>
      <c r="O3057">
        <v>0.04</v>
      </c>
      <c r="P3057">
        <v>164.4</v>
      </c>
      <c r="Q3057" t="s">
        <v>9893</v>
      </c>
      <c r="R3057">
        <v>4</v>
      </c>
      <c r="S3057" s="5">
        <f t="shared" si="94"/>
        <v>0.15495108296103602</v>
      </c>
      <c r="T3057">
        <v>176.83</v>
      </c>
      <c r="U3057">
        <v>3</v>
      </c>
      <c r="V3057">
        <v>2022</v>
      </c>
      <c r="W3057">
        <v>1</v>
      </c>
      <c r="X3057" t="s">
        <v>9899</v>
      </c>
      <c r="Y3057" t="s">
        <v>9901</v>
      </c>
      <c r="Z3057" t="s">
        <v>9898</v>
      </c>
      <c r="AD3057">
        <f t="shared" si="95"/>
        <v>4</v>
      </c>
    </row>
    <row r="3058" spans="1:30" x14ac:dyDescent="0.25">
      <c r="A3058" t="s">
        <v>3082</v>
      </c>
      <c r="B3058" s="2">
        <v>45248</v>
      </c>
      <c r="C3058" s="2">
        <v>45249</v>
      </c>
      <c r="D3058" t="s">
        <v>5503</v>
      </c>
      <c r="E3058" t="s">
        <v>6003</v>
      </c>
      <c r="F3058" t="s">
        <v>6027</v>
      </c>
      <c r="G3058" t="s">
        <v>6029</v>
      </c>
      <c r="H3058" t="s">
        <v>6041</v>
      </c>
      <c r="I3058" t="s">
        <v>6050</v>
      </c>
      <c r="J3058" t="s">
        <v>6055</v>
      </c>
      <c r="K3058" t="s">
        <v>6061</v>
      </c>
      <c r="L3058" t="s">
        <v>8647</v>
      </c>
      <c r="M3058">
        <v>214.93</v>
      </c>
      <c r="N3058">
        <v>6</v>
      </c>
      <c r="O3058">
        <v>0.32</v>
      </c>
      <c r="P3058">
        <v>-28.25</v>
      </c>
      <c r="Q3058" t="s">
        <v>9893</v>
      </c>
      <c r="R3058">
        <v>1</v>
      </c>
      <c r="S3058" s="5">
        <f t="shared" si="94"/>
        <v>-0.13143814265109571</v>
      </c>
      <c r="T3058">
        <v>35.821666666666673</v>
      </c>
      <c r="U3058">
        <v>11</v>
      </c>
      <c r="V3058">
        <v>2023</v>
      </c>
      <c r="W3058">
        <v>4</v>
      </c>
      <c r="X3058" t="s">
        <v>9898</v>
      </c>
      <c r="Y3058" t="s">
        <v>9902</v>
      </c>
      <c r="Z3058" t="s">
        <v>9899</v>
      </c>
      <c r="AD3058">
        <f t="shared" si="95"/>
        <v>1</v>
      </c>
    </row>
    <row r="3059" spans="1:30" x14ac:dyDescent="0.25">
      <c r="A3059" t="s">
        <v>3083</v>
      </c>
      <c r="B3059" s="2">
        <v>45370</v>
      </c>
      <c r="C3059" s="2">
        <v>45374</v>
      </c>
      <c r="D3059" t="s">
        <v>5072</v>
      </c>
      <c r="E3059" t="s">
        <v>5572</v>
      </c>
      <c r="F3059" t="s">
        <v>6028</v>
      </c>
      <c r="G3059" t="s">
        <v>6031</v>
      </c>
      <c r="H3059" t="s">
        <v>6040</v>
      </c>
      <c r="I3059" t="s">
        <v>6052</v>
      </c>
      <c r="J3059" t="s">
        <v>6054</v>
      </c>
      <c r="K3059" t="s">
        <v>6060</v>
      </c>
      <c r="L3059" t="s">
        <v>8648</v>
      </c>
      <c r="M3059">
        <v>1899.69</v>
      </c>
      <c r="N3059">
        <v>6</v>
      </c>
      <c r="O3059">
        <v>0.08</v>
      </c>
      <c r="P3059">
        <v>143.58000000000001</v>
      </c>
      <c r="Q3059" t="s">
        <v>9894</v>
      </c>
      <c r="R3059">
        <v>4</v>
      </c>
      <c r="S3059" s="5">
        <f t="shared" si="94"/>
        <v>7.5580752649116442E-2</v>
      </c>
      <c r="T3059">
        <v>316.61500000000001</v>
      </c>
      <c r="U3059">
        <v>3</v>
      </c>
      <c r="V3059">
        <v>2024</v>
      </c>
      <c r="W3059">
        <v>1</v>
      </c>
      <c r="X3059" t="s">
        <v>9899</v>
      </c>
      <c r="Y3059" t="s">
        <v>9901</v>
      </c>
      <c r="Z3059" t="s">
        <v>9898</v>
      </c>
      <c r="AD3059">
        <f t="shared" si="95"/>
        <v>4</v>
      </c>
    </row>
    <row r="3060" spans="1:30" x14ac:dyDescent="0.25">
      <c r="A3060" t="s">
        <v>3084</v>
      </c>
      <c r="B3060" s="2">
        <v>45162</v>
      </c>
      <c r="C3060" s="2">
        <v>45164</v>
      </c>
      <c r="D3060" t="s">
        <v>5377</v>
      </c>
      <c r="E3060" t="s">
        <v>5877</v>
      </c>
      <c r="F3060" t="s">
        <v>6028</v>
      </c>
      <c r="G3060" t="s">
        <v>6029</v>
      </c>
      <c r="H3060" t="s">
        <v>6036</v>
      </c>
      <c r="I3060" t="s">
        <v>6046</v>
      </c>
      <c r="J3060" t="s">
        <v>6053</v>
      </c>
      <c r="K3060" t="s">
        <v>6057</v>
      </c>
      <c r="L3060" t="s">
        <v>8649</v>
      </c>
      <c r="M3060">
        <v>1883.17</v>
      </c>
      <c r="N3060">
        <v>7</v>
      </c>
      <c r="O3060">
        <v>0.24</v>
      </c>
      <c r="P3060">
        <v>21.89</v>
      </c>
      <c r="Q3060" t="s">
        <v>9896</v>
      </c>
      <c r="R3060">
        <v>2</v>
      </c>
      <c r="S3060" s="5">
        <f t="shared" si="94"/>
        <v>1.1624016950142578E-2</v>
      </c>
      <c r="T3060">
        <v>269.02428571428572</v>
      </c>
      <c r="U3060">
        <v>8</v>
      </c>
      <c r="V3060">
        <v>2023</v>
      </c>
      <c r="W3060">
        <v>3</v>
      </c>
      <c r="X3060" t="s">
        <v>9899</v>
      </c>
      <c r="Y3060" t="s">
        <v>9900</v>
      </c>
      <c r="Z3060" t="s">
        <v>9898</v>
      </c>
      <c r="AD3060">
        <f t="shared" si="95"/>
        <v>2</v>
      </c>
    </row>
    <row r="3061" spans="1:30" x14ac:dyDescent="0.25">
      <c r="A3061" t="s">
        <v>3085</v>
      </c>
      <c r="B3061" s="2">
        <v>44761</v>
      </c>
      <c r="C3061" s="2">
        <v>44762</v>
      </c>
      <c r="D3061" t="s">
        <v>5373</v>
      </c>
      <c r="E3061" t="s">
        <v>5873</v>
      </c>
      <c r="F3061" t="s">
        <v>6028</v>
      </c>
      <c r="G3061" t="s">
        <v>6031</v>
      </c>
      <c r="H3061" t="s">
        <v>6042</v>
      </c>
      <c r="I3061" t="s">
        <v>6052</v>
      </c>
      <c r="J3061" t="s">
        <v>6055</v>
      </c>
      <c r="K3061" t="s">
        <v>6064</v>
      </c>
      <c r="L3061" t="s">
        <v>6857</v>
      </c>
      <c r="M3061">
        <v>778.43</v>
      </c>
      <c r="N3061">
        <v>3</v>
      </c>
      <c r="O3061">
        <v>0.28999999999999998</v>
      </c>
      <c r="P3061">
        <v>-15.77</v>
      </c>
      <c r="Q3061" t="s">
        <v>9894</v>
      </c>
      <c r="R3061">
        <v>1</v>
      </c>
      <c r="S3061" s="5">
        <f t="shared" si="94"/>
        <v>-2.0258725896997804E-2</v>
      </c>
      <c r="T3061">
        <v>259.47666666666657</v>
      </c>
      <c r="U3061">
        <v>7</v>
      </c>
      <c r="V3061">
        <v>2022</v>
      </c>
      <c r="W3061">
        <v>3</v>
      </c>
      <c r="X3061" t="s">
        <v>9898</v>
      </c>
      <c r="Y3061" t="s">
        <v>9900</v>
      </c>
      <c r="Z3061" t="s">
        <v>9899</v>
      </c>
      <c r="AD3061">
        <f t="shared" si="95"/>
        <v>1</v>
      </c>
    </row>
    <row r="3062" spans="1:30" x14ac:dyDescent="0.25">
      <c r="A3062" t="s">
        <v>3086</v>
      </c>
      <c r="B3062" s="2">
        <v>44735</v>
      </c>
      <c r="C3062" s="2">
        <v>44738</v>
      </c>
      <c r="D3062" t="s">
        <v>5046</v>
      </c>
      <c r="E3062" t="s">
        <v>5546</v>
      </c>
      <c r="F3062" t="s">
        <v>6028</v>
      </c>
      <c r="G3062" t="s">
        <v>6031</v>
      </c>
      <c r="H3062" t="s">
        <v>6037</v>
      </c>
      <c r="I3062" t="s">
        <v>6048</v>
      </c>
      <c r="J3062" t="s">
        <v>6055</v>
      </c>
      <c r="K3062" t="s">
        <v>6061</v>
      </c>
      <c r="L3062" t="s">
        <v>8650</v>
      </c>
      <c r="M3062">
        <v>398.6</v>
      </c>
      <c r="N3062">
        <v>8</v>
      </c>
      <c r="O3062">
        <v>7.0000000000000007E-2</v>
      </c>
      <c r="P3062">
        <v>80.41</v>
      </c>
      <c r="Q3062" t="s">
        <v>9896</v>
      </c>
      <c r="R3062">
        <v>3</v>
      </c>
      <c r="S3062" s="5">
        <f t="shared" si="94"/>
        <v>0.20173105870546912</v>
      </c>
      <c r="T3062">
        <v>49.825000000000003</v>
      </c>
      <c r="U3062">
        <v>6</v>
      </c>
      <c r="V3062">
        <v>2022</v>
      </c>
      <c r="W3062">
        <v>2</v>
      </c>
      <c r="X3062" t="s">
        <v>9899</v>
      </c>
      <c r="Y3062" t="s">
        <v>9901</v>
      </c>
      <c r="Z3062" t="s">
        <v>9899</v>
      </c>
      <c r="AD3062">
        <f t="shared" si="95"/>
        <v>3</v>
      </c>
    </row>
    <row r="3063" spans="1:30" x14ac:dyDescent="0.25">
      <c r="A3063" t="s">
        <v>3087</v>
      </c>
      <c r="B3063" s="2">
        <v>45360</v>
      </c>
      <c r="C3063" s="2">
        <v>45364</v>
      </c>
      <c r="D3063" t="s">
        <v>5494</v>
      </c>
      <c r="E3063" t="s">
        <v>5994</v>
      </c>
      <c r="F3063" t="s">
        <v>6026</v>
      </c>
      <c r="G3063" t="s">
        <v>6030</v>
      </c>
      <c r="H3063" t="s">
        <v>6035</v>
      </c>
      <c r="I3063" t="s">
        <v>6051</v>
      </c>
      <c r="J3063" t="s">
        <v>6053</v>
      </c>
      <c r="K3063" t="s">
        <v>6056</v>
      </c>
      <c r="L3063" t="s">
        <v>8651</v>
      </c>
      <c r="M3063">
        <v>296.73</v>
      </c>
      <c r="N3063">
        <v>4</v>
      </c>
      <c r="O3063">
        <v>0.33</v>
      </c>
      <c r="P3063">
        <v>-59.67</v>
      </c>
      <c r="Q3063" t="s">
        <v>9896</v>
      </c>
      <c r="R3063">
        <v>4</v>
      </c>
      <c r="S3063" s="5">
        <f t="shared" si="94"/>
        <v>-0.20109190172884439</v>
      </c>
      <c r="T3063">
        <v>74.182500000000005</v>
      </c>
      <c r="U3063">
        <v>3</v>
      </c>
      <c r="V3063">
        <v>2024</v>
      </c>
      <c r="W3063">
        <v>1</v>
      </c>
      <c r="X3063" t="s">
        <v>9898</v>
      </c>
      <c r="Y3063" t="s">
        <v>9902</v>
      </c>
      <c r="Z3063" t="s">
        <v>9899</v>
      </c>
      <c r="AD3063">
        <f t="shared" si="95"/>
        <v>4</v>
      </c>
    </row>
    <row r="3064" spans="1:30" x14ac:dyDescent="0.25">
      <c r="A3064" t="s">
        <v>3088</v>
      </c>
      <c r="B3064" s="2">
        <v>45384</v>
      </c>
      <c r="C3064" s="2">
        <v>45385</v>
      </c>
      <c r="D3064" t="s">
        <v>5217</v>
      </c>
      <c r="E3064" t="s">
        <v>5717</v>
      </c>
      <c r="F3064" t="s">
        <v>6027</v>
      </c>
      <c r="G3064" t="s">
        <v>6030</v>
      </c>
      <c r="H3064" t="s">
        <v>6038</v>
      </c>
      <c r="I3064" t="s">
        <v>6051</v>
      </c>
      <c r="J3064" t="s">
        <v>6053</v>
      </c>
      <c r="K3064" t="s">
        <v>6058</v>
      </c>
      <c r="L3064" t="s">
        <v>8652</v>
      </c>
      <c r="M3064">
        <v>498.77</v>
      </c>
      <c r="N3064">
        <v>3</v>
      </c>
      <c r="O3064">
        <v>0.14000000000000001</v>
      </c>
      <c r="P3064">
        <v>75.400000000000006</v>
      </c>
      <c r="Q3064" t="s">
        <v>9895</v>
      </c>
      <c r="R3064">
        <v>1</v>
      </c>
      <c r="S3064" s="5">
        <f t="shared" si="94"/>
        <v>0.15117188283176616</v>
      </c>
      <c r="T3064">
        <v>166.25666666666669</v>
      </c>
      <c r="U3064">
        <v>4</v>
      </c>
      <c r="V3064">
        <v>2024</v>
      </c>
      <c r="W3064">
        <v>2</v>
      </c>
      <c r="X3064" t="s">
        <v>9899</v>
      </c>
      <c r="Y3064" t="s">
        <v>9901</v>
      </c>
      <c r="Z3064" t="s">
        <v>9899</v>
      </c>
      <c r="AD3064">
        <f t="shared" si="95"/>
        <v>1</v>
      </c>
    </row>
    <row r="3065" spans="1:30" x14ac:dyDescent="0.25">
      <c r="A3065" t="s">
        <v>3089</v>
      </c>
      <c r="B3065" s="2">
        <v>45411</v>
      </c>
      <c r="C3065" s="2">
        <v>45414</v>
      </c>
      <c r="D3065" t="s">
        <v>5168</v>
      </c>
      <c r="E3065" t="s">
        <v>5668</v>
      </c>
      <c r="F3065" t="s">
        <v>6028</v>
      </c>
      <c r="G3065" t="s">
        <v>6029</v>
      </c>
      <c r="H3065" t="s">
        <v>6041</v>
      </c>
      <c r="I3065" t="s">
        <v>6046</v>
      </c>
      <c r="J3065" t="s">
        <v>6053</v>
      </c>
      <c r="K3065" t="s">
        <v>6057</v>
      </c>
      <c r="L3065" t="s">
        <v>6873</v>
      </c>
      <c r="M3065">
        <v>270.3</v>
      </c>
      <c r="N3065">
        <v>4</v>
      </c>
      <c r="O3065">
        <v>0.14000000000000001</v>
      </c>
      <c r="P3065">
        <v>-3.32</v>
      </c>
      <c r="Q3065" t="s">
        <v>9893</v>
      </c>
      <c r="R3065">
        <v>3</v>
      </c>
      <c r="S3065" s="5">
        <f t="shared" si="94"/>
        <v>-1.2282648908620051E-2</v>
      </c>
      <c r="T3065">
        <v>67.575000000000003</v>
      </c>
      <c r="U3065">
        <v>4</v>
      </c>
      <c r="V3065">
        <v>2024</v>
      </c>
      <c r="W3065">
        <v>2</v>
      </c>
      <c r="X3065" t="s">
        <v>9898</v>
      </c>
      <c r="Y3065" t="s">
        <v>9901</v>
      </c>
      <c r="Z3065" t="s">
        <v>9899</v>
      </c>
      <c r="AD3065">
        <f t="shared" si="95"/>
        <v>3</v>
      </c>
    </row>
    <row r="3066" spans="1:30" x14ac:dyDescent="0.25">
      <c r="A3066" t="s">
        <v>3090</v>
      </c>
      <c r="B3066" s="2">
        <v>44861</v>
      </c>
      <c r="C3066" s="2">
        <v>44866</v>
      </c>
      <c r="D3066" t="s">
        <v>5353</v>
      </c>
      <c r="E3066" t="s">
        <v>5853</v>
      </c>
      <c r="F3066" t="s">
        <v>6026</v>
      </c>
      <c r="G3066" t="s">
        <v>6030</v>
      </c>
      <c r="H3066" t="s">
        <v>6033</v>
      </c>
      <c r="I3066" t="s">
        <v>6051</v>
      </c>
      <c r="J3066" t="s">
        <v>6055</v>
      </c>
      <c r="K3066" t="s">
        <v>6064</v>
      </c>
      <c r="L3066" t="s">
        <v>8653</v>
      </c>
      <c r="M3066">
        <v>681.83</v>
      </c>
      <c r="N3066">
        <v>5</v>
      </c>
      <c r="O3066">
        <v>0.33</v>
      </c>
      <c r="P3066">
        <v>-23.07</v>
      </c>
      <c r="Q3066" t="s">
        <v>9893</v>
      </c>
      <c r="R3066">
        <v>5</v>
      </c>
      <c r="S3066" s="5">
        <f t="shared" si="94"/>
        <v>-3.3835413519498994E-2</v>
      </c>
      <c r="T3066">
        <v>136.36600000000001</v>
      </c>
      <c r="U3066">
        <v>10</v>
      </c>
      <c r="V3066">
        <v>2022</v>
      </c>
      <c r="W3066">
        <v>4</v>
      </c>
      <c r="X3066" t="s">
        <v>9898</v>
      </c>
      <c r="Y3066" t="s">
        <v>9902</v>
      </c>
      <c r="Z3066" t="s">
        <v>9899</v>
      </c>
      <c r="AD3066">
        <f t="shared" si="95"/>
        <v>5</v>
      </c>
    </row>
    <row r="3067" spans="1:30" x14ac:dyDescent="0.25">
      <c r="A3067" t="s">
        <v>3091</v>
      </c>
      <c r="B3067" s="2">
        <v>45329</v>
      </c>
      <c r="C3067" s="2">
        <v>45335</v>
      </c>
      <c r="D3067" t="s">
        <v>5047</v>
      </c>
      <c r="E3067" t="s">
        <v>5547</v>
      </c>
      <c r="F3067" t="s">
        <v>6027</v>
      </c>
      <c r="G3067" t="s">
        <v>6030</v>
      </c>
      <c r="H3067" t="s">
        <v>6039</v>
      </c>
      <c r="I3067" t="s">
        <v>6047</v>
      </c>
      <c r="J3067" t="s">
        <v>6054</v>
      </c>
      <c r="K3067" t="s">
        <v>6059</v>
      </c>
      <c r="L3067" t="s">
        <v>8654</v>
      </c>
      <c r="M3067">
        <v>1369.61</v>
      </c>
      <c r="N3067">
        <v>6</v>
      </c>
      <c r="O3067">
        <v>0.06</v>
      </c>
      <c r="P3067">
        <v>233.16</v>
      </c>
      <c r="Q3067" t="s">
        <v>9893</v>
      </c>
      <c r="R3067">
        <v>6</v>
      </c>
      <c r="S3067" s="5">
        <f t="shared" si="94"/>
        <v>0.17023824300348275</v>
      </c>
      <c r="T3067">
        <v>228.26833333333329</v>
      </c>
      <c r="U3067">
        <v>2</v>
      </c>
      <c r="V3067">
        <v>2024</v>
      </c>
      <c r="W3067">
        <v>1</v>
      </c>
      <c r="X3067" t="s">
        <v>9899</v>
      </c>
      <c r="Y3067" t="s">
        <v>9901</v>
      </c>
      <c r="Z3067" t="s">
        <v>9898</v>
      </c>
      <c r="AD3067">
        <f t="shared" si="95"/>
        <v>6</v>
      </c>
    </row>
    <row r="3068" spans="1:30" x14ac:dyDescent="0.25">
      <c r="A3068" t="s">
        <v>3092</v>
      </c>
      <c r="B3068" s="2">
        <v>44881</v>
      </c>
      <c r="C3068" s="2">
        <v>44884</v>
      </c>
      <c r="D3068" t="s">
        <v>5214</v>
      </c>
      <c r="E3068" t="s">
        <v>5714</v>
      </c>
      <c r="F3068" t="s">
        <v>6026</v>
      </c>
      <c r="G3068" t="s">
        <v>6029</v>
      </c>
      <c r="H3068" t="s">
        <v>6045</v>
      </c>
      <c r="I3068" t="s">
        <v>6049</v>
      </c>
      <c r="J3068" t="s">
        <v>6054</v>
      </c>
      <c r="K3068" t="s">
        <v>6060</v>
      </c>
      <c r="L3068" t="s">
        <v>8455</v>
      </c>
      <c r="M3068">
        <v>1178.25</v>
      </c>
      <c r="N3068">
        <v>6</v>
      </c>
      <c r="O3068">
        <v>0.28999999999999998</v>
      </c>
      <c r="P3068">
        <v>-66.42</v>
      </c>
      <c r="Q3068" t="s">
        <v>9896</v>
      </c>
      <c r="R3068">
        <v>3</v>
      </c>
      <c r="S3068" s="5">
        <f t="shared" si="94"/>
        <v>-5.6371737746658178E-2</v>
      </c>
      <c r="T3068">
        <v>196.375</v>
      </c>
      <c r="U3068">
        <v>11</v>
      </c>
      <c r="V3068">
        <v>2022</v>
      </c>
      <c r="W3068">
        <v>4</v>
      </c>
      <c r="X3068" t="s">
        <v>9898</v>
      </c>
      <c r="Y3068" t="s">
        <v>9900</v>
      </c>
      <c r="Z3068" t="s">
        <v>9898</v>
      </c>
      <c r="AD3068">
        <f t="shared" si="95"/>
        <v>3</v>
      </c>
    </row>
    <row r="3069" spans="1:30" x14ac:dyDescent="0.25">
      <c r="A3069" t="s">
        <v>3093</v>
      </c>
      <c r="B3069" s="2">
        <v>45224</v>
      </c>
      <c r="C3069" s="2">
        <v>45228</v>
      </c>
      <c r="D3069" t="s">
        <v>5520</v>
      </c>
      <c r="E3069" t="s">
        <v>6020</v>
      </c>
      <c r="F3069" t="s">
        <v>6028</v>
      </c>
      <c r="G3069" t="s">
        <v>6029</v>
      </c>
      <c r="H3069" t="s">
        <v>6041</v>
      </c>
      <c r="I3069" t="s">
        <v>6049</v>
      </c>
      <c r="J3069" t="s">
        <v>6055</v>
      </c>
      <c r="K3069" t="s">
        <v>6063</v>
      </c>
      <c r="L3069" t="s">
        <v>7074</v>
      </c>
      <c r="M3069">
        <v>1802.15</v>
      </c>
      <c r="N3069">
        <v>5</v>
      </c>
      <c r="O3069">
        <v>0.15</v>
      </c>
      <c r="P3069">
        <v>40.840000000000003</v>
      </c>
      <c r="Q3069" t="s">
        <v>9896</v>
      </c>
      <c r="R3069">
        <v>4</v>
      </c>
      <c r="S3069" s="5">
        <f t="shared" si="94"/>
        <v>2.2661820603168438E-2</v>
      </c>
      <c r="T3069">
        <v>360.43</v>
      </c>
      <c r="U3069">
        <v>10</v>
      </c>
      <c r="V3069">
        <v>2023</v>
      </c>
      <c r="W3069">
        <v>4</v>
      </c>
      <c r="X3069" t="s">
        <v>9899</v>
      </c>
      <c r="Y3069" t="s">
        <v>9901</v>
      </c>
      <c r="Z3069" t="s">
        <v>9898</v>
      </c>
      <c r="AD3069">
        <f t="shared" si="95"/>
        <v>4</v>
      </c>
    </row>
    <row r="3070" spans="1:30" x14ac:dyDescent="0.25">
      <c r="A3070" t="s">
        <v>3094</v>
      </c>
      <c r="B3070" s="2">
        <v>45455</v>
      </c>
      <c r="C3070" s="2">
        <v>45460</v>
      </c>
      <c r="D3070" t="s">
        <v>5304</v>
      </c>
      <c r="E3070" t="s">
        <v>5804</v>
      </c>
      <c r="F3070" t="s">
        <v>6028</v>
      </c>
      <c r="G3070" t="s">
        <v>6030</v>
      </c>
      <c r="H3070" t="s">
        <v>6038</v>
      </c>
      <c r="I3070" t="s">
        <v>6051</v>
      </c>
      <c r="J3070" t="s">
        <v>6055</v>
      </c>
      <c r="K3070" t="s">
        <v>6064</v>
      </c>
      <c r="L3070" t="s">
        <v>8655</v>
      </c>
      <c r="M3070">
        <v>1313.73</v>
      </c>
      <c r="N3070">
        <v>6</v>
      </c>
      <c r="O3070">
        <v>0</v>
      </c>
      <c r="P3070">
        <v>306.32</v>
      </c>
      <c r="Q3070" t="s">
        <v>9895</v>
      </c>
      <c r="R3070">
        <v>5</v>
      </c>
      <c r="S3070" s="5">
        <f t="shared" si="94"/>
        <v>0.23316815479588651</v>
      </c>
      <c r="T3070">
        <v>218.95500000000001</v>
      </c>
      <c r="U3070">
        <v>6</v>
      </c>
      <c r="V3070">
        <v>2024</v>
      </c>
      <c r="W3070">
        <v>2</v>
      </c>
      <c r="X3070" t="s">
        <v>9899</v>
      </c>
      <c r="Y3070" t="s">
        <v>9901</v>
      </c>
      <c r="Z3070" t="s">
        <v>9898</v>
      </c>
      <c r="AD3070">
        <f t="shared" si="95"/>
        <v>5</v>
      </c>
    </row>
    <row r="3071" spans="1:30" x14ac:dyDescent="0.25">
      <c r="A3071" t="s">
        <v>3095</v>
      </c>
      <c r="B3071" s="2">
        <v>44967</v>
      </c>
      <c r="C3071" s="2">
        <v>44973</v>
      </c>
      <c r="D3071" t="s">
        <v>5404</v>
      </c>
      <c r="E3071" t="s">
        <v>5904</v>
      </c>
      <c r="F3071" t="s">
        <v>6028</v>
      </c>
      <c r="G3071" t="s">
        <v>6031</v>
      </c>
      <c r="H3071" t="s">
        <v>6040</v>
      </c>
      <c r="I3071" t="s">
        <v>6052</v>
      </c>
      <c r="J3071" t="s">
        <v>6054</v>
      </c>
      <c r="K3071" t="s">
        <v>6059</v>
      </c>
      <c r="L3071" t="s">
        <v>7501</v>
      </c>
      <c r="M3071">
        <v>1043.71</v>
      </c>
      <c r="N3071">
        <v>2</v>
      </c>
      <c r="O3071">
        <v>0.11</v>
      </c>
      <c r="P3071">
        <v>-1.77</v>
      </c>
      <c r="Q3071" t="s">
        <v>9897</v>
      </c>
      <c r="R3071">
        <v>6</v>
      </c>
      <c r="S3071" s="5">
        <f t="shared" si="94"/>
        <v>-1.6958733747880158E-3</v>
      </c>
      <c r="T3071">
        <v>521.85500000000002</v>
      </c>
      <c r="U3071">
        <v>2</v>
      </c>
      <c r="V3071">
        <v>2023</v>
      </c>
      <c r="W3071">
        <v>1</v>
      </c>
      <c r="X3071" t="s">
        <v>9898</v>
      </c>
      <c r="Y3071" t="s">
        <v>9901</v>
      </c>
      <c r="Z3071" t="s">
        <v>9898</v>
      </c>
      <c r="AD3071">
        <f t="shared" si="95"/>
        <v>6</v>
      </c>
    </row>
    <row r="3072" spans="1:30" x14ac:dyDescent="0.25">
      <c r="A3072" t="s">
        <v>3096</v>
      </c>
      <c r="B3072" s="2">
        <v>44842</v>
      </c>
      <c r="C3072" s="2">
        <v>44843</v>
      </c>
      <c r="D3072" t="s">
        <v>5187</v>
      </c>
      <c r="E3072" t="s">
        <v>5687</v>
      </c>
      <c r="F3072" t="s">
        <v>6027</v>
      </c>
      <c r="G3072" t="s">
        <v>6030</v>
      </c>
      <c r="H3072" t="s">
        <v>6039</v>
      </c>
      <c r="I3072" t="s">
        <v>6051</v>
      </c>
      <c r="J3072" t="s">
        <v>6053</v>
      </c>
      <c r="K3072" t="s">
        <v>6058</v>
      </c>
      <c r="L3072" t="s">
        <v>8656</v>
      </c>
      <c r="M3072">
        <v>1762.06</v>
      </c>
      <c r="N3072">
        <v>5</v>
      </c>
      <c r="O3072">
        <v>0.35</v>
      </c>
      <c r="P3072">
        <v>-216.67</v>
      </c>
      <c r="Q3072" t="s">
        <v>9893</v>
      </c>
      <c r="R3072">
        <v>1</v>
      </c>
      <c r="S3072" s="5">
        <f t="shared" si="94"/>
        <v>-0.1229640307367513</v>
      </c>
      <c r="T3072">
        <v>352.41199999999998</v>
      </c>
      <c r="U3072">
        <v>10</v>
      </c>
      <c r="V3072">
        <v>2022</v>
      </c>
      <c r="W3072">
        <v>4</v>
      </c>
      <c r="X3072" t="s">
        <v>9898</v>
      </c>
      <c r="Y3072" t="s">
        <v>9902</v>
      </c>
      <c r="Z3072" t="s">
        <v>9898</v>
      </c>
      <c r="AD3072">
        <f t="shared" si="95"/>
        <v>1</v>
      </c>
    </row>
    <row r="3073" spans="1:30" x14ac:dyDescent="0.25">
      <c r="A3073" t="s">
        <v>3097</v>
      </c>
      <c r="B3073" s="2">
        <v>44787</v>
      </c>
      <c r="C3073" s="2">
        <v>44791</v>
      </c>
      <c r="D3073" t="s">
        <v>5376</v>
      </c>
      <c r="E3073" t="s">
        <v>5876</v>
      </c>
      <c r="F3073" t="s">
        <v>6026</v>
      </c>
      <c r="G3073" t="s">
        <v>6031</v>
      </c>
      <c r="H3073" t="s">
        <v>6042</v>
      </c>
      <c r="I3073" t="s">
        <v>6052</v>
      </c>
      <c r="J3073" t="s">
        <v>6053</v>
      </c>
      <c r="K3073" t="s">
        <v>6057</v>
      </c>
      <c r="L3073" t="s">
        <v>8657</v>
      </c>
      <c r="M3073">
        <v>1917.37</v>
      </c>
      <c r="N3073">
        <v>1</v>
      </c>
      <c r="O3073">
        <v>0.18</v>
      </c>
      <c r="P3073">
        <v>-69.63</v>
      </c>
      <c r="Q3073" t="s">
        <v>9893</v>
      </c>
      <c r="R3073">
        <v>4</v>
      </c>
      <c r="S3073" s="5">
        <f t="shared" si="94"/>
        <v>-3.6315369490500009E-2</v>
      </c>
      <c r="T3073">
        <v>1917.37</v>
      </c>
      <c r="U3073">
        <v>8</v>
      </c>
      <c r="V3073">
        <v>2022</v>
      </c>
      <c r="W3073">
        <v>3</v>
      </c>
      <c r="X3073" t="s">
        <v>9898</v>
      </c>
      <c r="Y3073" t="s">
        <v>9900</v>
      </c>
      <c r="Z3073" t="s">
        <v>9898</v>
      </c>
      <c r="AD3073">
        <f t="shared" si="95"/>
        <v>4</v>
      </c>
    </row>
    <row r="3074" spans="1:30" x14ac:dyDescent="0.25">
      <c r="A3074" t="s">
        <v>3098</v>
      </c>
      <c r="B3074" s="2">
        <v>44704</v>
      </c>
      <c r="C3074" s="2">
        <v>44709</v>
      </c>
      <c r="D3074" t="s">
        <v>5354</v>
      </c>
      <c r="E3074" t="s">
        <v>5854</v>
      </c>
      <c r="F3074" t="s">
        <v>6028</v>
      </c>
      <c r="G3074" t="s">
        <v>6030</v>
      </c>
      <c r="H3074" t="s">
        <v>6035</v>
      </c>
      <c r="I3074" t="s">
        <v>6047</v>
      </c>
      <c r="J3074" t="s">
        <v>6055</v>
      </c>
      <c r="K3074" t="s">
        <v>6063</v>
      </c>
      <c r="L3074" t="s">
        <v>8658</v>
      </c>
      <c r="M3074">
        <v>418.04</v>
      </c>
      <c r="N3074">
        <v>7</v>
      </c>
      <c r="O3074">
        <v>0.01</v>
      </c>
      <c r="P3074">
        <v>63.8</v>
      </c>
      <c r="Q3074" t="s">
        <v>9895</v>
      </c>
      <c r="R3074">
        <v>5</v>
      </c>
      <c r="S3074" s="5">
        <f t="shared" si="94"/>
        <v>0.15261697445220551</v>
      </c>
      <c r="T3074">
        <v>59.720000000000013</v>
      </c>
      <c r="U3074">
        <v>5</v>
      </c>
      <c r="V3074">
        <v>2022</v>
      </c>
      <c r="W3074">
        <v>2</v>
      </c>
      <c r="X3074" t="s">
        <v>9899</v>
      </c>
      <c r="Y3074" t="s">
        <v>9901</v>
      </c>
      <c r="Z3074" t="s">
        <v>9899</v>
      </c>
      <c r="AD3074">
        <f t="shared" si="95"/>
        <v>5</v>
      </c>
    </row>
    <row r="3075" spans="1:30" x14ac:dyDescent="0.25">
      <c r="A3075" t="s">
        <v>3099</v>
      </c>
      <c r="B3075" s="2">
        <v>44606</v>
      </c>
      <c r="C3075" s="2">
        <v>44612</v>
      </c>
      <c r="D3075" t="s">
        <v>5033</v>
      </c>
      <c r="E3075" t="s">
        <v>5533</v>
      </c>
      <c r="F3075" t="s">
        <v>6027</v>
      </c>
      <c r="G3075" t="s">
        <v>6029</v>
      </c>
      <c r="H3075" t="s">
        <v>6041</v>
      </c>
      <c r="I3075" t="s">
        <v>6049</v>
      </c>
      <c r="J3075" t="s">
        <v>6053</v>
      </c>
      <c r="K3075" t="s">
        <v>6056</v>
      </c>
      <c r="L3075" t="s">
        <v>8659</v>
      </c>
      <c r="M3075">
        <v>1710.65</v>
      </c>
      <c r="N3075">
        <v>1</v>
      </c>
      <c r="O3075">
        <v>0.1</v>
      </c>
      <c r="P3075">
        <v>245.19</v>
      </c>
      <c r="Q3075" t="s">
        <v>9895</v>
      </c>
      <c r="R3075">
        <v>6</v>
      </c>
      <c r="S3075" s="5">
        <f t="shared" ref="S3075:S3138" si="96">P3075/M3075</f>
        <v>0.14333148218513431</v>
      </c>
      <c r="T3075">
        <v>1710.65</v>
      </c>
      <c r="U3075">
        <v>2</v>
      </c>
      <c r="V3075">
        <v>2022</v>
      </c>
      <c r="W3075">
        <v>1</v>
      </c>
      <c r="X3075" t="s">
        <v>9899</v>
      </c>
      <c r="Y3075" t="s">
        <v>9901</v>
      </c>
      <c r="Z3075" t="s">
        <v>9898</v>
      </c>
      <c r="AD3075">
        <f t="shared" ref="AD3075:AD3138" si="97">C3075-B3075</f>
        <v>6</v>
      </c>
    </row>
    <row r="3076" spans="1:30" x14ac:dyDescent="0.25">
      <c r="A3076" t="s">
        <v>3100</v>
      </c>
      <c r="B3076" s="2">
        <v>44951</v>
      </c>
      <c r="C3076" s="2">
        <v>44953</v>
      </c>
      <c r="D3076" t="s">
        <v>5105</v>
      </c>
      <c r="E3076" t="s">
        <v>5605</v>
      </c>
      <c r="F3076" t="s">
        <v>6028</v>
      </c>
      <c r="G3076" t="s">
        <v>6031</v>
      </c>
      <c r="H3076" t="s">
        <v>6040</v>
      </c>
      <c r="I3076" t="s">
        <v>6050</v>
      </c>
      <c r="J3076" t="s">
        <v>6055</v>
      </c>
      <c r="K3076" t="s">
        <v>6063</v>
      </c>
      <c r="L3076" t="s">
        <v>8660</v>
      </c>
      <c r="M3076">
        <v>316.79000000000002</v>
      </c>
      <c r="N3076">
        <v>8</v>
      </c>
      <c r="O3076">
        <v>0.14000000000000001</v>
      </c>
      <c r="P3076">
        <v>-10.45</v>
      </c>
      <c r="Q3076" t="s">
        <v>9895</v>
      </c>
      <c r="R3076">
        <v>2</v>
      </c>
      <c r="S3076" s="5">
        <f t="shared" si="96"/>
        <v>-3.2987152372233965E-2</v>
      </c>
      <c r="T3076">
        <v>39.598750000000003</v>
      </c>
      <c r="U3076">
        <v>1</v>
      </c>
      <c r="V3076">
        <v>2023</v>
      </c>
      <c r="W3076">
        <v>1</v>
      </c>
      <c r="X3076" t="s">
        <v>9898</v>
      </c>
      <c r="Y3076" t="s">
        <v>9901</v>
      </c>
      <c r="Z3076" t="s">
        <v>9899</v>
      </c>
      <c r="AD3076">
        <f t="shared" si="97"/>
        <v>2</v>
      </c>
    </row>
    <row r="3077" spans="1:30" x14ac:dyDescent="0.25">
      <c r="A3077" t="s">
        <v>3101</v>
      </c>
      <c r="B3077" s="2">
        <v>44906</v>
      </c>
      <c r="C3077" s="2">
        <v>44910</v>
      </c>
      <c r="D3077" t="s">
        <v>5193</v>
      </c>
      <c r="E3077" t="s">
        <v>5693</v>
      </c>
      <c r="F3077" t="s">
        <v>6028</v>
      </c>
      <c r="G3077" t="s">
        <v>6031</v>
      </c>
      <c r="H3077" t="s">
        <v>6040</v>
      </c>
      <c r="I3077" t="s">
        <v>6050</v>
      </c>
      <c r="J3077" t="s">
        <v>6054</v>
      </c>
      <c r="K3077" t="s">
        <v>6059</v>
      </c>
      <c r="L3077" t="s">
        <v>8661</v>
      </c>
      <c r="M3077">
        <v>1701.11</v>
      </c>
      <c r="N3077">
        <v>6</v>
      </c>
      <c r="O3077">
        <v>0.04</v>
      </c>
      <c r="P3077">
        <v>135.72</v>
      </c>
      <c r="Q3077" t="s">
        <v>9893</v>
      </c>
      <c r="R3077">
        <v>4</v>
      </c>
      <c r="S3077" s="5">
        <f t="shared" si="96"/>
        <v>7.9783200380927746E-2</v>
      </c>
      <c r="T3077">
        <v>283.51833333333332</v>
      </c>
      <c r="U3077">
        <v>12</v>
      </c>
      <c r="V3077">
        <v>2022</v>
      </c>
      <c r="W3077">
        <v>4</v>
      </c>
      <c r="X3077" t="s">
        <v>9899</v>
      </c>
      <c r="Y3077" t="s">
        <v>9901</v>
      </c>
      <c r="Z3077" t="s">
        <v>9898</v>
      </c>
      <c r="AD3077">
        <f t="shared" si="97"/>
        <v>4</v>
      </c>
    </row>
    <row r="3078" spans="1:30" x14ac:dyDescent="0.25">
      <c r="A3078" t="s">
        <v>3102</v>
      </c>
      <c r="B3078" s="2">
        <v>44861</v>
      </c>
      <c r="C3078" s="2">
        <v>44862</v>
      </c>
      <c r="D3078" t="s">
        <v>5057</v>
      </c>
      <c r="E3078" t="s">
        <v>5557</v>
      </c>
      <c r="F3078" t="s">
        <v>6028</v>
      </c>
      <c r="G3078" t="s">
        <v>6030</v>
      </c>
      <c r="H3078" t="s">
        <v>6038</v>
      </c>
      <c r="I3078" t="s">
        <v>6051</v>
      </c>
      <c r="J3078" t="s">
        <v>6053</v>
      </c>
      <c r="K3078" t="s">
        <v>6056</v>
      </c>
      <c r="L3078" t="s">
        <v>8662</v>
      </c>
      <c r="M3078">
        <v>938.08</v>
      </c>
      <c r="N3078">
        <v>5</v>
      </c>
      <c r="O3078">
        <v>0.1</v>
      </c>
      <c r="P3078">
        <v>50.42</v>
      </c>
      <c r="Q3078" t="s">
        <v>9895</v>
      </c>
      <c r="R3078">
        <v>1</v>
      </c>
      <c r="S3078" s="5">
        <f t="shared" si="96"/>
        <v>5.3748081187105577E-2</v>
      </c>
      <c r="T3078">
        <v>187.61600000000001</v>
      </c>
      <c r="U3078">
        <v>10</v>
      </c>
      <c r="V3078">
        <v>2022</v>
      </c>
      <c r="W3078">
        <v>4</v>
      </c>
      <c r="X3078" t="s">
        <v>9899</v>
      </c>
      <c r="Y3078" t="s">
        <v>9901</v>
      </c>
      <c r="Z3078" t="s">
        <v>9899</v>
      </c>
      <c r="AD3078">
        <f t="shared" si="97"/>
        <v>1</v>
      </c>
    </row>
    <row r="3079" spans="1:30" x14ac:dyDescent="0.25">
      <c r="A3079" t="s">
        <v>3103</v>
      </c>
      <c r="B3079" s="2">
        <v>45462</v>
      </c>
      <c r="C3079" s="2">
        <v>45469</v>
      </c>
      <c r="D3079" t="s">
        <v>5443</v>
      </c>
      <c r="E3079" t="s">
        <v>5943</v>
      </c>
      <c r="F3079" t="s">
        <v>6027</v>
      </c>
      <c r="G3079" t="s">
        <v>6029</v>
      </c>
      <c r="H3079" t="s">
        <v>6036</v>
      </c>
      <c r="I3079" t="s">
        <v>6049</v>
      </c>
      <c r="J3079" t="s">
        <v>6054</v>
      </c>
      <c r="K3079" t="s">
        <v>6062</v>
      </c>
      <c r="L3079" t="s">
        <v>8663</v>
      </c>
      <c r="M3079">
        <v>447.42</v>
      </c>
      <c r="N3079">
        <v>8</v>
      </c>
      <c r="O3079">
        <v>0.1</v>
      </c>
      <c r="P3079">
        <v>63.46</v>
      </c>
      <c r="Q3079" t="s">
        <v>9897</v>
      </c>
      <c r="R3079">
        <v>7</v>
      </c>
      <c r="S3079" s="5">
        <f t="shared" si="96"/>
        <v>0.14183541191721424</v>
      </c>
      <c r="T3079">
        <v>55.927500000000002</v>
      </c>
      <c r="U3079">
        <v>6</v>
      </c>
      <c r="V3079">
        <v>2024</v>
      </c>
      <c r="W3079">
        <v>2</v>
      </c>
      <c r="X3079" t="s">
        <v>9899</v>
      </c>
      <c r="Y3079" t="s">
        <v>9901</v>
      </c>
      <c r="Z3079" t="s">
        <v>9899</v>
      </c>
      <c r="AD3079">
        <f t="shared" si="97"/>
        <v>7</v>
      </c>
    </row>
    <row r="3080" spans="1:30" x14ac:dyDescent="0.25">
      <c r="A3080" t="s">
        <v>3104</v>
      </c>
      <c r="B3080" s="2">
        <v>44676</v>
      </c>
      <c r="C3080" s="2">
        <v>44677</v>
      </c>
      <c r="D3080" t="s">
        <v>5199</v>
      </c>
      <c r="E3080" t="s">
        <v>5699</v>
      </c>
      <c r="F3080" t="s">
        <v>6028</v>
      </c>
      <c r="G3080" t="s">
        <v>6029</v>
      </c>
      <c r="H3080" t="s">
        <v>6036</v>
      </c>
      <c r="I3080" t="s">
        <v>6046</v>
      </c>
      <c r="J3080" t="s">
        <v>6054</v>
      </c>
      <c r="K3080" t="s">
        <v>6062</v>
      </c>
      <c r="L3080" t="s">
        <v>8664</v>
      </c>
      <c r="M3080">
        <v>1314.06</v>
      </c>
      <c r="N3080">
        <v>7</v>
      </c>
      <c r="O3080">
        <v>0.32</v>
      </c>
      <c r="P3080">
        <v>-139.54</v>
      </c>
      <c r="Q3080" t="s">
        <v>9895</v>
      </c>
      <c r="R3080">
        <v>1</v>
      </c>
      <c r="S3080" s="5">
        <f t="shared" si="96"/>
        <v>-0.10618997610459187</v>
      </c>
      <c r="T3080">
        <v>187.72285714285709</v>
      </c>
      <c r="U3080">
        <v>4</v>
      </c>
      <c r="V3080">
        <v>2022</v>
      </c>
      <c r="W3080">
        <v>2</v>
      </c>
      <c r="X3080" t="s">
        <v>9898</v>
      </c>
      <c r="Y3080" t="s">
        <v>9902</v>
      </c>
      <c r="Z3080" t="s">
        <v>9898</v>
      </c>
      <c r="AD3080">
        <f t="shared" si="97"/>
        <v>1</v>
      </c>
    </row>
    <row r="3081" spans="1:30" x14ac:dyDescent="0.25">
      <c r="A3081" t="s">
        <v>3105</v>
      </c>
      <c r="B3081" s="2">
        <v>44588</v>
      </c>
      <c r="C3081" s="2">
        <v>44593</v>
      </c>
      <c r="D3081" t="s">
        <v>5260</v>
      </c>
      <c r="E3081" t="s">
        <v>5760</v>
      </c>
      <c r="F3081" t="s">
        <v>6028</v>
      </c>
      <c r="G3081" t="s">
        <v>6030</v>
      </c>
      <c r="H3081" t="s">
        <v>6035</v>
      </c>
      <c r="I3081" t="s">
        <v>6051</v>
      </c>
      <c r="J3081" t="s">
        <v>6054</v>
      </c>
      <c r="K3081" t="s">
        <v>6060</v>
      </c>
      <c r="L3081" t="s">
        <v>7464</v>
      </c>
      <c r="M3081">
        <v>120.77</v>
      </c>
      <c r="N3081">
        <v>7</v>
      </c>
      <c r="O3081">
        <v>0.28000000000000003</v>
      </c>
      <c r="P3081">
        <v>1.35</v>
      </c>
      <c r="Q3081" t="s">
        <v>9894</v>
      </c>
      <c r="R3081">
        <v>5</v>
      </c>
      <c r="S3081" s="5">
        <f t="shared" si="96"/>
        <v>1.1178272749855098E-2</v>
      </c>
      <c r="T3081">
        <v>17.252857142857138</v>
      </c>
      <c r="U3081">
        <v>1</v>
      </c>
      <c r="V3081">
        <v>2022</v>
      </c>
      <c r="W3081">
        <v>1</v>
      </c>
      <c r="X3081" t="s">
        <v>9899</v>
      </c>
      <c r="Y3081" t="s">
        <v>9900</v>
      </c>
      <c r="Z3081" t="s">
        <v>9899</v>
      </c>
      <c r="AD3081">
        <f t="shared" si="97"/>
        <v>5</v>
      </c>
    </row>
    <row r="3082" spans="1:30" x14ac:dyDescent="0.25">
      <c r="A3082" t="s">
        <v>3106</v>
      </c>
      <c r="B3082" s="2">
        <v>44654</v>
      </c>
      <c r="C3082" s="2">
        <v>44658</v>
      </c>
      <c r="D3082" t="s">
        <v>5116</v>
      </c>
      <c r="E3082" t="s">
        <v>5616</v>
      </c>
      <c r="F3082" t="s">
        <v>6028</v>
      </c>
      <c r="G3082" t="s">
        <v>6030</v>
      </c>
      <c r="H3082" t="s">
        <v>6033</v>
      </c>
      <c r="I3082" t="s">
        <v>6051</v>
      </c>
      <c r="J3082" t="s">
        <v>6055</v>
      </c>
      <c r="K3082" t="s">
        <v>6061</v>
      </c>
      <c r="L3082" t="s">
        <v>8665</v>
      </c>
      <c r="M3082">
        <v>1029.22</v>
      </c>
      <c r="N3082">
        <v>3</v>
      </c>
      <c r="O3082">
        <v>0.2</v>
      </c>
      <c r="P3082">
        <v>-102.39</v>
      </c>
      <c r="Q3082" t="s">
        <v>9894</v>
      </c>
      <c r="R3082">
        <v>4</v>
      </c>
      <c r="S3082" s="5">
        <f t="shared" si="96"/>
        <v>-9.9483103709605336E-2</v>
      </c>
      <c r="T3082">
        <v>343.07333333333332</v>
      </c>
      <c r="U3082">
        <v>4</v>
      </c>
      <c r="V3082">
        <v>2022</v>
      </c>
      <c r="W3082">
        <v>2</v>
      </c>
      <c r="X3082" t="s">
        <v>9898</v>
      </c>
      <c r="Y3082" t="s">
        <v>9900</v>
      </c>
      <c r="Z3082" t="s">
        <v>9898</v>
      </c>
      <c r="AD3082">
        <f t="shared" si="97"/>
        <v>4</v>
      </c>
    </row>
    <row r="3083" spans="1:30" x14ac:dyDescent="0.25">
      <c r="A3083" t="s">
        <v>3107</v>
      </c>
      <c r="B3083" s="2">
        <v>44654</v>
      </c>
      <c r="C3083" s="2">
        <v>44656</v>
      </c>
      <c r="D3083" t="s">
        <v>5323</v>
      </c>
      <c r="E3083" t="s">
        <v>5823</v>
      </c>
      <c r="F3083" t="s">
        <v>6028</v>
      </c>
      <c r="G3083" t="s">
        <v>6030</v>
      </c>
      <c r="H3083" t="s">
        <v>6033</v>
      </c>
      <c r="I3083" t="s">
        <v>6047</v>
      </c>
      <c r="J3083" t="s">
        <v>6053</v>
      </c>
      <c r="K3083" t="s">
        <v>6057</v>
      </c>
      <c r="L3083" t="s">
        <v>8666</v>
      </c>
      <c r="M3083">
        <v>1685.66</v>
      </c>
      <c r="N3083">
        <v>4</v>
      </c>
      <c r="O3083">
        <v>0.34</v>
      </c>
      <c r="P3083">
        <v>-163.57</v>
      </c>
      <c r="Q3083" t="s">
        <v>9896</v>
      </c>
      <c r="R3083">
        <v>2</v>
      </c>
      <c r="S3083" s="5">
        <f t="shared" si="96"/>
        <v>-9.7036175741252673E-2</v>
      </c>
      <c r="T3083">
        <v>421.41500000000002</v>
      </c>
      <c r="U3083">
        <v>4</v>
      </c>
      <c r="V3083">
        <v>2022</v>
      </c>
      <c r="W3083">
        <v>2</v>
      </c>
      <c r="X3083" t="s">
        <v>9898</v>
      </c>
      <c r="Y3083" t="s">
        <v>9902</v>
      </c>
      <c r="Z3083" t="s">
        <v>9898</v>
      </c>
      <c r="AD3083">
        <f t="shared" si="97"/>
        <v>2</v>
      </c>
    </row>
    <row r="3084" spans="1:30" x14ac:dyDescent="0.25">
      <c r="A3084" t="s">
        <v>3108</v>
      </c>
      <c r="B3084" s="2">
        <v>44936</v>
      </c>
      <c r="C3084" s="2">
        <v>44938</v>
      </c>
      <c r="D3084" t="s">
        <v>5109</v>
      </c>
      <c r="E3084" t="s">
        <v>5609</v>
      </c>
      <c r="F3084" t="s">
        <v>6026</v>
      </c>
      <c r="G3084" t="s">
        <v>6031</v>
      </c>
      <c r="H3084" t="s">
        <v>6037</v>
      </c>
      <c r="I3084" t="s">
        <v>6048</v>
      </c>
      <c r="J3084" t="s">
        <v>6054</v>
      </c>
      <c r="K3084" t="s">
        <v>6062</v>
      </c>
      <c r="L3084" t="s">
        <v>8667</v>
      </c>
      <c r="M3084">
        <v>1885.37</v>
      </c>
      <c r="N3084">
        <v>4</v>
      </c>
      <c r="O3084">
        <v>0.34</v>
      </c>
      <c r="P3084">
        <v>-280.43</v>
      </c>
      <c r="Q3084" t="s">
        <v>9893</v>
      </c>
      <c r="R3084">
        <v>2</v>
      </c>
      <c r="S3084" s="5">
        <f t="shared" si="96"/>
        <v>-0.1487400351124713</v>
      </c>
      <c r="T3084">
        <v>471.34249999999997</v>
      </c>
      <c r="U3084">
        <v>1</v>
      </c>
      <c r="V3084">
        <v>2023</v>
      </c>
      <c r="W3084">
        <v>1</v>
      </c>
      <c r="X3084" t="s">
        <v>9898</v>
      </c>
      <c r="Y3084" t="s">
        <v>9902</v>
      </c>
      <c r="Z3084" t="s">
        <v>9898</v>
      </c>
      <c r="AD3084">
        <f t="shared" si="97"/>
        <v>2</v>
      </c>
    </row>
    <row r="3085" spans="1:30" x14ac:dyDescent="0.25">
      <c r="A3085" t="s">
        <v>3109</v>
      </c>
      <c r="B3085" s="2">
        <v>44902</v>
      </c>
      <c r="C3085" s="2">
        <v>44909</v>
      </c>
      <c r="D3085" t="s">
        <v>5448</v>
      </c>
      <c r="E3085" t="s">
        <v>5948</v>
      </c>
      <c r="F3085" t="s">
        <v>6026</v>
      </c>
      <c r="G3085" t="s">
        <v>6029</v>
      </c>
      <c r="H3085" t="s">
        <v>6032</v>
      </c>
      <c r="I3085" t="s">
        <v>6049</v>
      </c>
      <c r="J3085" t="s">
        <v>6053</v>
      </c>
      <c r="K3085" t="s">
        <v>6057</v>
      </c>
      <c r="L3085" t="s">
        <v>8668</v>
      </c>
      <c r="M3085">
        <v>1454.72</v>
      </c>
      <c r="N3085">
        <v>3</v>
      </c>
      <c r="O3085">
        <v>0.09</v>
      </c>
      <c r="P3085">
        <v>181.63</v>
      </c>
      <c r="Q3085" t="s">
        <v>9893</v>
      </c>
      <c r="R3085">
        <v>7</v>
      </c>
      <c r="S3085" s="5">
        <f t="shared" si="96"/>
        <v>0.12485564232292125</v>
      </c>
      <c r="T3085">
        <v>484.90666666666669</v>
      </c>
      <c r="U3085">
        <v>12</v>
      </c>
      <c r="V3085">
        <v>2022</v>
      </c>
      <c r="W3085">
        <v>4</v>
      </c>
      <c r="X3085" t="s">
        <v>9899</v>
      </c>
      <c r="Y3085" t="s">
        <v>9901</v>
      </c>
      <c r="Z3085" t="s">
        <v>9898</v>
      </c>
      <c r="AD3085">
        <f t="shared" si="97"/>
        <v>7</v>
      </c>
    </row>
    <row r="3086" spans="1:30" x14ac:dyDescent="0.25">
      <c r="A3086" t="s">
        <v>3110</v>
      </c>
      <c r="B3086" s="2">
        <v>45365</v>
      </c>
      <c r="C3086" s="2">
        <v>45368</v>
      </c>
      <c r="D3086" t="s">
        <v>5447</v>
      </c>
      <c r="E3086" t="s">
        <v>5947</v>
      </c>
      <c r="F3086" t="s">
        <v>6028</v>
      </c>
      <c r="G3086" t="s">
        <v>6030</v>
      </c>
      <c r="H3086" t="s">
        <v>6039</v>
      </c>
      <c r="I3086" t="s">
        <v>6047</v>
      </c>
      <c r="J3086" t="s">
        <v>6053</v>
      </c>
      <c r="K3086" t="s">
        <v>6058</v>
      </c>
      <c r="L3086" t="s">
        <v>8669</v>
      </c>
      <c r="M3086">
        <v>1946.48</v>
      </c>
      <c r="N3086">
        <v>4</v>
      </c>
      <c r="O3086">
        <v>0.01</v>
      </c>
      <c r="P3086">
        <v>512.05999999999995</v>
      </c>
      <c r="Q3086" t="s">
        <v>9893</v>
      </c>
      <c r="R3086">
        <v>3</v>
      </c>
      <c r="S3086" s="5">
        <f t="shared" si="96"/>
        <v>0.26306974641403968</v>
      </c>
      <c r="T3086">
        <v>486.62</v>
      </c>
      <c r="U3086">
        <v>3</v>
      </c>
      <c r="V3086">
        <v>2024</v>
      </c>
      <c r="W3086">
        <v>1</v>
      </c>
      <c r="X3086" t="s">
        <v>9899</v>
      </c>
      <c r="Y3086" t="s">
        <v>9901</v>
      </c>
      <c r="Z3086" t="s">
        <v>9898</v>
      </c>
      <c r="AD3086">
        <f t="shared" si="97"/>
        <v>3</v>
      </c>
    </row>
    <row r="3087" spans="1:30" x14ac:dyDescent="0.25">
      <c r="A3087" t="s">
        <v>3111</v>
      </c>
      <c r="B3087" s="2">
        <v>44647</v>
      </c>
      <c r="C3087" s="2">
        <v>44650</v>
      </c>
      <c r="D3087" t="s">
        <v>5137</v>
      </c>
      <c r="E3087" t="s">
        <v>5637</v>
      </c>
      <c r="F3087" t="s">
        <v>6027</v>
      </c>
      <c r="G3087" t="s">
        <v>6030</v>
      </c>
      <c r="H3087" t="s">
        <v>6035</v>
      </c>
      <c r="I3087" t="s">
        <v>6051</v>
      </c>
      <c r="J3087" t="s">
        <v>6053</v>
      </c>
      <c r="K3087" t="s">
        <v>6058</v>
      </c>
      <c r="L3087" t="s">
        <v>8670</v>
      </c>
      <c r="M3087">
        <v>1736.1</v>
      </c>
      <c r="N3087">
        <v>3</v>
      </c>
      <c r="O3087">
        <v>7.0000000000000007E-2</v>
      </c>
      <c r="P3087">
        <v>170.54</v>
      </c>
      <c r="Q3087" t="s">
        <v>9895</v>
      </c>
      <c r="R3087">
        <v>3</v>
      </c>
      <c r="S3087" s="5">
        <f t="shared" si="96"/>
        <v>9.8231668682679574E-2</v>
      </c>
      <c r="T3087">
        <v>578.69999999999993</v>
      </c>
      <c r="U3087">
        <v>3</v>
      </c>
      <c r="V3087">
        <v>2022</v>
      </c>
      <c r="W3087">
        <v>1</v>
      </c>
      <c r="X3087" t="s">
        <v>9899</v>
      </c>
      <c r="Y3087" t="s">
        <v>9901</v>
      </c>
      <c r="Z3087" t="s">
        <v>9898</v>
      </c>
      <c r="AD3087">
        <f t="shared" si="97"/>
        <v>3</v>
      </c>
    </row>
    <row r="3088" spans="1:30" x14ac:dyDescent="0.25">
      <c r="A3088" t="s">
        <v>3112</v>
      </c>
      <c r="B3088" s="2">
        <v>45328</v>
      </c>
      <c r="C3088" s="2">
        <v>45335</v>
      </c>
      <c r="D3088" t="s">
        <v>5115</v>
      </c>
      <c r="E3088" t="s">
        <v>5615</v>
      </c>
      <c r="F3088" t="s">
        <v>6028</v>
      </c>
      <c r="G3088" t="s">
        <v>6030</v>
      </c>
      <c r="H3088" t="s">
        <v>6038</v>
      </c>
      <c r="I3088" t="s">
        <v>6047</v>
      </c>
      <c r="J3088" t="s">
        <v>6055</v>
      </c>
      <c r="K3088" t="s">
        <v>6061</v>
      </c>
      <c r="L3088" t="s">
        <v>8671</v>
      </c>
      <c r="M3088">
        <v>965.22</v>
      </c>
      <c r="N3088">
        <v>6</v>
      </c>
      <c r="O3088">
        <v>0.08</v>
      </c>
      <c r="P3088">
        <v>205.31</v>
      </c>
      <c r="Q3088" t="s">
        <v>9893</v>
      </c>
      <c r="R3088">
        <v>7</v>
      </c>
      <c r="S3088" s="5">
        <f t="shared" si="96"/>
        <v>0.21270798367211619</v>
      </c>
      <c r="T3088">
        <v>160.87</v>
      </c>
      <c r="U3088">
        <v>2</v>
      </c>
      <c r="V3088">
        <v>2024</v>
      </c>
      <c r="W3088">
        <v>1</v>
      </c>
      <c r="X3088" t="s">
        <v>9899</v>
      </c>
      <c r="Y3088" t="s">
        <v>9901</v>
      </c>
      <c r="Z3088" t="s">
        <v>9899</v>
      </c>
      <c r="AD3088">
        <f t="shared" si="97"/>
        <v>7</v>
      </c>
    </row>
    <row r="3089" spans="1:30" x14ac:dyDescent="0.25">
      <c r="A3089" t="s">
        <v>3113</v>
      </c>
      <c r="B3089" s="2">
        <v>45122</v>
      </c>
      <c r="C3089" s="2">
        <v>45124</v>
      </c>
      <c r="D3089" t="s">
        <v>5435</v>
      </c>
      <c r="E3089" t="s">
        <v>5935</v>
      </c>
      <c r="F3089" t="s">
        <v>6027</v>
      </c>
      <c r="G3089" t="s">
        <v>6030</v>
      </c>
      <c r="H3089" t="s">
        <v>6039</v>
      </c>
      <c r="I3089" t="s">
        <v>6051</v>
      </c>
      <c r="J3089" t="s">
        <v>6054</v>
      </c>
      <c r="K3089" t="s">
        <v>6060</v>
      </c>
      <c r="L3089" t="s">
        <v>7062</v>
      </c>
      <c r="M3089">
        <v>385.31</v>
      </c>
      <c r="N3089">
        <v>8</v>
      </c>
      <c r="O3089">
        <v>0.27</v>
      </c>
      <c r="P3089">
        <v>-13.19</v>
      </c>
      <c r="Q3089" t="s">
        <v>9893</v>
      </c>
      <c r="R3089">
        <v>2</v>
      </c>
      <c r="S3089" s="5">
        <f t="shared" si="96"/>
        <v>-3.4232176688899843E-2</v>
      </c>
      <c r="T3089">
        <v>48.16375</v>
      </c>
      <c r="U3089">
        <v>7</v>
      </c>
      <c r="V3089">
        <v>2023</v>
      </c>
      <c r="W3089">
        <v>3</v>
      </c>
      <c r="X3089" t="s">
        <v>9898</v>
      </c>
      <c r="Y3089" t="s">
        <v>9900</v>
      </c>
      <c r="Z3089" t="s">
        <v>9899</v>
      </c>
      <c r="AD3089">
        <f t="shared" si="97"/>
        <v>2</v>
      </c>
    </row>
    <row r="3090" spans="1:30" x14ac:dyDescent="0.25">
      <c r="A3090" t="s">
        <v>3114</v>
      </c>
      <c r="B3090" s="2">
        <v>45324</v>
      </c>
      <c r="C3090" s="2">
        <v>45330</v>
      </c>
      <c r="D3090" t="s">
        <v>5083</v>
      </c>
      <c r="E3090" t="s">
        <v>5583</v>
      </c>
      <c r="F3090" t="s">
        <v>6026</v>
      </c>
      <c r="G3090" t="s">
        <v>6031</v>
      </c>
      <c r="H3090" t="s">
        <v>6043</v>
      </c>
      <c r="I3090" t="s">
        <v>6052</v>
      </c>
      <c r="J3090" t="s">
        <v>6053</v>
      </c>
      <c r="K3090" t="s">
        <v>6058</v>
      </c>
      <c r="L3090" t="s">
        <v>8530</v>
      </c>
      <c r="M3090">
        <v>314.32</v>
      </c>
      <c r="N3090">
        <v>3</v>
      </c>
      <c r="O3090">
        <v>7.0000000000000007E-2</v>
      </c>
      <c r="P3090">
        <v>10.64</v>
      </c>
      <c r="Q3090" t="s">
        <v>9896</v>
      </c>
      <c r="R3090">
        <v>6</v>
      </c>
      <c r="S3090" s="5">
        <f t="shared" si="96"/>
        <v>3.3850852634258084E-2</v>
      </c>
      <c r="T3090">
        <v>104.7733333333333</v>
      </c>
      <c r="U3090">
        <v>2</v>
      </c>
      <c r="V3090">
        <v>2024</v>
      </c>
      <c r="W3090">
        <v>1</v>
      </c>
      <c r="X3090" t="s">
        <v>9899</v>
      </c>
      <c r="Y3090" t="s">
        <v>9901</v>
      </c>
      <c r="Z3090" t="s">
        <v>9899</v>
      </c>
      <c r="AD3090">
        <f t="shared" si="97"/>
        <v>6</v>
      </c>
    </row>
    <row r="3091" spans="1:30" x14ac:dyDescent="0.25">
      <c r="A3091" t="s">
        <v>3115</v>
      </c>
      <c r="B3091" s="2">
        <v>45087</v>
      </c>
      <c r="C3091" s="2">
        <v>45093</v>
      </c>
      <c r="D3091" t="s">
        <v>5052</v>
      </c>
      <c r="E3091" t="s">
        <v>5552</v>
      </c>
      <c r="F3091" t="s">
        <v>6028</v>
      </c>
      <c r="G3091" t="s">
        <v>6029</v>
      </c>
      <c r="H3091" t="s">
        <v>6041</v>
      </c>
      <c r="I3091" t="s">
        <v>6046</v>
      </c>
      <c r="J3091" t="s">
        <v>6055</v>
      </c>
      <c r="K3091" t="s">
        <v>6061</v>
      </c>
      <c r="L3091" t="s">
        <v>8672</v>
      </c>
      <c r="M3091">
        <v>1617.56</v>
      </c>
      <c r="N3091">
        <v>7</v>
      </c>
      <c r="O3091">
        <v>0.06</v>
      </c>
      <c r="P3091">
        <v>153.04</v>
      </c>
      <c r="Q3091" t="s">
        <v>9894</v>
      </c>
      <c r="R3091">
        <v>6</v>
      </c>
      <c r="S3091" s="5">
        <f t="shared" si="96"/>
        <v>9.461163728084275E-2</v>
      </c>
      <c r="T3091">
        <v>231.08</v>
      </c>
      <c r="U3091">
        <v>6</v>
      </c>
      <c r="V3091">
        <v>2023</v>
      </c>
      <c r="W3091">
        <v>2</v>
      </c>
      <c r="X3091" t="s">
        <v>9899</v>
      </c>
      <c r="Y3091" t="s">
        <v>9901</v>
      </c>
      <c r="Z3091" t="s">
        <v>9898</v>
      </c>
      <c r="AD3091">
        <f t="shared" si="97"/>
        <v>6</v>
      </c>
    </row>
    <row r="3092" spans="1:30" x14ac:dyDescent="0.25">
      <c r="A3092" t="s">
        <v>3116</v>
      </c>
      <c r="B3092" s="2">
        <v>45150</v>
      </c>
      <c r="C3092" s="2">
        <v>45156</v>
      </c>
      <c r="D3092" t="s">
        <v>5189</v>
      </c>
      <c r="E3092" t="s">
        <v>5689</v>
      </c>
      <c r="F3092" t="s">
        <v>6028</v>
      </c>
      <c r="G3092" t="s">
        <v>6030</v>
      </c>
      <c r="H3092" t="s">
        <v>6039</v>
      </c>
      <c r="I3092" t="s">
        <v>6047</v>
      </c>
      <c r="J3092" t="s">
        <v>6055</v>
      </c>
      <c r="K3092" t="s">
        <v>6064</v>
      </c>
      <c r="L3092" t="s">
        <v>8673</v>
      </c>
      <c r="M3092">
        <v>1664.06</v>
      </c>
      <c r="N3092">
        <v>2</v>
      </c>
      <c r="O3092">
        <v>0.06</v>
      </c>
      <c r="P3092">
        <v>109.15</v>
      </c>
      <c r="Q3092" t="s">
        <v>9893</v>
      </c>
      <c r="R3092">
        <v>6</v>
      </c>
      <c r="S3092" s="5">
        <f t="shared" si="96"/>
        <v>6.5592586805764228E-2</v>
      </c>
      <c r="T3092">
        <v>832.03</v>
      </c>
      <c r="U3092">
        <v>8</v>
      </c>
      <c r="V3092">
        <v>2023</v>
      </c>
      <c r="W3092">
        <v>3</v>
      </c>
      <c r="X3092" t="s">
        <v>9899</v>
      </c>
      <c r="Y3092" t="s">
        <v>9901</v>
      </c>
      <c r="Z3092" t="s">
        <v>9898</v>
      </c>
      <c r="AD3092">
        <f t="shared" si="97"/>
        <v>6</v>
      </c>
    </row>
    <row r="3093" spans="1:30" x14ac:dyDescent="0.25">
      <c r="A3093" t="s">
        <v>3117</v>
      </c>
      <c r="B3093" s="2">
        <v>44654</v>
      </c>
      <c r="C3093" s="2">
        <v>44655</v>
      </c>
      <c r="D3093" t="s">
        <v>5465</v>
      </c>
      <c r="E3093" t="s">
        <v>5965</v>
      </c>
      <c r="F3093" t="s">
        <v>6028</v>
      </c>
      <c r="G3093" t="s">
        <v>6030</v>
      </c>
      <c r="H3093" t="s">
        <v>6038</v>
      </c>
      <c r="I3093" t="s">
        <v>6047</v>
      </c>
      <c r="J3093" t="s">
        <v>6054</v>
      </c>
      <c r="K3093" t="s">
        <v>6059</v>
      </c>
      <c r="L3093" t="s">
        <v>6556</v>
      </c>
      <c r="M3093">
        <v>378.69</v>
      </c>
      <c r="N3093">
        <v>7</v>
      </c>
      <c r="O3093">
        <v>0.28000000000000003</v>
      </c>
      <c r="P3093">
        <v>4.8600000000000003</v>
      </c>
      <c r="Q3093" t="s">
        <v>9895</v>
      </c>
      <c r="R3093">
        <v>1</v>
      </c>
      <c r="S3093" s="5">
        <f t="shared" si="96"/>
        <v>1.283371623227442E-2</v>
      </c>
      <c r="T3093">
        <v>54.098571428571432</v>
      </c>
      <c r="U3093">
        <v>4</v>
      </c>
      <c r="V3093">
        <v>2022</v>
      </c>
      <c r="W3093">
        <v>2</v>
      </c>
      <c r="X3093" t="s">
        <v>9899</v>
      </c>
      <c r="Y3093" t="s">
        <v>9900</v>
      </c>
      <c r="Z3093" t="s">
        <v>9899</v>
      </c>
      <c r="AD3093">
        <f t="shared" si="97"/>
        <v>1</v>
      </c>
    </row>
    <row r="3094" spans="1:30" x14ac:dyDescent="0.25">
      <c r="A3094" t="s">
        <v>3118</v>
      </c>
      <c r="B3094" s="2">
        <v>45185</v>
      </c>
      <c r="C3094" s="2">
        <v>45191</v>
      </c>
      <c r="D3094" t="s">
        <v>5215</v>
      </c>
      <c r="E3094" t="s">
        <v>5715</v>
      </c>
      <c r="F3094" t="s">
        <v>6027</v>
      </c>
      <c r="G3094" t="s">
        <v>6029</v>
      </c>
      <c r="H3094" t="s">
        <v>6041</v>
      </c>
      <c r="I3094" t="s">
        <v>6050</v>
      </c>
      <c r="J3094" t="s">
        <v>6054</v>
      </c>
      <c r="K3094" t="s">
        <v>6062</v>
      </c>
      <c r="L3094" t="s">
        <v>8674</v>
      </c>
      <c r="M3094">
        <v>1319.68</v>
      </c>
      <c r="N3094">
        <v>3</v>
      </c>
      <c r="O3094">
        <v>0.19</v>
      </c>
      <c r="P3094">
        <v>71.260000000000005</v>
      </c>
      <c r="Q3094" t="s">
        <v>9897</v>
      </c>
      <c r="R3094">
        <v>6</v>
      </c>
      <c r="S3094" s="5">
        <f t="shared" si="96"/>
        <v>5.3997938894277404E-2</v>
      </c>
      <c r="T3094">
        <v>439.89333333333337</v>
      </c>
      <c r="U3094">
        <v>9</v>
      </c>
      <c r="V3094">
        <v>2023</v>
      </c>
      <c r="W3094">
        <v>3</v>
      </c>
      <c r="X3094" t="s">
        <v>9899</v>
      </c>
      <c r="Y3094" t="s">
        <v>9900</v>
      </c>
      <c r="Z3094" t="s">
        <v>9898</v>
      </c>
      <c r="AD3094">
        <f t="shared" si="97"/>
        <v>6</v>
      </c>
    </row>
    <row r="3095" spans="1:30" x14ac:dyDescent="0.25">
      <c r="A3095" t="s">
        <v>3119</v>
      </c>
      <c r="B3095" s="2">
        <v>45324</v>
      </c>
      <c r="C3095" s="2">
        <v>45328</v>
      </c>
      <c r="D3095" t="s">
        <v>5444</v>
      </c>
      <c r="E3095" t="s">
        <v>5944</v>
      </c>
      <c r="F3095" t="s">
        <v>6026</v>
      </c>
      <c r="G3095" t="s">
        <v>6030</v>
      </c>
      <c r="H3095" t="s">
        <v>6033</v>
      </c>
      <c r="I3095" t="s">
        <v>6051</v>
      </c>
      <c r="J3095" t="s">
        <v>6053</v>
      </c>
      <c r="K3095" t="s">
        <v>6056</v>
      </c>
      <c r="L3095" t="s">
        <v>6924</v>
      </c>
      <c r="M3095">
        <v>1796.14</v>
      </c>
      <c r="N3095">
        <v>7</v>
      </c>
      <c r="O3095">
        <v>0.01</v>
      </c>
      <c r="P3095">
        <v>295.14</v>
      </c>
      <c r="Q3095" t="s">
        <v>9894</v>
      </c>
      <c r="R3095">
        <v>4</v>
      </c>
      <c r="S3095" s="5">
        <f t="shared" si="96"/>
        <v>0.16431903971850745</v>
      </c>
      <c r="T3095">
        <v>256.59142857142859</v>
      </c>
      <c r="U3095">
        <v>2</v>
      </c>
      <c r="V3095">
        <v>2024</v>
      </c>
      <c r="W3095">
        <v>1</v>
      </c>
      <c r="X3095" t="s">
        <v>9899</v>
      </c>
      <c r="Y3095" t="s">
        <v>9901</v>
      </c>
      <c r="Z3095" t="s">
        <v>9898</v>
      </c>
      <c r="AD3095">
        <f t="shared" si="97"/>
        <v>4</v>
      </c>
    </row>
    <row r="3096" spans="1:30" x14ac:dyDescent="0.25">
      <c r="A3096" t="s">
        <v>3120</v>
      </c>
      <c r="B3096" s="2">
        <v>45134</v>
      </c>
      <c r="C3096" s="2">
        <v>45138</v>
      </c>
      <c r="D3096" t="s">
        <v>5519</v>
      </c>
      <c r="E3096" t="s">
        <v>6019</v>
      </c>
      <c r="F3096" t="s">
        <v>6027</v>
      </c>
      <c r="G3096" t="s">
        <v>6031</v>
      </c>
      <c r="H3096" t="s">
        <v>6037</v>
      </c>
      <c r="I3096" t="s">
        <v>6048</v>
      </c>
      <c r="J3096" t="s">
        <v>6053</v>
      </c>
      <c r="K3096" t="s">
        <v>6056</v>
      </c>
      <c r="L3096" t="s">
        <v>8675</v>
      </c>
      <c r="M3096">
        <v>1409.1</v>
      </c>
      <c r="N3096">
        <v>7</v>
      </c>
      <c r="O3096">
        <v>0.05</v>
      </c>
      <c r="P3096">
        <v>293.39999999999998</v>
      </c>
      <c r="Q3096" t="s">
        <v>9894</v>
      </c>
      <c r="R3096">
        <v>4</v>
      </c>
      <c r="S3096" s="5">
        <f t="shared" si="96"/>
        <v>0.20821801149670002</v>
      </c>
      <c r="T3096">
        <v>201.3</v>
      </c>
      <c r="U3096">
        <v>7</v>
      </c>
      <c r="V3096">
        <v>2023</v>
      </c>
      <c r="W3096">
        <v>3</v>
      </c>
      <c r="X3096" t="s">
        <v>9899</v>
      </c>
      <c r="Y3096" t="s">
        <v>9901</v>
      </c>
      <c r="Z3096" t="s">
        <v>9898</v>
      </c>
      <c r="AD3096">
        <f t="shared" si="97"/>
        <v>4</v>
      </c>
    </row>
    <row r="3097" spans="1:30" x14ac:dyDescent="0.25">
      <c r="A3097" t="s">
        <v>3121</v>
      </c>
      <c r="B3097" s="2">
        <v>45435</v>
      </c>
      <c r="C3097" s="2">
        <v>45437</v>
      </c>
      <c r="D3097" t="s">
        <v>5181</v>
      </c>
      <c r="E3097" t="s">
        <v>5681</v>
      </c>
      <c r="F3097" t="s">
        <v>6028</v>
      </c>
      <c r="G3097" t="s">
        <v>6029</v>
      </c>
      <c r="H3097" t="s">
        <v>6041</v>
      </c>
      <c r="I3097" t="s">
        <v>6049</v>
      </c>
      <c r="J3097" t="s">
        <v>6055</v>
      </c>
      <c r="K3097" t="s">
        <v>6063</v>
      </c>
      <c r="L3097" t="s">
        <v>8676</v>
      </c>
      <c r="M3097">
        <v>1220.5999999999999</v>
      </c>
      <c r="N3097">
        <v>1</v>
      </c>
      <c r="O3097">
        <v>0.2</v>
      </c>
      <c r="P3097">
        <v>-72.040000000000006</v>
      </c>
      <c r="Q3097" t="s">
        <v>9897</v>
      </c>
      <c r="R3097">
        <v>2</v>
      </c>
      <c r="S3097" s="5">
        <f t="shared" si="96"/>
        <v>-5.9020154022611841E-2</v>
      </c>
      <c r="T3097">
        <v>1220.5999999999999</v>
      </c>
      <c r="U3097">
        <v>5</v>
      </c>
      <c r="V3097">
        <v>2024</v>
      </c>
      <c r="W3097">
        <v>2</v>
      </c>
      <c r="X3097" t="s">
        <v>9898</v>
      </c>
      <c r="Y3097" t="s">
        <v>9900</v>
      </c>
      <c r="Z3097" t="s">
        <v>9898</v>
      </c>
      <c r="AD3097">
        <f t="shared" si="97"/>
        <v>2</v>
      </c>
    </row>
    <row r="3098" spans="1:30" x14ac:dyDescent="0.25">
      <c r="A3098" t="s">
        <v>3122</v>
      </c>
      <c r="B3098" s="2">
        <v>44907</v>
      </c>
      <c r="C3098" s="2">
        <v>44913</v>
      </c>
      <c r="D3098" t="s">
        <v>5205</v>
      </c>
      <c r="E3098" t="s">
        <v>5705</v>
      </c>
      <c r="F3098" t="s">
        <v>6028</v>
      </c>
      <c r="G3098" t="s">
        <v>6030</v>
      </c>
      <c r="H3098" t="s">
        <v>6039</v>
      </c>
      <c r="I3098" t="s">
        <v>6047</v>
      </c>
      <c r="J3098" t="s">
        <v>6055</v>
      </c>
      <c r="K3098" t="s">
        <v>6063</v>
      </c>
      <c r="L3098" t="s">
        <v>8677</v>
      </c>
      <c r="M3098">
        <v>126.77</v>
      </c>
      <c r="N3098">
        <v>1</v>
      </c>
      <c r="O3098">
        <v>0.14000000000000001</v>
      </c>
      <c r="P3098">
        <v>12.41</v>
      </c>
      <c r="Q3098" t="s">
        <v>9897</v>
      </c>
      <c r="R3098">
        <v>6</v>
      </c>
      <c r="S3098" s="5">
        <f t="shared" si="96"/>
        <v>9.7893823459809112E-2</v>
      </c>
      <c r="T3098">
        <v>126.77</v>
      </c>
      <c r="U3098">
        <v>12</v>
      </c>
      <c r="V3098">
        <v>2022</v>
      </c>
      <c r="W3098">
        <v>4</v>
      </c>
      <c r="X3098" t="s">
        <v>9899</v>
      </c>
      <c r="Y3098" t="s">
        <v>9901</v>
      </c>
      <c r="Z3098" t="s">
        <v>9899</v>
      </c>
      <c r="AD3098">
        <f t="shared" si="97"/>
        <v>6</v>
      </c>
    </row>
    <row r="3099" spans="1:30" x14ac:dyDescent="0.25">
      <c r="A3099" t="s">
        <v>3123</v>
      </c>
      <c r="B3099" s="2">
        <v>45128</v>
      </c>
      <c r="C3099" s="2">
        <v>45132</v>
      </c>
      <c r="D3099" t="s">
        <v>5320</v>
      </c>
      <c r="E3099" t="s">
        <v>5820</v>
      </c>
      <c r="F3099" t="s">
        <v>6028</v>
      </c>
      <c r="G3099" t="s">
        <v>6031</v>
      </c>
      <c r="H3099" t="s">
        <v>6040</v>
      </c>
      <c r="I3099" t="s">
        <v>6048</v>
      </c>
      <c r="J3099" t="s">
        <v>6054</v>
      </c>
      <c r="K3099" t="s">
        <v>6059</v>
      </c>
      <c r="L3099" t="s">
        <v>8678</v>
      </c>
      <c r="M3099">
        <v>1161.8900000000001</v>
      </c>
      <c r="N3099">
        <v>6</v>
      </c>
      <c r="O3099">
        <v>0.1</v>
      </c>
      <c r="P3099">
        <v>124.28</v>
      </c>
      <c r="Q3099" t="s">
        <v>9893</v>
      </c>
      <c r="R3099">
        <v>4</v>
      </c>
      <c r="S3099" s="5">
        <f t="shared" si="96"/>
        <v>0.10696365404642436</v>
      </c>
      <c r="T3099">
        <v>193.64833333333331</v>
      </c>
      <c r="U3099">
        <v>7</v>
      </c>
      <c r="V3099">
        <v>2023</v>
      </c>
      <c r="W3099">
        <v>3</v>
      </c>
      <c r="X3099" t="s">
        <v>9899</v>
      </c>
      <c r="Y3099" t="s">
        <v>9901</v>
      </c>
      <c r="Z3099" t="s">
        <v>9898</v>
      </c>
      <c r="AD3099">
        <f t="shared" si="97"/>
        <v>4</v>
      </c>
    </row>
    <row r="3100" spans="1:30" x14ac:dyDescent="0.25">
      <c r="A3100" t="s">
        <v>3124</v>
      </c>
      <c r="B3100" s="2">
        <v>44563</v>
      </c>
      <c r="C3100" s="2">
        <v>44564</v>
      </c>
      <c r="D3100" t="s">
        <v>5107</v>
      </c>
      <c r="E3100" t="s">
        <v>5607</v>
      </c>
      <c r="F3100" t="s">
        <v>6028</v>
      </c>
      <c r="G3100" t="s">
        <v>6031</v>
      </c>
      <c r="H3100" t="s">
        <v>6042</v>
      </c>
      <c r="I3100" t="s">
        <v>6050</v>
      </c>
      <c r="J3100" t="s">
        <v>6053</v>
      </c>
      <c r="K3100" t="s">
        <v>6057</v>
      </c>
      <c r="L3100" t="s">
        <v>6070</v>
      </c>
      <c r="M3100">
        <v>1101.17</v>
      </c>
      <c r="N3100">
        <v>6</v>
      </c>
      <c r="O3100">
        <v>0.04</v>
      </c>
      <c r="P3100">
        <v>123.09</v>
      </c>
      <c r="Q3100" t="s">
        <v>9893</v>
      </c>
      <c r="R3100">
        <v>1</v>
      </c>
      <c r="S3100" s="5">
        <f t="shared" si="96"/>
        <v>0.11178110555136808</v>
      </c>
      <c r="T3100">
        <v>183.52833333333331</v>
      </c>
      <c r="U3100">
        <v>1</v>
      </c>
      <c r="V3100">
        <v>2022</v>
      </c>
      <c r="W3100">
        <v>1</v>
      </c>
      <c r="X3100" t="s">
        <v>9899</v>
      </c>
      <c r="Y3100" t="s">
        <v>9901</v>
      </c>
      <c r="Z3100" t="s">
        <v>9898</v>
      </c>
      <c r="AD3100">
        <f t="shared" si="97"/>
        <v>1</v>
      </c>
    </row>
    <row r="3101" spans="1:30" x14ac:dyDescent="0.25">
      <c r="A3101" t="s">
        <v>3125</v>
      </c>
      <c r="B3101" s="2">
        <v>45254</v>
      </c>
      <c r="C3101" s="2">
        <v>45256</v>
      </c>
      <c r="D3101" t="s">
        <v>5272</v>
      </c>
      <c r="E3101" t="s">
        <v>5772</v>
      </c>
      <c r="F3101" t="s">
        <v>6026</v>
      </c>
      <c r="G3101" t="s">
        <v>6031</v>
      </c>
      <c r="H3101" t="s">
        <v>6034</v>
      </c>
      <c r="I3101" t="s">
        <v>6048</v>
      </c>
      <c r="J3101" t="s">
        <v>6055</v>
      </c>
      <c r="K3101" t="s">
        <v>6061</v>
      </c>
      <c r="L3101" t="s">
        <v>6909</v>
      </c>
      <c r="M3101">
        <v>848.45</v>
      </c>
      <c r="N3101">
        <v>4</v>
      </c>
      <c r="O3101">
        <v>0.14000000000000001</v>
      </c>
      <c r="P3101">
        <v>41.86</v>
      </c>
      <c r="Q3101" t="s">
        <v>9897</v>
      </c>
      <c r="R3101">
        <v>2</v>
      </c>
      <c r="S3101" s="5">
        <f t="shared" si="96"/>
        <v>4.9337026342153333E-2</v>
      </c>
      <c r="T3101">
        <v>212.11250000000001</v>
      </c>
      <c r="U3101">
        <v>11</v>
      </c>
      <c r="V3101">
        <v>2023</v>
      </c>
      <c r="W3101">
        <v>4</v>
      </c>
      <c r="X3101" t="s">
        <v>9899</v>
      </c>
      <c r="Y3101" t="s">
        <v>9901</v>
      </c>
      <c r="Z3101" t="s">
        <v>9899</v>
      </c>
      <c r="AD3101">
        <f t="shared" si="97"/>
        <v>2</v>
      </c>
    </row>
    <row r="3102" spans="1:30" x14ac:dyDescent="0.25">
      <c r="A3102" t="s">
        <v>3126</v>
      </c>
      <c r="B3102" s="2">
        <v>45011</v>
      </c>
      <c r="C3102" s="2">
        <v>45013</v>
      </c>
      <c r="D3102" t="s">
        <v>5162</v>
      </c>
      <c r="E3102" t="s">
        <v>5662</v>
      </c>
      <c r="F3102" t="s">
        <v>6027</v>
      </c>
      <c r="G3102" t="s">
        <v>6030</v>
      </c>
      <c r="H3102" t="s">
        <v>6038</v>
      </c>
      <c r="I3102" t="s">
        <v>6051</v>
      </c>
      <c r="J3102" t="s">
        <v>6054</v>
      </c>
      <c r="K3102" t="s">
        <v>6059</v>
      </c>
      <c r="L3102" t="s">
        <v>8679</v>
      </c>
      <c r="M3102">
        <v>1440.64</v>
      </c>
      <c r="N3102">
        <v>1</v>
      </c>
      <c r="O3102">
        <v>0.18</v>
      </c>
      <c r="P3102">
        <v>104.47</v>
      </c>
      <c r="Q3102" t="s">
        <v>9895</v>
      </c>
      <c r="R3102">
        <v>2</v>
      </c>
      <c r="S3102" s="5">
        <f t="shared" si="96"/>
        <v>7.2516381608174141E-2</v>
      </c>
      <c r="T3102">
        <v>1440.64</v>
      </c>
      <c r="U3102">
        <v>3</v>
      </c>
      <c r="V3102">
        <v>2023</v>
      </c>
      <c r="W3102">
        <v>1</v>
      </c>
      <c r="X3102" t="s">
        <v>9899</v>
      </c>
      <c r="Y3102" t="s">
        <v>9900</v>
      </c>
      <c r="Z3102" t="s">
        <v>9898</v>
      </c>
      <c r="AD3102">
        <f t="shared" si="97"/>
        <v>2</v>
      </c>
    </row>
    <row r="3103" spans="1:30" x14ac:dyDescent="0.25">
      <c r="A3103" t="s">
        <v>3127</v>
      </c>
      <c r="B3103" s="2">
        <v>44704</v>
      </c>
      <c r="C3103" s="2">
        <v>44708</v>
      </c>
      <c r="D3103" t="s">
        <v>5485</v>
      </c>
      <c r="E3103" t="s">
        <v>5985</v>
      </c>
      <c r="F3103" t="s">
        <v>6026</v>
      </c>
      <c r="G3103" t="s">
        <v>6029</v>
      </c>
      <c r="H3103" t="s">
        <v>6044</v>
      </c>
      <c r="I3103" t="s">
        <v>6049</v>
      </c>
      <c r="J3103" t="s">
        <v>6053</v>
      </c>
      <c r="K3103" t="s">
        <v>6057</v>
      </c>
      <c r="L3103" t="s">
        <v>8680</v>
      </c>
      <c r="M3103">
        <v>1757.5</v>
      </c>
      <c r="N3103">
        <v>3</v>
      </c>
      <c r="O3103">
        <v>0.05</v>
      </c>
      <c r="P3103">
        <v>189.65</v>
      </c>
      <c r="Q3103" t="s">
        <v>9894</v>
      </c>
      <c r="R3103">
        <v>4</v>
      </c>
      <c r="S3103" s="5">
        <f t="shared" si="96"/>
        <v>0.10790896159317212</v>
      </c>
      <c r="T3103">
        <v>585.83333333333337</v>
      </c>
      <c r="U3103">
        <v>5</v>
      </c>
      <c r="V3103">
        <v>2022</v>
      </c>
      <c r="W3103">
        <v>2</v>
      </c>
      <c r="X3103" t="s">
        <v>9899</v>
      </c>
      <c r="Y3103" t="s">
        <v>9901</v>
      </c>
      <c r="Z3103" t="s">
        <v>9898</v>
      </c>
      <c r="AD3103">
        <f t="shared" si="97"/>
        <v>4</v>
      </c>
    </row>
    <row r="3104" spans="1:30" x14ac:dyDescent="0.25">
      <c r="A3104" t="s">
        <v>3128</v>
      </c>
      <c r="B3104" s="2">
        <v>45029</v>
      </c>
      <c r="C3104" s="2">
        <v>45034</v>
      </c>
      <c r="D3104" t="s">
        <v>5381</v>
      </c>
      <c r="E3104" t="s">
        <v>5881</v>
      </c>
      <c r="F3104" t="s">
        <v>6027</v>
      </c>
      <c r="G3104" t="s">
        <v>6030</v>
      </c>
      <c r="H3104" t="s">
        <v>6038</v>
      </c>
      <c r="I3104" t="s">
        <v>6051</v>
      </c>
      <c r="J3104" t="s">
        <v>6053</v>
      </c>
      <c r="K3104" t="s">
        <v>6058</v>
      </c>
      <c r="L3104" t="s">
        <v>8681</v>
      </c>
      <c r="M3104">
        <v>1741.76</v>
      </c>
      <c r="N3104">
        <v>5</v>
      </c>
      <c r="O3104">
        <v>0.08</v>
      </c>
      <c r="P3104">
        <v>320.26</v>
      </c>
      <c r="Q3104" t="s">
        <v>9895</v>
      </c>
      <c r="R3104">
        <v>5</v>
      </c>
      <c r="S3104" s="5">
        <f t="shared" si="96"/>
        <v>0.1838714863126952</v>
      </c>
      <c r="T3104">
        <v>348.35199999999998</v>
      </c>
      <c r="U3104">
        <v>4</v>
      </c>
      <c r="V3104">
        <v>2023</v>
      </c>
      <c r="W3104">
        <v>2</v>
      </c>
      <c r="X3104" t="s">
        <v>9899</v>
      </c>
      <c r="Y3104" t="s">
        <v>9901</v>
      </c>
      <c r="Z3104" t="s">
        <v>9898</v>
      </c>
      <c r="AD3104">
        <f t="shared" si="97"/>
        <v>5</v>
      </c>
    </row>
    <row r="3105" spans="1:30" x14ac:dyDescent="0.25">
      <c r="A3105" t="s">
        <v>3129</v>
      </c>
      <c r="B3105" s="2">
        <v>45177</v>
      </c>
      <c r="C3105" s="2">
        <v>45178</v>
      </c>
      <c r="D3105" t="s">
        <v>5502</v>
      </c>
      <c r="E3105" t="s">
        <v>6002</v>
      </c>
      <c r="F3105" t="s">
        <v>6026</v>
      </c>
      <c r="G3105" t="s">
        <v>6031</v>
      </c>
      <c r="H3105" t="s">
        <v>6043</v>
      </c>
      <c r="I3105" t="s">
        <v>6052</v>
      </c>
      <c r="J3105" t="s">
        <v>6053</v>
      </c>
      <c r="K3105" t="s">
        <v>6057</v>
      </c>
      <c r="L3105" t="s">
        <v>7630</v>
      </c>
      <c r="M3105">
        <v>1140.3599999999999</v>
      </c>
      <c r="N3105">
        <v>1</v>
      </c>
      <c r="O3105">
        <v>0.28999999999999998</v>
      </c>
      <c r="P3105">
        <v>-60.49</v>
      </c>
      <c r="Q3105" t="s">
        <v>9894</v>
      </c>
      <c r="R3105">
        <v>1</v>
      </c>
      <c r="S3105" s="5">
        <f t="shared" si="96"/>
        <v>-5.3044652565856401E-2</v>
      </c>
      <c r="T3105">
        <v>1140.3599999999999</v>
      </c>
      <c r="U3105">
        <v>9</v>
      </c>
      <c r="V3105">
        <v>2023</v>
      </c>
      <c r="W3105">
        <v>3</v>
      </c>
      <c r="X3105" t="s">
        <v>9898</v>
      </c>
      <c r="Y3105" t="s">
        <v>9900</v>
      </c>
      <c r="Z3105" t="s">
        <v>9898</v>
      </c>
      <c r="AD3105">
        <f t="shared" si="97"/>
        <v>1</v>
      </c>
    </row>
    <row r="3106" spans="1:30" x14ac:dyDescent="0.25">
      <c r="A3106" t="s">
        <v>3130</v>
      </c>
      <c r="B3106" s="2">
        <v>45193</v>
      </c>
      <c r="C3106" s="2">
        <v>45196</v>
      </c>
      <c r="D3106" t="s">
        <v>5488</v>
      </c>
      <c r="E3106" t="s">
        <v>5988</v>
      </c>
      <c r="F3106" t="s">
        <v>6027</v>
      </c>
      <c r="G3106" t="s">
        <v>6031</v>
      </c>
      <c r="H3106" t="s">
        <v>6042</v>
      </c>
      <c r="I3106" t="s">
        <v>6052</v>
      </c>
      <c r="J3106" t="s">
        <v>6053</v>
      </c>
      <c r="K3106" t="s">
        <v>6056</v>
      </c>
      <c r="L3106" t="s">
        <v>6178</v>
      </c>
      <c r="M3106">
        <v>1464.88</v>
      </c>
      <c r="N3106">
        <v>8</v>
      </c>
      <c r="O3106">
        <v>0.14000000000000001</v>
      </c>
      <c r="P3106">
        <v>188.21</v>
      </c>
      <c r="Q3106" t="s">
        <v>9897</v>
      </c>
      <c r="R3106">
        <v>3</v>
      </c>
      <c r="S3106" s="5">
        <f t="shared" si="96"/>
        <v>0.12848151384413739</v>
      </c>
      <c r="T3106">
        <v>183.11</v>
      </c>
      <c r="U3106">
        <v>9</v>
      </c>
      <c r="V3106">
        <v>2023</v>
      </c>
      <c r="W3106">
        <v>3</v>
      </c>
      <c r="X3106" t="s">
        <v>9899</v>
      </c>
      <c r="Y3106" t="s">
        <v>9901</v>
      </c>
      <c r="Z3106" t="s">
        <v>9898</v>
      </c>
      <c r="AD3106">
        <f t="shared" si="97"/>
        <v>3</v>
      </c>
    </row>
    <row r="3107" spans="1:30" x14ac:dyDescent="0.25">
      <c r="A3107" t="s">
        <v>3131</v>
      </c>
      <c r="B3107" s="2">
        <v>45212</v>
      </c>
      <c r="C3107" s="2">
        <v>45219</v>
      </c>
      <c r="D3107" t="s">
        <v>5361</v>
      </c>
      <c r="E3107" t="s">
        <v>5861</v>
      </c>
      <c r="F3107" t="s">
        <v>6026</v>
      </c>
      <c r="G3107" t="s">
        <v>6029</v>
      </c>
      <c r="H3107" t="s">
        <v>6044</v>
      </c>
      <c r="I3107" t="s">
        <v>6046</v>
      </c>
      <c r="J3107" t="s">
        <v>6055</v>
      </c>
      <c r="K3107" t="s">
        <v>6063</v>
      </c>
      <c r="L3107" t="s">
        <v>6282</v>
      </c>
      <c r="M3107">
        <v>1452.86</v>
      </c>
      <c r="N3107">
        <v>1</v>
      </c>
      <c r="O3107">
        <v>0.19</v>
      </c>
      <c r="P3107">
        <v>-94.87</v>
      </c>
      <c r="Q3107" t="s">
        <v>9893</v>
      </c>
      <c r="R3107">
        <v>7</v>
      </c>
      <c r="S3107" s="5">
        <f t="shared" si="96"/>
        <v>-6.5298789972881077E-2</v>
      </c>
      <c r="T3107">
        <v>1452.86</v>
      </c>
      <c r="U3107">
        <v>10</v>
      </c>
      <c r="V3107">
        <v>2023</v>
      </c>
      <c r="W3107">
        <v>4</v>
      </c>
      <c r="X3107" t="s">
        <v>9898</v>
      </c>
      <c r="Y3107" t="s">
        <v>9900</v>
      </c>
      <c r="Z3107" t="s">
        <v>9898</v>
      </c>
      <c r="AD3107">
        <f t="shared" si="97"/>
        <v>7</v>
      </c>
    </row>
    <row r="3108" spans="1:30" x14ac:dyDescent="0.25">
      <c r="A3108" t="s">
        <v>3132</v>
      </c>
      <c r="B3108" s="2">
        <v>45020</v>
      </c>
      <c r="C3108" s="2">
        <v>45025</v>
      </c>
      <c r="D3108" t="s">
        <v>5281</v>
      </c>
      <c r="E3108" t="s">
        <v>5781</v>
      </c>
      <c r="F3108" t="s">
        <v>6026</v>
      </c>
      <c r="G3108" t="s">
        <v>6029</v>
      </c>
      <c r="H3108" t="s">
        <v>6045</v>
      </c>
      <c r="I3108" t="s">
        <v>6049</v>
      </c>
      <c r="J3108" t="s">
        <v>6055</v>
      </c>
      <c r="K3108" t="s">
        <v>6063</v>
      </c>
      <c r="L3108" t="s">
        <v>8682</v>
      </c>
      <c r="M3108">
        <v>1210.53</v>
      </c>
      <c r="N3108">
        <v>3</v>
      </c>
      <c r="O3108">
        <v>0.2</v>
      </c>
      <c r="P3108">
        <v>-61.45</v>
      </c>
      <c r="Q3108" t="s">
        <v>9893</v>
      </c>
      <c r="R3108">
        <v>5</v>
      </c>
      <c r="S3108" s="5">
        <f t="shared" si="96"/>
        <v>-5.0762888982511793E-2</v>
      </c>
      <c r="T3108">
        <v>403.51</v>
      </c>
      <c r="U3108">
        <v>4</v>
      </c>
      <c r="V3108">
        <v>2023</v>
      </c>
      <c r="W3108">
        <v>2</v>
      </c>
      <c r="X3108" t="s">
        <v>9898</v>
      </c>
      <c r="Y3108" t="s">
        <v>9900</v>
      </c>
      <c r="Z3108" t="s">
        <v>9898</v>
      </c>
      <c r="AD3108">
        <f t="shared" si="97"/>
        <v>5</v>
      </c>
    </row>
    <row r="3109" spans="1:30" x14ac:dyDescent="0.25">
      <c r="A3109" t="s">
        <v>3133</v>
      </c>
      <c r="B3109" s="2">
        <v>44677</v>
      </c>
      <c r="C3109" s="2">
        <v>44680</v>
      </c>
      <c r="D3109" t="s">
        <v>5256</v>
      </c>
      <c r="E3109" t="s">
        <v>5756</v>
      </c>
      <c r="F3109" t="s">
        <v>6026</v>
      </c>
      <c r="G3109" t="s">
        <v>6029</v>
      </c>
      <c r="H3109" t="s">
        <v>6032</v>
      </c>
      <c r="I3109" t="s">
        <v>6050</v>
      </c>
      <c r="J3109" t="s">
        <v>6054</v>
      </c>
      <c r="K3109" t="s">
        <v>6059</v>
      </c>
      <c r="L3109" t="s">
        <v>6087</v>
      </c>
      <c r="M3109">
        <v>1088.97</v>
      </c>
      <c r="N3109">
        <v>8</v>
      </c>
      <c r="O3109">
        <v>0</v>
      </c>
      <c r="P3109">
        <v>158.54</v>
      </c>
      <c r="Q3109" t="s">
        <v>9893</v>
      </c>
      <c r="R3109">
        <v>3</v>
      </c>
      <c r="S3109" s="5">
        <f t="shared" si="96"/>
        <v>0.14558711442923128</v>
      </c>
      <c r="T3109">
        <v>136.12125</v>
      </c>
      <c r="U3109">
        <v>4</v>
      </c>
      <c r="V3109">
        <v>2022</v>
      </c>
      <c r="W3109">
        <v>2</v>
      </c>
      <c r="X3109" t="s">
        <v>9899</v>
      </c>
      <c r="Y3109" t="s">
        <v>9901</v>
      </c>
      <c r="Z3109" t="s">
        <v>9898</v>
      </c>
      <c r="AD3109">
        <f t="shared" si="97"/>
        <v>3</v>
      </c>
    </row>
    <row r="3110" spans="1:30" x14ac:dyDescent="0.25">
      <c r="A3110" t="s">
        <v>3134</v>
      </c>
      <c r="B3110" s="2">
        <v>45428</v>
      </c>
      <c r="C3110" s="2">
        <v>45429</v>
      </c>
      <c r="D3110" t="s">
        <v>5105</v>
      </c>
      <c r="E3110" t="s">
        <v>5605</v>
      </c>
      <c r="F3110" t="s">
        <v>6028</v>
      </c>
      <c r="G3110" t="s">
        <v>6029</v>
      </c>
      <c r="H3110" t="s">
        <v>6044</v>
      </c>
      <c r="I3110" t="s">
        <v>6046</v>
      </c>
      <c r="J3110" t="s">
        <v>6053</v>
      </c>
      <c r="K3110" t="s">
        <v>6056</v>
      </c>
      <c r="L3110" t="s">
        <v>8683</v>
      </c>
      <c r="M3110">
        <v>175.06</v>
      </c>
      <c r="N3110">
        <v>3</v>
      </c>
      <c r="O3110">
        <v>0.13</v>
      </c>
      <c r="P3110">
        <v>23.09</v>
      </c>
      <c r="Q3110" t="s">
        <v>9894</v>
      </c>
      <c r="R3110">
        <v>1</v>
      </c>
      <c r="S3110" s="5">
        <f t="shared" si="96"/>
        <v>0.13189763509653832</v>
      </c>
      <c r="T3110">
        <v>58.353333333333332</v>
      </c>
      <c r="U3110">
        <v>5</v>
      </c>
      <c r="V3110">
        <v>2024</v>
      </c>
      <c r="W3110">
        <v>2</v>
      </c>
      <c r="X3110" t="s">
        <v>9899</v>
      </c>
      <c r="Y3110" t="s">
        <v>9901</v>
      </c>
      <c r="Z3110" t="s">
        <v>9899</v>
      </c>
      <c r="AD3110">
        <f t="shared" si="97"/>
        <v>1</v>
      </c>
    </row>
    <row r="3111" spans="1:30" x14ac:dyDescent="0.25">
      <c r="A3111" t="s">
        <v>3135</v>
      </c>
      <c r="B3111" s="2">
        <v>44876</v>
      </c>
      <c r="C3111" s="2">
        <v>44883</v>
      </c>
      <c r="D3111" t="s">
        <v>5439</v>
      </c>
      <c r="E3111" t="s">
        <v>5939</v>
      </c>
      <c r="F3111" t="s">
        <v>6027</v>
      </c>
      <c r="G3111" t="s">
        <v>6031</v>
      </c>
      <c r="H3111" t="s">
        <v>6043</v>
      </c>
      <c r="I3111" t="s">
        <v>6048</v>
      </c>
      <c r="J3111" t="s">
        <v>6054</v>
      </c>
      <c r="K3111" t="s">
        <v>6062</v>
      </c>
      <c r="L3111" t="s">
        <v>8684</v>
      </c>
      <c r="M3111">
        <v>266.45</v>
      </c>
      <c r="N3111">
        <v>4</v>
      </c>
      <c r="O3111">
        <v>0.34</v>
      </c>
      <c r="P3111">
        <v>-12.42</v>
      </c>
      <c r="Q3111" t="s">
        <v>9895</v>
      </c>
      <c r="R3111">
        <v>7</v>
      </c>
      <c r="S3111" s="5">
        <f t="shared" si="96"/>
        <v>-4.6612872959279419E-2</v>
      </c>
      <c r="T3111">
        <v>66.612499999999997</v>
      </c>
      <c r="U3111">
        <v>11</v>
      </c>
      <c r="V3111">
        <v>2022</v>
      </c>
      <c r="W3111">
        <v>4</v>
      </c>
      <c r="X3111" t="s">
        <v>9898</v>
      </c>
      <c r="Y3111" t="s">
        <v>9902</v>
      </c>
      <c r="Z3111" t="s">
        <v>9899</v>
      </c>
      <c r="AD3111">
        <f t="shared" si="97"/>
        <v>7</v>
      </c>
    </row>
    <row r="3112" spans="1:30" x14ac:dyDescent="0.25">
      <c r="A3112" t="s">
        <v>3136</v>
      </c>
      <c r="B3112" s="2">
        <v>44871</v>
      </c>
      <c r="C3112" s="2">
        <v>44875</v>
      </c>
      <c r="D3112" t="s">
        <v>5158</v>
      </c>
      <c r="E3112" t="s">
        <v>5658</v>
      </c>
      <c r="F3112" t="s">
        <v>6026</v>
      </c>
      <c r="G3112" t="s">
        <v>6031</v>
      </c>
      <c r="H3112" t="s">
        <v>6042</v>
      </c>
      <c r="I3112" t="s">
        <v>6048</v>
      </c>
      <c r="J3112" t="s">
        <v>6053</v>
      </c>
      <c r="K3112" t="s">
        <v>6057</v>
      </c>
      <c r="L3112" t="s">
        <v>6122</v>
      </c>
      <c r="M3112">
        <v>844.53</v>
      </c>
      <c r="N3112">
        <v>4</v>
      </c>
      <c r="O3112">
        <v>0.22</v>
      </c>
      <c r="P3112">
        <v>0.23</v>
      </c>
      <c r="Q3112" t="s">
        <v>9894</v>
      </c>
      <c r="R3112">
        <v>4</v>
      </c>
      <c r="S3112" s="5">
        <f t="shared" si="96"/>
        <v>2.7234082862657337E-4</v>
      </c>
      <c r="T3112">
        <v>211.13249999999999</v>
      </c>
      <c r="U3112">
        <v>11</v>
      </c>
      <c r="V3112">
        <v>2022</v>
      </c>
      <c r="W3112">
        <v>4</v>
      </c>
      <c r="X3112" t="s">
        <v>9899</v>
      </c>
      <c r="Y3112" t="s">
        <v>9900</v>
      </c>
      <c r="Z3112" t="s">
        <v>9899</v>
      </c>
      <c r="AD3112">
        <f t="shared" si="97"/>
        <v>4</v>
      </c>
    </row>
    <row r="3113" spans="1:30" x14ac:dyDescent="0.25">
      <c r="A3113" t="s">
        <v>3137</v>
      </c>
      <c r="B3113" s="2">
        <v>45361</v>
      </c>
      <c r="C3113" s="2">
        <v>45366</v>
      </c>
      <c r="D3113" t="s">
        <v>5033</v>
      </c>
      <c r="E3113" t="s">
        <v>5533</v>
      </c>
      <c r="F3113" t="s">
        <v>6026</v>
      </c>
      <c r="G3113" t="s">
        <v>6030</v>
      </c>
      <c r="H3113" t="s">
        <v>6033</v>
      </c>
      <c r="I3113" t="s">
        <v>6047</v>
      </c>
      <c r="J3113" t="s">
        <v>6054</v>
      </c>
      <c r="K3113" t="s">
        <v>6060</v>
      </c>
      <c r="L3113" t="s">
        <v>8685</v>
      </c>
      <c r="M3113">
        <v>1391.42</v>
      </c>
      <c r="N3113">
        <v>4</v>
      </c>
      <c r="O3113">
        <v>0.04</v>
      </c>
      <c r="P3113">
        <v>213.44</v>
      </c>
      <c r="Q3113" t="s">
        <v>9893</v>
      </c>
      <c r="R3113">
        <v>5</v>
      </c>
      <c r="S3113" s="5">
        <f t="shared" si="96"/>
        <v>0.15339724885368902</v>
      </c>
      <c r="T3113">
        <v>347.85500000000002</v>
      </c>
      <c r="U3113">
        <v>3</v>
      </c>
      <c r="V3113">
        <v>2024</v>
      </c>
      <c r="W3113">
        <v>1</v>
      </c>
      <c r="X3113" t="s">
        <v>9899</v>
      </c>
      <c r="Y3113" t="s">
        <v>9901</v>
      </c>
      <c r="Z3113" t="s">
        <v>9898</v>
      </c>
      <c r="AD3113">
        <f t="shared" si="97"/>
        <v>5</v>
      </c>
    </row>
    <row r="3114" spans="1:30" x14ac:dyDescent="0.25">
      <c r="A3114" t="s">
        <v>3138</v>
      </c>
      <c r="B3114" s="2">
        <v>44941</v>
      </c>
      <c r="C3114" s="2">
        <v>44946</v>
      </c>
      <c r="D3114" t="s">
        <v>5427</v>
      </c>
      <c r="E3114" t="s">
        <v>5927</v>
      </c>
      <c r="F3114" t="s">
        <v>6026</v>
      </c>
      <c r="G3114" t="s">
        <v>6031</v>
      </c>
      <c r="H3114" t="s">
        <v>6042</v>
      </c>
      <c r="I3114" t="s">
        <v>6048</v>
      </c>
      <c r="J3114" t="s">
        <v>6054</v>
      </c>
      <c r="K3114" t="s">
        <v>6062</v>
      </c>
      <c r="L3114" t="s">
        <v>8098</v>
      </c>
      <c r="M3114">
        <v>1690.18</v>
      </c>
      <c r="N3114">
        <v>3</v>
      </c>
      <c r="O3114">
        <v>0.28999999999999998</v>
      </c>
      <c r="P3114">
        <v>-168.27</v>
      </c>
      <c r="Q3114" t="s">
        <v>9895</v>
      </c>
      <c r="R3114">
        <v>5</v>
      </c>
      <c r="S3114" s="5">
        <f t="shared" si="96"/>
        <v>-9.9557443585890262E-2</v>
      </c>
      <c r="T3114">
        <v>563.39333333333332</v>
      </c>
      <c r="U3114">
        <v>1</v>
      </c>
      <c r="V3114">
        <v>2023</v>
      </c>
      <c r="W3114">
        <v>1</v>
      </c>
      <c r="X3114" t="s">
        <v>9898</v>
      </c>
      <c r="Y3114" t="s">
        <v>9900</v>
      </c>
      <c r="Z3114" t="s">
        <v>9898</v>
      </c>
      <c r="AD3114">
        <f t="shared" si="97"/>
        <v>5</v>
      </c>
    </row>
    <row r="3115" spans="1:30" x14ac:dyDescent="0.25">
      <c r="A3115" t="s">
        <v>3139</v>
      </c>
      <c r="B3115" s="2">
        <v>44620</v>
      </c>
      <c r="C3115" s="2">
        <v>44627</v>
      </c>
      <c r="D3115" t="s">
        <v>5158</v>
      </c>
      <c r="E3115" t="s">
        <v>5658</v>
      </c>
      <c r="F3115" t="s">
        <v>6027</v>
      </c>
      <c r="G3115" t="s">
        <v>6031</v>
      </c>
      <c r="H3115" t="s">
        <v>6043</v>
      </c>
      <c r="I3115" t="s">
        <v>6048</v>
      </c>
      <c r="J3115" t="s">
        <v>6055</v>
      </c>
      <c r="K3115" t="s">
        <v>6063</v>
      </c>
      <c r="L3115" t="s">
        <v>8686</v>
      </c>
      <c r="M3115">
        <v>566.04999999999995</v>
      </c>
      <c r="N3115">
        <v>4</v>
      </c>
      <c r="O3115">
        <v>0.22</v>
      </c>
      <c r="P3115">
        <v>-63.19</v>
      </c>
      <c r="Q3115" t="s">
        <v>9896</v>
      </c>
      <c r="R3115">
        <v>7</v>
      </c>
      <c r="S3115" s="5">
        <f t="shared" si="96"/>
        <v>-0.11163324794629451</v>
      </c>
      <c r="T3115">
        <v>141.51249999999999</v>
      </c>
      <c r="U3115">
        <v>2</v>
      </c>
      <c r="V3115">
        <v>2022</v>
      </c>
      <c r="W3115">
        <v>1</v>
      </c>
      <c r="X3115" t="s">
        <v>9898</v>
      </c>
      <c r="Y3115" t="s">
        <v>9900</v>
      </c>
      <c r="Z3115" t="s">
        <v>9899</v>
      </c>
      <c r="AD3115">
        <f t="shared" si="97"/>
        <v>7</v>
      </c>
    </row>
    <row r="3116" spans="1:30" x14ac:dyDescent="0.25">
      <c r="A3116" t="s">
        <v>3140</v>
      </c>
      <c r="B3116" s="2">
        <v>45432</v>
      </c>
      <c r="C3116" s="2">
        <v>45434</v>
      </c>
      <c r="D3116" t="s">
        <v>5507</v>
      </c>
      <c r="E3116" t="s">
        <v>6007</v>
      </c>
      <c r="F3116" t="s">
        <v>6028</v>
      </c>
      <c r="G3116" t="s">
        <v>6030</v>
      </c>
      <c r="H3116" t="s">
        <v>6038</v>
      </c>
      <c r="I3116" t="s">
        <v>6051</v>
      </c>
      <c r="J3116" t="s">
        <v>6054</v>
      </c>
      <c r="K3116" t="s">
        <v>6059</v>
      </c>
      <c r="L3116" t="s">
        <v>8687</v>
      </c>
      <c r="M3116">
        <v>526.67999999999995</v>
      </c>
      <c r="N3116">
        <v>2</v>
      </c>
      <c r="O3116">
        <v>0.21</v>
      </c>
      <c r="P3116">
        <v>45.03</v>
      </c>
      <c r="Q3116" t="s">
        <v>9897</v>
      </c>
      <c r="R3116">
        <v>2</v>
      </c>
      <c r="S3116" s="5">
        <f t="shared" si="96"/>
        <v>8.5497835497835503E-2</v>
      </c>
      <c r="T3116">
        <v>263.33999999999997</v>
      </c>
      <c r="U3116">
        <v>5</v>
      </c>
      <c r="V3116">
        <v>2024</v>
      </c>
      <c r="W3116">
        <v>2</v>
      </c>
      <c r="X3116" t="s">
        <v>9899</v>
      </c>
      <c r="Y3116" t="s">
        <v>9900</v>
      </c>
      <c r="Z3116" t="s">
        <v>9899</v>
      </c>
      <c r="AD3116">
        <f t="shared" si="97"/>
        <v>2</v>
      </c>
    </row>
    <row r="3117" spans="1:30" x14ac:dyDescent="0.25">
      <c r="A3117" t="s">
        <v>3141</v>
      </c>
      <c r="B3117" s="2">
        <v>45415</v>
      </c>
      <c r="C3117" s="2">
        <v>45418</v>
      </c>
      <c r="D3117" t="s">
        <v>5255</v>
      </c>
      <c r="E3117" t="s">
        <v>5755</v>
      </c>
      <c r="F3117" t="s">
        <v>6026</v>
      </c>
      <c r="G3117" t="s">
        <v>6029</v>
      </c>
      <c r="H3117" t="s">
        <v>6036</v>
      </c>
      <c r="I3117" t="s">
        <v>6049</v>
      </c>
      <c r="J3117" t="s">
        <v>6053</v>
      </c>
      <c r="K3117" t="s">
        <v>6058</v>
      </c>
      <c r="L3117" t="s">
        <v>8688</v>
      </c>
      <c r="M3117">
        <v>1768.91</v>
      </c>
      <c r="N3117">
        <v>5</v>
      </c>
      <c r="O3117">
        <v>0.16</v>
      </c>
      <c r="P3117">
        <v>232.41</v>
      </c>
      <c r="Q3117" t="s">
        <v>9895</v>
      </c>
      <c r="R3117">
        <v>3</v>
      </c>
      <c r="S3117" s="5">
        <f t="shared" si="96"/>
        <v>0.13138599476513785</v>
      </c>
      <c r="T3117">
        <v>353.78199999999998</v>
      </c>
      <c r="U3117">
        <v>5</v>
      </c>
      <c r="V3117">
        <v>2024</v>
      </c>
      <c r="W3117">
        <v>2</v>
      </c>
      <c r="X3117" t="s">
        <v>9899</v>
      </c>
      <c r="Y3117" t="s">
        <v>9900</v>
      </c>
      <c r="Z3117" t="s">
        <v>9898</v>
      </c>
      <c r="AD3117">
        <f t="shared" si="97"/>
        <v>3</v>
      </c>
    </row>
    <row r="3118" spans="1:30" x14ac:dyDescent="0.25">
      <c r="A3118" t="s">
        <v>3142</v>
      </c>
      <c r="B3118" s="2">
        <v>44742</v>
      </c>
      <c r="C3118" s="2">
        <v>44748</v>
      </c>
      <c r="D3118" t="s">
        <v>5258</v>
      </c>
      <c r="E3118" t="s">
        <v>5758</v>
      </c>
      <c r="F3118" t="s">
        <v>6026</v>
      </c>
      <c r="G3118" t="s">
        <v>6030</v>
      </c>
      <c r="H3118" t="s">
        <v>6033</v>
      </c>
      <c r="I3118" t="s">
        <v>6051</v>
      </c>
      <c r="J3118" t="s">
        <v>6055</v>
      </c>
      <c r="K3118" t="s">
        <v>6064</v>
      </c>
      <c r="L3118" t="s">
        <v>8521</v>
      </c>
      <c r="M3118">
        <v>336.43</v>
      </c>
      <c r="N3118">
        <v>2</v>
      </c>
      <c r="O3118">
        <v>0.06</v>
      </c>
      <c r="P3118">
        <v>52.23</v>
      </c>
      <c r="Q3118" t="s">
        <v>9894</v>
      </c>
      <c r="R3118">
        <v>6</v>
      </c>
      <c r="S3118" s="5">
        <f t="shared" si="96"/>
        <v>0.15524774841720415</v>
      </c>
      <c r="T3118">
        <v>168.215</v>
      </c>
      <c r="U3118">
        <v>6</v>
      </c>
      <c r="V3118">
        <v>2022</v>
      </c>
      <c r="W3118">
        <v>2</v>
      </c>
      <c r="X3118" t="s">
        <v>9899</v>
      </c>
      <c r="Y3118" t="s">
        <v>9901</v>
      </c>
      <c r="Z3118" t="s">
        <v>9899</v>
      </c>
      <c r="AD3118">
        <f t="shared" si="97"/>
        <v>6</v>
      </c>
    </row>
    <row r="3119" spans="1:30" x14ac:dyDescent="0.25">
      <c r="A3119" t="s">
        <v>3143</v>
      </c>
      <c r="B3119" s="2">
        <v>45346</v>
      </c>
      <c r="C3119" s="2">
        <v>45351</v>
      </c>
      <c r="D3119" t="s">
        <v>5301</v>
      </c>
      <c r="E3119" t="s">
        <v>5801</v>
      </c>
      <c r="F3119" t="s">
        <v>6027</v>
      </c>
      <c r="G3119" t="s">
        <v>6029</v>
      </c>
      <c r="H3119" t="s">
        <v>6032</v>
      </c>
      <c r="I3119" t="s">
        <v>6046</v>
      </c>
      <c r="J3119" t="s">
        <v>6054</v>
      </c>
      <c r="K3119" t="s">
        <v>6062</v>
      </c>
      <c r="L3119" t="s">
        <v>8689</v>
      </c>
      <c r="M3119">
        <v>824.82</v>
      </c>
      <c r="N3119">
        <v>3</v>
      </c>
      <c r="O3119">
        <v>0.09</v>
      </c>
      <c r="P3119">
        <v>150.16</v>
      </c>
      <c r="Q3119" t="s">
        <v>9897</v>
      </c>
      <c r="R3119">
        <v>5</v>
      </c>
      <c r="S3119" s="5">
        <f t="shared" si="96"/>
        <v>0.18205184161392787</v>
      </c>
      <c r="T3119">
        <v>274.94</v>
      </c>
      <c r="U3119">
        <v>2</v>
      </c>
      <c r="V3119">
        <v>2024</v>
      </c>
      <c r="W3119">
        <v>1</v>
      </c>
      <c r="X3119" t="s">
        <v>9899</v>
      </c>
      <c r="Y3119" t="s">
        <v>9901</v>
      </c>
      <c r="Z3119" t="s">
        <v>9899</v>
      </c>
      <c r="AD3119">
        <f t="shared" si="97"/>
        <v>5</v>
      </c>
    </row>
    <row r="3120" spans="1:30" x14ac:dyDescent="0.25">
      <c r="A3120" t="s">
        <v>3144</v>
      </c>
      <c r="B3120" s="2">
        <v>45097</v>
      </c>
      <c r="C3120" s="2">
        <v>45099</v>
      </c>
      <c r="D3120" t="s">
        <v>5101</v>
      </c>
      <c r="E3120" t="s">
        <v>5601</v>
      </c>
      <c r="F3120" t="s">
        <v>6026</v>
      </c>
      <c r="G3120" t="s">
        <v>6030</v>
      </c>
      <c r="H3120" t="s">
        <v>6033</v>
      </c>
      <c r="I3120" t="s">
        <v>6051</v>
      </c>
      <c r="J3120" t="s">
        <v>6054</v>
      </c>
      <c r="K3120" t="s">
        <v>6059</v>
      </c>
      <c r="L3120" t="s">
        <v>8690</v>
      </c>
      <c r="M3120">
        <v>174.26</v>
      </c>
      <c r="N3120">
        <v>5</v>
      </c>
      <c r="O3120">
        <v>7.0000000000000007E-2</v>
      </c>
      <c r="P3120">
        <v>7.04</v>
      </c>
      <c r="Q3120" t="s">
        <v>9897</v>
      </c>
      <c r="R3120">
        <v>2</v>
      </c>
      <c r="S3120" s="5">
        <f t="shared" si="96"/>
        <v>4.0399403190634689E-2</v>
      </c>
      <c r="T3120">
        <v>34.851999999999997</v>
      </c>
      <c r="U3120">
        <v>6</v>
      </c>
      <c r="V3120">
        <v>2023</v>
      </c>
      <c r="W3120">
        <v>2</v>
      </c>
      <c r="X3120" t="s">
        <v>9899</v>
      </c>
      <c r="Y3120" t="s">
        <v>9901</v>
      </c>
      <c r="Z3120" t="s">
        <v>9899</v>
      </c>
      <c r="AD3120">
        <f t="shared" si="97"/>
        <v>2</v>
      </c>
    </row>
    <row r="3121" spans="1:30" x14ac:dyDescent="0.25">
      <c r="A3121" t="s">
        <v>3145</v>
      </c>
      <c r="B3121" s="2">
        <v>45107</v>
      </c>
      <c r="C3121" s="2">
        <v>45108</v>
      </c>
      <c r="D3121" t="s">
        <v>5126</v>
      </c>
      <c r="E3121" t="s">
        <v>5626</v>
      </c>
      <c r="F3121" t="s">
        <v>6028</v>
      </c>
      <c r="G3121" t="s">
        <v>6029</v>
      </c>
      <c r="H3121" t="s">
        <v>6041</v>
      </c>
      <c r="I3121" t="s">
        <v>6050</v>
      </c>
      <c r="J3121" t="s">
        <v>6054</v>
      </c>
      <c r="K3121" t="s">
        <v>6060</v>
      </c>
      <c r="L3121" t="s">
        <v>8691</v>
      </c>
      <c r="M3121">
        <v>297.5</v>
      </c>
      <c r="N3121">
        <v>1</v>
      </c>
      <c r="O3121">
        <v>0.11</v>
      </c>
      <c r="P3121">
        <v>18.96</v>
      </c>
      <c r="Q3121" t="s">
        <v>9894</v>
      </c>
      <c r="R3121">
        <v>1</v>
      </c>
      <c r="S3121" s="5">
        <f t="shared" si="96"/>
        <v>6.3731092436974793E-2</v>
      </c>
      <c r="T3121">
        <v>297.5</v>
      </c>
      <c r="U3121">
        <v>6</v>
      </c>
      <c r="V3121">
        <v>2023</v>
      </c>
      <c r="W3121">
        <v>2</v>
      </c>
      <c r="X3121" t="s">
        <v>9899</v>
      </c>
      <c r="Y3121" t="s">
        <v>9901</v>
      </c>
      <c r="Z3121" t="s">
        <v>9899</v>
      </c>
      <c r="AD3121">
        <f t="shared" si="97"/>
        <v>1</v>
      </c>
    </row>
    <row r="3122" spans="1:30" x14ac:dyDescent="0.25">
      <c r="A3122" t="s">
        <v>3146</v>
      </c>
      <c r="B3122" s="2">
        <v>44739</v>
      </c>
      <c r="C3122" s="2">
        <v>44745</v>
      </c>
      <c r="D3122" t="s">
        <v>5516</v>
      </c>
      <c r="E3122" t="s">
        <v>6016</v>
      </c>
      <c r="F3122" t="s">
        <v>6026</v>
      </c>
      <c r="G3122" t="s">
        <v>6029</v>
      </c>
      <c r="H3122" t="s">
        <v>6041</v>
      </c>
      <c r="I3122" t="s">
        <v>6050</v>
      </c>
      <c r="J3122" t="s">
        <v>6053</v>
      </c>
      <c r="K3122" t="s">
        <v>6058</v>
      </c>
      <c r="L3122" t="s">
        <v>8692</v>
      </c>
      <c r="M3122">
        <v>1995.98</v>
      </c>
      <c r="N3122">
        <v>3</v>
      </c>
      <c r="O3122">
        <v>0.09</v>
      </c>
      <c r="P3122">
        <v>58.7</v>
      </c>
      <c r="Q3122" t="s">
        <v>9893</v>
      </c>
      <c r="R3122">
        <v>6</v>
      </c>
      <c r="S3122" s="5">
        <f t="shared" si="96"/>
        <v>2.9409112315754667E-2</v>
      </c>
      <c r="T3122">
        <v>665.32666666666671</v>
      </c>
      <c r="U3122">
        <v>6</v>
      </c>
      <c r="V3122">
        <v>2022</v>
      </c>
      <c r="W3122">
        <v>2</v>
      </c>
      <c r="X3122" t="s">
        <v>9899</v>
      </c>
      <c r="Y3122" t="s">
        <v>9901</v>
      </c>
      <c r="Z3122" t="s">
        <v>9898</v>
      </c>
      <c r="AD3122">
        <f t="shared" si="97"/>
        <v>6</v>
      </c>
    </row>
    <row r="3123" spans="1:30" x14ac:dyDescent="0.25">
      <c r="A3123" t="s">
        <v>3147</v>
      </c>
      <c r="B3123" s="2">
        <v>44791</v>
      </c>
      <c r="C3123" s="2">
        <v>44797</v>
      </c>
      <c r="D3123" t="s">
        <v>5146</v>
      </c>
      <c r="E3123" t="s">
        <v>5646</v>
      </c>
      <c r="F3123" t="s">
        <v>6027</v>
      </c>
      <c r="G3123" t="s">
        <v>6031</v>
      </c>
      <c r="H3123" t="s">
        <v>6042</v>
      </c>
      <c r="I3123" t="s">
        <v>6050</v>
      </c>
      <c r="J3123" t="s">
        <v>6055</v>
      </c>
      <c r="K3123" t="s">
        <v>6063</v>
      </c>
      <c r="L3123" t="s">
        <v>8693</v>
      </c>
      <c r="M3123">
        <v>892.94</v>
      </c>
      <c r="N3123">
        <v>3</v>
      </c>
      <c r="O3123">
        <v>0.16</v>
      </c>
      <c r="P3123">
        <v>10.51</v>
      </c>
      <c r="Q3123" t="s">
        <v>9897</v>
      </c>
      <c r="R3123">
        <v>6</v>
      </c>
      <c r="S3123" s="5">
        <f t="shared" si="96"/>
        <v>1.1770107734002284E-2</v>
      </c>
      <c r="T3123">
        <v>297.6466666666667</v>
      </c>
      <c r="U3123">
        <v>8</v>
      </c>
      <c r="V3123">
        <v>2022</v>
      </c>
      <c r="W3123">
        <v>3</v>
      </c>
      <c r="X3123" t="s">
        <v>9899</v>
      </c>
      <c r="Y3123" t="s">
        <v>9900</v>
      </c>
      <c r="Z3123" t="s">
        <v>9899</v>
      </c>
      <c r="AD3123">
        <f t="shared" si="97"/>
        <v>6</v>
      </c>
    </row>
    <row r="3124" spans="1:30" x14ac:dyDescent="0.25">
      <c r="A3124" t="s">
        <v>3148</v>
      </c>
      <c r="B3124" s="2">
        <v>44968</v>
      </c>
      <c r="C3124" s="2">
        <v>44973</v>
      </c>
      <c r="D3124" t="s">
        <v>5454</v>
      </c>
      <c r="E3124" t="s">
        <v>5954</v>
      </c>
      <c r="F3124" t="s">
        <v>6027</v>
      </c>
      <c r="G3124" t="s">
        <v>6030</v>
      </c>
      <c r="H3124" t="s">
        <v>6035</v>
      </c>
      <c r="I3124" t="s">
        <v>6051</v>
      </c>
      <c r="J3124" t="s">
        <v>6053</v>
      </c>
      <c r="K3124" t="s">
        <v>6056</v>
      </c>
      <c r="L3124" t="s">
        <v>8694</v>
      </c>
      <c r="M3124">
        <v>1207.17</v>
      </c>
      <c r="N3124">
        <v>8</v>
      </c>
      <c r="O3124">
        <v>0.13</v>
      </c>
      <c r="P3124">
        <v>67.87</v>
      </c>
      <c r="Q3124" t="s">
        <v>9895</v>
      </c>
      <c r="R3124">
        <v>5</v>
      </c>
      <c r="S3124" s="5">
        <f t="shared" si="96"/>
        <v>5.6222404466645129E-2</v>
      </c>
      <c r="T3124">
        <v>150.89625000000001</v>
      </c>
      <c r="U3124">
        <v>2</v>
      </c>
      <c r="V3124">
        <v>2023</v>
      </c>
      <c r="W3124">
        <v>1</v>
      </c>
      <c r="X3124" t="s">
        <v>9899</v>
      </c>
      <c r="Y3124" t="s">
        <v>9901</v>
      </c>
      <c r="Z3124" t="s">
        <v>9898</v>
      </c>
      <c r="AD3124">
        <f t="shared" si="97"/>
        <v>5</v>
      </c>
    </row>
    <row r="3125" spans="1:30" x14ac:dyDescent="0.25">
      <c r="A3125" t="s">
        <v>3149</v>
      </c>
      <c r="B3125" s="2">
        <v>45177</v>
      </c>
      <c r="C3125" s="2">
        <v>45178</v>
      </c>
      <c r="D3125" t="s">
        <v>5053</v>
      </c>
      <c r="E3125" t="s">
        <v>5553</v>
      </c>
      <c r="F3125" t="s">
        <v>6026</v>
      </c>
      <c r="G3125" t="s">
        <v>6030</v>
      </c>
      <c r="H3125" t="s">
        <v>6033</v>
      </c>
      <c r="I3125" t="s">
        <v>6047</v>
      </c>
      <c r="J3125" t="s">
        <v>6054</v>
      </c>
      <c r="K3125" t="s">
        <v>6060</v>
      </c>
      <c r="L3125" t="s">
        <v>7621</v>
      </c>
      <c r="M3125">
        <v>1982.71</v>
      </c>
      <c r="N3125">
        <v>8</v>
      </c>
      <c r="O3125">
        <v>0.28000000000000003</v>
      </c>
      <c r="P3125">
        <v>-299.01</v>
      </c>
      <c r="Q3125" t="s">
        <v>9897</v>
      </c>
      <c r="R3125">
        <v>1</v>
      </c>
      <c r="S3125" s="5">
        <f t="shared" si="96"/>
        <v>-0.15080874157088026</v>
      </c>
      <c r="T3125">
        <v>247.83875</v>
      </c>
      <c r="U3125">
        <v>9</v>
      </c>
      <c r="V3125">
        <v>2023</v>
      </c>
      <c r="W3125">
        <v>3</v>
      </c>
      <c r="X3125" t="s">
        <v>9898</v>
      </c>
      <c r="Y3125" t="s">
        <v>9900</v>
      </c>
      <c r="Z3125" t="s">
        <v>9898</v>
      </c>
      <c r="AD3125">
        <f t="shared" si="97"/>
        <v>1</v>
      </c>
    </row>
    <row r="3126" spans="1:30" x14ac:dyDescent="0.25">
      <c r="A3126" t="s">
        <v>3150</v>
      </c>
      <c r="B3126" s="2">
        <v>44702</v>
      </c>
      <c r="C3126" s="2">
        <v>44709</v>
      </c>
      <c r="D3126" t="s">
        <v>5031</v>
      </c>
      <c r="E3126" t="s">
        <v>5531</v>
      </c>
      <c r="F3126" t="s">
        <v>6028</v>
      </c>
      <c r="G3126" t="s">
        <v>6030</v>
      </c>
      <c r="H3126" t="s">
        <v>6038</v>
      </c>
      <c r="I3126" t="s">
        <v>6051</v>
      </c>
      <c r="J3126" t="s">
        <v>6055</v>
      </c>
      <c r="K3126" t="s">
        <v>6063</v>
      </c>
      <c r="L3126" t="s">
        <v>8695</v>
      </c>
      <c r="M3126">
        <v>698.68</v>
      </c>
      <c r="N3126">
        <v>2</v>
      </c>
      <c r="O3126">
        <v>0.16</v>
      </c>
      <c r="P3126">
        <v>48.03</v>
      </c>
      <c r="Q3126" t="s">
        <v>9896</v>
      </c>
      <c r="R3126">
        <v>7</v>
      </c>
      <c r="S3126" s="5">
        <f t="shared" si="96"/>
        <v>6.8743917100818688E-2</v>
      </c>
      <c r="T3126">
        <v>349.34</v>
      </c>
      <c r="U3126">
        <v>5</v>
      </c>
      <c r="V3126">
        <v>2022</v>
      </c>
      <c r="W3126">
        <v>2</v>
      </c>
      <c r="X3126" t="s">
        <v>9899</v>
      </c>
      <c r="Y3126" t="s">
        <v>9900</v>
      </c>
      <c r="Z3126" t="s">
        <v>9899</v>
      </c>
      <c r="AD3126">
        <f t="shared" si="97"/>
        <v>7</v>
      </c>
    </row>
    <row r="3127" spans="1:30" x14ac:dyDescent="0.25">
      <c r="A3127" t="s">
        <v>3151</v>
      </c>
      <c r="B3127" s="2">
        <v>44607</v>
      </c>
      <c r="C3127" s="2">
        <v>44608</v>
      </c>
      <c r="D3127" t="s">
        <v>5148</v>
      </c>
      <c r="E3127" t="s">
        <v>5648</v>
      </c>
      <c r="F3127" t="s">
        <v>6027</v>
      </c>
      <c r="G3127" t="s">
        <v>6031</v>
      </c>
      <c r="H3127" t="s">
        <v>6043</v>
      </c>
      <c r="I3127" t="s">
        <v>6052</v>
      </c>
      <c r="J3127" t="s">
        <v>6053</v>
      </c>
      <c r="K3127" t="s">
        <v>6056</v>
      </c>
      <c r="L3127" t="s">
        <v>8696</v>
      </c>
      <c r="M3127">
        <v>883.11</v>
      </c>
      <c r="N3127">
        <v>5</v>
      </c>
      <c r="O3127">
        <v>0.01</v>
      </c>
      <c r="P3127">
        <v>88.45</v>
      </c>
      <c r="Q3127" t="s">
        <v>9893</v>
      </c>
      <c r="R3127">
        <v>1</v>
      </c>
      <c r="S3127" s="5">
        <f t="shared" si="96"/>
        <v>0.10015739828560428</v>
      </c>
      <c r="T3127">
        <v>176.62200000000001</v>
      </c>
      <c r="U3127">
        <v>2</v>
      </c>
      <c r="V3127">
        <v>2022</v>
      </c>
      <c r="W3127">
        <v>1</v>
      </c>
      <c r="X3127" t="s">
        <v>9899</v>
      </c>
      <c r="Y3127" t="s">
        <v>9901</v>
      </c>
      <c r="Z3127" t="s">
        <v>9899</v>
      </c>
      <c r="AD3127">
        <f t="shared" si="97"/>
        <v>1</v>
      </c>
    </row>
    <row r="3128" spans="1:30" x14ac:dyDescent="0.25">
      <c r="A3128" t="s">
        <v>3152</v>
      </c>
      <c r="B3128" s="2">
        <v>45365</v>
      </c>
      <c r="C3128" s="2">
        <v>45370</v>
      </c>
      <c r="D3128" t="s">
        <v>5204</v>
      </c>
      <c r="E3128" t="s">
        <v>5704</v>
      </c>
      <c r="F3128" t="s">
        <v>6028</v>
      </c>
      <c r="G3128" t="s">
        <v>6029</v>
      </c>
      <c r="H3128" t="s">
        <v>6036</v>
      </c>
      <c r="I3128" t="s">
        <v>6046</v>
      </c>
      <c r="J3128" t="s">
        <v>6055</v>
      </c>
      <c r="K3128" t="s">
        <v>6063</v>
      </c>
      <c r="L3128" t="s">
        <v>8368</v>
      </c>
      <c r="M3128">
        <v>1112.3800000000001</v>
      </c>
      <c r="N3128">
        <v>4</v>
      </c>
      <c r="O3128">
        <v>0.08</v>
      </c>
      <c r="P3128">
        <v>133.99</v>
      </c>
      <c r="Q3128" t="s">
        <v>9895</v>
      </c>
      <c r="R3128">
        <v>5</v>
      </c>
      <c r="S3128" s="5">
        <f t="shared" si="96"/>
        <v>0.12045344216904295</v>
      </c>
      <c r="T3128">
        <v>278.09500000000003</v>
      </c>
      <c r="U3128">
        <v>3</v>
      </c>
      <c r="V3128">
        <v>2024</v>
      </c>
      <c r="W3128">
        <v>1</v>
      </c>
      <c r="X3128" t="s">
        <v>9899</v>
      </c>
      <c r="Y3128" t="s">
        <v>9901</v>
      </c>
      <c r="Z3128" t="s">
        <v>9898</v>
      </c>
      <c r="AD3128">
        <f t="shared" si="97"/>
        <v>5</v>
      </c>
    </row>
    <row r="3129" spans="1:30" x14ac:dyDescent="0.25">
      <c r="A3129" t="s">
        <v>3153</v>
      </c>
      <c r="B3129" s="2">
        <v>45439</v>
      </c>
      <c r="C3129" s="2">
        <v>45445</v>
      </c>
      <c r="D3129" t="s">
        <v>5462</v>
      </c>
      <c r="E3129" t="s">
        <v>5962</v>
      </c>
      <c r="F3129" t="s">
        <v>6027</v>
      </c>
      <c r="G3129" t="s">
        <v>6031</v>
      </c>
      <c r="H3129" t="s">
        <v>6042</v>
      </c>
      <c r="I3129" t="s">
        <v>6052</v>
      </c>
      <c r="J3129" t="s">
        <v>6053</v>
      </c>
      <c r="K3129" t="s">
        <v>6058</v>
      </c>
      <c r="L3129" t="s">
        <v>6204</v>
      </c>
      <c r="M3129">
        <v>200.62</v>
      </c>
      <c r="N3129">
        <v>7</v>
      </c>
      <c r="O3129">
        <v>0.19</v>
      </c>
      <c r="P3129">
        <v>-8.2200000000000006</v>
      </c>
      <c r="Q3129" t="s">
        <v>9893</v>
      </c>
      <c r="R3129">
        <v>6</v>
      </c>
      <c r="S3129" s="5">
        <f t="shared" si="96"/>
        <v>-4.0972983750373844E-2</v>
      </c>
      <c r="T3129">
        <v>28.66</v>
      </c>
      <c r="U3129">
        <v>5</v>
      </c>
      <c r="V3129">
        <v>2024</v>
      </c>
      <c r="W3129">
        <v>2</v>
      </c>
      <c r="X3129" t="s">
        <v>9898</v>
      </c>
      <c r="Y3129" t="s">
        <v>9900</v>
      </c>
      <c r="Z3129" t="s">
        <v>9899</v>
      </c>
      <c r="AD3129">
        <f t="shared" si="97"/>
        <v>6</v>
      </c>
    </row>
    <row r="3130" spans="1:30" x14ac:dyDescent="0.25">
      <c r="A3130" t="s">
        <v>3154</v>
      </c>
      <c r="B3130" s="2">
        <v>44642</v>
      </c>
      <c r="C3130" s="2">
        <v>44649</v>
      </c>
      <c r="D3130" t="s">
        <v>5247</v>
      </c>
      <c r="E3130" t="s">
        <v>5747</v>
      </c>
      <c r="F3130" t="s">
        <v>6027</v>
      </c>
      <c r="G3130" t="s">
        <v>6029</v>
      </c>
      <c r="H3130" t="s">
        <v>6045</v>
      </c>
      <c r="I3130" t="s">
        <v>6050</v>
      </c>
      <c r="J3130" t="s">
        <v>6054</v>
      </c>
      <c r="K3130" t="s">
        <v>6062</v>
      </c>
      <c r="L3130" t="s">
        <v>8697</v>
      </c>
      <c r="M3130">
        <v>1366.62</v>
      </c>
      <c r="N3130">
        <v>7</v>
      </c>
      <c r="O3130">
        <v>0.35</v>
      </c>
      <c r="P3130">
        <v>-216.72</v>
      </c>
      <c r="Q3130" t="s">
        <v>9893</v>
      </c>
      <c r="R3130">
        <v>7</v>
      </c>
      <c r="S3130" s="5">
        <f t="shared" si="96"/>
        <v>-0.15858102471791721</v>
      </c>
      <c r="T3130">
        <v>195.23142857142861</v>
      </c>
      <c r="U3130">
        <v>3</v>
      </c>
      <c r="V3130">
        <v>2022</v>
      </c>
      <c r="W3130">
        <v>1</v>
      </c>
      <c r="X3130" t="s">
        <v>9898</v>
      </c>
      <c r="Y3130" t="s">
        <v>9902</v>
      </c>
      <c r="Z3130" t="s">
        <v>9898</v>
      </c>
      <c r="AD3130">
        <f t="shared" si="97"/>
        <v>7</v>
      </c>
    </row>
    <row r="3131" spans="1:30" x14ac:dyDescent="0.25">
      <c r="A3131" t="s">
        <v>3155</v>
      </c>
      <c r="B3131" s="2">
        <v>45149</v>
      </c>
      <c r="C3131" s="2">
        <v>45156</v>
      </c>
      <c r="D3131" t="s">
        <v>5394</v>
      </c>
      <c r="E3131" t="s">
        <v>5894</v>
      </c>
      <c r="F3131" t="s">
        <v>6026</v>
      </c>
      <c r="G3131" t="s">
        <v>6031</v>
      </c>
      <c r="H3131" t="s">
        <v>6042</v>
      </c>
      <c r="I3131" t="s">
        <v>6052</v>
      </c>
      <c r="J3131" t="s">
        <v>6053</v>
      </c>
      <c r="K3131" t="s">
        <v>6056</v>
      </c>
      <c r="L3131" t="s">
        <v>8224</v>
      </c>
      <c r="M3131">
        <v>1230.27</v>
      </c>
      <c r="N3131">
        <v>6</v>
      </c>
      <c r="O3131">
        <v>0.1</v>
      </c>
      <c r="P3131">
        <v>79.209999999999994</v>
      </c>
      <c r="Q3131" t="s">
        <v>9895</v>
      </c>
      <c r="R3131">
        <v>7</v>
      </c>
      <c r="S3131" s="5">
        <f t="shared" si="96"/>
        <v>6.4384240857697894E-2</v>
      </c>
      <c r="T3131">
        <v>205.04499999999999</v>
      </c>
      <c r="U3131">
        <v>8</v>
      </c>
      <c r="V3131">
        <v>2023</v>
      </c>
      <c r="W3131">
        <v>3</v>
      </c>
      <c r="X3131" t="s">
        <v>9899</v>
      </c>
      <c r="Y3131" t="s">
        <v>9901</v>
      </c>
      <c r="Z3131" t="s">
        <v>9898</v>
      </c>
      <c r="AD3131">
        <f t="shared" si="97"/>
        <v>7</v>
      </c>
    </row>
    <row r="3132" spans="1:30" x14ac:dyDescent="0.25">
      <c r="A3132" t="s">
        <v>3156</v>
      </c>
      <c r="B3132" s="2">
        <v>44931</v>
      </c>
      <c r="C3132" s="2">
        <v>44932</v>
      </c>
      <c r="D3132" t="s">
        <v>5507</v>
      </c>
      <c r="E3132" t="s">
        <v>6007</v>
      </c>
      <c r="F3132" t="s">
        <v>6026</v>
      </c>
      <c r="G3132" t="s">
        <v>6030</v>
      </c>
      <c r="H3132" t="s">
        <v>6035</v>
      </c>
      <c r="I3132" t="s">
        <v>6051</v>
      </c>
      <c r="J3132" t="s">
        <v>6053</v>
      </c>
      <c r="K3132" t="s">
        <v>6057</v>
      </c>
      <c r="L3132" t="s">
        <v>8698</v>
      </c>
      <c r="M3132">
        <v>1758.2</v>
      </c>
      <c r="N3132">
        <v>6</v>
      </c>
      <c r="O3132">
        <v>0.14000000000000001</v>
      </c>
      <c r="P3132">
        <v>223.74</v>
      </c>
      <c r="Q3132" t="s">
        <v>9894</v>
      </c>
      <c r="R3132">
        <v>1</v>
      </c>
      <c r="S3132" s="5">
        <f t="shared" si="96"/>
        <v>0.1272551473097486</v>
      </c>
      <c r="T3132">
        <v>293.03333333333342</v>
      </c>
      <c r="U3132">
        <v>1</v>
      </c>
      <c r="V3132">
        <v>2023</v>
      </c>
      <c r="W3132">
        <v>1</v>
      </c>
      <c r="X3132" t="s">
        <v>9899</v>
      </c>
      <c r="Y3132" t="s">
        <v>9901</v>
      </c>
      <c r="Z3132" t="s">
        <v>9898</v>
      </c>
      <c r="AD3132">
        <f t="shared" si="97"/>
        <v>1</v>
      </c>
    </row>
    <row r="3133" spans="1:30" x14ac:dyDescent="0.25">
      <c r="A3133" t="s">
        <v>3157</v>
      </c>
      <c r="B3133" s="2">
        <v>44912</v>
      </c>
      <c r="C3133" s="2">
        <v>44919</v>
      </c>
      <c r="D3133" t="s">
        <v>5519</v>
      </c>
      <c r="E3133" t="s">
        <v>6019</v>
      </c>
      <c r="F3133" t="s">
        <v>6027</v>
      </c>
      <c r="G3133" t="s">
        <v>6031</v>
      </c>
      <c r="H3133" t="s">
        <v>6037</v>
      </c>
      <c r="I3133" t="s">
        <v>6052</v>
      </c>
      <c r="J3133" t="s">
        <v>6054</v>
      </c>
      <c r="K3133" t="s">
        <v>6060</v>
      </c>
      <c r="L3133" t="s">
        <v>6463</v>
      </c>
      <c r="M3133">
        <v>287.14999999999998</v>
      </c>
      <c r="N3133">
        <v>3</v>
      </c>
      <c r="O3133">
        <v>0.21</v>
      </c>
      <c r="P3133">
        <v>12.37</v>
      </c>
      <c r="Q3133" t="s">
        <v>9893</v>
      </c>
      <c r="R3133">
        <v>7</v>
      </c>
      <c r="S3133" s="5">
        <f t="shared" si="96"/>
        <v>4.3078530384816301E-2</v>
      </c>
      <c r="T3133">
        <v>95.716666666666654</v>
      </c>
      <c r="U3133">
        <v>12</v>
      </c>
      <c r="V3133">
        <v>2022</v>
      </c>
      <c r="W3133">
        <v>4</v>
      </c>
      <c r="X3133" t="s">
        <v>9899</v>
      </c>
      <c r="Y3133" t="s">
        <v>9900</v>
      </c>
      <c r="Z3133" t="s">
        <v>9899</v>
      </c>
      <c r="AD3133">
        <f t="shared" si="97"/>
        <v>7</v>
      </c>
    </row>
    <row r="3134" spans="1:30" x14ac:dyDescent="0.25">
      <c r="A3134" t="s">
        <v>3158</v>
      </c>
      <c r="B3134" s="2">
        <v>44968</v>
      </c>
      <c r="C3134" s="2">
        <v>44973</v>
      </c>
      <c r="D3134" t="s">
        <v>5232</v>
      </c>
      <c r="E3134" t="s">
        <v>5732</v>
      </c>
      <c r="F3134" t="s">
        <v>6028</v>
      </c>
      <c r="G3134" t="s">
        <v>6031</v>
      </c>
      <c r="H3134" t="s">
        <v>6034</v>
      </c>
      <c r="I3134" t="s">
        <v>6050</v>
      </c>
      <c r="J3134" t="s">
        <v>6054</v>
      </c>
      <c r="K3134" t="s">
        <v>6062</v>
      </c>
      <c r="L3134" t="s">
        <v>8699</v>
      </c>
      <c r="M3134">
        <v>1770.8</v>
      </c>
      <c r="N3134">
        <v>4</v>
      </c>
      <c r="O3134">
        <v>0.08</v>
      </c>
      <c r="P3134">
        <v>51.1</v>
      </c>
      <c r="Q3134" t="s">
        <v>9897</v>
      </c>
      <c r="R3134">
        <v>5</v>
      </c>
      <c r="S3134" s="5">
        <f t="shared" si="96"/>
        <v>2.8857013779082903E-2</v>
      </c>
      <c r="T3134">
        <v>442.7</v>
      </c>
      <c r="U3134">
        <v>2</v>
      </c>
      <c r="V3134">
        <v>2023</v>
      </c>
      <c r="W3134">
        <v>1</v>
      </c>
      <c r="X3134" t="s">
        <v>9899</v>
      </c>
      <c r="Y3134" t="s">
        <v>9901</v>
      </c>
      <c r="Z3134" t="s">
        <v>9898</v>
      </c>
      <c r="AD3134">
        <f t="shared" si="97"/>
        <v>5</v>
      </c>
    </row>
    <row r="3135" spans="1:30" x14ac:dyDescent="0.25">
      <c r="A3135" t="s">
        <v>3159</v>
      </c>
      <c r="B3135" s="2">
        <v>45067</v>
      </c>
      <c r="C3135" s="2">
        <v>45073</v>
      </c>
      <c r="D3135" t="s">
        <v>5268</v>
      </c>
      <c r="E3135" t="s">
        <v>5768</v>
      </c>
      <c r="F3135" t="s">
        <v>6028</v>
      </c>
      <c r="G3135" t="s">
        <v>6031</v>
      </c>
      <c r="H3135" t="s">
        <v>6040</v>
      </c>
      <c r="I3135" t="s">
        <v>6050</v>
      </c>
      <c r="J3135" t="s">
        <v>6053</v>
      </c>
      <c r="K3135" t="s">
        <v>6057</v>
      </c>
      <c r="L3135" t="s">
        <v>8700</v>
      </c>
      <c r="M3135">
        <v>497.55</v>
      </c>
      <c r="N3135">
        <v>5</v>
      </c>
      <c r="O3135">
        <v>0.19</v>
      </c>
      <c r="P3135">
        <v>21.55</v>
      </c>
      <c r="Q3135" t="s">
        <v>9895</v>
      </c>
      <c r="R3135">
        <v>6</v>
      </c>
      <c r="S3135" s="5">
        <f t="shared" si="96"/>
        <v>4.3312229926640536E-2</v>
      </c>
      <c r="T3135">
        <v>99.51</v>
      </c>
      <c r="U3135">
        <v>5</v>
      </c>
      <c r="V3135">
        <v>2023</v>
      </c>
      <c r="W3135">
        <v>2</v>
      </c>
      <c r="X3135" t="s">
        <v>9899</v>
      </c>
      <c r="Y3135" t="s">
        <v>9900</v>
      </c>
      <c r="Z3135" t="s">
        <v>9899</v>
      </c>
      <c r="AD3135">
        <f t="shared" si="97"/>
        <v>6</v>
      </c>
    </row>
    <row r="3136" spans="1:30" x14ac:dyDescent="0.25">
      <c r="A3136" t="s">
        <v>3160</v>
      </c>
      <c r="B3136" s="2">
        <v>44752</v>
      </c>
      <c r="C3136" s="2">
        <v>44756</v>
      </c>
      <c r="D3136" t="s">
        <v>5288</v>
      </c>
      <c r="E3136" t="s">
        <v>5788</v>
      </c>
      <c r="F3136" t="s">
        <v>6027</v>
      </c>
      <c r="G3136" t="s">
        <v>6030</v>
      </c>
      <c r="H3136" t="s">
        <v>6035</v>
      </c>
      <c r="I3136" t="s">
        <v>6047</v>
      </c>
      <c r="J3136" t="s">
        <v>6054</v>
      </c>
      <c r="K3136" t="s">
        <v>6059</v>
      </c>
      <c r="L3136" t="s">
        <v>8701</v>
      </c>
      <c r="M3136">
        <v>895.57</v>
      </c>
      <c r="N3136">
        <v>3</v>
      </c>
      <c r="O3136">
        <v>0.17</v>
      </c>
      <c r="P3136">
        <v>57.17</v>
      </c>
      <c r="Q3136" t="s">
        <v>9894</v>
      </c>
      <c r="R3136">
        <v>4</v>
      </c>
      <c r="S3136" s="5">
        <f t="shared" si="96"/>
        <v>6.3836439362640551E-2</v>
      </c>
      <c r="T3136">
        <v>298.52333333333343</v>
      </c>
      <c r="U3136">
        <v>7</v>
      </c>
      <c r="V3136">
        <v>2022</v>
      </c>
      <c r="W3136">
        <v>3</v>
      </c>
      <c r="X3136" t="s">
        <v>9899</v>
      </c>
      <c r="Y3136" t="s">
        <v>9900</v>
      </c>
      <c r="Z3136" t="s">
        <v>9899</v>
      </c>
      <c r="AD3136">
        <f t="shared" si="97"/>
        <v>4</v>
      </c>
    </row>
    <row r="3137" spans="1:30" x14ac:dyDescent="0.25">
      <c r="A3137" t="s">
        <v>3161</v>
      </c>
      <c r="B3137" s="2">
        <v>45252</v>
      </c>
      <c r="C3137" s="2">
        <v>45254</v>
      </c>
      <c r="D3137" t="s">
        <v>5378</v>
      </c>
      <c r="E3137" t="s">
        <v>5878</v>
      </c>
      <c r="F3137" t="s">
        <v>6027</v>
      </c>
      <c r="G3137" t="s">
        <v>6029</v>
      </c>
      <c r="H3137" t="s">
        <v>6032</v>
      </c>
      <c r="I3137" t="s">
        <v>6049</v>
      </c>
      <c r="J3137" t="s">
        <v>6053</v>
      </c>
      <c r="K3137" t="s">
        <v>6057</v>
      </c>
      <c r="L3137" t="s">
        <v>8702</v>
      </c>
      <c r="M3137">
        <v>1360.38</v>
      </c>
      <c r="N3137">
        <v>1</v>
      </c>
      <c r="O3137">
        <v>0.12</v>
      </c>
      <c r="P3137">
        <v>37.630000000000003</v>
      </c>
      <c r="Q3137" t="s">
        <v>9896</v>
      </c>
      <c r="R3137">
        <v>2</v>
      </c>
      <c r="S3137" s="5">
        <f t="shared" si="96"/>
        <v>2.7661388729619665E-2</v>
      </c>
      <c r="T3137">
        <v>1360.38</v>
      </c>
      <c r="U3137">
        <v>11</v>
      </c>
      <c r="V3137">
        <v>2023</v>
      </c>
      <c r="W3137">
        <v>4</v>
      </c>
      <c r="X3137" t="s">
        <v>9899</v>
      </c>
      <c r="Y3137" t="s">
        <v>9901</v>
      </c>
      <c r="Z3137" t="s">
        <v>9898</v>
      </c>
      <c r="AD3137">
        <f t="shared" si="97"/>
        <v>2</v>
      </c>
    </row>
    <row r="3138" spans="1:30" x14ac:dyDescent="0.25">
      <c r="A3138" t="s">
        <v>3162</v>
      </c>
      <c r="B3138" s="2">
        <v>44607</v>
      </c>
      <c r="C3138" s="2">
        <v>44611</v>
      </c>
      <c r="D3138" t="s">
        <v>5180</v>
      </c>
      <c r="E3138" t="s">
        <v>5680</v>
      </c>
      <c r="F3138" t="s">
        <v>6027</v>
      </c>
      <c r="G3138" t="s">
        <v>6029</v>
      </c>
      <c r="H3138" t="s">
        <v>6041</v>
      </c>
      <c r="I3138" t="s">
        <v>6049</v>
      </c>
      <c r="J3138" t="s">
        <v>6054</v>
      </c>
      <c r="K3138" t="s">
        <v>6060</v>
      </c>
      <c r="L3138" t="s">
        <v>8703</v>
      </c>
      <c r="M3138">
        <v>1964.65</v>
      </c>
      <c r="N3138">
        <v>7</v>
      </c>
      <c r="O3138">
        <v>0.32</v>
      </c>
      <c r="P3138">
        <v>-158.38</v>
      </c>
      <c r="Q3138" t="s">
        <v>9897</v>
      </c>
      <c r="R3138">
        <v>4</v>
      </c>
      <c r="S3138" s="5">
        <f t="shared" si="96"/>
        <v>-8.0614867788155645E-2</v>
      </c>
      <c r="T3138">
        <v>280.66428571428571</v>
      </c>
      <c r="U3138">
        <v>2</v>
      </c>
      <c r="V3138">
        <v>2022</v>
      </c>
      <c r="W3138">
        <v>1</v>
      </c>
      <c r="X3138" t="s">
        <v>9898</v>
      </c>
      <c r="Y3138" t="s">
        <v>9902</v>
      </c>
      <c r="Z3138" t="s">
        <v>9898</v>
      </c>
      <c r="AD3138">
        <f t="shared" si="97"/>
        <v>4</v>
      </c>
    </row>
    <row r="3139" spans="1:30" x14ac:dyDescent="0.25">
      <c r="A3139" t="s">
        <v>3163</v>
      </c>
      <c r="B3139" s="2">
        <v>44903</v>
      </c>
      <c r="C3139" s="2">
        <v>44905</v>
      </c>
      <c r="D3139" t="s">
        <v>5065</v>
      </c>
      <c r="E3139" t="s">
        <v>5565</v>
      </c>
      <c r="F3139" t="s">
        <v>6027</v>
      </c>
      <c r="G3139" t="s">
        <v>6029</v>
      </c>
      <c r="H3139" t="s">
        <v>6044</v>
      </c>
      <c r="I3139" t="s">
        <v>6046</v>
      </c>
      <c r="J3139" t="s">
        <v>6054</v>
      </c>
      <c r="K3139" t="s">
        <v>6060</v>
      </c>
      <c r="L3139" t="s">
        <v>6546</v>
      </c>
      <c r="M3139">
        <v>304.13</v>
      </c>
      <c r="N3139">
        <v>8</v>
      </c>
      <c r="O3139">
        <v>0.28000000000000003</v>
      </c>
      <c r="P3139">
        <v>-52.15</v>
      </c>
      <c r="Q3139" t="s">
        <v>9896</v>
      </c>
      <c r="R3139">
        <v>2</v>
      </c>
      <c r="S3139" s="5">
        <f t="shared" ref="S3139:S3202" si="98">P3139/M3139</f>
        <v>-0.17147272547923584</v>
      </c>
      <c r="T3139">
        <v>38.016249999999999</v>
      </c>
      <c r="U3139">
        <v>12</v>
      </c>
      <c r="V3139">
        <v>2022</v>
      </c>
      <c r="W3139">
        <v>4</v>
      </c>
      <c r="X3139" t="s">
        <v>9898</v>
      </c>
      <c r="Y3139" t="s">
        <v>9900</v>
      </c>
      <c r="Z3139" t="s">
        <v>9899</v>
      </c>
      <c r="AD3139">
        <f t="shared" ref="AD3139:AD3202" si="99">C3139-B3139</f>
        <v>2</v>
      </c>
    </row>
    <row r="3140" spans="1:30" x14ac:dyDescent="0.25">
      <c r="A3140" t="s">
        <v>3164</v>
      </c>
      <c r="B3140" s="2">
        <v>45131</v>
      </c>
      <c r="C3140" s="2">
        <v>45133</v>
      </c>
      <c r="D3140" t="s">
        <v>5493</v>
      </c>
      <c r="E3140" t="s">
        <v>5993</v>
      </c>
      <c r="F3140" t="s">
        <v>6026</v>
      </c>
      <c r="G3140" t="s">
        <v>6030</v>
      </c>
      <c r="H3140" t="s">
        <v>6035</v>
      </c>
      <c r="I3140" t="s">
        <v>6051</v>
      </c>
      <c r="J3140" t="s">
        <v>6055</v>
      </c>
      <c r="K3140" t="s">
        <v>6061</v>
      </c>
      <c r="L3140" t="s">
        <v>8704</v>
      </c>
      <c r="M3140">
        <v>836.53</v>
      </c>
      <c r="N3140">
        <v>6</v>
      </c>
      <c r="O3140">
        <v>0.03</v>
      </c>
      <c r="P3140">
        <v>90.41</v>
      </c>
      <c r="Q3140" t="s">
        <v>9894</v>
      </c>
      <c r="R3140">
        <v>2</v>
      </c>
      <c r="S3140" s="5">
        <f t="shared" si="98"/>
        <v>0.10807741503592221</v>
      </c>
      <c r="T3140">
        <v>139.42166666666671</v>
      </c>
      <c r="U3140">
        <v>7</v>
      </c>
      <c r="V3140">
        <v>2023</v>
      </c>
      <c r="W3140">
        <v>3</v>
      </c>
      <c r="X3140" t="s">
        <v>9899</v>
      </c>
      <c r="Y3140" t="s">
        <v>9901</v>
      </c>
      <c r="Z3140" t="s">
        <v>9899</v>
      </c>
      <c r="AD3140">
        <f t="shared" si="99"/>
        <v>2</v>
      </c>
    </row>
    <row r="3141" spans="1:30" x14ac:dyDescent="0.25">
      <c r="A3141" t="s">
        <v>3165</v>
      </c>
      <c r="B3141" s="2">
        <v>44682</v>
      </c>
      <c r="C3141" s="2">
        <v>44686</v>
      </c>
      <c r="D3141" t="s">
        <v>5316</v>
      </c>
      <c r="E3141" t="s">
        <v>5816</v>
      </c>
      <c r="F3141" t="s">
        <v>6028</v>
      </c>
      <c r="G3141" t="s">
        <v>6029</v>
      </c>
      <c r="H3141" t="s">
        <v>6032</v>
      </c>
      <c r="I3141" t="s">
        <v>6049</v>
      </c>
      <c r="J3141" t="s">
        <v>6053</v>
      </c>
      <c r="K3141" t="s">
        <v>6058</v>
      </c>
      <c r="L3141" t="s">
        <v>7177</v>
      </c>
      <c r="M3141">
        <v>1163.3599999999999</v>
      </c>
      <c r="N3141">
        <v>7</v>
      </c>
      <c r="O3141">
        <v>0.22</v>
      </c>
      <c r="P3141">
        <v>35.81</v>
      </c>
      <c r="Q3141" t="s">
        <v>9894</v>
      </c>
      <c r="R3141">
        <v>4</v>
      </c>
      <c r="S3141" s="5">
        <f t="shared" si="98"/>
        <v>3.0781529363223769E-2</v>
      </c>
      <c r="T3141">
        <v>166.19428571428571</v>
      </c>
      <c r="U3141">
        <v>5</v>
      </c>
      <c r="V3141">
        <v>2022</v>
      </c>
      <c r="W3141">
        <v>2</v>
      </c>
      <c r="X3141" t="s">
        <v>9899</v>
      </c>
      <c r="Y3141" t="s">
        <v>9900</v>
      </c>
      <c r="Z3141" t="s">
        <v>9898</v>
      </c>
      <c r="AD3141">
        <f t="shared" si="99"/>
        <v>4</v>
      </c>
    </row>
    <row r="3142" spans="1:30" x14ac:dyDescent="0.25">
      <c r="A3142" t="s">
        <v>3166</v>
      </c>
      <c r="B3142" s="2">
        <v>45202</v>
      </c>
      <c r="C3142" s="2">
        <v>45208</v>
      </c>
      <c r="D3142" t="s">
        <v>5191</v>
      </c>
      <c r="E3142" t="s">
        <v>5691</v>
      </c>
      <c r="F3142" t="s">
        <v>6026</v>
      </c>
      <c r="G3142" t="s">
        <v>6031</v>
      </c>
      <c r="H3142" t="s">
        <v>6040</v>
      </c>
      <c r="I3142" t="s">
        <v>6052</v>
      </c>
      <c r="J3142" t="s">
        <v>6053</v>
      </c>
      <c r="K3142" t="s">
        <v>6057</v>
      </c>
      <c r="L3142" t="s">
        <v>7296</v>
      </c>
      <c r="M3142">
        <v>640.55999999999995</v>
      </c>
      <c r="N3142">
        <v>1</v>
      </c>
      <c r="O3142">
        <v>0.32</v>
      </c>
      <c r="P3142">
        <v>-119.25</v>
      </c>
      <c r="Q3142" t="s">
        <v>9894</v>
      </c>
      <c r="R3142">
        <v>6</v>
      </c>
      <c r="S3142" s="5">
        <f t="shared" si="98"/>
        <v>-0.18616523042337957</v>
      </c>
      <c r="T3142">
        <v>640.55999999999995</v>
      </c>
      <c r="U3142">
        <v>10</v>
      </c>
      <c r="V3142">
        <v>2023</v>
      </c>
      <c r="W3142">
        <v>4</v>
      </c>
      <c r="X3142" t="s">
        <v>9898</v>
      </c>
      <c r="Y3142" t="s">
        <v>9902</v>
      </c>
      <c r="Z3142" t="s">
        <v>9899</v>
      </c>
      <c r="AD3142">
        <f t="shared" si="99"/>
        <v>6</v>
      </c>
    </row>
    <row r="3143" spans="1:30" x14ac:dyDescent="0.25">
      <c r="A3143" t="s">
        <v>3167</v>
      </c>
      <c r="B3143" s="2">
        <v>44859</v>
      </c>
      <c r="C3143" s="2">
        <v>44860</v>
      </c>
      <c r="D3143" t="s">
        <v>5027</v>
      </c>
      <c r="E3143" t="s">
        <v>5527</v>
      </c>
      <c r="F3143" t="s">
        <v>6027</v>
      </c>
      <c r="G3143" t="s">
        <v>6030</v>
      </c>
      <c r="H3143" t="s">
        <v>6035</v>
      </c>
      <c r="I3143" t="s">
        <v>6047</v>
      </c>
      <c r="J3143" t="s">
        <v>6054</v>
      </c>
      <c r="K3143" t="s">
        <v>6062</v>
      </c>
      <c r="L3143" t="s">
        <v>8705</v>
      </c>
      <c r="M3143">
        <v>1061.01</v>
      </c>
      <c r="N3143">
        <v>5</v>
      </c>
      <c r="O3143">
        <v>0.14000000000000001</v>
      </c>
      <c r="P3143">
        <v>-15.99</v>
      </c>
      <c r="Q3143" t="s">
        <v>9895</v>
      </c>
      <c r="R3143">
        <v>1</v>
      </c>
      <c r="S3143" s="5">
        <f t="shared" si="98"/>
        <v>-1.507054598919897E-2</v>
      </c>
      <c r="T3143">
        <v>212.202</v>
      </c>
      <c r="U3143">
        <v>10</v>
      </c>
      <c r="V3143">
        <v>2022</v>
      </c>
      <c r="W3143">
        <v>4</v>
      </c>
      <c r="X3143" t="s">
        <v>9898</v>
      </c>
      <c r="Y3143" t="s">
        <v>9901</v>
      </c>
      <c r="Z3143" t="s">
        <v>9898</v>
      </c>
      <c r="AD3143">
        <f t="shared" si="99"/>
        <v>1</v>
      </c>
    </row>
    <row r="3144" spans="1:30" x14ac:dyDescent="0.25">
      <c r="A3144" t="s">
        <v>3168</v>
      </c>
      <c r="B3144" s="2">
        <v>45312</v>
      </c>
      <c r="C3144" s="2">
        <v>45317</v>
      </c>
      <c r="D3144" t="s">
        <v>5408</v>
      </c>
      <c r="E3144" t="s">
        <v>5908</v>
      </c>
      <c r="F3144" t="s">
        <v>6026</v>
      </c>
      <c r="G3144" t="s">
        <v>6029</v>
      </c>
      <c r="H3144" t="s">
        <v>6036</v>
      </c>
      <c r="I3144" t="s">
        <v>6050</v>
      </c>
      <c r="J3144" t="s">
        <v>6053</v>
      </c>
      <c r="K3144" t="s">
        <v>6058</v>
      </c>
      <c r="L3144" t="s">
        <v>8706</v>
      </c>
      <c r="M3144">
        <v>831.18</v>
      </c>
      <c r="N3144">
        <v>3</v>
      </c>
      <c r="O3144">
        <v>0.31</v>
      </c>
      <c r="P3144">
        <v>-43.83</v>
      </c>
      <c r="Q3144" t="s">
        <v>9896</v>
      </c>
      <c r="R3144">
        <v>5</v>
      </c>
      <c r="S3144" s="5">
        <f t="shared" si="98"/>
        <v>-5.2732260160254098E-2</v>
      </c>
      <c r="T3144">
        <v>277.06</v>
      </c>
      <c r="U3144">
        <v>1</v>
      </c>
      <c r="V3144">
        <v>2024</v>
      </c>
      <c r="W3144">
        <v>1</v>
      </c>
      <c r="X3144" t="s">
        <v>9898</v>
      </c>
      <c r="Y3144" t="s">
        <v>9902</v>
      </c>
      <c r="Z3144" t="s">
        <v>9899</v>
      </c>
      <c r="AD3144">
        <f t="shared" si="99"/>
        <v>5</v>
      </c>
    </row>
    <row r="3145" spans="1:30" x14ac:dyDescent="0.25">
      <c r="A3145" t="s">
        <v>3169</v>
      </c>
      <c r="B3145" s="2">
        <v>44862</v>
      </c>
      <c r="C3145" s="2">
        <v>44867</v>
      </c>
      <c r="D3145" t="s">
        <v>5324</v>
      </c>
      <c r="E3145" t="s">
        <v>5824</v>
      </c>
      <c r="F3145" t="s">
        <v>6027</v>
      </c>
      <c r="G3145" t="s">
        <v>6029</v>
      </c>
      <c r="H3145" t="s">
        <v>6044</v>
      </c>
      <c r="I3145" t="s">
        <v>6050</v>
      </c>
      <c r="J3145" t="s">
        <v>6053</v>
      </c>
      <c r="K3145" t="s">
        <v>6057</v>
      </c>
      <c r="L3145" t="s">
        <v>8707</v>
      </c>
      <c r="M3145">
        <v>810.94</v>
      </c>
      <c r="N3145">
        <v>7</v>
      </c>
      <c r="O3145">
        <v>0.14000000000000001</v>
      </c>
      <c r="P3145">
        <v>119.65</v>
      </c>
      <c r="Q3145" t="s">
        <v>9893</v>
      </c>
      <c r="R3145">
        <v>5</v>
      </c>
      <c r="S3145" s="5">
        <f t="shared" si="98"/>
        <v>0.14754482452462575</v>
      </c>
      <c r="T3145">
        <v>115.8485714285714</v>
      </c>
      <c r="U3145">
        <v>10</v>
      </c>
      <c r="V3145">
        <v>2022</v>
      </c>
      <c r="W3145">
        <v>4</v>
      </c>
      <c r="X3145" t="s">
        <v>9899</v>
      </c>
      <c r="Y3145" t="s">
        <v>9901</v>
      </c>
      <c r="Z3145" t="s">
        <v>9899</v>
      </c>
      <c r="AD3145">
        <f t="shared" si="99"/>
        <v>5</v>
      </c>
    </row>
    <row r="3146" spans="1:30" x14ac:dyDescent="0.25">
      <c r="A3146" t="s">
        <v>3170</v>
      </c>
      <c r="B3146" s="2">
        <v>45353</v>
      </c>
      <c r="C3146" s="2">
        <v>45355</v>
      </c>
      <c r="D3146" t="s">
        <v>5226</v>
      </c>
      <c r="E3146" t="s">
        <v>5726</v>
      </c>
      <c r="F3146" t="s">
        <v>6027</v>
      </c>
      <c r="G3146" t="s">
        <v>6031</v>
      </c>
      <c r="H3146" t="s">
        <v>6040</v>
      </c>
      <c r="I3146" t="s">
        <v>6050</v>
      </c>
      <c r="J3146" t="s">
        <v>6055</v>
      </c>
      <c r="K3146" t="s">
        <v>6063</v>
      </c>
      <c r="L3146" t="s">
        <v>8708</v>
      </c>
      <c r="M3146">
        <v>845.37</v>
      </c>
      <c r="N3146">
        <v>2</v>
      </c>
      <c r="O3146">
        <v>0.34</v>
      </c>
      <c r="P3146">
        <v>-69.28</v>
      </c>
      <c r="Q3146" t="s">
        <v>9897</v>
      </c>
      <c r="R3146">
        <v>2</v>
      </c>
      <c r="S3146" s="5">
        <f t="shared" si="98"/>
        <v>-8.1952281249630346E-2</v>
      </c>
      <c r="T3146">
        <v>422.685</v>
      </c>
      <c r="U3146">
        <v>3</v>
      </c>
      <c r="V3146">
        <v>2024</v>
      </c>
      <c r="W3146">
        <v>1</v>
      </c>
      <c r="X3146" t="s">
        <v>9898</v>
      </c>
      <c r="Y3146" t="s">
        <v>9902</v>
      </c>
      <c r="Z3146" t="s">
        <v>9899</v>
      </c>
      <c r="AD3146">
        <f t="shared" si="99"/>
        <v>2</v>
      </c>
    </row>
    <row r="3147" spans="1:30" x14ac:dyDescent="0.25">
      <c r="A3147" t="s">
        <v>3171</v>
      </c>
      <c r="B3147" s="2">
        <v>45133</v>
      </c>
      <c r="C3147" s="2">
        <v>45135</v>
      </c>
      <c r="D3147" t="s">
        <v>5480</v>
      </c>
      <c r="E3147" t="s">
        <v>5980</v>
      </c>
      <c r="F3147" t="s">
        <v>6026</v>
      </c>
      <c r="G3147" t="s">
        <v>6030</v>
      </c>
      <c r="H3147" t="s">
        <v>6033</v>
      </c>
      <c r="I3147" t="s">
        <v>6047</v>
      </c>
      <c r="J3147" t="s">
        <v>6055</v>
      </c>
      <c r="K3147" t="s">
        <v>6064</v>
      </c>
      <c r="L3147" t="s">
        <v>8709</v>
      </c>
      <c r="M3147">
        <v>973.34</v>
      </c>
      <c r="N3147">
        <v>6</v>
      </c>
      <c r="O3147">
        <v>0.11</v>
      </c>
      <c r="P3147">
        <v>79.28</v>
      </c>
      <c r="Q3147" t="s">
        <v>9893</v>
      </c>
      <c r="R3147">
        <v>2</v>
      </c>
      <c r="S3147" s="5">
        <f t="shared" si="98"/>
        <v>8.1451496907555432E-2</v>
      </c>
      <c r="T3147">
        <v>162.2233333333333</v>
      </c>
      <c r="U3147">
        <v>7</v>
      </c>
      <c r="V3147">
        <v>2023</v>
      </c>
      <c r="W3147">
        <v>3</v>
      </c>
      <c r="X3147" t="s">
        <v>9899</v>
      </c>
      <c r="Y3147" t="s">
        <v>9901</v>
      </c>
      <c r="Z3147" t="s">
        <v>9899</v>
      </c>
      <c r="AD3147">
        <f t="shared" si="99"/>
        <v>2</v>
      </c>
    </row>
    <row r="3148" spans="1:30" x14ac:dyDescent="0.25">
      <c r="A3148" t="s">
        <v>3172</v>
      </c>
      <c r="B3148" s="2">
        <v>44887</v>
      </c>
      <c r="C3148" s="2">
        <v>44892</v>
      </c>
      <c r="D3148" t="s">
        <v>5172</v>
      </c>
      <c r="E3148" t="s">
        <v>5672</v>
      </c>
      <c r="F3148" t="s">
        <v>6028</v>
      </c>
      <c r="G3148" t="s">
        <v>6030</v>
      </c>
      <c r="H3148" t="s">
        <v>6039</v>
      </c>
      <c r="I3148" t="s">
        <v>6051</v>
      </c>
      <c r="J3148" t="s">
        <v>6055</v>
      </c>
      <c r="K3148" t="s">
        <v>6061</v>
      </c>
      <c r="L3148" t="s">
        <v>8268</v>
      </c>
      <c r="M3148">
        <v>1409.06</v>
      </c>
      <c r="N3148">
        <v>7</v>
      </c>
      <c r="O3148">
        <v>0.24</v>
      </c>
      <c r="P3148">
        <v>-193.93</v>
      </c>
      <c r="Q3148" t="s">
        <v>9897</v>
      </c>
      <c r="R3148">
        <v>5</v>
      </c>
      <c r="S3148" s="5">
        <f t="shared" si="98"/>
        <v>-0.13763076093282048</v>
      </c>
      <c r="T3148">
        <v>201.29428571428571</v>
      </c>
      <c r="U3148">
        <v>11</v>
      </c>
      <c r="V3148">
        <v>2022</v>
      </c>
      <c r="W3148">
        <v>4</v>
      </c>
      <c r="X3148" t="s">
        <v>9898</v>
      </c>
      <c r="Y3148" t="s">
        <v>9900</v>
      </c>
      <c r="Z3148" t="s">
        <v>9898</v>
      </c>
      <c r="AD3148">
        <f t="shared" si="99"/>
        <v>5</v>
      </c>
    </row>
    <row r="3149" spans="1:30" x14ac:dyDescent="0.25">
      <c r="A3149" t="s">
        <v>3173</v>
      </c>
      <c r="B3149" s="2">
        <v>45231</v>
      </c>
      <c r="C3149" s="2">
        <v>45236</v>
      </c>
      <c r="D3149" t="s">
        <v>5252</v>
      </c>
      <c r="E3149" t="s">
        <v>5752</v>
      </c>
      <c r="F3149" t="s">
        <v>6026</v>
      </c>
      <c r="G3149" t="s">
        <v>6031</v>
      </c>
      <c r="H3149" t="s">
        <v>6040</v>
      </c>
      <c r="I3149" t="s">
        <v>6048</v>
      </c>
      <c r="J3149" t="s">
        <v>6055</v>
      </c>
      <c r="K3149" t="s">
        <v>6064</v>
      </c>
      <c r="L3149" t="s">
        <v>8710</v>
      </c>
      <c r="M3149">
        <v>127.97</v>
      </c>
      <c r="N3149">
        <v>6</v>
      </c>
      <c r="O3149">
        <v>0.35</v>
      </c>
      <c r="P3149">
        <v>-6.93</v>
      </c>
      <c r="Q3149" t="s">
        <v>9897</v>
      </c>
      <c r="R3149">
        <v>5</v>
      </c>
      <c r="S3149" s="5">
        <f t="shared" si="98"/>
        <v>-5.4153317183714932E-2</v>
      </c>
      <c r="T3149">
        <v>21.32833333333333</v>
      </c>
      <c r="U3149">
        <v>11</v>
      </c>
      <c r="V3149">
        <v>2023</v>
      </c>
      <c r="W3149">
        <v>4</v>
      </c>
      <c r="X3149" t="s">
        <v>9898</v>
      </c>
      <c r="Y3149" t="s">
        <v>9902</v>
      </c>
      <c r="Z3149" t="s">
        <v>9899</v>
      </c>
      <c r="AD3149">
        <f t="shared" si="99"/>
        <v>5</v>
      </c>
    </row>
    <row r="3150" spans="1:30" x14ac:dyDescent="0.25">
      <c r="A3150" t="s">
        <v>3174</v>
      </c>
      <c r="B3150" s="2">
        <v>44946</v>
      </c>
      <c r="C3150" s="2">
        <v>44949</v>
      </c>
      <c r="D3150" t="s">
        <v>5365</v>
      </c>
      <c r="E3150" t="s">
        <v>5865</v>
      </c>
      <c r="F3150" t="s">
        <v>6026</v>
      </c>
      <c r="G3150" t="s">
        <v>6029</v>
      </c>
      <c r="H3150" t="s">
        <v>6041</v>
      </c>
      <c r="I3150" t="s">
        <v>6046</v>
      </c>
      <c r="J3150" t="s">
        <v>6055</v>
      </c>
      <c r="K3150" t="s">
        <v>6063</v>
      </c>
      <c r="L3150" t="s">
        <v>7587</v>
      </c>
      <c r="M3150">
        <v>218.98</v>
      </c>
      <c r="N3150">
        <v>8</v>
      </c>
      <c r="O3150">
        <v>0.05</v>
      </c>
      <c r="P3150">
        <v>52.63</v>
      </c>
      <c r="Q3150" t="s">
        <v>9893</v>
      </c>
      <c r="R3150">
        <v>3</v>
      </c>
      <c r="S3150" s="5">
        <f t="shared" si="98"/>
        <v>0.24034158370627456</v>
      </c>
      <c r="T3150">
        <v>27.372499999999999</v>
      </c>
      <c r="U3150">
        <v>1</v>
      </c>
      <c r="V3150">
        <v>2023</v>
      </c>
      <c r="W3150">
        <v>1</v>
      </c>
      <c r="X3150" t="s">
        <v>9899</v>
      </c>
      <c r="Y3150" t="s">
        <v>9901</v>
      </c>
      <c r="Z3150" t="s">
        <v>9899</v>
      </c>
      <c r="AD3150">
        <f t="shared" si="99"/>
        <v>3</v>
      </c>
    </row>
    <row r="3151" spans="1:30" x14ac:dyDescent="0.25">
      <c r="A3151" t="s">
        <v>3175</v>
      </c>
      <c r="B3151" s="2">
        <v>44635</v>
      </c>
      <c r="C3151" s="2">
        <v>44637</v>
      </c>
      <c r="D3151" t="s">
        <v>5409</v>
      </c>
      <c r="E3151" t="s">
        <v>5909</v>
      </c>
      <c r="F3151" t="s">
        <v>6027</v>
      </c>
      <c r="G3151" t="s">
        <v>6029</v>
      </c>
      <c r="H3151" t="s">
        <v>6045</v>
      </c>
      <c r="I3151" t="s">
        <v>6046</v>
      </c>
      <c r="J3151" t="s">
        <v>6055</v>
      </c>
      <c r="K3151" t="s">
        <v>6063</v>
      </c>
      <c r="L3151" t="s">
        <v>8711</v>
      </c>
      <c r="M3151">
        <v>476.44</v>
      </c>
      <c r="N3151">
        <v>8</v>
      </c>
      <c r="O3151">
        <v>0.04</v>
      </c>
      <c r="P3151">
        <v>52.93</v>
      </c>
      <c r="Q3151" t="s">
        <v>9893</v>
      </c>
      <c r="R3151">
        <v>2</v>
      </c>
      <c r="S3151" s="5">
        <f t="shared" si="98"/>
        <v>0.11109478633196206</v>
      </c>
      <c r="T3151">
        <v>59.555</v>
      </c>
      <c r="U3151">
        <v>3</v>
      </c>
      <c r="V3151">
        <v>2022</v>
      </c>
      <c r="W3151">
        <v>1</v>
      </c>
      <c r="X3151" t="s">
        <v>9899</v>
      </c>
      <c r="Y3151" t="s">
        <v>9901</v>
      </c>
      <c r="Z3151" t="s">
        <v>9899</v>
      </c>
      <c r="AD3151">
        <f t="shared" si="99"/>
        <v>2</v>
      </c>
    </row>
    <row r="3152" spans="1:30" x14ac:dyDescent="0.25">
      <c r="A3152" t="s">
        <v>3176</v>
      </c>
      <c r="B3152" s="2">
        <v>45133</v>
      </c>
      <c r="C3152" s="2">
        <v>45138</v>
      </c>
      <c r="D3152" t="s">
        <v>5296</v>
      </c>
      <c r="E3152" t="s">
        <v>5796</v>
      </c>
      <c r="F3152" t="s">
        <v>6027</v>
      </c>
      <c r="G3152" t="s">
        <v>6031</v>
      </c>
      <c r="H3152" t="s">
        <v>6042</v>
      </c>
      <c r="I3152" t="s">
        <v>6048</v>
      </c>
      <c r="J3152" t="s">
        <v>6053</v>
      </c>
      <c r="K3152" t="s">
        <v>6057</v>
      </c>
      <c r="L3152" t="s">
        <v>8712</v>
      </c>
      <c r="M3152">
        <v>1326.55</v>
      </c>
      <c r="N3152">
        <v>1</v>
      </c>
      <c r="O3152">
        <v>0.27</v>
      </c>
      <c r="P3152">
        <v>-86.69</v>
      </c>
      <c r="Q3152" t="s">
        <v>9896</v>
      </c>
      <c r="R3152">
        <v>5</v>
      </c>
      <c r="S3152" s="5">
        <f t="shared" si="98"/>
        <v>-6.5349967962006705E-2</v>
      </c>
      <c r="T3152">
        <v>1326.55</v>
      </c>
      <c r="U3152">
        <v>7</v>
      </c>
      <c r="V3152">
        <v>2023</v>
      </c>
      <c r="W3152">
        <v>3</v>
      </c>
      <c r="X3152" t="s">
        <v>9898</v>
      </c>
      <c r="Y3152" t="s">
        <v>9900</v>
      </c>
      <c r="Z3152" t="s">
        <v>9898</v>
      </c>
      <c r="AD3152">
        <f t="shared" si="99"/>
        <v>5</v>
      </c>
    </row>
    <row r="3153" spans="1:30" x14ac:dyDescent="0.25">
      <c r="A3153" t="s">
        <v>3177</v>
      </c>
      <c r="B3153" s="2">
        <v>44708</v>
      </c>
      <c r="C3153" s="2">
        <v>44714</v>
      </c>
      <c r="D3153" t="s">
        <v>5455</v>
      </c>
      <c r="E3153" t="s">
        <v>5955</v>
      </c>
      <c r="F3153" t="s">
        <v>6027</v>
      </c>
      <c r="G3153" t="s">
        <v>6029</v>
      </c>
      <c r="H3153" t="s">
        <v>6041</v>
      </c>
      <c r="I3153" t="s">
        <v>6050</v>
      </c>
      <c r="J3153" t="s">
        <v>6055</v>
      </c>
      <c r="K3153" t="s">
        <v>6064</v>
      </c>
      <c r="L3153" t="s">
        <v>8713</v>
      </c>
      <c r="M3153">
        <v>695.72</v>
      </c>
      <c r="N3153">
        <v>3</v>
      </c>
      <c r="O3153">
        <v>0.09</v>
      </c>
      <c r="P3153">
        <v>40.549999999999997</v>
      </c>
      <c r="Q3153" t="s">
        <v>9893</v>
      </c>
      <c r="R3153">
        <v>6</v>
      </c>
      <c r="S3153" s="5">
        <f t="shared" si="98"/>
        <v>5.8284942218133726E-2</v>
      </c>
      <c r="T3153">
        <v>231.90666666666669</v>
      </c>
      <c r="U3153">
        <v>5</v>
      </c>
      <c r="V3153">
        <v>2022</v>
      </c>
      <c r="W3153">
        <v>2</v>
      </c>
      <c r="X3153" t="s">
        <v>9899</v>
      </c>
      <c r="Y3153" t="s">
        <v>9901</v>
      </c>
      <c r="Z3153" t="s">
        <v>9899</v>
      </c>
      <c r="AD3153">
        <f t="shared" si="99"/>
        <v>6</v>
      </c>
    </row>
    <row r="3154" spans="1:30" x14ac:dyDescent="0.25">
      <c r="A3154" t="s">
        <v>3178</v>
      </c>
      <c r="B3154" s="2">
        <v>44785</v>
      </c>
      <c r="C3154" s="2">
        <v>44788</v>
      </c>
      <c r="D3154" t="s">
        <v>5103</v>
      </c>
      <c r="E3154" t="s">
        <v>5603</v>
      </c>
      <c r="F3154" t="s">
        <v>6027</v>
      </c>
      <c r="G3154" t="s">
        <v>6030</v>
      </c>
      <c r="H3154" t="s">
        <v>6039</v>
      </c>
      <c r="I3154" t="s">
        <v>6051</v>
      </c>
      <c r="J3154" t="s">
        <v>6054</v>
      </c>
      <c r="K3154" t="s">
        <v>6059</v>
      </c>
      <c r="L3154" t="s">
        <v>8714</v>
      </c>
      <c r="M3154">
        <v>1316.77</v>
      </c>
      <c r="N3154">
        <v>8</v>
      </c>
      <c r="O3154">
        <v>0.13</v>
      </c>
      <c r="P3154">
        <v>122.13</v>
      </c>
      <c r="Q3154" t="s">
        <v>9897</v>
      </c>
      <c r="R3154">
        <v>3</v>
      </c>
      <c r="S3154" s="5">
        <f t="shared" si="98"/>
        <v>9.274968293627589E-2</v>
      </c>
      <c r="T3154">
        <v>164.59625</v>
      </c>
      <c r="U3154">
        <v>8</v>
      </c>
      <c r="V3154">
        <v>2022</v>
      </c>
      <c r="W3154">
        <v>3</v>
      </c>
      <c r="X3154" t="s">
        <v>9899</v>
      </c>
      <c r="Y3154" t="s">
        <v>9901</v>
      </c>
      <c r="Z3154" t="s">
        <v>9898</v>
      </c>
      <c r="AD3154">
        <f t="shared" si="99"/>
        <v>3</v>
      </c>
    </row>
    <row r="3155" spans="1:30" x14ac:dyDescent="0.25">
      <c r="A3155" t="s">
        <v>3179</v>
      </c>
      <c r="B3155" s="2">
        <v>45190</v>
      </c>
      <c r="C3155" s="2">
        <v>45195</v>
      </c>
      <c r="D3155" t="s">
        <v>5238</v>
      </c>
      <c r="E3155" t="s">
        <v>5738</v>
      </c>
      <c r="F3155" t="s">
        <v>6027</v>
      </c>
      <c r="G3155" t="s">
        <v>6029</v>
      </c>
      <c r="H3155" t="s">
        <v>6044</v>
      </c>
      <c r="I3155" t="s">
        <v>6046</v>
      </c>
      <c r="J3155" t="s">
        <v>6054</v>
      </c>
      <c r="K3155" t="s">
        <v>6062</v>
      </c>
      <c r="L3155" t="s">
        <v>7985</v>
      </c>
      <c r="M3155">
        <v>1052.96</v>
      </c>
      <c r="N3155">
        <v>6</v>
      </c>
      <c r="O3155">
        <v>0.2</v>
      </c>
      <c r="P3155">
        <v>97.36</v>
      </c>
      <c r="Q3155" t="s">
        <v>9895</v>
      </c>
      <c r="R3155">
        <v>5</v>
      </c>
      <c r="S3155" s="5">
        <f t="shared" si="98"/>
        <v>9.2463151496733009E-2</v>
      </c>
      <c r="T3155">
        <v>175.49333333333331</v>
      </c>
      <c r="U3155">
        <v>9</v>
      </c>
      <c r="V3155">
        <v>2023</v>
      </c>
      <c r="W3155">
        <v>3</v>
      </c>
      <c r="X3155" t="s">
        <v>9899</v>
      </c>
      <c r="Y3155" t="s">
        <v>9900</v>
      </c>
      <c r="Z3155" t="s">
        <v>9898</v>
      </c>
      <c r="AD3155">
        <f t="shared" si="99"/>
        <v>5</v>
      </c>
    </row>
    <row r="3156" spans="1:30" x14ac:dyDescent="0.25">
      <c r="A3156" t="s">
        <v>3180</v>
      </c>
      <c r="B3156" s="2">
        <v>45192</v>
      </c>
      <c r="C3156" s="2">
        <v>45196</v>
      </c>
      <c r="D3156" t="s">
        <v>5242</v>
      </c>
      <c r="E3156" t="s">
        <v>5742</v>
      </c>
      <c r="F3156" t="s">
        <v>6026</v>
      </c>
      <c r="G3156" t="s">
        <v>6030</v>
      </c>
      <c r="H3156" t="s">
        <v>6035</v>
      </c>
      <c r="I3156" t="s">
        <v>6047</v>
      </c>
      <c r="J3156" t="s">
        <v>6054</v>
      </c>
      <c r="K3156" t="s">
        <v>6062</v>
      </c>
      <c r="L3156" t="s">
        <v>8715</v>
      </c>
      <c r="M3156">
        <v>1922.13</v>
      </c>
      <c r="N3156">
        <v>7</v>
      </c>
      <c r="O3156">
        <v>0.08</v>
      </c>
      <c r="P3156">
        <v>128.91999999999999</v>
      </c>
      <c r="Q3156" t="s">
        <v>9894</v>
      </c>
      <c r="R3156">
        <v>4</v>
      </c>
      <c r="S3156" s="5">
        <f t="shared" si="98"/>
        <v>6.7071425970147688E-2</v>
      </c>
      <c r="T3156">
        <v>274.58999999999997</v>
      </c>
      <c r="U3156">
        <v>9</v>
      </c>
      <c r="V3156">
        <v>2023</v>
      </c>
      <c r="W3156">
        <v>3</v>
      </c>
      <c r="X3156" t="s">
        <v>9899</v>
      </c>
      <c r="Y3156" t="s">
        <v>9901</v>
      </c>
      <c r="Z3156" t="s">
        <v>9898</v>
      </c>
      <c r="AD3156">
        <f t="shared" si="99"/>
        <v>4</v>
      </c>
    </row>
    <row r="3157" spans="1:30" x14ac:dyDescent="0.25">
      <c r="A3157" t="s">
        <v>3181</v>
      </c>
      <c r="B3157" s="2">
        <v>45446</v>
      </c>
      <c r="C3157" s="2">
        <v>45451</v>
      </c>
      <c r="D3157" t="s">
        <v>5379</v>
      </c>
      <c r="E3157" t="s">
        <v>5879</v>
      </c>
      <c r="F3157" t="s">
        <v>6028</v>
      </c>
      <c r="G3157" t="s">
        <v>6029</v>
      </c>
      <c r="H3157" t="s">
        <v>6036</v>
      </c>
      <c r="I3157" t="s">
        <v>6050</v>
      </c>
      <c r="J3157" t="s">
        <v>6055</v>
      </c>
      <c r="K3157" t="s">
        <v>6064</v>
      </c>
      <c r="L3157" t="s">
        <v>8716</v>
      </c>
      <c r="M3157">
        <v>1127.96</v>
      </c>
      <c r="N3157">
        <v>8</v>
      </c>
      <c r="O3157">
        <v>0.25</v>
      </c>
      <c r="P3157">
        <v>-140.59</v>
      </c>
      <c r="Q3157" t="s">
        <v>9897</v>
      </c>
      <c r="R3157">
        <v>5</v>
      </c>
      <c r="S3157" s="5">
        <f t="shared" si="98"/>
        <v>-0.12464094471435157</v>
      </c>
      <c r="T3157">
        <v>140.995</v>
      </c>
      <c r="U3157">
        <v>6</v>
      </c>
      <c r="V3157">
        <v>2024</v>
      </c>
      <c r="W3157">
        <v>2</v>
      </c>
      <c r="X3157" t="s">
        <v>9898</v>
      </c>
      <c r="Y3157" t="s">
        <v>9900</v>
      </c>
      <c r="Z3157" t="s">
        <v>9898</v>
      </c>
      <c r="AD3157">
        <f t="shared" si="99"/>
        <v>5</v>
      </c>
    </row>
    <row r="3158" spans="1:30" x14ac:dyDescent="0.25">
      <c r="A3158" t="s">
        <v>3182</v>
      </c>
      <c r="B3158" s="2">
        <v>44804</v>
      </c>
      <c r="C3158" s="2">
        <v>44811</v>
      </c>
      <c r="D3158" t="s">
        <v>5500</v>
      </c>
      <c r="E3158" t="s">
        <v>6000</v>
      </c>
      <c r="F3158" t="s">
        <v>6026</v>
      </c>
      <c r="G3158" t="s">
        <v>6031</v>
      </c>
      <c r="H3158" t="s">
        <v>6043</v>
      </c>
      <c r="I3158" t="s">
        <v>6048</v>
      </c>
      <c r="J3158" t="s">
        <v>6055</v>
      </c>
      <c r="K3158" t="s">
        <v>6063</v>
      </c>
      <c r="L3158" t="s">
        <v>8717</v>
      </c>
      <c r="M3158">
        <v>1178.25</v>
      </c>
      <c r="N3158">
        <v>8</v>
      </c>
      <c r="O3158">
        <v>0</v>
      </c>
      <c r="P3158">
        <v>226.48</v>
      </c>
      <c r="Q3158" t="s">
        <v>9895</v>
      </c>
      <c r="R3158">
        <v>7</v>
      </c>
      <c r="S3158" s="5">
        <f t="shared" si="98"/>
        <v>0.19221727137704223</v>
      </c>
      <c r="T3158">
        <v>147.28125</v>
      </c>
      <c r="U3158">
        <v>8</v>
      </c>
      <c r="V3158">
        <v>2022</v>
      </c>
      <c r="W3158">
        <v>3</v>
      </c>
      <c r="X3158" t="s">
        <v>9899</v>
      </c>
      <c r="Y3158" t="s">
        <v>9901</v>
      </c>
      <c r="Z3158" t="s">
        <v>9898</v>
      </c>
      <c r="AD3158">
        <f t="shared" si="99"/>
        <v>7</v>
      </c>
    </row>
    <row r="3159" spans="1:30" x14ac:dyDescent="0.25">
      <c r="A3159" t="s">
        <v>3183</v>
      </c>
      <c r="B3159" s="2">
        <v>44697</v>
      </c>
      <c r="C3159" s="2">
        <v>44698</v>
      </c>
      <c r="D3159" t="s">
        <v>5165</v>
      </c>
      <c r="E3159" t="s">
        <v>5665</v>
      </c>
      <c r="F3159" t="s">
        <v>6028</v>
      </c>
      <c r="G3159" t="s">
        <v>6029</v>
      </c>
      <c r="H3159" t="s">
        <v>6044</v>
      </c>
      <c r="I3159" t="s">
        <v>6049</v>
      </c>
      <c r="J3159" t="s">
        <v>6053</v>
      </c>
      <c r="K3159" t="s">
        <v>6057</v>
      </c>
      <c r="L3159" t="s">
        <v>8056</v>
      </c>
      <c r="M3159">
        <v>1634.07</v>
      </c>
      <c r="N3159">
        <v>8</v>
      </c>
      <c r="O3159">
        <v>0.1</v>
      </c>
      <c r="P3159">
        <v>250.97</v>
      </c>
      <c r="Q3159" t="s">
        <v>9893</v>
      </c>
      <c r="R3159">
        <v>1</v>
      </c>
      <c r="S3159" s="5">
        <f t="shared" si="98"/>
        <v>0.15358583169631657</v>
      </c>
      <c r="T3159">
        <v>204.25874999999999</v>
      </c>
      <c r="U3159">
        <v>5</v>
      </c>
      <c r="V3159">
        <v>2022</v>
      </c>
      <c r="W3159">
        <v>2</v>
      </c>
      <c r="X3159" t="s">
        <v>9899</v>
      </c>
      <c r="Y3159" t="s">
        <v>9901</v>
      </c>
      <c r="Z3159" t="s">
        <v>9898</v>
      </c>
      <c r="AD3159">
        <f t="shared" si="99"/>
        <v>1</v>
      </c>
    </row>
    <row r="3160" spans="1:30" x14ac:dyDescent="0.25">
      <c r="A3160" t="s">
        <v>3184</v>
      </c>
      <c r="B3160" s="2">
        <v>45069</v>
      </c>
      <c r="C3160" s="2">
        <v>45075</v>
      </c>
      <c r="D3160" t="s">
        <v>5249</v>
      </c>
      <c r="E3160" t="s">
        <v>5749</v>
      </c>
      <c r="F3160" t="s">
        <v>6026</v>
      </c>
      <c r="G3160" t="s">
        <v>6030</v>
      </c>
      <c r="H3160" t="s">
        <v>6035</v>
      </c>
      <c r="I3160" t="s">
        <v>6051</v>
      </c>
      <c r="J3160" t="s">
        <v>6053</v>
      </c>
      <c r="K3160" t="s">
        <v>6057</v>
      </c>
      <c r="L3160" t="s">
        <v>8718</v>
      </c>
      <c r="M3160">
        <v>1892.56</v>
      </c>
      <c r="N3160">
        <v>6</v>
      </c>
      <c r="O3160">
        <v>0.06</v>
      </c>
      <c r="P3160">
        <v>402.43</v>
      </c>
      <c r="Q3160" t="s">
        <v>9897</v>
      </c>
      <c r="R3160">
        <v>6</v>
      </c>
      <c r="S3160" s="5">
        <f t="shared" si="98"/>
        <v>0.21263790844147609</v>
      </c>
      <c r="T3160">
        <v>315.42666666666668</v>
      </c>
      <c r="U3160">
        <v>5</v>
      </c>
      <c r="V3160">
        <v>2023</v>
      </c>
      <c r="W3160">
        <v>2</v>
      </c>
      <c r="X3160" t="s">
        <v>9899</v>
      </c>
      <c r="Y3160" t="s">
        <v>9901</v>
      </c>
      <c r="Z3160" t="s">
        <v>9898</v>
      </c>
      <c r="AD3160">
        <f t="shared" si="99"/>
        <v>6</v>
      </c>
    </row>
    <row r="3161" spans="1:30" x14ac:dyDescent="0.25">
      <c r="A3161" t="s">
        <v>3185</v>
      </c>
      <c r="B3161" s="2">
        <v>45215</v>
      </c>
      <c r="C3161" s="2">
        <v>45222</v>
      </c>
      <c r="D3161" t="s">
        <v>5064</v>
      </c>
      <c r="E3161" t="s">
        <v>5564</v>
      </c>
      <c r="F3161" t="s">
        <v>6026</v>
      </c>
      <c r="G3161" t="s">
        <v>6029</v>
      </c>
      <c r="H3161" t="s">
        <v>6044</v>
      </c>
      <c r="I3161" t="s">
        <v>6046</v>
      </c>
      <c r="J3161" t="s">
        <v>6054</v>
      </c>
      <c r="K3161" t="s">
        <v>6060</v>
      </c>
      <c r="L3161" t="s">
        <v>6255</v>
      </c>
      <c r="M3161">
        <v>1773.38</v>
      </c>
      <c r="N3161">
        <v>7</v>
      </c>
      <c r="O3161">
        <v>7.0000000000000007E-2</v>
      </c>
      <c r="P3161">
        <v>120</v>
      </c>
      <c r="Q3161" t="s">
        <v>9895</v>
      </c>
      <c r="R3161">
        <v>7</v>
      </c>
      <c r="S3161" s="5">
        <f t="shared" si="98"/>
        <v>6.7667392211483157E-2</v>
      </c>
      <c r="T3161">
        <v>253.34</v>
      </c>
      <c r="U3161">
        <v>10</v>
      </c>
      <c r="V3161">
        <v>2023</v>
      </c>
      <c r="W3161">
        <v>4</v>
      </c>
      <c r="X3161" t="s">
        <v>9899</v>
      </c>
      <c r="Y3161" t="s">
        <v>9901</v>
      </c>
      <c r="Z3161" t="s">
        <v>9898</v>
      </c>
      <c r="AD3161">
        <f t="shared" si="99"/>
        <v>7</v>
      </c>
    </row>
    <row r="3162" spans="1:30" x14ac:dyDescent="0.25">
      <c r="A3162" t="s">
        <v>3186</v>
      </c>
      <c r="B3162" s="2">
        <v>44791</v>
      </c>
      <c r="C3162" s="2">
        <v>44797</v>
      </c>
      <c r="D3162" t="s">
        <v>5321</v>
      </c>
      <c r="E3162" t="s">
        <v>5821</v>
      </c>
      <c r="F3162" t="s">
        <v>6028</v>
      </c>
      <c r="G3162" t="s">
        <v>6029</v>
      </c>
      <c r="H3162" t="s">
        <v>6036</v>
      </c>
      <c r="I3162" t="s">
        <v>6049</v>
      </c>
      <c r="J3162" t="s">
        <v>6054</v>
      </c>
      <c r="K3162" t="s">
        <v>6059</v>
      </c>
      <c r="L3162" t="s">
        <v>7951</v>
      </c>
      <c r="M3162">
        <v>1116.93</v>
      </c>
      <c r="N3162">
        <v>1</v>
      </c>
      <c r="O3162">
        <v>0.21</v>
      </c>
      <c r="P3162">
        <v>-104.24</v>
      </c>
      <c r="Q3162" t="s">
        <v>9895</v>
      </c>
      <c r="R3162">
        <v>6</v>
      </c>
      <c r="S3162" s="5">
        <f t="shared" si="98"/>
        <v>-9.3327245216799609E-2</v>
      </c>
      <c r="T3162">
        <v>1116.93</v>
      </c>
      <c r="U3162">
        <v>8</v>
      </c>
      <c r="V3162">
        <v>2022</v>
      </c>
      <c r="W3162">
        <v>3</v>
      </c>
      <c r="X3162" t="s">
        <v>9898</v>
      </c>
      <c r="Y3162" t="s">
        <v>9900</v>
      </c>
      <c r="Z3162" t="s">
        <v>9898</v>
      </c>
      <c r="AD3162">
        <f t="shared" si="99"/>
        <v>6</v>
      </c>
    </row>
    <row r="3163" spans="1:30" x14ac:dyDescent="0.25">
      <c r="A3163" t="s">
        <v>3187</v>
      </c>
      <c r="B3163" s="2">
        <v>44989</v>
      </c>
      <c r="C3163" s="2">
        <v>44991</v>
      </c>
      <c r="D3163" t="s">
        <v>5466</v>
      </c>
      <c r="E3163" t="s">
        <v>5966</v>
      </c>
      <c r="F3163" t="s">
        <v>6028</v>
      </c>
      <c r="G3163" t="s">
        <v>6031</v>
      </c>
      <c r="H3163" t="s">
        <v>6040</v>
      </c>
      <c r="I3163" t="s">
        <v>6048</v>
      </c>
      <c r="J3163" t="s">
        <v>6053</v>
      </c>
      <c r="K3163" t="s">
        <v>6058</v>
      </c>
      <c r="L3163" t="s">
        <v>8719</v>
      </c>
      <c r="M3163">
        <v>1745.52</v>
      </c>
      <c r="N3163">
        <v>2</v>
      </c>
      <c r="O3163">
        <v>0.11</v>
      </c>
      <c r="P3163">
        <v>122.81</v>
      </c>
      <c r="Q3163" t="s">
        <v>9895</v>
      </c>
      <c r="R3163">
        <v>2</v>
      </c>
      <c r="S3163" s="5">
        <f t="shared" si="98"/>
        <v>7.0357257436179474E-2</v>
      </c>
      <c r="T3163">
        <v>872.76</v>
      </c>
      <c r="U3163">
        <v>3</v>
      </c>
      <c r="V3163">
        <v>2023</v>
      </c>
      <c r="W3163">
        <v>1</v>
      </c>
      <c r="X3163" t="s">
        <v>9899</v>
      </c>
      <c r="Y3163" t="s">
        <v>9901</v>
      </c>
      <c r="Z3163" t="s">
        <v>9898</v>
      </c>
      <c r="AD3163">
        <f t="shared" si="99"/>
        <v>2</v>
      </c>
    </row>
    <row r="3164" spans="1:30" x14ac:dyDescent="0.25">
      <c r="A3164" t="s">
        <v>3188</v>
      </c>
      <c r="B3164" s="2">
        <v>44767</v>
      </c>
      <c r="C3164" s="2">
        <v>44773</v>
      </c>
      <c r="D3164" t="s">
        <v>5262</v>
      </c>
      <c r="E3164" t="s">
        <v>5762</v>
      </c>
      <c r="F3164" t="s">
        <v>6026</v>
      </c>
      <c r="G3164" t="s">
        <v>6029</v>
      </c>
      <c r="H3164" t="s">
        <v>6041</v>
      </c>
      <c r="I3164" t="s">
        <v>6046</v>
      </c>
      <c r="J3164" t="s">
        <v>6054</v>
      </c>
      <c r="K3164" t="s">
        <v>6062</v>
      </c>
      <c r="L3164" t="s">
        <v>8720</v>
      </c>
      <c r="M3164">
        <v>1927.5</v>
      </c>
      <c r="N3164">
        <v>1</v>
      </c>
      <c r="O3164">
        <v>0.11</v>
      </c>
      <c r="P3164">
        <v>350.12</v>
      </c>
      <c r="Q3164" t="s">
        <v>9893</v>
      </c>
      <c r="R3164">
        <v>6</v>
      </c>
      <c r="S3164" s="5">
        <f t="shared" si="98"/>
        <v>0.18164461738002594</v>
      </c>
      <c r="T3164">
        <v>1927.5</v>
      </c>
      <c r="U3164">
        <v>7</v>
      </c>
      <c r="V3164">
        <v>2022</v>
      </c>
      <c r="W3164">
        <v>3</v>
      </c>
      <c r="X3164" t="s">
        <v>9899</v>
      </c>
      <c r="Y3164" t="s">
        <v>9901</v>
      </c>
      <c r="Z3164" t="s">
        <v>9898</v>
      </c>
      <c r="AD3164">
        <f t="shared" si="99"/>
        <v>6</v>
      </c>
    </row>
    <row r="3165" spans="1:30" x14ac:dyDescent="0.25">
      <c r="A3165" t="s">
        <v>3189</v>
      </c>
      <c r="B3165" s="2">
        <v>44692</v>
      </c>
      <c r="C3165" s="2">
        <v>44699</v>
      </c>
      <c r="D3165" t="s">
        <v>5263</v>
      </c>
      <c r="E3165" t="s">
        <v>5763</v>
      </c>
      <c r="F3165" t="s">
        <v>6026</v>
      </c>
      <c r="G3165" t="s">
        <v>6029</v>
      </c>
      <c r="H3165" t="s">
        <v>6041</v>
      </c>
      <c r="I3165" t="s">
        <v>6046</v>
      </c>
      <c r="J3165" t="s">
        <v>6054</v>
      </c>
      <c r="K3165" t="s">
        <v>6059</v>
      </c>
      <c r="L3165" t="s">
        <v>8721</v>
      </c>
      <c r="M3165">
        <v>1278.31</v>
      </c>
      <c r="N3165">
        <v>1</v>
      </c>
      <c r="O3165">
        <v>0.06</v>
      </c>
      <c r="P3165">
        <v>235.67</v>
      </c>
      <c r="Q3165" t="s">
        <v>9896</v>
      </c>
      <c r="R3165">
        <v>7</v>
      </c>
      <c r="S3165" s="5">
        <f t="shared" si="98"/>
        <v>0.18436060110614796</v>
      </c>
      <c r="T3165">
        <v>1278.31</v>
      </c>
      <c r="U3165">
        <v>5</v>
      </c>
      <c r="V3165">
        <v>2022</v>
      </c>
      <c r="W3165">
        <v>2</v>
      </c>
      <c r="X3165" t="s">
        <v>9899</v>
      </c>
      <c r="Y3165" t="s">
        <v>9901</v>
      </c>
      <c r="Z3165" t="s">
        <v>9898</v>
      </c>
      <c r="AD3165">
        <f t="shared" si="99"/>
        <v>7</v>
      </c>
    </row>
    <row r="3166" spans="1:30" x14ac:dyDescent="0.25">
      <c r="A3166" t="s">
        <v>3190</v>
      </c>
      <c r="B3166" s="2">
        <v>45010</v>
      </c>
      <c r="C3166" s="2">
        <v>45017</v>
      </c>
      <c r="D3166" t="s">
        <v>5451</v>
      </c>
      <c r="E3166" t="s">
        <v>5951</v>
      </c>
      <c r="F3166" t="s">
        <v>6027</v>
      </c>
      <c r="G3166" t="s">
        <v>6031</v>
      </c>
      <c r="H3166" t="s">
        <v>6037</v>
      </c>
      <c r="I3166" t="s">
        <v>6052</v>
      </c>
      <c r="J3166" t="s">
        <v>6055</v>
      </c>
      <c r="K3166" t="s">
        <v>6064</v>
      </c>
      <c r="L3166" t="s">
        <v>7894</v>
      </c>
      <c r="M3166">
        <v>1318.5</v>
      </c>
      <c r="N3166">
        <v>3</v>
      </c>
      <c r="O3166">
        <v>0.25</v>
      </c>
      <c r="P3166">
        <v>-47.46</v>
      </c>
      <c r="Q3166" t="s">
        <v>9896</v>
      </c>
      <c r="R3166">
        <v>7</v>
      </c>
      <c r="S3166" s="5">
        <f t="shared" si="98"/>
        <v>-3.5995449374288967E-2</v>
      </c>
      <c r="T3166">
        <v>439.5</v>
      </c>
      <c r="U3166">
        <v>3</v>
      </c>
      <c r="V3166">
        <v>2023</v>
      </c>
      <c r="W3166">
        <v>1</v>
      </c>
      <c r="X3166" t="s">
        <v>9898</v>
      </c>
      <c r="Y3166" t="s">
        <v>9900</v>
      </c>
      <c r="Z3166" t="s">
        <v>9898</v>
      </c>
      <c r="AD3166">
        <f t="shared" si="99"/>
        <v>7</v>
      </c>
    </row>
    <row r="3167" spans="1:30" x14ac:dyDescent="0.25">
      <c r="A3167" t="s">
        <v>3191</v>
      </c>
      <c r="B3167" s="2">
        <v>45114</v>
      </c>
      <c r="C3167" s="2">
        <v>45118</v>
      </c>
      <c r="D3167" t="s">
        <v>5516</v>
      </c>
      <c r="E3167" t="s">
        <v>6016</v>
      </c>
      <c r="F3167" t="s">
        <v>6028</v>
      </c>
      <c r="G3167" t="s">
        <v>6031</v>
      </c>
      <c r="H3167" t="s">
        <v>6040</v>
      </c>
      <c r="I3167" t="s">
        <v>6052</v>
      </c>
      <c r="J3167" t="s">
        <v>6053</v>
      </c>
      <c r="K3167" t="s">
        <v>6056</v>
      </c>
      <c r="L3167" t="s">
        <v>8722</v>
      </c>
      <c r="M3167">
        <v>942.7</v>
      </c>
      <c r="N3167">
        <v>5</v>
      </c>
      <c r="O3167">
        <v>0.01</v>
      </c>
      <c r="P3167">
        <v>221.19</v>
      </c>
      <c r="Q3167" t="s">
        <v>9896</v>
      </c>
      <c r="R3167">
        <v>4</v>
      </c>
      <c r="S3167" s="5">
        <f t="shared" si="98"/>
        <v>0.23463456030550545</v>
      </c>
      <c r="T3167">
        <v>188.54</v>
      </c>
      <c r="U3167">
        <v>7</v>
      </c>
      <c r="V3167">
        <v>2023</v>
      </c>
      <c r="W3167">
        <v>3</v>
      </c>
      <c r="X3167" t="s">
        <v>9899</v>
      </c>
      <c r="Y3167" t="s">
        <v>9901</v>
      </c>
      <c r="Z3167" t="s">
        <v>9899</v>
      </c>
      <c r="AD3167">
        <f t="shared" si="99"/>
        <v>4</v>
      </c>
    </row>
    <row r="3168" spans="1:30" x14ac:dyDescent="0.25">
      <c r="A3168" t="s">
        <v>3192</v>
      </c>
      <c r="B3168" s="2">
        <v>44960</v>
      </c>
      <c r="C3168" s="2">
        <v>44962</v>
      </c>
      <c r="D3168" t="s">
        <v>5060</v>
      </c>
      <c r="E3168" t="s">
        <v>5560</v>
      </c>
      <c r="F3168" t="s">
        <v>6027</v>
      </c>
      <c r="G3168" t="s">
        <v>6029</v>
      </c>
      <c r="H3168" t="s">
        <v>6044</v>
      </c>
      <c r="I3168" t="s">
        <v>6050</v>
      </c>
      <c r="J3168" t="s">
        <v>6054</v>
      </c>
      <c r="K3168" t="s">
        <v>6062</v>
      </c>
      <c r="L3168" t="s">
        <v>8723</v>
      </c>
      <c r="M3168">
        <v>1492.17</v>
      </c>
      <c r="N3168">
        <v>5</v>
      </c>
      <c r="O3168">
        <v>0.16</v>
      </c>
      <c r="P3168">
        <v>184.82</v>
      </c>
      <c r="Q3168" t="s">
        <v>9895</v>
      </c>
      <c r="R3168">
        <v>2</v>
      </c>
      <c r="S3168" s="5">
        <f t="shared" si="98"/>
        <v>0.12385988191693975</v>
      </c>
      <c r="T3168">
        <v>298.43400000000003</v>
      </c>
      <c r="U3168">
        <v>2</v>
      </c>
      <c r="V3168">
        <v>2023</v>
      </c>
      <c r="W3168">
        <v>1</v>
      </c>
      <c r="X3168" t="s">
        <v>9899</v>
      </c>
      <c r="Y3168" t="s">
        <v>9900</v>
      </c>
      <c r="Z3168" t="s">
        <v>9898</v>
      </c>
      <c r="AD3168">
        <f t="shared" si="99"/>
        <v>2</v>
      </c>
    </row>
    <row r="3169" spans="1:30" x14ac:dyDescent="0.25">
      <c r="A3169" t="s">
        <v>3193</v>
      </c>
      <c r="B3169" s="2">
        <v>44661</v>
      </c>
      <c r="C3169" s="2">
        <v>44664</v>
      </c>
      <c r="D3169" t="s">
        <v>5379</v>
      </c>
      <c r="E3169" t="s">
        <v>5879</v>
      </c>
      <c r="F3169" t="s">
        <v>6027</v>
      </c>
      <c r="G3169" t="s">
        <v>6030</v>
      </c>
      <c r="H3169" t="s">
        <v>6033</v>
      </c>
      <c r="I3169" t="s">
        <v>6047</v>
      </c>
      <c r="J3169" t="s">
        <v>6053</v>
      </c>
      <c r="K3169" t="s">
        <v>6056</v>
      </c>
      <c r="L3169" t="s">
        <v>8724</v>
      </c>
      <c r="M3169">
        <v>252.94</v>
      </c>
      <c r="N3169">
        <v>3</v>
      </c>
      <c r="O3169">
        <v>0.2</v>
      </c>
      <c r="P3169">
        <v>-6.85</v>
      </c>
      <c r="Q3169" t="s">
        <v>9895</v>
      </c>
      <c r="R3169">
        <v>3</v>
      </c>
      <c r="S3169" s="5">
        <f t="shared" si="98"/>
        <v>-2.7081521309401439E-2</v>
      </c>
      <c r="T3169">
        <v>84.313333333333333</v>
      </c>
      <c r="U3169">
        <v>4</v>
      </c>
      <c r="V3169">
        <v>2022</v>
      </c>
      <c r="W3169">
        <v>2</v>
      </c>
      <c r="X3169" t="s">
        <v>9898</v>
      </c>
      <c r="Y3169" t="s">
        <v>9900</v>
      </c>
      <c r="Z3169" t="s">
        <v>9899</v>
      </c>
      <c r="AD3169">
        <f t="shared" si="99"/>
        <v>3</v>
      </c>
    </row>
    <row r="3170" spans="1:30" x14ac:dyDescent="0.25">
      <c r="A3170" t="s">
        <v>3194</v>
      </c>
      <c r="B3170" s="2">
        <v>45332</v>
      </c>
      <c r="C3170" s="2">
        <v>45333</v>
      </c>
      <c r="D3170" t="s">
        <v>5058</v>
      </c>
      <c r="E3170" t="s">
        <v>5558</v>
      </c>
      <c r="F3170" t="s">
        <v>6026</v>
      </c>
      <c r="G3170" t="s">
        <v>6031</v>
      </c>
      <c r="H3170" t="s">
        <v>6034</v>
      </c>
      <c r="I3170" t="s">
        <v>6050</v>
      </c>
      <c r="J3170" t="s">
        <v>6053</v>
      </c>
      <c r="K3170" t="s">
        <v>6056</v>
      </c>
      <c r="L3170" t="s">
        <v>7807</v>
      </c>
      <c r="M3170">
        <v>1143.95</v>
      </c>
      <c r="N3170">
        <v>3</v>
      </c>
      <c r="O3170">
        <v>0.12</v>
      </c>
      <c r="P3170">
        <v>155.96</v>
      </c>
      <c r="Q3170" t="s">
        <v>9894</v>
      </c>
      <c r="R3170">
        <v>1</v>
      </c>
      <c r="S3170" s="5">
        <f t="shared" si="98"/>
        <v>0.13633463001005289</v>
      </c>
      <c r="T3170">
        <v>381.31666666666672</v>
      </c>
      <c r="U3170">
        <v>2</v>
      </c>
      <c r="V3170">
        <v>2024</v>
      </c>
      <c r="W3170">
        <v>1</v>
      </c>
      <c r="X3170" t="s">
        <v>9899</v>
      </c>
      <c r="Y3170" t="s">
        <v>9901</v>
      </c>
      <c r="Z3170" t="s">
        <v>9898</v>
      </c>
      <c r="AD3170">
        <f t="shared" si="99"/>
        <v>1</v>
      </c>
    </row>
    <row r="3171" spans="1:30" x14ac:dyDescent="0.25">
      <c r="A3171" t="s">
        <v>3195</v>
      </c>
      <c r="B3171" s="2">
        <v>44971</v>
      </c>
      <c r="C3171" s="2">
        <v>44974</v>
      </c>
      <c r="D3171" t="s">
        <v>5479</v>
      </c>
      <c r="E3171" t="s">
        <v>5979</v>
      </c>
      <c r="F3171" t="s">
        <v>6026</v>
      </c>
      <c r="G3171" t="s">
        <v>6031</v>
      </c>
      <c r="H3171" t="s">
        <v>6034</v>
      </c>
      <c r="I3171" t="s">
        <v>6052</v>
      </c>
      <c r="J3171" t="s">
        <v>6053</v>
      </c>
      <c r="K3171" t="s">
        <v>6058</v>
      </c>
      <c r="L3171" t="s">
        <v>8725</v>
      </c>
      <c r="M3171">
        <v>1398.19</v>
      </c>
      <c r="N3171">
        <v>4</v>
      </c>
      <c r="O3171">
        <v>0.19</v>
      </c>
      <c r="P3171">
        <v>70.349999999999994</v>
      </c>
      <c r="Q3171" t="s">
        <v>9894</v>
      </c>
      <c r="R3171">
        <v>3</v>
      </c>
      <c r="S3171" s="5">
        <f t="shared" si="98"/>
        <v>5.0315050172008088E-2</v>
      </c>
      <c r="T3171">
        <v>349.54750000000001</v>
      </c>
      <c r="U3171">
        <v>2</v>
      </c>
      <c r="V3171">
        <v>2023</v>
      </c>
      <c r="W3171">
        <v>1</v>
      </c>
      <c r="X3171" t="s">
        <v>9899</v>
      </c>
      <c r="Y3171" t="s">
        <v>9900</v>
      </c>
      <c r="Z3171" t="s">
        <v>9898</v>
      </c>
      <c r="AD3171">
        <f t="shared" si="99"/>
        <v>3</v>
      </c>
    </row>
    <row r="3172" spans="1:30" x14ac:dyDescent="0.25">
      <c r="A3172" t="s">
        <v>3196</v>
      </c>
      <c r="B3172" s="2">
        <v>44852</v>
      </c>
      <c r="C3172" s="2">
        <v>44858</v>
      </c>
      <c r="D3172" t="s">
        <v>5279</v>
      </c>
      <c r="E3172" t="s">
        <v>5779</v>
      </c>
      <c r="F3172" t="s">
        <v>6026</v>
      </c>
      <c r="G3172" t="s">
        <v>6030</v>
      </c>
      <c r="H3172" t="s">
        <v>6035</v>
      </c>
      <c r="I3172" t="s">
        <v>6047</v>
      </c>
      <c r="J3172" t="s">
        <v>6055</v>
      </c>
      <c r="K3172" t="s">
        <v>6064</v>
      </c>
      <c r="L3172" t="s">
        <v>8726</v>
      </c>
      <c r="M3172">
        <v>270.74</v>
      </c>
      <c r="N3172">
        <v>6</v>
      </c>
      <c r="O3172">
        <v>0.03</v>
      </c>
      <c r="P3172">
        <v>31.73</v>
      </c>
      <c r="Q3172" t="s">
        <v>9895</v>
      </c>
      <c r="R3172">
        <v>6</v>
      </c>
      <c r="S3172" s="5">
        <f t="shared" si="98"/>
        <v>0.1171973110733545</v>
      </c>
      <c r="T3172">
        <v>45.123333333333328</v>
      </c>
      <c r="U3172">
        <v>10</v>
      </c>
      <c r="V3172">
        <v>2022</v>
      </c>
      <c r="W3172">
        <v>4</v>
      </c>
      <c r="X3172" t="s">
        <v>9899</v>
      </c>
      <c r="Y3172" t="s">
        <v>9901</v>
      </c>
      <c r="Z3172" t="s">
        <v>9899</v>
      </c>
      <c r="AD3172">
        <f t="shared" si="99"/>
        <v>6</v>
      </c>
    </row>
    <row r="3173" spans="1:30" x14ac:dyDescent="0.25">
      <c r="A3173" t="s">
        <v>3197</v>
      </c>
      <c r="B3173" s="2">
        <v>44654</v>
      </c>
      <c r="C3173" s="2">
        <v>44661</v>
      </c>
      <c r="D3173" t="s">
        <v>5078</v>
      </c>
      <c r="E3173" t="s">
        <v>5578</v>
      </c>
      <c r="F3173" t="s">
        <v>6028</v>
      </c>
      <c r="G3173" t="s">
        <v>6030</v>
      </c>
      <c r="H3173" t="s">
        <v>6035</v>
      </c>
      <c r="I3173" t="s">
        <v>6047</v>
      </c>
      <c r="J3173" t="s">
        <v>6055</v>
      </c>
      <c r="K3173" t="s">
        <v>6064</v>
      </c>
      <c r="L3173" t="s">
        <v>8727</v>
      </c>
      <c r="M3173">
        <v>660.09</v>
      </c>
      <c r="N3173">
        <v>4</v>
      </c>
      <c r="O3173">
        <v>0.15</v>
      </c>
      <c r="P3173">
        <v>68.790000000000006</v>
      </c>
      <c r="Q3173" t="s">
        <v>9895</v>
      </c>
      <c r="R3173">
        <v>7</v>
      </c>
      <c r="S3173" s="5">
        <f t="shared" si="98"/>
        <v>0.10421306185520157</v>
      </c>
      <c r="T3173">
        <v>165.02250000000001</v>
      </c>
      <c r="U3173">
        <v>4</v>
      </c>
      <c r="V3173">
        <v>2022</v>
      </c>
      <c r="W3173">
        <v>2</v>
      </c>
      <c r="X3173" t="s">
        <v>9899</v>
      </c>
      <c r="Y3173" t="s">
        <v>9901</v>
      </c>
      <c r="Z3173" t="s">
        <v>9899</v>
      </c>
      <c r="AD3173">
        <f t="shared" si="99"/>
        <v>7</v>
      </c>
    </row>
    <row r="3174" spans="1:30" x14ac:dyDescent="0.25">
      <c r="A3174" t="s">
        <v>3198</v>
      </c>
      <c r="B3174" s="2">
        <v>45056</v>
      </c>
      <c r="C3174" s="2">
        <v>45061</v>
      </c>
      <c r="D3174" t="s">
        <v>5318</v>
      </c>
      <c r="E3174" t="s">
        <v>5818</v>
      </c>
      <c r="F3174" t="s">
        <v>6026</v>
      </c>
      <c r="G3174" t="s">
        <v>6031</v>
      </c>
      <c r="H3174" t="s">
        <v>6034</v>
      </c>
      <c r="I3174" t="s">
        <v>6048</v>
      </c>
      <c r="J3174" t="s">
        <v>6055</v>
      </c>
      <c r="K3174" t="s">
        <v>6064</v>
      </c>
      <c r="L3174" t="s">
        <v>8728</v>
      </c>
      <c r="M3174">
        <v>530.58000000000004</v>
      </c>
      <c r="N3174">
        <v>2</v>
      </c>
      <c r="O3174">
        <v>0.31</v>
      </c>
      <c r="P3174">
        <v>-92.08</v>
      </c>
      <c r="Q3174" t="s">
        <v>9896</v>
      </c>
      <c r="R3174">
        <v>5</v>
      </c>
      <c r="S3174" s="5">
        <f t="shared" si="98"/>
        <v>-0.17354593086810657</v>
      </c>
      <c r="T3174">
        <v>265.29000000000002</v>
      </c>
      <c r="U3174">
        <v>5</v>
      </c>
      <c r="V3174">
        <v>2023</v>
      </c>
      <c r="W3174">
        <v>2</v>
      </c>
      <c r="X3174" t="s">
        <v>9898</v>
      </c>
      <c r="Y3174" t="s">
        <v>9902</v>
      </c>
      <c r="Z3174" t="s">
        <v>9899</v>
      </c>
      <c r="AD3174">
        <f t="shared" si="99"/>
        <v>5</v>
      </c>
    </row>
    <row r="3175" spans="1:30" x14ac:dyDescent="0.25">
      <c r="A3175" t="s">
        <v>3199</v>
      </c>
      <c r="B3175" s="2">
        <v>44835</v>
      </c>
      <c r="C3175" s="2">
        <v>44838</v>
      </c>
      <c r="D3175" t="s">
        <v>5197</v>
      </c>
      <c r="E3175" t="s">
        <v>5697</v>
      </c>
      <c r="F3175" t="s">
        <v>6027</v>
      </c>
      <c r="G3175" t="s">
        <v>6029</v>
      </c>
      <c r="H3175" t="s">
        <v>6032</v>
      </c>
      <c r="I3175" t="s">
        <v>6050</v>
      </c>
      <c r="J3175" t="s">
        <v>6053</v>
      </c>
      <c r="K3175" t="s">
        <v>6058</v>
      </c>
      <c r="L3175" t="s">
        <v>8729</v>
      </c>
      <c r="M3175">
        <v>642.1</v>
      </c>
      <c r="N3175">
        <v>4</v>
      </c>
      <c r="O3175">
        <v>0.25</v>
      </c>
      <c r="P3175">
        <v>-95.24</v>
      </c>
      <c r="Q3175" t="s">
        <v>9893</v>
      </c>
      <c r="R3175">
        <v>3</v>
      </c>
      <c r="S3175" s="5">
        <f t="shared" si="98"/>
        <v>-0.14832580594922909</v>
      </c>
      <c r="T3175">
        <v>160.52500000000001</v>
      </c>
      <c r="U3175">
        <v>10</v>
      </c>
      <c r="V3175">
        <v>2022</v>
      </c>
      <c r="W3175">
        <v>4</v>
      </c>
      <c r="X3175" t="s">
        <v>9898</v>
      </c>
      <c r="Y3175" t="s">
        <v>9900</v>
      </c>
      <c r="Z3175" t="s">
        <v>9899</v>
      </c>
      <c r="AD3175">
        <f t="shared" si="99"/>
        <v>3</v>
      </c>
    </row>
    <row r="3176" spans="1:30" x14ac:dyDescent="0.25">
      <c r="A3176" t="s">
        <v>3200</v>
      </c>
      <c r="B3176" s="2">
        <v>44584</v>
      </c>
      <c r="C3176" s="2">
        <v>44588</v>
      </c>
      <c r="D3176" t="s">
        <v>5416</v>
      </c>
      <c r="E3176" t="s">
        <v>5916</v>
      </c>
      <c r="F3176" t="s">
        <v>6027</v>
      </c>
      <c r="G3176" t="s">
        <v>6029</v>
      </c>
      <c r="H3176" t="s">
        <v>6036</v>
      </c>
      <c r="I3176" t="s">
        <v>6049</v>
      </c>
      <c r="J3176" t="s">
        <v>6055</v>
      </c>
      <c r="K3176" t="s">
        <v>6064</v>
      </c>
      <c r="L3176" t="s">
        <v>8730</v>
      </c>
      <c r="M3176">
        <v>1709.35</v>
      </c>
      <c r="N3176">
        <v>5</v>
      </c>
      <c r="O3176">
        <v>0.08</v>
      </c>
      <c r="P3176">
        <v>107.38</v>
      </c>
      <c r="Q3176" t="s">
        <v>9893</v>
      </c>
      <c r="R3176">
        <v>4</v>
      </c>
      <c r="S3176" s="5">
        <f t="shared" si="98"/>
        <v>6.2819200280808493E-2</v>
      </c>
      <c r="T3176">
        <v>341.87</v>
      </c>
      <c r="U3176">
        <v>1</v>
      </c>
      <c r="V3176">
        <v>2022</v>
      </c>
      <c r="W3176">
        <v>1</v>
      </c>
      <c r="X3176" t="s">
        <v>9899</v>
      </c>
      <c r="Y3176" t="s">
        <v>9901</v>
      </c>
      <c r="Z3176" t="s">
        <v>9898</v>
      </c>
      <c r="AD3176">
        <f t="shared" si="99"/>
        <v>4</v>
      </c>
    </row>
    <row r="3177" spans="1:30" x14ac:dyDescent="0.25">
      <c r="A3177" t="s">
        <v>3201</v>
      </c>
      <c r="B3177" s="2">
        <v>45358</v>
      </c>
      <c r="C3177" s="2">
        <v>45360</v>
      </c>
      <c r="D3177" t="s">
        <v>5035</v>
      </c>
      <c r="E3177" t="s">
        <v>5535</v>
      </c>
      <c r="F3177" t="s">
        <v>6027</v>
      </c>
      <c r="G3177" t="s">
        <v>6030</v>
      </c>
      <c r="H3177" t="s">
        <v>6033</v>
      </c>
      <c r="I3177" t="s">
        <v>6051</v>
      </c>
      <c r="J3177" t="s">
        <v>6054</v>
      </c>
      <c r="K3177" t="s">
        <v>6059</v>
      </c>
      <c r="L3177" t="s">
        <v>8731</v>
      </c>
      <c r="M3177">
        <v>1129.54</v>
      </c>
      <c r="N3177">
        <v>5</v>
      </c>
      <c r="O3177">
        <v>0.33</v>
      </c>
      <c r="P3177">
        <v>-205.67</v>
      </c>
      <c r="Q3177" t="s">
        <v>9896</v>
      </c>
      <c r="R3177">
        <v>2</v>
      </c>
      <c r="S3177" s="5">
        <f t="shared" si="98"/>
        <v>-0.18208297182924021</v>
      </c>
      <c r="T3177">
        <v>225.90799999999999</v>
      </c>
      <c r="U3177">
        <v>3</v>
      </c>
      <c r="V3177">
        <v>2024</v>
      </c>
      <c r="W3177">
        <v>1</v>
      </c>
      <c r="X3177" t="s">
        <v>9898</v>
      </c>
      <c r="Y3177" t="s">
        <v>9902</v>
      </c>
      <c r="Z3177" t="s">
        <v>9898</v>
      </c>
      <c r="AD3177">
        <f t="shared" si="99"/>
        <v>2</v>
      </c>
    </row>
    <row r="3178" spans="1:30" x14ac:dyDescent="0.25">
      <c r="A3178" t="s">
        <v>3202</v>
      </c>
      <c r="B3178" s="2">
        <v>44656</v>
      </c>
      <c r="C3178" s="2">
        <v>44658</v>
      </c>
      <c r="D3178" t="s">
        <v>5283</v>
      </c>
      <c r="E3178" t="s">
        <v>5783</v>
      </c>
      <c r="F3178" t="s">
        <v>6028</v>
      </c>
      <c r="G3178" t="s">
        <v>6029</v>
      </c>
      <c r="H3178" t="s">
        <v>6045</v>
      </c>
      <c r="I3178" t="s">
        <v>6049</v>
      </c>
      <c r="J3178" t="s">
        <v>6053</v>
      </c>
      <c r="K3178" t="s">
        <v>6058</v>
      </c>
      <c r="L3178" t="s">
        <v>8371</v>
      </c>
      <c r="M3178">
        <v>695.98</v>
      </c>
      <c r="N3178">
        <v>8</v>
      </c>
      <c r="O3178">
        <v>0.1</v>
      </c>
      <c r="P3178">
        <v>48.38</v>
      </c>
      <c r="Q3178" t="s">
        <v>9896</v>
      </c>
      <c r="R3178">
        <v>2</v>
      </c>
      <c r="S3178" s="5">
        <f t="shared" si="98"/>
        <v>6.9513491767004804E-2</v>
      </c>
      <c r="T3178">
        <v>86.997500000000002</v>
      </c>
      <c r="U3178">
        <v>4</v>
      </c>
      <c r="V3178">
        <v>2022</v>
      </c>
      <c r="W3178">
        <v>2</v>
      </c>
      <c r="X3178" t="s">
        <v>9899</v>
      </c>
      <c r="Y3178" t="s">
        <v>9901</v>
      </c>
      <c r="Z3178" t="s">
        <v>9899</v>
      </c>
      <c r="AD3178">
        <f t="shared" si="99"/>
        <v>2</v>
      </c>
    </row>
    <row r="3179" spans="1:30" x14ac:dyDescent="0.25">
      <c r="A3179" t="s">
        <v>3203</v>
      </c>
      <c r="B3179" s="2">
        <v>45246</v>
      </c>
      <c r="C3179" s="2">
        <v>45249</v>
      </c>
      <c r="D3179" t="s">
        <v>5305</v>
      </c>
      <c r="E3179" t="s">
        <v>5805</v>
      </c>
      <c r="F3179" t="s">
        <v>6026</v>
      </c>
      <c r="G3179" t="s">
        <v>6031</v>
      </c>
      <c r="H3179" t="s">
        <v>6040</v>
      </c>
      <c r="I3179" t="s">
        <v>6050</v>
      </c>
      <c r="J3179" t="s">
        <v>6053</v>
      </c>
      <c r="K3179" t="s">
        <v>6057</v>
      </c>
      <c r="L3179" t="s">
        <v>8732</v>
      </c>
      <c r="M3179">
        <v>1444.03</v>
      </c>
      <c r="N3179">
        <v>4</v>
      </c>
      <c r="O3179">
        <v>0.26</v>
      </c>
      <c r="P3179">
        <v>-134.36000000000001</v>
      </c>
      <c r="Q3179" t="s">
        <v>9893</v>
      </c>
      <c r="R3179">
        <v>3</v>
      </c>
      <c r="S3179" s="5">
        <f t="shared" si="98"/>
        <v>-9.3045158341585707E-2</v>
      </c>
      <c r="T3179">
        <v>361.00749999999999</v>
      </c>
      <c r="U3179">
        <v>11</v>
      </c>
      <c r="V3179">
        <v>2023</v>
      </c>
      <c r="W3179">
        <v>4</v>
      </c>
      <c r="X3179" t="s">
        <v>9898</v>
      </c>
      <c r="Y3179" t="s">
        <v>9900</v>
      </c>
      <c r="Z3179" t="s">
        <v>9898</v>
      </c>
      <c r="AD3179">
        <f t="shared" si="99"/>
        <v>3</v>
      </c>
    </row>
    <row r="3180" spans="1:30" x14ac:dyDescent="0.25">
      <c r="A3180" t="s">
        <v>3204</v>
      </c>
      <c r="B3180" s="2">
        <v>44938</v>
      </c>
      <c r="C3180" s="2">
        <v>44941</v>
      </c>
      <c r="D3180" t="s">
        <v>5174</v>
      </c>
      <c r="E3180" t="s">
        <v>5674</v>
      </c>
      <c r="F3180" t="s">
        <v>6027</v>
      </c>
      <c r="G3180" t="s">
        <v>6031</v>
      </c>
      <c r="H3180" t="s">
        <v>6043</v>
      </c>
      <c r="I3180" t="s">
        <v>6052</v>
      </c>
      <c r="J3180" t="s">
        <v>6053</v>
      </c>
      <c r="K3180" t="s">
        <v>6057</v>
      </c>
      <c r="L3180" t="s">
        <v>8329</v>
      </c>
      <c r="M3180">
        <v>1838.13</v>
      </c>
      <c r="N3180">
        <v>8</v>
      </c>
      <c r="O3180">
        <v>0.24</v>
      </c>
      <c r="P3180">
        <v>-209.52</v>
      </c>
      <c r="Q3180" t="s">
        <v>9897</v>
      </c>
      <c r="R3180">
        <v>3</v>
      </c>
      <c r="S3180" s="5">
        <f t="shared" si="98"/>
        <v>-0.11398540908423234</v>
      </c>
      <c r="T3180">
        <v>229.76625000000001</v>
      </c>
      <c r="U3180">
        <v>1</v>
      </c>
      <c r="V3180">
        <v>2023</v>
      </c>
      <c r="W3180">
        <v>1</v>
      </c>
      <c r="X3180" t="s">
        <v>9898</v>
      </c>
      <c r="Y3180" t="s">
        <v>9900</v>
      </c>
      <c r="Z3180" t="s">
        <v>9898</v>
      </c>
      <c r="AD3180">
        <f t="shared" si="99"/>
        <v>3</v>
      </c>
    </row>
    <row r="3181" spans="1:30" x14ac:dyDescent="0.25">
      <c r="A3181" t="s">
        <v>3205</v>
      </c>
      <c r="B3181" s="2">
        <v>44881</v>
      </c>
      <c r="C3181" s="2">
        <v>44887</v>
      </c>
      <c r="D3181" t="s">
        <v>5425</v>
      </c>
      <c r="E3181" t="s">
        <v>5925</v>
      </c>
      <c r="F3181" t="s">
        <v>6027</v>
      </c>
      <c r="G3181" t="s">
        <v>6030</v>
      </c>
      <c r="H3181" t="s">
        <v>6039</v>
      </c>
      <c r="I3181" t="s">
        <v>6051</v>
      </c>
      <c r="J3181" t="s">
        <v>6055</v>
      </c>
      <c r="K3181" t="s">
        <v>6063</v>
      </c>
      <c r="L3181" t="s">
        <v>6748</v>
      </c>
      <c r="M3181">
        <v>1283.5899999999999</v>
      </c>
      <c r="N3181">
        <v>7</v>
      </c>
      <c r="O3181">
        <v>0.33</v>
      </c>
      <c r="P3181">
        <v>-184.68</v>
      </c>
      <c r="Q3181" t="s">
        <v>9893</v>
      </c>
      <c r="R3181">
        <v>6</v>
      </c>
      <c r="S3181" s="5">
        <f t="shared" si="98"/>
        <v>-0.14387771796290094</v>
      </c>
      <c r="T3181">
        <v>183.37</v>
      </c>
      <c r="U3181">
        <v>11</v>
      </c>
      <c r="V3181">
        <v>2022</v>
      </c>
      <c r="W3181">
        <v>4</v>
      </c>
      <c r="X3181" t="s">
        <v>9898</v>
      </c>
      <c r="Y3181" t="s">
        <v>9902</v>
      </c>
      <c r="Z3181" t="s">
        <v>9898</v>
      </c>
      <c r="AD3181">
        <f t="shared" si="99"/>
        <v>6</v>
      </c>
    </row>
    <row r="3182" spans="1:30" x14ac:dyDescent="0.25">
      <c r="A3182" t="s">
        <v>3206</v>
      </c>
      <c r="B3182" s="2">
        <v>45001</v>
      </c>
      <c r="C3182" s="2">
        <v>45004</v>
      </c>
      <c r="D3182" t="s">
        <v>5054</v>
      </c>
      <c r="E3182" t="s">
        <v>5554</v>
      </c>
      <c r="F3182" t="s">
        <v>6028</v>
      </c>
      <c r="G3182" t="s">
        <v>6029</v>
      </c>
      <c r="H3182" t="s">
        <v>6036</v>
      </c>
      <c r="I3182" t="s">
        <v>6046</v>
      </c>
      <c r="J3182" t="s">
        <v>6055</v>
      </c>
      <c r="K3182" t="s">
        <v>6061</v>
      </c>
      <c r="L3182" t="s">
        <v>8733</v>
      </c>
      <c r="M3182">
        <v>464.04</v>
      </c>
      <c r="N3182">
        <v>3</v>
      </c>
      <c r="O3182">
        <v>0.3</v>
      </c>
      <c r="P3182">
        <v>-4.51</v>
      </c>
      <c r="Q3182" t="s">
        <v>9896</v>
      </c>
      <c r="R3182">
        <v>3</v>
      </c>
      <c r="S3182" s="5">
        <f t="shared" si="98"/>
        <v>-9.7189897422635969E-3</v>
      </c>
      <c r="T3182">
        <v>154.68</v>
      </c>
      <c r="U3182">
        <v>3</v>
      </c>
      <c r="V3182">
        <v>2023</v>
      </c>
      <c r="W3182">
        <v>1</v>
      </c>
      <c r="X3182" t="s">
        <v>9898</v>
      </c>
      <c r="Y3182" t="s">
        <v>9900</v>
      </c>
      <c r="Z3182" t="s">
        <v>9899</v>
      </c>
      <c r="AD3182">
        <f t="shared" si="99"/>
        <v>3</v>
      </c>
    </row>
    <row r="3183" spans="1:30" x14ac:dyDescent="0.25">
      <c r="A3183" t="s">
        <v>3207</v>
      </c>
      <c r="B3183" s="2">
        <v>44602</v>
      </c>
      <c r="C3183" s="2">
        <v>44603</v>
      </c>
      <c r="D3183" t="s">
        <v>5417</v>
      </c>
      <c r="E3183" t="s">
        <v>5917</v>
      </c>
      <c r="F3183" t="s">
        <v>6026</v>
      </c>
      <c r="G3183" t="s">
        <v>6029</v>
      </c>
      <c r="H3183" t="s">
        <v>6045</v>
      </c>
      <c r="I3183" t="s">
        <v>6046</v>
      </c>
      <c r="J3183" t="s">
        <v>6055</v>
      </c>
      <c r="K3183" t="s">
        <v>6064</v>
      </c>
      <c r="L3183" t="s">
        <v>7894</v>
      </c>
      <c r="M3183">
        <v>237.47</v>
      </c>
      <c r="N3183">
        <v>3</v>
      </c>
      <c r="O3183">
        <v>0.12</v>
      </c>
      <c r="P3183">
        <v>5.45</v>
      </c>
      <c r="Q3183" t="s">
        <v>9894</v>
      </c>
      <c r="R3183">
        <v>1</v>
      </c>
      <c r="S3183" s="5">
        <f t="shared" si="98"/>
        <v>2.2950267402198174E-2</v>
      </c>
      <c r="T3183">
        <v>79.156666666666666</v>
      </c>
      <c r="U3183">
        <v>2</v>
      </c>
      <c r="V3183">
        <v>2022</v>
      </c>
      <c r="W3183">
        <v>1</v>
      </c>
      <c r="X3183" t="s">
        <v>9899</v>
      </c>
      <c r="Y3183" t="s">
        <v>9901</v>
      </c>
      <c r="Z3183" t="s">
        <v>9899</v>
      </c>
      <c r="AD3183">
        <f t="shared" si="99"/>
        <v>1</v>
      </c>
    </row>
    <row r="3184" spans="1:30" x14ac:dyDescent="0.25">
      <c r="A3184" t="s">
        <v>3208</v>
      </c>
      <c r="B3184" s="2">
        <v>44652</v>
      </c>
      <c r="C3184" s="2">
        <v>44653</v>
      </c>
      <c r="D3184" t="s">
        <v>5261</v>
      </c>
      <c r="E3184" t="s">
        <v>5761</v>
      </c>
      <c r="F3184" t="s">
        <v>6026</v>
      </c>
      <c r="G3184" t="s">
        <v>6029</v>
      </c>
      <c r="H3184" t="s">
        <v>6041</v>
      </c>
      <c r="I3184" t="s">
        <v>6050</v>
      </c>
      <c r="J3184" t="s">
        <v>6055</v>
      </c>
      <c r="K3184" t="s">
        <v>6063</v>
      </c>
      <c r="L3184" t="s">
        <v>8734</v>
      </c>
      <c r="M3184">
        <v>1391.86</v>
      </c>
      <c r="N3184">
        <v>3</v>
      </c>
      <c r="O3184">
        <v>0.2</v>
      </c>
      <c r="P3184">
        <v>-5.31</v>
      </c>
      <c r="Q3184" t="s">
        <v>9895</v>
      </c>
      <c r="R3184">
        <v>1</v>
      </c>
      <c r="S3184" s="5">
        <f t="shared" si="98"/>
        <v>-3.8150388688517525E-3</v>
      </c>
      <c r="T3184">
        <v>463.95333333333332</v>
      </c>
      <c r="U3184">
        <v>4</v>
      </c>
      <c r="V3184">
        <v>2022</v>
      </c>
      <c r="W3184">
        <v>2</v>
      </c>
      <c r="X3184" t="s">
        <v>9898</v>
      </c>
      <c r="Y3184" t="s">
        <v>9900</v>
      </c>
      <c r="Z3184" t="s">
        <v>9898</v>
      </c>
      <c r="AD3184">
        <f t="shared" si="99"/>
        <v>1</v>
      </c>
    </row>
    <row r="3185" spans="1:30" x14ac:dyDescent="0.25">
      <c r="A3185" t="s">
        <v>3209</v>
      </c>
      <c r="B3185" s="2">
        <v>45006</v>
      </c>
      <c r="C3185" s="2">
        <v>45010</v>
      </c>
      <c r="D3185" t="s">
        <v>5320</v>
      </c>
      <c r="E3185" t="s">
        <v>5820</v>
      </c>
      <c r="F3185" t="s">
        <v>6026</v>
      </c>
      <c r="G3185" t="s">
        <v>6030</v>
      </c>
      <c r="H3185" t="s">
        <v>6033</v>
      </c>
      <c r="I3185" t="s">
        <v>6051</v>
      </c>
      <c r="J3185" t="s">
        <v>6053</v>
      </c>
      <c r="K3185" t="s">
        <v>6057</v>
      </c>
      <c r="L3185" t="s">
        <v>6504</v>
      </c>
      <c r="M3185">
        <v>1679.95</v>
      </c>
      <c r="N3185">
        <v>3</v>
      </c>
      <c r="O3185">
        <v>0.14000000000000001</v>
      </c>
      <c r="P3185">
        <v>130.38</v>
      </c>
      <c r="Q3185" t="s">
        <v>9895</v>
      </c>
      <c r="R3185">
        <v>4</v>
      </c>
      <c r="S3185" s="5">
        <f t="shared" si="98"/>
        <v>7.7609452662281614E-2</v>
      </c>
      <c r="T3185">
        <v>559.98333333333335</v>
      </c>
      <c r="U3185">
        <v>3</v>
      </c>
      <c r="V3185">
        <v>2023</v>
      </c>
      <c r="W3185">
        <v>1</v>
      </c>
      <c r="X3185" t="s">
        <v>9899</v>
      </c>
      <c r="Y3185" t="s">
        <v>9901</v>
      </c>
      <c r="Z3185" t="s">
        <v>9898</v>
      </c>
      <c r="AD3185">
        <f t="shared" si="99"/>
        <v>4</v>
      </c>
    </row>
    <row r="3186" spans="1:30" x14ac:dyDescent="0.25">
      <c r="A3186" t="s">
        <v>3210</v>
      </c>
      <c r="B3186" s="2">
        <v>45078</v>
      </c>
      <c r="C3186" s="2">
        <v>45079</v>
      </c>
      <c r="D3186" t="s">
        <v>5095</v>
      </c>
      <c r="E3186" t="s">
        <v>5595</v>
      </c>
      <c r="F3186" t="s">
        <v>6027</v>
      </c>
      <c r="G3186" t="s">
        <v>6030</v>
      </c>
      <c r="H3186" t="s">
        <v>6035</v>
      </c>
      <c r="I3186" t="s">
        <v>6051</v>
      </c>
      <c r="J3186" t="s">
        <v>6055</v>
      </c>
      <c r="K3186" t="s">
        <v>6063</v>
      </c>
      <c r="L3186" t="s">
        <v>8735</v>
      </c>
      <c r="M3186">
        <v>680.87</v>
      </c>
      <c r="N3186">
        <v>4</v>
      </c>
      <c r="O3186">
        <v>0.18</v>
      </c>
      <c r="P3186">
        <v>22.81</v>
      </c>
      <c r="Q3186" t="s">
        <v>9894</v>
      </c>
      <c r="R3186">
        <v>1</v>
      </c>
      <c r="S3186" s="5">
        <f t="shared" si="98"/>
        <v>3.3501255746324551E-2</v>
      </c>
      <c r="T3186">
        <v>170.2175</v>
      </c>
      <c r="U3186">
        <v>6</v>
      </c>
      <c r="V3186">
        <v>2023</v>
      </c>
      <c r="W3186">
        <v>2</v>
      </c>
      <c r="X3186" t="s">
        <v>9899</v>
      </c>
      <c r="Y3186" t="s">
        <v>9900</v>
      </c>
      <c r="Z3186" t="s">
        <v>9899</v>
      </c>
      <c r="AD3186">
        <f t="shared" si="99"/>
        <v>1</v>
      </c>
    </row>
    <row r="3187" spans="1:30" x14ac:dyDescent="0.25">
      <c r="A3187" t="s">
        <v>3211</v>
      </c>
      <c r="B3187" s="2">
        <v>44916</v>
      </c>
      <c r="C3187" s="2">
        <v>44917</v>
      </c>
      <c r="D3187" t="s">
        <v>5406</v>
      </c>
      <c r="E3187" t="s">
        <v>5906</v>
      </c>
      <c r="F3187" t="s">
        <v>6026</v>
      </c>
      <c r="G3187" t="s">
        <v>6031</v>
      </c>
      <c r="H3187" t="s">
        <v>6040</v>
      </c>
      <c r="I3187" t="s">
        <v>6052</v>
      </c>
      <c r="J3187" t="s">
        <v>6053</v>
      </c>
      <c r="K3187" t="s">
        <v>6056</v>
      </c>
      <c r="L3187" t="s">
        <v>8736</v>
      </c>
      <c r="M3187">
        <v>299.98</v>
      </c>
      <c r="N3187">
        <v>4</v>
      </c>
      <c r="O3187">
        <v>0.21</v>
      </c>
      <c r="P3187">
        <v>6.92</v>
      </c>
      <c r="Q3187" t="s">
        <v>9895</v>
      </c>
      <c r="R3187">
        <v>1</v>
      </c>
      <c r="S3187" s="5">
        <f t="shared" si="98"/>
        <v>2.3068204546969798E-2</v>
      </c>
      <c r="T3187">
        <v>74.995000000000005</v>
      </c>
      <c r="U3187">
        <v>12</v>
      </c>
      <c r="V3187">
        <v>2022</v>
      </c>
      <c r="W3187">
        <v>4</v>
      </c>
      <c r="X3187" t="s">
        <v>9899</v>
      </c>
      <c r="Y3187" t="s">
        <v>9900</v>
      </c>
      <c r="Z3187" t="s">
        <v>9899</v>
      </c>
      <c r="AD3187">
        <f t="shared" si="99"/>
        <v>1</v>
      </c>
    </row>
    <row r="3188" spans="1:30" x14ac:dyDescent="0.25">
      <c r="A3188" t="s">
        <v>3212</v>
      </c>
      <c r="B3188" s="2">
        <v>44787</v>
      </c>
      <c r="C3188" s="2">
        <v>44794</v>
      </c>
      <c r="D3188" t="s">
        <v>5041</v>
      </c>
      <c r="E3188" t="s">
        <v>5541</v>
      </c>
      <c r="F3188" t="s">
        <v>6027</v>
      </c>
      <c r="G3188" t="s">
        <v>6031</v>
      </c>
      <c r="H3188" t="s">
        <v>6034</v>
      </c>
      <c r="I3188" t="s">
        <v>6048</v>
      </c>
      <c r="J3188" t="s">
        <v>6053</v>
      </c>
      <c r="K3188" t="s">
        <v>6058</v>
      </c>
      <c r="L3188" t="s">
        <v>8737</v>
      </c>
      <c r="M3188">
        <v>915.15</v>
      </c>
      <c r="N3188">
        <v>2</v>
      </c>
      <c r="O3188">
        <v>0.22</v>
      </c>
      <c r="P3188">
        <v>-14.54</v>
      </c>
      <c r="Q3188" t="s">
        <v>9897</v>
      </c>
      <c r="R3188">
        <v>7</v>
      </c>
      <c r="S3188" s="5">
        <f t="shared" si="98"/>
        <v>-1.588810577500956E-2</v>
      </c>
      <c r="T3188">
        <v>457.57499999999999</v>
      </c>
      <c r="U3188">
        <v>8</v>
      </c>
      <c r="V3188">
        <v>2022</v>
      </c>
      <c r="W3188">
        <v>3</v>
      </c>
      <c r="X3188" t="s">
        <v>9898</v>
      </c>
      <c r="Y3188" t="s">
        <v>9900</v>
      </c>
      <c r="Z3188" t="s">
        <v>9899</v>
      </c>
      <c r="AD3188">
        <f t="shared" si="99"/>
        <v>7</v>
      </c>
    </row>
    <row r="3189" spans="1:30" x14ac:dyDescent="0.25">
      <c r="A3189" t="s">
        <v>3213</v>
      </c>
      <c r="B3189" s="2">
        <v>44784</v>
      </c>
      <c r="C3189" s="2">
        <v>44789</v>
      </c>
      <c r="D3189" t="s">
        <v>5043</v>
      </c>
      <c r="E3189" t="s">
        <v>5543</v>
      </c>
      <c r="F3189" t="s">
        <v>6026</v>
      </c>
      <c r="G3189" t="s">
        <v>6031</v>
      </c>
      <c r="H3189" t="s">
        <v>6042</v>
      </c>
      <c r="I3189" t="s">
        <v>6050</v>
      </c>
      <c r="J3189" t="s">
        <v>6054</v>
      </c>
      <c r="K3189" t="s">
        <v>6062</v>
      </c>
      <c r="L3189" t="s">
        <v>8738</v>
      </c>
      <c r="M3189">
        <v>1878.19</v>
      </c>
      <c r="N3189">
        <v>3</v>
      </c>
      <c r="O3189">
        <v>0.16</v>
      </c>
      <c r="P3189">
        <v>226.73</v>
      </c>
      <c r="Q3189" t="s">
        <v>9897</v>
      </c>
      <c r="R3189">
        <v>5</v>
      </c>
      <c r="S3189" s="5">
        <f t="shared" si="98"/>
        <v>0.12071728632353489</v>
      </c>
      <c r="T3189">
        <v>626.06333333333339</v>
      </c>
      <c r="U3189">
        <v>8</v>
      </c>
      <c r="V3189">
        <v>2022</v>
      </c>
      <c r="W3189">
        <v>3</v>
      </c>
      <c r="X3189" t="s">
        <v>9899</v>
      </c>
      <c r="Y3189" t="s">
        <v>9900</v>
      </c>
      <c r="Z3189" t="s">
        <v>9898</v>
      </c>
      <c r="AD3189">
        <f t="shared" si="99"/>
        <v>5</v>
      </c>
    </row>
    <row r="3190" spans="1:30" x14ac:dyDescent="0.25">
      <c r="A3190" t="s">
        <v>3214</v>
      </c>
      <c r="B3190" s="2">
        <v>45434</v>
      </c>
      <c r="C3190" s="2">
        <v>45436</v>
      </c>
      <c r="D3190" t="s">
        <v>5044</v>
      </c>
      <c r="E3190" t="s">
        <v>5544</v>
      </c>
      <c r="F3190" t="s">
        <v>6026</v>
      </c>
      <c r="G3190" t="s">
        <v>6029</v>
      </c>
      <c r="H3190" t="s">
        <v>6036</v>
      </c>
      <c r="I3190" t="s">
        <v>6049</v>
      </c>
      <c r="J3190" t="s">
        <v>6053</v>
      </c>
      <c r="K3190" t="s">
        <v>6056</v>
      </c>
      <c r="L3190" t="s">
        <v>8466</v>
      </c>
      <c r="M3190">
        <v>398.99</v>
      </c>
      <c r="N3190">
        <v>5</v>
      </c>
      <c r="O3190">
        <v>0.34</v>
      </c>
      <c r="P3190">
        <v>-22.92</v>
      </c>
      <c r="Q3190" t="s">
        <v>9894</v>
      </c>
      <c r="R3190">
        <v>2</v>
      </c>
      <c r="S3190" s="5">
        <f t="shared" si="98"/>
        <v>-5.744504874808893E-2</v>
      </c>
      <c r="T3190">
        <v>79.798000000000002</v>
      </c>
      <c r="U3190">
        <v>5</v>
      </c>
      <c r="V3190">
        <v>2024</v>
      </c>
      <c r="W3190">
        <v>2</v>
      </c>
      <c r="X3190" t="s">
        <v>9898</v>
      </c>
      <c r="Y3190" t="s">
        <v>9902</v>
      </c>
      <c r="Z3190" t="s">
        <v>9899</v>
      </c>
      <c r="AD3190">
        <f t="shared" si="99"/>
        <v>2</v>
      </c>
    </row>
    <row r="3191" spans="1:30" x14ac:dyDescent="0.25">
      <c r="A3191" t="s">
        <v>3215</v>
      </c>
      <c r="B3191" s="2">
        <v>44758</v>
      </c>
      <c r="C3191" s="2">
        <v>44759</v>
      </c>
      <c r="D3191" t="s">
        <v>5297</v>
      </c>
      <c r="E3191" t="s">
        <v>5797</v>
      </c>
      <c r="F3191" t="s">
        <v>6027</v>
      </c>
      <c r="G3191" t="s">
        <v>6031</v>
      </c>
      <c r="H3191" t="s">
        <v>6042</v>
      </c>
      <c r="I3191" t="s">
        <v>6052</v>
      </c>
      <c r="J3191" t="s">
        <v>6054</v>
      </c>
      <c r="K3191" t="s">
        <v>6062</v>
      </c>
      <c r="L3191" t="s">
        <v>7550</v>
      </c>
      <c r="M3191">
        <v>221.89</v>
      </c>
      <c r="N3191">
        <v>1</v>
      </c>
      <c r="O3191">
        <v>0.28000000000000003</v>
      </c>
      <c r="P3191">
        <v>3.95</v>
      </c>
      <c r="Q3191" t="s">
        <v>9896</v>
      </c>
      <c r="R3191">
        <v>1</v>
      </c>
      <c r="S3191" s="5">
        <f t="shared" si="98"/>
        <v>1.7801613412051019E-2</v>
      </c>
      <c r="T3191">
        <v>221.89</v>
      </c>
      <c r="U3191">
        <v>7</v>
      </c>
      <c r="V3191">
        <v>2022</v>
      </c>
      <c r="W3191">
        <v>3</v>
      </c>
      <c r="X3191" t="s">
        <v>9899</v>
      </c>
      <c r="Y3191" t="s">
        <v>9900</v>
      </c>
      <c r="Z3191" t="s">
        <v>9899</v>
      </c>
      <c r="AD3191">
        <f t="shared" si="99"/>
        <v>1</v>
      </c>
    </row>
    <row r="3192" spans="1:30" x14ac:dyDescent="0.25">
      <c r="A3192" t="s">
        <v>3216</v>
      </c>
      <c r="B3192" s="2">
        <v>44581</v>
      </c>
      <c r="C3192" s="2">
        <v>44587</v>
      </c>
      <c r="D3192" t="s">
        <v>5185</v>
      </c>
      <c r="E3192" t="s">
        <v>5685</v>
      </c>
      <c r="F3192" t="s">
        <v>6028</v>
      </c>
      <c r="G3192" t="s">
        <v>6029</v>
      </c>
      <c r="H3192" t="s">
        <v>6036</v>
      </c>
      <c r="I3192" t="s">
        <v>6050</v>
      </c>
      <c r="J3192" t="s">
        <v>6054</v>
      </c>
      <c r="K3192" t="s">
        <v>6059</v>
      </c>
      <c r="L3192" t="s">
        <v>8739</v>
      </c>
      <c r="M3192">
        <v>112.36</v>
      </c>
      <c r="N3192">
        <v>2</v>
      </c>
      <c r="O3192">
        <v>7.0000000000000007E-2</v>
      </c>
      <c r="P3192">
        <v>18.55</v>
      </c>
      <c r="Q3192" t="s">
        <v>9894</v>
      </c>
      <c r="R3192">
        <v>6</v>
      </c>
      <c r="S3192" s="5">
        <f t="shared" si="98"/>
        <v>0.16509433962264153</v>
      </c>
      <c r="T3192">
        <v>56.18</v>
      </c>
      <c r="U3192">
        <v>1</v>
      </c>
      <c r="V3192">
        <v>2022</v>
      </c>
      <c r="W3192">
        <v>1</v>
      </c>
      <c r="X3192" t="s">
        <v>9899</v>
      </c>
      <c r="Y3192" t="s">
        <v>9901</v>
      </c>
      <c r="Z3192" t="s">
        <v>9899</v>
      </c>
      <c r="AD3192">
        <f t="shared" si="99"/>
        <v>6</v>
      </c>
    </row>
    <row r="3193" spans="1:30" x14ac:dyDescent="0.25">
      <c r="A3193" t="s">
        <v>3217</v>
      </c>
      <c r="B3193" s="2">
        <v>45139</v>
      </c>
      <c r="C3193" s="2">
        <v>45143</v>
      </c>
      <c r="D3193" t="s">
        <v>5284</v>
      </c>
      <c r="E3193" t="s">
        <v>5784</v>
      </c>
      <c r="F3193" t="s">
        <v>6026</v>
      </c>
      <c r="G3193" t="s">
        <v>6031</v>
      </c>
      <c r="H3193" t="s">
        <v>6034</v>
      </c>
      <c r="I3193" t="s">
        <v>6052</v>
      </c>
      <c r="J3193" t="s">
        <v>6054</v>
      </c>
      <c r="K3193" t="s">
        <v>6059</v>
      </c>
      <c r="L3193" t="s">
        <v>8740</v>
      </c>
      <c r="M3193">
        <v>1195.9100000000001</v>
      </c>
      <c r="N3193">
        <v>3</v>
      </c>
      <c r="O3193">
        <v>0.05</v>
      </c>
      <c r="P3193">
        <v>63.11</v>
      </c>
      <c r="Q3193" t="s">
        <v>9893</v>
      </c>
      <c r="R3193">
        <v>4</v>
      </c>
      <c r="S3193" s="5">
        <f t="shared" si="98"/>
        <v>5.2771529630156112E-2</v>
      </c>
      <c r="T3193">
        <v>398.63666666666671</v>
      </c>
      <c r="U3193">
        <v>8</v>
      </c>
      <c r="V3193">
        <v>2023</v>
      </c>
      <c r="W3193">
        <v>3</v>
      </c>
      <c r="X3193" t="s">
        <v>9899</v>
      </c>
      <c r="Y3193" t="s">
        <v>9901</v>
      </c>
      <c r="Z3193" t="s">
        <v>9898</v>
      </c>
      <c r="AD3193">
        <f t="shared" si="99"/>
        <v>4</v>
      </c>
    </row>
    <row r="3194" spans="1:30" x14ac:dyDescent="0.25">
      <c r="A3194" t="s">
        <v>3218</v>
      </c>
      <c r="B3194" s="2">
        <v>45025</v>
      </c>
      <c r="C3194" s="2">
        <v>45029</v>
      </c>
      <c r="D3194" t="s">
        <v>5423</v>
      </c>
      <c r="E3194" t="s">
        <v>5923</v>
      </c>
      <c r="F3194" t="s">
        <v>6028</v>
      </c>
      <c r="G3194" t="s">
        <v>6029</v>
      </c>
      <c r="H3194" t="s">
        <v>6041</v>
      </c>
      <c r="I3194" t="s">
        <v>6050</v>
      </c>
      <c r="J3194" t="s">
        <v>6055</v>
      </c>
      <c r="K3194" t="s">
        <v>6061</v>
      </c>
      <c r="L3194" t="s">
        <v>8085</v>
      </c>
      <c r="M3194">
        <v>850.78</v>
      </c>
      <c r="N3194">
        <v>1</v>
      </c>
      <c r="O3194">
        <v>0.34</v>
      </c>
      <c r="P3194">
        <v>-82.84</v>
      </c>
      <c r="Q3194" t="s">
        <v>9894</v>
      </c>
      <c r="R3194">
        <v>4</v>
      </c>
      <c r="S3194" s="5">
        <f t="shared" si="98"/>
        <v>-9.7369472719151848E-2</v>
      </c>
      <c r="T3194">
        <v>850.78</v>
      </c>
      <c r="U3194">
        <v>4</v>
      </c>
      <c r="V3194">
        <v>2023</v>
      </c>
      <c r="W3194">
        <v>2</v>
      </c>
      <c r="X3194" t="s">
        <v>9898</v>
      </c>
      <c r="Y3194" t="s">
        <v>9902</v>
      </c>
      <c r="Z3194" t="s">
        <v>9899</v>
      </c>
      <c r="AD3194">
        <f t="shared" si="99"/>
        <v>4</v>
      </c>
    </row>
    <row r="3195" spans="1:30" x14ac:dyDescent="0.25">
      <c r="A3195" t="s">
        <v>3219</v>
      </c>
      <c r="B3195" s="2">
        <v>45406</v>
      </c>
      <c r="C3195" s="2">
        <v>45411</v>
      </c>
      <c r="D3195" t="s">
        <v>5146</v>
      </c>
      <c r="E3195" t="s">
        <v>5646</v>
      </c>
      <c r="F3195" t="s">
        <v>6026</v>
      </c>
      <c r="G3195" t="s">
        <v>6031</v>
      </c>
      <c r="H3195" t="s">
        <v>6042</v>
      </c>
      <c r="I3195" t="s">
        <v>6052</v>
      </c>
      <c r="J3195" t="s">
        <v>6053</v>
      </c>
      <c r="K3195" t="s">
        <v>6058</v>
      </c>
      <c r="L3195" t="s">
        <v>8741</v>
      </c>
      <c r="M3195">
        <v>842.46</v>
      </c>
      <c r="N3195">
        <v>6</v>
      </c>
      <c r="O3195">
        <v>0.27</v>
      </c>
      <c r="P3195">
        <v>24.66</v>
      </c>
      <c r="Q3195" t="s">
        <v>9893</v>
      </c>
      <c r="R3195">
        <v>5</v>
      </c>
      <c r="S3195" s="5">
        <f t="shared" si="98"/>
        <v>2.927141941457161E-2</v>
      </c>
      <c r="T3195">
        <v>140.41</v>
      </c>
      <c r="U3195">
        <v>4</v>
      </c>
      <c r="V3195">
        <v>2024</v>
      </c>
      <c r="W3195">
        <v>2</v>
      </c>
      <c r="X3195" t="s">
        <v>9899</v>
      </c>
      <c r="Y3195" t="s">
        <v>9900</v>
      </c>
      <c r="Z3195" t="s">
        <v>9899</v>
      </c>
      <c r="AD3195">
        <f t="shared" si="99"/>
        <v>5</v>
      </c>
    </row>
    <row r="3196" spans="1:30" x14ac:dyDescent="0.25">
      <c r="A3196" t="s">
        <v>3220</v>
      </c>
      <c r="B3196" s="2">
        <v>44729</v>
      </c>
      <c r="C3196" s="2">
        <v>44732</v>
      </c>
      <c r="D3196" t="s">
        <v>5383</v>
      </c>
      <c r="E3196" t="s">
        <v>5883</v>
      </c>
      <c r="F3196" t="s">
        <v>6027</v>
      </c>
      <c r="G3196" t="s">
        <v>6029</v>
      </c>
      <c r="H3196" t="s">
        <v>6044</v>
      </c>
      <c r="I3196" t="s">
        <v>6049</v>
      </c>
      <c r="J3196" t="s">
        <v>6055</v>
      </c>
      <c r="K3196" t="s">
        <v>6064</v>
      </c>
      <c r="L3196" t="s">
        <v>7458</v>
      </c>
      <c r="M3196">
        <v>155.51</v>
      </c>
      <c r="N3196">
        <v>1</v>
      </c>
      <c r="O3196">
        <v>0.31</v>
      </c>
      <c r="P3196">
        <v>-21.65</v>
      </c>
      <c r="Q3196" t="s">
        <v>9895</v>
      </c>
      <c r="R3196">
        <v>3</v>
      </c>
      <c r="S3196" s="5">
        <f t="shared" si="98"/>
        <v>-0.13921934280753648</v>
      </c>
      <c r="T3196">
        <v>155.51</v>
      </c>
      <c r="U3196">
        <v>6</v>
      </c>
      <c r="V3196">
        <v>2022</v>
      </c>
      <c r="W3196">
        <v>2</v>
      </c>
      <c r="X3196" t="s">
        <v>9898</v>
      </c>
      <c r="Y3196" t="s">
        <v>9902</v>
      </c>
      <c r="Z3196" t="s">
        <v>9899</v>
      </c>
      <c r="AD3196">
        <f t="shared" si="99"/>
        <v>3</v>
      </c>
    </row>
    <row r="3197" spans="1:30" x14ac:dyDescent="0.25">
      <c r="A3197" t="s">
        <v>3221</v>
      </c>
      <c r="B3197" s="2">
        <v>44681</v>
      </c>
      <c r="C3197" s="2">
        <v>44683</v>
      </c>
      <c r="D3197" t="s">
        <v>5457</v>
      </c>
      <c r="E3197" t="s">
        <v>5957</v>
      </c>
      <c r="F3197" t="s">
        <v>6026</v>
      </c>
      <c r="G3197" t="s">
        <v>6029</v>
      </c>
      <c r="H3197" t="s">
        <v>6045</v>
      </c>
      <c r="I3197" t="s">
        <v>6046</v>
      </c>
      <c r="J3197" t="s">
        <v>6053</v>
      </c>
      <c r="K3197" t="s">
        <v>6056</v>
      </c>
      <c r="L3197" t="s">
        <v>8742</v>
      </c>
      <c r="M3197">
        <v>1399.75</v>
      </c>
      <c r="N3197">
        <v>3</v>
      </c>
      <c r="O3197">
        <v>0.21</v>
      </c>
      <c r="P3197">
        <v>-148.52000000000001</v>
      </c>
      <c r="Q3197" t="s">
        <v>9896</v>
      </c>
      <c r="R3197">
        <v>2</v>
      </c>
      <c r="S3197" s="5">
        <f t="shared" si="98"/>
        <v>-0.10610466154670478</v>
      </c>
      <c r="T3197">
        <v>466.58333333333331</v>
      </c>
      <c r="U3197">
        <v>4</v>
      </c>
      <c r="V3197">
        <v>2022</v>
      </c>
      <c r="W3197">
        <v>2</v>
      </c>
      <c r="X3197" t="s">
        <v>9898</v>
      </c>
      <c r="Y3197" t="s">
        <v>9900</v>
      </c>
      <c r="Z3197" t="s">
        <v>9898</v>
      </c>
      <c r="AD3197">
        <f t="shared" si="99"/>
        <v>2</v>
      </c>
    </row>
    <row r="3198" spans="1:30" x14ac:dyDescent="0.25">
      <c r="A3198" t="s">
        <v>3222</v>
      </c>
      <c r="B3198" s="2">
        <v>44733</v>
      </c>
      <c r="C3198" s="2">
        <v>44736</v>
      </c>
      <c r="D3198" t="s">
        <v>5442</v>
      </c>
      <c r="E3198" t="s">
        <v>5942</v>
      </c>
      <c r="F3198" t="s">
        <v>6027</v>
      </c>
      <c r="G3198" t="s">
        <v>6030</v>
      </c>
      <c r="H3198" t="s">
        <v>6038</v>
      </c>
      <c r="I3198" t="s">
        <v>6047</v>
      </c>
      <c r="J3198" t="s">
        <v>6055</v>
      </c>
      <c r="K3198" t="s">
        <v>6061</v>
      </c>
      <c r="L3198" t="s">
        <v>8743</v>
      </c>
      <c r="M3198">
        <v>508.8</v>
      </c>
      <c r="N3198">
        <v>7</v>
      </c>
      <c r="O3198">
        <v>0.21</v>
      </c>
      <c r="P3198">
        <v>-47.12</v>
      </c>
      <c r="Q3198" t="s">
        <v>9895</v>
      </c>
      <c r="R3198">
        <v>3</v>
      </c>
      <c r="S3198" s="5">
        <f t="shared" si="98"/>
        <v>-9.2610062893081754E-2</v>
      </c>
      <c r="T3198">
        <v>72.685714285714283</v>
      </c>
      <c r="U3198">
        <v>6</v>
      </c>
      <c r="V3198">
        <v>2022</v>
      </c>
      <c r="W3198">
        <v>2</v>
      </c>
      <c r="X3198" t="s">
        <v>9898</v>
      </c>
      <c r="Y3198" t="s">
        <v>9900</v>
      </c>
      <c r="Z3198" t="s">
        <v>9899</v>
      </c>
      <c r="AD3198">
        <f t="shared" si="99"/>
        <v>3</v>
      </c>
    </row>
    <row r="3199" spans="1:30" x14ac:dyDescent="0.25">
      <c r="A3199" t="s">
        <v>3223</v>
      </c>
      <c r="B3199" s="2">
        <v>44859</v>
      </c>
      <c r="C3199" s="2">
        <v>44861</v>
      </c>
      <c r="D3199" t="s">
        <v>5482</v>
      </c>
      <c r="E3199" t="s">
        <v>5982</v>
      </c>
      <c r="F3199" t="s">
        <v>6028</v>
      </c>
      <c r="G3199" t="s">
        <v>6029</v>
      </c>
      <c r="H3199" t="s">
        <v>6044</v>
      </c>
      <c r="I3199" t="s">
        <v>6050</v>
      </c>
      <c r="J3199" t="s">
        <v>6054</v>
      </c>
      <c r="K3199" t="s">
        <v>6062</v>
      </c>
      <c r="L3199" t="s">
        <v>8744</v>
      </c>
      <c r="M3199">
        <v>269.3</v>
      </c>
      <c r="N3199">
        <v>3</v>
      </c>
      <c r="O3199">
        <v>0.22</v>
      </c>
      <c r="P3199">
        <v>8.89</v>
      </c>
      <c r="Q3199" t="s">
        <v>9894</v>
      </c>
      <c r="R3199">
        <v>2</v>
      </c>
      <c r="S3199" s="5">
        <f t="shared" si="98"/>
        <v>3.3011511325659118E-2</v>
      </c>
      <c r="T3199">
        <v>89.766666666666666</v>
      </c>
      <c r="U3199">
        <v>10</v>
      </c>
      <c r="V3199">
        <v>2022</v>
      </c>
      <c r="W3199">
        <v>4</v>
      </c>
      <c r="X3199" t="s">
        <v>9899</v>
      </c>
      <c r="Y3199" t="s">
        <v>9900</v>
      </c>
      <c r="Z3199" t="s">
        <v>9899</v>
      </c>
      <c r="AD3199">
        <f t="shared" si="99"/>
        <v>2</v>
      </c>
    </row>
    <row r="3200" spans="1:30" x14ac:dyDescent="0.25">
      <c r="A3200" t="s">
        <v>3224</v>
      </c>
      <c r="B3200" s="2">
        <v>44574</v>
      </c>
      <c r="C3200" s="2">
        <v>44580</v>
      </c>
      <c r="D3200" t="s">
        <v>5525</v>
      </c>
      <c r="E3200" t="s">
        <v>6025</v>
      </c>
      <c r="F3200" t="s">
        <v>6028</v>
      </c>
      <c r="G3200" t="s">
        <v>6030</v>
      </c>
      <c r="H3200" t="s">
        <v>6035</v>
      </c>
      <c r="I3200" t="s">
        <v>6047</v>
      </c>
      <c r="J3200" t="s">
        <v>6054</v>
      </c>
      <c r="K3200" t="s">
        <v>6059</v>
      </c>
      <c r="L3200" t="s">
        <v>6325</v>
      </c>
      <c r="M3200">
        <v>617.16</v>
      </c>
      <c r="N3200">
        <v>8</v>
      </c>
      <c r="O3200">
        <v>0.2</v>
      </c>
      <c r="P3200">
        <v>-11.08</v>
      </c>
      <c r="Q3200" t="s">
        <v>9895</v>
      </c>
      <c r="R3200">
        <v>6</v>
      </c>
      <c r="S3200" s="5">
        <f t="shared" si="98"/>
        <v>-1.7953205003564718E-2</v>
      </c>
      <c r="T3200">
        <v>77.144999999999996</v>
      </c>
      <c r="U3200">
        <v>1</v>
      </c>
      <c r="V3200">
        <v>2022</v>
      </c>
      <c r="W3200">
        <v>1</v>
      </c>
      <c r="X3200" t="s">
        <v>9898</v>
      </c>
      <c r="Y3200" t="s">
        <v>9900</v>
      </c>
      <c r="Z3200" t="s">
        <v>9899</v>
      </c>
      <c r="AD3200">
        <f t="shared" si="99"/>
        <v>6</v>
      </c>
    </row>
    <row r="3201" spans="1:30" x14ac:dyDescent="0.25">
      <c r="A3201" t="s">
        <v>3225</v>
      </c>
      <c r="B3201" s="2">
        <v>45351</v>
      </c>
      <c r="C3201" s="2">
        <v>45353</v>
      </c>
      <c r="D3201" t="s">
        <v>5505</v>
      </c>
      <c r="E3201" t="s">
        <v>6005</v>
      </c>
      <c r="F3201" t="s">
        <v>6027</v>
      </c>
      <c r="G3201" t="s">
        <v>6029</v>
      </c>
      <c r="H3201" t="s">
        <v>6045</v>
      </c>
      <c r="I3201" t="s">
        <v>6050</v>
      </c>
      <c r="J3201" t="s">
        <v>6054</v>
      </c>
      <c r="K3201" t="s">
        <v>6062</v>
      </c>
      <c r="L3201" t="s">
        <v>8745</v>
      </c>
      <c r="M3201">
        <v>968.51</v>
      </c>
      <c r="N3201">
        <v>4</v>
      </c>
      <c r="O3201">
        <v>0.16</v>
      </c>
      <c r="P3201">
        <v>73.08</v>
      </c>
      <c r="Q3201" t="s">
        <v>9893</v>
      </c>
      <c r="R3201">
        <v>2</v>
      </c>
      <c r="S3201" s="5">
        <f t="shared" si="98"/>
        <v>7.5456112998317004E-2</v>
      </c>
      <c r="T3201">
        <v>242.1275</v>
      </c>
      <c r="U3201">
        <v>2</v>
      </c>
      <c r="V3201">
        <v>2024</v>
      </c>
      <c r="W3201">
        <v>1</v>
      </c>
      <c r="X3201" t="s">
        <v>9899</v>
      </c>
      <c r="Y3201" t="s">
        <v>9900</v>
      </c>
      <c r="Z3201" t="s">
        <v>9899</v>
      </c>
      <c r="AD3201">
        <f t="shared" si="99"/>
        <v>2</v>
      </c>
    </row>
    <row r="3202" spans="1:30" x14ac:dyDescent="0.25">
      <c r="A3202" t="s">
        <v>3226</v>
      </c>
      <c r="B3202" s="2">
        <v>45037</v>
      </c>
      <c r="C3202" s="2">
        <v>45041</v>
      </c>
      <c r="D3202" t="s">
        <v>5460</v>
      </c>
      <c r="E3202" t="s">
        <v>5960</v>
      </c>
      <c r="F3202" t="s">
        <v>6028</v>
      </c>
      <c r="G3202" t="s">
        <v>6030</v>
      </c>
      <c r="H3202" t="s">
        <v>6038</v>
      </c>
      <c r="I3202" t="s">
        <v>6047</v>
      </c>
      <c r="J3202" t="s">
        <v>6055</v>
      </c>
      <c r="K3202" t="s">
        <v>6064</v>
      </c>
      <c r="L3202" t="s">
        <v>6778</v>
      </c>
      <c r="M3202">
        <v>1377.49</v>
      </c>
      <c r="N3202">
        <v>6</v>
      </c>
      <c r="O3202">
        <v>0.14000000000000001</v>
      </c>
      <c r="P3202">
        <v>215.68</v>
      </c>
      <c r="Q3202" t="s">
        <v>9895</v>
      </c>
      <c r="R3202">
        <v>4</v>
      </c>
      <c r="S3202" s="5">
        <f t="shared" si="98"/>
        <v>0.15657463938032218</v>
      </c>
      <c r="T3202">
        <v>229.58166666666671</v>
      </c>
      <c r="U3202">
        <v>4</v>
      </c>
      <c r="V3202">
        <v>2023</v>
      </c>
      <c r="W3202">
        <v>2</v>
      </c>
      <c r="X3202" t="s">
        <v>9899</v>
      </c>
      <c r="Y3202" t="s">
        <v>9901</v>
      </c>
      <c r="Z3202" t="s">
        <v>9898</v>
      </c>
      <c r="AD3202">
        <f t="shared" si="99"/>
        <v>4</v>
      </c>
    </row>
    <row r="3203" spans="1:30" x14ac:dyDescent="0.25">
      <c r="A3203" t="s">
        <v>3227</v>
      </c>
      <c r="B3203" s="2">
        <v>44678</v>
      </c>
      <c r="C3203" s="2">
        <v>44681</v>
      </c>
      <c r="D3203" t="s">
        <v>5248</v>
      </c>
      <c r="E3203" t="s">
        <v>5748</v>
      </c>
      <c r="F3203" t="s">
        <v>6026</v>
      </c>
      <c r="G3203" t="s">
        <v>6029</v>
      </c>
      <c r="H3203" t="s">
        <v>6036</v>
      </c>
      <c r="I3203" t="s">
        <v>6050</v>
      </c>
      <c r="J3203" t="s">
        <v>6054</v>
      </c>
      <c r="K3203" t="s">
        <v>6062</v>
      </c>
      <c r="L3203" t="s">
        <v>8746</v>
      </c>
      <c r="M3203">
        <v>1421.89</v>
      </c>
      <c r="N3203">
        <v>4</v>
      </c>
      <c r="O3203">
        <v>0.04</v>
      </c>
      <c r="P3203">
        <v>125.46</v>
      </c>
      <c r="Q3203" t="s">
        <v>9894</v>
      </c>
      <c r="R3203">
        <v>3</v>
      </c>
      <c r="S3203" s="5">
        <f t="shared" ref="S3203:S3266" si="100">P3203/M3203</f>
        <v>8.8234673568278826E-2</v>
      </c>
      <c r="T3203">
        <v>355.47250000000003</v>
      </c>
      <c r="U3203">
        <v>4</v>
      </c>
      <c r="V3203">
        <v>2022</v>
      </c>
      <c r="W3203">
        <v>2</v>
      </c>
      <c r="X3203" t="s">
        <v>9899</v>
      </c>
      <c r="Y3203" t="s">
        <v>9901</v>
      </c>
      <c r="Z3203" t="s">
        <v>9898</v>
      </c>
      <c r="AD3203">
        <f t="shared" ref="AD3203:AD3266" si="101">C3203-B3203</f>
        <v>3</v>
      </c>
    </row>
    <row r="3204" spans="1:30" x14ac:dyDescent="0.25">
      <c r="A3204" t="s">
        <v>3228</v>
      </c>
      <c r="B3204" s="2">
        <v>44893</v>
      </c>
      <c r="C3204" s="2">
        <v>44899</v>
      </c>
      <c r="D3204" t="s">
        <v>5099</v>
      </c>
      <c r="E3204" t="s">
        <v>5599</v>
      </c>
      <c r="F3204" t="s">
        <v>6026</v>
      </c>
      <c r="G3204" t="s">
        <v>6029</v>
      </c>
      <c r="H3204" t="s">
        <v>6036</v>
      </c>
      <c r="I3204" t="s">
        <v>6049</v>
      </c>
      <c r="J3204" t="s">
        <v>6054</v>
      </c>
      <c r="K3204" t="s">
        <v>6059</v>
      </c>
      <c r="L3204" t="s">
        <v>8747</v>
      </c>
      <c r="M3204">
        <v>1931.38</v>
      </c>
      <c r="N3204">
        <v>8</v>
      </c>
      <c r="O3204">
        <v>0.34</v>
      </c>
      <c r="P3204">
        <v>-345.22</v>
      </c>
      <c r="Q3204" t="s">
        <v>9894</v>
      </c>
      <c r="R3204">
        <v>6</v>
      </c>
      <c r="S3204" s="5">
        <f t="shared" si="100"/>
        <v>-0.17874266068821257</v>
      </c>
      <c r="T3204">
        <v>241.42250000000001</v>
      </c>
      <c r="U3204">
        <v>11</v>
      </c>
      <c r="V3204">
        <v>2022</v>
      </c>
      <c r="W3204">
        <v>4</v>
      </c>
      <c r="X3204" t="s">
        <v>9898</v>
      </c>
      <c r="Y3204" t="s">
        <v>9902</v>
      </c>
      <c r="Z3204" t="s">
        <v>9898</v>
      </c>
      <c r="AD3204">
        <f t="shared" si="101"/>
        <v>6</v>
      </c>
    </row>
    <row r="3205" spans="1:30" x14ac:dyDescent="0.25">
      <c r="A3205" t="s">
        <v>3229</v>
      </c>
      <c r="B3205" s="2">
        <v>45179</v>
      </c>
      <c r="C3205" s="2">
        <v>45185</v>
      </c>
      <c r="D3205" t="s">
        <v>5292</v>
      </c>
      <c r="E3205" t="s">
        <v>5792</v>
      </c>
      <c r="F3205" t="s">
        <v>6028</v>
      </c>
      <c r="G3205" t="s">
        <v>6030</v>
      </c>
      <c r="H3205" t="s">
        <v>6038</v>
      </c>
      <c r="I3205" t="s">
        <v>6051</v>
      </c>
      <c r="J3205" t="s">
        <v>6055</v>
      </c>
      <c r="K3205" t="s">
        <v>6061</v>
      </c>
      <c r="L3205" t="s">
        <v>8748</v>
      </c>
      <c r="M3205">
        <v>1347.85</v>
      </c>
      <c r="N3205">
        <v>2</v>
      </c>
      <c r="O3205">
        <v>0.19</v>
      </c>
      <c r="P3205">
        <v>57.27</v>
      </c>
      <c r="Q3205" t="s">
        <v>9897</v>
      </c>
      <c r="R3205">
        <v>6</v>
      </c>
      <c r="S3205" s="5">
        <f t="shared" si="100"/>
        <v>4.2489891308380018E-2</v>
      </c>
      <c r="T3205">
        <v>673.92499999999995</v>
      </c>
      <c r="U3205">
        <v>9</v>
      </c>
      <c r="V3205">
        <v>2023</v>
      </c>
      <c r="W3205">
        <v>3</v>
      </c>
      <c r="X3205" t="s">
        <v>9899</v>
      </c>
      <c r="Y3205" t="s">
        <v>9900</v>
      </c>
      <c r="Z3205" t="s">
        <v>9898</v>
      </c>
      <c r="AD3205">
        <f t="shared" si="101"/>
        <v>6</v>
      </c>
    </row>
    <row r="3206" spans="1:30" x14ac:dyDescent="0.25">
      <c r="A3206" t="s">
        <v>3230</v>
      </c>
      <c r="B3206" s="2">
        <v>45454</v>
      </c>
      <c r="C3206" s="2">
        <v>45460</v>
      </c>
      <c r="D3206" t="s">
        <v>5165</v>
      </c>
      <c r="E3206" t="s">
        <v>5665</v>
      </c>
      <c r="F3206" t="s">
        <v>6027</v>
      </c>
      <c r="G3206" t="s">
        <v>6031</v>
      </c>
      <c r="H3206" t="s">
        <v>6037</v>
      </c>
      <c r="I3206" t="s">
        <v>6052</v>
      </c>
      <c r="J3206" t="s">
        <v>6054</v>
      </c>
      <c r="K3206" t="s">
        <v>6060</v>
      </c>
      <c r="L3206" t="s">
        <v>8749</v>
      </c>
      <c r="M3206">
        <v>1522.46</v>
      </c>
      <c r="N3206">
        <v>5</v>
      </c>
      <c r="O3206">
        <v>0.03</v>
      </c>
      <c r="P3206">
        <v>197.21</v>
      </c>
      <c r="Q3206" t="s">
        <v>9895</v>
      </c>
      <c r="R3206">
        <v>6</v>
      </c>
      <c r="S3206" s="5">
        <f t="shared" si="100"/>
        <v>0.12953378085466941</v>
      </c>
      <c r="T3206">
        <v>304.49200000000002</v>
      </c>
      <c r="U3206">
        <v>6</v>
      </c>
      <c r="V3206">
        <v>2024</v>
      </c>
      <c r="W3206">
        <v>2</v>
      </c>
      <c r="X3206" t="s">
        <v>9899</v>
      </c>
      <c r="Y3206" t="s">
        <v>9901</v>
      </c>
      <c r="Z3206" t="s">
        <v>9898</v>
      </c>
      <c r="AD3206">
        <f t="shared" si="101"/>
        <v>6</v>
      </c>
    </row>
    <row r="3207" spans="1:30" x14ac:dyDescent="0.25">
      <c r="A3207" t="s">
        <v>3231</v>
      </c>
      <c r="B3207" s="2">
        <v>45417</v>
      </c>
      <c r="C3207" s="2">
        <v>45424</v>
      </c>
      <c r="D3207" t="s">
        <v>5469</v>
      </c>
      <c r="E3207" t="s">
        <v>5969</v>
      </c>
      <c r="F3207" t="s">
        <v>6028</v>
      </c>
      <c r="G3207" t="s">
        <v>6029</v>
      </c>
      <c r="H3207" t="s">
        <v>6045</v>
      </c>
      <c r="I3207" t="s">
        <v>6046</v>
      </c>
      <c r="J3207" t="s">
        <v>6053</v>
      </c>
      <c r="K3207" t="s">
        <v>6056</v>
      </c>
      <c r="L3207" t="s">
        <v>8750</v>
      </c>
      <c r="M3207">
        <v>1961.47</v>
      </c>
      <c r="N3207">
        <v>8</v>
      </c>
      <c r="O3207">
        <v>0.13</v>
      </c>
      <c r="P3207">
        <v>31.96</v>
      </c>
      <c r="Q3207" t="s">
        <v>9897</v>
      </c>
      <c r="R3207">
        <v>7</v>
      </c>
      <c r="S3207" s="5">
        <f t="shared" si="100"/>
        <v>1.6293902022462746E-2</v>
      </c>
      <c r="T3207">
        <v>245.18375</v>
      </c>
      <c r="U3207">
        <v>5</v>
      </c>
      <c r="V3207">
        <v>2024</v>
      </c>
      <c r="W3207">
        <v>2</v>
      </c>
      <c r="X3207" t="s">
        <v>9899</v>
      </c>
      <c r="Y3207" t="s">
        <v>9901</v>
      </c>
      <c r="Z3207" t="s">
        <v>9898</v>
      </c>
      <c r="AD3207">
        <f t="shared" si="101"/>
        <v>7</v>
      </c>
    </row>
    <row r="3208" spans="1:30" x14ac:dyDescent="0.25">
      <c r="A3208" t="s">
        <v>3232</v>
      </c>
      <c r="B3208" s="2">
        <v>44929</v>
      </c>
      <c r="C3208" s="2">
        <v>44934</v>
      </c>
      <c r="D3208" t="s">
        <v>5127</v>
      </c>
      <c r="E3208" t="s">
        <v>5627</v>
      </c>
      <c r="F3208" t="s">
        <v>6026</v>
      </c>
      <c r="G3208" t="s">
        <v>6031</v>
      </c>
      <c r="H3208" t="s">
        <v>6043</v>
      </c>
      <c r="I3208" t="s">
        <v>6050</v>
      </c>
      <c r="J3208" t="s">
        <v>6055</v>
      </c>
      <c r="K3208" t="s">
        <v>6061</v>
      </c>
      <c r="L3208" t="s">
        <v>8751</v>
      </c>
      <c r="M3208">
        <v>1528.2</v>
      </c>
      <c r="N3208">
        <v>8</v>
      </c>
      <c r="O3208">
        <v>0.18</v>
      </c>
      <c r="P3208">
        <v>110.74</v>
      </c>
      <c r="Q3208" t="s">
        <v>9894</v>
      </c>
      <c r="R3208">
        <v>5</v>
      </c>
      <c r="S3208" s="5">
        <f t="shared" si="100"/>
        <v>7.2464337128648082E-2</v>
      </c>
      <c r="T3208">
        <v>191.02500000000001</v>
      </c>
      <c r="U3208">
        <v>1</v>
      </c>
      <c r="V3208">
        <v>2023</v>
      </c>
      <c r="W3208">
        <v>1</v>
      </c>
      <c r="X3208" t="s">
        <v>9899</v>
      </c>
      <c r="Y3208" t="s">
        <v>9900</v>
      </c>
      <c r="Z3208" t="s">
        <v>9898</v>
      </c>
      <c r="AD3208">
        <f t="shared" si="101"/>
        <v>5</v>
      </c>
    </row>
    <row r="3209" spans="1:30" x14ac:dyDescent="0.25">
      <c r="A3209" t="s">
        <v>3233</v>
      </c>
      <c r="B3209" s="2">
        <v>45215</v>
      </c>
      <c r="C3209" s="2">
        <v>45219</v>
      </c>
      <c r="D3209" t="s">
        <v>5493</v>
      </c>
      <c r="E3209" t="s">
        <v>5993</v>
      </c>
      <c r="F3209" t="s">
        <v>6028</v>
      </c>
      <c r="G3209" t="s">
        <v>6031</v>
      </c>
      <c r="H3209" t="s">
        <v>6040</v>
      </c>
      <c r="I3209" t="s">
        <v>6050</v>
      </c>
      <c r="J3209" t="s">
        <v>6053</v>
      </c>
      <c r="K3209" t="s">
        <v>6058</v>
      </c>
      <c r="L3209" t="s">
        <v>8752</v>
      </c>
      <c r="M3209">
        <v>1652.65</v>
      </c>
      <c r="N3209">
        <v>1</v>
      </c>
      <c r="O3209">
        <v>0.27</v>
      </c>
      <c r="P3209">
        <v>-167.36</v>
      </c>
      <c r="Q3209" t="s">
        <v>9895</v>
      </c>
      <c r="R3209">
        <v>4</v>
      </c>
      <c r="S3209" s="5">
        <f t="shared" si="100"/>
        <v>-0.10126766102925605</v>
      </c>
      <c r="T3209">
        <v>1652.65</v>
      </c>
      <c r="U3209">
        <v>10</v>
      </c>
      <c r="V3209">
        <v>2023</v>
      </c>
      <c r="W3209">
        <v>4</v>
      </c>
      <c r="X3209" t="s">
        <v>9898</v>
      </c>
      <c r="Y3209" t="s">
        <v>9900</v>
      </c>
      <c r="Z3209" t="s">
        <v>9898</v>
      </c>
      <c r="AD3209">
        <f t="shared" si="101"/>
        <v>4</v>
      </c>
    </row>
    <row r="3210" spans="1:30" x14ac:dyDescent="0.25">
      <c r="A3210" t="s">
        <v>3234</v>
      </c>
      <c r="B3210" s="2">
        <v>44676</v>
      </c>
      <c r="C3210" s="2">
        <v>44679</v>
      </c>
      <c r="D3210" t="s">
        <v>5319</v>
      </c>
      <c r="E3210" t="s">
        <v>5819</v>
      </c>
      <c r="F3210" t="s">
        <v>6028</v>
      </c>
      <c r="G3210" t="s">
        <v>6030</v>
      </c>
      <c r="H3210" t="s">
        <v>6038</v>
      </c>
      <c r="I3210" t="s">
        <v>6051</v>
      </c>
      <c r="J3210" t="s">
        <v>6054</v>
      </c>
      <c r="K3210" t="s">
        <v>6062</v>
      </c>
      <c r="L3210" t="s">
        <v>8753</v>
      </c>
      <c r="M3210">
        <v>1067.08</v>
      </c>
      <c r="N3210">
        <v>5</v>
      </c>
      <c r="O3210">
        <v>0.31</v>
      </c>
      <c r="P3210">
        <v>-94.75</v>
      </c>
      <c r="Q3210" t="s">
        <v>9896</v>
      </c>
      <c r="R3210">
        <v>3</v>
      </c>
      <c r="S3210" s="5">
        <f t="shared" si="100"/>
        <v>-8.8793717434494143E-2</v>
      </c>
      <c r="T3210">
        <v>213.416</v>
      </c>
      <c r="U3210">
        <v>4</v>
      </c>
      <c r="V3210">
        <v>2022</v>
      </c>
      <c r="W3210">
        <v>2</v>
      </c>
      <c r="X3210" t="s">
        <v>9898</v>
      </c>
      <c r="Y3210" t="s">
        <v>9902</v>
      </c>
      <c r="Z3210" t="s">
        <v>9898</v>
      </c>
      <c r="AD3210">
        <f t="shared" si="101"/>
        <v>3</v>
      </c>
    </row>
    <row r="3211" spans="1:30" x14ac:dyDescent="0.25">
      <c r="A3211" t="s">
        <v>3235</v>
      </c>
      <c r="B3211" s="2">
        <v>44682</v>
      </c>
      <c r="C3211" s="2">
        <v>44687</v>
      </c>
      <c r="D3211" t="s">
        <v>5376</v>
      </c>
      <c r="E3211" t="s">
        <v>5876</v>
      </c>
      <c r="F3211" t="s">
        <v>6028</v>
      </c>
      <c r="G3211" t="s">
        <v>6030</v>
      </c>
      <c r="H3211" t="s">
        <v>6035</v>
      </c>
      <c r="I3211" t="s">
        <v>6051</v>
      </c>
      <c r="J3211" t="s">
        <v>6053</v>
      </c>
      <c r="K3211" t="s">
        <v>6058</v>
      </c>
      <c r="L3211" t="s">
        <v>8754</v>
      </c>
      <c r="M3211">
        <v>1641.26</v>
      </c>
      <c r="N3211">
        <v>7</v>
      </c>
      <c r="O3211">
        <v>0.08</v>
      </c>
      <c r="P3211">
        <v>351.31</v>
      </c>
      <c r="Q3211" t="s">
        <v>9897</v>
      </c>
      <c r="R3211">
        <v>5</v>
      </c>
      <c r="S3211" s="5">
        <f t="shared" si="100"/>
        <v>0.21404896238255974</v>
      </c>
      <c r="T3211">
        <v>234.46571428571431</v>
      </c>
      <c r="U3211">
        <v>5</v>
      </c>
      <c r="V3211">
        <v>2022</v>
      </c>
      <c r="W3211">
        <v>2</v>
      </c>
      <c r="X3211" t="s">
        <v>9899</v>
      </c>
      <c r="Y3211" t="s">
        <v>9901</v>
      </c>
      <c r="Z3211" t="s">
        <v>9898</v>
      </c>
      <c r="AD3211">
        <f t="shared" si="101"/>
        <v>5</v>
      </c>
    </row>
    <row r="3212" spans="1:30" x14ac:dyDescent="0.25">
      <c r="A3212" t="s">
        <v>3236</v>
      </c>
      <c r="B3212" s="2">
        <v>44789</v>
      </c>
      <c r="C3212" s="2">
        <v>44794</v>
      </c>
      <c r="D3212" t="s">
        <v>5484</v>
      </c>
      <c r="E3212" t="s">
        <v>5984</v>
      </c>
      <c r="F3212" t="s">
        <v>6027</v>
      </c>
      <c r="G3212" t="s">
        <v>6029</v>
      </c>
      <c r="H3212" t="s">
        <v>6041</v>
      </c>
      <c r="I3212" t="s">
        <v>6046</v>
      </c>
      <c r="J3212" t="s">
        <v>6054</v>
      </c>
      <c r="K3212" t="s">
        <v>6062</v>
      </c>
      <c r="L3212" t="s">
        <v>8755</v>
      </c>
      <c r="M3212">
        <v>278.52999999999997</v>
      </c>
      <c r="N3212">
        <v>1</v>
      </c>
      <c r="O3212">
        <v>0.28000000000000003</v>
      </c>
      <c r="P3212">
        <v>-14.64</v>
      </c>
      <c r="Q3212" t="s">
        <v>9897</v>
      </c>
      <c r="R3212">
        <v>5</v>
      </c>
      <c r="S3212" s="5">
        <f t="shared" si="100"/>
        <v>-5.2561663016551186E-2</v>
      </c>
      <c r="T3212">
        <v>278.52999999999997</v>
      </c>
      <c r="U3212">
        <v>8</v>
      </c>
      <c r="V3212">
        <v>2022</v>
      </c>
      <c r="W3212">
        <v>3</v>
      </c>
      <c r="X3212" t="s">
        <v>9898</v>
      </c>
      <c r="Y3212" t="s">
        <v>9900</v>
      </c>
      <c r="Z3212" t="s">
        <v>9899</v>
      </c>
      <c r="AD3212">
        <f t="shared" si="101"/>
        <v>5</v>
      </c>
    </row>
    <row r="3213" spans="1:30" x14ac:dyDescent="0.25">
      <c r="A3213" t="s">
        <v>3237</v>
      </c>
      <c r="B3213" s="2">
        <v>45390</v>
      </c>
      <c r="C3213" s="2">
        <v>45391</v>
      </c>
      <c r="D3213" t="s">
        <v>5427</v>
      </c>
      <c r="E3213" t="s">
        <v>5927</v>
      </c>
      <c r="F3213" t="s">
        <v>6027</v>
      </c>
      <c r="G3213" t="s">
        <v>6029</v>
      </c>
      <c r="H3213" t="s">
        <v>6045</v>
      </c>
      <c r="I3213" t="s">
        <v>6046</v>
      </c>
      <c r="J3213" t="s">
        <v>6053</v>
      </c>
      <c r="K3213" t="s">
        <v>6056</v>
      </c>
      <c r="L3213" t="s">
        <v>8756</v>
      </c>
      <c r="M3213">
        <v>1501.4</v>
      </c>
      <c r="N3213">
        <v>1</v>
      </c>
      <c r="O3213">
        <v>0.17</v>
      </c>
      <c r="P3213">
        <v>158.47</v>
      </c>
      <c r="Q3213" t="s">
        <v>9894</v>
      </c>
      <c r="R3213">
        <v>1</v>
      </c>
      <c r="S3213" s="5">
        <f t="shared" si="100"/>
        <v>0.10554815505528173</v>
      </c>
      <c r="T3213">
        <v>1501.4</v>
      </c>
      <c r="U3213">
        <v>4</v>
      </c>
      <c r="V3213">
        <v>2024</v>
      </c>
      <c r="W3213">
        <v>2</v>
      </c>
      <c r="X3213" t="s">
        <v>9899</v>
      </c>
      <c r="Y3213" t="s">
        <v>9900</v>
      </c>
      <c r="Z3213" t="s">
        <v>9898</v>
      </c>
      <c r="AD3213">
        <f t="shared" si="101"/>
        <v>1</v>
      </c>
    </row>
    <row r="3214" spans="1:30" x14ac:dyDescent="0.25">
      <c r="A3214" t="s">
        <v>3238</v>
      </c>
      <c r="B3214" s="2">
        <v>44591</v>
      </c>
      <c r="C3214" s="2">
        <v>44594</v>
      </c>
      <c r="D3214" t="s">
        <v>5334</v>
      </c>
      <c r="E3214" t="s">
        <v>5834</v>
      </c>
      <c r="F3214" t="s">
        <v>6028</v>
      </c>
      <c r="G3214" t="s">
        <v>6030</v>
      </c>
      <c r="H3214" t="s">
        <v>6039</v>
      </c>
      <c r="I3214" t="s">
        <v>6051</v>
      </c>
      <c r="J3214" t="s">
        <v>6054</v>
      </c>
      <c r="K3214" t="s">
        <v>6062</v>
      </c>
      <c r="L3214" t="s">
        <v>8757</v>
      </c>
      <c r="M3214">
        <v>1407.98</v>
      </c>
      <c r="N3214">
        <v>7</v>
      </c>
      <c r="O3214">
        <v>0.11</v>
      </c>
      <c r="P3214">
        <v>154.16</v>
      </c>
      <c r="Q3214" t="s">
        <v>9894</v>
      </c>
      <c r="R3214">
        <v>3</v>
      </c>
      <c r="S3214" s="5">
        <f t="shared" si="100"/>
        <v>0.10949019162204009</v>
      </c>
      <c r="T3214">
        <v>201.14</v>
      </c>
      <c r="U3214">
        <v>1</v>
      </c>
      <c r="V3214">
        <v>2022</v>
      </c>
      <c r="W3214">
        <v>1</v>
      </c>
      <c r="X3214" t="s">
        <v>9899</v>
      </c>
      <c r="Y3214" t="s">
        <v>9901</v>
      </c>
      <c r="Z3214" t="s">
        <v>9898</v>
      </c>
      <c r="AD3214">
        <f t="shared" si="101"/>
        <v>3</v>
      </c>
    </row>
    <row r="3215" spans="1:30" x14ac:dyDescent="0.25">
      <c r="A3215" t="s">
        <v>3239</v>
      </c>
      <c r="B3215" s="2">
        <v>44578</v>
      </c>
      <c r="C3215" s="2">
        <v>44585</v>
      </c>
      <c r="D3215" t="s">
        <v>5330</v>
      </c>
      <c r="E3215" t="s">
        <v>5830</v>
      </c>
      <c r="F3215" t="s">
        <v>6028</v>
      </c>
      <c r="G3215" t="s">
        <v>6030</v>
      </c>
      <c r="H3215" t="s">
        <v>6039</v>
      </c>
      <c r="I3215" t="s">
        <v>6047</v>
      </c>
      <c r="J3215" t="s">
        <v>6053</v>
      </c>
      <c r="K3215" t="s">
        <v>6058</v>
      </c>
      <c r="L3215" t="s">
        <v>8758</v>
      </c>
      <c r="M3215">
        <v>590.62</v>
      </c>
      <c r="N3215">
        <v>4</v>
      </c>
      <c r="O3215">
        <v>0.18</v>
      </c>
      <c r="P3215">
        <v>-15.56</v>
      </c>
      <c r="Q3215" t="s">
        <v>9894</v>
      </c>
      <c r="R3215">
        <v>7</v>
      </c>
      <c r="S3215" s="5">
        <f t="shared" si="100"/>
        <v>-2.6345196573092682E-2</v>
      </c>
      <c r="T3215">
        <v>147.655</v>
      </c>
      <c r="U3215">
        <v>1</v>
      </c>
      <c r="V3215">
        <v>2022</v>
      </c>
      <c r="W3215">
        <v>1</v>
      </c>
      <c r="X3215" t="s">
        <v>9898</v>
      </c>
      <c r="Y3215" t="s">
        <v>9900</v>
      </c>
      <c r="Z3215" t="s">
        <v>9899</v>
      </c>
      <c r="AD3215">
        <f t="shared" si="101"/>
        <v>7</v>
      </c>
    </row>
    <row r="3216" spans="1:30" x14ac:dyDescent="0.25">
      <c r="A3216" t="s">
        <v>3240</v>
      </c>
      <c r="B3216" s="2">
        <v>45213</v>
      </c>
      <c r="C3216" s="2">
        <v>45216</v>
      </c>
      <c r="D3216" t="s">
        <v>5219</v>
      </c>
      <c r="E3216" t="s">
        <v>5719</v>
      </c>
      <c r="F3216" t="s">
        <v>6028</v>
      </c>
      <c r="G3216" t="s">
        <v>6030</v>
      </c>
      <c r="H3216" t="s">
        <v>6033</v>
      </c>
      <c r="I3216" t="s">
        <v>6051</v>
      </c>
      <c r="J3216" t="s">
        <v>6054</v>
      </c>
      <c r="K3216" t="s">
        <v>6059</v>
      </c>
      <c r="L3216" t="s">
        <v>8759</v>
      </c>
      <c r="M3216">
        <v>1379.49</v>
      </c>
      <c r="N3216">
        <v>8</v>
      </c>
      <c r="O3216">
        <v>0.14000000000000001</v>
      </c>
      <c r="P3216">
        <v>205.5</v>
      </c>
      <c r="Q3216" t="s">
        <v>9895</v>
      </c>
      <c r="R3216">
        <v>3</v>
      </c>
      <c r="S3216" s="5">
        <f t="shared" si="100"/>
        <v>0.14896809690537807</v>
      </c>
      <c r="T3216">
        <v>172.43625</v>
      </c>
      <c r="U3216">
        <v>10</v>
      </c>
      <c r="V3216">
        <v>2023</v>
      </c>
      <c r="W3216">
        <v>4</v>
      </c>
      <c r="X3216" t="s">
        <v>9899</v>
      </c>
      <c r="Y3216" t="s">
        <v>9901</v>
      </c>
      <c r="Z3216" t="s">
        <v>9898</v>
      </c>
      <c r="AD3216">
        <f t="shared" si="101"/>
        <v>3</v>
      </c>
    </row>
    <row r="3217" spans="1:30" x14ac:dyDescent="0.25">
      <c r="A3217" t="s">
        <v>3241</v>
      </c>
      <c r="B3217" s="2">
        <v>44828</v>
      </c>
      <c r="C3217" s="2">
        <v>44829</v>
      </c>
      <c r="D3217" t="s">
        <v>5186</v>
      </c>
      <c r="E3217" t="s">
        <v>5686</v>
      </c>
      <c r="F3217" t="s">
        <v>6028</v>
      </c>
      <c r="G3217" t="s">
        <v>6029</v>
      </c>
      <c r="H3217" t="s">
        <v>6045</v>
      </c>
      <c r="I3217" t="s">
        <v>6046</v>
      </c>
      <c r="J3217" t="s">
        <v>6055</v>
      </c>
      <c r="K3217" t="s">
        <v>6063</v>
      </c>
      <c r="L3217" t="s">
        <v>8760</v>
      </c>
      <c r="M3217">
        <v>1231.8699999999999</v>
      </c>
      <c r="N3217">
        <v>2</v>
      </c>
      <c r="O3217">
        <v>0.09</v>
      </c>
      <c r="P3217">
        <v>99.23</v>
      </c>
      <c r="Q3217" t="s">
        <v>9893</v>
      </c>
      <c r="R3217">
        <v>1</v>
      </c>
      <c r="S3217" s="5">
        <f t="shared" si="100"/>
        <v>8.0552331008953884E-2</v>
      </c>
      <c r="T3217">
        <v>615.93499999999995</v>
      </c>
      <c r="U3217">
        <v>9</v>
      </c>
      <c r="V3217">
        <v>2022</v>
      </c>
      <c r="W3217">
        <v>3</v>
      </c>
      <c r="X3217" t="s">
        <v>9899</v>
      </c>
      <c r="Y3217" t="s">
        <v>9901</v>
      </c>
      <c r="Z3217" t="s">
        <v>9898</v>
      </c>
      <c r="AD3217">
        <f t="shared" si="101"/>
        <v>1</v>
      </c>
    </row>
    <row r="3218" spans="1:30" x14ac:dyDescent="0.25">
      <c r="A3218" t="s">
        <v>3242</v>
      </c>
      <c r="B3218" s="2">
        <v>45316</v>
      </c>
      <c r="C3218" s="2">
        <v>45319</v>
      </c>
      <c r="D3218" t="s">
        <v>5086</v>
      </c>
      <c r="E3218" t="s">
        <v>5586</v>
      </c>
      <c r="F3218" t="s">
        <v>6026</v>
      </c>
      <c r="G3218" t="s">
        <v>6031</v>
      </c>
      <c r="H3218" t="s">
        <v>6034</v>
      </c>
      <c r="I3218" t="s">
        <v>6050</v>
      </c>
      <c r="J3218" t="s">
        <v>6054</v>
      </c>
      <c r="K3218" t="s">
        <v>6059</v>
      </c>
      <c r="L3218" t="s">
        <v>8761</v>
      </c>
      <c r="M3218">
        <v>1132.6199999999999</v>
      </c>
      <c r="N3218">
        <v>7</v>
      </c>
      <c r="O3218">
        <v>0.17</v>
      </c>
      <c r="P3218">
        <v>111.56</v>
      </c>
      <c r="Q3218" t="s">
        <v>9897</v>
      </c>
      <c r="R3218">
        <v>3</v>
      </c>
      <c r="S3218" s="5">
        <f t="shared" si="100"/>
        <v>9.8497289470431404E-2</v>
      </c>
      <c r="T3218">
        <v>161.80285714285711</v>
      </c>
      <c r="U3218">
        <v>1</v>
      </c>
      <c r="V3218">
        <v>2024</v>
      </c>
      <c r="W3218">
        <v>1</v>
      </c>
      <c r="X3218" t="s">
        <v>9899</v>
      </c>
      <c r="Y3218" t="s">
        <v>9900</v>
      </c>
      <c r="Z3218" t="s">
        <v>9898</v>
      </c>
      <c r="AD3218">
        <f t="shared" si="101"/>
        <v>3</v>
      </c>
    </row>
    <row r="3219" spans="1:30" x14ac:dyDescent="0.25">
      <c r="A3219" t="s">
        <v>3243</v>
      </c>
      <c r="B3219" s="2">
        <v>44574</v>
      </c>
      <c r="C3219" s="2">
        <v>44580</v>
      </c>
      <c r="D3219" t="s">
        <v>5419</v>
      </c>
      <c r="E3219" t="s">
        <v>5919</v>
      </c>
      <c r="F3219" t="s">
        <v>6027</v>
      </c>
      <c r="G3219" t="s">
        <v>6030</v>
      </c>
      <c r="H3219" t="s">
        <v>6033</v>
      </c>
      <c r="I3219" t="s">
        <v>6051</v>
      </c>
      <c r="J3219" t="s">
        <v>6054</v>
      </c>
      <c r="K3219" t="s">
        <v>6059</v>
      </c>
      <c r="L3219" t="s">
        <v>6290</v>
      </c>
      <c r="M3219">
        <v>1728.18</v>
      </c>
      <c r="N3219">
        <v>2</v>
      </c>
      <c r="O3219">
        <v>0.19</v>
      </c>
      <c r="P3219">
        <v>76.400000000000006</v>
      </c>
      <c r="Q3219" t="s">
        <v>9893</v>
      </c>
      <c r="R3219">
        <v>6</v>
      </c>
      <c r="S3219" s="5">
        <f t="shared" si="100"/>
        <v>4.4208357925679037E-2</v>
      </c>
      <c r="T3219">
        <v>864.09</v>
      </c>
      <c r="U3219">
        <v>1</v>
      </c>
      <c r="V3219">
        <v>2022</v>
      </c>
      <c r="W3219">
        <v>1</v>
      </c>
      <c r="X3219" t="s">
        <v>9899</v>
      </c>
      <c r="Y3219" t="s">
        <v>9900</v>
      </c>
      <c r="Z3219" t="s">
        <v>9898</v>
      </c>
      <c r="AD3219">
        <f t="shared" si="101"/>
        <v>6</v>
      </c>
    </row>
    <row r="3220" spans="1:30" x14ac:dyDescent="0.25">
      <c r="A3220" t="s">
        <v>3244</v>
      </c>
      <c r="B3220" s="2">
        <v>45283</v>
      </c>
      <c r="C3220" s="2">
        <v>45288</v>
      </c>
      <c r="D3220" t="s">
        <v>5178</v>
      </c>
      <c r="E3220" t="s">
        <v>5678</v>
      </c>
      <c r="F3220" t="s">
        <v>6027</v>
      </c>
      <c r="G3220" t="s">
        <v>6030</v>
      </c>
      <c r="H3220" t="s">
        <v>6035</v>
      </c>
      <c r="I3220" t="s">
        <v>6051</v>
      </c>
      <c r="J3220" t="s">
        <v>6053</v>
      </c>
      <c r="K3220" t="s">
        <v>6058</v>
      </c>
      <c r="L3220" t="s">
        <v>6579</v>
      </c>
      <c r="M3220">
        <v>239.39</v>
      </c>
      <c r="N3220">
        <v>2</v>
      </c>
      <c r="O3220">
        <v>0.28999999999999998</v>
      </c>
      <c r="P3220">
        <v>-8.94</v>
      </c>
      <c r="Q3220" t="s">
        <v>9896</v>
      </c>
      <c r="R3220">
        <v>5</v>
      </c>
      <c r="S3220" s="5">
        <f t="shared" si="100"/>
        <v>-3.734491833409917E-2</v>
      </c>
      <c r="T3220">
        <v>119.69499999999999</v>
      </c>
      <c r="U3220">
        <v>12</v>
      </c>
      <c r="V3220">
        <v>2023</v>
      </c>
      <c r="W3220">
        <v>4</v>
      </c>
      <c r="X3220" t="s">
        <v>9898</v>
      </c>
      <c r="Y3220" t="s">
        <v>9900</v>
      </c>
      <c r="Z3220" t="s">
        <v>9899</v>
      </c>
      <c r="AD3220">
        <f t="shared" si="101"/>
        <v>5</v>
      </c>
    </row>
    <row r="3221" spans="1:30" x14ac:dyDescent="0.25">
      <c r="A3221" t="s">
        <v>3245</v>
      </c>
      <c r="B3221" s="2">
        <v>45245</v>
      </c>
      <c r="C3221" s="2">
        <v>45251</v>
      </c>
      <c r="D3221" t="s">
        <v>5136</v>
      </c>
      <c r="E3221" t="s">
        <v>5636</v>
      </c>
      <c r="F3221" t="s">
        <v>6027</v>
      </c>
      <c r="G3221" t="s">
        <v>6030</v>
      </c>
      <c r="H3221" t="s">
        <v>6038</v>
      </c>
      <c r="I3221" t="s">
        <v>6047</v>
      </c>
      <c r="J3221" t="s">
        <v>6055</v>
      </c>
      <c r="K3221" t="s">
        <v>6063</v>
      </c>
      <c r="L3221" t="s">
        <v>8762</v>
      </c>
      <c r="M3221">
        <v>1817.56</v>
      </c>
      <c r="N3221">
        <v>4</v>
      </c>
      <c r="O3221">
        <v>0.14000000000000001</v>
      </c>
      <c r="P3221">
        <v>99.41</v>
      </c>
      <c r="Q3221" t="s">
        <v>9893</v>
      </c>
      <c r="R3221">
        <v>6</v>
      </c>
      <c r="S3221" s="5">
        <f t="shared" si="100"/>
        <v>5.4694205418253039E-2</v>
      </c>
      <c r="T3221">
        <v>454.39</v>
      </c>
      <c r="U3221">
        <v>11</v>
      </c>
      <c r="V3221">
        <v>2023</v>
      </c>
      <c r="W3221">
        <v>4</v>
      </c>
      <c r="X3221" t="s">
        <v>9899</v>
      </c>
      <c r="Y3221" t="s">
        <v>9901</v>
      </c>
      <c r="Z3221" t="s">
        <v>9898</v>
      </c>
      <c r="AD3221">
        <f t="shared" si="101"/>
        <v>6</v>
      </c>
    </row>
    <row r="3222" spans="1:30" x14ac:dyDescent="0.25">
      <c r="A3222" t="s">
        <v>3246</v>
      </c>
      <c r="B3222" s="2">
        <v>45162</v>
      </c>
      <c r="C3222" s="2">
        <v>45163</v>
      </c>
      <c r="D3222" t="s">
        <v>5412</v>
      </c>
      <c r="E3222" t="s">
        <v>5912</v>
      </c>
      <c r="F3222" t="s">
        <v>6028</v>
      </c>
      <c r="G3222" t="s">
        <v>6029</v>
      </c>
      <c r="H3222" t="s">
        <v>6036</v>
      </c>
      <c r="I3222" t="s">
        <v>6049</v>
      </c>
      <c r="J3222" t="s">
        <v>6053</v>
      </c>
      <c r="K3222" t="s">
        <v>6057</v>
      </c>
      <c r="L3222" t="s">
        <v>8763</v>
      </c>
      <c r="M3222">
        <v>1111.8900000000001</v>
      </c>
      <c r="N3222">
        <v>6</v>
      </c>
      <c r="O3222">
        <v>0.3</v>
      </c>
      <c r="P3222">
        <v>-2.79</v>
      </c>
      <c r="Q3222" t="s">
        <v>9897</v>
      </c>
      <c r="R3222">
        <v>1</v>
      </c>
      <c r="S3222" s="5">
        <f t="shared" si="100"/>
        <v>-2.5092410220435473E-3</v>
      </c>
      <c r="T3222">
        <v>185.315</v>
      </c>
      <c r="U3222">
        <v>8</v>
      </c>
      <c r="V3222">
        <v>2023</v>
      </c>
      <c r="W3222">
        <v>3</v>
      </c>
      <c r="X3222" t="s">
        <v>9898</v>
      </c>
      <c r="Y3222" t="s">
        <v>9900</v>
      </c>
      <c r="Z3222" t="s">
        <v>9898</v>
      </c>
      <c r="AD3222">
        <f t="shared" si="101"/>
        <v>1</v>
      </c>
    </row>
    <row r="3223" spans="1:30" x14ac:dyDescent="0.25">
      <c r="A3223" t="s">
        <v>3247</v>
      </c>
      <c r="B3223" s="2">
        <v>44978</v>
      </c>
      <c r="C3223" s="2">
        <v>44982</v>
      </c>
      <c r="D3223" t="s">
        <v>5477</v>
      </c>
      <c r="E3223" t="s">
        <v>5977</v>
      </c>
      <c r="F3223" t="s">
        <v>6026</v>
      </c>
      <c r="G3223" t="s">
        <v>6030</v>
      </c>
      <c r="H3223" t="s">
        <v>6039</v>
      </c>
      <c r="I3223" t="s">
        <v>6051</v>
      </c>
      <c r="J3223" t="s">
        <v>6055</v>
      </c>
      <c r="K3223" t="s">
        <v>6061</v>
      </c>
      <c r="L3223" t="s">
        <v>8764</v>
      </c>
      <c r="M3223">
        <v>1334.74</v>
      </c>
      <c r="N3223">
        <v>3</v>
      </c>
      <c r="O3223">
        <v>0.25</v>
      </c>
      <c r="P3223">
        <v>-173.06</v>
      </c>
      <c r="Q3223" t="s">
        <v>9893</v>
      </c>
      <c r="R3223">
        <v>4</v>
      </c>
      <c r="S3223" s="5">
        <f t="shared" si="100"/>
        <v>-0.12965821058782984</v>
      </c>
      <c r="T3223">
        <v>444.91333333333341</v>
      </c>
      <c r="U3223">
        <v>2</v>
      </c>
      <c r="V3223">
        <v>2023</v>
      </c>
      <c r="W3223">
        <v>1</v>
      </c>
      <c r="X3223" t="s">
        <v>9898</v>
      </c>
      <c r="Y3223" t="s">
        <v>9900</v>
      </c>
      <c r="Z3223" t="s">
        <v>9898</v>
      </c>
      <c r="AD3223">
        <f t="shared" si="101"/>
        <v>4</v>
      </c>
    </row>
    <row r="3224" spans="1:30" x14ac:dyDescent="0.25">
      <c r="A3224" t="s">
        <v>3248</v>
      </c>
      <c r="B3224" s="2">
        <v>44695</v>
      </c>
      <c r="C3224" s="2">
        <v>44699</v>
      </c>
      <c r="D3224" t="s">
        <v>5220</v>
      </c>
      <c r="E3224" t="s">
        <v>5720</v>
      </c>
      <c r="F3224" t="s">
        <v>6027</v>
      </c>
      <c r="G3224" t="s">
        <v>6030</v>
      </c>
      <c r="H3224" t="s">
        <v>6039</v>
      </c>
      <c r="I3224" t="s">
        <v>6051</v>
      </c>
      <c r="J3224" t="s">
        <v>6054</v>
      </c>
      <c r="K3224" t="s">
        <v>6060</v>
      </c>
      <c r="L3224" t="s">
        <v>6330</v>
      </c>
      <c r="M3224">
        <v>1395</v>
      </c>
      <c r="N3224">
        <v>1</v>
      </c>
      <c r="O3224">
        <v>0.3</v>
      </c>
      <c r="P3224">
        <v>-53.87</v>
      </c>
      <c r="Q3224" t="s">
        <v>9896</v>
      </c>
      <c r="R3224">
        <v>4</v>
      </c>
      <c r="S3224" s="5">
        <f t="shared" si="100"/>
        <v>-3.8616487455197128E-2</v>
      </c>
      <c r="T3224">
        <v>1395</v>
      </c>
      <c r="U3224">
        <v>5</v>
      </c>
      <c r="V3224">
        <v>2022</v>
      </c>
      <c r="W3224">
        <v>2</v>
      </c>
      <c r="X3224" t="s">
        <v>9898</v>
      </c>
      <c r="Y3224" t="s">
        <v>9900</v>
      </c>
      <c r="Z3224" t="s">
        <v>9898</v>
      </c>
      <c r="AD3224">
        <f t="shared" si="101"/>
        <v>4</v>
      </c>
    </row>
    <row r="3225" spans="1:30" x14ac:dyDescent="0.25">
      <c r="A3225" t="s">
        <v>3249</v>
      </c>
      <c r="B3225" s="2">
        <v>45409</v>
      </c>
      <c r="C3225" s="2">
        <v>45411</v>
      </c>
      <c r="D3225" t="s">
        <v>5050</v>
      </c>
      <c r="E3225" t="s">
        <v>5550</v>
      </c>
      <c r="F3225" t="s">
        <v>6027</v>
      </c>
      <c r="G3225" t="s">
        <v>6029</v>
      </c>
      <c r="H3225" t="s">
        <v>6041</v>
      </c>
      <c r="I3225" t="s">
        <v>6049</v>
      </c>
      <c r="J3225" t="s">
        <v>6055</v>
      </c>
      <c r="K3225" t="s">
        <v>6061</v>
      </c>
      <c r="L3225" t="s">
        <v>7454</v>
      </c>
      <c r="M3225">
        <v>977.09</v>
      </c>
      <c r="N3225">
        <v>7</v>
      </c>
      <c r="O3225">
        <v>0.24</v>
      </c>
      <c r="P3225">
        <v>-2.52</v>
      </c>
      <c r="Q3225" t="s">
        <v>9895</v>
      </c>
      <c r="R3225">
        <v>2</v>
      </c>
      <c r="S3225" s="5">
        <f t="shared" si="100"/>
        <v>-2.5790868804306667E-3</v>
      </c>
      <c r="T3225">
        <v>139.5842857142857</v>
      </c>
      <c r="U3225">
        <v>4</v>
      </c>
      <c r="V3225">
        <v>2024</v>
      </c>
      <c r="W3225">
        <v>2</v>
      </c>
      <c r="X3225" t="s">
        <v>9898</v>
      </c>
      <c r="Y3225" t="s">
        <v>9900</v>
      </c>
      <c r="Z3225" t="s">
        <v>9899</v>
      </c>
      <c r="AD3225">
        <f t="shared" si="101"/>
        <v>2</v>
      </c>
    </row>
    <row r="3226" spans="1:30" x14ac:dyDescent="0.25">
      <c r="A3226" t="s">
        <v>3250</v>
      </c>
      <c r="B3226" s="2">
        <v>44775</v>
      </c>
      <c r="C3226" s="2">
        <v>44781</v>
      </c>
      <c r="D3226" t="s">
        <v>5083</v>
      </c>
      <c r="E3226" t="s">
        <v>5583</v>
      </c>
      <c r="F3226" t="s">
        <v>6026</v>
      </c>
      <c r="G3226" t="s">
        <v>6029</v>
      </c>
      <c r="H3226" t="s">
        <v>6044</v>
      </c>
      <c r="I3226" t="s">
        <v>6046</v>
      </c>
      <c r="J3226" t="s">
        <v>6053</v>
      </c>
      <c r="K3226" t="s">
        <v>6057</v>
      </c>
      <c r="L3226" t="s">
        <v>7200</v>
      </c>
      <c r="M3226">
        <v>605.13</v>
      </c>
      <c r="N3226">
        <v>4</v>
      </c>
      <c r="O3226">
        <v>0.11</v>
      </c>
      <c r="P3226">
        <v>96.24</v>
      </c>
      <c r="Q3226" t="s">
        <v>9893</v>
      </c>
      <c r="R3226">
        <v>6</v>
      </c>
      <c r="S3226" s="5">
        <f t="shared" si="100"/>
        <v>0.15904020623667642</v>
      </c>
      <c r="T3226">
        <v>151.2825</v>
      </c>
      <c r="U3226">
        <v>8</v>
      </c>
      <c r="V3226">
        <v>2022</v>
      </c>
      <c r="W3226">
        <v>3</v>
      </c>
      <c r="X3226" t="s">
        <v>9899</v>
      </c>
      <c r="Y3226" t="s">
        <v>9901</v>
      </c>
      <c r="Z3226" t="s">
        <v>9899</v>
      </c>
      <c r="AD3226">
        <f t="shared" si="101"/>
        <v>6</v>
      </c>
    </row>
    <row r="3227" spans="1:30" x14ac:dyDescent="0.25">
      <c r="A3227" t="s">
        <v>3251</v>
      </c>
      <c r="B3227" s="2">
        <v>44971</v>
      </c>
      <c r="C3227" s="2">
        <v>44977</v>
      </c>
      <c r="D3227" t="s">
        <v>5476</v>
      </c>
      <c r="E3227" t="s">
        <v>5976</v>
      </c>
      <c r="F3227" t="s">
        <v>6026</v>
      </c>
      <c r="G3227" t="s">
        <v>6031</v>
      </c>
      <c r="H3227" t="s">
        <v>6042</v>
      </c>
      <c r="I3227" t="s">
        <v>6048</v>
      </c>
      <c r="J3227" t="s">
        <v>6054</v>
      </c>
      <c r="K3227" t="s">
        <v>6059</v>
      </c>
      <c r="L3227" t="s">
        <v>7568</v>
      </c>
      <c r="M3227">
        <v>914.64</v>
      </c>
      <c r="N3227">
        <v>8</v>
      </c>
      <c r="O3227">
        <v>0.31</v>
      </c>
      <c r="P3227">
        <v>-173.55</v>
      </c>
      <c r="Q3227" t="s">
        <v>9894</v>
      </c>
      <c r="R3227">
        <v>6</v>
      </c>
      <c r="S3227" s="5">
        <f t="shared" si="100"/>
        <v>-0.18974678562057204</v>
      </c>
      <c r="T3227">
        <v>114.33</v>
      </c>
      <c r="U3227">
        <v>2</v>
      </c>
      <c r="V3227">
        <v>2023</v>
      </c>
      <c r="W3227">
        <v>1</v>
      </c>
      <c r="X3227" t="s">
        <v>9898</v>
      </c>
      <c r="Y3227" t="s">
        <v>9902</v>
      </c>
      <c r="Z3227" t="s">
        <v>9899</v>
      </c>
      <c r="AD3227">
        <f t="shared" si="101"/>
        <v>6</v>
      </c>
    </row>
    <row r="3228" spans="1:30" x14ac:dyDescent="0.25">
      <c r="A3228" t="s">
        <v>3252</v>
      </c>
      <c r="B3228" s="2">
        <v>45023</v>
      </c>
      <c r="C3228" s="2">
        <v>45029</v>
      </c>
      <c r="D3228" t="s">
        <v>5241</v>
      </c>
      <c r="E3228" t="s">
        <v>5741</v>
      </c>
      <c r="F3228" t="s">
        <v>6027</v>
      </c>
      <c r="G3228" t="s">
        <v>6031</v>
      </c>
      <c r="H3228" t="s">
        <v>6042</v>
      </c>
      <c r="I3228" t="s">
        <v>6052</v>
      </c>
      <c r="J3228" t="s">
        <v>6055</v>
      </c>
      <c r="K3228" t="s">
        <v>6064</v>
      </c>
      <c r="L3228" t="s">
        <v>7583</v>
      </c>
      <c r="M3228">
        <v>1998.58</v>
      </c>
      <c r="N3228">
        <v>6</v>
      </c>
      <c r="O3228">
        <v>0.04</v>
      </c>
      <c r="P3228">
        <v>417.99</v>
      </c>
      <c r="Q3228" t="s">
        <v>9893</v>
      </c>
      <c r="R3228">
        <v>6</v>
      </c>
      <c r="S3228" s="5">
        <f t="shared" si="100"/>
        <v>0.20914349187923426</v>
      </c>
      <c r="T3228">
        <v>333.09666666666658</v>
      </c>
      <c r="U3228">
        <v>4</v>
      </c>
      <c r="V3228">
        <v>2023</v>
      </c>
      <c r="W3228">
        <v>2</v>
      </c>
      <c r="X3228" t="s">
        <v>9899</v>
      </c>
      <c r="Y3228" t="s">
        <v>9901</v>
      </c>
      <c r="Z3228" t="s">
        <v>9898</v>
      </c>
      <c r="AD3228">
        <f t="shared" si="101"/>
        <v>6</v>
      </c>
    </row>
    <row r="3229" spans="1:30" x14ac:dyDescent="0.25">
      <c r="A3229" t="s">
        <v>3253</v>
      </c>
      <c r="B3229" s="2">
        <v>45089</v>
      </c>
      <c r="C3229" s="2">
        <v>45093</v>
      </c>
      <c r="D3229" t="s">
        <v>5239</v>
      </c>
      <c r="E3229" t="s">
        <v>5739</v>
      </c>
      <c r="F3229" t="s">
        <v>6026</v>
      </c>
      <c r="G3229" t="s">
        <v>6030</v>
      </c>
      <c r="H3229" t="s">
        <v>6035</v>
      </c>
      <c r="I3229" t="s">
        <v>6051</v>
      </c>
      <c r="J3229" t="s">
        <v>6055</v>
      </c>
      <c r="K3229" t="s">
        <v>6063</v>
      </c>
      <c r="L3229" t="s">
        <v>6966</v>
      </c>
      <c r="M3229">
        <v>817.53</v>
      </c>
      <c r="N3229">
        <v>8</v>
      </c>
      <c r="O3229">
        <v>0.26</v>
      </c>
      <c r="P3229">
        <v>-46.67</v>
      </c>
      <c r="Q3229" t="s">
        <v>9897</v>
      </c>
      <c r="R3229">
        <v>4</v>
      </c>
      <c r="S3229" s="5">
        <f t="shared" si="100"/>
        <v>-5.7086590094553108E-2</v>
      </c>
      <c r="T3229">
        <v>102.19125</v>
      </c>
      <c r="U3229">
        <v>6</v>
      </c>
      <c r="V3229">
        <v>2023</v>
      </c>
      <c r="W3229">
        <v>2</v>
      </c>
      <c r="X3229" t="s">
        <v>9898</v>
      </c>
      <c r="Y3229" t="s">
        <v>9900</v>
      </c>
      <c r="Z3229" t="s">
        <v>9899</v>
      </c>
      <c r="AD3229">
        <f t="shared" si="101"/>
        <v>4</v>
      </c>
    </row>
    <row r="3230" spans="1:30" x14ac:dyDescent="0.25">
      <c r="A3230" t="s">
        <v>3254</v>
      </c>
      <c r="B3230" s="2">
        <v>45105</v>
      </c>
      <c r="C3230" s="2">
        <v>45108</v>
      </c>
      <c r="D3230" t="s">
        <v>5362</v>
      </c>
      <c r="E3230" t="s">
        <v>5862</v>
      </c>
      <c r="F3230" t="s">
        <v>6026</v>
      </c>
      <c r="G3230" t="s">
        <v>6031</v>
      </c>
      <c r="H3230" t="s">
        <v>6034</v>
      </c>
      <c r="I3230" t="s">
        <v>6048</v>
      </c>
      <c r="J3230" t="s">
        <v>6055</v>
      </c>
      <c r="K3230" t="s">
        <v>6064</v>
      </c>
      <c r="L3230" t="s">
        <v>8765</v>
      </c>
      <c r="M3230">
        <v>1530.31</v>
      </c>
      <c r="N3230">
        <v>3</v>
      </c>
      <c r="O3230">
        <v>0.15</v>
      </c>
      <c r="P3230">
        <v>173.89</v>
      </c>
      <c r="Q3230" t="s">
        <v>9897</v>
      </c>
      <c r="R3230">
        <v>3</v>
      </c>
      <c r="S3230" s="5">
        <f t="shared" si="100"/>
        <v>0.11363057158353536</v>
      </c>
      <c r="T3230">
        <v>510.1033333333333</v>
      </c>
      <c r="U3230">
        <v>6</v>
      </c>
      <c r="V3230">
        <v>2023</v>
      </c>
      <c r="W3230">
        <v>2</v>
      </c>
      <c r="X3230" t="s">
        <v>9899</v>
      </c>
      <c r="Y3230" t="s">
        <v>9901</v>
      </c>
      <c r="Z3230" t="s">
        <v>9898</v>
      </c>
      <c r="AD3230">
        <f t="shared" si="101"/>
        <v>3</v>
      </c>
    </row>
    <row r="3231" spans="1:30" x14ac:dyDescent="0.25">
      <c r="A3231" t="s">
        <v>3255</v>
      </c>
      <c r="B3231" s="2">
        <v>45064</v>
      </c>
      <c r="C3231" s="2">
        <v>45068</v>
      </c>
      <c r="D3231" t="s">
        <v>5238</v>
      </c>
      <c r="E3231" t="s">
        <v>5738</v>
      </c>
      <c r="F3231" t="s">
        <v>6026</v>
      </c>
      <c r="G3231" t="s">
        <v>6030</v>
      </c>
      <c r="H3231" t="s">
        <v>6039</v>
      </c>
      <c r="I3231" t="s">
        <v>6047</v>
      </c>
      <c r="J3231" t="s">
        <v>6055</v>
      </c>
      <c r="K3231" t="s">
        <v>6063</v>
      </c>
      <c r="L3231" t="s">
        <v>6904</v>
      </c>
      <c r="M3231">
        <v>207.07</v>
      </c>
      <c r="N3231">
        <v>6</v>
      </c>
      <c r="O3231">
        <v>0.28000000000000003</v>
      </c>
      <c r="P3231">
        <v>-4.5599999999999996</v>
      </c>
      <c r="Q3231" t="s">
        <v>9895</v>
      </c>
      <c r="R3231">
        <v>4</v>
      </c>
      <c r="S3231" s="5">
        <f t="shared" si="100"/>
        <v>-2.2021538610131838E-2</v>
      </c>
      <c r="T3231">
        <v>34.511666666666663</v>
      </c>
      <c r="U3231">
        <v>5</v>
      </c>
      <c r="V3231">
        <v>2023</v>
      </c>
      <c r="W3231">
        <v>2</v>
      </c>
      <c r="X3231" t="s">
        <v>9898</v>
      </c>
      <c r="Y3231" t="s">
        <v>9900</v>
      </c>
      <c r="Z3231" t="s">
        <v>9899</v>
      </c>
      <c r="AD3231">
        <f t="shared" si="101"/>
        <v>4</v>
      </c>
    </row>
    <row r="3232" spans="1:30" x14ac:dyDescent="0.25">
      <c r="A3232" t="s">
        <v>3256</v>
      </c>
      <c r="B3232" s="2">
        <v>45027</v>
      </c>
      <c r="C3232" s="2">
        <v>45032</v>
      </c>
      <c r="D3232" t="s">
        <v>5362</v>
      </c>
      <c r="E3232" t="s">
        <v>5862</v>
      </c>
      <c r="F3232" t="s">
        <v>6028</v>
      </c>
      <c r="G3232" t="s">
        <v>6031</v>
      </c>
      <c r="H3232" t="s">
        <v>6043</v>
      </c>
      <c r="I3232" t="s">
        <v>6050</v>
      </c>
      <c r="J3232" t="s">
        <v>6054</v>
      </c>
      <c r="K3232" t="s">
        <v>6060</v>
      </c>
      <c r="L3232" t="s">
        <v>8766</v>
      </c>
      <c r="M3232">
        <v>1951.81</v>
      </c>
      <c r="N3232">
        <v>1</v>
      </c>
      <c r="O3232">
        <v>7.0000000000000007E-2</v>
      </c>
      <c r="P3232">
        <v>68.53</v>
      </c>
      <c r="Q3232" t="s">
        <v>9893</v>
      </c>
      <c r="R3232">
        <v>5</v>
      </c>
      <c r="S3232" s="5">
        <f t="shared" si="100"/>
        <v>3.5110999533766098E-2</v>
      </c>
      <c r="T3232">
        <v>1951.81</v>
      </c>
      <c r="U3232">
        <v>4</v>
      </c>
      <c r="V3232">
        <v>2023</v>
      </c>
      <c r="W3232">
        <v>2</v>
      </c>
      <c r="X3232" t="s">
        <v>9899</v>
      </c>
      <c r="Y3232" t="s">
        <v>9901</v>
      </c>
      <c r="Z3232" t="s">
        <v>9898</v>
      </c>
      <c r="AD3232">
        <f t="shared" si="101"/>
        <v>5</v>
      </c>
    </row>
    <row r="3233" spans="1:30" x14ac:dyDescent="0.25">
      <c r="A3233" t="s">
        <v>3257</v>
      </c>
      <c r="B3233" s="2">
        <v>45192</v>
      </c>
      <c r="C3233" s="2">
        <v>45197</v>
      </c>
      <c r="D3233" t="s">
        <v>5436</v>
      </c>
      <c r="E3233" t="s">
        <v>5936</v>
      </c>
      <c r="F3233" t="s">
        <v>6027</v>
      </c>
      <c r="G3233" t="s">
        <v>6030</v>
      </c>
      <c r="H3233" t="s">
        <v>6039</v>
      </c>
      <c r="I3233" t="s">
        <v>6051</v>
      </c>
      <c r="J3233" t="s">
        <v>6053</v>
      </c>
      <c r="K3233" t="s">
        <v>6057</v>
      </c>
      <c r="L3233" t="s">
        <v>8767</v>
      </c>
      <c r="M3233">
        <v>581.76</v>
      </c>
      <c r="N3233">
        <v>4</v>
      </c>
      <c r="O3233">
        <v>0.2</v>
      </c>
      <c r="P3233">
        <v>28.67</v>
      </c>
      <c r="Q3233" t="s">
        <v>9895</v>
      </c>
      <c r="R3233">
        <v>5</v>
      </c>
      <c r="S3233" s="5">
        <f t="shared" si="100"/>
        <v>4.928149064906491E-2</v>
      </c>
      <c r="T3233">
        <v>145.44</v>
      </c>
      <c r="U3233">
        <v>9</v>
      </c>
      <c r="V3233">
        <v>2023</v>
      </c>
      <c r="W3233">
        <v>3</v>
      </c>
      <c r="X3233" t="s">
        <v>9899</v>
      </c>
      <c r="Y3233" t="s">
        <v>9900</v>
      </c>
      <c r="Z3233" t="s">
        <v>9899</v>
      </c>
      <c r="AD3233">
        <f t="shared" si="101"/>
        <v>5</v>
      </c>
    </row>
    <row r="3234" spans="1:30" x14ac:dyDescent="0.25">
      <c r="A3234" t="s">
        <v>3258</v>
      </c>
      <c r="B3234" s="2">
        <v>45364</v>
      </c>
      <c r="C3234" s="2">
        <v>45368</v>
      </c>
      <c r="D3234" t="s">
        <v>5096</v>
      </c>
      <c r="E3234" t="s">
        <v>5596</v>
      </c>
      <c r="F3234" t="s">
        <v>6028</v>
      </c>
      <c r="G3234" t="s">
        <v>6031</v>
      </c>
      <c r="H3234" t="s">
        <v>6040</v>
      </c>
      <c r="I3234" t="s">
        <v>6050</v>
      </c>
      <c r="J3234" t="s">
        <v>6055</v>
      </c>
      <c r="K3234" t="s">
        <v>6061</v>
      </c>
      <c r="L3234" t="s">
        <v>8768</v>
      </c>
      <c r="M3234">
        <v>1768.3</v>
      </c>
      <c r="N3234">
        <v>8</v>
      </c>
      <c r="O3234">
        <v>0.31</v>
      </c>
      <c r="P3234">
        <v>-158.69</v>
      </c>
      <c r="Q3234" t="s">
        <v>9897</v>
      </c>
      <c r="R3234">
        <v>4</v>
      </c>
      <c r="S3234" s="5">
        <f t="shared" si="100"/>
        <v>-8.9741559690097839E-2</v>
      </c>
      <c r="T3234">
        <v>221.03749999999999</v>
      </c>
      <c r="U3234">
        <v>3</v>
      </c>
      <c r="V3234">
        <v>2024</v>
      </c>
      <c r="W3234">
        <v>1</v>
      </c>
      <c r="X3234" t="s">
        <v>9898</v>
      </c>
      <c r="Y3234" t="s">
        <v>9902</v>
      </c>
      <c r="Z3234" t="s">
        <v>9898</v>
      </c>
      <c r="AD3234">
        <f t="shared" si="101"/>
        <v>4</v>
      </c>
    </row>
    <row r="3235" spans="1:30" x14ac:dyDescent="0.25">
      <c r="A3235" t="s">
        <v>3259</v>
      </c>
      <c r="B3235" s="2">
        <v>44595</v>
      </c>
      <c r="C3235" s="2">
        <v>44601</v>
      </c>
      <c r="D3235" t="s">
        <v>5195</v>
      </c>
      <c r="E3235" t="s">
        <v>5695</v>
      </c>
      <c r="F3235" t="s">
        <v>6027</v>
      </c>
      <c r="G3235" t="s">
        <v>6029</v>
      </c>
      <c r="H3235" t="s">
        <v>6041</v>
      </c>
      <c r="I3235" t="s">
        <v>6049</v>
      </c>
      <c r="J3235" t="s">
        <v>6055</v>
      </c>
      <c r="K3235" t="s">
        <v>6061</v>
      </c>
      <c r="L3235" t="s">
        <v>7794</v>
      </c>
      <c r="M3235">
        <v>111.13</v>
      </c>
      <c r="N3235">
        <v>5</v>
      </c>
      <c r="O3235">
        <v>0.17</v>
      </c>
      <c r="P3235">
        <v>9.48</v>
      </c>
      <c r="Q3235" t="s">
        <v>9897</v>
      </c>
      <c r="R3235">
        <v>6</v>
      </c>
      <c r="S3235" s="5">
        <f t="shared" si="100"/>
        <v>8.5305498065328902E-2</v>
      </c>
      <c r="T3235">
        <v>22.225999999999999</v>
      </c>
      <c r="U3235">
        <v>2</v>
      </c>
      <c r="V3235">
        <v>2022</v>
      </c>
      <c r="W3235">
        <v>1</v>
      </c>
      <c r="X3235" t="s">
        <v>9899</v>
      </c>
      <c r="Y3235" t="s">
        <v>9900</v>
      </c>
      <c r="Z3235" t="s">
        <v>9899</v>
      </c>
      <c r="AD3235">
        <f t="shared" si="101"/>
        <v>6</v>
      </c>
    </row>
    <row r="3236" spans="1:30" x14ac:dyDescent="0.25">
      <c r="A3236" t="s">
        <v>3260</v>
      </c>
      <c r="B3236" s="2">
        <v>44591</v>
      </c>
      <c r="C3236" s="2">
        <v>44598</v>
      </c>
      <c r="D3236" t="s">
        <v>5495</v>
      </c>
      <c r="E3236" t="s">
        <v>5995</v>
      </c>
      <c r="F3236" t="s">
        <v>6027</v>
      </c>
      <c r="G3236" t="s">
        <v>6029</v>
      </c>
      <c r="H3236" t="s">
        <v>6044</v>
      </c>
      <c r="I3236" t="s">
        <v>6049</v>
      </c>
      <c r="J3236" t="s">
        <v>6055</v>
      </c>
      <c r="K3236" t="s">
        <v>6064</v>
      </c>
      <c r="L3236" t="s">
        <v>8769</v>
      </c>
      <c r="M3236">
        <v>1961.16</v>
      </c>
      <c r="N3236">
        <v>1</v>
      </c>
      <c r="O3236">
        <v>0.09</v>
      </c>
      <c r="P3236">
        <v>227.68</v>
      </c>
      <c r="Q3236" t="s">
        <v>9897</v>
      </c>
      <c r="R3236">
        <v>7</v>
      </c>
      <c r="S3236" s="5">
        <f t="shared" si="100"/>
        <v>0.11609455628301617</v>
      </c>
      <c r="T3236">
        <v>1961.16</v>
      </c>
      <c r="U3236">
        <v>1</v>
      </c>
      <c r="V3236">
        <v>2022</v>
      </c>
      <c r="W3236">
        <v>1</v>
      </c>
      <c r="X3236" t="s">
        <v>9899</v>
      </c>
      <c r="Y3236" t="s">
        <v>9901</v>
      </c>
      <c r="Z3236" t="s">
        <v>9898</v>
      </c>
      <c r="AD3236">
        <f t="shared" si="101"/>
        <v>7</v>
      </c>
    </row>
    <row r="3237" spans="1:30" x14ac:dyDescent="0.25">
      <c r="A3237" t="s">
        <v>3261</v>
      </c>
      <c r="B3237" s="2">
        <v>44921</v>
      </c>
      <c r="C3237" s="2">
        <v>44928</v>
      </c>
      <c r="D3237" t="s">
        <v>5083</v>
      </c>
      <c r="E3237" t="s">
        <v>5583</v>
      </c>
      <c r="F3237" t="s">
        <v>6027</v>
      </c>
      <c r="G3237" t="s">
        <v>6029</v>
      </c>
      <c r="H3237" t="s">
        <v>6045</v>
      </c>
      <c r="I3237" t="s">
        <v>6050</v>
      </c>
      <c r="J3237" t="s">
        <v>6054</v>
      </c>
      <c r="K3237" t="s">
        <v>6060</v>
      </c>
      <c r="L3237" t="s">
        <v>8770</v>
      </c>
      <c r="M3237">
        <v>863.55</v>
      </c>
      <c r="N3237">
        <v>2</v>
      </c>
      <c r="O3237">
        <v>0.05</v>
      </c>
      <c r="P3237">
        <v>43.66</v>
      </c>
      <c r="Q3237" t="s">
        <v>9897</v>
      </c>
      <c r="R3237">
        <v>7</v>
      </c>
      <c r="S3237" s="5">
        <f t="shared" si="100"/>
        <v>5.0558740084534766E-2</v>
      </c>
      <c r="T3237">
        <v>431.77499999999998</v>
      </c>
      <c r="U3237">
        <v>12</v>
      </c>
      <c r="V3237">
        <v>2022</v>
      </c>
      <c r="W3237">
        <v>4</v>
      </c>
      <c r="X3237" t="s">
        <v>9899</v>
      </c>
      <c r="Y3237" t="s">
        <v>9901</v>
      </c>
      <c r="Z3237" t="s">
        <v>9899</v>
      </c>
      <c r="AD3237">
        <f t="shared" si="101"/>
        <v>7</v>
      </c>
    </row>
    <row r="3238" spans="1:30" x14ac:dyDescent="0.25">
      <c r="A3238" t="s">
        <v>3262</v>
      </c>
      <c r="B3238" s="2">
        <v>44851</v>
      </c>
      <c r="C3238" s="2">
        <v>44852</v>
      </c>
      <c r="D3238" t="s">
        <v>5332</v>
      </c>
      <c r="E3238" t="s">
        <v>5832</v>
      </c>
      <c r="F3238" t="s">
        <v>6028</v>
      </c>
      <c r="G3238" t="s">
        <v>6030</v>
      </c>
      <c r="H3238" t="s">
        <v>6039</v>
      </c>
      <c r="I3238" t="s">
        <v>6047</v>
      </c>
      <c r="J3238" t="s">
        <v>6054</v>
      </c>
      <c r="K3238" t="s">
        <v>6059</v>
      </c>
      <c r="L3238" t="s">
        <v>8771</v>
      </c>
      <c r="M3238">
        <v>1130.3900000000001</v>
      </c>
      <c r="N3238">
        <v>7</v>
      </c>
      <c r="O3238">
        <v>0.01</v>
      </c>
      <c r="P3238">
        <v>266.58999999999997</v>
      </c>
      <c r="Q3238" t="s">
        <v>9897</v>
      </c>
      <c r="R3238">
        <v>1</v>
      </c>
      <c r="S3238" s="5">
        <f t="shared" si="100"/>
        <v>0.23583895823565315</v>
      </c>
      <c r="T3238">
        <v>161.4842857142857</v>
      </c>
      <c r="U3238">
        <v>10</v>
      </c>
      <c r="V3238">
        <v>2022</v>
      </c>
      <c r="W3238">
        <v>4</v>
      </c>
      <c r="X3238" t="s">
        <v>9899</v>
      </c>
      <c r="Y3238" t="s">
        <v>9901</v>
      </c>
      <c r="Z3238" t="s">
        <v>9898</v>
      </c>
      <c r="AD3238">
        <f t="shared" si="101"/>
        <v>1</v>
      </c>
    </row>
    <row r="3239" spans="1:30" x14ac:dyDescent="0.25">
      <c r="A3239" t="s">
        <v>3263</v>
      </c>
      <c r="B3239" s="2">
        <v>45051</v>
      </c>
      <c r="C3239" s="2">
        <v>45055</v>
      </c>
      <c r="D3239" t="s">
        <v>5167</v>
      </c>
      <c r="E3239" t="s">
        <v>5667</v>
      </c>
      <c r="F3239" t="s">
        <v>6027</v>
      </c>
      <c r="G3239" t="s">
        <v>6031</v>
      </c>
      <c r="H3239" t="s">
        <v>6043</v>
      </c>
      <c r="I3239" t="s">
        <v>6050</v>
      </c>
      <c r="J3239" t="s">
        <v>6055</v>
      </c>
      <c r="K3239" t="s">
        <v>6061</v>
      </c>
      <c r="L3239" t="s">
        <v>8085</v>
      </c>
      <c r="M3239">
        <v>1477.39</v>
      </c>
      <c r="N3239">
        <v>2</v>
      </c>
      <c r="O3239">
        <v>0.12</v>
      </c>
      <c r="P3239">
        <v>218.95</v>
      </c>
      <c r="Q3239" t="s">
        <v>9897</v>
      </c>
      <c r="R3239">
        <v>4</v>
      </c>
      <c r="S3239" s="5">
        <f t="shared" si="100"/>
        <v>0.1482005428492138</v>
      </c>
      <c r="T3239">
        <v>738.69500000000005</v>
      </c>
      <c r="U3239">
        <v>5</v>
      </c>
      <c r="V3239">
        <v>2023</v>
      </c>
      <c r="W3239">
        <v>2</v>
      </c>
      <c r="X3239" t="s">
        <v>9899</v>
      </c>
      <c r="Y3239" t="s">
        <v>9901</v>
      </c>
      <c r="Z3239" t="s">
        <v>9898</v>
      </c>
      <c r="AD3239">
        <f t="shared" si="101"/>
        <v>4</v>
      </c>
    </row>
    <row r="3240" spans="1:30" x14ac:dyDescent="0.25">
      <c r="A3240" t="s">
        <v>3264</v>
      </c>
      <c r="B3240" s="2">
        <v>44980</v>
      </c>
      <c r="C3240" s="2">
        <v>44986</v>
      </c>
      <c r="D3240" t="s">
        <v>5346</v>
      </c>
      <c r="E3240" t="s">
        <v>5846</v>
      </c>
      <c r="F3240" t="s">
        <v>6026</v>
      </c>
      <c r="G3240" t="s">
        <v>6030</v>
      </c>
      <c r="H3240" t="s">
        <v>6033</v>
      </c>
      <c r="I3240" t="s">
        <v>6051</v>
      </c>
      <c r="J3240" t="s">
        <v>6055</v>
      </c>
      <c r="K3240" t="s">
        <v>6064</v>
      </c>
      <c r="L3240" t="s">
        <v>8772</v>
      </c>
      <c r="M3240">
        <v>1015.5</v>
      </c>
      <c r="N3240">
        <v>4</v>
      </c>
      <c r="O3240">
        <v>0.31</v>
      </c>
      <c r="P3240">
        <v>-75.11</v>
      </c>
      <c r="Q3240" t="s">
        <v>9893</v>
      </c>
      <c r="R3240">
        <v>6</v>
      </c>
      <c r="S3240" s="5">
        <f t="shared" si="100"/>
        <v>-7.396356474643033E-2</v>
      </c>
      <c r="T3240">
        <v>253.875</v>
      </c>
      <c r="U3240">
        <v>2</v>
      </c>
      <c r="V3240">
        <v>2023</v>
      </c>
      <c r="W3240">
        <v>1</v>
      </c>
      <c r="X3240" t="s">
        <v>9898</v>
      </c>
      <c r="Y3240" t="s">
        <v>9902</v>
      </c>
      <c r="Z3240" t="s">
        <v>9898</v>
      </c>
      <c r="AD3240">
        <f t="shared" si="101"/>
        <v>6</v>
      </c>
    </row>
    <row r="3241" spans="1:30" x14ac:dyDescent="0.25">
      <c r="A3241" t="s">
        <v>3265</v>
      </c>
      <c r="B3241" s="2">
        <v>44950</v>
      </c>
      <c r="C3241" s="2">
        <v>44952</v>
      </c>
      <c r="D3241" t="s">
        <v>5101</v>
      </c>
      <c r="E3241" t="s">
        <v>5601</v>
      </c>
      <c r="F3241" t="s">
        <v>6026</v>
      </c>
      <c r="G3241" t="s">
        <v>6030</v>
      </c>
      <c r="H3241" t="s">
        <v>6035</v>
      </c>
      <c r="I3241" t="s">
        <v>6047</v>
      </c>
      <c r="J3241" t="s">
        <v>6054</v>
      </c>
      <c r="K3241" t="s">
        <v>6062</v>
      </c>
      <c r="L3241" t="s">
        <v>8773</v>
      </c>
      <c r="M3241">
        <v>728.57</v>
      </c>
      <c r="N3241">
        <v>3</v>
      </c>
      <c r="O3241">
        <v>0.03</v>
      </c>
      <c r="P3241">
        <v>120.95</v>
      </c>
      <c r="Q3241" t="s">
        <v>9896</v>
      </c>
      <c r="R3241">
        <v>2</v>
      </c>
      <c r="S3241" s="5">
        <f t="shared" si="100"/>
        <v>0.16601012943162632</v>
      </c>
      <c r="T3241">
        <v>242.85666666666671</v>
      </c>
      <c r="U3241">
        <v>1</v>
      </c>
      <c r="V3241">
        <v>2023</v>
      </c>
      <c r="W3241">
        <v>1</v>
      </c>
      <c r="X3241" t="s">
        <v>9899</v>
      </c>
      <c r="Y3241" t="s">
        <v>9901</v>
      </c>
      <c r="Z3241" t="s">
        <v>9899</v>
      </c>
      <c r="AD3241">
        <f t="shared" si="101"/>
        <v>2</v>
      </c>
    </row>
    <row r="3242" spans="1:30" x14ac:dyDescent="0.25">
      <c r="A3242" t="s">
        <v>3266</v>
      </c>
      <c r="B3242" s="2">
        <v>45149</v>
      </c>
      <c r="C3242" s="2">
        <v>45156</v>
      </c>
      <c r="D3242" t="s">
        <v>5408</v>
      </c>
      <c r="E3242" t="s">
        <v>5908</v>
      </c>
      <c r="F3242" t="s">
        <v>6028</v>
      </c>
      <c r="G3242" t="s">
        <v>6031</v>
      </c>
      <c r="H3242" t="s">
        <v>6040</v>
      </c>
      <c r="I3242" t="s">
        <v>6048</v>
      </c>
      <c r="J3242" t="s">
        <v>6054</v>
      </c>
      <c r="K3242" t="s">
        <v>6060</v>
      </c>
      <c r="L3242" t="s">
        <v>8774</v>
      </c>
      <c r="M3242">
        <v>1715.01</v>
      </c>
      <c r="N3242">
        <v>7</v>
      </c>
      <c r="O3242">
        <v>0.03</v>
      </c>
      <c r="P3242">
        <v>182.58</v>
      </c>
      <c r="Q3242" t="s">
        <v>9896</v>
      </c>
      <c r="R3242">
        <v>7</v>
      </c>
      <c r="S3242" s="5">
        <f t="shared" si="100"/>
        <v>0.10646002064127907</v>
      </c>
      <c r="T3242">
        <v>245.00142857142859</v>
      </c>
      <c r="U3242">
        <v>8</v>
      </c>
      <c r="V3242">
        <v>2023</v>
      </c>
      <c r="W3242">
        <v>3</v>
      </c>
      <c r="X3242" t="s">
        <v>9899</v>
      </c>
      <c r="Y3242" t="s">
        <v>9901</v>
      </c>
      <c r="Z3242" t="s">
        <v>9898</v>
      </c>
      <c r="AD3242">
        <f t="shared" si="101"/>
        <v>7</v>
      </c>
    </row>
    <row r="3243" spans="1:30" x14ac:dyDescent="0.25">
      <c r="A3243" t="s">
        <v>3267</v>
      </c>
      <c r="B3243" s="2">
        <v>45184</v>
      </c>
      <c r="C3243" s="2">
        <v>45185</v>
      </c>
      <c r="D3243" t="s">
        <v>5160</v>
      </c>
      <c r="E3243" t="s">
        <v>5660</v>
      </c>
      <c r="F3243" t="s">
        <v>6028</v>
      </c>
      <c r="G3243" t="s">
        <v>6030</v>
      </c>
      <c r="H3243" t="s">
        <v>6038</v>
      </c>
      <c r="I3243" t="s">
        <v>6051</v>
      </c>
      <c r="J3243" t="s">
        <v>6054</v>
      </c>
      <c r="K3243" t="s">
        <v>6059</v>
      </c>
      <c r="L3243" t="s">
        <v>8775</v>
      </c>
      <c r="M3243">
        <v>1753.47</v>
      </c>
      <c r="N3243">
        <v>4</v>
      </c>
      <c r="O3243">
        <v>0.22</v>
      </c>
      <c r="P3243">
        <v>4.0199999999999996</v>
      </c>
      <c r="Q3243" t="s">
        <v>9893</v>
      </c>
      <c r="R3243">
        <v>1</v>
      </c>
      <c r="S3243" s="5">
        <f t="shared" si="100"/>
        <v>2.2925969648753611E-3</v>
      </c>
      <c r="T3243">
        <v>438.36750000000001</v>
      </c>
      <c r="U3243">
        <v>9</v>
      </c>
      <c r="V3243">
        <v>2023</v>
      </c>
      <c r="W3243">
        <v>3</v>
      </c>
      <c r="X3243" t="s">
        <v>9899</v>
      </c>
      <c r="Y3243" t="s">
        <v>9900</v>
      </c>
      <c r="Z3243" t="s">
        <v>9898</v>
      </c>
      <c r="AD3243">
        <f t="shared" si="101"/>
        <v>1</v>
      </c>
    </row>
    <row r="3244" spans="1:30" x14ac:dyDescent="0.25">
      <c r="A3244" t="s">
        <v>3268</v>
      </c>
      <c r="B3244" s="2">
        <v>44896</v>
      </c>
      <c r="C3244" s="2">
        <v>44903</v>
      </c>
      <c r="D3244" t="s">
        <v>5473</v>
      </c>
      <c r="E3244" t="s">
        <v>5973</v>
      </c>
      <c r="F3244" t="s">
        <v>6026</v>
      </c>
      <c r="G3244" t="s">
        <v>6030</v>
      </c>
      <c r="H3244" t="s">
        <v>6035</v>
      </c>
      <c r="I3244" t="s">
        <v>6051</v>
      </c>
      <c r="J3244" t="s">
        <v>6053</v>
      </c>
      <c r="K3244" t="s">
        <v>6056</v>
      </c>
      <c r="L3244" t="s">
        <v>8776</v>
      </c>
      <c r="M3244">
        <v>1606.8</v>
      </c>
      <c r="N3244">
        <v>4</v>
      </c>
      <c r="O3244">
        <v>0.34</v>
      </c>
      <c r="P3244">
        <v>-93.06</v>
      </c>
      <c r="Q3244" t="s">
        <v>9894</v>
      </c>
      <c r="R3244">
        <v>7</v>
      </c>
      <c r="S3244" s="5">
        <f t="shared" si="100"/>
        <v>-5.7916355489171026E-2</v>
      </c>
      <c r="T3244">
        <v>401.7</v>
      </c>
      <c r="U3244">
        <v>12</v>
      </c>
      <c r="V3244">
        <v>2022</v>
      </c>
      <c r="W3244">
        <v>4</v>
      </c>
      <c r="X3244" t="s">
        <v>9898</v>
      </c>
      <c r="Y3244" t="s">
        <v>9902</v>
      </c>
      <c r="Z3244" t="s">
        <v>9898</v>
      </c>
      <c r="AD3244">
        <f t="shared" si="101"/>
        <v>7</v>
      </c>
    </row>
    <row r="3245" spans="1:30" x14ac:dyDescent="0.25">
      <c r="A3245" t="s">
        <v>3269</v>
      </c>
      <c r="B3245" s="2">
        <v>44648</v>
      </c>
      <c r="C3245" s="2">
        <v>44649</v>
      </c>
      <c r="D3245" t="s">
        <v>5472</v>
      </c>
      <c r="E3245" t="s">
        <v>5972</v>
      </c>
      <c r="F3245" t="s">
        <v>6027</v>
      </c>
      <c r="G3245" t="s">
        <v>6031</v>
      </c>
      <c r="H3245" t="s">
        <v>6042</v>
      </c>
      <c r="I3245" t="s">
        <v>6048</v>
      </c>
      <c r="J3245" t="s">
        <v>6055</v>
      </c>
      <c r="K3245" t="s">
        <v>6061</v>
      </c>
      <c r="L3245" t="s">
        <v>8777</v>
      </c>
      <c r="M3245">
        <v>1440.08</v>
      </c>
      <c r="N3245">
        <v>2</v>
      </c>
      <c r="O3245">
        <v>0.27</v>
      </c>
      <c r="P3245">
        <v>-195.87</v>
      </c>
      <c r="Q3245" t="s">
        <v>9895</v>
      </c>
      <c r="R3245">
        <v>1</v>
      </c>
      <c r="S3245" s="5">
        <f t="shared" si="100"/>
        <v>-0.13601327704016444</v>
      </c>
      <c r="T3245">
        <v>720.04</v>
      </c>
      <c r="U3245">
        <v>3</v>
      </c>
      <c r="V3245">
        <v>2022</v>
      </c>
      <c r="W3245">
        <v>1</v>
      </c>
      <c r="X3245" t="s">
        <v>9898</v>
      </c>
      <c r="Y3245" t="s">
        <v>9900</v>
      </c>
      <c r="Z3245" t="s">
        <v>9898</v>
      </c>
      <c r="AD3245">
        <f t="shared" si="101"/>
        <v>1</v>
      </c>
    </row>
    <row r="3246" spans="1:30" x14ac:dyDescent="0.25">
      <c r="A3246" t="s">
        <v>3270</v>
      </c>
      <c r="B3246" s="2">
        <v>45055</v>
      </c>
      <c r="C3246" s="2">
        <v>45057</v>
      </c>
      <c r="D3246" t="s">
        <v>5510</v>
      </c>
      <c r="E3246" t="s">
        <v>6010</v>
      </c>
      <c r="F3246" t="s">
        <v>6026</v>
      </c>
      <c r="G3246" t="s">
        <v>6031</v>
      </c>
      <c r="H3246" t="s">
        <v>6042</v>
      </c>
      <c r="I3246" t="s">
        <v>6050</v>
      </c>
      <c r="J3246" t="s">
        <v>6053</v>
      </c>
      <c r="K3246" t="s">
        <v>6057</v>
      </c>
      <c r="L3246" t="s">
        <v>8778</v>
      </c>
      <c r="M3246">
        <v>1452.91</v>
      </c>
      <c r="N3246">
        <v>4</v>
      </c>
      <c r="O3246">
        <v>0.26</v>
      </c>
      <c r="P3246">
        <v>41.86</v>
      </c>
      <c r="Q3246" t="s">
        <v>9893</v>
      </c>
      <c r="R3246">
        <v>2</v>
      </c>
      <c r="S3246" s="5">
        <f t="shared" si="100"/>
        <v>2.8811144530631626E-2</v>
      </c>
      <c r="T3246">
        <v>363.22750000000002</v>
      </c>
      <c r="U3246">
        <v>5</v>
      </c>
      <c r="V3246">
        <v>2023</v>
      </c>
      <c r="W3246">
        <v>2</v>
      </c>
      <c r="X3246" t="s">
        <v>9899</v>
      </c>
      <c r="Y3246" t="s">
        <v>9900</v>
      </c>
      <c r="Z3246" t="s">
        <v>9898</v>
      </c>
      <c r="AD3246">
        <f t="shared" si="101"/>
        <v>2</v>
      </c>
    </row>
    <row r="3247" spans="1:30" x14ac:dyDescent="0.25">
      <c r="A3247" t="s">
        <v>3271</v>
      </c>
      <c r="B3247" s="2">
        <v>45180</v>
      </c>
      <c r="C3247" s="2">
        <v>45185</v>
      </c>
      <c r="D3247" t="s">
        <v>5125</v>
      </c>
      <c r="E3247" t="s">
        <v>5625</v>
      </c>
      <c r="F3247" t="s">
        <v>6028</v>
      </c>
      <c r="G3247" t="s">
        <v>6029</v>
      </c>
      <c r="H3247" t="s">
        <v>6041</v>
      </c>
      <c r="I3247" t="s">
        <v>6046</v>
      </c>
      <c r="J3247" t="s">
        <v>6053</v>
      </c>
      <c r="K3247" t="s">
        <v>6057</v>
      </c>
      <c r="L3247" t="s">
        <v>8779</v>
      </c>
      <c r="M3247">
        <v>469.94</v>
      </c>
      <c r="N3247">
        <v>8</v>
      </c>
      <c r="O3247">
        <v>0.13</v>
      </c>
      <c r="P3247">
        <v>70.41</v>
      </c>
      <c r="Q3247" t="s">
        <v>9897</v>
      </c>
      <c r="R3247">
        <v>5</v>
      </c>
      <c r="S3247" s="5">
        <f t="shared" si="100"/>
        <v>0.14982763757075371</v>
      </c>
      <c r="T3247">
        <v>58.7425</v>
      </c>
      <c r="U3247">
        <v>9</v>
      </c>
      <c r="V3247">
        <v>2023</v>
      </c>
      <c r="W3247">
        <v>3</v>
      </c>
      <c r="X3247" t="s">
        <v>9899</v>
      </c>
      <c r="Y3247" t="s">
        <v>9901</v>
      </c>
      <c r="Z3247" t="s">
        <v>9899</v>
      </c>
      <c r="AD3247">
        <f t="shared" si="101"/>
        <v>5</v>
      </c>
    </row>
    <row r="3248" spans="1:30" x14ac:dyDescent="0.25">
      <c r="A3248" t="s">
        <v>3272</v>
      </c>
      <c r="B3248" s="2">
        <v>45335</v>
      </c>
      <c r="C3248" s="2">
        <v>45336</v>
      </c>
      <c r="D3248" t="s">
        <v>5121</v>
      </c>
      <c r="E3248" t="s">
        <v>5621</v>
      </c>
      <c r="F3248" t="s">
        <v>6028</v>
      </c>
      <c r="G3248" t="s">
        <v>6030</v>
      </c>
      <c r="H3248" t="s">
        <v>6033</v>
      </c>
      <c r="I3248" t="s">
        <v>6051</v>
      </c>
      <c r="J3248" t="s">
        <v>6055</v>
      </c>
      <c r="K3248" t="s">
        <v>6064</v>
      </c>
      <c r="L3248" t="s">
        <v>8780</v>
      </c>
      <c r="M3248">
        <v>893.24</v>
      </c>
      <c r="N3248">
        <v>7</v>
      </c>
      <c r="O3248">
        <v>0.12</v>
      </c>
      <c r="P3248">
        <v>98.86</v>
      </c>
      <c r="Q3248" t="s">
        <v>9893</v>
      </c>
      <c r="R3248">
        <v>1</v>
      </c>
      <c r="S3248" s="5">
        <f t="shared" si="100"/>
        <v>0.11067574224172674</v>
      </c>
      <c r="T3248">
        <v>127.6057142857143</v>
      </c>
      <c r="U3248">
        <v>2</v>
      </c>
      <c r="V3248">
        <v>2024</v>
      </c>
      <c r="W3248">
        <v>1</v>
      </c>
      <c r="X3248" t="s">
        <v>9899</v>
      </c>
      <c r="Y3248" t="s">
        <v>9901</v>
      </c>
      <c r="Z3248" t="s">
        <v>9899</v>
      </c>
      <c r="AD3248">
        <f t="shared" si="101"/>
        <v>1</v>
      </c>
    </row>
    <row r="3249" spans="1:30" x14ac:dyDescent="0.25">
      <c r="A3249" t="s">
        <v>3273</v>
      </c>
      <c r="B3249" s="2">
        <v>44593</v>
      </c>
      <c r="C3249" s="2">
        <v>44597</v>
      </c>
      <c r="D3249" t="s">
        <v>5292</v>
      </c>
      <c r="E3249" t="s">
        <v>5792</v>
      </c>
      <c r="F3249" t="s">
        <v>6026</v>
      </c>
      <c r="G3249" t="s">
        <v>6030</v>
      </c>
      <c r="H3249" t="s">
        <v>6035</v>
      </c>
      <c r="I3249" t="s">
        <v>6051</v>
      </c>
      <c r="J3249" t="s">
        <v>6054</v>
      </c>
      <c r="K3249" t="s">
        <v>6062</v>
      </c>
      <c r="L3249" t="s">
        <v>8781</v>
      </c>
      <c r="M3249">
        <v>106.89</v>
      </c>
      <c r="N3249">
        <v>2</v>
      </c>
      <c r="O3249">
        <v>0.19</v>
      </c>
      <c r="P3249">
        <v>1.33</v>
      </c>
      <c r="Q3249" t="s">
        <v>9893</v>
      </c>
      <c r="R3249">
        <v>4</v>
      </c>
      <c r="S3249" s="5">
        <f t="shared" si="100"/>
        <v>1.2442698100851343E-2</v>
      </c>
      <c r="T3249">
        <v>53.445</v>
      </c>
      <c r="U3249">
        <v>2</v>
      </c>
      <c r="V3249">
        <v>2022</v>
      </c>
      <c r="W3249">
        <v>1</v>
      </c>
      <c r="X3249" t="s">
        <v>9899</v>
      </c>
      <c r="Y3249" t="s">
        <v>9900</v>
      </c>
      <c r="Z3249" t="s">
        <v>9899</v>
      </c>
      <c r="AD3249">
        <f t="shared" si="101"/>
        <v>4</v>
      </c>
    </row>
    <row r="3250" spans="1:30" x14ac:dyDescent="0.25">
      <c r="A3250" t="s">
        <v>3274</v>
      </c>
      <c r="B3250" s="2">
        <v>44684</v>
      </c>
      <c r="C3250" s="2">
        <v>44685</v>
      </c>
      <c r="D3250" t="s">
        <v>5335</v>
      </c>
      <c r="E3250" t="s">
        <v>5835</v>
      </c>
      <c r="F3250" t="s">
        <v>6028</v>
      </c>
      <c r="G3250" t="s">
        <v>6029</v>
      </c>
      <c r="H3250" t="s">
        <v>6045</v>
      </c>
      <c r="I3250" t="s">
        <v>6046</v>
      </c>
      <c r="J3250" t="s">
        <v>6055</v>
      </c>
      <c r="K3250" t="s">
        <v>6064</v>
      </c>
      <c r="L3250" t="s">
        <v>7593</v>
      </c>
      <c r="M3250">
        <v>1922</v>
      </c>
      <c r="N3250">
        <v>4</v>
      </c>
      <c r="O3250">
        <v>0.12</v>
      </c>
      <c r="P3250">
        <v>296.58999999999997</v>
      </c>
      <c r="Q3250" t="s">
        <v>9895</v>
      </c>
      <c r="R3250">
        <v>1</v>
      </c>
      <c r="S3250" s="5">
        <f t="shared" si="100"/>
        <v>0.15431321540062434</v>
      </c>
      <c r="T3250">
        <v>480.5</v>
      </c>
      <c r="U3250">
        <v>5</v>
      </c>
      <c r="V3250">
        <v>2022</v>
      </c>
      <c r="W3250">
        <v>2</v>
      </c>
      <c r="X3250" t="s">
        <v>9899</v>
      </c>
      <c r="Y3250" t="s">
        <v>9901</v>
      </c>
      <c r="Z3250" t="s">
        <v>9898</v>
      </c>
      <c r="AD3250">
        <f t="shared" si="101"/>
        <v>1</v>
      </c>
    </row>
    <row r="3251" spans="1:30" x14ac:dyDescent="0.25">
      <c r="A3251" t="s">
        <v>3275</v>
      </c>
      <c r="B3251" s="2">
        <v>44969</v>
      </c>
      <c r="C3251" s="2">
        <v>44975</v>
      </c>
      <c r="D3251" t="s">
        <v>5406</v>
      </c>
      <c r="E3251" t="s">
        <v>5906</v>
      </c>
      <c r="F3251" t="s">
        <v>6028</v>
      </c>
      <c r="G3251" t="s">
        <v>6030</v>
      </c>
      <c r="H3251" t="s">
        <v>6038</v>
      </c>
      <c r="I3251" t="s">
        <v>6047</v>
      </c>
      <c r="J3251" t="s">
        <v>6053</v>
      </c>
      <c r="K3251" t="s">
        <v>6058</v>
      </c>
      <c r="L3251" t="s">
        <v>8782</v>
      </c>
      <c r="M3251">
        <v>462.46</v>
      </c>
      <c r="N3251">
        <v>5</v>
      </c>
      <c r="O3251">
        <v>0.27</v>
      </c>
      <c r="P3251">
        <v>-44.29</v>
      </c>
      <c r="Q3251" t="s">
        <v>9893</v>
      </c>
      <c r="R3251">
        <v>6</v>
      </c>
      <c r="S3251" s="5">
        <f t="shared" si="100"/>
        <v>-9.5770445011460453E-2</v>
      </c>
      <c r="T3251">
        <v>92.49199999999999</v>
      </c>
      <c r="U3251">
        <v>2</v>
      </c>
      <c r="V3251">
        <v>2023</v>
      </c>
      <c r="W3251">
        <v>1</v>
      </c>
      <c r="X3251" t="s">
        <v>9898</v>
      </c>
      <c r="Y3251" t="s">
        <v>9900</v>
      </c>
      <c r="Z3251" t="s">
        <v>9899</v>
      </c>
      <c r="AD3251">
        <f t="shared" si="101"/>
        <v>6</v>
      </c>
    </row>
    <row r="3252" spans="1:30" x14ac:dyDescent="0.25">
      <c r="A3252" t="s">
        <v>3276</v>
      </c>
      <c r="B3252" s="2">
        <v>44756</v>
      </c>
      <c r="C3252" s="2">
        <v>44760</v>
      </c>
      <c r="D3252" t="s">
        <v>5133</v>
      </c>
      <c r="E3252" t="s">
        <v>5633</v>
      </c>
      <c r="F3252" t="s">
        <v>6027</v>
      </c>
      <c r="G3252" t="s">
        <v>6031</v>
      </c>
      <c r="H3252" t="s">
        <v>6037</v>
      </c>
      <c r="I3252" t="s">
        <v>6052</v>
      </c>
      <c r="J3252" t="s">
        <v>6055</v>
      </c>
      <c r="K3252" t="s">
        <v>6061</v>
      </c>
      <c r="L3252" t="s">
        <v>8783</v>
      </c>
      <c r="M3252">
        <v>977.92</v>
      </c>
      <c r="N3252">
        <v>4</v>
      </c>
      <c r="O3252">
        <v>0.23</v>
      </c>
      <c r="P3252">
        <v>37.99</v>
      </c>
      <c r="Q3252" t="s">
        <v>9895</v>
      </c>
      <c r="R3252">
        <v>4</v>
      </c>
      <c r="S3252" s="5">
        <f t="shared" si="100"/>
        <v>3.8847758507853408E-2</v>
      </c>
      <c r="T3252">
        <v>244.48</v>
      </c>
      <c r="U3252">
        <v>7</v>
      </c>
      <c r="V3252">
        <v>2022</v>
      </c>
      <c r="W3252">
        <v>3</v>
      </c>
      <c r="X3252" t="s">
        <v>9899</v>
      </c>
      <c r="Y3252" t="s">
        <v>9900</v>
      </c>
      <c r="Z3252" t="s">
        <v>9899</v>
      </c>
      <c r="AD3252">
        <f t="shared" si="101"/>
        <v>4</v>
      </c>
    </row>
    <row r="3253" spans="1:30" x14ac:dyDescent="0.25">
      <c r="A3253" t="s">
        <v>3277</v>
      </c>
      <c r="B3253" s="2">
        <v>44779</v>
      </c>
      <c r="C3253" s="2">
        <v>44782</v>
      </c>
      <c r="D3253" t="s">
        <v>5087</v>
      </c>
      <c r="E3253" t="s">
        <v>5587</v>
      </c>
      <c r="F3253" t="s">
        <v>6026</v>
      </c>
      <c r="G3253" t="s">
        <v>6030</v>
      </c>
      <c r="H3253" t="s">
        <v>6033</v>
      </c>
      <c r="I3253" t="s">
        <v>6051</v>
      </c>
      <c r="J3253" t="s">
        <v>6055</v>
      </c>
      <c r="K3253" t="s">
        <v>6064</v>
      </c>
      <c r="L3253" t="s">
        <v>6096</v>
      </c>
      <c r="M3253">
        <v>748.34</v>
      </c>
      <c r="N3253">
        <v>5</v>
      </c>
      <c r="O3253">
        <v>0.31</v>
      </c>
      <c r="P3253">
        <v>-93.83</v>
      </c>
      <c r="Q3253" t="s">
        <v>9893</v>
      </c>
      <c r="R3253">
        <v>3</v>
      </c>
      <c r="S3253" s="5">
        <f t="shared" si="100"/>
        <v>-0.12538418365983375</v>
      </c>
      <c r="T3253">
        <v>149.66800000000001</v>
      </c>
      <c r="U3253">
        <v>8</v>
      </c>
      <c r="V3253">
        <v>2022</v>
      </c>
      <c r="W3253">
        <v>3</v>
      </c>
      <c r="X3253" t="s">
        <v>9898</v>
      </c>
      <c r="Y3253" t="s">
        <v>9902</v>
      </c>
      <c r="Z3253" t="s">
        <v>9899</v>
      </c>
      <c r="AD3253">
        <f t="shared" si="101"/>
        <v>3</v>
      </c>
    </row>
    <row r="3254" spans="1:30" x14ac:dyDescent="0.25">
      <c r="A3254" t="s">
        <v>3278</v>
      </c>
      <c r="B3254" s="2">
        <v>45135</v>
      </c>
      <c r="C3254" s="2">
        <v>45136</v>
      </c>
      <c r="D3254" t="s">
        <v>5305</v>
      </c>
      <c r="E3254" t="s">
        <v>5805</v>
      </c>
      <c r="F3254" t="s">
        <v>6027</v>
      </c>
      <c r="G3254" t="s">
        <v>6029</v>
      </c>
      <c r="H3254" t="s">
        <v>6045</v>
      </c>
      <c r="I3254" t="s">
        <v>6050</v>
      </c>
      <c r="J3254" t="s">
        <v>6055</v>
      </c>
      <c r="K3254" t="s">
        <v>6061</v>
      </c>
      <c r="L3254" t="s">
        <v>8784</v>
      </c>
      <c r="M3254">
        <v>230</v>
      </c>
      <c r="N3254">
        <v>4</v>
      </c>
      <c r="O3254">
        <v>0.18</v>
      </c>
      <c r="P3254">
        <v>4.09</v>
      </c>
      <c r="Q3254" t="s">
        <v>9895</v>
      </c>
      <c r="R3254">
        <v>1</v>
      </c>
      <c r="S3254" s="5">
        <f t="shared" si="100"/>
        <v>1.7782608695652173E-2</v>
      </c>
      <c r="T3254">
        <v>57.5</v>
      </c>
      <c r="U3254">
        <v>7</v>
      </c>
      <c r="V3254">
        <v>2023</v>
      </c>
      <c r="W3254">
        <v>3</v>
      </c>
      <c r="X3254" t="s">
        <v>9899</v>
      </c>
      <c r="Y3254" t="s">
        <v>9900</v>
      </c>
      <c r="Z3254" t="s">
        <v>9899</v>
      </c>
      <c r="AD3254">
        <f t="shared" si="101"/>
        <v>1</v>
      </c>
    </row>
    <row r="3255" spans="1:30" x14ac:dyDescent="0.25">
      <c r="A3255" t="s">
        <v>3279</v>
      </c>
      <c r="B3255" s="2">
        <v>45161</v>
      </c>
      <c r="C3255" s="2">
        <v>45166</v>
      </c>
      <c r="D3255" t="s">
        <v>5110</v>
      </c>
      <c r="E3255" t="s">
        <v>5610</v>
      </c>
      <c r="F3255" t="s">
        <v>6028</v>
      </c>
      <c r="G3255" t="s">
        <v>6029</v>
      </c>
      <c r="H3255" t="s">
        <v>6036</v>
      </c>
      <c r="I3255" t="s">
        <v>6049</v>
      </c>
      <c r="J3255" t="s">
        <v>6053</v>
      </c>
      <c r="K3255" t="s">
        <v>6056</v>
      </c>
      <c r="L3255" t="s">
        <v>6906</v>
      </c>
      <c r="M3255">
        <v>617.59</v>
      </c>
      <c r="N3255">
        <v>5</v>
      </c>
      <c r="O3255">
        <v>0.11</v>
      </c>
      <c r="P3255">
        <v>83.19</v>
      </c>
      <c r="Q3255" t="s">
        <v>9897</v>
      </c>
      <c r="R3255">
        <v>5</v>
      </c>
      <c r="S3255" s="5">
        <f t="shared" si="100"/>
        <v>0.13470101523664565</v>
      </c>
      <c r="T3255">
        <v>123.518</v>
      </c>
      <c r="U3255">
        <v>8</v>
      </c>
      <c r="V3255">
        <v>2023</v>
      </c>
      <c r="W3255">
        <v>3</v>
      </c>
      <c r="X3255" t="s">
        <v>9899</v>
      </c>
      <c r="Y3255" t="s">
        <v>9901</v>
      </c>
      <c r="Z3255" t="s">
        <v>9899</v>
      </c>
      <c r="AD3255">
        <f t="shared" si="101"/>
        <v>5</v>
      </c>
    </row>
    <row r="3256" spans="1:30" x14ac:dyDescent="0.25">
      <c r="A3256" t="s">
        <v>3280</v>
      </c>
      <c r="B3256" s="2">
        <v>44664</v>
      </c>
      <c r="C3256" s="2">
        <v>44667</v>
      </c>
      <c r="D3256" t="s">
        <v>5421</v>
      </c>
      <c r="E3256" t="s">
        <v>5921</v>
      </c>
      <c r="F3256" t="s">
        <v>6028</v>
      </c>
      <c r="G3256" t="s">
        <v>6030</v>
      </c>
      <c r="H3256" t="s">
        <v>6035</v>
      </c>
      <c r="I3256" t="s">
        <v>6051</v>
      </c>
      <c r="J3256" t="s">
        <v>6054</v>
      </c>
      <c r="K3256" t="s">
        <v>6062</v>
      </c>
      <c r="L3256" t="s">
        <v>8785</v>
      </c>
      <c r="M3256">
        <v>167.74</v>
      </c>
      <c r="N3256">
        <v>6</v>
      </c>
      <c r="O3256">
        <v>0.3</v>
      </c>
      <c r="P3256">
        <v>-12.86</v>
      </c>
      <c r="Q3256" t="s">
        <v>9895</v>
      </c>
      <c r="R3256">
        <v>3</v>
      </c>
      <c r="S3256" s="5">
        <f t="shared" si="100"/>
        <v>-7.6666269226183373E-2</v>
      </c>
      <c r="T3256">
        <v>27.956666666666671</v>
      </c>
      <c r="U3256">
        <v>4</v>
      </c>
      <c r="V3256">
        <v>2022</v>
      </c>
      <c r="W3256">
        <v>2</v>
      </c>
      <c r="X3256" t="s">
        <v>9898</v>
      </c>
      <c r="Y3256" t="s">
        <v>9900</v>
      </c>
      <c r="Z3256" t="s">
        <v>9899</v>
      </c>
      <c r="AD3256">
        <f t="shared" si="101"/>
        <v>3</v>
      </c>
    </row>
    <row r="3257" spans="1:30" x14ac:dyDescent="0.25">
      <c r="A3257" t="s">
        <v>3281</v>
      </c>
      <c r="B3257" s="2">
        <v>44988</v>
      </c>
      <c r="C3257" s="2">
        <v>44990</v>
      </c>
      <c r="D3257" t="s">
        <v>5504</v>
      </c>
      <c r="E3257" t="s">
        <v>6004</v>
      </c>
      <c r="F3257" t="s">
        <v>6028</v>
      </c>
      <c r="G3257" t="s">
        <v>6030</v>
      </c>
      <c r="H3257" t="s">
        <v>6033</v>
      </c>
      <c r="I3257" t="s">
        <v>6047</v>
      </c>
      <c r="J3257" t="s">
        <v>6054</v>
      </c>
      <c r="K3257" t="s">
        <v>6062</v>
      </c>
      <c r="L3257" t="s">
        <v>8786</v>
      </c>
      <c r="M3257">
        <v>918.69</v>
      </c>
      <c r="N3257">
        <v>1</v>
      </c>
      <c r="O3257">
        <v>0.26</v>
      </c>
      <c r="P3257">
        <v>-46.72</v>
      </c>
      <c r="Q3257" t="s">
        <v>9894</v>
      </c>
      <c r="R3257">
        <v>2</v>
      </c>
      <c r="S3257" s="5">
        <f t="shared" si="100"/>
        <v>-5.0855021824554522E-2</v>
      </c>
      <c r="T3257">
        <v>918.69</v>
      </c>
      <c r="U3257">
        <v>3</v>
      </c>
      <c r="V3257">
        <v>2023</v>
      </c>
      <c r="W3257">
        <v>1</v>
      </c>
      <c r="X3257" t="s">
        <v>9898</v>
      </c>
      <c r="Y3257" t="s">
        <v>9900</v>
      </c>
      <c r="Z3257" t="s">
        <v>9899</v>
      </c>
      <c r="AD3257">
        <f t="shared" si="101"/>
        <v>2</v>
      </c>
    </row>
    <row r="3258" spans="1:30" x14ac:dyDescent="0.25">
      <c r="A3258" t="s">
        <v>3282</v>
      </c>
      <c r="B3258" s="2">
        <v>44651</v>
      </c>
      <c r="C3258" s="2">
        <v>44656</v>
      </c>
      <c r="D3258" t="s">
        <v>5307</v>
      </c>
      <c r="E3258" t="s">
        <v>5807</v>
      </c>
      <c r="F3258" t="s">
        <v>6028</v>
      </c>
      <c r="G3258" t="s">
        <v>6030</v>
      </c>
      <c r="H3258" t="s">
        <v>6033</v>
      </c>
      <c r="I3258" t="s">
        <v>6051</v>
      </c>
      <c r="J3258" t="s">
        <v>6054</v>
      </c>
      <c r="K3258" t="s">
        <v>6062</v>
      </c>
      <c r="L3258" t="s">
        <v>8787</v>
      </c>
      <c r="M3258">
        <v>1441.19</v>
      </c>
      <c r="N3258">
        <v>8</v>
      </c>
      <c r="O3258">
        <v>0.1</v>
      </c>
      <c r="P3258">
        <v>241.28</v>
      </c>
      <c r="Q3258" t="s">
        <v>9894</v>
      </c>
      <c r="R3258">
        <v>5</v>
      </c>
      <c r="S3258" s="5">
        <f t="shared" si="100"/>
        <v>0.16741720383849457</v>
      </c>
      <c r="T3258">
        <v>180.14875000000001</v>
      </c>
      <c r="U3258">
        <v>3</v>
      </c>
      <c r="V3258">
        <v>2022</v>
      </c>
      <c r="W3258">
        <v>1</v>
      </c>
      <c r="X3258" t="s">
        <v>9899</v>
      </c>
      <c r="Y3258" t="s">
        <v>9901</v>
      </c>
      <c r="Z3258" t="s">
        <v>9898</v>
      </c>
      <c r="AD3258">
        <f t="shared" si="101"/>
        <v>5</v>
      </c>
    </row>
    <row r="3259" spans="1:30" x14ac:dyDescent="0.25">
      <c r="A3259" t="s">
        <v>3283</v>
      </c>
      <c r="B3259" s="2">
        <v>44705</v>
      </c>
      <c r="C3259" s="2">
        <v>44711</v>
      </c>
      <c r="D3259" t="s">
        <v>5447</v>
      </c>
      <c r="E3259" t="s">
        <v>5947</v>
      </c>
      <c r="F3259" t="s">
        <v>6028</v>
      </c>
      <c r="G3259" t="s">
        <v>6030</v>
      </c>
      <c r="H3259" t="s">
        <v>6033</v>
      </c>
      <c r="I3259" t="s">
        <v>6047</v>
      </c>
      <c r="J3259" t="s">
        <v>6053</v>
      </c>
      <c r="K3259" t="s">
        <v>6056</v>
      </c>
      <c r="L3259" t="s">
        <v>6835</v>
      </c>
      <c r="M3259">
        <v>1422.27</v>
      </c>
      <c r="N3259">
        <v>5</v>
      </c>
      <c r="O3259">
        <v>0.22</v>
      </c>
      <c r="P3259">
        <v>-24.57</v>
      </c>
      <c r="Q3259" t="s">
        <v>9897</v>
      </c>
      <c r="R3259">
        <v>6</v>
      </c>
      <c r="S3259" s="5">
        <f t="shared" si="100"/>
        <v>-1.7275200911219389E-2</v>
      </c>
      <c r="T3259">
        <v>284.45400000000001</v>
      </c>
      <c r="U3259">
        <v>5</v>
      </c>
      <c r="V3259">
        <v>2022</v>
      </c>
      <c r="W3259">
        <v>2</v>
      </c>
      <c r="X3259" t="s">
        <v>9898</v>
      </c>
      <c r="Y3259" t="s">
        <v>9900</v>
      </c>
      <c r="Z3259" t="s">
        <v>9898</v>
      </c>
      <c r="AD3259">
        <f t="shared" si="101"/>
        <v>6</v>
      </c>
    </row>
    <row r="3260" spans="1:30" x14ac:dyDescent="0.25">
      <c r="A3260" t="s">
        <v>3284</v>
      </c>
      <c r="B3260" s="2">
        <v>45300</v>
      </c>
      <c r="C3260" s="2">
        <v>45305</v>
      </c>
      <c r="D3260" t="s">
        <v>5344</v>
      </c>
      <c r="E3260" t="s">
        <v>5844</v>
      </c>
      <c r="F3260" t="s">
        <v>6028</v>
      </c>
      <c r="G3260" t="s">
        <v>6031</v>
      </c>
      <c r="H3260" t="s">
        <v>6034</v>
      </c>
      <c r="I3260" t="s">
        <v>6048</v>
      </c>
      <c r="J3260" t="s">
        <v>6054</v>
      </c>
      <c r="K3260" t="s">
        <v>6060</v>
      </c>
      <c r="L3260" t="s">
        <v>8788</v>
      </c>
      <c r="M3260">
        <v>1832.26</v>
      </c>
      <c r="N3260">
        <v>2</v>
      </c>
      <c r="O3260">
        <v>0.14000000000000001</v>
      </c>
      <c r="P3260">
        <v>117.08</v>
      </c>
      <c r="Q3260" t="s">
        <v>9895</v>
      </c>
      <c r="R3260">
        <v>5</v>
      </c>
      <c r="S3260" s="5">
        <f t="shared" si="100"/>
        <v>6.3899228275463085E-2</v>
      </c>
      <c r="T3260">
        <v>916.13</v>
      </c>
      <c r="U3260">
        <v>1</v>
      </c>
      <c r="V3260">
        <v>2024</v>
      </c>
      <c r="W3260">
        <v>1</v>
      </c>
      <c r="X3260" t="s">
        <v>9899</v>
      </c>
      <c r="Y3260" t="s">
        <v>9901</v>
      </c>
      <c r="Z3260" t="s">
        <v>9898</v>
      </c>
      <c r="AD3260">
        <f t="shared" si="101"/>
        <v>5</v>
      </c>
    </row>
    <row r="3261" spans="1:30" x14ac:dyDescent="0.25">
      <c r="A3261" t="s">
        <v>3285</v>
      </c>
      <c r="B3261" s="2">
        <v>45138</v>
      </c>
      <c r="C3261" s="2">
        <v>45145</v>
      </c>
      <c r="D3261" t="s">
        <v>5225</v>
      </c>
      <c r="E3261" t="s">
        <v>5725</v>
      </c>
      <c r="F3261" t="s">
        <v>6028</v>
      </c>
      <c r="G3261" t="s">
        <v>6029</v>
      </c>
      <c r="H3261" t="s">
        <v>6044</v>
      </c>
      <c r="I3261" t="s">
        <v>6049</v>
      </c>
      <c r="J3261" t="s">
        <v>6053</v>
      </c>
      <c r="K3261" t="s">
        <v>6058</v>
      </c>
      <c r="L3261" t="s">
        <v>8789</v>
      </c>
      <c r="M3261">
        <v>1162.33</v>
      </c>
      <c r="N3261">
        <v>1</v>
      </c>
      <c r="O3261">
        <v>0.25</v>
      </c>
      <c r="P3261">
        <v>6.77</v>
      </c>
      <c r="Q3261" t="s">
        <v>9895</v>
      </c>
      <c r="R3261">
        <v>7</v>
      </c>
      <c r="S3261" s="5">
        <f t="shared" si="100"/>
        <v>5.8245076699388297E-3</v>
      </c>
      <c r="T3261">
        <v>1162.33</v>
      </c>
      <c r="U3261">
        <v>7</v>
      </c>
      <c r="V3261">
        <v>2023</v>
      </c>
      <c r="W3261">
        <v>3</v>
      </c>
      <c r="X3261" t="s">
        <v>9899</v>
      </c>
      <c r="Y3261" t="s">
        <v>9900</v>
      </c>
      <c r="Z3261" t="s">
        <v>9898</v>
      </c>
      <c r="AD3261">
        <f t="shared" si="101"/>
        <v>7</v>
      </c>
    </row>
    <row r="3262" spans="1:30" x14ac:dyDescent="0.25">
      <c r="A3262" t="s">
        <v>3286</v>
      </c>
      <c r="B3262" s="2">
        <v>45284</v>
      </c>
      <c r="C3262" s="2">
        <v>45289</v>
      </c>
      <c r="D3262" t="s">
        <v>5394</v>
      </c>
      <c r="E3262" t="s">
        <v>5894</v>
      </c>
      <c r="F3262" t="s">
        <v>6027</v>
      </c>
      <c r="G3262" t="s">
        <v>6031</v>
      </c>
      <c r="H3262" t="s">
        <v>6037</v>
      </c>
      <c r="I3262" t="s">
        <v>6052</v>
      </c>
      <c r="J3262" t="s">
        <v>6055</v>
      </c>
      <c r="K3262" t="s">
        <v>6064</v>
      </c>
      <c r="L3262" t="s">
        <v>8790</v>
      </c>
      <c r="M3262">
        <v>308.89999999999998</v>
      </c>
      <c r="N3262">
        <v>7</v>
      </c>
      <c r="O3262">
        <v>7.0000000000000007E-2</v>
      </c>
      <c r="P3262">
        <v>18.87</v>
      </c>
      <c r="Q3262" t="s">
        <v>9894</v>
      </c>
      <c r="R3262">
        <v>5</v>
      </c>
      <c r="S3262" s="5">
        <f t="shared" si="100"/>
        <v>6.1087730657170616E-2</v>
      </c>
      <c r="T3262">
        <v>44.128571428571433</v>
      </c>
      <c r="U3262">
        <v>12</v>
      </c>
      <c r="V3262">
        <v>2023</v>
      </c>
      <c r="W3262">
        <v>4</v>
      </c>
      <c r="X3262" t="s">
        <v>9899</v>
      </c>
      <c r="Y3262" t="s">
        <v>9901</v>
      </c>
      <c r="Z3262" t="s">
        <v>9899</v>
      </c>
      <c r="AD3262">
        <f t="shared" si="101"/>
        <v>5</v>
      </c>
    </row>
    <row r="3263" spans="1:30" x14ac:dyDescent="0.25">
      <c r="A3263" t="s">
        <v>3287</v>
      </c>
      <c r="B3263" s="2">
        <v>44955</v>
      </c>
      <c r="C3263" s="2">
        <v>44960</v>
      </c>
      <c r="D3263" t="s">
        <v>5369</v>
      </c>
      <c r="E3263" t="s">
        <v>5869</v>
      </c>
      <c r="F3263" t="s">
        <v>6026</v>
      </c>
      <c r="G3263" t="s">
        <v>6031</v>
      </c>
      <c r="H3263" t="s">
        <v>6037</v>
      </c>
      <c r="I3263" t="s">
        <v>6048</v>
      </c>
      <c r="J3263" t="s">
        <v>6053</v>
      </c>
      <c r="K3263" t="s">
        <v>6057</v>
      </c>
      <c r="L3263" t="s">
        <v>8791</v>
      </c>
      <c r="M3263">
        <v>1486.22</v>
      </c>
      <c r="N3263">
        <v>8</v>
      </c>
      <c r="O3263">
        <v>0.19</v>
      </c>
      <c r="P3263">
        <v>-75.56</v>
      </c>
      <c r="Q3263" t="s">
        <v>9897</v>
      </c>
      <c r="R3263">
        <v>5</v>
      </c>
      <c r="S3263" s="5">
        <f t="shared" si="100"/>
        <v>-5.084038702210978E-2</v>
      </c>
      <c r="T3263">
        <v>185.7775</v>
      </c>
      <c r="U3263">
        <v>1</v>
      </c>
      <c r="V3263">
        <v>2023</v>
      </c>
      <c r="W3263">
        <v>1</v>
      </c>
      <c r="X3263" t="s">
        <v>9898</v>
      </c>
      <c r="Y3263" t="s">
        <v>9900</v>
      </c>
      <c r="Z3263" t="s">
        <v>9898</v>
      </c>
      <c r="AD3263">
        <f t="shared" si="101"/>
        <v>5</v>
      </c>
    </row>
    <row r="3264" spans="1:30" x14ac:dyDescent="0.25">
      <c r="A3264" t="s">
        <v>3288</v>
      </c>
      <c r="B3264" s="2">
        <v>44872</v>
      </c>
      <c r="C3264" s="2">
        <v>44879</v>
      </c>
      <c r="D3264" t="s">
        <v>5150</v>
      </c>
      <c r="E3264" t="s">
        <v>5650</v>
      </c>
      <c r="F3264" t="s">
        <v>6026</v>
      </c>
      <c r="G3264" t="s">
        <v>6030</v>
      </c>
      <c r="H3264" t="s">
        <v>6035</v>
      </c>
      <c r="I3264" t="s">
        <v>6047</v>
      </c>
      <c r="J3264" t="s">
        <v>6054</v>
      </c>
      <c r="K3264" t="s">
        <v>6062</v>
      </c>
      <c r="L3264" t="s">
        <v>8792</v>
      </c>
      <c r="M3264">
        <v>429.29</v>
      </c>
      <c r="N3264">
        <v>4</v>
      </c>
      <c r="O3264">
        <v>0.24</v>
      </c>
      <c r="P3264">
        <v>-49.19</v>
      </c>
      <c r="Q3264" t="s">
        <v>9896</v>
      </c>
      <c r="R3264">
        <v>7</v>
      </c>
      <c r="S3264" s="5">
        <f t="shared" si="100"/>
        <v>-0.11458454657690605</v>
      </c>
      <c r="T3264">
        <v>107.32250000000001</v>
      </c>
      <c r="U3264">
        <v>11</v>
      </c>
      <c r="V3264">
        <v>2022</v>
      </c>
      <c r="W3264">
        <v>4</v>
      </c>
      <c r="X3264" t="s">
        <v>9898</v>
      </c>
      <c r="Y3264" t="s">
        <v>9900</v>
      </c>
      <c r="Z3264" t="s">
        <v>9899</v>
      </c>
      <c r="AD3264">
        <f t="shared" si="101"/>
        <v>7</v>
      </c>
    </row>
    <row r="3265" spans="1:30" x14ac:dyDescent="0.25">
      <c r="A3265" t="s">
        <v>3289</v>
      </c>
      <c r="B3265" s="2">
        <v>44729</v>
      </c>
      <c r="C3265" s="2">
        <v>44736</v>
      </c>
      <c r="D3265" t="s">
        <v>5444</v>
      </c>
      <c r="E3265" t="s">
        <v>5944</v>
      </c>
      <c r="F3265" t="s">
        <v>6027</v>
      </c>
      <c r="G3265" t="s">
        <v>6031</v>
      </c>
      <c r="H3265" t="s">
        <v>6034</v>
      </c>
      <c r="I3265" t="s">
        <v>6052</v>
      </c>
      <c r="J3265" t="s">
        <v>6055</v>
      </c>
      <c r="K3265" t="s">
        <v>6061</v>
      </c>
      <c r="L3265" t="s">
        <v>8793</v>
      </c>
      <c r="M3265">
        <v>1192.1199999999999</v>
      </c>
      <c r="N3265">
        <v>6</v>
      </c>
      <c r="O3265">
        <v>0.14000000000000001</v>
      </c>
      <c r="P3265">
        <v>129.04</v>
      </c>
      <c r="Q3265" t="s">
        <v>9897</v>
      </c>
      <c r="R3265">
        <v>7</v>
      </c>
      <c r="S3265" s="5">
        <f t="shared" si="100"/>
        <v>0.10824413649632587</v>
      </c>
      <c r="T3265">
        <v>198.68666666666661</v>
      </c>
      <c r="U3265">
        <v>6</v>
      </c>
      <c r="V3265">
        <v>2022</v>
      </c>
      <c r="W3265">
        <v>2</v>
      </c>
      <c r="X3265" t="s">
        <v>9899</v>
      </c>
      <c r="Y3265" t="s">
        <v>9901</v>
      </c>
      <c r="Z3265" t="s">
        <v>9898</v>
      </c>
      <c r="AD3265">
        <f t="shared" si="101"/>
        <v>7</v>
      </c>
    </row>
    <row r="3266" spans="1:30" x14ac:dyDescent="0.25">
      <c r="A3266" t="s">
        <v>3290</v>
      </c>
      <c r="B3266" s="2">
        <v>44792</v>
      </c>
      <c r="C3266" s="2">
        <v>44794</v>
      </c>
      <c r="D3266" t="s">
        <v>5214</v>
      </c>
      <c r="E3266" t="s">
        <v>5714</v>
      </c>
      <c r="F3266" t="s">
        <v>6027</v>
      </c>
      <c r="G3266" t="s">
        <v>6029</v>
      </c>
      <c r="H3266" t="s">
        <v>6045</v>
      </c>
      <c r="I3266" t="s">
        <v>6049</v>
      </c>
      <c r="J3266" t="s">
        <v>6055</v>
      </c>
      <c r="K3266" t="s">
        <v>6064</v>
      </c>
      <c r="L3266" t="s">
        <v>8794</v>
      </c>
      <c r="M3266">
        <v>1635.19</v>
      </c>
      <c r="N3266">
        <v>1</v>
      </c>
      <c r="O3266">
        <v>0.2</v>
      </c>
      <c r="P3266">
        <v>-77.209999999999994</v>
      </c>
      <c r="Q3266" t="s">
        <v>9895</v>
      </c>
      <c r="R3266">
        <v>2</v>
      </c>
      <c r="S3266" s="5">
        <f t="shared" si="100"/>
        <v>-4.7217754511708114E-2</v>
      </c>
      <c r="T3266">
        <v>1635.19</v>
      </c>
      <c r="U3266">
        <v>8</v>
      </c>
      <c r="V3266">
        <v>2022</v>
      </c>
      <c r="W3266">
        <v>3</v>
      </c>
      <c r="X3266" t="s">
        <v>9898</v>
      </c>
      <c r="Y3266" t="s">
        <v>9900</v>
      </c>
      <c r="Z3266" t="s">
        <v>9898</v>
      </c>
      <c r="AD3266">
        <f t="shared" si="101"/>
        <v>2</v>
      </c>
    </row>
    <row r="3267" spans="1:30" x14ac:dyDescent="0.25">
      <c r="A3267" t="s">
        <v>3291</v>
      </c>
      <c r="B3267" s="2">
        <v>45257</v>
      </c>
      <c r="C3267" s="2">
        <v>45258</v>
      </c>
      <c r="D3267" t="s">
        <v>5110</v>
      </c>
      <c r="E3267" t="s">
        <v>5610</v>
      </c>
      <c r="F3267" t="s">
        <v>6027</v>
      </c>
      <c r="G3267" t="s">
        <v>6029</v>
      </c>
      <c r="H3267" t="s">
        <v>6041</v>
      </c>
      <c r="I3267" t="s">
        <v>6049</v>
      </c>
      <c r="J3267" t="s">
        <v>6054</v>
      </c>
      <c r="K3267" t="s">
        <v>6062</v>
      </c>
      <c r="L3267" t="s">
        <v>7640</v>
      </c>
      <c r="M3267">
        <v>595.49</v>
      </c>
      <c r="N3267">
        <v>2</v>
      </c>
      <c r="O3267">
        <v>0.25</v>
      </c>
      <c r="P3267">
        <v>-60.91</v>
      </c>
      <c r="Q3267" t="s">
        <v>9893</v>
      </c>
      <c r="R3267">
        <v>1</v>
      </c>
      <c r="S3267" s="5">
        <f t="shared" ref="S3267:S3330" si="102">P3267/M3267</f>
        <v>-0.1022855127709953</v>
      </c>
      <c r="T3267">
        <v>297.745</v>
      </c>
      <c r="U3267">
        <v>11</v>
      </c>
      <c r="V3267">
        <v>2023</v>
      </c>
      <c r="W3267">
        <v>4</v>
      </c>
      <c r="X3267" t="s">
        <v>9898</v>
      </c>
      <c r="Y3267" t="s">
        <v>9900</v>
      </c>
      <c r="Z3267" t="s">
        <v>9899</v>
      </c>
      <c r="AD3267">
        <f t="shared" ref="AD3267:AD3330" si="103">C3267-B3267</f>
        <v>1</v>
      </c>
    </row>
    <row r="3268" spans="1:30" x14ac:dyDescent="0.25">
      <c r="A3268" t="s">
        <v>3292</v>
      </c>
      <c r="B3268" s="2">
        <v>44743</v>
      </c>
      <c r="C3268" s="2">
        <v>44749</v>
      </c>
      <c r="D3268" t="s">
        <v>5415</v>
      </c>
      <c r="E3268" t="s">
        <v>5915</v>
      </c>
      <c r="F3268" t="s">
        <v>6026</v>
      </c>
      <c r="G3268" t="s">
        <v>6030</v>
      </c>
      <c r="H3268" t="s">
        <v>6035</v>
      </c>
      <c r="I3268" t="s">
        <v>6051</v>
      </c>
      <c r="J3268" t="s">
        <v>6053</v>
      </c>
      <c r="K3268" t="s">
        <v>6057</v>
      </c>
      <c r="L3268" t="s">
        <v>8795</v>
      </c>
      <c r="M3268">
        <v>729.2</v>
      </c>
      <c r="N3268">
        <v>6</v>
      </c>
      <c r="O3268">
        <v>0.33</v>
      </c>
      <c r="P3268">
        <v>-71.040000000000006</v>
      </c>
      <c r="Q3268" t="s">
        <v>9893</v>
      </c>
      <c r="R3268">
        <v>6</v>
      </c>
      <c r="S3268" s="5">
        <f t="shared" si="102"/>
        <v>-9.7421832144816242E-2</v>
      </c>
      <c r="T3268">
        <v>121.5333333333333</v>
      </c>
      <c r="U3268">
        <v>7</v>
      </c>
      <c r="V3268">
        <v>2022</v>
      </c>
      <c r="W3268">
        <v>3</v>
      </c>
      <c r="X3268" t="s">
        <v>9898</v>
      </c>
      <c r="Y3268" t="s">
        <v>9902</v>
      </c>
      <c r="Z3268" t="s">
        <v>9899</v>
      </c>
      <c r="AD3268">
        <f t="shared" si="103"/>
        <v>6</v>
      </c>
    </row>
    <row r="3269" spans="1:30" x14ac:dyDescent="0.25">
      <c r="A3269" t="s">
        <v>3293</v>
      </c>
      <c r="B3269" s="2">
        <v>45048</v>
      </c>
      <c r="C3269" s="2">
        <v>45054</v>
      </c>
      <c r="D3269" t="s">
        <v>5302</v>
      </c>
      <c r="E3269" t="s">
        <v>5802</v>
      </c>
      <c r="F3269" t="s">
        <v>6027</v>
      </c>
      <c r="G3269" t="s">
        <v>6030</v>
      </c>
      <c r="H3269" t="s">
        <v>6038</v>
      </c>
      <c r="I3269" t="s">
        <v>6051</v>
      </c>
      <c r="J3269" t="s">
        <v>6055</v>
      </c>
      <c r="K3269" t="s">
        <v>6064</v>
      </c>
      <c r="L3269" t="s">
        <v>6292</v>
      </c>
      <c r="M3269">
        <v>973.57</v>
      </c>
      <c r="N3269">
        <v>4</v>
      </c>
      <c r="O3269">
        <v>0.03</v>
      </c>
      <c r="P3269">
        <v>221.05</v>
      </c>
      <c r="Q3269" t="s">
        <v>9897</v>
      </c>
      <c r="R3269">
        <v>6</v>
      </c>
      <c r="S3269" s="5">
        <f t="shared" si="102"/>
        <v>0.22705095678790432</v>
      </c>
      <c r="T3269">
        <v>243.39250000000001</v>
      </c>
      <c r="U3269">
        <v>5</v>
      </c>
      <c r="V3269">
        <v>2023</v>
      </c>
      <c r="W3269">
        <v>2</v>
      </c>
      <c r="X3269" t="s">
        <v>9899</v>
      </c>
      <c r="Y3269" t="s">
        <v>9901</v>
      </c>
      <c r="Z3269" t="s">
        <v>9899</v>
      </c>
      <c r="AD3269">
        <f t="shared" si="103"/>
        <v>6</v>
      </c>
    </row>
    <row r="3270" spans="1:30" x14ac:dyDescent="0.25">
      <c r="A3270" t="s">
        <v>3294</v>
      </c>
      <c r="B3270" s="2">
        <v>44842</v>
      </c>
      <c r="C3270" s="2">
        <v>44843</v>
      </c>
      <c r="D3270" t="s">
        <v>5425</v>
      </c>
      <c r="E3270" t="s">
        <v>5925</v>
      </c>
      <c r="F3270" t="s">
        <v>6027</v>
      </c>
      <c r="G3270" t="s">
        <v>6030</v>
      </c>
      <c r="H3270" t="s">
        <v>6033</v>
      </c>
      <c r="I3270" t="s">
        <v>6047</v>
      </c>
      <c r="J3270" t="s">
        <v>6054</v>
      </c>
      <c r="K3270" t="s">
        <v>6060</v>
      </c>
      <c r="L3270" t="s">
        <v>8796</v>
      </c>
      <c r="M3270">
        <v>248.4</v>
      </c>
      <c r="N3270">
        <v>6</v>
      </c>
      <c r="O3270">
        <v>0.15</v>
      </c>
      <c r="P3270">
        <v>5.38</v>
      </c>
      <c r="Q3270" t="s">
        <v>9894</v>
      </c>
      <c r="R3270">
        <v>1</v>
      </c>
      <c r="S3270" s="5">
        <f t="shared" si="102"/>
        <v>2.1658615136876006E-2</v>
      </c>
      <c r="T3270">
        <v>41.4</v>
      </c>
      <c r="U3270">
        <v>10</v>
      </c>
      <c r="V3270">
        <v>2022</v>
      </c>
      <c r="W3270">
        <v>4</v>
      </c>
      <c r="X3270" t="s">
        <v>9899</v>
      </c>
      <c r="Y3270" t="s">
        <v>9901</v>
      </c>
      <c r="Z3270" t="s">
        <v>9899</v>
      </c>
      <c r="AD3270">
        <f t="shared" si="103"/>
        <v>1</v>
      </c>
    </row>
    <row r="3271" spans="1:30" x14ac:dyDescent="0.25">
      <c r="A3271" t="s">
        <v>3295</v>
      </c>
      <c r="B3271" s="2">
        <v>45384</v>
      </c>
      <c r="C3271" s="2">
        <v>45391</v>
      </c>
      <c r="D3271" t="s">
        <v>5357</v>
      </c>
      <c r="E3271" t="s">
        <v>5857</v>
      </c>
      <c r="F3271" t="s">
        <v>6027</v>
      </c>
      <c r="G3271" t="s">
        <v>6030</v>
      </c>
      <c r="H3271" t="s">
        <v>6039</v>
      </c>
      <c r="I3271" t="s">
        <v>6047</v>
      </c>
      <c r="J3271" t="s">
        <v>6055</v>
      </c>
      <c r="K3271" t="s">
        <v>6063</v>
      </c>
      <c r="L3271" t="s">
        <v>8797</v>
      </c>
      <c r="M3271">
        <v>919.81</v>
      </c>
      <c r="N3271">
        <v>2</v>
      </c>
      <c r="O3271">
        <v>0.13</v>
      </c>
      <c r="P3271">
        <v>-25.09</v>
      </c>
      <c r="Q3271" t="s">
        <v>9896</v>
      </c>
      <c r="R3271">
        <v>7</v>
      </c>
      <c r="S3271" s="5">
        <f t="shared" si="102"/>
        <v>-2.7277372500842566E-2</v>
      </c>
      <c r="T3271">
        <v>459.90499999999997</v>
      </c>
      <c r="U3271">
        <v>4</v>
      </c>
      <c r="V3271">
        <v>2024</v>
      </c>
      <c r="W3271">
        <v>2</v>
      </c>
      <c r="X3271" t="s">
        <v>9898</v>
      </c>
      <c r="Y3271" t="s">
        <v>9901</v>
      </c>
      <c r="Z3271" t="s">
        <v>9899</v>
      </c>
      <c r="AD3271">
        <f t="shared" si="103"/>
        <v>7</v>
      </c>
    </row>
    <row r="3272" spans="1:30" x14ac:dyDescent="0.25">
      <c r="A3272" t="s">
        <v>3296</v>
      </c>
      <c r="B3272" s="2">
        <v>45071</v>
      </c>
      <c r="C3272" s="2">
        <v>45074</v>
      </c>
      <c r="D3272" t="s">
        <v>5411</v>
      </c>
      <c r="E3272" t="s">
        <v>5911</v>
      </c>
      <c r="F3272" t="s">
        <v>6027</v>
      </c>
      <c r="G3272" t="s">
        <v>6030</v>
      </c>
      <c r="H3272" t="s">
        <v>6038</v>
      </c>
      <c r="I3272" t="s">
        <v>6047</v>
      </c>
      <c r="J3272" t="s">
        <v>6054</v>
      </c>
      <c r="K3272" t="s">
        <v>6062</v>
      </c>
      <c r="L3272" t="s">
        <v>8798</v>
      </c>
      <c r="M3272">
        <v>1113.3900000000001</v>
      </c>
      <c r="N3272">
        <v>4</v>
      </c>
      <c r="O3272">
        <v>0.16</v>
      </c>
      <c r="P3272">
        <v>90.67</v>
      </c>
      <c r="Q3272" t="s">
        <v>9897</v>
      </c>
      <c r="R3272">
        <v>3</v>
      </c>
      <c r="S3272" s="5">
        <f t="shared" si="102"/>
        <v>8.1435974815653095E-2</v>
      </c>
      <c r="T3272">
        <v>278.34750000000003</v>
      </c>
      <c r="U3272">
        <v>5</v>
      </c>
      <c r="V3272">
        <v>2023</v>
      </c>
      <c r="W3272">
        <v>2</v>
      </c>
      <c r="X3272" t="s">
        <v>9899</v>
      </c>
      <c r="Y3272" t="s">
        <v>9900</v>
      </c>
      <c r="Z3272" t="s">
        <v>9898</v>
      </c>
      <c r="AD3272">
        <f t="shared" si="103"/>
        <v>3</v>
      </c>
    </row>
    <row r="3273" spans="1:30" x14ac:dyDescent="0.25">
      <c r="A3273" t="s">
        <v>3297</v>
      </c>
      <c r="B3273" s="2">
        <v>45019</v>
      </c>
      <c r="C3273" s="2">
        <v>45021</v>
      </c>
      <c r="D3273" t="s">
        <v>5302</v>
      </c>
      <c r="E3273" t="s">
        <v>5802</v>
      </c>
      <c r="F3273" t="s">
        <v>6028</v>
      </c>
      <c r="G3273" t="s">
        <v>6030</v>
      </c>
      <c r="H3273" t="s">
        <v>6039</v>
      </c>
      <c r="I3273" t="s">
        <v>6047</v>
      </c>
      <c r="J3273" t="s">
        <v>6053</v>
      </c>
      <c r="K3273" t="s">
        <v>6058</v>
      </c>
      <c r="L3273" t="s">
        <v>8799</v>
      </c>
      <c r="M3273">
        <v>1827.72</v>
      </c>
      <c r="N3273">
        <v>2</v>
      </c>
      <c r="O3273">
        <v>0.22</v>
      </c>
      <c r="P3273">
        <v>-196.28</v>
      </c>
      <c r="Q3273" t="s">
        <v>9894</v>
      </c>
      <c r="R3273">
        <v>2</v>
      </c>
      <c r="S3273" s="5">
        <f t="shared" si="102"/>
        <v>-0.10739062876151707</v>
      </c>
      <c r="T3273">
        <v>913.86</v>
      </c>
      <c r="U3273">
        <v>4</v>
      </c>
      <c r="V3273">
        <v>2023</v>
      </c>
      <c r="W3273">
        <v>2</v>
      </c>
      <c r="X3273" t="s">
        <v>9898</v>
      </c>
      <c r="Y3273" t="s">
        <v>9900</v>
      </c>
      <c r="Z3273" t="s">
        <v>9898</v>
      </c>
      <c r="AD3273">
        <f t="shared" si="103"/>
        <v>2</v>
      </c>
    </row>
    <row r="3274" spans="1:30" x14ac:dyDescent="0.25">
      <c r="A3274" t="s">
        <v>3298</v>
      </c>
      <c r="B3274" s="2">
        <v>45316</v>
      </c>
      <c r="C3274" s="2">
        <v>45318</v>
      </c>
      <c r="D3274" t="s">
        <v>5416</v>
      </c>
      <c r="E3274" t="s">
        <v>5916</v>
      </c>
      <c r="F3274" t="s">
        <v>6028</v>
      </c>
      <c r="G3274" t="s">
        <v>6030</v>
      </c>
      <c r="H3274" t="s">
        <v>6038</v>
      </c>
      <c r="I3274" t="s">
        <v>6047</v>
      </c>
      <c r="J3274" t="s">
        <v>6053</v>
      </c>
      <c r="K3274" t="s">
        <v>6056</v>
      </c>
      <c r="L3274" t="s">
        <v>8800</v>
      </c>
      <c r="M3274">
        <v>112.89</v>
      </c>
      <c r="N3274">
        <v>4</v>
      </c>
      <c r="O3274">
        <v>0.31</v>
      </c>
      <c r="P3274">
        <v>-19.37</v>
      </c>
      <c r="Q3274" t="s">
        <v>9897</v>
      </c>
      <c r="R3274">
        <v>2</v>
      </c>
      <c r="S3274" s="5">
        <f t="shared" si="102"/>
        <v>-0.17158295686066083</v>
      </c>
      <c r="T3274">
        <v>28.2225</v>
      </c>
      <c r="U3274">
        <v>1</v>
      </c>
      <c r="V3274">
        <v>2024</v>
      </c>
      <c r="W3274">
        <v>1</v>
      </c>
      <c r="X3274" t="s">
        <v>9898</v>
      </c>
      <c r="Y3274" t="s">
        <v>9902</v>
      </c>
      <c r="Z3274" t="s">
        <v>9899</v>
      </c>
      <c r="AD3274">
        <f t="shared" si="103"/>
        <v>2</v>
      </c>
    </row>
    <row r="3275" spans="1:30" x14ac:dyDescent="0.25">
      <c r="A3275" t="s">
        <v>3299</v>
      </c>
      <c r="B3275" s="2">
        <v>45453</v>
      </c>
      <c r="C3275" s="2">
        <v>45459</v>
      </c>
      <c r="D3275" t="s">
        <v>5071</v>
      </c>
      <c r="E3275" t="s">
        <v>5571</v>
      </c>
      <c r="F3275" t="s">
        <v>6027</v>
      </c>
      <c r="G3275" t="s">
        <v>6030</v>
      </c>
      <c r="H3275" t="s">
        <v>6035</v>
      </c>
      <c r="I3275" t="s">
        <v>6047</v>
      </c>
      <c r="J3275" t="s">
        <v>6055</v>
      </c>
      <c r="K3275" t="s">
        <v>6061</v>
      </c>
      <c r="L3275" t="s">
        <v>8068</v>
      </c>
      <c r="M3275">
        <v>1119.4100000000001</v>
      </c>
      <c r="N3275">
        <v>6</v>
      </c>
      <c r="O3275">
        <v>0.03</v>
      </c>
      <c r="P3275">
        <v>216.63</v>
      </c>
      <c r="Q3275" t="s">
        <v>9897</v>
      </c>
      <c r="R3275">
        <v>6</v>
      </c>
      <c r="S3275" s="5">
        <f t="shared" si="102"/>
        <v>0.1935215872647198</v>
      </c>
      <c r="T3275">
        <v>186.56833333333341</v>
      </c>
      <c r="U3275">
        <v>6</v>
      </c>
      <c r="V3275">
        <v>2024</v>
      </c>
      <c r="W3275">
        <v>2</v>
      </c>
      <c r="X3275" t="s">
        <v>9899</v>
      </c>
      <c r="Y3275" t="s">
        <v>9901</v>
      </c>
      <c r="Z3275" t="s">
        <v>9898</v>
      </c>
      <c r="AD3275">
        <f t="shared" si="103"/>
        <v>6</v>
      </c>
    </row>
    <row r="3276" spans="1:30" x14ac:dyDescent="0.25">
      <c r="A3276" t="s">
        <v>3300</v>
      </c>
      <c r="B3276" s="2">
        <v>45399</v>
      </c>
      <c r="C3276" s="2">
        <v>45403</v>
      </c>
      <c r="D3276" t="s">
        <v>5105</v>
      </c>
      <c r="E3276" t="s">
        <v>5605</v>
      </c>
      <c r="F3276" t="s">
        <v>6028</v>
      </c>
      <c r="G3276" t="s">
        <v>6029</v>
      </c>
      <c r="H3276" t="s">
        <v>6044</v>
      </c>
      <c r="I3276" t="s">
        <v>6046</v>
      </c>
      <c r="J3276" t="s">
        <v>6054</v>
      </c>
      <c r="K3276" t="s">
        <v>6060</v>
      </c>
      <c r="L3276" t="s">
        <v>8801</v>
      </c>
      <c r="M3276">
        <v>1347.35</v>
      </c>
      <c r="N3276">
        <v>2</v>
      </c>
      <c r="O3276">
        <v>0.1</v>
      </c>
      <c r="P3276">
        <v>63.41</v>
      </c>
      <c r="Q3276" t="s">
        <v>9897</v>
      </c>
      <c r="R3276">
        <v>4</v>
      </c>
      <c r="S3276" s="5">
        <f t="shared" si="102"/>
        <v>4.706275281107359E-2</v>
      </c>
      <c r="T3276">
        <v>673.67499999999995</v>
      </c>
      <c r="U3276">
        <v>4</v>
      </c>
      <c r="V3276">
        <v>2024</v>
      </c>
      <c r="W3276">
        <v>2</v>
      </c>
      <c r="X3276" t="s">
        <v>9899</v>
      </c>
      <c r="Y3276" t="s">
        <v>9901</v>
      </c>
      <c r="Z3276" t="s">
        <v>9898</v>
      </c>
      <c r="AD3276">
        <f t="shared" si="103"/>
        <v>4</v>
      </c>
    </row>
    <row r="3277" spans="1:30" x14ac:dyDescent="0.25">
      <c r="A3277" t="s">
        <v>3301</v>
      </c>
      <c r="B3277" s="2">
        <v>45005</v>
      </c>
      <c r="C3277" s="2">
        <v>45007</v>
      </c>
      <c r="D3277" t="s">
        <v>5303</v>
      </c>
      <c r="E3277" t="s">
        <v>5803</v>
      </c>
      <c r="F3277" t="s">
        <v>6028</v>
      </c>
      <c r="G3277" t="s">
        <v>6031</v>
      </c>
      <c r="H3277" t="s">
        <v>6037</v>
      </c>
      <c r="I3277" t="s">
        <v>6052</v>
      </c>
      <c r="J3277" t="s">
        <v>6053</v>
      </c>
      <c r="K3277" t="s">
        <v>6058</v>
      </c>
      <c r="L3277" t="s">
        <v>8802</v>
      </c>
      <c r="M3277">
        <v>218.25</v>
      </c>
      <c r="N3277">
        <v>7</v>
      </c>
      <c r="O3277">
        <v>0.05</v>
      </c>
      <c r="P3277">
        <v>36.31</v>
      </c>
      <c r="Q3277" t="s">
        <v>9895</v>
      </c>
      <c r="R3277">
        <v>2</v>
      </c>
      <c r="S3277" s="5">
        <f t="shared" si="102"/>
        <v>0.16636884306987401</v>
      </c>
      <c r="T3277">
        <v>31.178571428571431</v>
      </c>
      <c r="U3277">
        <v>3</v>
      </c>
      <c r="V3277">
        <v>2023</v>
      </c>
      <c r="W3277">
        <v>1</v>
      </c>
      <c r="X3277" t="s">
        <v>9899</v>
      </c>
      <c r="Y3277" t="s">
        <v>9901</v>
      </c>
      <c r="Z3277" t="s">
        <v>9899</v>
      </c>
      <c r="AD3277">
        <f t="shared" si="103"/>
        <v>2</v>
      </c>
    </row>
    <row r="3278" spans="1:30" x14ac:dyDescent="0.25">
      <c r="A3278" t="s">
        <v>3302</v>
      </c>
      <c r="B3278" s="2">
        <v>45275</v>
      </c>
      <c r="C3278" s="2">
        <v>45278</v>
      </c>
      <c r="D3278" t="s">
        <v>5207</v>
      </c>
      <c r="E3278" t="s">
        <v>5707</v>
      </c>
      <c r="F3278" t="s">
        <v>6027</v>
      </c>
      <c r="G3278" t="s">
        <v>6031</v>
      </c>
      <c r="H3278" t="s">
        <v>6034</v>
      </c>
      <c r="I3278" t="s">
        <v>6048</v>
      </c>
      <c r="J3278" t="s">
        <v>6054</v>
      </c>
      <c r="K3278" t="s">
        <v>6059</v>
      </c>
      <c r="L3278" t="s">
        <v>8803</v>
      </c>
      <c r="M3278">
        <v>893.6</v>
      </c>
      <c r="N3278">
        <v>6</v>
      </c>
      <c r="O3278">
        <v>0.11</v>
      </c>
      <c r="P3278">
        <v>83.9</v>
      </c>
      <c r="Q3278" t="s">
        <v>9895</v>
      </c>
      <c r="R3278">
        <v>3</v>
      </c>
      <c r="S3278" s="5">
        <f t="shared" si="102"/>
        <v>9.3889883616830802E-2</v>
      </c>
      <c r="T3278">
        <v>148.93333333333331</v>
      </c>
      <c r="U3278">
        <v>12</v>
      </c>
      <c r="V3278">
        <v>2023</v>
      </c>
      <c r="W3278">
        <v>4</v>
      </c>
      <c r="X3278" t="s">
        <v>9899</v>
      </c>
      <c r="Y3278" t="s">
        <v>9901</v>
      </c>
      <c r="Z3278" t="s">
        <v>9899</v>
      </c>
      <c r="AD3278">
        <f t="shared" si="103"/>
        <v>3</v>
      </c>
    </row>
    <row r="3279" spans="1:30" x14ac:dyDescent="0.25">
      <c r="A3279" t="s">
        <v>3303</v>
      </c>
      <c r="B3279" s="2">
        <v>45300</v>
      </c>
      <c r="C3279" s="2">
        <v>45305</v>
      </c>
      <c r="D3279" t="s">
        <v>5136</v>
      </c>
      <c r="E3279" t="s">
        <v>5636</v>
      </c>
      <c r="F3279" t="s">
        <v>6028</v>
      </c>
      <c r="G3279" t="s">
        <v>6029</v>
      </c>
      <c r="H3279" t="s">
        <v>6044</v>
      </c>
      <c r="I3279" t="s">
        <v>6049</v>
      </c>
      <c r="J3279" t="s">
        <v>6055</v>
      </c>
      <c r="K3279" t="s">
        <v>6064</v>
      </c>
      <c r="L3279" t="s">
        <v>8804</v>
      </c>
      <c r="M3279">
        <v>988.49</v>
      </c>
      <c r="N3279">
        <v>1</v>
      </c>
      <c r="O3279">
        <v>0.33</v>
      </c>
      <c r="P3279">
        <v>-51.94</v>
      </c>
      <c r="Q3279" t="s">
        <v>9895</v>
      </c>
      <c r="R3279">
        <v>5</v>
      </c>
      <c r="S3279" s="5">
        <f t="shared" si="102"/>
        <v>-5.2544790539105095E-2</v>
      </c>
      <c r="T3279">
        <v>988.49</v>
      </c>
      <c r="U3279">
        <v>1</v>
      </c>
      <c r="V3279">
        <v>2024</v>
      </c>
      <c r="W3279">
        <v>1</v>
      </c>
      <c r="X3279" t="s">
        <v>9898</v>
      </c>
      <c r="Y3279" t="s">
        <v>9902</v>
      </c>
      <c r="Z3279" t="s">
        <v>9899</v>
      </c>
      <c r="AD3279">
        <f t="shared" si="103"/>
        <v>5</v>
      </c>
    </row>
    <row r="3280" spans="1:30" x14ac:dyDescent="0.25">
      <c r="A3280" t="s">
        <v>3304</v>
      </c>
      <c r="B3280" s="2">
        <v>44820</v>
      </c>
      <c r="C3280" s="2">
        <v>44822</v>
      </c>
      <c r="D3280" t="s">
        <v>5263</v>
      </c>
      <c r="E3280" t="s">
        <v>5763</v>
      </c>
      <c r="F3280" t="s">
        <v>6027</v>
      </c>
      <c r="G3280" t="s">
        <v>6029</v>
      </c>
      <c r="H3280" t="s">
        <v>6045</v>
      </c>
      <c r="I3280" t="s">
        <v>6049</v>
      </c>
      <c r="J3280" t="s">
        <v>6054</v>
      </c>
      <c r="K3280" t="s">
        <v>6059</v>
      </c>
      <c r="L3280" t="s">
        <v>8805</v>
      </c>
      <c r="M3280">
        <v>607.02</v>
      </c>
      <c r="N3280">
        <v>4</v>
      </c>
      <c r="O3280">
        <v>0.11</v>
      </c>
      <c r="P3280">
        <v>88.45</v>
      </c>
      <c r="Q3280" t="s">
        <v>9895</v>
      </c>
      <c r="R3280">
        <v>2</v>
      </c>
      <c r="S3280" s="5">
        <f t="shared" si="102"/>
        <v>0.14571183816019243</v>
      </c>
      <c r="T3280">
        <v>151.755</v>
      </c>
      <c r="U3280">
        <v>9</v>
      </c>
      <c r="V3280">
        <v>2022</v>
      </c>
      <c r="W3280">
        <v>3</v>
      </c>
      <c r="X3280" t="s">
        <v>9899</v>
      </c>
      <c r="Y3280" t="s">
        <v>9901</v>
      </c>
      <c r="Z3280" t="s">
        <v>9899</v>
      </c>
      <c r="AD3280">
        <f t="shared" si="103"/>
        <v>2</v>
      </c>
    </row>
    <row r="3281" spans="1:30" x14ac:dyDescent="0.25">
      <c r="A3281" t="s">
        <v>3305</v>
      </c>
      <c r="B3281" s="2">
        <v>44759</v>
      </c>
      <c r="C3281" s="2">
        <v>44764</v>
      </c>
      <c r="D3281" t="s">
        <v>5459</v>
      </c>
      <c r="E3281" t="s">
        <v>5959</v>
      </c>
      <c r="F3281" t="s">
        <v>6027</v>
      </c>
      <c r="G3281" t="s">
        <v>6030</v>
      </c>
      <c r="H3281" t="s">
        <v>6035</v>
      </c>
      <c r="I3281" t="s">
        <v>6051</v>
      </c>
      <c r="J3281" t="s">
        <v>6055</v>
      </c>
      <c r="K3281" t="s">
        <v>6061</v>
      </c>
      <c r="L3281" t="s">
        <v>8806</v>
      </c>
      <c r="M3281">
        <v>1336.98</v>
      </c>
      <c r="N3281">
        <v>6</v>
      </c>
      <c r="O3281">
        <v>0.32</v>
      </c>
      <c r="P3281">
        <v>-288.62</v>
      </c>
      <c r="Q3281" t="s">
        <v>9897</v>
      </c>
      <c r="R3281">
        <v>5</v>
      </c>
      <c r="S3281" s="5">
        <f t="shared" si="102"/>
        <v>-0.21587458301545273</v>
      </c>
      <c r="T3281">
        <v>222.83</v>
      </c>
      <c r="U3281">
        <v>7</v>
      </c>
      <c r="V3281">
        <v>2022</v>
      </c>
      <c r="W3281">
        <v>3</v>
      </c>
      <c r="X3281" t="s">
        <v>9898</v>
      </c>
      <c r="Y3281" t="s">
        <v>9902</v>
      </c>
      <c r="Z3281" t="s">
        <v>9898</v>
      </c>
      <c r="AD3281">
        <f t="shared" si="103"/>
        <v>5</v>
      </c>
    </row>
    <row r="3282" spans="1:30" x14ac:dyDescent="0.25">
      <c r="A3282" t="s">
        <v>3306</v>
      </c>
      <c r="B3282" s="2">
        <v>45001</v>
      </c>
      <c r="C3282" s="2">
        <v>45005</v>
      </c>
      <c r="D3282" t="s">
        <v>5155</v>
      </c>
      <c r="E3282" t="s">
        <v>5655</v>
      </c>
      <c r="F3282" t="s">
        <v>6026</v>
      </c>
      <c r="G3282" t="s">
        <v>6030</v>
      </c>
      <c r="H3282" t="s">
        <v>6033</v>
      </c>
      <c r="I3282" t="s">
        <v>6047</v>
      </c>
      <c r="J3282" t="s">
        <v>6053</v>
      </c>
      <c r="K3282" t="s">
        <v>6056</v>
      </c>
      <c r="L3282" t="s">
        <v>8807</v>
      </c>
      <c r="M3282">
        <v>871.28</v>
      </c>
      <c r="N3282">
        <v>7</v>
      </c>
      <c r="O3282">
        <v>0.28000000000000003</v>
      </c>
      <c r="P3282">
        <v>1.82</v>
      </c>
      <c r="Q3282" t="s">
        <v>9897</v>
      </c>
      <c r="R3282">
        <v>4</v>
      </c>
      <c r="S3282" s="5">
        <f t="shared" si="102"/>
        <v>2.08888072720595E-3</v>
      </c>
      <c r="T3282">
        <v>124.46857142857139</v>
      </c>
      <c r="U3282">
        <v>3</v>
      </c>
      <c r="V3282">
        <v>2023</v>
      </c>
      <c r="W3282">
        <v>1</v>
      </c>
      <c r="X3282" t="s">
        <v>9899</v>
      </c>
      <c r="Y3282" t="s">
        <v>9900</v>
      </c>
      <c r="Z3282" t="s">
        <v>9899</v>
      </c>
      <c r="AD3282">
        <f t="shared" si="103"/>
        <v>4</v>
      </c>
    </row>
    <row r="3283" spans="1:30" x14ac:dyDescent="0.25">
      <c r="A3283" t="s">
        <v>3307</v>
      </c>
      <c r="B3283" s="2">
        <v>45178</v>
      </c>
      <c r="C3283" s="2">
        <v>45182</v>
      </c>
      <c r="D3283" t="s">
        <v>5174</v>
      </c>
      <c r="E3283" t="s">
        <v>5674</v>
      </c>
      <c r="F3283" t="s">
        <v>6027</v>
      </c>
      <c r="G3283" t="s">
        <v>6031</v>
      </c>
      <c r="H3283" t="s">
        <v>6040</v>
      </c>
      <c r="I3283" t="s">
        <v>6052</v>
      </c>
      <c r="J3283" t="s">
        <v>6055</v>
      </c>
      <c r="K3283" t="s">
        <v>6064</v>
      </c>
      <c r="L3283" t="s">
        <v>8808</v>
      </c>
      <c r="M3283">
        <v>448.37</v>
      </c>
      <c r="N3283">
        <v>6</v>
      </c>
      <c r="O3283">
        <v>0.28000000000000003</v>
      </c>
      <c r="P3283">
        <v>-33.86</v>
      </c>
      <c r="Q3283" t="s">
        <v>9893</v>
      </c>
      <c r="R3283">
        <v>4</v>
      </c>
      <c r="S3283" s="5">
        <f t="shared" si="102"/>
        <v>-7.5517987376497092E-2</v>
      </c>
      <c r="T3283">
        <v>74.728333333333339</v>
      </c>
      <c r="U3283">
        <v>9</v>
      </c>
      <c r="V3283">
        <v>2023</v>
      </c>
      <c r="W3283">
        <v>3</v>
      </c>
      <c r="X3283" t="s">
        <v>9898</v>
      </c>
      <c r="Y3283" t="s">
        <v>9900</v>
      </c>
      <c r="Z3283" t="s">
        <v>9899</v>
      </c>
      <c r="AD3283">
        <f t="shared" si="103"/>
        <v>4</v>
      </c>
    </row>
    <row r="3284" spans="1:30" x14ac:dyDescent="0.25">
      <c r="A3284" t="s">
        <v>3308</v>
      </c>
      <c r="B3284" s="2">
        <v>45449</v>
      </c>
      <c r="C3284" s="2">
        <v>45453</v>
      </c>
      <c r="D3284" t="s">
        <v>5059</v>
      </c>
      <c r="E3284" t="s">
        <v>5559</v>
      </c>
      <c r="F3284" t="s">
        <v>6028</v>
      </c>
      <c r="G3284" t="s">
        <v>6031</v>
      </c>
      <c r="H3284" t="s">
        <v>6034</v>
      </c>
      <c r="I3284" t="s">
        <v>6048</v>
      </c>
      <c r="J3284" t="s">
        <v>6053</v>
      </c>
      <c r="K3284" t="s">
        <v>6058</v>
      </c>
      <c r="L3284" t="s">
        <v>8809</v>
      </c>
      <c r="M3284">
        <v>1658.31</v>
      </c>
      <c r="N3284">
        <v>7</v>
      </c>
      <c r="O3284">
        <v>0.02</v>
      </c>
      <c r="P3284">
        <v>364.3</v>
      </c>
      <c r="Q3284" t="s">
        <v>9896</v>
      </c>
      <c r="R3284">
        <v>4</v>
      </c>
      <c r="S3284" s="5">
        <f t="shared" si="102"/>
        <v>0.21968148295553908</v>
      </c>
      <c r="T3284">
        <v>236.9014285714286</v>
      </c>
      <c r="U3284">
        <v>6</v>
      </c>
      <c r="V3284">
        <v>2024</v>
      </c>
      <c r="W3284">
        <v>2</v>
      </c>
      <c r="X3284" t="s">
        <v>9899</v>
      </c>
      <c r="Y3284" t="s">
        <v>9901</v>
      </c>
      <c r="Z3284" t="s">
        <v>9898</v>
      </c>
      <c r="AD3284">
        <f t="shared" si="103"/>
        <v>4</v>
      </c>
    </row>
    <row r="3285" spans="1:30" x14ac:dyDescent="0.25">
      <c r="A3285" t="s">
        <v>3309</v>
      </c>
      <c r="B3285" s="2">
        <v>44687</v>
      </c>
      <c r="C3285" s="2">
        <v>44690</v>
      </c>
      <c r="D3285" t="s">
        <v>5188</v>
      </c>
      <c r="E3285" t="s">
        <v>5688</v>
      </c>
      <c r="F3285" t="s">
        <v>6028</v>
      </c>
      <c r="G3285" t="s">
        <v>6031</v>
      </c>
      <c r="H3285" t="s">
        <v>6043</v>
      </c>
      <c r="I3285" t="s">
        <v>6050</v>
      </c>
      <c r="J3285" t="s">
        <v>6053</v>
      </c>
      <c r="K3285" t="s">
        <v>6057</v>
      </c>
      <c r="L3285" t="s">
        <v>8810</v>
      </c>
      <c r="M3285">
        <v>1031.8499999999999</v>
      </c>
      <c r="N3285">
        <v>1</v>
      </c>
      <c r="O3285">
        <v>0.21</v>
      </c>
      <c r="P3285">
        <v>52.41</v>
      </c>
      <c r="Q3285" t="s">
        <v>9897</v>
      </c>
      <c r="R3285">
        <v>3</v>
      </c>
      <c r="S3285" s="5">
        <f t="shared" si="102"/>
        <v>5.079226631777875E-2</v>
      </c>
      <c r="T3285">
        <v>1031.8499999999999</v>
      </c>
      <c r="U3285">
        <v>5</v>
      </c>
      <c r="V3285">
        <v>2022</v>
      </c>
      <c r="W3285">
        <v>2</v>
      </c>
      <c r="X3285" t="s">
        <v>9899</v>
      </c>
      <c r="Y3285" t="s">
        <v>9900</v>
      </c>
      <c r="Z3285" t="s">
        <v>9898</v>
      </c>
      <c r="AD3285">
        <f t="shared" si="103"/>
        <v>3</v>
      </c>
    </row>
    <row r="3286" spans="1:30" x14ac:dyDescent="0.25">
      <c r="A3286" t="s">
        <v>3310</v>
      </c>
      <c r="B3286" s="2">
        <v>44647</v>
      </c>
      <c r="C3286" s="2">
        <v>44652</v>
      </c>
      <c r="D3286" t="s">
        <v>5499</v>
      </c>
      <c r="E3286" t="s">
        <v>5999</v>
      </c>
      <c r="F3286" t="s">
        <v>6026</v>
      </c>
      <c r="G3286" t="s">
        <v>6030</v>
      </c>
      <c r="H3286" t="s">
        <v>6039</v>
      </c>
      <c r="I3286" t="s">
        <v>6051</v>
      </c>
      <c r="J3286" t="s">
        <v>6053</v>
      </c>
      <c r="K3286" t="s">
        <v>6057</v>
      </c>
      <c r="L3286" t="s">
        <v>8811</v>
      </c>
      <c r="M3286">
        <v>239.52</v>
      </c>
      <c r="N3286">
        <v>6</v>
      </c>
      <c r="O3286">
        <v>0.23</v>
      </c>
      <c r="P3286">
        <v>5.36</v>
      </c>
      <c r="Q3286" t="s">
        <v>9894</v>
      </c>
      <c r="R3286">
        <v>5</v>
      </c>
      <c r="S3286" s="5">
        <f t="shared" si="102"/>
        <v>2.2378089512358049E-2</v>
      </c>
      <c r="T3286">
        <v>39.92</v>
      </c>
      <c r="U3286">
        <v>3</v>
      </c>
      <c r="V3286">
        <v>2022</v>
      </c>
      <c r="W3286">
        <v>1</v>
      </c>
      <c r="X3286" t="s">
        <v>9899</v>
      </c>
      <c r="Y3286" t="s">
        <v>9900</v>
      </c>
      <c r="Z3286" t="s">
        <v>9899</v>
      </c>
      <c r="AD3286">
        <f t="shared" si="103"/>
        <v>5</v>
      </c>
    </row>
    <row r="3287" spans="1:30" x14ac:dyDescent="0.25">
      <c r="A3287" t="s">
        <v>3311</v>
      </c>
      <c r="B3287" s="2">
        <v>44849</v>
      </c>
      <c r="C3287" s="2">
        <v>44853</v>
      </c>
      <c r="D3287" t="s">
        <v>5150</v>
      </c>
      <c r="E3287" t="s">
        <v>5650</v>
      </c>
      <c r="F3287" t="s">
        <v>6027</v>
      </c>
      <c r="G3287" t="s">
        <v>6031</v>
      </c>
      <c r="H3287" t="s">
        <v>6040</v>
      </c>
      <c r="I3287" t="s">
        <v>6050</v>
      </c>
      <c r="J3287" t="s">
        <v>6053</v>
      </c>
      <c r="K3287" t="s">
        <v>6058</v>
      </c>
      <c r="L3287" t="s">
        <v>8812</v>
      </c>
      <c r="M3287">
        <v>1212.8900000000001</v>
      </c>
      <c r="N3287">
        <v>7</v>
      </c>
      <c r="O3287">
        <v>0.28999999999999998</v>
      </c>
      <c r="P3287">
        <v>-31.95</v>
      </c>
      <c r="Q3287" t="s">
        <v>9896</v>
      </c>
      <c r="R3287">
        <v>4</v>
      </c>
      <c r="S3287" s="5">
        <f t="shared" si="102"/>
        <v>-2.6342042559506632E-2</v>
      </c>
      <c r="T3287">
        <v>173.27</v>
      </c>
      <c r="U3287">
        <v>10</v>
      </c>
      <c r="V3287">
        <v>2022</v>
      </c>
      <c r="W3287">
        <v>4</v>
      </c>
      <c r="X3287" t="s">
        <v>9898</v>
      </c>
      <c r="Y3287" t="s">
        <v>9900</v>
      </c>
      <c r="Z3287" t="s">
        <v>9898</v>
      </c>
      <c r="AD3287">
        <f t="shared" si="103"/>
        <v>4</v>
      </c>
    </row>
    <row r="3288" spans="1:30" x14ac:dyDescent="0.25">
      <c r="A3288" t="s">
        <v>3312</v>
      </c>
      <c r="B3288" s="2">
        <v>45409</v>
      </c>
      <c r="C3288" s="2">
        <v>45414</v>
      </c>
      <c r="D3288" t="s">
        <v>5112</v>
      </c>
      <c r="E3288" t="s">
        <v>5612</v>
      </c>
      <c r="F3288" t="s">
        <v>6027</v>
      </c>
      <c r="G3288" t="s">
        <v>6031</v>
      </c>
      <c r="H3288" t="s">
        <v>6040</v>
      </c>
      <c r="I3288" t="s">
        <v>6048</v>
      </c>
      <c r="J3288" t="s">
        <v>6054</v>
      </c>
      <c r="K3288" t="s">
        <v>6059</v>
      </c>
      <c r="L3288" t="s">
        <v>8813</v>
      </c>
      <c r="M3288">
        <v>978.33</v>
      </c>
      <c r="N3288">
        <v>1</v>
      </c>
      <c r="O3288">
        <v>0.22</v>
      </c>
      <c r="P3288">
        <v>-38.64</v>
      </c>
      <c r="Q3288" t="s">
        <v>9895</v>
      </c>
      <c r="R3288">
        <v>5</v>
      </c>
      <c r="S3288" s="5">
        <f t="shared" si="102"/>
        <v>-3.9495875624789178E-2</v>
      </c>
      <c r="T3288">
        <v>978.33</v>
      </c>
      <c r="U3288">
        <v>4</v>
      </c>
      <c r="V3288">
        <v>2024</v>
      </c>
      <c r="W3288">
        <v>2</v>
      </c>
      <c r="X3288" t="s">
        <v>9898</v>
      </c>
      <c r="Y3288" t="s">
        <v>9900</v>
      </c>
      <c r="Z3288" t="s">
        <v>9899</v>
      </c>
      <c r="AD3288">
        <f t="shared" si="103"/>
        <v>5</v>
      </c>
    </row>
    <row r="3289" spans="1:30" x14ac:dyDescent="0.25">
      <c r="A3289" t="s">
        <v>3313</v>
      </c>
      <c r="B3289" s="2">
        <v>45207</v>
      </c>
      <c r="C3289" s="2">
        <v>45208</v>
      </c>
      <c r="D3289" t="s">
        <v>5236</v>
      </c>
      <c r="E3289" t="s">
        <v>5736</v>
      </c>
      <c r="F3289" t="s">
        <v>6026</v>
      </c>
      <c r="G3289" t="s">
        <v>6031</v>
      </c>
      <c r="H3289" t="s">
        <v>6042</v>
      </c>
      <c r="I3289" t="s">
        <v>6050</v>
      </c>
      <c r="J3289" t="s">
        <v>6054</v>
      </c>
      <c r="K3289" t="s">
        <v>6060</v>
      </c>
      <c r="L3289" t="s">
        <v>8814</v>
      </c>
      <c r="M3289">
        <v>1358.93</v>
      </c>
      <c r="N3289">
        <v>3</v>
      </c>
      <c r="O3289">
        <v>0.09</v>
      </c>
      <c r="P3289">
        <v>281.31</v>
      </c>
      <c r="Q3289" t="s">
        <v>9894</v>
      </c>
      <c r="R3289">
        <v>1</v>
      </c>
      <c r="S3289" s="5">
        <f t="shared" si="102"/>
        <v>0.20700845518165026</v>
      </c>
      <c r="T3289">
        <v>452.97666666666669</v>
      </c>
      <c r="U3289">
        <v>10</v>
      </c>
      <c r="V3289">
        <v>2023</v>
      </c>
      <c r="W3289">
        <v>4</v>
      </c>
      <c r="X3289" t="s">
        <v>9899</v>
      </c>
      <c r="Y3289" t="s">
        <v>9901</v>
      </c>
      <c r="Z3289" t="s">
        <v>9898</v>
      </c>
      <c r="AD3289">
        <f t="shared" si="103"/>
        <v>1</v>
      </c>
    </row>
    <row r="3290" spans="1:30" x14ac:dyDescent="0.25">
      <c r="A3290" t="s">
        <v>3314</v>
      </c>
      <c r="B3290" s="2">
        <v>45245</v>
      </c>
      <c r="C3290" s="2">
        <v>45246</v>
      </c>
      <c r="D3290" t="s">
        <v>5113</v>
      </c>
      <c r="E3290" t="s">
        <v>5613</v>
      </c>
      <c r="F3290" t="s">
        <v>6028</v>
      </c>
      <c r="G3290" t="s">
        <v>6031</v>
      </c>
      <c r="H3290" t="s">
        <v>6043</v>
      </c>
      <c r="I3290" t="s">
        <v>6048</v>
      </c>
      <c r="J3290" t="s">
        <v>6054</v>
      </c>
      <c r="K3290" t="s">
        <v>6060</v>
      </c>
      <c r="L3290" t="s">
        <v>8815</v>
      </c>
      <c r="M3290">
        <v>1434.55</v>
      </c>
      <c r="N3290">
        <v>1</v>
      </c>
      <c r="O3290">
        <v>0.05</v>
      </c>
      <c r="P3290">
        <v>115.65</v>
      </c>
      <c r="Q3290" t="s">
        <v>9895</v>
      </c>
      <c r="R3290">
        <v>1</v>
      </c>
      <c r="S3290" s="5">
        <f t="shared" si="102"/>
        <v>8.0617615280052984E-2</v>
      </c>
      <c r="T3290">
        <v>1434.55</v>
      </c>
      <c r="U3290">
        <v>11</v>
      </c>
      <c r="V3290">
        <v>2023</v>
      </c>
      <c r="W3290">
        <v>4</v>
      </c>
      <c r="X3290" t="s">
        <v>9899</v>
      </c>
      <c r="Y3290" t="s">
        <v>9901</v>
      </c>
      <c r="Z3290" t="s">
        <v>9898</v>
      </c>
      <c r="AD3290">
        <f t="shared" si="103"/>
        <v>1</v>
      </c>
    </row>
    <row r="3291" spans="1:30" x14ac:dyDescent="0.25">
      <c r="A3291" t="s">
        <v>3315</v>
      </c>
      <c r="B3291" s="2">
        <v>45239</v>
      </c>
      <c r="C3291" s="2">
        <v>45240</v>
      </c>
      <c r="D3291" t="s">
        <v>5506</v>
      </c>
      <c r="E3291" t="s">
        <v>6006</v>
      </c>
      <c r="F3291" t="s">
        <v>6027</v>
      </c>
      <c r="G3291" t="s">
        <v>6029</v>
      </c>
      <c r="H3291" t="s">
        <v>6045</v>
      </c>
      <c r="I3291" t="s">
        <v>6050</v>
      </c>
      <c r="J3291" t="s">
        <v>6053</v>
      </c>
      <c r="K3291" t="s">
        <v>6057</v>
      </c>
      <c r="L3291" t="s">
        <v>8816</v>
      </c>
      <c r="M3291">
        <v>1403.29</v>
      </c>
      <c r="N3291">
        <v>4</v>
      </c>
      <c r="O3291">
        <v>0.32</v>
      </c>
      <c r="P3291">
        <v>-261.52999999999997</v>
      </c>
      <c r="Q3291" t="s">
        <v>9897</v>
      </c>
      <c r="R3291">
        <v>1</v>
      </c>
      <c r="S3291" s="5">
        <f t="shared" si="102"/>
        <v>-0.18636917529519911</v>
      </c>
      <c r="T3291">
        <v>350.82249999999999</v>
      </c>
      <c r="U3291">
        <v>11</v>
      </c>
      <c r="V3291">
        <v>2023</v>
      </c>
      <c r="W3291">
        <v>4</v>
      </c>
      <c r="X3291" t="s">
        <v>9898</v>
      </c>
      <c r="Y3291" t="s">
        <v>9902</v>
      </c>
      <c r="Z3291" t="s">
        <v>9898</v>
      </c>
      <c r="AD3291">
        <f t="shared" si="103"/>
        <v>1</v>
      </c>
    </row>
    <row r="3292" spans="1:30" x14ac:dyDescent="0.25">
      <c r="A3292" t="s">
        <v>3316</v>
      </c>
      <c r="B3292" s="2">
        <v>45257</v>
      </c>
      <c r="C3292" s="2">
        <v>45263</v>
      </c>
      <c r="D3292" t="s">
        <v>5240</v>
      </c>
      <c r="E3292" t="s">
        <v>5740</v>
      </c>
      <c r="F3292" t="s">
        <v>6027</v>
      </c>
      <c r="G3292" t="s">
        <v>6031</v>
      </c>
      <c r="H3292" t="s">
        <v>6043</v>
      </c>
      <c r="I3292" t="s">
        <v>6050</v>
      </c>
      <c r="J3292" t="s">
        <v>6055</v>
      </c>
      <c r="K3292" t="s">
        <v>6061</v>
      </c>
      <c r="L3292" t="s">
        <v>8138</v>
      </c>
      <c r="M3292">
        <v>1926.46</v>
      </c>
      <c r="N3292">
        <v>2</v>
      </c>
      <c r="O3292">
        <v>0.06</v>
      </c>
      <c r="P3292">
        <v>294.63</v>
      </c>
      <c r="Q3292" t="s">
        <v>9894</v>
      </c>
      <c r="R3292">
        <v>6</v>
      </c>
      <c r="S3292" s="5">
        <f t="shared" si="102"/>
        <v>0.15293855050195695</v>
      </c>
      <c r="T3292">
        <v>963.23</v>
      </c>
      <c r="U3292">
        <v>11</v>
      </c>
      <c r="V3292">
        <v>2023</v>
      </c>
      <c r="W3292">
        <v>4</v>
      </c>
      <c r="X3292" t="s">
        <v>9899</v>
      </c>
      <c r="Y3292" t="s">
        <v>9901</v>
      </c>
      <c r="Z3292" t="s">
        <v>9898</v>
      </c>
      <c r="AD3292">
        <f t="shared" si="103"/>
        <v>6</v>
      </c>
    </row>
    <row r="3293" spans="1:30" x14ac:dyDescent="0.25">
      <c r="A3293" t="s">
        <v>3317</v>
      </c>
      <c r="B3293" s="2">
        <v>45339</v>
      </c>
      <c r="C3293" s="2">
        <v>45341</v>
      </c>
      <c r="D3293" t="s">
        <v>5136</v>
      </c>
      <c r="E3293" t="s">
        <v>5636</v>
      </c>
      <c r="F3293" t="s">
        <v>6026</v>
      </c>
      <c r="G3293" t="s">
        <v>6029</v>
      </c>
      <c r="H3293" t="s">
        <v>6032</v>
      </c>
      <c r="I3293" t="s">
        <v>6050</v>
      </c>
      <c r="J3293" t="s">
        <v>6053</v>
      </c>
      <c r="K3293" t="s">
        <v>6056</v>
      </c>
      <c r="L3293" t="s">
        <v>6362</v>
      </c>
      <c r="M3293">
        <v>1673.6</v>
      </c>
      <c r="N3293">
        <v>4</v>
      </c>
      <c r="O3293">
        <v>0.08</v>
      </c>
      <c r="P3293">
        <v>299.94</v>
      </c>
      <c r="Q3293" t="s">
        <v>9893</v>
      </c>
      <c r="R3293">
        <v>2</v>
      </c>
      <c r="S3293" s="5">
        <f t="shared" si="102"/>
        <v>0.17921845124282984</v>
      </c>
      <c r="T3293">
        <v>418.4</v>
      </c>
      <c r="U3293">
        <v>2</v>
      </c>
      <c r="V3293">
        <v>2024</v>
      </c>
      <c r="W3293">
        <v>1</v>
      </c>
      <c r="X3293" t="s">
        <v>9899</v>
      </c>
      <c r="Y3293" t="s">
        <v>9901</v>
      </c>
      <c r="Z3293" t="s">
        <v>9898</v>
      </c>
      <c r="AD3293">
        <f t="shared" si="103"/>
        <v>2</v>
      </c>
    </row>
    <row r="3294" spans="1:30" x14ac:dyDescent="0.25">
      <c r="A3294" t="s">
        <v>3318</v>
      </c>
      <c r="B3294" s="2">
        <v>44940</v>
      </c>
      <c r="C3294" s="2">
        <v>44945</v>
      </c>
      <c r="D3294" t="s">
        <v>5210</v>
      </c>
      <c r="E3294" t="s">
        <v>5710</v>
      </c>
      <c r="F3294" t="s">
        <v>6028</v>
      </c>
      <c r="G3294" t="s">
        <v>6030</v>
      </c>
      <c r="H3294" t="s">
        <v>6033</v>
      </c>
      <c r="I3294" t="s">
        <v>6047</v>
      </c>
      <c r="J3294" t="s">
        <v>6053</v>
      </c>
      <c r="K3294" t="s">
        <v>6058</v>
      </c>
      <c r="L3294" t="s">
        <v>8040</v>
      </c>
      <c r="M3294">
        <v>1650.84</v>
      </c>
      <c r="N3294">
        <v>4</v>
      </c>
      <c r="O3294">
        <v>0.15</v>
      </c>
      <c r="P3294">
        <v>173.28</v>
      </c>
      <c r="Q3294" t="s">
        <v>9895</v>
      </c>
      <c r="R3294">
        <v>5</v>
      </c>
      <c r="S3294" s="5">
        <f t="shared" si="102"/>
        <v>0.10496474522061497</v>
      </c>
      <c r="T3294">
        <v>412.71</v>
      </c>
      <c r="U3294">
        <v>1</v>
      </c>
      <c r="V3294">
        <v>2023</v>
      </c>
      <c r="W3294">
        <v>1</v>
      </c>
      <c r="X3294" t="s">
        <v>9899</v>
      </c>
      <c r="Y3294" t="s">
        <v>9901</v>
      </c>
      <c r="Z3294" t="s">
        <v>9898</v>
      </c>
      <c r="AD3294">
        <f t="shared" si="103"/>
        <v>5</v>
      </c>
    </row>
    <row r="3295" spans="1:30" x14ac:dyDescent="0.25">
      <c r="A3295" t="s">
        <v>3319</v>
      </c>
      <c r="B3295" s="2">
        <v>44834</v>
      </c>
      <c r="C3295" s="2">
        <v>44838</v>
      </c>
      <c r="D3295" t="s">
        <v>5399</v>
      </c>
      <c r="E3295" t="s">
        <v>5899</v>
      </c>
      <c r="F3295" t="s">
        <v>6028</v>
      </c>
      <c r="G3295" t="s">
        <v>6030</v>
      </c>
      <c r="H3295" t="s">
        <v>6035</v>
      </c>
      <c r="I3295" t="s">
        <v>6051</v>
      </c>
      <c r="J3295" t="s">
        <v>6054</v>
      </c>
      <c r="K3295" t="s">
        <v>6062</v>
      </c>
      <c r="L3295" t="s">
        <v>8817</v>
      </c>
      <c r="M3295">
        <v>1966.86</v>
      </c>
      <c r="N3295">
        <v>6</v>
      </c>
      <c r="O3295">
        <v>0.31</v>
      </c>
      <c r="P3295">
        <v>-301.66000000000003</v>
      </c>
      <c r="Q3295" t="s">
        <v>9896</v>
      </c>
      <c r="R3295">
        <v>4</v>
      </c>
      <c r="S3295" s="5">
        <f t="shared" si="102"/>
        <v>-0.15337136349308036</v>
      </c>
      <c r="T3295">
        <v>327.81</v>
      </c>
      <c r="U3295">
        <v>9</v>
      </c>
      <c r="V3295">
        <v>2022</v>
      </c>
      <c r="W3295">
        <v>3</v>
      </c>
      <c r="X3295" t="s">
        <v>9898</v>
      </c>
      <c r="Y3295" t="s">
        <v>9902</v>
      </c>
      <c r="Z3295" t="s">
        <v>9898</v>
      </c>
      <c r="AD3295">
        <f t="shared" si="103"/>
        <v>4</v>
      </c>
    </row>
    <row r="3296" spans="1:30" x14ac:dyDescent="0.25">
      <c r="A3296" t="s">
        <v>3320</v>
      </c>
      <c r="B3296" s="2">
        <v>45287</v>
      </c>
      <c r="C3296" s="2">
        <v>45290</v>
      </c>
      <c r="D3296" t="s">
        <v>5416</v>
      </c>
      <c r="E3296" t="s">
        <v>5916</v>
      </c>
      <c r="F3296" t="s">
        <v>6028</v>
      </c>
      <c r="G3296" t="s">
        <v>6031</v>
      </c>
      <c r="H3296" t="s">
        <v>6034</v>
      </c>
      <c r="I3296" t="s">
        <v>6052</v>
      </c>
      <c r="J3296" t="s">
        <v>6055</v>
      </c>
      <c r="K3296" t="s">
        <v>6063</v>
      </c>
      <c r="L3296" t="s">
        <v>8818</v>
      </c>
      <c r="M3296">
        <v>1325.22</v>
      </c>
      <c r="N3296">
        <v>7</v>
      </c>
      <c r="O3296">
        <v>0.28000000000000003</v>
      </c>
      <c r="P3296">
        <v>-14.89</v>
      </c>
      <c r="Q3296" t="s">
        <v>9893</v>
      </c>
      <c r="R3296">
        <v>3</v>
      </c>
      <c r="S3296" s="5">
        <f t="shared" si="102"/>
        <v>-1.123587027059658E-2</v>
      </c>
      <c r="T3296">
        <v>189.3171428571429</v>
      </c>
      <c r="U3296">
        <v>12</v>
      </c>
      <c r="V3296">
        <v>2023</v>
      </c>
      <c r="W3296">
        <v>4</v>
      </c>
      <c r="X3296" t="s">
        <v>9898</v>
      </c>
      <c r="Y3296" t="s">
        <v>9900</v>
      </c>
      <c r="Z3296" t="s">
        <v>9898</v>
      </c>
      <c r="AD3296">
        <f t="shared" si="103"/>
        <v>3</v>
      </c>
    </row>
    <row r="3297" spans="1:30" x14ac:dyDescent="0.25">
      <c r="A3297" t="s">
        <v>3321</v>
      </c>
      <c r="B3297" s="2">
        <v>44674</v>
      </c>
      <c r="C3297" s="2">
        <v>44681</v>
      </c>
      <c r="D3297" t="s">
        <v>5389</v>
      </c>
      <c r="E3297" t="s">
        <v>5889</v>
      </c>
      <c r="F3297" t="s">
        <v>6028</v>
      </c>
      <c r="G3297" t="s">
        <v>6030</v>
      </c>
      <c r="H3297" t="s">
        <v>6033</v>
      </c>
      <c r="I3297" t="s">
        <v>6051</v>
      </c>
      <c r="J3297" t="s">
        <v>6054</v>
      </c>
      <c r="K3297" t="s">
        <v>6060</v>
      </c>
      <c r="L3297" t="s">
        <v>8819</v>
      </c>
      <c r="M3297">
        <v>116.38</v>
      </c>
      <c r="N3297">
        <v>3</v>
      </c>
      <c r="O3297">
        <v>0.12</v>
      </c>
      <c r="P3297">
        <v>-0.47</v>
      </c>
      <c r="Q3297" t="s">
        <v>9894</v>
      </c>
      <c r="R3297">
        <v>7</v>
      </c>
      <c r="S3297" s="5">
        <f t="shared" si="102"/>
        <v>-4.0384945866987453E-3</v>
      </c>
      <c r="T3297">
        <v>38.793333333333329</v>
      </c>
      <c r="U3297">
        <v>4</v>
      </c>
      <c r="V3297">
        <v>2022</v>
      </c>
      <c r="W3297">
        <v>2</v>
      </c>
      <c r="X3297" t="s">
        <v>9898</v>
      </c>
      <c r="Y3297" t="s">
        <v>9901</v>
      </c>
      <c r="Z3297" t="s">
        <v>9899</v>
      </c>
      <c r="AD3297">
        <f t="shared" si="103"/>
        <v>7</v>
      </c>
    </row>
    <row r="3298" spans="1:30" x14ac:dyDescent="0.25">
      <c r="A3298" t="s">
        <v>3322</v>
      </c>
      <c r="B3298" s="2">
        <v>45192</v>
      </c>
      <c r="C3298" s="2">
        <v>45194</v>
      </c>
      <c r="D3298" t="s">
        <v>5368</v>
      </c>
      <c r="E3298" t="s">
        <v>5868</v>
      </c>
      <c r="F3298" t="s">
        <v>6028</v>
      </c>
      <c r="G3298" t="s">
        <v>6030</v>
      </c>
      <c r="H3298" t="s">
        <v>6038</v>
      </c>
      <c r="I3298" t="s">
        <v>6047</v>
      </c>
      <c r="J3298" t="s">
        <v>6054</v>
      </c>
      <c r="K3298" t="s">
        <v>6062</v>
      </c>
      <c r="L3298" t="s">
        <v>8820</v>
      </c>
      <c r="M3298">
        <v>658.03</v>
      </c>
      <c r="N3298">
        <v>7</v>
      </c>
      <c r="O3298">
        <v>0.31</v>
      </c>
      <c r="P3298">
        <v>-98.69</v>
      </c>
      <c r="Q3298" t="s">
        <v>9896</v>
      </c>
      <c r="R3298">
        <v>2</v>
      </c>
      <c r="S3298" s="5">
        <f t="shared" si="102"/>
        <v>-0.14997796453049253</v>
      </c>
      <c r="T3298">
        <v>94.004285714285714</v>
      </c>
      <c r="U3298">
        <v>9</v>
      </c>
      <c r="V3298">
        <v>2023</v>
      </c>
      <c r="W3298">
        <v>3</v>
      </c>
      <c r="X3298" t="s">
        <v>9898</v>
      </c>
      <c r="Y3298" t="s">
        <v>9902</v>
      </c>
      <c r="Z3298" t="s">
        <v>9899</v>
      </c>
      <c r="AD3298">
        <f t="shared" si="103"/>
        <v>2</v>
      </c>
    </row>
    <row r="3299" spans="1:30" x14ac:dyDescent="0.25">
      <c r="A3299" t="s">
        <v>3323</v>
      </c>
      <c r="B3299" s="2">
        <v>45121</v>
      </c>
      <c r="C3299" s="2">
        <v>45128</v>
      </c>
      <c r="D3299" t="s">
        <v>5278</v>
      </c>
      <c r="E3299" t="s">
        <v>5778</v>
      </c>
      <c r="F3299" t="s">
        <v>6027</v>
      </c>
      <c r="G3299" t="s">
        <v>6029</v>
      </c>
      <c r="H3299" t="s">
        <v>6044</v>
      </c>
      <c r="I3299" t="s">
        <v>6046</v>
      </c>
      <c r="J3299" t="s">
        <v>6054</v>
      </c>
      <c r="K3299" t="s">
        <v>6060</v>
      </c>
      <c r="L3299" t="s">
        <v>6486</v>
      </c>
      <c r="M3299">
        <v>1720.32</v>
      </c>
      <c r="N3299">
        <v>2</v>
      </c>
      <c r="O3299">
        <v>0.03</v>
      </c>
      <c r="P3299">
        <v>434.27</v>
      </c>
      <c r="Q3299" t="s">
        <v>9896</v>
      </c>
      <c r="R3299">
        <v>7</v>
      </c>
      <c r="S3299" s="5">
        <f t="shared" si="102"/>
        <v>0.25243559337797616</v>
      </c>
      <c r="T3299">
        <v>860.16</v>
      </c>
      <c r="U3299">
        <v>7</v>
      </c>
      <c r="V3299">
        <v>2023</v>
      </c>
      <c r="W3299">
        <v>3</v>
      </c>
      <c r="X3299" t="s">
        <v>9899</v>
      </c>
      <c r="Y3299" t="s">
        <v>9901</v>
      </c>
      <c r="Z3299" t="s">
        <v>9898</v>
      </c>
      <c r="AD3299">
        <f t="shared" si="103"/>
        <v>7</v>
      </c>
    </row>
    <row r="3300" spans="1:30" x14ac:dyDescent="0.25">
      <c r="A3300" t="s">
        <v>3324</v>
      </c>
      <c r="B3300" s="2">
        <v>44773</v>
      </c>
      <c r="C3300" s="2">
        <v>44778</v>
      </c>
      <c r="D3300" t="s">
        <v>5149</v>
      </c>
      <c r="E3300" t="s">
        <v>5649</v>
      </c>
      <c r="F3300" t="s">
        <v>6028</v>
      </c>
      <c r="G3300" t="s">
        <v>6030</v>
      </c>
      <c r="H3300" t="s">
        <v>6038</v>
      </c>
      <c r="I3300" t="s">
        <v>6051</v>
      </c>
      <c r="J3300" t="s">
        <v>6055</v>
      </c>
      <c r="K3300" t="s">
        <v>6061</v>
      </c>
      <c r="L3300" t="s">
        <v>6091</v>
      </c>
      <c r="M3300">
        <v>572.96</v>
      </c>
      <c r="N3300">
        <v>6</v>
      </c>
      <c r="O3300">
        <v>0.04</v>
      </c>
      <c r="P3300">
        <v>134.28</v>
      </c>
      <c r="Q3300" t="s">
        <v>9895</v>
      </c>
      <c r="R3300">
        <v>5</v>
      </c>
      <c r="S3300" s="5">
        <f t="shared" si="102"/>
        <v>0.23436191008098295</v>
      </c>
      <c r="T3300">
        <v>95.493333333333339</v>
      </c>
      <c r="U3300">
        <v>7</v>
      </c>
      <c r="V3300">
        <v>2022</v>
      </c>
      <c r="W3300">
        <v>3</v>
      </c>
      <c r="X3300" t="s">
        <v>9899</v>
      </c>
      <c r="Y3300" t="s">
        <v>9901</v>
      </c>
      <c r="Z3300" t="s">
        <v>9899</v>
      </c>
      <c r="AD3300">
        <f t="shared" si="103"/>
        <v>5</v>
      </c>
    </row>
    <row r="3301" spans="1:30" x14ac:dyDescent="0.25">
      <c r="A3301" t="s">
        <v>3325</v>
      </c>
      <c r="B3301" s="2">
        <v>45158</v>
      </c>
      <c r="C3301" s="2">
        <v>45161</v>
      </c>
      <c r="D3301" t="s">
        <v>5321</v>
      </c>
      <c r="E3301" t="s">
        <v>5821</v>
      </c>
      <c r="F3301" t="s">
        <v>6028</v>
      </c>
      <c r="G3301" t="s">
        <v>6031</v>
      </c>
      <c r="H3301" t="s">
        <v>6034</v>
      </c>
      <c r="I3301" t="s">
        <v>6048</v>
      </c>
      <c r="J3301" t="s">
        <v>6053</v>
      </c>
      <c r="K3301" t="s">
        <v>6056</v>
      </c>
      <c r="L3301" t="s">
        <v>7791</v>
      </c>
      <c r="M3301">
        <v>1013.87</v>
      </c>
      <c r="N3301">
        <v>6</v>
      </c>
      <c r="O3301">
        <v>0.2</v>
      </c>
      <c r="P3301">
        <v>14.86</v>
      </c>
      <c r="Q3301" t="s">
        <v>9895</v>
      </c>
      <c r="R3301">
        <v>3</v>
      </c>
      <c r="S3301" s="5">
        <f t="shared" si="102"/>
        <v>1.465671141270577E-2</v>
      </c>
      <c r="T3301">
        <v>168.9783333333333</v>
      </c>
      <c r="U3301">
        <v>8</v>
      </c>
      <c r="V3301">
        <v>2023</v>
      </c>
      <c r="W3301">
        <v>3</v>
      </c>
      <c r="X3301" t="s">
        <v>9899</v>
      </c>
      <c r="Y3301" t="s">
        <v>9900</v>
      </c>
      <c r="Z3301" t="s">
        <v>9898</v>
      </c>
      <c r="AD3301">
        <f t="shared" si="103"/>
        <v>3</v>
      </c>
    </row>
    <row r="3302" spans="1:30" x14ac:dyDescent="0.25">
      <c r="A3302" t="s">
        <v>3326</v>
      </c>
      <c r="B3302" s="2">
        <v>45314</v>
      </c>
      <c r="C3302" s="2">
        <v>45317</v>
      </c>
      <c r="D3302" t="s">
        <v>5304</v>
      </c>
      <c r="E3302" t="s">
        <v>5804</v>
      </c>
      <c r="F3302" t="s">
        <v>6027</v>
      </c>
      <c r="G3302" t="s">
        <v>6029</v>
      </c>
      <c r="H3302" t="s">
        <v>6041</v>
      </c>
      <c r="I3302" t="s">
        <v>6049</v>
      </c>
      <c r="J3302" t="s">
        <v>6055</v>
      </c>
      <c r="K3302" t="s">
        <v>6061</v>
      </c>
      <c r="L3302" t="s">
        <v>8821</v>
      </c>
      <c r="M3302">
        <v>1888.64</v>
      </c>
      <c r="N3302">
        <v>3</v>
      </c>
      <c r="O3302">
        <v>0.03</v>
      </c>
      <c r="P3302">
        <v>177.09</v>
      </c>
      <c r="Q3302" t="s">
        <v>9896</v>
      </c>
      <c r="R3302">
        <v>3</v>
      </c>
      <c r="S3302" s="5">
        <f t="shared" si="102"/>
        <v>9.376588444595052E-2</v>
      </c>
      <c r="T3302">
        <v>629.54666666666674</v>
      </c>
      <c r="U3302">
        <v>1</v>
      </c>
      <c r="V3302">
        <v>2024</v>
      </c>
      <c r="W3302">
        <v>1</v>
      </c>
      <c r="X3302" t="s">
        <v>9899</v>
      </c>
      <c r="Y3302" t="s">
        <v>9901</v>
      </c>
      <c r="Z3302" t="s">
        <v>9898</v>
      </c>
      <c r="AD3302">
        <f t="shared" si="103"/>
        <v>3</v>
      </c>
    </row>
    <row r="3303" spans="1:30" x14ac:dyDescent="0.25">
      <c r="A3303" t="s">
        <v>3327</v>
      </c>
      <c r="B3303" s="2">
        <v>44979</v>
      </c>
      <c r="C3303" s="2">
        <v>44983</v>
      </c>
      <c r="D3303" t="s">
        <v>5110</v>
      </c>
      <c r="E3303" t="s">
        <v>5610</v>
      </c>
      <c r="F3303" t="s">
        <v>6028</v>
      </c>
      <c r="G3303" t="s">
        <v>6029</v>
      </c>
      <c r="H3303" t="s">
        <v>6032</v>
      </c>
      <c r="I3303" t="s">
        <v>6049</v>
      </c>
      <c r="J3303" t="s">
        <v>6053</v>
      </c>
      <c r="K3303" t="s">
        <v>6057</v>
      </c>
      <c r="L3303" t="s">
        <v>6905</v>
      </c>
      <c r="M3303">
        <v>358.21</v>
      </c>
      <c r="N3303">
        <v>5</v>
      </c>
      <c r="O3303">
        <v>0.24</v>
      </c>
      <c r="P3303">
        <v>-2.76</v>
      </c>
      <c r="Q3303" t="s">
        <v>9896</v>
      </c>
      <c r="R3303">
        <v>4</v>
      </c>
      <c r="S3303" s="5">
        <f t="shared" si="102"/>
        <v>-7.7049775271488792E-3</v>
      </c>
      <c r="T3303">
        <v>71.641999999999996</v>
      </c>
      <c r="U3303">
        <v>2</v>
      </c>
      <c r="V3303">
        <v>2023</v>
      </c>
      <c r="W3303">
        <v>1</v>
      </c>
      <c r="X3303" t="s">
        <v>9898</v>
      </c>
      <c r="Y3303" t="s">
        <v>9900</v>
      </c>
      <c r="Z3303" t="s">
        <v>9899</v>
      </c>
      <c r="AD3303">
        <f t="shared" si="103"/>
        <v>4</v>
      </c>
    </row>
    <row r="3304" spans="1:30" x14ac:dyDescent="0.25">
      <c r="A3304" t="s">
        <v>3328</v>
      </c>
      <c r="B3304" s="2">
        <v>44909</v>
      </c>
      <c r="C3304" s="2">
        <v>44912</v>
      </c>
      <c r="D3304" t="s">
        <v>5370</v>
      </c>
      <c r="E3304" t="s">
        <v>5870</v>
      </c>
      <c r="F3304" t="s">
        <v>6027</v>
      </c>
      <c r="G3304" t="s">
        <v>6030</v>
      </c>
      <c r="H3304" t="s">
        <v>6033</v>
      </c>
      <c r="I3304" t="s">
        <v>6047</v>
      </c>
      <c r="J3304" t="s">
        <v>6054</v>
      </c>
      <c r="K3304" t="s">
        <v>6062</v>
      </c>
      <c r="L3304" t="s">
        <v>8684</v>
      </c>
      <c r="M3304">
        <v>597.35</v>
      </c>
      <c r="N3304">
        <v>8</v>
      </c>
      <c r="O3304">
        <v>7.0000000000000007E-2</v>
      </c>
      <c r="P3304">
        <v>31.25</v>
      </c>
      <c r="Q3304" t="s">
        <v>9897</v>
      </c>
      <c r="R3304">
        <v>3</v>
      </c>
      <c r="S3304" s="5">
        <f t="shared" si="102"/>
        <v>5.2314388549426633E-2</v>
      </c>
      <c r="T3304">
        <v>74.668750000000003</v>
      </c>
      <c r="U3304">
        <v>12</v>
      </c>
      <c r="V3304">
        <v>2022</v>
      </c>
      <c r="W3304">
        <v>4</v>
      </c>
      <c r="X3304" t="s">
        <v>9899</v>
      </c>
      <c r="Y3304" t="s">
        <v>9901</v>
      </c>
      <c r="Z3304" t="s">
        <v>9899</v>
      </c>
      <c r="AD3304">
        <f t="shared" si="103"/>
        <v>3</v>
      </c>
    </row>
    <row r="3305" spans="1:30" x14ac:dyDescent="0.25">
      <c r="A3305" t="s">
        <v>3329</v>
      </c>
      <c r="B3305" s="2">
        <v>45359</v>
      </c>
      <c r="C3305" s="2">
        <v>45365</v>
      </c>
      <c r="D3305" t="s">
        <v>5311</v>
      </c>
      <c r="E3305" t="s">
        <v>5811</v>
      </c>
      <c r="F3305" t="s">
        <v>6026</v>
      </c>
      <c r="G3305" t="s">
        <v>6031</v>
      </c>
      <c r="H3305" t="s">
        <v>6042</v>
      </c>
      <c r="I3305" t="s">
        <v>6050</v>
      </c>
      <c r="J3305" t="s">
        <v>6055</v>
      </c>
      <c r="K3305" t="s">
        <v>6063</v>
      </c>
      <c r="L3305" t="s">
        <v>8822</v>
      </c>
      <c r="M3305">
        <v>1889.62</v>
      </c>
      <c r="N3305">
        <v>2</v>
      </c>
      <c r="O3305">
        <v>0.14000000000000001</v>
      </c>
      <c r="P3305">
        <v>178.25</v>
      </c>
      <c r="Q3305" t="s">
        <v>9894</v>
      </c>
      <c r="R3305">
        <v>6</v>
      </c>
      <c r="S3305" s="5">
        <f t="shared" si="102"/>
        <v>9.4331135360548685E-2</v>
      </c>
      <c r="T3305">
        <v>944.81</v>
      </c>
      <c r="U3305">
        <v>3</v>
      </c>
      <c r="V3305">
        <v>2024</v>
      </c>
      <c r="W3305">
        <v>1</v>
      </c>
      <c r="X3305" t="s">
        <v>9899</v>
      </c>
      <c r="Y3305" t="s">
        <v>9901</v>
      </c>
      <c r="Z3305" t="s">
        <v>9898</v>
      </c>
      <c r="AD3305">
        <f t="shared" si="103"/>
        <v>6</v>
      </c>
    </row>
    <row r="3306" spans="1:30" x14ac:dyDescent="0.25">
      <c r="A3306" t="s">
        <v>3330</v>
      </c>
      <c r="B3306" s="2">
        <v>44699</v>
      </c>
      <c r="C3306" s="2">
        <v>44705</v>
      </c>
      <c r="D3306" t="s">
        <v>5286</v>
      </c>
      <c r="E3306" t="s">
        <v>5786</v>
      </c>
      <c r="F3306" t="s">
        <v>6026</v>
      </c>
      <c r="G3306" t="s">
        <v>6029</v>
      </c>
      <c r="H3306" t="s">
        <v>6041</v>
      </c>
      <c r="I3306" t="s">
        <v>6050</v>
      </c>
      <c r="J3306" t="s">
        <v>6054</v>
      </c>
      <c r="K3306" t="s">
        <v>6060</v>
      </c>
      <c r="L3306" t="s">
        <v>8823</v>
      </c>
      <c r="M3306">
        <v>1411.11</v>
      </c>
      <c r="N3306">
        <v>1</v>
      </c>
      <c r="O3306">
        <v>0.03</v>
      </c>
      <c r="P3306">
        <v>252.34</v>
      </c>
      <c r="Q3306" t="s">
        <v>9893</v>
      </c>
      <c r="R3306">
        <v>6</v>
      </c>
      <c r="S3306" s="5">
        <f t="shared" si="102"/>
        <v>0.1788237628533566</v>
      </c>
      <c r="T3306">
        <v>1411.11</v>
      </c>
      <c r="U3306">
        <v>5</v>
      </c>
      <c r="V3306">
        <v>2022</v>
      </c>
      <c r="W3306">
        <v>2</v>
      </c>
      <c r="X3306" t="s">
        <v>9899</v>
      </c>
      <c r="Y3306" t="s">
        <v>9901</v>
      </c>
      <c r="Z3306" t="s">
        <v>9898</v>
      </c>
      <c r="AD3306">
        <f t="shared" si="103"/>
        <v>6</v>
      </c>
    </row>
    <row r="3307" spans="1:30" x14ac:dyDescent="0.25">
      <c r="A3307" t="s">
        <v>3331</v>
      </c>
      <c r="B3307" s="2">
        <v>45221</v>
      </c>
      <c r="C3307" s="2">
        <v>45226</v>
      </c>
      <c r="D3307" t="s">
        <v>5267</v>
      </c>
      <c r="E3307" t="s">
        <v>5767</v>
      </c>
      <c r="F3307" t="s">
        <v>6027</v>
      </c>
      <c r="G3307" t="s">
        <v>6029</v>
      </c>
      <c r="H3307" t="s">
        <v>6041</v>
      </c>
      <c r="I3307" t="s">
        <v>6050</v>
      </c>
      <c r="J3307" t="s">
        <v>6053</v>
      </c>
      <c r="K3307" t="s">
        <v>6056</v>
      </c>
      <c r="L3307" t="s">
        <v>8824</v>
      </c>
      <c r="M3307">
        <v>1884.47</v>
      </c>
      <c r="N3307">
        <v>7</v>
      </c>
      <c r="O3307">
        <v>0.3</v>
      </c>
      <c r="P3307">
        <v>-35.58</v>
      </c>
      <c r="Q3307" t="s">
        <v>9894</v>
      </c>
      <c r="R3307">
        <v>5</v>
      </c>
      <c r="S3307" s="5">
        <f t="shared" si="102"/>
        <v>-1.8880640179997559E-2</v>
      </c>
      <c r="T3307">
        <v>269.20999999999998</v>
      </c>
      <c r="U3307">
        <v>10</v>
      </c>
      <c r="V3307">
        <v>2023</v>
      </c>
      <c r="W3307">
        <v>4</v>
      </c>
      <c r="X3307" t="s">
        <v>9898</v>
      </c>
      <c r="Y3307" t="s">
        <v>9900</v>
      </c>
      <c r="Z3307" t="s">
        <v>9898</v>
      </c>
      <c r="AD3307">
        <f t="shared" si="103"/>
        <v>5</v>
      </c>
    </row>
    <row r="3308" spans="1:30" x14ac:dyDescent="0.25">
      <c r="A3308" t="s">
        <v>3332</v>
      </c>
      <c r="B3308" s="2">
        <v>44999</v>
      </c>
      <c r="C3308" s="2">
        <v>45005</v>
      </c>
      <c r="D3308" t="s">
        <v>5502</v>
      </c>
      <c r="E3308" t="s">
        <v>6002</v>
      </c>
      <c r="F3308" t="s">
        <v>6028</v>
      </c>
      <c r="G3308" t="s">
        <v>6031</v>
      </c>
      <c r="H3308" t="s">
        <v>6037</v>
      </c>
      <c r="I3308" t="s">
        <v>6050</v>
      </c>
      <c r="J3308" t="s">
        <v>6055</v>
      </c>
      <c r="K3308" t="s">
        <v>6064</v>
      </c>
      <c r="L3308" t="s">
        <v>7174</v>
      </c>
      <c r="M3308">
        <v>1584.69</v>
      </c>
      <c r="N3308">
        <v>2</v>
      </c>
      <c r="O3308">
        <v>0.31</v>
      </c>
      <c r="P3308">
        <v>-72.099999999999994</v>
      </c>
      <c r="Q3308" t="s">
        <v>9895</v>
      </c>
      <c r="R3308">
        <v>6</v>
      </c>
      <c r="S3308" s="5">
        <f t="shared" si="102"/>
        <v>-4.5497857625150656E-2</v>
      </c>
      <c r="T3308">
        <v>792.34500000000003</v>
      </c>
      <c r="U3308">
        <v>3</v>
      </c>
      <c r="V3308">
        <v>2023</v>
      </c>
      <c r="W3308">
        <v>1</v>
      </c>
      <c r="X3308" t="s">
        <v>9898</v>
      </c>
      <c r="Y3308" t="s">
        <v>9902</v>
      </c>
      <c r="Z3308" t="s">
        <v>9898</v>
      </c>
      <c r="AD3308">
        <f t="shared" si="103"/>
        <v>6</v>
      </c>
    </row>
    <row r="3309" spans="1:30" x14ac:dyDescent="0.25">
      <c r="A3309" t="s">
        <v>3333</v>
      </c>
      <c r="B3309" s="2">
        <v>45155</v>
      </c>
      <c r="C3309" s="2">
        <v>45159</v>
      </c>
      <c r="D3309" t="s">
        <v>5132</v>
      </c>
      <c r="E3309" t="s">
        <v>5632</v>
      </c>
      <c r="F3309" t="s">
        <v>6028</v>
      </c>
      <c r="G3309" t="s">
        <v>6029</v>
      </c>
      <c r="H3309" t="s">
        <v>6044</v>
      </c>
      <c r="I3309" t="s">
        <v>6046</v>
      </c>
      <c r="J3309" t="s">
        <v>6053</v>
      </c>
      <c r="K3309" t="s">
        <v>6056</v>
      </c>
      <c r="L3309" t="s">
        <v>8825</v>
      </c>
      <c r="M3309">
        <v>817.5</v>
      </c>
      <c r="N3309">
        <v>7</v>
      </c>
      <c r="O3309">
        <v>0.18</v>
      </c>
      <c r="P3309">
        <v>-28.34</v>
      </c>
      <c r="Q3309" t="s">
        <v>9897</v>
      </c>
      <c r="R3309">
        <v>4</v>
      </c>
      <c r="S3309" s="5">
        <f t="shared" si="102"/>
        <v>-3.4666666666666665E-2</v>
      </c>
      <c r="T3309">
        <v>116.78571428571431</v>
      </c>
      <c r="U3309">
        <v>8</v>
      </c>
      <c r="V3309">
        <v>2023</v>
      </c>
      <c r="W3309">
        <v>3</v>
      </c>
      <c r="X3309" t="s">
        <v>9898</v>
      </c>
      <c r="Y3309" t="s">
        <v>9900</v>
      </c>
      <c r="Z3309" t="s">
        <v>9899</v>
      </c>
      <c r="AD3309">
        <f t="shared" si="103"/>
        <v>4</v>
      </c>
    </row>
    <row r="3310" spans="1:30" x14ac:dyDescent="0.25">
      <c r="A3310" t="s">
        <v>3334</v>
      </c>
      <c r="B3310" s="2">
        <v>44831</v>
      </c>
      <c r="C3310" s="2">
        <v>44834</v>
      </c>
      <c r="D3310" t="s">
        <v>5386</v>
      </c>
      <c r="E3310" t="s">
        <v>5886</v>
      </c>
      <c r="F3310" t="s">
        <v>6026</v>
      </c>
      <c r="G3310" t="s">
        <v>6030</v>
      </c>
      <c r="H3310" t="s">
        <v>6039</v>
      </c>
      <c r="I3310" t="s">
        <v>6051</v>
      </c>
      <c r="J3310" t="s">
        <v>6054</v>
      </c>
      <c r="K3310" t="s">
        <v>6062</v>
      </c>
      <c r="L3310" t="s">
        <v>7534</v>
      </c>
      <c r="M3310">
        <v>1910.81</v>
      </c>
      <c r="N3310">
        <v>3</v>
      </c>
      <c r="O3310">
        <v>0.24</v>
      </c>
      <c r="P3310">
        <v>-11.57</v>
      </c>
      <c r="Q3310" t="s">
        <v>9895</v>
      </c>
      <c r="R3310">
        <v>3</v>
      </c>
      <c r="S3310" s="5">
        <f t="shared" si="102"/>
        <v>-6.0550237857243793E-3</v>
      </c>
      <c r="T3310">
        <v>636.93666666666661</v>
      </c>
      <c r="U3310">
        <v>9</v>
      </c>
      <c r="V3310">
        <v>2022</v>
      </c>
      <c r="W3310">
        <v>3</v>
      </c>
      <c r="X3310" t="s">
        <v>9898</v>
      </c>
      <c r="Y3310" t="s">
        <v>9900</v>
      </c>
      <c r="Z3310" t="s">
        <v>9898</v>
      </c>
      <c r="AD3310">
        <f t="shared" si="103"/>
        <v>3</v>
      </c>
    </row>
    <row r="3311" spans="1:30" x14ac:dyDescent="0.25">
      <c r="A3311" t="s">
        <v>3335</v>
      </c>
      <c r="B3311" s="2">
        <v>44911</v>
      </c>
      <c r="C3311" s="2">
        <v>44916</v>
      </c>
      <c r="D3311" t="s">
        <v>5079</v>
      </c>
      <c r="E3311" t="s">
        <v>5579</v>
      </c>
      <c r="F3311" t="s">
        <v>6028</v>
      </c>
      <c r="G3311" t="s">
        <v>6031</v>
      </c>
      <c r="H3311" t="s">
        <v>6040</v>
      </c>
      <c r="I3311" t="s">
        <v>6050</v>
      </c>
      <c r="J3311" t="s">
        <v>6053</v>
      </c>
      <c r="K3311" t="s">
        <v>6058</v>
      </c>
      <c r="L3311" t="s">
        <v>8826</v>
      </c>
      <c r="M3311">
        <v>1853.27</v>
      </c>
      <c r="N3311">
        <v>1</v>
      </c>
      <c r="O3311">
        <v>0.31</v>
      </c>
      <c r="P3311">
        <v>-361.32</v>
      </c>
      <c r="Q3311" t="s">
        <v>9894</v>
      </c>
      <c r="R3311">
        <v>5</v>
      </c>
      <c r="S3311" s="5">
        <f t="shared" si="102"/>
        <v>-0.19496349695403259</v>
      </c>
      <c r="T3311">
        <v>1853.27</v>
      </c>
      <c r="U3311">
        <v>12</v>
      </c>
      <c r="V3311">
        <v>2022</v>
      </c>
      <c r="W3311">
        <v>4</v>
      </c>
      <c r="X3311" t="s">
        <v>9898</v>
      </c>
      <c r="Y3311" t="s">
        <v>9902</v>
      </c>
      <c r="Z3311" t="s">
        <v>9898</v>
      </c>
      <c r="AD3311">
        <f t="shared" si="103"/>
        <v>5</v>
      </c>
    </row>
    <row r="3312" spans="1:30" x14ac:dyDescent="0.25">
      <c r="A3312" t="s">
        <v>3336</v>
      </c>
      <c r="B3312" s="2">
        <v>44826</v>
      </c>
      <c r="C3312" s="2">
        <v>44829</v>
      </c>
      <c r="D3312" t="s">
        <v>5443</v>
      </c>
      <c r="E3312" t="s">
        <v>5943</v>
      </c>
      <c r="F3312" t="s">
        <v>6028</v>
      </c>
      <c r="G3312" t="s">
        <v>6031</v>
      </c>
      <c r="H3312" t="s">
        <v>6043</v>
      </c>
      <c r="I3312" t="s">
        <v>6052</v>
      </c>
      <c r="J3312" t="s">
        <v>6053</v>
      </c>
      <c r="K3312" t="s">
        <v>6056</v>
      </c>
      <c r="L3312" t="s">
        <v>7289</v>
      </c>
      <c r="M3312">
        <v>1879.92</v>
      </c>
      <c r="N3312">
        <v>3</v>
      </c>
      <c r="O3312">
        <v>0.06</v>
      </c>
      <c r="P3312">
        <v>431.46</v>
      </c>
      <c r="Q3312" t="s">
        <v>9897</v>
      </c>
      <c r="R3312">
        <v>3</v>
      </c>
      <c r="S3312" s="5">
        <f t="shared" si="102"/>
        <v>0.22950976637303713</v>
      </c>
      <c r="T3312">
        <v>626.64</v>
      </c>
      <c r="U3312">
        <v>9</v>
      </c>
      <c r="V3312">
        <v>2022</v>
      </c>
      <c r="W3312">
        <v>3</v>
      </c>
      <c r="X3312" t="s">
        <v>9899</v>
      </c>
      <c r="Y3312" t="s">
        <v>9901</v>
      </c>
      <c r="Z3312" t="s">
        <v>9898</v>
      </c>
      <c r="AD3312">
        <f t="shared" si="103"/>
        <v>3</v>
      </c>
    </row>
    <row r="3313" spans="1:30" x14ac:dyDescent="0.25">
      <c r="A3313" t="s">
        <v>3337</v>
      </c>
      <c r="B3313" s="2">
        <v>44598</v>
      </c>
      <c r="C3313" s="2">
        <v>44600</v>
      </c>
      <c r="D3313" t="s">
        <v>5268</v>
      </c>
      <c r="E3313" t="s">
        <v>5768</v>
      </c>
      <c r="F3313" t="s">
        <v>6027</v>
      </c>
      <c r="G3313" t="s">
        <v>6031</v>
      </c>
      <c r="H3313" t="s">
        <v>6042</v>
      </c>
      <c r="I3313" t="s">
        <v>6048</v>
      </c>
      <c r="J3313" t="s">
        <v>6055</v>
      </c>
      <c r="K3313" t="s">
        <v>6063</v>
      </c>
      <c r="L3313" t="s">
        <v>8827</v>
      </c>
      <c r="M3313">
        <v>696.1</v>
      </c>
      <c r="N3313">
        <v>8</v>
      </c>
      <c r="O3313">
        <v>0.32</v>
      </c>
      <c r="P3313">
        <v>-17.670000000000002</v>
      </c>
      <c r="Q3313" t="s">
        <v>9893</v>
      </c>
      <c r="R3313">
        <v>2</v>
      </c>
      <c r="S3313" s="5">
        <f t="shared" si="102"/>
        <v>-2.5384283867260451E-2</v>
      </c>
      <c r="T3313">
        <v>87.012500000000003</v>
      </c>
      <c r="U3313">
        <v>2</v>
      </c>
      <c r="V3313">
        <v>2022</v>
      </c>
      <c r="W3313">
        <v>1</v>
      </c>
      <c r="X3313" t="s">
        <v>9898</v>
      </c>
      <c r="Y3313" t="s">
        <v>9902</v>
      </c>
      <c r="Z3313" t="s">
        <v>9899</v>
      </c>
      <c r="AD3313">
        <f t="shared" si="103"/>
        <v>2</v>
      </c>
    </row>
    <row r="3314" spans="1:30" x14ac:dyDescent="0.25">
      <c r="A3314" t="s">
        <v>3338</v>
      </c>
      <c r="B3314" s="2">
        <v>44798</v>
      </c>
      <c r="C3314" s="2">
        <v>44802</v>
      </c>
      <c r="D3314" t="s">
        <v>5185</v>
      </c>
      <c r="E3314" t="s">
        <v>5685</v>
      </c>
      <c r="F3314" t="s">
        <v>6028</v>
      </c>
      <c r="G3314" t="s">
        <v>6031</v>
      </c>
      <c r="H3314" t="s">
        <v>6042</v>
      </c>
      <c r="I3314" t="s">
        <v>6048</v>
      </c>
      <c r="J3314" t="s">
        <v>6054</v>
      </c>
      <c r="K3314" t="s">
        <v>6060</v>
      </c>
      <c r="L3314" t="s">
        <v>6269</v>
      </c>
      <c r="M3314">
        <v>1276.06</v>
      </c>
      <c r="N3314">
        <v>5</v>
      </c>
      <c r="O3314">
        <v>0.2</v>
      </c>
      <c r="P3314">
        <v>-7.19</v>
      </c>
      <c r="Q3314" t="s">
        <v>9895</v>
      </c>
      <c r="R3314">
        <v>4</v>
      </c>
      <c r="S3314" s="5">
        <f t="shared" si="102"/>
        <v>-5.6345312916320552E-3</v>
      </c>
      <c r="T3314">
        <v>255.21199999999999</v>
      </c>
      <c r="U3314">
        <v>8</v>
      </c>
      <c r="V3314">
        <v>2022</v>
      </c>
      <c r="W3314">
        <v>3</v>
      </c>
      <c r="X3314" t="s">
        <v>9898</v>
      </c>
      <c r="Y3314" t="s">
        <v>9900</v>
      </c>
      <c r="Z3314" t="s">
        <v>9898</v>
      </c>
      <c r="AD3314">
        <f t="shared" si="103"/>
        <v>4</v>
      </c>
    </row>
    <row r="3315" spans="1:30" x14ac:dyDescent="0.25">
      <c r="A3315" t="s">
        <v>3339</v>
      </c>
      <c r="B3315" s="2">
        <v>44729</v>
      </c>
      <c r="C3315" s="2">
        <v>44733</v>
      </c>
      <c r="D3315" t="s">
        <v>5336</v>
      </c>
      <c r="E3315" t="s">
        <v>5836</v>
      </c>
      <c r="F3315" t="s">
        <v>6026</v>
      </c>
      <c r="G3315" t="s">
        <v>6029</v>
      </c>
      <c r="H3315" t="s">
        <v>6032</v>
      </c>
      <c r="I3315" t="s">
        <v>6049</v>
      </c>
      <c r="J3315" t="s">
        <v>6054</v>
      </c>
      <c r="K3315" t="s">
        <v>6062</v>
      </c>
      <c r="L3315" t="s">
        <v>8828</v>
      </c>
      <c r="M3315">
        <v>378.87</v>
      </c>
      <c r="N3315">
        <v>8</v>
      </c>
      <c r="O3315">
        <v>0.3</v>
      </c>
      <c r="P3315">
        <v>-25.26</v>
      </c>
      <c r="Q3315" t="s">
        <v>9893</v>
      </c>
      <c r="R3315">
        <v>4</v>
      </c>
      <c r="S3315" s="5">
        <f t="shared" si="102"/>
        <v>-6.6671945522210785E-2</v>
      </c>
      <c r="T3315">
        <v>47.358750000000001</v>
      </c>
      <c r="U3315">
        <v>6</v>
      </c>
      <c r="V3315">
        <v>2022</v>
      </c>
      <c r="W3315">
        <v>2</v>
      </c>
      <c r="X3315" t="s">
        <v>9898</v>
      </c>
      <c r="Y3315" t="s">
        <v>9900</v>
      </c>
      <c r="Z3315" t="s">
        <v>9899</v>
      </c>
      <c r="AD3315">
        <f t="shared" si="103"/>
        <v>4</v>
      </c>
    </row>
    <row r="3316" spans="1:30" x14ac:dyDescent="0.25">
      <c r="A3316" t="s">
        <v>3340</v>
      </c>
      <c r="B3316" s="2">
        <v>44566</v>
      </c>
      <c r="C3316" s="2">
        <v>44569</v>
      </c>
      <c r="D3316" t="s">
        <v>5111</v>
      </c>
      <c r="E3316" t="s">
        <v>5611</v>
      </c>
      <c r="F3316" t="s">
        <v>6026</v>
      </c>
      <c r="G3316" t="s">
        <v>6030</v>
      </c>
      <c r="H3316" t="s">
        <v>6038</v>
      </c>
      <c r="I3316" t="s">
        <v>6051</v>
      </c>
      <c r="J3316" t="s">
        <v>6055</v>
      </c>
      <c r="K3316" t="s">
        <v>6061</v>
      </c>
      <c r="L3316" t="s">
        <v>8829</v>
      </c>
      <c r="M3316">
        <v>1892.79</v>
      </c>
      <c r="N3316">
        <v>4</v>
      </c>
      <c r="O3316">
        <v>0.24</v>
      </c>
      <c r="P3316">
        <v>-197.13</v>
      </c>
      <c r="Q3316" t="s">
        <v>9896</v>
      </c>
      <c r="R3316">
        <v>3</v>
      </c>
      <c r="S3316" s="5">
        <f t="shared" si="102"/>
        <v>-0.10414784524432187</v>
      </c>
      <c r="T3316">
        <v>473.19749999999999</v>
      </c>
      <c r="U3316">
        <v>1</v>
      </c>
      <c r="V3316">
        <v>2022</v>
      </c>
      <c r="W3316">
        <v>1</v>
      </c>
      <c r="X3316" t="s">
        <v>9898</v>
      </c>
      <c r="Y3316" t="s">
        <v>9900</v>
      </c>
      <c r="Z3316" t="s">
        <v>9898</v>
      </c>
      <c r="AD3316">
        <f t="shared" si="103"/>
        <v>3</v>
      </c>
    </row>
    <row r="3317" spans="1:30" x14ac:dyDescent="0.25">
      <c r="A3317" t="s">
        <v>3341</v>
      </c>
      <c r="B3317" s="2">
        <v>45161</v>
      </c>
      <c r="C3317" s="2">
        <v>45167</v>
      </c>
      <c r="D3317" t="s">
        <v>5320</v>
      </c>
      <c r="E3317" t="s">
        <v>5820</v>
      </c>
      <c r="F3317" t="s">
        <v>6028</v>
      </c>
      <c r="G3317" t="s">
        <v>6029</v>
      </c>
      <c r="H3317" t="s">
        <v>6044</v>
      </c>
      <c r="I3317" t="s">
        <v>6050</v>
      </c>
      <c r="J3317" t="s">
        <v>6054</v>
      </c>
      <c r="K3317" t="s">
        <v>6059</v>
      </c>
      <c r="L3317" t="s">
        <v>6883</v>
      </c>
      <c r="M3317">
        <v>1664.26</v>
      </c>
      <c r="N3317">
        <v>8</v>
      </c>
      <c r="O3317">
        <v>0.03</v>
      </c>
      <c r="P3317">
        <v>208.78</v>
      </c>
      <c r="Q3317" t="s">
        <v>9896</v>
      </c>
      <c r="R3317">
        <v>6</v>
      </c>
      <c r="S3317" s="5">
        <f t="shared" si="102"/>
        <v>0.12544914857053585</v>
      </c>
      <c r="T3317">
        <v>208.0325</v>
      </c>
      <c r="U3317">
        <v>8</v>
      </c>
      <c r="V3317">
        <v>2023</v>
      </c>
      <c r="W3317">
        <v>3</v>
      </c>
      <c r="X3317" t="s">
        <v>9899</v>
      </c>
      <c r="Y3317" t="s">
        <v>9901</v>
      </c>
      <c r="Z3317" t="s">
        <v>9898</v>
      </c>
      <c r="AD3317">
        <f t="shared" si="103"/>
        <v>6</v>
      </c>
    </row>
    <row r="3318" spans="1:30" x14ac:dyDescent="0.25">
      <c r="A3318" t="s">
        <v>3342</v>
      </c>
      <c r="B3318" s="2">
        <v>45240</v>
      </c>
      <c r="C3318" s="2">
        <v>45244</v>
      </c>
      <c r="D3318" t="s">
        <v>5405</v>
      </c>
      <c r="E3318" t="s">
        <v>5905</v>
      </c>
      <c r="F3318" t="s">
        <v>6028</v>
      </c>
      <c r="G3318" t="s">
        <v>6030</v>
      </c>
      <c r="H3318" t="s">
        <v>6035</v>
      </c>
      <c r="I3318" t="s">
        <v>6047</v>
      </c>
      <c r="J3318" t="s">
        <v>6055</v>
      </c>
      <c r="K3318" t="s">
        <v>6064</v>
      </c>
      <c r="L3318" t="s">
        <v>8830</v>
      </c>
      <c r="M3318">
        <v>1470.92</v>
      </c>
      <c r="N3318">
        <v>2</v>
      </c>
      <c r="O3318">
        <v>0.12</v>
      </c>
      <c r="P3318">
        <v>25.64</v>
      </c>
      <c r="Q3318" t="s">
        <v>9894</v>
      </c>
      <c r="R3318">
        <v>4</v>
      </c>
      <c r="S3318" s="5">
        <f t="shared" si="102"/>
        <v>1.7431267506050636E-2</v>
      </c>
      <c r="T3318">
        <v>735.46</v>
      </c>
      <c r="U3318">
        <v>11</v>
      </c>
      <c r="V3318">
        <v>2023</v>
      </c>
      <c r="W3318">
        <v>4</v>
      </c>
      <c r="X3318" t="s">
        <v>9899</v>
      </c>
      <c r="Y3318" t="s">
        <v>9901</v>
      </c>
      <c r="Z3318" t="s">
        <v>9898</v>
      </c>
      <c r="AD3318">
        <f t="shared" si="103"/>
        <v>4</v>
      </c>
    </row>
    <row r="3319" spans="1:30" x14ac:dyDescent="0.25">
      <c r="A3319" t="s">
        <v>3343</v>
      </c>
      <c r="B3319" s="2">
        <v>44871</v>
      </c>
      <c r="C3319" s="2">
        <v>44874</v>
      </c>
      <c r="D3319" t="s">
        <v>5405</v>
      </c>
      <c r="E3319" t="s">
        <v>5905</v>
      </c>
      <c r="F3319" t="s">
        <v>6028</v>
      </c>
      <c r="G3319" t="s">
        <v>6031</v>
      </c>
      <c r="H3319" t="s">
        <v>6040</v>
      </c>
      <c r="I3319" t="s">
        <v>6050</v>
      </c>
      <c r="J3319" t="s">
        <v>6053</v>
      </c>
      <c r="K3319" t="s">
        <v>6057</v>
      </c>
      <c r="L3319" t="s">
        <v>8831</v>
      </c>
      <c r="M3319">
        <v>1837.45</v>
      </c>
      <c r="N3319">
        <v>8</v>
      </c>
      <c r="O3319">
        <v>0.26</v>
      </c>
      <c r="P3319">
        <v>10.61</v>
      </c>
      <c r="Q3319" t="s">
        <v>9895</v>
      </c>
      <c r="R3319">
        <v>3</v>
      </c>
      <c r="S3319" s="5">
        <f t="shared" si="102"/>
        <v>5.7743067838580634E-3</v>
      </c>
      <c r="T3319">
        <v>229.68125000000001</v>
      </c>
      <c r="U3319">
        <v>11</v>
      </c>
      <c r="V3319">
        <v>2022</v>
      </c>
      <c r="W3319">
        <v>4</v>
      </c>
      <c r="X3319" t="s">
        <v>9899</v>
      </c>
      <c r="Y3319" t="s">
        <v>9900</v>
      </c>
      <c r="Z3319" t="s">
        <v>9898</v>
      </c>
      <c r="AD3319">
        <f t="shared" si="103"/>
        <v>3</v>
      </c>
    </row>
    <row r="3320" spans="1:30" x14ac:dyDescent="0.25">
      <c r="A3320" t="s">
        <v>3344</v>
      </c>
      <c r="B3320" s="2">
        <v>44827</v>
      </c>
      <c r="C3320" s="2">
        <v>44833</v>
      </c>
      <c r="D3320" t="s">
        <v>5167</v>
      </c>
      <c r="E3320" t="s">
        <v>5667</v>
      </c>
      <c r="F3320" t="s">
        <v>6028</v>
      </c>
      <c r="G3320" t="s">
        <v>6029</v>
      </c>
      <c r="H3320" t="s">
        <v>6044</v>
      </c>
      <c r="I3320" t="s">
        <v>6050</v>
      </c>
      <c r="J3320" t="s">
        <v>6054</v>
      </c>
      <c r="K3320" t="s">
        <v>6059</v>
      </c>
      <c r="L3320" t="s">
        <v>8076</v>
      </c>
      <c r="M3320">
        <v>1900.4</v>
      </c>
      <c r="N3320">
        <v>1</v>
      </c>
      <c r="O3320">
        <v>0.22</v>
      </c>
      <c r="P3320">
        <v>-1.42</v>
      </c>
      <c r="Q3320" t="s">
        <v>9893</v>
      </c>
      <c r="R3320">
        <v>6</v>
      </c>
      <c r="S3320" s="5">
        <f t="shared" si="102"/>
        <v>-7.4721111344980002E-4</v>
      </c>
      <c r="T3320">
        <v>1900.4</v>
      </c>
      <c r="U3320">
        <v>9</v>
      </c>
      <c r="V3320">
        <v>2022</v>
      </c>
      <c r="W3320">
        <v>3</v>
      </c>
      <c r="X3320" t="s">
        <v>9898</v>
      </c>
      <c r="Y3320" t="s">
        <v>9900</v>
      </c>
      <c r="Z3320" t="s">
        <v>9898</v>
      </c>
      <c r="AD3320">
        <f t="shared" si="103"/>
        <v>6</v>
      </c>
    </row>
    <row r="3321" spans="1:30" x14ac:dyDescent="0.25">
      <c r="A3321" t="s">
        <v>3345</v>
      </c>
      <c r="B3321" s="2">
        <v>44628</v>
      </c>
      <c r="C3321" s="2">
        <v>44632</v>
      </c>
      <c r="D3321" t="s">
        <v>5228</v>
      </c>
      <c r="E3321" t="s">
        <v>5728</v>
      </c>
      <c r="F3321" t="s">
        <v>6026</v>
      </c>
      <c r="G3321" t="s">
        <v>6031</v>
      </c>
      <c r="H3321" t="s">
        <v>6034</v>
      </c>
      <c r="I3321" t="s">
        <v>6050</v>
      </c>
      <c r="J3321" t="s">
        <v>6055</v>
      </c>
      <c r="K3321" t="s">
        <v>6064</v>
      </c>
      <c r="L3321" t="s">
        <v>6725</v>
      </c>
      <c r="M3321">
        <v>254.6</v>
      </c>
      <c r="N3321">
        <v>8</v>
      </c>
      <c r="O3321">
        <v>0.15</v>
      </c>
      <c r="P3321">
        <v>2.2000000000000002</v>
      </c>
      <c r="Q3321" t="s">
        <v>9897</v>
      </c>
      <c r="R3321">
        <v>4</v>
      </c>
      <c r="S3321" s="5">
        <f t="shared" si="102"/>
        <v>8.6410054988216821E-3</v>
      </c>
      <c r="T3321">
        <v>31.824999999999999</v>
      </c>
      <c r="U3321">
        <v>3</v>
      </c>
      <c r="V3321">
        <v>2022</v>
      </c>
      <c r="W3321">
        <v>1</v>
      </c>
      <c r="X3321" t="s">
        <v>9899</v>
      </c>
      <c r="Y3321" t="s">
        <v>9901</v>
      </c>
      <c r="Z3321" t="s">
        <v>9899</v>
      </c>
      <c r="AD3321">
        <f t="shared" si="103"/>
        <v>4</v>
      </c>
    </row>
    <row r="3322" spans="1:30" x14ac:dyDescent="0.25">
      <c r="A3322" t="s">
        <v>3346</v>
      </c>
      <c r="B3322" s="2">
        <v>45371</v>
      </c>
      <c r="C3322" s="2">
        <v>45378</v>
      </c>
      <c r="D3322" t="s">
        <v>5117</v>
      </c>
      <c r="E3322" t="s">
        <v>5617</v>
      </c>
      <c r="F3322" t="s">
        <v>6026</v>
      </c>
      <c r="G3322" t="s">
        <v>6029</v>
      </c>
      <c r="H3322" t="s">
        <v>6036</v>
      </c>
      <c r="I3322" t="s">
        <v>6050</v>
      </c>
      <c r="J3322" t="s">
        <v>6053</v>
      </c>
      <c r="K3322" t="s">
        <v>6058</v>
      </c>
      <c r="L3322" t="s">
        <v>8832</v>
      </c>
      <c r="M3322">
        <v>896.64</v>
      </c>
      <c r="N3322">
        <v>7</v>
      </c>
      <c r="O3322">
        <v>0.33</v>
      </c>
      <c r="P3322">
        <v>-136.33000000000001</v>
      </c>
      <c r="Q3322" t="s">
        <v>9893</v>
      </c>
      <c r="R3322">
        <v>7</v>
      </c>
      <c r="S3322" s="5">
        <f t="shared" si="102"/>
        <v>-0.15204541399000715</v>
      </c>
      <c r="T3322">
        <v>128.09142857142859</v>
      </c>
      <c r="U3322">
        <v>3</v>
      </c>
      <c r="V3322">
        <v>2024</v>
      </c>
      <c r="W3322">
        <v>1</v>
      </c>
      <c r="X3322" t="s">
        <v>9898</v>
      </c>
      <c r="Y3322" t="s">
        <v>9902</v>
      </c>
      <c r="Z3322" t="s">
        <v>9899</v>
      </c>
      <c r="AD3322">
        <f t="shared" si="103"/>
        <v>7</v>
      </c>
    </row>
    <row r="3323" spans="1:30" x14ac:dyDescent="0.25">
      <c r="A3323" t="s">
        <v>3347</v>
      </c>
      <c r="B3323" s="2">
        <v>45251</v>
      </c>
      <c r="C3323" s="2">
        <v>45258</v>
      </c>
      <c r="D3323" t="s">
        <v>5080</v>
      </c>
      <c r="E3323" t="s">
        <v>5580</v>
      </c>
      <c r="F3323" t="s">
        <v>6028</v>
      </c>
      <c r="G3323" t="s">
        <v>6030</v>
      </c>
      <c r="H3323" t="s">
        <v>6039</v>
      </c>
      <c r="I3323" t="s">
        <v>6047</v>
      </c>
      <c r="J3323" t="s">
        <v>6053</v>
      </c>
      <c r="K3323" t="s">
        <v>6058</v>
      </c>
      <c r="L3323" t="s">
        <v>8833</v>
      </c>
      <c r="M3323">
        <v>132.25</v>
      </c>
      <c r="N3323">
        <v>1</v>
      </c>
      <c r="O3323">
        <v>0.02</v>
      </c>
      <c r="P3323">
        <v>33.28</v>
      </c>
      <c r="Q3323" t="s">
        <v>9895</v>
      </c>
      <c r="R3323">
        <v>7</v>
      </c>
      <c r="S3323" s="5">
        <f t="shared" si="102"/>
        <v>0.25164461247637054</v>
      </c>
      <c r="T3323">
        <v>132.25</v>
      </c>
      <c r="U3323">
        <v>11</v>
      </c>
      <c r="V3323">
        <v>2023</v>
      </c>
      <c r="W3323">
        <v>4</v>
      </c>
      <c r="X3323" t="s">
        <v>9899</v>
      </c>
      <c r="Y3323" t="s">
        <v>9901</v>
      </c>
      <c r="Z3323" t="s">
        <v>9899</v>
      </c>
      <c r="AD3323">
        <f t="shared" si="103"/>
        <v>7</v>
      </c>
    </row>
    <row r="3324" spans="1:30" x14ac:dyDescent="0.25">
      <c r="A3324" t="s">
        <v>3348</v>
      </c>
      <c r="B3324" s="2">
        <v>44778</v>
      </c>
      <c r="C3324" s="2">
        <v>44784</v>
      </c>
      <c r="D3324" t="s">
        <v>5441</v>
      </c>
      <c r="E3324" t="s">
        <v>5941</v>
      </c>
      <c r="F3324" t="s">
        <v>6028</v>
      </c>
      <c r="G3324" t="s">
        <v>6029</v>
      </c>
      <c r="H3324" t="s">
        <v>6036</v>
      </c>
      <c r="I3324" t="s">
        <v>6050</v>
      </c>
      <c r="J3324" t="s">
        <v>6053</v>
      </c>
      <c r="K3324" t="s">
        <v>6057</v>
      </c>
      <c r="L3324" t="s">
        <v>8834</v>
      </c>
      <c r="M3324">
        <v>324.02</v>
      </c>
      <c r="N3324">
        <v>6</v>
      </c>
      <c r="O3324">
        <v>0.13</v>
      </c>
      <c r="P3324">
        <v>10.79</v>
      </c>
      <c r="Q3324" t="s">
        <v>9894</v>
      </c>
      <c r="R3324">
        <v>6</v>
      </c>
      <c r="S3324" s="5">
        <f t="shared" si="102"/>
        <v>3.3300413554718841E-2</v>
      </c>
      <c r="T3324">
        <v>54.00333333333333</v>
      </c>
      <c r="U3324">
        <v>8</v>
      </c>
      <c r="V3324">
        <v>2022</v>
      </c>
      <c r="W3324">
        <v>3</v>
      </c>
      <c r="X3324" t="s">
        <v>9899</v>
      </c>
      <c r="Y3324" t="s">
        <v>9901</v>
      </c>
      <c r="Z3324" t="s">
        <v>9899</v>
      </c>
      <c r="AD3324">
        <f t="shared" si="103"/>
        <v>6</v>
      </c>
    </row>
    <row r="3325" spans="1:30" x14ac:dyDescent="0.25">
      <c r="A3325" t="s">
        <v>3349</v>
      </c>
      <c r="B3325" s="2">
        <v>45112</v>
      </c>
      <c r="C3325" s="2">
        <v>45117</v>
      </c>
      <c r="D3325" t="s">
        <v>5110</v>
      </c>
      <c r="E3325" t="s">
        <v>5610</v>
      </c>
      <c r="F3325" t="s">
        <v>6028</v>
      </c>
      <c r="G3325" t="s">
        <v>6029</v>
      </c>
      <c r="H3325" t="s">
        <v>6036</v>
      </c>
      <c r="I3325" t="s">
        <v>6046</v>
      </c>
      <c r="J3325" t="s">
        <v>6055</v>
      </c>
      <c r="K3325" t="s">
        <v>6061</v>
      </c>
      <c r="L3325" t="s">
        <v>8835</v>
      </c>
      <c r="M3325">
        <v>456.55</v>
      </c>
      <c r="N3325">
        <v>6</v>
      </c>
      <c r="O3325">
        <v>0.06</v>
      </c>
      <c r="P3325">
        <v>86.64</v>
      </c>
      <c r="Q3325" t="s">
        <v>9895</v>
      </c>
      <c r="R3325">
        <v>5</v>
      </c>
      <c r="S3325" s="5">
        <f t="shared" si="102"/>
        <v>0.18977110940751288</v>
      </c>
      <c r="T3325">
        <v>76.091666666666669</v>
      </c>
      <c r="U3325">
        <v>7</v>
      </c>
      <c r="V3325">
        <v>2023</v>
      </c>
      <c r="W3325">
        <v>3</v>
      </c>
      <c r="X3325" t="s">
        <v>9899</v>
      </c>
      <c r="Y3325" t="s">
        <v>9901</v>
      </c>
      <c r="Z3325" t="s">
        <v>9899</v>
      </c>
      <c r="AD3325">
        <f t="shared" si="103"/>
        <v>5</v>
      </c>
    </row>
    <row r="3326" spans="1:30" x14ac:dyDescent="0.25">
      <c r="A3326" t="s">
        <v>3350</v>
      </c>
      <c r="B3326" s="2">
        <v>45300</v>
      </c>
      <c r="C3326" s="2">
        <v>45307</v>
      </c>
      <c r="D3326" t="s">
        <v>5477</v>
      </c>
      <c r="E3326" t="s">
        <v>5977</v>
      </c>
      <c r="F3326" t="s">
        <v>6028</v>
      </c>
      <c r="G3326" t="s">
        <v>6030</v>
      </c>
      <c r="H3326" t="s">
        <v>6039</v>
      </c>
      <c r="I3326" t="s">
        <v>6051</v>
      </c>
      <c r="J3326" t="s">
        <v>6055</v>
      </c>
      <c r="K3326" t="s">
        <v>6064</v>
      </c>
      <c r="L3326" t="s">
        <v>8836</v>
      </c>
      <c r="M3326">
        <v>958.03</v>
      </c>
      <c r="N3326">
        <v>8</v>
      </c>
      <c r="O3326">
        <v>0.28999999999999998</v>
      </c>
      <c r="P3326">
        <v>-26.16</v>
      </c>
      <c r="Q3326" t="s">
        <v>9893</v>
      </c>
      <c r="R3326">
        <v>7</v>
      </c>
      <c r="S3326" s="5">
        <f t="shared" si="102"/>
        <v>-2.7306034257799861E-2</v>
      </c>
      <c r="T3326">
        <v>119.75375</v>
      </c>
      <c r="U3326">
        <v>1</v>
      </c>
      <c r="V3326">
        <v>2024</v>
      </c>
      <c r="W3326">
        <v>1</v>
      </c>
      <c r="X3326" t="s">
        <v>9898</v>
      </c>
      <c r="Y3326" t="s">
        <v>9900</v>
      </c>
      <c r="Z3326" t="s">
        <v>9899</v>
      </c>
      <c r="AD3326">
        <f t="shared" si="103"/>
        <v>7</v>
      </c>
    </row>
    <row r="3327" spans="1:30" x14ac:dyDescent="0.25">
      <c r="A3327" t="s">
        <v>3351</v>
      </c>
      <c r="B3327" s="2">
        <v>44580</v>
      </c>
      <c r="C3327" s="2">
        <v>44583</v>
      </c>
      <c r="D3327" t="s">
        <v>5381</v>
      </c>
      <c r="E3327" t="s">
        <v>5881</v>
      </c>
      <c r="F3327" t="s">
        <v>6028</v>
      </c>
      <c r="G3327" t="s">
        <v>6031</v>
      </c>
      <c r="H3327" t="s">
        <v>6043</v>
      </c>
      <c r="I3327" t="s">
        <v>6052</v>
      </c>
      <c r="J3327" t="s">
        <v>6054</v>
      </c>
      <c r="K3327" t="s">
        <v>6059</v>
      </c>
      <c r="L3327" t="s">
        <v>6736</v>
      </c>
      <c r="M3327">
        <v>580.48</v>
      </c>
      <c r="N3327">
        <v>8</v>
      </c>
      <c r="O3327">
        <v>0.17</v>
      </c>
      <c r="P3327">
        <v>-30.73</v>
      </c>
      <c r="Q3327" t="s">
        <v>9893</v>
      </c>
      <c r="R3327">
        <v>3</v>
      </c>
      <c r="S3327" s="5">
        <f t="shared" si="102"/>
        <v>-5.2938947078280042E-2</v>
      </c>
      <c r="T3327">
        <v>72.56</v>
      </c>
      <c r="U3327">
        <v>1</v>
      </c>
      <c r="V3327">
        <v>2022</v>
      </c>
      <c r="W3327">
        <v>1</v>
      </c>
      <c r="X3327" t="s">
        <v>9898</v>
      </c>
      <c r="Y3327" t="s">
        <v>9900</v>
      </c>
      <c r="Z3327" t="s">
        <v>9899</v>
      </c>
      <c r="AD3327">
        <f t="shared" si="103"/>
        <v>3</v>
      </c>
    </row>
    <row r="3328" spans="1:30" x14ac:dyDescent="0.25">
      <c r="A3328" t="s">
        <v>3352</v>
      </c>
      <c r="B3328" s="2">
        <v>45275</v>
      </c>
      <c r="C3328" s="2">
        <v>45279</v>
      </c>
      <c r="D3328" t="s">
        <v>5340</v>
      </c>
      <c r="E3328" t="s">
        <v>5840</v>
      </c>
      <c r="F3328" t="s">
        <v>6028</v>
      </c>
      <c r="G3328" t="s">
        <v>6031</v>
      </c>
      <c r="H3328" t="s">
        <v>6034</v>
      </c>
      <c r="I3328" t="s">
        <v>6048</v>
      </c>
      <c r="J3328" t="s">
        <v>6055</v>
      </c>
      <c r="K3328" t="s">
        <v>6061</v>
      </c>
      <c r="L3328" t="s">
        <v>8837</v>
      </c>
      <c r="M3328">
        <v>1024.68</v>
      </c>
      <c r="N3328">
        <v>7</v>
      </c>
      <c r="O3328">
        <v>0.17</v>
      </c>
      <c r="P3328">
        <v>49.77</v>
      </c>
      <c r="Q3328" t="s">
        <v>9895</v>
      </c>
      <c r="R3328">
        <v>4</v>
      </c>
      <c r="S3328" s="5">
        <f t="shared" si="102"/>
        <v>4.8571261271811689E-2</v>
      </c>
      <c r="T3328">
        <v>146.38285714285709</v>
      </c>
      <c r="U3328">
        <v>12</v>
      </c>
      <c r="V3328">
        <v>2023</v>
      </c>
      <c r="W3328">
        <v>4</v>
      </c>
      <c r="X3328" t="s">
        <v>9899</v>
      </c>
      <c r="Y3328" t="s">
        <v>9900</v>
      </c>
      <c r="Z3328" t="s">
        <v>9898</v>
      </c>
      <c r="AD3328">
        <f t="shared" si="103"/>
        <v>4</v>
      </c>
    </row>
    <row r="3329" spans="1:30" x14ac:dyDescent="0.25">
      <c r="A3329" t="s">
        <v>3353</v>
      </c>
      <c r="B3329" s="2">
        <v>45364</v>
      </c>
      <c r="C3329" s="2">
        <v>45370</v>
      </c>
      <c r="D3329" t="s">
        <v>5414</v>
      </c>
      <c r="E3329" t="s">
        <v>5914</v>
      </c>
      <c r="F3329" t="s">
        <v>6026</v>
      </c>
      <c r="G3329" t="s">
        <v>6031</v>
      </c>
      <c r="H3329" t="s">
        <v>6040</v>
      </c>
      <c r="I3329" t="s">
        <v>6048</v>
      </c>
      <c r="J3329" t="s">
        <v>6055</v>
      </c>
      <c r="K3329" t="s">
        <v>6063</v>
      </c>
      <c r="L3329" t="s">
        <v>8838</v>
      </c>
      <c r="M3329">
        <v>1366.26</v>
      </c>
      <c r="N3329">
        <v>3</v>
      </c>
      <c r="O3329">
        <v>0.16</v>
      </c>
      <c r="P3329">
        <v>40.36</v>
      </c>
      <c r="Q3329" t="s">
        <v>9893</v>
      </c>
      <c r="R3329">
        <v>6</v>
      </c>
      <c r="S3329" s="5">
        <f t="shared" si="102"/>
        <v>2.9540497416304365E-2</v>
      </c>
      <c r="T3329">
        <v>455.42</v>
      </c>
      <c r="U3329">
        <v>3</v>
      </c>
      <c r="V3329">
        <v>2024</v>
      </c>
      <c r="W3329">
        <v>1</v>
      </c>
      <c r="X3329" t="s">
        <v>9899</v>
      </c>
      <c r="Y3329" t="s">
        <v>9900</v>
      </c>
      <c r="Z3329" t="s">
        <v>9898</v>
      </c>
      <c r="AD3329">
        <f t="shared" si="103"/>
        <v>6</v>
      </c>
    </row>
    <row r="3330" spans="1:30" x14ac:dyDescent="0.25">
      <c r="A3330" t="s">
        <v>3354</v>
      </c>
      <c r="B3330" s="2">
        <v>45319</v>
      </c>
      <c r="C3330" s="2">
        <v>45325</v>
      </c>
      <c r="D3330" t="s">
        <v>5428</v>
      </c>
      <c r="E3330" t="s">
        <v>5928</v>
      </c>
      <c r="F3330" t="s">
        <v>6027</v>
      </c>
      <c r="G3330" t="s">
        <v>6029</v>
      </c>
      <c r="H3330" t="s">
        <v>6041</v>
      </c>
      <c r="I3330" t="s">
        <v>6046</v>
      </c>
      <c r="J3330" t="s">
        <v>6054</v>
      </c>
      <c r="K3330" t="s">
        <v>6059</v>
      </c>
      <c r="L3330" t="s">
        <v>8839</v>
      </c>
      <c r="M3330">
        <v>745.43</v>
      </c>
      <c r="N3330">
        <v>5</v>
      </c>
      <c r="O3330">
        <v>0.02</v>
      </c>
      <c r="P3330">
        <v>178.96</v>
      </c>
      <c r="Q3330" t="s">
        <v>9895</v>
      </c>
      <c r="R3330">
        <v>6</v>
      </c>
      <c r="S3330" s="5">
        <f t="shared" si="102"/>
        <v>0.24007619763089763</v>
      </c>
      <c r="T3330">
        <v>149.08600000000001</v>
      </c>
      <c r="U3330">
        <v>1</v>
      </c>
      <c r="V3330">
        <v>2024</v>
      </c>
      <c r="W3330">
        <v>1</v>
      </c>
      <c r="X3330" t="s">
        <v>9899</v>
      </c>
      <c r="Y3330" t="s">
        <v>9901</v>
      </c>
      <c r="Z3330" t="s">
        <v>9899</v>
      </c>
      <c r="AD3330">
        <f t="shared" si="103"/>
        <v>6</v>
      </c>
    </row>
    <row r="3331" spans="1:30" x14ac:dyDescent="0.25">
      <c r="A3331" t="s">
        <v>3355</v>
      </c>
      <c r="B3331" s="2">
        <v>44947</v>
      </c>
      <c r="C3331" s="2">
        <v>44948</v>
      </c>
      <c r="D3331" t="s">
        <v>5116</v>
      </c>
      <c r="E3331" t="s">
        <v>5616</v>
      </c>
      <c r="F3331" t="s">
        <v>6027</v>
      </c>
      <c r="G3331" t="s">
        <v>6029</v>
      </c>
      <c r="H3331" t="s">
        <v>6044</v>
      </c>
      <c r="I3331" t="s">
        <v>6050</v>
      </c>
      <c r="J3331" t="s">
        <v>6053</v>
      </c>
      <c r="K3331" t="s">
        <v>6057</v>
      </c>
      <c r="L3331" t="s">
        <v>8840</v>
      </c>
      <c r="M3331">
        <v>1373.05</v>
      </c>
      <c r="N3331">
        <v>5</v>
      </c>
      <c r="O3331">
        <v>0.11</v>
      </c>
      <c r="P3331">
        <v>100.35</v>
      </c>
      <c r="Q3331" t="s">
        <v>9895</v>
      </c>
      <c r="R3331">
        <v>1</v>
      </c>
      <c r="S3331" s="5">
        <f t="shared" ref="S3331:S3394" si="104">P3331/M3331</f>
        <v>7.3085466661811288E-2</v>
      </c>
      <c r="T3331">
        <v>274.61</v>
      </c>
      <c r="U3331">
        <v>1</v>
      </c>
      <c r="V3331">
        <v>2023</v>
      </c>
      <c r="W3331">
        <v>1</v>
      </c>
      <c r="X3331" t="s">
        <v>9899</v>
      </c>
      <c r="Y3331" t="s">
        <v>9901</v>
      </c>
      <c r="Z3331" t="s">
        <v>9898</v>
      </c>
      <c r="AD3331">
        <f t="shared" ref="AD3331:AD3394" si="105">C3331-B3331</f>
        <v>1</v>
      </c>
    </row>
    <row r="3332" spans="1:30" x14ac:dyDescent="0.25">
      <c r="A3332" t="s">
        <v>3356</v>
      </c>
      <c r="B3332" s="2">
        <v>44775</v>
      </c>
      <c r="C3332" s="2">
        <v>44778</v>
      </c>
      <c r="D3332" t="s">
        <v>5159</v>
      </c>
      <c r="E3332" t="s">
        <v>5659</v>
      </c>
      <c r="F3332" t="s">
        <v>6026</v>
      </c>
      <c r="G3332" t="s">
        <v>6029</v>
      </c>
      <c r="H3332" t="s">
        <v>6041</v>
      </c>
      <c r="I3332" t="s">
        <v>6046</v>
      </c>
      <c r="J3332" t="s">
        <v>6055</v>
      </c>
      <c r="K3332" t="s">
        <v>6063</v>
      </c>
      <c r="L3332" t="s">
        <v>8841</v>
      </c>
      <c r="M3332">
        <v>641.07000000000005</v>
      </c>
      <c r="N3332">
        <v>2</v>
      </c>
      <c r="O3332">
        <v>0.12</v>
      </c>
      <c r="P3332">
        <v>47.2</v>
      </c>
      <c r="Q3332" t="s">
        <v>9896</v>
      </c>
      <c r="R3332">
        <v>3</v>
      </c>
      <c r="S3332" s="5">
        <f t="shared" si="104"/>
        <v>7.3626905018172747E-2</v>
      </c>
      <c r="T3332">
        <v>320.53500000000003</v>
      </c>
      <c r="U3332">
        <v>8</v>
      </c>
      <c r="V3332">
        <v>2022</v>
      </c>
      <c r="W3332">
        <v>3</v>
      </c>
      <c r="X3332" t="s">
        <v>9899</v>
      </c>
      <c r="Y3332" t="s">
        <v>9901</v>
      </c>
      <c r="Z3332" t="s">
        <v>9899</v>
      </c>
      <c r="AD3332">
        <f t="shared" si="105"/>
        <v>3</v>
      </c>
    </row>
    <row r="3333" spans="1:30" x14ac:dyDescent="0.25">
      <c r="A3333" t="s">
        <v>3357</v>
      </c>
      <c r="B3333" s="2">
        <v>45263</v>
      </c>
      <c r="C3333" s="2">
        <v>45267</v>
      </c>
      <c r="D3333" t="s">
        <v>5096</v>
      </c>
      <c r="E3333" t="s">
        <v>5596</v>
      </c>
      <c r="F3333" t="s">
        <v>6026</v>
      </c>
      <c r="G3333" t="s">
        <v>6029</v>
      </c>
      <c r="H3333" t="s">
        <v>6045</v>
      </c>
      <c r="I3333" t="s">
        <v>6050</v>
      </c>
      <c r="J3333" t="s">
        <v>6055</v>
      </c>
      <c r="K3333" t="s">
        <v>6063</v>
      </c>
      <c r="L3333" t="s">
        <v>8842</v>
      </c>
      <c r="M3333">
        <v>1700.01</v>
      </c>
      <c r="N3333">
        <v>7</v>
      </c>
      <c r="O3333">
        <v>0.28999999999999998</v>
      </c>
      <c r="P3333">
        <v>-30.4</v>
      </c>
      <c r="Q3333" t="s">
        <v>9897</v>
      </c>
      <c r="R3333">
        <v>4</v>
      </c>
      <c r="S3333" s="5">
        <f t="shared" si="104"/>
        <v>-1.7882247751483813E-2</v>
      </c>
      <c r="T3333">
        <v>242.85857142857139</v>
      </c>
      <c r="U3333">
        <v>12</v>
      </c>
      <c r="V3333">
        <v>2023</v>
      </c>
      <c r="W3333">
        <v>4</v>
      </c>
      <c r="X3333" t="s">
        <v>9898</v>
      </c>
      <c r="Y3333" t="s">
        <v>9900</v>
      </c>
      <c r="Z3333" t="s">
        <v>9898</v>
      </c>
      <c r="AD3333">
        <f t="shared" si="105"/>
        <v>4</v>
      </c>
    </row>
    <row r="3334" spans="1:30" x14ac:dyDescent="0.25">
      <c r="A3334" t="s">
        <v>3358</v>
      </c>
      <c r="B3334" s="2">
        <v>45261</v>
      </c>
      <c r="C3334" s="2">
        <v>45266</v>
      </c>
      <c r="D3334" t="s">
        <v>5488</v>
      </c>
      <c r="E3334" t="s">
        <v>5988</v>
      </c>
      <c r="F3334" t="s">
        <v>6027</v>
      </c>
      <c r="G3334" t="s">
        <v>6030</v>
      </c>
      <c r="H3334" t="s">
        <v>6039</v>
      </c>
      <c r="I3334" t="s">
        <v>6051</v>
      </c>
      <c r="J3334" t="s">
        <v>6054</v>
      </c>
      <c r="K3334" t="s">
        <v>6062</v>
      </c>
      <c r="L3334" t="s">
        <v>6351</v>
      </c>
      <c r="M3334">
        <v>1690.49</v>
      </c>
      <c r="N3334">
        <v>3</v>
      </c>
      <c r="O3334">
        <v>0.12</v>
      </c>
      <c r="P3334">
        <v>301.64</v>
      </c>
      <c r="Q3334" t="s">
        <v>9894</v>
      </c>
      <c r="R3334">
        <v>5</v>
      </c>
      <c r="S3334" s="5">
        <f t="shared" si="104"/>
        <v>0.17843347195191925</v>
      </c>
      <c r="T3334">
        <v>563.49666666666667</v>
      </c>
      <c r="U3334">
        <v>12</v>
      </c>
      <c r="V3334">
        <v>2023</v>
      </c>
      <c r="W3334">
        <v>4</v>
      </c>
      <c r="X3334" t="s">
        <v>9899</v>
      </c>
      <c r="Y3334" t="s">
        <v>9901</v>
      </c>
      <c r="Z3334" t="s">
        <v>9898</v>
      </c>
      <c r="AD3334">
        <f t="shared" si="105"/>
        <v>5</v>
      </c>
    </row>
    <row r="3335" spans="1:30" x14ac:dyDescent="0.25">
      <c r="A3335" t="s">
        <v>3359</v>
      </c>
      <c r="B3335" s="2">
        <v>45212</v>
      </c>
      <c r="C3335" s="2">
        <v>45218</v>
      </c>
      <c r="D3335" t="s">
        <v>5206</v>
      </c>
      <c r="E3335" t="s">
        <v>5706</v>
      </c>
      <c r="F3335" t="s">
        <v>6028</v>
      </c>
      <c r="G3335" t="s">
        <v>6031</v>
      </c>
      <c r="H3335" t="s">
        <v>6034</v>
      </c>
      <c r="I3335" t="s">
        <v>6048</v>
      </c>
      <c r="J3335" t="s">
        <v>6053</v>
      </c>
      <c r="K3335" t="s">
        <v>6058</v>
      </c>
      <c r="L3335" t="s">
        <v>8843</v>
      </c>
      <c r="M3335">
        <v>1205.8800000000001</v>
      </c>
      <c r="N3335">
        <v>3</v>
      </c>
      <c r="O3335">
        <v>0.08</v>
      </c>
      <c r="P3335">
        <v>126.36</v>
      </c>
      <c r="Q3335" t="s">
        <v>9895</v>
      </c>
      <c r="R3335">
        <v>6</v>
      </c>
      <c r="S3335" s="5">
        <f t="shared" si="104"/>
        <v>0.10478654592496765</v>
      </c>
      <c r="T3335">
        <v>401.96</v>
      </c>
      <c r="U3335">
        <v>10</v>
      </c>
      <c r="V3335">
        <v>2023</v>
      </c>
      <c r="W3335">
        <v>4</v>
      </c>
      <c r="X3335" t="s">
        <v>9899</v>
      </c>
      <c r="Y3335" t="s">
        <v>9901</v>
      </c>
      <c r="Z3335" t="s">
        <v>9898</v>
      </c>
      <c r="AD3335">
        <f t="shared" si="105"/>
        <v>6</v>
      </c>
    </row>
    <row r="3336" spans="1:30" x14ac:dyDescent="0.25">
      <c r="A3336" t="s">
        <v>3360</v>
      </c>
      <c r="B3336" s="2">
        <v>45108</v>
      </c>
      <c r="C3336" s="2">
        <v>45115</v>
      </c>
      <c r="D3336" t="s">
        <v>5439</v>
      </c>
      <c r="E3336" t="s">
        <v>5939</v>
      </c>
      <c r="F3336" t="s">
        <v>6027</v>
      </c>
      <c r="G3336" t="s">
        <v>6031</v>
      </c>
      <c r="H3336" t="s">
        <v>6043</v>
      </c>
      <c r="I3336" t="s">
        <v>6052</v>
      </c>
      <c r="J3336" t="s">
        <v>6055</v>
      </c>
      <c r="K3336" t="s">
        <v>6063</v>
      </c>
      <c r="L3336" t="s">
        <v>8844</v>
      </c>
      <c r="M3336">
        <v>1075.1099999999999</v>
      </c>
      <c r="N3336">
        <v>4</v>
      </c>
      <c r="O3336">
        <v>0.34</v>
      </c>
      <c r="P3336">
        <v>-98.03</v>
      </c>
      <c r="Q3336" t="s">
        <v>9897</v>
      </c>
      <c r="R3336">
        <v>7</v>
      </c>
      <c r="S3336" s="5">
        <f t="shared" si="104"/>
        <v>-9.1181367487977991E-2</v>
      </c>
      <c r="T3336">
        <v>268.77749999999997</v>
      </c>
      <c r="U3336">
        <v>7</v>
      </c>
      <c r="V3336">
        <v>2023</v>
      </c>
      <c r="W3336">
        <v>3</v>
      </c>
      <c r="X3336" t="s">
        <v>9898</v>
      </c>
      <c r="Y3336" t="s">
        <v>9902</v>
      </c>
      <c r="Z3336" t="s">
        <v>9898</v>
      </c>
      <c r="AD3336">
        <f t="shared" si="105"/>
        <v>7</v>
      </c>
    </row>
    <row r="3337" spans="1:30" x14ac:dyDescent="0.25">
      <c r="A3337" t="s">
        <v>3361</v>
      </c>
      <c r="B3337" s="2">
        <v>45098</v>
      </c>
      <c r="C3337" s="2">
        <v>45102</v>
      </c>
      <c r="D3337" t="s">
        <v>5245</v>
      </c>
      <c r="E3337" t="s">
        <v>5745</v>
      </c>
      <c r="F3337" t="s">
        <v>6028</v>
      </c>
      <c r="G3337" t="s">
        <v>6030</v>
      </c>
      <c r="H3337" t="s">
        <v>6038</v>
      </c>
      <c r="I3337" t="s">
        <v>6047</v>
      </c>
      <c r="J3337" t="s">
        <v>6054</v>
      </c>
      <c r="K3337" t="s">
        <v>6059</v>
      </c>
      <c r="L3337" t="s">
        <v>6209</v>
      </c>
      <c r="M3337">
        <v>475.2</v>
      </c>
      <c r="N3337">
        <v>8</v>
      </c>
      <c r="O3337">
        <v>0.14000000000000001</v>
      </c>
      <c r="P3337">
        <v>24.77</v>
      </c>
      <c r="Q3337" t="s">
        <v>9893</v>
      </c>
      <c r="R3337">
        <v>4</v>
      </c>
      <c r="S3337" s="5">
        <f t="shared" si="104"/>
        <v>5.2125420875420873E-2</v>
      </c>
      <c r="T3337">
        <v>59.4</v>
      </c>
      <c r="U3337">
        <v>6</v>
      </c>
      <c r="V3337">
        <v>2023</v>
      </c>
      <c r="W3337">
        <v>2</v>
      </c>
      <c r="X3337" t="s">
        <v>9899</v>
      </c>
      <c r="Y3337" t="s">
        <v>9901</v>
      </c>
      <c r="Z3337" t="s">
        <v>9899</v>
      </c>
      <c r="AD3337">
        <f t="shared" si="105"/>
        <v>4</v>
      </c>
    </row>
    <row r="3338" spans="1:30" x14ac:dyDescent="0.25">
      <c r="A3338" t="s">
        <v>3362</v>
      </c>
      <c r="B3338" s="2">
        <v>45434</v>
      </c>
      <c r="C3338" s="2">
        <v>45439</v>
      </c>
      <c r="D3338" t="s">
        <v>5519</v>
      </c>
      <c r="E3338" t="s">
        <v>6019</v>
      </c>
      <c r="F3338" t="s">
        <v>6027</v>
      </c>
      <c r="G3338" t="s">
        <v>6029</v>
      </c>
      <c r="H3338" t="s">
        <v>6032</v>
      </c>
      <c r="I3338" t="s">
        <v>6050</v>
      </c>
      <c r="J3338" t="s">
        <v>6055</v>
      </c>
      <c r="K3338" t="s">
        <v>6061</v>
      </c>
      <c r="L3338" t="s">
        <v>8845</v>
      </c>
      <c r="M3338">
        <v>1474.47</v>
      </c>
      <c r="N3338">
        <v>1</v>
      </c>
      <c r="O3338">
        <v>0</v>
      </c>
      <c r="P3338">
        <v>174.18</v>
      </c>
      <c r="Q3338" t="s">
        <v>9897</v>
      </c>
      <c r="R3338">
        <v>5</v>
      </c>
      <c r="S3338" s="5">
        <f t="shared" si="104"/>
        <v>0.11813058251439501</v>
      </c>
      <c r="T3338">
        <v>1474.47</v>
      </c>
      <c r="U3338">
        <v>5</v>
      </c>
      <c r="V3338">
        <v>2024</v>
      </c>
      <c r="W3338">
        <v>2</v>
      </c>
      <c r="X3338" t="s">
        <v>9899</v>
      </c>
      <c r="Y3338" t="s">
        <v>9901</v>
      </c>
      <c r="Z3338" t="s">
        <v>9898</v>
      </c>
      <c r="AD3338">
        <f t="shared" si="105"/>
        <v>5</v>
      </c>
    </row>
    <row r="3339" spans="1:30" x14ac:dyDescent="0.25">
      <c r="A3339" t="s">
        <v>3363</v>
      </c>
      <c r="B3339" s="2">
        <v>44934</v>
      </c>
      <c r="C3339" s="2">
        <v>44940</v>
      </c>
      <c r="D3339" t="s">
        <v>5310</v>
      </c>
      <c r="E3339" t="s">
        <v>5810</v>
      </c>
      <c r="F3339" t="s">
        <v>6026</v>
      </c>
      <c r="G3339" t="s">
        <v>6029</v>
      </c>
      <c r="H3339" t="s">
        <v>6041</v>
      </c>
      <c r="I3339" t="s">
        <v>6049</v>
      </c>
      <c r="J3339" t="s">
        <v>6055</v>
      </c>
      <c r="K3339" t="s">
        <v>6064</v>
      </c>
      <c r="L3339" t="s">
        <v>8846</v>
      </c>
      <c r="M3339">
        <v>757.71</v>
      </c>
      <c r="N3339">
        <v>1</v>
      </c>
      <c r="O3339">
        <v>0.34</v>
      </c>
      <c r="P3339">
        <v>-123.06</v>
      </c>
      <c r="Q3339" t="s">
        <v>9896</v>
      </c>
      <c r="R3339">
        <v>6</v>
      </c>
      <c r="S3339" s="5">
        <f t="shared" si="104"/>
        <v>-0.16241042087342122</v>
      </c>
      <c r="T3339">
        <v>757.71</v>
      </c>
      <c r="U3339">
        <v>1</v>
      </c>
      <c r="V3339">
        <v>2023</v>
      </c>
      <c r="W3339">
        <v>1</v>
      </c>
      <c r="X3339" t="s">
        <v>9898</v>
      </c>
      <c r="Y3339" t="s">
        <v>9902</v>
      </c>
      <c r="Z3339" t="s">
        <v>9899</v>
      </c>
      <c r="AD3339">
        <f t="shared" si="105"/>
        <v>6</v>
      </c>
    </row>
    <row r="3340" spans="1:30" x14ac:dyDescent="0.25">
      <c r="A3340" t="s">
        <v>3364</v>
      </c>
      <c r="B3340" s="2">
        <v>45007</v>
      </c>
      <c r="C3340" s="2">
        <v>45013</v>
      </c>
      <c r="D3340" t="s">
        <v>5303</v>
      </c>
      <c r="E3340" t="s">
        <v>5803</v>
      </c>
      <c r="F3340" t="s">
        <v>6027</v>
      </c>
      <c r="G3340" t="s">
        <v>6031</v>
      </c>
      <c r="H3340" t="s">
        <v>6037</v>
      </c>
      <c r="I3340" t="s">
        <v>6052</v>
      </c>
      <c r="J3340" t="s">
        <v>6054</v>
      </c>
      <c r="K3340" t="s">
        <v>6062</v>
      </c>
      <c r="L3340" t="s">
        <v>7125</v>
      </c>
      <c r="M3340">
        <v>1529.84</v>
      </c>
      <c r="N3340">
        <v>3</v>
      </c>
      <c r="O3340">
        <v>7.0000000000000007E-2</v>
      </c>
      <c r="P3340">
        <v>46.01</v>
      </c>
      <c r="Q3340" t="s">
        <v>9894</v>
      </c>
      <c r="R3340">
        <v>6</v>
      </c>
      <c r="S3340" s="5">
        <f t="shared" si="104"/>
        <v>3.0075040527113947E-2</v>
      </c>
      <c r="T3340">
        <v>509.94666666666672</v>
      </c>
      <c r="U3340">
        <v>3</v>
      </c>
      <c r="V3340">
        <v>2023</v>
      </c>
      <c r="W3340">
        <v>1</v>
      </c>
      <c r="X3340" t="s">
        <v>9899</v>
      </c>
      <c r="Y3340" t="s">
        <v>9901</v>
      </c>
      <c r="Z3340" t="s">
        <v>9898</v>
      </c>
      <c r="AD3340">
        <f t="shared" si="105"/>
        <v>6</v>
      </c>
    </row>
    <row r="3341" spans="1:30" x14ac:dyDescent="0.25">
      <c r="A3341" t="s">
        <v>3365</v>
      </c>
      <c r="B3341" s="2">
        <v>45385</v>
      </c>
      <c r="C3341" s="2">
        <v>45387</v>
      </c>
      <c r="D3341" t="s">
        <v>5180</v>
      </c>
      <c r="E3341" t="s">
        <v>5680</v>
      </c>
      <c r="F3341" t="s">
        <v>6026</v>
      </c>
      <c r="G3341" t="s">
        <v>6030</v>
      </c>
      <c r="H3341" t="s">
        <v>6035</v>
      </c>
      <c r="I3341" t="s">
        <v>6047</v>
      </c>
      <c r="J3341" t="s">
        <v>6055</v>
      </c>
      <c r="K3341" t="s">
        <v>6063</v>
      </c>
      <c r="L3341" t="s">
        <v>8847</v>
      </c>
      <c r="M3341">
        <v>895.72</v>
      </c>
      <c r="N3341">
        <v>8</v>
      </c>
      <c r="O3341">
        <v>0.12</v>
      </c>
      <c r="P3341">
        <v>140</v>
      </c>
      <c r="Q3341" t="s">
        <v>9895</v>
      </c>
      <c r="R3341">
        <v>2</v>
      </c>
      <c r="S3341" s="5">
        <f t="shared" si="104"/>
        <v>0.15629884338855893</v>
      </c>
      <c r="T3341">
        <v>111.965</v>
      </c>
      <c r="U3341">
        <v>4</v>
      </c>
      <c r="V3341">
        <v>2024</v>
      </c>
      <c r="W3341">
        <v>2</v>
      </c>
      <c r="X3341" t="s">
        <v>9899</v>
      </c>
      <c r="Y3341" t="s">
        <v>9901</v>
      </c>
      <c r="Z3341" t="s">
        <v>9899</v>
      </c>
      <c r="AD3341">
        <f t="shared" si="105"/>
        <v>2</v>
      </c>
    </row>
    <row r="3342" spans="1:30" x14ac:dyDescent="0.25">
      <c r="A3342" t="s">
        <v>3366</v>
      </c>
      <c r="B3342" s="2">
        <v>45056</v>
      </c>
      <c r="C3342" s="2">
        <v>45063</v>
      </c>
      <c r="D3342" t="s">
        <v>5339</v>
      </c>
      <c r="E3342" t="s">
        <v>5839</v>
      </c>
      <c r="F3342" t="s">
        <v>6027</v>
      </c>
      <c r="G3342" t="s">
        <v>6031</v>
      </c>
      <c r="H3342" t="s">
        <v>6043</v>
      </c>
      <c r="I3342" t="s">
        <v>6050</v>
      </c>
      <c r="J3342" t="s">
        <v>6053</v>
      </c>
      <c r="K3342" t="s">
        <v>6057</v>
      </c>
      <c r="L3342" t="s">
        <v>8848</v>
      </c>
      <c r="M3342">
        <v>1009.23</v>
      </c>
      <c r="N3342">
        <v>5</v>
      </c>
      <c r="O3342">
        <v>0.16</v>
      </c>
      <c r="P3342">
        <v>-1.61</v>
      </c>
      <c r="Q3342" t="s">
        <v>9895</v>
      </c>
      <c r="R3342">
        <v>7</v>
      </c>
      <c r="S3342" s="5">
        <f t="shared" si="104"/>
        <v>-1.5952756061551876E-3</v>
      </c>
      <c r="T3342">
        <v>201.846</v>
      </c>
      <c r="U3342">
        <v>5</v>
      </c>
      <c r="V3342">
        <v>2023</v>
      </c>
      <c r="W3342">
        <v>2</v>
      </c>
      <c r="X3342" t="s">
        <v>9898</v>
      </c>
      <c r="Y3342" t="s">
        <v>9900</v>
      </c>
      <c r="Z3342" t="s">
        <v>9898</v>
      </c>
      <c r="AD3342">
        <f t="shared" si="105"/>
        <v>7</v>
      </c>
    </row>
    <row r="3343" spans="1:30" x14ac:dyDescent="0.25">
      <c r="A3343" t="s">
        <v>3367</v>
      </c>
      <c r="B3343" s="2">
        <v>44580</v>
      </c>
      <c r="C3343" s="2">
        <v>44587</v>
      </c>
      <c r="D3343" t="s">
        <v>5476</v>
      </c>
      <c r="E3343" t="s">
        <v>5976</v>
      </c>
      <c r="F3343" t="s">
        <v>6026</v>
      </c>
      <c r="G3343" t="s">
        <v>6031</v>
      </c>
      <c r="H3343" t="s">
        <v>6034</v>
      </c>
      <c r="I3343" t="s">
        <v>6048</v>
      </c>
      <c r="J3343" t="s">
        <v>6053</v>
      </c>
      <c r="K3343" t="s">
        <v>6056</v>
      </c>
      <c r="L3343" t="s">
        <v>8849</v>
      </c>
      <c r="M3343">
        <v>682.62</v>
      </c>
      <c r="N3343">
        <v>8</v>
      </c>
      <c r="O3343">
        <v>0.21</v>
      </c>
      <c r="P3343">
        <v>-23.33</v>
      </c>
      <c r="Q3343" t="s">
        <v>9895</v>
      </c>
      <c r="R3343">
        <v>7</v>
      </c>
      <c r="S3343" s="5">
        <f t="shared" si="104"/>
        <v>-3.4177141015499103E-2</v>
      </c>
      <c r="T3343">
        <v>85.327500000000001</v>
      </c>
      <c r="U3343">
        <v>1</v>
      </c>
      <c r="V3343">
        <v>2022</v>
      </c>
      <c r="W3343">
        <v>1</v>
      </c>
      <c r="X3343" t="s">
        <v>9898</v>
      </c>
      <c r="Y3343" t="s">
        <v>9900</v>
      </c>
      <c r="Z3343" t="s">
        <v>9899</v>
      </c>
      <c r="AD3343">
        <f t="shared" si="105"/>
        <v>7</v>
      </c>
    </row>
    <row r="3344" spans="1:30" x14ac:dyDescent="0.25">
      <c r="A3344" t="s">
        <v>3368</v>
      </c>
      <c r="B3344" s="2">
        <v>44735</v>
      </c>
      <c r="C3344" s="2">
        <v>44742</v>
      </c>
      <c r="D3344" t="s">
        <v>5287</v>
      </c>
      <c r="E3344" t="s">
        <v>5787</v>
      </c>
      <c r="F3344" t="s">
        <v>6027</v>
      </c>
      <c r="G3344" t="s">
        <v>6031</v>
      </c>
      <c r="H3344" t="s">
        <v>6037</v>
      </c>
      <c r="I3344" t="s">
        <v>6052</v>
      </c>
      <c r="J3344" t="s">
        <v>6054</v>
      </c>
      <c r="K3344" t="s">
        <v>6062</v>
      </c>
      <c r="L3344" t="s">
        <v>7121</v>
      </c>
      <c r="M3344">
        <v>1606.03</v>
      </c>
      <c r="N3344">
        <v>5</v>
      </c>
      <c r="O3344">
        <v>0.06</v>
      </c>
      <c r="P3344">
        <v>328.1</v>
      </c>
      <c r="Q3344" t="s">
        <v>9894</v>
      </c>
      <c r="R3344">
        <v>7</v>
      </c>
      <c r="S3344" s="5">
        <f t="shared" si="104"/>
        <v>0.20429257236788853</v>
      </c>
      <c r="T3344">
        <v>321.20600000000002</v>
      </c>
      <c r="U3344">
        <v>6</v>
      </c>
      <c r="V3344">
        <v>2022</v>
      </c>
      <c r="W3344">
        <v>2</v>
      </c>
      <c r="X3344" t="s">
        <v>9899</v>
      </c>
      <c r="Y3344" t="s">
        <v>9901</v>
      </c>
      <c r="Z3344" t="s">
        <v>9898</v>
      </c>
      <c r="AD3344">
        <f t="shared" si="105"/>
        <v>7</v>
      </c>
    </row>
    <row r="3345" spans="1:30" x14ac:dyDescent="0.25">
      <c r="A3345" t="s">
        <v>3369</v>
      </c>
      <c r="B3345" s="2">
        <v>45418</v>
      </c>
      <c r="C3345" s="2">
        <v>45421</v>
      </c>
      <c r="D3345" t="s">
        <v>5086</v>
      </c>
      <c r="E3345" t="s">
        <v>5586</v>
      </c>
      <c r="F3345" t="s">
        <v>6027</v>
      </c>
      <c r="G3345" t="s">
        <v>6031</v>
      </c>
      <c r="H3345" t="s">
        <v>6037</v>
      </c>
      <c r="I3345" t="s">
        <v>6050</v>
      </c>
      <c r="J3345" t="s">
        <v>6054</v>
      </c>
      <c r="K3345" t="s">
        <v>6062</v>
      </c>
      <c r="L3345" t="s">
        <v>8850</v>
      </c>
      <c r="M3345">
        <v>1580.73</v>
      </c>
      <c r="N3345">
        <v>4</v>
      </c>
      <c r="O3345">
        <v>0.1</v>
      </c>
      <c r="P3345">
        <v>313.02</v>
      </c>
      <c r="Q3345" t="s">
        <v>9893</v>
      </c>
      <c r="R3345">
        <v>3</v>
      </c>
      <c r="S3345" s="5">
        <f t="shared" si="104"/>
        <v>0.19802243267351158</v>
      </c>
      <c r="T3345">
        <v>395.1825</v>
      </c>
      <c r="U3345">
        <v>5</v>
      </c>
      <c r="V3345">
        <v>2024</v>
      </c>
      <c r="W3345">
        <v>2</v>
      </c>
      <c r="X3345" t="s">
        <v>9899</v>
      </c>
      <c r="Y3345" t="s">
        <v>9901</v>
      </c>
      <c r="Z3345" t="s">
        <v>9898</v>
      </c>
      <c r="AD3345">
        <f t="shared" si="105"/>
        <v>3</v>
      </c>
    </row>
    <row r="3346" spans="1:30" x14ac:dyDescent="0.25">
      <c r="A3346" t="s">
        <v>3370</v>
      </c>
      <c r="B3346" s="2">
        <v>45372</v>
      </c>
      <c r="C3346" s="2">
        <v>45377</v>
      </c>
      <c r="D3346" t="s">
        <v>5123</v>
      </c>
      <c r="E3346" t="s">
        <v>5623</v>
      </c>
      <c r="F3346" t="s">
        <v>6027</v>
      </c>
      <c r="G3346" t="s">
        <v>6031</v>
      </c>
      <c r="H3346" t="s">
        <v>6037</v>
      </c>
      <c r="I3346" t="s">
        <v>6050</v>
      </c>
      <c r="J3346" t="s">
        <v>6054</v>
      </c>
      <c r="K3346" t="s">
        <v>6060</v>
      </c>
      <c r="L3346" t="s">
        <v>6072</v>
      </c>
      <c r="M3346">
        <v>1101.1199999999999</v>
      </c>
      <c r="N3346">
        <v>3</v>
      </c>
      <c r="O3346">
        <v>0.34</v>
      </c>
      <c r="P3346">
        <v>-137.84</v>
      </c>
      <c r="Q3346" t="s">
        <v>9893</v>
      </c>
      <c r="R3346">
        <v>5</v>
      </c>
      <c r="S3346" s="5">
        <f t="shared" si="104"/>
        <v>-0.12518163324614939</v>
      </c>
      <c r="T3346">
        <v>367.04</v>
      </c>
      <c r="U3346">
        <v>3</v>
      </c>
      <c r="V3346">
        <v>2024</v>
      </c>
      <c r="W3346">
        <v>1</v>
      </c>
      <c r="X3346" t="s">
        <v>9898</v>
      </c>
      <c r="Y3346" t="s">
        <v>9902</v>
      </c>
      <c r="Z3346" t="s">
        <v>9898</v>
      </c>
      <c r="AD3346">
        <f t="shared" si="105"/>
        <v>5</v>
      </c>
    </row>
    <row r="3347" spans="1:30" x14ac:dyDescent="0.25">
      <c r="A3347" t="s">
        <v>3371</v>
      </c>
      <c r="B3347" s="2">
        <v>44941</v>
      </c>
      <c r="C3347" s="2">
        <v>44944</v>
      </c>
      <c r="D3347" t="s">
        <v>5482</v>
      </c>
      <c r="E3347" t="s">
        <v>5982</v>
      </c>
      <c r="F3347" t="s">
        <v>6027</v>
      </c>
      <c r="G3347" t="s">
        <v>6031</v>
      </c>
      <c r="H3347" t="s">
        <v>6037</v>
      </c>
      <c r="I3347" t="s">
        <v>6048</v>
      </c>
      <c r="J3347" t="s">
        <v>6055</v>
      </c>
      <c r="K3347" t="s">
        <v>6064</v>
      </c>
      <c r="L3347" t="s">
        <v>8851</v>
      </c>
      <c r="M3347">
        <v>319</v>
      </c>
      <c r="N3347">
        <v>5</v>
      </c>
      <c r="O3347">
        <v>0.35</v>
      </c>
      <c r="P3347">
        <v>-29.72</v>
      </c>
      <c r="Q3347" t="s">
        <v>9893</v>
      </c>
      <c r="R3347">
        <v>3</v>
      </c>
      <c r="S3347" s="5">
        <f t="shared" si="104"/>
        <v>-9.3166144200626952E-2</v>
      </c>
      <c r="T3347">
        <v>63.8</v>
      </c>
      <c r="U3347">
        <v>1</v>
      </c>
      <c r="V3347">
        <v>2023</v>
      </c>
      <c r="W3347">
        <v>1</v>
      </c>
      <c r="X3347" t="s">
        <v>9898</v>
      </c>
      <c r="Y3347" t="s">
        <v>9902</v>
      </c>
      <c r="Z3347" t="s">
        <v>9899</v>
      </c>
      <c r="AD3347">
        <f t="shared" si="105"/>
        <v>3</v>
      </c>
    </row>
    <row r="3348" spans="1:30" x14ac:dyDescent="0.25">
      <c r="A3348" t="s">
        <v>3372</v>
      </c>
      <c r="B3348" s="2">
        <v>45166</v>
      </c>
      <c r="C3348" s="2">
        <v>45173</v>
      </c>
      <c r="D3348" t="s">
        <v>5380</v>
      </c>
      <c r="E3348" t="s">
        <v>5880</v>
      </c>
      <c r="F3348" t="s">
        <v>6026</v>
      </c>
      <c r="G3348" t="s">
        <v>6029</v>
      </c>
      <c r="H3348" t="s">
        <v>6044</v>
      </c>
      <c r="I3348" t="s">
        <v>6049</v>
      </c>
      <c r="J3348" t="s">
        <v>6055</v>
      </c>
      <c r="K3348" t="s">
        <v>6063</v>
      </c>
      <c r="L3348" t="s">
        <v>8852</v>
      </c>
      <c r="M3348">
        <v>1460.09</v>
      </c>
      <c r="N3348">
        <v>3</v>
      </c>
      <c r="O3348">
        <v>0.33</v>
      </c>
      <c r="P3348">
        <v>-242.92</v>
      </c>
      <c r="Q3348" t="s">
        <v>9894</v>
      </c>
      <c r="R3348">
        <v>7</v>
      </c>
      <c r="S3348" s="5">
        <f t="shared" si="104"/>
        <v>-0.16637330575512468</v>
      </c>
      <c r="T3348">
        <v>486.69666666666672</v>
      </c>
      <c r="U3348">
        <v>8</v>
      </c>
      <c r="V3348">
        <v>2023</v>
      </c>
      <c r="W3348">
        <v>3</v>
      </c>
      <c r="X3348" t="s">
        <v>9898</v>
      </c>
      <c r="Y3348" t="s">
        <v>9902</v>
      </c>
      <c r="Z3348" t="s">
        <v>9898</v>
      </c>
      <c r="AD3348">
        <f t="shared" si="105"/>
        <v>7</v>
      </c>
    </row>
    <row r="3349" spans="1:30" x14ac:dyDescent="0.25">
      <c r="A3349" t="s">
        <v>3373</v>
      </c>
      <c r="B3349" s="2">
        <v>45095</v>
      </c>
      <c r="C3349" s="2">
        <v>45100</v>
      </c>
      <c r="D3349" t="s">
        <v>5355</v>
      </c>
      <c r="E3349" t="s">
        <v>5855</v>
      </c>
      <c r="F3349" t="s">
        <v>6027</v>
      </c>
      <c r="G3349" t="s">
        <v>6029</v>
      </c>
      <c r="H3349" t="s">
        <v>6032</v>
      </c>
      <c r="I3349" t="s">
        <v>6049</v>
      </c>
      <c r="J3349" t="s">
        <v>6054</v>
      </c>
      <c r="K3349" t="s">
        <v>6062</v>
      </c>
      <c r="L3349" t="s">
        <v>8853</v>
      </c>
      <c r="M3349">
        <v>479.42</v>
      </c>
      <c r="N3349">
        <v>5</v>
      </c>
      <c r="O3349">
        <v>0.31</v>
      </c>
      <c r="P3349">
        <v>-78.81</v>
      </c>
      <c r="Q3349" t="s">
        <v>9896</v>
      </c>
      <c r="R3349">
        <v>5</v>
      </c>
      <c r="S3349" s="5">
        <f t="shared" si="104"/>
        <v>-0.1643861332443369</v>
      </c>
      <c r="T3349">
        <v>95.884</v>
      </c>
      <c r="U3349">
        <v>6</v>
      </c>
      <c r="V3349">
        <v>2023</v>
      </c>
      <c r="W3349">
        <v>2</v>
      </c>
      <c r="X3349" t="s">
        <v>9898</v>
      </c>
      <c r="Y3349" t="s">
        <v>9902</v>
      </c>
      <c r="Z3349" t="s">
        <v>9899</v>
      </c>
      <c r="AD3349">
        <f t="shared" si="105"/>
        <v>5</v>
      </c>
    </row>
    <row r="3350" spans="1:30" x14ac:dyDescent="0.25">
      <c r="A3350" t="s">
        <v>3374</v>
      </c>
      <c r="B3350" s="2">
        <v>45057</v>
      </c>
      <c r="C3350" s="2">
        <v>45063</v>
      </c>
      <c r="D3350" t="s">
        <v>5078</v>
      </c>
      <c r="E3350" t="s">
        <v>5578</v>
      </c>
      <c r="F3350" t="s">
        <v>6028</v>
      </c>
      <c r="G3350" t="s">
        <v>6030</v>
      </c>
      <c r="H3350" t="s">
        <v>6039</v>
      </c>
      <c r="I3350" t="s">
        <v>6051</v>
      </c>
      <c r="J3350" t="s">
        <v>6055</v>
      </c>
      <c r="K3350" t="s">
        <v>6064</v>
      </c>
      <c r="L3350" t="s">
        <v>8653</v>
      </c>
      <c r="M3350">
        <v>1819.74</v>
      </c>
      <c r="N3350">
        <v>3</v>
      </c>
      <c r="O3350">
        <v>0.28999999999999998</v>
      </c>
      <c r="P3350">
        <v>-59.25</v>
      </c>
      <c r="Q3350" t="s">
        <v>9897</v>
      </c>
      <c r="R3350">
        <v>6</v>
      </c>
      <c r="S3350" s="5">
        <f t="shared" si="104"/>
        <v>-3.2559596425863035E-2</v>
      </c>
      <c r="T3350">
        <v>606.58000000000004</v>
      </c>
      <c r="U3350">
        <v>5</v>
      </c>
      <c r="V3350">
        <v>2023</v>
      </c>
      <c r="W3350">
        <v>2</v>
      </c>
      <c r="X3350" t="s">
        <v>9898</v>
      </c>
      <c r="Y3350" t="s">
        <v>9900</v>
      </c>
      <c r="Z3350" t="s">
        <v>9898</v>
      </c>
      <c r="AD3350">
        <f t="shared" si="105"/>
        <v>6</v>
      </c>
    </row>
    <row r="3351" spans="1:30" x14ac:dyDescent="0.25">
      <c r="A3351" t="s">
        <v>3375</v>
      </c>
      <c r="B3351" s="2">
        <v>44845</v>
      </c>
      <c r="C3351" s="2">
        <v>44849</v>
      </c>
      <c r="D3351" t="s">
        <v>5434</v>
      </c>
      <c r="E3351" t="s">
        <v>5934</v>
      </c>
      <c r="F3351" t="s">
        <v>6028</v>
      </c>
      <c r="G3351" t="s">
        <v>6030</v>
      </c>
      <c r="H3351" t="s">
        <v>6033</v>
      </c>
      <c r="I3351" t="s">
        <v>6047</v>
      </c>
      <c r="J3351" t="s">
        <v>6053</v>
      </c>
      <c r="K3351" t="s">
        <v>6057</v>
      </c>
      <c r="L3351" t="s">
        <v>6983</v>
      </c>
      <c r="M3351">
        <v>221.53</v>
      </c>
      <c r="N3351">
        <v>3</v>
      </c>
      <c r="O3351">
        <v>0.09</v>
      </c>
      <c r="P3351">
        <v>41.26</v>
      </c>
      <c r="Q3351" t="s">
        <v>9893</v>
      </c>
      <c r="R3351">
        <v>4</v>
      </c>
      <c r="S3351" s="5">
        <f t="shared" si="104"/>
        <v>0.18625016927729879</v>
      </c>
      <c r="T3351">
        <v>73.843333333333334</v>
      </c>
      <c r="U3351">
        <v>10</v>
      </c>
      <c r="V3351">
        <v>2022</v>
      </c>
      <c r="W3351">
        <v>4</v>
      </c>
      <c r="X3351" t="s">
        <v>9899</v>
      </c>
      <c r="Y3351" t="s">
        <v>9901</v>
      </c>
      <c r="Z3351" t="s">
        <v>9899</v>
      </c>
      <c r="AD3351">
        <f t="shared" si="105"/>
        <v>4</v>
      </c>
    </row>
    <row r="3352" spans="1:30" x14ac:dyDescent="0.25">
      <c r="A3352" t="s">
        <v>3376</v>
      </c>
      <c r="B3352" s="2">
        <v>45258</v>
      </c>
      <c r="C3352" s="2">
        <v>45261</v>
      </c>
      <c r="D3352" t="s">
        <v>5028</v>
      </c>
      <c r="E3352" t="s">
        <v>5528</v>
      </c>
      <c r="F3352" t="s">
        <v>6028</v>
      </c>
      <c r="G3352" t="s">
        <v>6031</v>
      </c>
      <c r="H3352" t="s">
        <v>6042</v>
      </c>
      <c r="I3352" t="s">
        <v>6050</v>
      </c>
      <c r="J3352" t="s">
        <v>6055</v>
      </c>
      <c r="K3352" t="s">
        <v>6061</v>
      </c>
      <c r="L3352" t="s">
        <v>6964</v>
      </c>
      <c r="M3352">
        <v>1060.7</v>
      </c>
      <c r="N3352">
        <v>7</v>
      </c>
      <c r="O3352">
        <v>0.2</v>
      </c>
      <c r="P3352">
        <v>-84.67</v>
      </c>
      <c r="Q3352" t="s">
        <v>9897</v>
      </c>
      <c r="R3352">
        <v>3</v>
      </c>
      <c r="S3352" s="5">
        <f t="shared" si="104"/>
        <v>-7.9824644102950884E-2</v>
      </c>
      <c r="T3352">
        <v>151.52857142857141</v>
      </c>
      <c r="U3352">
        <v>11</v>
      </c>
      <c r="V3352">
        <v>2023</v>
      </c>
      <c r="W3352">
        <v>4</v>
      </c>
      <c r="X3352" t="s">
        <v>9898</v>
      </c>
      <c r="Y3352" t="s">
        <v>9900</v>
      </c>
      <c r="Z3352" t="s">
        <v>9898</v>
      </c>
      <c r="AD3352">
        <f t="shared" si="105"/>
        <v>3</v>
      </c>
    </row>
    <row r="3353" spans="1:30" x14ac:dyDescent="0.25">
      <c r="A3353" t="s">
        <v>3377</v>
      </c>
      <c r="B3353" s="2">
        <v>44584</v>
      </c>
      <c r="C3353" s="2">
        <v>44586</v>
      </c>
      <c r="D3353" t="s">
        <v>5349</v>
      </c>
      <c r="E3353" t="s">
        <v>5849</v>
      </c>
      <c r="F3353" t="s">
        <v>6027</v>
      </c>
      <c r="G3353" t="s">
        <v>6030</v>
      </c>
      <c r="H3353" t="s">
        <v>6033</v>
      </c>
      <c r="I3353" t="s">
        <v>6047</v>
      </c>
      <c r="J3353" t="s">
        <v>6054</v>
      </c>
      <c r="K3353" t="s">
        <v>6060</v>
      </c>
      <c r="L3353" t="s">
        <v>8854</v>
      </c>
      <c r="M3353">
        <v>345.1</v>
      </c>
      <c r="N3353">
        <v>4</v>
      </c>
      <c r="O3353">
        <v>0.2</v>
      </c>
      <c r="P3353">
        <v>-34.03</v>
      </c>
      <c r="Q3353" t="s">
        <v>9893</v>
      </c>
      <c r="R3353">
        <v>2</v>
      </c>
      <c r="S3353" s="5">
        <f t="shared" si="104"/>
        <v>-9.8609098811938564E-2</v>
      </c>
      <c r="T3353">
        <v>86.275000000000006</v>
      </c>
      <c r="U3353">
        <v>1</v>
      </c>
      <c r="V3353">
        <v>2022</v>
      </c>
      <c r="W3353">
        <v>1</v>
      </c>
      <c r="X3353" t="s">
        <v>9898</v>
      </c>
      <c r="Y3353" t="s">
        <v>9900</v>
      </c>
      <c r="Z3353" t="s">
        <v>9899</v>
      </c>
      <c r="AD3353">
        <f t="shared" si="105"/>
        <v>2</v>
      </c>
    </row>
    <row r="3354" spans="1:30" x14ac:dyDescent="0.25">
      <c r="A3354" t="s">
        <v>3378</v>
      </c>
      <c r="B3354" s="2">
        <v>45002</v>
      </c>
      <c r="C3354" s="2">
        <v>45003</v>
      </c>
      <c r="D3354" t="s">
        <v>5452</v>
      </c>
      <c r="E3354" t="s">
        <v>5952</v>
      </c>
      <c r="F3354" t="s">
        <v>6026</v>
      </c>
      <c r="G3354" t="s">
        <v>6029</v>
      </c>
      <c r="H3354" t="s">
        <v>6032</v>
      </c>
      <c r="I3354" t="s">
        <v>6050</v>
      </c>
      <c r="J3354" t="s">
        <v>6055</v>
      </c>
      <c r="K3354" t="s">
        <v>6063</v>
      </c>
      <c r="L3354" t="s">
        <v>7756</v>
      </c>
      <c r="M3354">
        <v>559.77</v>
      </c>
      <c r="N3354">
        <v>6</v>
      </c>
      <c r="O3354">
        <v>0.25</v>
      </c>
      <c r="P3354">
        <v>-48.02</v>
      </c>
      <c r="Q3354" t="s">
        <v>9896</v>
      </c>
      <c r="R3354">
        <v>1</v>
      </c>
      <c r="S3354" s="5">
        <f t="shared" si="104"/>
        <v>-8.5785233220787113E-2</v>
      </c>
      <c r="T3354">
        <v>93.295000000000002</v>
      </c>
      <c r="U3354">
        <v>3</v>
      </c>
      <c r="V3354">
        <v>2023</v>
      </c>
      <c r="W3354">
        <v>1</v>
      </c>
      <c r="X3354" t="s">
        <v>9898</v>
      </c>
      <c r="Y3354" t="s">
        <v>9900</v>
      </c>
      <c r="Z3354" t="s">
        <v>9899</v>
      </c>
      <c r="AD3354">
        <f t="shared" si="105"/>
        <v>1</v>
      </c>
    </row>
    <row r="3355" spans="1:30" x14ac:dyDescent="0.25">
      <c r="A3355" t="s">
        <v>3379</v>
      </c>
      <c r="B3355" s="2">
        <v>45103</v>
      </c>
      <c r="C3355" s="2">
        <v>45106</v>
      </c>
      <c r="D3355" t="s">
        <v>5071</v>
      </c>
      <c r="E3355" t="s">
        <v>5571</v>
      </c>
      <c r="F3355" t="s">
        <v>6028</v>
      </c>
      <c r="G3355" t="s">
        <v>6029</v>
      </c>
      <c r="H3355" t="s">
        <v>6032</v>
      </c>
      <c r="I3355" t="s">
        <v>6046</v>
      </c>
      <c r="J3355" t="s">
        <v>6053</v>
      </c>
      <c r="K3355" t="s">
        <v>6056</v>
      </c>
      <c r="L3355" t="s">
        <v>7142</v>
      </c>
      <c r="M3355">
        <v>1850.4</v>
      </c>
      <c r="N3355">
        <v>7</v>
      </c>
      <c r="O3355">
        <v>0.03</v>
      </c>
      <c r="P3355">
        <v>308.64999999999998</v>
      </c>
      <c r="Q3355" t="s">
        <v>9893</v>
      </c>
      <c r="R3355">
        <v>3</v>
      </c>
      <c r="S3355" s="5">
        <f t="shared" si="104"/>
        <v>0.16680177258971032</v>
      </c>
      <c r="T3355">
        <v>264.34285714285721</v>
      </c>
      <c r="U3355">
        <v>6</v>
      </c>
      <c r="V3355">
        <v>2023</v>
      </c>
      <c r="W3355">
        <v>2</v>
      </c>
      <c r="X3355" t="s">
        <v>9899</v>
      </c>
      <c r="Y3355" t="s">
        <v>9901</v>
      </c>
      <c r="Z3355" t="s">
        <v>9898</v>
      </c>
      <c r="AD3355">
        <f t="shared" si="105"/>
        <v>3</v>
      </c>
    </row>
    <row r="3356" spans="1:30" x14ac:dyDescent="0.25">
      <c r="A3356" t="s">
        <v>3380</v>
      </c>
      <c r="B3356" s="2">
        <v>45165</v>
      </c>
      <c r="C3356" s="2">
        <v>45171</v>
      </c>
      <c r="D3356" t="s">
        <v>5208</v>
      </c>
      <c r="E3356" t="s">
        <v>5708</v>
      </c>
      <c r="F3356" t="s">
        <v>6026</v>
      </c>
      <c r="G3356" t="s">
        <v>6031</v>
      </c>
      <c r="H3356" t="s">
        <v>6034</v>
      </c>
      <c r="I3356" t="s">
        <v>6048</v>
      </c>
      <c r="J3356" t="s">
        <v>6053</v>
      </c>
      <c r="K3356" t="s">
        <v>6056</v>
      </c>
      <c r="L3356" t="s">
        <v>7320</v>
      </c>
      <c r="M3356">
        <v>1469.59</v>
      </c>
      <c r="N3356">
        <v>8</v>
      </c>
      <c r="O3356">
        <v>0.1</v>
      </c>
      <c r="P3356">
        <v>160.57</v>
      </c>
      <c r="Q3356" t="s">
        <v>9896</v>
      </c>
      <c r="R3356">
        <v>6</v>
      </c>
      <c r="S3356" s="5">
        <f t="shared" si="104"/>
        <v>0.10926176688736314</v>
      </c>
      <c r="T3356">
        <v>183.69874999999999</v>
      </c>
      <c r="U3356">
        <v>8</v>
      </c>
      <c r="V3356">
        <v>2023</v>
      </c>
      <c r="W3356">
        <v>3</v>
      </c>
      <c r="X3356" t="s">
        <v>9899</v>
      </c>
      <c r="Y3356" t="s">
        <v>9901</v>
      </c>
      <c r="Z3356" t="s">
        <v>9898</v>
      </c>
      <c r="AD3356">
        <f t="shared" si="105"/>
        <v>6</v>
      </c>
    </row>
    <row r="3357" spans="1:30" x14ac:dyDescent="0.25">
      <c r="A3357" t="s">
        <v>3381</v>
      </c>
      <c r="B3357" s="2">
        <v>44830</v>
      </c>
      <c r="C3357" s="2">
        <v>44832</v>
      </c>
      <c r="D3357" t="s">
        <v>5406</v>
      </c>
      <c r="E3357" t="s">
        <v>5906</v>
      </c>
      <c r="F3357" t="s">
        <v>6028</v>
      </c>
      <c r="G3357" t="s">
        <v>6031</v>
      </c>
      <c r="H3357" t="s">
        <v>6042</v>
      </c>
      <c r="I3357" t="s">
        <v>6052</v>
      </c>
      <c r="J3357" t="s">
        <v>6053</v>
      </c>
      <c r="K3357" t="s">
        <v>6057</v>
      </c>
      <c r="L3357" t="s">
        <v>8855</v>
      </c>
      <c r="M3357">
        <v>845.5</v>
      </c>
      <c r="N3357">
        <v>2</v>
      </c>
      <c r="O3357">
        <v>0.26</v>
      </c>
      <c r="P3357">
        <v>-11.99</v>
      </c>
      <c r="Q3357" t="s">
        <v>9895</v>
      </c>
      <c r="R3357">
        <v>2</v>
      </c>
      <c r="S3357" s="5">
        <f t="shared" si="104"/>
        <v>-1.4180958013010054E-2</v>
      </c>
      <c r="T3357">
        <v>422.75</v>
      </c>
      <c r="U3357">
        <v>9</v>
      </c>
      <c r="V3357">
        <v>2022</v>
      </c>
      <c r="W3357">
        <v>3</v>
      </c>
      <c r="X3357" t="s">
        <v>9898</v>
      </c>
      <c r="Y3357" t="s">
        <v>9900</v>
      </c>
      <c r="Z3357" t="s">
        <v>9899</v>
      </c>
      <c r="AD3357">
        <f t="shared" si="105"/>
        <v>2</v>
      </c>
    </row>
    <row r="3358" spans="1:30" x14ac:dyDescent="0.25">
      <c r="A3358" t="s">
        <v>3382</v>
      </c>
      <c r="B3358" s="2">
        <v>45251</v>
      </c>
      <c r="C3358" s="2">
        <v>45256</v>
      </c>
      <c r="D3358" t="s">
        <v>5523</v>
      </c>
      <c r="E3358" t="s">
        <v>6023</v>
      </c>
      <c r="F3358" t="s">
        <v>6028</v>
      </c>
      <c r="G3358" t="s">
        <v>6031</v>
      </c>
      <c r="H3358" t="s">
        <v>6040</v>
      </c>
      <c r="I3358" t="s">
        <v>6050</v>
      </c>
      <c r="J3358" t="s">
        <v>6053</v>
      </c>
      <c r="K3358" t="s">
        <v>6057</v>
      </c>
      <c r="L3358" t="s">
        <v>6360</v>
      </c>
      <c r="M3358">
        <v>119.7</v>
      </c>
      <c r="N3358">
        <v>5</v>
      </c>
      <c r="O3358">
        <v>0.08</v>
      </c>
      <c r="P3358">
        <v>4.26</v>
      </c>
      <c r="Q3358" t="s">
        <v>9896</v>
      </c>
      <c r="R3358">
        <v>5</v>
      </c>
      <c r="S3358" s="5">
        <f t="shared" si="104"/>
        <v>3.5588972431077691E-2</v>
      </c>
      <c r="T3358">
        <v>23.94</v>
      </c>
      <c r="U3358">
        <v>11</v>
      </c>
      <c r="V3358">
        <v>2023</v>
      </c>
      <c r="W3358">
        <v>4</v>
      </c>
      <c r="X3358" t="s">
        <v>9899</v>
      </c>
      <c r="Y3358" t="s">
        <v>9901</v>
      </c>
      <c r="Z3358" t="s">
        <v>9899</v>
      </c>
      <c r="AD3358">
        <f t="shared" si="105"/>
        <v>5</v>
      </c>
    </row>
    <row r="3359" spans="1:30" x14ac:dyDescent="0.25">
      <c r="A3359" t="s">
        <v>3383</v>
      </c>
      <c r="B3359" s="2">
        <v>44784</v>
      </c>
      <c r="C3359" s="2">
        <v>44788</v>
      </c>
      <c r="D3359" t="s">
        <v>5271</v>
      </c>
      <c r="E3359" t="s">
        <v>5771</v>
      </c>
      <c r="F3359" t="s">
        <v>6026</v>
      </c>
      <c r="G3359" t="s">
        <v>6030</v>
      </c>
      <c r="H3359" t="s">
        <v>6039</v>
      </c>
      <c r="I3359" t="s">
        <v>6051</v>
      </c>
      <c r="J3359" t="s">
        <v>6053</v>
      </c>
      <c r="K3359" t="s">
        <v>6058</v>
      </c>
      <c r="L3359" t="s">
        <v>8856</v>
      </c>
      <c r="M3359">
        <v>1528.71</v>
      </c>
      <c r="N3359">
        <v>5</v>
      </c>
      <c r="O3359">
        <v>0</v>
      </c>
      <c r="P3359">
        <v>292.83</v>
      </c>
      <c r="Q3359" t="s">
        <v>9895</v>
      </c>
      <c r="R3359">
        <v>4</v>
      </c>
      <c r="S3359" s="5">
        <f t="shared" si="104"/>
        <v>0.19155366289224246</v>
      </c>
      <c r="T3359">
        <v>305.74200000000002</v>
      </c>
      <c r="U3359">
        <v>8</v>
      </c>
      <c r="V3359">
        <v>2022</v>
      </c>
      <c r="W3359">
        <v>3</v>
      </c>
      <c r="X3359" t="s">
        <v>9899</v>
      </c>
      <c r="Y3359" t="s">
        <v>9901</v>
      </c>
      <c r="Z3359" t="s">
        <v>9898</v>
      </c>
      <c r="AD3359">
        <f t="shared" si="105"/>
        <v>4</v>
      </c>
    </row>
    <row r="3360" spans="1:30" x14ac:dyDescent="0.25">
      <c r="A3360" t="s">
        <v>3384</v>
      </c>
      <c r="B3360" s="2">
        <v>45024</v>
      </c>
      <c r="C3360" s="2">
        <v>45030</v>
      </c>
      <c r="D3360" t="s">
        <v>5226</v>
      </c>
      <c r="E3360" t="s">
        <v>5726</v>
      </c>
      <c r="F3360" t="s">
        <v>6027</v>
      </c>
      <c r="G3360" t="s">
        <v>6031</v>
      </c>
      <c r="H3360" t="s">
        <v>6034</v>
      </c>
      <c r="I3360" t="s">
        <v>6048</v>
      </c>
      <c r="J3360" t="s">
        <v>6055</v>
      </c>
      <c r="K3360" t="s">
        <v>6061</v>
      </c>
      <c r="L3360" t="s">
        <v>6962</v>
      </c>
      <c r="M3360">
        <v>1408.57</v>
      </c>
      <c r="N3360">
        <v>2</v>
      </c>
      <c r="O3360">
        <v>7.0000000000000007E-2</v>
      </c>
      <c r="P3360">
        <v>297.58999999999997</v>
      </c>
      <c r="Q3360" t="s">
        <v>9893</v>
      </c>
      <c r="R3360">
        <v>6</v>
      </c>
      <c r="S3360" s="5">
        <f t="shared" si="104"/>
        <v>0.2112710053458472</v>
      </c>
      <c r="T3360">
        <v>704.28499999999997</v>
      </c>
      <c r="U3360">
        <v>4</v>
      </c>
      <c r="V3360">
        <v>2023</v>
      </c>
      <c r="W3360">
        <v>2</v>
      </c>
      <c r="X3360" t="s">
        <v>9899</v>
      </c>
      <c r="Y3360" t="s">
        <v>9901</v>
      </c>
      <c r="Z3360" t="s">
        <v>9898</v>
      </c>
      <c r="AD3360">
        <f t="shared" si="105"/>
        <v>6</v>
      </c>
    </row>
    <row r="3361" spans="1:30" x14ac:dyDescent="0.25">
      <c r="A3361" t="s">
        <v>3385</v>
      </c>
      <c r="B3361" s="2">
        <v>45121</v>
      </c>
      <c r="C3361" s="2">
        <v>45126</v>
      </c>
      <c r="D3361" t="s">
        <v>5228</v>
      </c>
      <c r="E3361" t="s">
        <v>5728</v>
      </c>
      <c r="F3361" t="s">
        <v>6028</v>
      </c>
      <c r="G3361" t="s">
        <v>6029</v>
      </c>
      <c r="H3361" t="s">
        <v>6041</v>
      </c>
      <c r="I3361" t="s">
        <v>6049</v>
      </c>
      <c r="J3361" t="s">
        <v>6055</v>
      </c>
      <c r="K3361" t="s">
        <v>6063</v>
      </c>
      <c r="L3361" t="s">
        <v>8857</v>
      </c>
      <c r="M3361">
        <v>1744.3</v>
      </c>
      <c r="N3361">
        <v>4</v>
      </c>
      <c r="O3361">
        <v>0.05</v>
      </c>
      <c r="P3361">
        <v>169.89</v>
      </c>
      <c r="Q3361" t="s">
        <v>9894</v>
      </c>
      <c r="R3361">
        <v>5</v>
      </c>
      <c r="S3361" s="5">
        <f t="shared" si="104"/>
        <v>9.7397236713868018E-2</v>
      </c>
      <c r="T3361">
        <v>436.07499999999999</v>
      </c>
      <c r="U3361">
        <v>7</v>
      </c>
      <c r="V3361">
        <v>2023</v>
      </c>
      <c r="W3361">
        <v>3</v>
      </c>
      <c r="X3361" t="s">
        <v>9899</v>
      </c>
      <c r="Y3361" t="s">
        <v>9901</v>
      </c>
      <c r="Z3361" t="s">
        <v>9898</v>
      </c>
      <c r="AD3361">
        <f t="shared" si="105"/>
        <v>5</v>
      </c>
    </row>
    <row r="3362" spans="1:30" x14ac:dyDescent="0.25">
      <c r="A3362" t="s">
        <v>3386</v>
      </c>
      <c r="B3362" s="2">
        <v>44981</v>
      </c>
      <c r="C3362" s="2">
        <v>44987</v>
      </c>
      <c r="D3362" t="s">
        <v>5234</v>
      </c>
      <c r="E3362" t="s">
        <v>5734</v>
      </c>
      <c r="F3362" t="s">
        <v>6028</v>
      </c>
      <c r="G3362" t="s">
        <v>6030</v>
      </c>
      <c r="H3362" t="s">
        <v>6039</v>
      </c>
      <c r="I3362" t="s">
        <v>6047</v>
      </c>
      <c r="J3362" t="s">
        <v>6054</v>
      </c>
      <c r="K3362" t="s">
        <v>6060</v>
      </c>
      <c r="L3362" t="s">
        <v>8858</v>
      </c>
      <c r="M3362">
        <v>1158.05</v>
      </c>
      <c r="N3362">
        <v>3</v>
      </c>
      <c r="O3362">
        <v>0.03</v>
      </c>
      <c r="P3362">
        <v>218.15</v>
      </c>
      <c r="Q3362" t="s">
        <v>9893</v>
      </c>
      <c r="R3362">
        <v>6</v>
      </c>
      <c r="S3362" s="5">
        <f t="shared" si="104"/>
        <v>0.1883770130823367</v>
      </c>
      <c r="T3362">
        <v>386.01666666666671</v>
      </c>
      <c r="U3362">
        <v>2</v>
      </c>
      <c r="V3362">
        <v>2023</v>
      </c>
      <c r="W3362">
        <v>1</v>
      </c>
      <c r="X3362" t="s">
        <v>9899</v>
      </c>
      <c r="Y3362" t="s">
        <v>9901</v>
      </c>
      <c r="Z3362" t="s">
        <v>9898</v>
      </c>
      <c r="AD3362">
        <f t="shared" si="105"/>
        <v>6</v>
      </c>
    </row>
    <row r="3363" spans="1:30" x14ac:dyDescent="0.25">
      <c r="A3363" t="s">
        <v>3387</v>
      </c>
      <c r="B3363" s="2">
        <v>44848</v>
      </c>
      <c r="C3363" s="2">
        <v>44853</v>
      </c>
      <c r="D3363" t="s">
        <v>5081</v>
      </c>
      <c r="E3363" t="s">
        <v>5581</v>
      </c>
      <c r="F3363" t="s">
        <v>6028</v>
      </c>
      <c r="G3363" t="s">
        <v>6030</v>
      </c>
      <c r="H3363" t="s">
        <v>6039</v>
      </c>
      <c r="I3363" t="s">
        <v>6051</v>
      </c>
      <c r="J3363" t="s">
        <v>6053</v>
      </c>
      <c r="K3363" t="s">
        <v>6056</v>
      </c>
      <c r="L3363" t="s">
        <v>8859</v>
      </c>
      <c r="M3363">
        <v>1531.38</v>
      </c>
      <c r="N3363">
        <v>4</v>
      </c>
      <c r="O3363">
        <v>0.01</v>
      </c>
      <c r="P3363">
        <v>218.18</v>
      </c>
      <c r="Q3363" t="s">
        <v>9897</v>
      </c>
      <c r="R3363">
        <v>5</v>
      </c>
      <c r="S3363" s="5">
        <f t="shared" si="104"/>
        <v>0.14247280230902845</v>
      </c>
      <c r="T3363">
        <v>382.84500000000003</v>
      </c>
      <c r="U3363">
        <v>10</v>
      </c>
      <c r="V3363">
        <v>2022</v>
      </c>
      <c r="W3363">
        <v>4</v>
      </c>
      <c r="X3363" t="s">
        <v>9899</v>
      </c>
      <c r="Y3363" t="s">
        <v>9901</v>
      </c>
      <c r="Z3363" t="s">
        <v>9898</v>
      </c>
      <c r="AD3363">
        <f t="shared" si="105"/>
        <v>5</v>
      </c>
    </row>
    <row r="3364" spans="1:30" x14ac:dyDescent="0.25">
      <c r="A3364" t="s">
        <v>3388</v>
      </c>
      <c r="B3364" s="2">
        <v>44761</v>
      </c>
      <c r="C3364" s="2">
        <v>44764</v>
      </c>
      <c r="D3364" t="s">
        <v>5204</v>
      </c>
      <c r="E3364" t="s">
        <v>5704</v>
      </c>
      <c r="F3364" t="s">
        <v>6028</v>
      </c>
      <c r="G3364" t="s">
        <v>6029</v>
      </c>
      <c r="H3364" t="s">
        <v>6044</v>
      </c>
      <c r="I3364" t="s">
        <v>6049</v>
      </c>
      <c r="J3364" t="s">
        <v>6055</v>
      </c>
      <c r="K3364" t="s">
        <v>6064</v>
      </c>
      <c r="L3364" t="s">
        <v>8860</v>
      </c>
      <c r="M3364">
        <v>1447.48</v>
      </c>
      <c r="N3364">
        <v>8</v>
      </c>
      <c r="O3364">
        <v>0.06</v>
      </c>
      <c r="P3364">
        <v>94.04</v>
      </c>
      <c r="Q3364" t="s">
        <v>9895</v>
      </c>
      <c r="R3364">
        <v>3</v>
      </c>
      <c r="S3364" s="5">
        <f t="shared" si="104"/>
        <v>6.4968082460552135E-2</v>
      </c>
      <c r="T3364">
        <v>180.935</v>
      </c>
      <c r="U3364">
        <v>7</v>
      </c>
      <c r="V3364">
        <v>2022</v>
      </c>
      <c r="W3364">
        <v>3</v>
      </c>
      <c r="X3364" t="s">
        <v>9899</v>
      </c>
      <c r="Y3364" t="s">
        <v>9901</v>
      </c>
      <c r="Z3364" t="s">
        <v>9898</v>
      </c>
      <c r="AD3364">
        <f t="shared" si="105"/>
        <v>3</v>
      </c>
    </row>
    <row r="3365" spans="1:30" x14ac:dyDescent="0.25">
      <c r="A3365" t="s">
        <v>3389</v>
      </c>
      <c r="B3365" s="2">
        <v>44830</v>
      </c>
      <c r="C3365" s="2">
        <v>44832</v>
      </c>
      <c r="D3365" t="s">
        <v>5353</v>
      </c>
      <c r="E3365" t="s">
        <v>5853</v>
      </c>
      <c r="F3365" t="s">
        <v>6026</v>
      </c>
      <c r="G3365" t="s">
        <v>6029</v>
      </c>
      <c r="H3365" t="s">
        <v>6036</v>
      </c>
      <c r="I3365" t="s">
        <v>6050</v>
      </c>
      <c r="J3365" t="s">
        <v>6055</v>
      </c>
      <c r="K3365" t="s">
        <v>6063</v>
      </c>
      <c r="L3365" t="s">
        <v>7151</v>
      </c>
      <c r="M3365">
        <v>551.02</v>
      </c>
      <c r="N3365">
        <v>3</v>
      </c>
      <c r="O3365">
        <v>0.33</v>
      </c>
      <c r="P3365">
        <v>-20.79</v>
      </c>
      <c r="Q3365" t="s">
        <v>9896</v>
      </c>
      <c r="R3365">
        <v>2</v>
      </c>
      <c r="S3365" s="5">
        <f t="shared" si="104"/>
        <v>-3.7730027948168848E-2</v>
      </c>
      <c r="T3365">
        <v>183.67333333333329</v>
      </c>
      <c r="U3365">
        <v>9</v>
      </c>
      <c r="V3365">
        <v>2022</v>
      </c>
      <c r="W3365">
        <v>3</v>
      </c>
      <c r="X3365" t="s">
        <v>9898</v>
      </c>
      <c r="Y3365" t="s">
        <v>9902</v>
      </c>
      <c r="Z3365" t="s">
        <v>9899</v>
      </c>
      <c r="AD3365">
        <f t="shared" si="105"/>
        <v>2</v>
      </c>
    </row>
    <row r="3366" spans="1:30" x14ac:dyDescent="0.25">
      <c r="A3366" t="s">
        <v>3390</v>
      </c>
      <c r="B3366" s="2">
        <v>44581</v>
      </c>
      <c r="C3366" s="2">
        <v>44584</v>
      </c>
      <c r="D3366" t="s">
        <v>5309</v>
      </c>
      <c r="E3366" t="s">
        <v>5809</v>
      </c>
      <c r="F3366" t="s">
        <v>6028</v>
      </c>
      <c r="G3366" t="s">
        <v>6029</v>
      </c>
      <c r="H3366" t="s">
        <v>6032</v>
      </c>
      <c r="I3366" t="s">
        <v>6049</v>
      </c>
      <c r="J3366" t="s">
        <v>6053</v>
      </c>
      <c r="K3366" t="s">
        <v>6057</v>
      </c>
      <c r="L3366" t="s">
        <v>8861</v>
      </c>
      <c r="M3366">
        <v>1703.57</v>
      </c>
      <c r="N3366">
        <v>7</v>
      </c>
      <c r="O3366">
        <v>0.3</v>
      </c>
      <c r="P3366">
        <v>-27.85</v>
      </c>
      <c r="Q3366" t="s">
        <v>9895</v>
      </c>
      <c r="R3366">
        <v>3</v>
      </c>
      <c r="S3366" s="5">
        <f t="shared" si="104"/>
        <v>-1.634802209477744E-2</v>
      </c>
      <c r="T3366">
        <v>243.36714285714291</v>
      </c>
      <c r="U3366">
        <v>1</v>
      </c>
      <c r="V3366">
        <v>2022</v>
      </c>
      <c r="W3366">
        <v>1</v>
      </c>
      <c r="X3366" t="s">
        <v>9898</v>
      </c>
      <c r="Y3366" t="s">
        <v>9900</v>
      </c>
      <c r="Z3366" t="s">
        <v>9898</v>
      </c>
      <c r="AD3366">
        <f t="shared" si="105"/>
        <v>3</v>
      </c>
    </row>
    <row r="3367" spans="1:30" x14ac:dyDescent="0.25">
      <c r="A3367" t="s">
        <v>3391</v>
      </c>
      <c r="B3367" s="2">
        <v>44907</v>
      </c>
      <c r="C3367" s="2">
        <v>44911</v>
      </c>
      <c r="D3367" t="s">
        <v>5293</v>
      </c>
      <c r="E3367" t="s">
        <v>5793</v>
      </c>
      <c r="F3367" t="s">
        <v>6027</v>
      </c>
      <c r="G3367" t="s">
        <v>6029</v>
      </c>
      <c r="H3367" t="s">
        <v>6036</v>
      </c>
      <c r="I3367" t="s">
        <v>6046</v>
      </c>
      <c r="J3367" t="s">
        <v>6053</v>
      </c>
      <c r="K3367" t="s">
        <v>6058</v>
      </c>
      <c r="L3367" t="s">
        <v>8862</v>
      </c>
      <c r="M3367">
        <v>1951.13</v>
      </c>
      <c r="N3367">
        <v>2</v>
      </c>
      <c r="O3367">
        <v>0.33</v>
      </c>
      <c r="P3367">
        <v>-282.51</v>
      </c>
      <c r="Q3367" t="s">
        <v>9893</v>
      </c>
      <c r="R3367">
        <v>4</v>
      </c>
      <c r="S3367" s="5">
        <f t="shared" si="104"/>
        <v>-0.14479301737967229</v>
      </c>
      <c r="T3367">
        <v>975.56500000000005</v>
      </c>
      <c r="U3367">
        <v>12</v>
      </c>
      <c r="V3367">
        <v>2022</v>
      </c>
      <c r="W3367">
        <v>4</v>
      </c>
      <c r="X3367" t="s">
        <v>9898</v>
      </c>
      <c r="Y3367" t="s">
        <v>9902</v>
      </c>
      <c r="Z3367" t="s">
        <v>9898</v>
      </c>
      <c r="AD3367">
        <f t="shared" si="105"/>
        <v>4</v>
      </c>
    </row>
    <row r="3368" spans="1:30" x14ac:dyDescent="0.25">
      <c r="A3368" t="s">
        <v>3392</v>
      </c>
      <c r="B3368" s="2">
        <v>45292</v>
      </c>
      <c r="C3368" s="2">
        <v>45296</v>
      </c>
      <c r="D3368" t="s">
        <v>5351</v>
      </c>
      <c r="E3368" t="s">
        <v>5851</v>
      </c>
      <c r="F3368" t="s">
        <v>6028</v>
      </c>
      <c r="G3368" t="s">
        <v>6031</v>
      </c>
      <c r="H3368" t="s">
        <v>6043</v>
      </c>
      <c r="I3368" t="s">
        <v>6052</v>
      </c>
      <c r="J3368" t="s">
        <v>6053</v>
      </c>
      <c r="K3368" t="s">
        <v>6056</v>
      </c>
      <c r="L3368" t="s">
        <v>7941</v>
      </c>
      <c r="M3368">
        <v>1592.93</v>
      </c>
      <c r="N3368">
        <v>4</v>
      </c>
      <c r="O3368">
        <v>0.19</v>
      </c>
      <c r="P3368">
        <v>170.82</v>
      </c>
      <c r="Q3368" t="s">
        <v>9896</v>
      </c>
      <c r="R3368">
        <v>4</v>
      </c>
      <c r="S3368" s="5">
        <f t="shared" si="104"/>
        <v>0.10723635062432121</v>
      </c>
      <c r="T3368">
        <v>398.23250000000002</v>
      </c>
      <c r="U3368">
        <v>1</v>
      </c>
      <c r="V3368">
        <v>2024</v>
      </c>
      <c r="W3368">
        <v>1</v>
      </c>
      <c r="X3368" t="s">
        <v>9899</v>
      </c>
      <c r="Y3368" t="s">
        <v>9900</v>
      </c>
      <c r="Z3368" t="s">
        <v>9898</v>
      </c>
      <c r="AD3368">
        <f t="shared" si="105"/>
        <v>4</v>
      </c>
    </row>
    <row r="3369" spans="1:30" x14ac:dyDescent="0.25">
      <c r="A3369" t="s">
        <v>3393</v>
      </c>
      <c r="B3369" s="2">
        <v>45362</v>
      </c>
      <c r="C3369" s="2">
        <v>45368</v>
      </c>
      <c r="D3369" t="s">
        <v>5442</v>
      </c>
      <c r="E3369" t="s">
        <v>5942</v>
      </c>
      <c r="F3369" t="s">
        <v>6027</v>
      </c>
      <c r="G3369" t="s">
        <v>6029</v>
      </c>
      <c r="H3369" t="s">
        <v>6036</v>
      </c>
      <c r="I3369" t="s">
        <v>6049</v>
      </c>
      <c r="J3369" t="s">
        <v>6055</v>
      </c>
      <c r="K3369" t="s">
        <v>6063</v>
      </c>
      <c r="L3369" t="s">
        <v>8863</v>
      </c>
      <c r="M3369">
        <v>598.99</v>
      </c>
      <c r="N3369">
        <v>1</v>
      </c>
      <c r="O3369">
        <v>0.09</v>
      </c>
      <c r="P3369">
        <v>40.32</v>
      </c>
      <c r="Q3369" t="s">
        <v>9897</v>
      </c>
      <c r="R3369">
        <v>6</v>
      </c>
      <c r="S3369" s="5">
        <f t="shared" si="104"/>
        <v>6.7313310739745238E-2</v>
      </c>
      <c r="T3369">
        <v>598.99</v>
      </c>
      <c r="U3369">
        <v>3</v>
      </c>
      <c r="V3369">
        <v>2024</v>
      </c>
      <c r="W3369">
        <v>1</v>
      </c>
      <c r="X3369" t="s">
        <v>9899</v>
      </c>
      <c r="Y3369" t="s">
        <v>9901</v>
      </c>
      <c r="Z3369" t="s">
        <v>9899</v>
      </c>
      <c r="AD3369">
        <f t="shared" si="105"/>
        <v>6</v>
      </c>
    </row>
    <row r="3370" spans="1:30" x14ac:dyDescent="0.25">
      <c r="A3370" t="s">
        <v>3394</v>
      </c>
      <c r="B3370" s="2">
        <v>44664</v>
      </c>
      <c r="C3370" s="2">
        <v>44669</v>
      </c>
      <c r="D3370" t="s">
        <v>5461</v>
      </c>
      <c r="E3370" t="s">
        <v>5961</v>
      </c>
      <c r="F3370" t="s">
        <v>6026</v>
      </c>
      <c r="G3370" t="s">
        <v>6029</v>
      </c>
      <c r="H3370" t="s">
        <v>6041</v>
      </c>
      <c r="I3370" t="s">
        <v>6050</v>
      </c>
      <c r="J3370" t="s">
        <v>6054</v>
      </c>
      <c r="K3370" t="s">
        <v>6062</v>
      </c>
      <c r="L3370" t="s">
        <v>8720</v>
      </c>
      <c r="M3370">
        <v>931.78</v>
      </c>
      <c r="N3370">
        <v>1</v>
      </c>
      <c r="O3370">
        <v>0.09</v>
      </c>
      <c r="P3370">
        <v>153.16</v>
      </c>
      <c r="Q3370" t="s">
        <v>9894</v>
      </c>
      <c r="R3370">
        <v>5</v>
      </c>
      <c r="S3370" s="5">
        <f t="shared" si="104"/>
        <v>0.16437356457532895</v>
      </c>
      <c r="T3370">
        <v>931.78</v>
      </c>
      <c r="U3370">
        <v>4</v>
      </c>
      <c r="V3370">
        <v>2022</v>
      </c>
      <c r="W3370">
        <v>2</v>
      </c>
      <c r="X3370" t="s">
        <v>9899</v>
      </c>
      <c r="Y3370" t="s">
        <v>9901</v>
      </c>
      <c r="Z3370" t="s">
        <v>9899</v>
      </c>
      <c r="AD3370">
        <f t="shared" si="105"/>
        <v>5</v>
      </c>
    </row>
    <row r="3371" spans="1:30" x14ac:dyDescent="0.25">
      <c r="A3371" t="s">
        <v>3395</v>
      </c>
      <c r="B3371" s="2">
        <v>45332</v>
      </c>
      <c r="C3371" s="2">
        <v>45336</v>
      </c>
      <c r="D3371" t="s">
        <v>5030</v>
      </c>
      <c r="E3371" t="s">
        <v>5530</v>
      </c>
      <c r="F3371" t="s">
        <v>6027</v>
      </c>
      <c r="G3371" t="s">
        <v>6029</v>
      </c>
      <c r="H3371" t="s">
        <v>6036</v>
      </c>
      <c r="I3371" t="s">
        <v>6050</v>
      </c>
      <c r="J3371" t="s">
        <v>6055</v>
      </c>
      <c r="K3371" t="s">
        <v>6061</v>
      </c>
      <c r="L3371" t="s">
        <v>7663</v>
      </c>
      <c r="M3371">
        <v>1149.72</v>
      </c>
      <c r="N3371">
        <v>2</v>
      </c>
      <c r="O3371">
        <v>0.04</v>
      </c>
      <c r="P3371">
        <v>258.89</v>
      </c>
      <c r="Q3371" t="s">
        <v>9896</v>
      </c>
      <c r="R3371">
        <v>4</v>
      </c>
      <c r="S3371" s="5">
        <f t="shared" si="104"/>
        <v>0.22517656472880351</v>
      </c>
      <c r="T3371">
        <v>574.86</v>
      </c>
      <c r="U3371">
        <v>2</v>
      </c>
      <c r="V3371">
        <v>2024</v>
      </c>
      <c r="W3371">
        <v>1</v>
      </c>
      <c r="X3371" t="s">
        <v>9899</v>
      </c>
      <c r="Y3371" t="s">
        <v>9901</v>
      </c>
      <c r="Z3371" t="s">
        <v>9898</v>
      </c>
      <c r="AD3371">
        <f t="shared" si="105"/>
        <v>4</v>
      </c>
    </row>
    <row r="3372" spans="1:30" x14ac:dyDescent="0.25">
      <c r="A3372" t="s">
        <v>3396</v>
      </c>
      <c r="B3372" s="2">
        <v>45405</v>
      </c>
      <c r="C3372" s="2">
        <v>45411</v>
      </c>
      <c r="D3372" t="s">
        <v>5430</v>
      </c>
      <c r="E3372" t="s">
        <v>5930</v>
      </c>
      <c r="F3372" t="s">
        <v>6026</v>
      </c>
      <c r="G3372" t="s">
        <v>6030</v>
      </c>
      <c r="H3372" t="s">
        <v>6039</v>
      </c>
      <c r="I3372" t="s">
        <v>6051</v>
      </c>
      <c r="J3372" t="s">
        <v>6055</v>
      </c>
      <c r="K3372" t="s">
        <v>6064</v>
      </c>
      <c r="L3372" t="s">
        <v>8864</v>
      </c>
      <c r="M3372">
        <v>225.59</v>
      </c>
      <c r="N3372">
        <v>5</v>
      </c>
      <c r="O3372">
        <v>0.21</v>
      </c>
      <c r="P3372">
        <v>-7.37</v>
      </c>
      <c r="Q3372" t="s">
        <v>9896</v>
      </c>
      <c r="R3372">
        <v>6</v>
      </c>
      <c r="S3372" s="5">
        <f t="shared" si="104"/>
        <v>-3.2669887849638722E-2</v>
      </c>
      <c r="T3372">
        <v>45.118000000000002</v>
      </c>
      <c r="U3372">
        <v>4</v>
      </c>
      <c r="V3372">
        <v>2024</v>
      </c>
      <c r="W3372">
        <v>2</v>
      </c>
      <c r="X3372" t="s">
        <v>9898</v>
      </c>
      <c r="Y3372" t="s">
        <v>9900</v>
      </c>
      <c r="Z3372" t="s">
        <v>9899</v>
      </c>
      <c r="AD3372">
        <f t="shared" si="105"/>
        <v>6</v>
      </c>
    </row>
    <row r="3373" spans="1:30" x14ac:dyDescent="0.25">
      <c r="A3373" t="s">
        <v>3397</v>
      </c>
      <c r="B3373" s="2">
        <v>45261</v>
      </c>
      <c r="C3373" s="2">
        <v>45265</v>
      </c>
      <c r="D3373" t="s">
        <v>5244</v>
      </c>
      <c r="E3373" t="s">
        <v>5744</v>
      </c>
      <c r="F3373" t="s">
        <v>6027</v>
      </c>
      <c r="G3373" t="s">
        <v>6031</v>
      </c>
      <c r="H3373" t="s">
        <v>6037</v>
      </c>
      <c r="I3373" t="s">
        <v>6050</v>
      </c>
      <c r="J3373" t="s">
        <v>6055</v>
      </c>
      <c r="K3373" t="s">
        <v>6064</v>
      </c>
      <c r="L3373" t="s">
        <v>8865</v>
      </c>
      <c r="M3373">
        <v>299.64999999999998</v>
      </c>
      <c r="N3373">
        <v>4</v>
      </c>
      <c r="O3373">
        <v>0.24</v>
      </c>
      <c r="P3373">
        <v>16.93</v>
      </c>
      <c r="Q3373" t="s">
        <v>9895</v>
      </c>
      <c r="R3373">
        <v>4</v>
      </c>
      <c r="S3373" s="5">
        <f t="shared" si="104"/>
        <v>5.6499249123977975E-2</v>
      </c>
      <c r="T3373">
        <v>74.912499999999994</v>
      </c>
      <c r="U3373">
        <v>12</v>
      </c>
      <c r="V3373">
        <v>2023</v>
      </c>
      <c r="W3373">
        <v>4</v>
      </c>
      <c r="X3373" t="s">
        <v>9899</v>
      </c>
      <c r="Y3373" t="s">
        <v>9900</v>
      </c>
      <c r="Z3373" t="s">
        <v>9899</v>
      </c>
      <c r="AD3373">
        <f t="shared" si="105"/>
        <v>4</v>
      </c>
    </row>
    <row r="3374" spans="1:30" x14ac:dyDescent="0.25">
      <c r="A3374" t="s">
        <v>3398</v>
      </c>
      <c r="B3374" s="2">
        <v>44758</v>
      </c>
      <c r="C3374" s="2">
        <v>44763</v>
      </c>
      <c r="D3374" t="s">
        <v>5488</v>
      </c>
      <c r="E3374" t="s">
        <v>5988</v>
      </c>
      <c r="F3374" t="s">
        <v>6027</v>
      </c>
      <c r="G3374" t="s">
        <v>6031</v>
      </c>
      <c r="H3374" t="s">
        <v>6040</v>
      </c>
      <c r="I3374" t="s">
        <v>6048</v>
      </c>
      <c r="J3374" t="s">
        <v>6054</v>
      </c>
      <c r="K3374" t="s">
        <v>6060</v>
      </c>
      <c r="L3374" t="s">
        <v>6142</v>
      </c>
      <c r="M3374">
        <v>193.39</v>
      </c>
      <c r="N3374">
        <v>5</v>
      </c>
      <c r="O3374">
        <v>0.19</v>
      </c>
      <c r="P3374">
        <v>-12.89</v>
      </c>
      <c r="Q3374" t="s">
        <v>9896</v>
      </c>
      <c r="R3374">
        <v>5</v>
      </c>
      <c r="S3374" s="5">
        <f t="shared" si="104"/>
        <v>-6.6652877604839969E-2</v>
      </c>
      <c r="T3374">
        <v>38.677999999999997</v>
      </c>
      <c r="U3374">
        <v>7</v>
      </c>
      <c r="V3374">
        <v>2022</v>
      </c>
      <c r="W3374">
        <v>3</v>
      </c>
      <c r="X3374" t="s">
        <v>9898</v>
      </c>
      <c r="Y3374" t="s">
        <v>9900</v>
      </c>
      <c r="Z3374" t="s">
        <v>9899</v>
      </c>
      <c r="AD3374">
        <f t="shared" si="105"/>
        <v>5</v>
      </c>
    </row>
    <row r="3375" spans="1:30" x14ac:dyDescent="0.25">
      <c r="A3375" t="s">
        <v>3399</v>
      </c>
      <c r="B3375" s="2">
        <v>45182</v>
      </c>
      <c r="C3375" s="2">
        <v>45183</v>
      </c>
      <c r="D3375" t="s">
        <v>5499</v>
      </c>
      <c r="E3375" t="s">
        <v>5999</v>
      </c>
      <c r="F3375" t="s">
        <v>6026</v>
      </c>
      <c r="G3375" t="s">
        <v>6031</v>
      </c>
      <c r="H3375" t="s">
        <v>6043</v>
      </c>
      <c r="I3375" t="s">
        <v>6052</v>
      </c>
      <c r="J3375" t="s">
        <v>6055</v>
      </c>
      <c r="K3375" t="s">
        <v>6064</v>
      </c>
      <c r="L3375" t="s">
        <v>8866</v>
      </c>
      <c r="M3375">
        <v>790.49</v>
      </c>
      <c r="N3375">
        <v>4</v>
      </c>
      <c r="O3375">
        <v>0.19</v>
      </c>
      <c r="P3375">
        <v>20.440000000000001</v>
      </c>
      <c r="Q3375" t="s">
        <v>9897</v>
      </c>
      <c r="R3375">
        <v>1</v>
      </c>
      <c r="S3375" s="5">
        <f t="shared" si="104"/>
        <v>2.5857379599994942E-2</v>
      </c>
      <c r="T3375">
        <v>197.6225</v>
      </c>
      <c r="U3375">
        <v>9</v>
      </c>
      <c r="V3375">
        <v>2023</v>
      </c>
      <c r="W3375">
        <v>3</v>
      </c>
      <c r="X3375" t="s">
        <v>9899</v>
      </c>
      <c r="Y3375" t="s">
        <v>9900</v>
      </c>
      <c r="Z3375" t="s">
        <v>9899</v>
      </c>
      <c r="AD3375">
        <f t="shared" si="105"/>
        <v>1</v>
      </c>
    </row>
    <row r="3376" spans="1:30" x14ac:dyDescent="0.25">
      <c r="A3376" t="s">
        <v>3400</v>
      </c>
      <c r="B3376" s="2">
        <v>45147</v>
      </c>
      <c r="C3376" s="2">
        <v>45148</v>
      </c>
      <c r="D3376" t="s">
        <v>5368</v>
      </c>
      <c r="E3376" t="s">
        <v>5868</v>
      </c>
      <c r="F3376" t="s">
        <v>6027</v>
      </c>
      <c r="G3376" t="s">
        <v>6031</v>
      </c>
      <c r="H3376" t="s">
        <v>6040</v>
      </c>
      <c r="I3376" t="s">
        <v>6052</v>
      </c>
      <c r="J3376" t="s">
        <v>6053</v>
      </c>
      <c r="K3376" t="s">
        <v>6058</v>
      </c>
      <c r="L3376" t="s">
        <v>7444</v>
      </c>
      <c r="M3376">
        <v>728.5</v>
      </c>
      <c r="N3376">
        <v>6</v>
      </c>
      <c r="O3376">
        <v>0.19</v>
      </c>
      <c r="P3376">
        <v>-3.72</v>
      </c>
      <c r="Q3376" t="s">
        <v>9897</v>
      </c>
      <c r="R3376">
        <v>1</v>
      </c>
      <c r="S3376" s="5">
        <f t="shared" si="104"/>
        <v>-5.1063829787234049E-3</v>
      </c>
      <c r="T3376">
        <v>121.4166666666667</v>
      </c>
      <c r="U3376">
        <v>8</v>
      </c>
      <c r="V3376">
        <v>2023</v>
      </c>
      <c r="W3376">
        <v>3</v>
      </c>
      <c r="X3376" t="s">
        <v>9898</v>
      </c>
      <c r="Y3376" t="s">
        <v>9900</v>
      </c>
      <c r="Z3376" t="s">
        <v>9899</v>
      </c>
      <c r="AD3376">
        <f t="shared" si="105"/>
        <v>1</v>
      </c>
    </row>
    <row r="3377" spans="1:30" x14ac:dyDescent="0.25">
      <c r="A3377" t="s">
        <v>3401</v>
      </c>
      <c r="B3377" s="2">
        <v>44660</v>
      </c>
      <c r="C3377" s="2">
        <v>44667</v>
      </c>
      <c r="D3377" t="s">
        <v>5059</v>
      </c>
      <c r="E3377" t="s">
        <v>5559</v>
      </c>
      <c r="F3377" t="s">
        <v>6027</v>
      </c>
      <c r="G3377" t="s">
        <v>6030</v>
      </c>
      <c r="H3377" t="s">
        <v>6038</v>
      </c>
      <c r="I3377" t="s">
        <v>6047</v>
      </c>
      <c r="J3377" t="s">
        <v>6055</v>
      </c>
      <c r="K3377" t="s">
        <v>6063</v>
      </c>
      <c r="L3377" t="s">
        <v>8867</v>
      </c>
      <c r="M3377">
        <v>1673.52</v>
      </c>
      <c r="N3377">
        <v>2</v>
      </c>
      <c r="O3377">
        <v>0.21</v>
      </c>
      <c r="P3377">
        <v>57.94</v>
      </c>
      <c r="Q3377" t="s">
        <v>9893</v>
      </c>
      <c r="R3377">
        <v>7</v>
      </c>
      <c r="S3377" s="5">
        <f t="shared" si="104"/>
        <v>3.4621635833452839E-2</v>
      </c>
      <c r="T3377">
        <v>836.76</v>
      </c>
      <c r="U3377">
        <v>4</v>
      </c>
      <c r="V3377">
        <v>2022</v>
      </c>
      <c r="W3377">
        <v>2</v>
      </c>
      <c r="X3377" t="s">
        <v>9899</v>
      </c>
      <c r="Y3377" t="s">
        <v>9900</v>
      </c>
      <c r="Z3377" t="s">
        <v>9898</v>
      </c>
      <c r="AD3377">
        <f t="shared" si="105"/>
        <v>7</v>
      </c>
    </row>
    <row r="3378" spans="1:30" x14ac:dyDescent="0.25">
      <c r="A3378" t="s">
        <v>3402</v>
      </c>
      <c r="B3378" s="2">
        <v>44768</v>
      </c>
      <c r="C3378" s="2">
        <v>44771</v>
      </c>
      <c r="D3378" t="s">
        <v>5183</v>
      </c>
      <c r="E3378" t="s">
        <v>5683</v>
      </c>
      <c r="F3378" t="s">
        <v>6028</v>
      </c>
      <c r="G3378" t="s">
        <v>6030</v>
      </c>
      <c r="H3378" t="s">
        <v>6038</v>
      </c>
      <c r="I3378" t="s">
        <v>6047</v>
      </c>
      <c r="J3378" t="s">
        <v>6055</v>
      </c>
      <c r="K3378" t="s">
        <v>6063</v>
      </c>
      <c r="L3378" t="s">
        <v>7353</v>
      </c>
      <c r="M3378">
        <v>162.94999999999999</v>
      </c>
      <c r="N3378">
        <v>1</v>
      </c>
      <c r="O3378">
        <v>0.09</v>
      </c>
      <c r="P3378">
        <v>27.82</v>
      </c>
      <c r="Q3378" t="s">
        <v>9895</v>
      </c>
      <c r="R3378">
        <v>3</v>
      </c>
      <c r="S3378" s="5">
        <f t="shared" si="104"/>
        <v>0.17072721693771098</v>
      </c>
      <c r="T3378">
        <v>162.94999999999999</v>
      </c>
      <c r="U3378">
        <v>7</v>
      </c>
      <c r="V3378">
        <v>2022</v>
      </c>
      <c r="W3378">
        <v>3</v>
      </c>
      <c r="X3378" t="s">
        <v>9899</v>
      </c>
      <c r="Y3378" t="s">
        <v>9901</v>
      </c>
      <c r="Z3378" t="s">
        <v>9899</v>
      </c>
      <c r="AD3378">
        <f t="shared" si="105"/>
        <v>3</v>
      </c>
    </row>
    <row r="3379" spans="1:30" x14ac:dyDescent="0.25">
      <c r="A3379" t="s">
        <v>3403</v>
      </c>
      <c r="B3379" s="2">
        <v>44647</v>
      </c>
      <c r="C3379" s="2">
        <v>44654</v>
      </c>
      <c r="D3379" t="s">
        <v>5503</v>
      </c>
      <c r="E3379" t="s">
        <v>6003</v>
      </c>
      <c r="F3379" t="s">
        <v>6028</v>
      </c>
      <c r="G3379" t="s">
        <v>6030</v>
      </c>
      <c r="H3379" t="s">
        <v>6038</v>
      </c>
      <c r="I3379" t="s">
        <v>6047</v>
      </c>
      <c r="J3379" t="s">
        <v>6053</v>
      </c>
      <c r="K3379" t="s">
        <v>6056</v>
      </c>
      <c r="L3379" t="s">
        <v>7969</v>
      </c>
      <c r="M3379">
        <v>876.05</v>
      </c>
      <c r="N3379">
        <v>5</v>
      </c>
      <c r="O3379">
        <v>0.3</v>
      </c>
      <c r="P3379">
        <v>-155.82</v>
      </c>
      <c r="Q3379" t="s">
        <v>9896</v>
      </c>
      <c r="R3379">
        <v>7</v>
      </c>
      <c r="S3379" s="5">
        <f t="shared" si="104"/>
        <v>-0.17786656012784657</v>
      </c>
      <c r="T3379">
        <v>175.21</v>
      </c>
      <c r="U3379">
        <v>3</v>
      </c>
      <c r="V3379">
        <v>2022</v>
      </c>
      <c r="W3379">
        <v>1</v>
      </c>
      <c r="X3379" t="s">
        <v>9898</v>
      </c>
      <c r="Y3379" t="s">
        <v>9900</v>
      </c>
      <c r="Z3379" t="s">
        <v>9899</v>
      </c>
      <c r="AD3379">
        <f t="shared" si="105"/>
        <v>7</v>
      </c>
    </row>
    <row r="3380" spans="1:30" x14ac:dyDescent="0.25">
      <c r="A3380" t="s">
        <v>3404</v>
      </c>
      <c r="B3380" s="2">
        <v>45032</v>
      </c>
      <c r="C3380" s="2">
        <v>45038</v>
      </c>
      <c r="D3380" t="s">
        <v>5310</v>
      </c>
      <c r="E3380" t="s">
        <v>5810</v>
      </c>
      <c r="F3380" t="s">
        <v>6028</v>
      </c>
      <c r="G3380" t="s">
        <v>6029</v>
      </c>
      <c r="H3380" t="s">
        <v>6045</v>
      </c>
      <c r="I3380" t="s">
        <v>6049</v>
      </c>
      <c r="J3380" t="s">
        <v>6055</v>
      </c>
      <c r="K3380" t="s">
        <v>6064</v>
      </c>
      <c r="L3380" t="s">
        <v>8868</v>
      </c>
      <c r="M3380">
        <v>361.5</v>
      </c>
      <c r="N3380">
        <v>1</v>
      </c>
      <c r="O3380">
        <v>0.11</v>
      </c>
      <c r="P3380">
        <v>67.67</v>
      </c>
      <c r="Q3380" t="s">
        <v>9895</v>
      </c>
      <c r="R3380">
        <v>6</v>
      </c>
      <c r="S3380" s="5">
        <f t="shared" si="104"/>
        <v>0.18719225449515906</v>
      </c>
      <c r="T3380">
        <v>361.5</v>
      </c>
      <c r="U3380">
        <v>4</v>
      </c>
      <c r="V3380">
        <v>2023</v>
      </c>
      <c r="W3380">
        <v>2</v>
      </c>
      <c r="X3380" t="s">
        <v>9899</v>
      </c>
      <c r="Y3380" t="s">
        <v>9901</v>
      </c>
      <c r="Z3380" t="s">
        <v>9899</v>
      </c>
      <c r="AD3380">
        <f t="shared" si="105"/>
        <v>6</v>
      </c>
    </row>
    <row r="3381" spans="1:30" x14ac:dyDescent="0.25">
      <c r="A3381" t="s">
        <v>3405</v>
      </c>
      <c r="B3381" s="2">
        <v>44848</v>
      </c>
      <c r="C3381" s="2">
        <v>44851</v>
      </c>
      <c r="D3381" t="s">
        <v>5492</v>
      </c>
      <c r="E3381" t="s">
        <v>5992</v>
      </c>
      <c r="F3381" t="s">
        <v>6026</v>
      </c>
      <c r="G3381" t="s">
        <v>6031</v>
      </c>
      <c r="H3381" t="s">
        <v>6042</v>
      </c>
      <c r="I3381" t="s">
        <v>6052</v>
      </c>
      <c r="J3381" t="s">
        <v>6055</v>
      </c>
      <c r="K3381" t="s">
        <v>6061</v>
      </c>
      <c r="L3381" t="s">
        <v>8869</v>
      </c>
      <c r="M3381">
        <v>220.84</v>
      </c>
      <c r="N3381">
        <v>7</v>
      </c>
      <c r="O3381">
        <v>0.18</v>
      </c>
      <c r="P3381">
        <v>-9.32</v>
      </c>
      <c r="Q3381" t="s">
        <v>9894</v>
      </c>
      <c r="R3381">
        <v>3</v>
      </c>
      <c r="S3381" s="5">
        <f t="shared" si="104"/>
        <v>-4.2202499547183484E-2</v>
      </c>
      <c r="T3381">
        <v>31.548571428571432</v>
      </c>
      <c r="U3381">
        <v>10</v>
      </c>
      <c r="V3381">
        <v>2022</v>
      </c>
      <c r="W3381">
        <v>4</v>
      </c>
      <c r="X3381" t="s">
        <v>9898</v>
      </c>
      <c r="Y3381" t="s">
        <v>9900</v>
      </c>
      <c r="Z3381" t="s">
        <v>9899</v>
      </c>
      <c r="AD3381">
        <f t="shared" si="105"/>
        <v>3</v>
      </c>
    </row>
    <row r="3382" spans="1:30" x14ac:dyDescent="0.25">
      <c r="A3382" t="s">
        <v>3406</v>
      </c>
      <c r="B3382" s="2">
        <v>44884</v>
      </c>
      <c r="C3382" s="2">
        <v>44891</v>
      </c>
      <c r="D3382" t="s">
        <v>5463</v>
      </c>
      <c r="E3382" t="s">
        <v>5963</v>
      </c>
      <c r="F3382" t="s">
        <v>6028</v>
      </c>
      <c r="G3382" t="s">
        <v>6031</v>
      </c>
      <c r="H3382" t="s">
        <v>6034</v>
      </c>
      <c r="I3382" t="s">
        <v>6050</v>
      </c>
      <c r="J3382" t="s">
        <v>6055</v>
      </c>
      <c r="K3382" t="s">
        <v>6063</v>
      </c>
      <c r="L3382" t="s">
        <v>8870</v>
      </c>
      <c r="M3382">
        <v>973.15</v>
      </c>
      <c r="N3382">
        <v>1</v>
      </c>
      <c r="O3382">
        <v>0.34</v>
      </c>
      <c r="P3382">
        <v>-155.13999999999999</v>
      </c>
      <c r="Q3382" t="s">
        <v>9896</v>
      </c>
      <c r="R3382">
        <v>7</v>
      </c>
      <c r="S3382" s="5">
        <f t="shared" si="104"/>
        <v>-0.15942043878127729</v>
      </c>
      <c r="T3382">
        <v>973.15</v>
      </c>
      <c r="U3382">
        <v>11</v>
      </c>
      <c r="V3382">
        <v>2022</v>
      </c>
      <c r="W3382">
        <v>4</v>
      </c>
      <c r="X3382" t="s">
        <v>9898</v>
      </c>
      <c r="Y3382" t="s">
        <v>9902</v>
      </c>
      <c r="Z3382" t="s">
        <v>9899</v>
      </c>
      <c r="AD3382">
        <f t="shared" si="105"/>
        <v>7</v>
      </c>
    </row>
    <row r="3383" spans="1:30" x14ac:dyDescent="0.25">
      <c r="A3383" t="s">
        <v>3407</v>
      </c>
      <c r="B3383" s="2">
        <v>45227</v>
      </c>
      <c r="C3383" s="2">
        <v>45228</v>
      </c>
      <c r="D3383" t="s">
        <v>5397</v>
      </c>
      <c r="E3383" t="s">
        <v>5897</v>
      </c>
      <c r="F3383" t="s">
        <v>6027</v>
      </c>
      <c r="G3383" t="s">
        <v>6030</v>
      </c>
      <c r="H3383" t="s">
        <v>6039</v>
      </c>
      <c r="I3383" t="s">
        <v>6047</v>
      </c>
      <c r="J3383" t="s">
        <v>6055</v>
      </c>
      <c r="K3383" t="s">
        <v>6064</v>
      </c>
      <c r="L3383" t="s">
        <v>8500</v>
      </c>
      <c r="M3383">
        <v>1820.96</v>
      </c>
      <c r="N3383">
        <v>2</v>
      </c>
      <c r="O3383">
        <v>0.19</v>
      </c>
      <c r="P3383">
        <v>-60.3</v>
      </c>
      <c r="Q3383" t="s">
        <v>9893</v>
      </c>
      <c r="R3383">
        <v>1</v>
      </c>
      <c r="S3383" s="5">
        <f t="shared" si="104"/>
        <v>-3.311440119497408E-2</v>
      </c>
      <c r="T3383">
        <v>910.48</v>
      </c>
      <c r="U3383">
        <v>10</v>
      </c>
      <c r="V3383">
        <v>2023</v>
      </c>
      <c r="W3383">
        <v>4</v>
      </c>
      <c r="X3383" t="s">
        <v>9898</v>
      </c>
      <c r="Y3383" t="s">
        <v>9900</v>
      </c>
      <c r="Z3383" t="s">
        <v>9898</v>
      </c>
      <c r="AD3383">
        <f t="shared" si="105"/>
        <v>1</v>
      </c>
    </row>
    <row r="3384" spans="1:30" x14ac:dyDescent="0.25">
      <c r="A3384" t="s">
        <v>3408</v>
      </c>
      <c r="B3384" s="2">
        <v>44645</v>
      </c>
      <c r="C3384" s="2">
        <v>44652</v>
      </c>
      <c r="D3384" t="s">
        <v>5432</v>
      </c>
      <c r="E3384" t="s">
        <v>5932</v>
      </c>
      <c r="F3384" t="s">
        <v>6026</v>
      </c>
      <c r="G3384" t="s">
        <v>6029</v>
      </c>
      <c r="H3384" t="s">
        <v>6041</v>
      </c>
      <c r="I3384" t="s">
        <v>6050</v>
      </c>
      <c r="J3384" t="s">
        <v>6055</v>
      </c>
      <c r="K3384" t="s">
        <v>6064</v>
      </c>
      <c r="L3384" t="s">
        <v>7112</v>
      </c>
      <c r="M3384">
        <v>1181.96</v>
      </c>
      <c r="N3384">
        <v>2</v>
      </c>
      <c r="O3384">
        <v>0.22</v>
      </c>
      <c r="P3384">
        <v>79.59</v>
      </c>
      <c r="Q3384" t="s">
        <v>9893</v>
      </c>
      <c r="R3384">
        <v>7</v>
      </c>
      <c r="S3384" s="5">
        <f t="shared" si="104"/>
        <v>6.7337304138887943E-2</v>
      </c>
      <c r="T3384">
        <v>590.98</v>
      </c>
      <c r="U3384">
        <v>3</v>
      </c>
      <c r="V3384">
        <v>2022</v>
      </c>
      <c r="W3384">
        <v>1</v>
      </c>
      <c r="X3384" t="s">
        <v>9899</v>
      </c>
      <c r="Y3384" t="s">
        <v>9900</v>
      </c>
      <c r="Z3384" t="s">
        <v>9898</v>
      </c>
      <c r="AD3384">
        <f t="shared" si="105"/>
        <v>7</v>
      </c>
    </row>
    <row r="3385" spans="1:30" x14ac:dyDescent="0.25">
      <c r="A3385" t="s">
        <v>3409</v>
      </c>
      <c r="B3385" s="2">
        <v>45440</v>
      </c>
      <c r="C3385" s="2">
        <v>45447</v>
      </c>
      <c r="D3385" t="s">
        <v>5169</v>
      </c>
      <c r="E3385" t="s">
        <v>5669</v>
      </c>
      <c r="F3385" t="s">
        <v>6026</v>
      </c>
      <c r="G3385" t="s">
        <v>6029</v>
      </c>
      <c r="H3385" t="s">
        <v>6044</v>
      </c>
      <c r="I3385" t="s">
        <v>6050</v>
      </c>
      <c r="J3385" t="s">
        <v>6054</v>
      </c>
      <c r="K3385" t="s">
        <v>6059</v>
      </c>
      <c r="L3385" t="s">
        <v>8871</v>
      </c>
      <c r="M3385">
        <v>1375.63</v>
      </c>
      <c r="N3385">
        <v>4</v>
      </c>
      <c r="O3385">
        <v>0.28999999999999998</v>
      </c>
      <c r="P3385">
        <v>-173.82</v>
      </c>
      <c r="Q3385" t="s">
        <v>9893</v>
      </c>
      <c r="R3385">
        <v>7</v>
      </c>
      <c r="S3385" s="5">
        <f t="shared" si="104"/>
        <v>-0.12635665113438932</v>
      </c>
      <c r="T3385">
        <v>343.90750000000003</v>
      </c>
      <c r="U3385">
        <v>5</v>
      </c>
      <c r="V3385">
        <v>2024</v>
      </c>
      <c r="W3385">
        <v>2</v>
      </c>
      <c r="X3385" t="s">
        <v>9898</v>
      </c>
      <c r="Y3385" t="s">
        <v>9900</v>
      </c>
      <c r="Z3385" t="s">
        <v>9898</v>
      </c>
      <c r="AD3385">
        <f t="shared" si="105"/>
        <v>7</v>
      </c>
    </row>
    <row r="3386" spans="1:30" x14ac:dyDescent="0.25">
      <c r="A3386" t="s">
        <v>3410</v>
      </c>
      <c r="B3386" s="2">
        <v>44893</v>
      </c>
      <c r="C3386" s="2">
        <v>44899</v>
      </c>
      <c r="D3386" t="s">
        <v>5399</v>
      </c>
      <c r="E3386" t="s">
        <v>5899</v>
      </c>
      <c r="F3386" t="s">
        <v>6028</v>
      </c>
      <c r="G3386" t="s">
        <v>6030</v>
      </c>
      <c r="H3386" t="s">
        <v>6033</v>
      </c>
      <c r="I3386" t="s">
        <v>6051</v>
      </c>
      <c r="J3386" t="s">
        <v>6053</v>
      </c>
      <c r="K3386" t="s">
        <v>6056</v>
      </c>
      <c r="L3386" t="s">
        <v>8675</v>
      </c>
      <c r="M3386">
        <v>1819.45</v>
      </c>
      <c r="N3386">
        <v>1</v>
      </c>
      <c r="O3386">
        <v>0.12</v>
      </c>
      <c r="P3386">
        <v>41.42</v>
      </c>
      <c r="Q3386" t="s">
        <v>9897</v>
      </c>
      <c r="R3386">
        <v>6</v>
      </c>
      <c r="S3386" s="5">
        <f t="shared" si="104"/>
        <v>2.2765121327873807E-2</v>
      </c>
      <c r="T3386">
        <v>1819.45</v>
      </c>
      <c r="U3386">
        <v>11</v>
      </c>
      <c r="V3386">
        <v>2022</v>
      </c>
      <c r="W3386">
        <v>4</v>
      </c>
      <c r="X3386" t="s">
        <v>9899</v>
      </c>
      <c r="Y3386" t="s">
        <v>9901</v>
      </c>
      <c r="Z3386" t="s">
        <v>9898</v>
      </c>
      <c r="AD3386">
        <f t="shared" si="105"/>
        <v>6</v>
      </c>
    </row>
    <row r="3387" spans="1:30" x14ac:dyDescent="0.25">
      <c r="A3387" t="s">
        <v>3411</v>
      </c>
      <c r="B3387" s="2">
        <v>44986</v>
      </c>
      <c r="C3387" s="2">
        <v>44988</v>
      </c>
      <c r="D3387" t="s">
        <v>5406</v>
      </c>
      <c r="E3387" t="s">
        <v>5906</v>
      </c>
      <c r="F3387" t="s">
        <v>6026</v>
      </c>
      <c r="G3387" t="s">
        <v>6029</v>
      </c>
      <c r="H3387" t="s">
        <v>6036</v>
      </c>
      <c r="I3387" t="s">
        <v>6049</v>
      </c>
      <c r="J3387" t="s">
        <v>6055</v>
      </c>
      <c r="K3387" t="s">
        <v>6063</v>
      </c>
      <c r="L3387" t="s">
        <v>8872</v>
      </c>
      <c r="M3387">
        <v>221.66</v>
      </c>
      <c r="N3387">
        <v>2</v>
      </c>
      <c r="O3387">
        <v>7.0000000000000007E-2</v>
      </c>
      <c r="P3387">
        <v>20.63</v>
      </c>
      <c r="Q3387" t="s">
        <v>9894</v>
      </c>
      <c r="R3387">
        <v>2</v>
      </c>
      <c r="S3387" s="5">
        <f t="shared" si="104"/>
        <v>9.3070468284760441E-2</v>
      </c>
      <c r="T3387">
        <v>110.83</v>
      </c>
      <c r="U3387">
        <v>3</v>
      </c>
      <c r="V3387">
        <v>2023</v>
      </c>
      <c r="W3387">
        <v>1</v>
      </c>
      <c r="X3387" t="s">
        <v>9899</v>
      </c>
      <c r="Y3387" t="s">
        <v>9901</v>
      </c>
      <c r="Z3387" t="s">
        <v>9899</v>
      </c>
      <c r="AD3387">
        <f t="shared" si="105"/>
        <v>2</v>
      </c>
    </row>
    <row r="3388" spans="1:30" x14ac:dyDescent="0.25">
      <c r="A3388" t="s">
        <v>3412</v>
      </c>
      <c r="B3388" s="2">
        <v>45371</v>
      </c>
      <c r="C3388" s="2">
        <v>45373</v>
      </c>
      <c r="D3388" t="s">
        <v>5084</v>
      </c>
      <c r="E3388" t="s">
        <v>5584</v>
      </c>
      <c r="F3388" t="s">
        <v>6026</v>
      </c>
      <c r="G3388" t="s">
        <v>6030</v>
      </c>
      <c r="H3388" t="s">
        <v>6033</v>
      </c>
      <c r="I3388" t="s">
        <v>6051</v>
      </c>
      <c r="J3388" t="s">
        <v>6053</v>
      </c>
      <c r="K3388" t="s">
        <v>6057</v>
      </c>
      <c r="L3388" t="s">
        <v>8873</v>
      </c>
      <c r="M3388">
        <v>804.5</v>
      </c>
      <c r="N3388">
        <v>3</v>
      </c>
      <c r="O3388">
        <v>0.18</v>
      </c>
      <c r="P3388">
        <v>5.98</v>
      </c>
      <c r="Q3388" t="s">
        <v>9896</v>
      </c>
      <c r="R3388">
        <v>2</v>
      </c>
      <c r="S3388" s="5">
        <f t="shared" si="104"/>
        <v>7.4331883157240531E-3</v>
      </c>
      <c r="T3388">
        <v>268.16666666666669</v>
      </c>
      <c r="U3388">
        <v>3</v>
      </c>
      <c r="V3388">
        <v>2024</v>
      </c>
      <c r="W3388">
        <v>1</v>
      </c>
      <c r="X3388" t="s">
        <v>9899</v>
      </c>
      <c r="Y3388" t="s">
        <v>9900</v>
      </c>
      <c r="Z3388" t="s">
        <v>9899</v>
      </c>
      <c r="AD3388">
        <f t="shared" si="105"/>
        <v>2</v>
      </c>
    </row>
    <row r="3389" spans="1:30" x14ac:dyDescent="0.25">
      <c r="A3389" t="s">
        <v>3413</v>
      </c>
      <c r="B3389" s="2">
        <v>44799</v>
      </c>
      <c r="C3389" s="2">
        <v>44805</v>
      </c>
      <c r="D3389" t="s">
        <v>5179</v>
      </c>
      <c r="E3389" t="s">
        <v>5679</v>
      </c>
      <c r="F3389" t="s">
        <v>6028</v>
      </c>
      <c r="G3389" t="s">
        <v>6030</v>
      </c>
      <c r="H3389" t="s">
        <v>6039</v>
      </c>
      <c r="I3389" t="s">
        <v>6047</v>
      </c>
      <c r="J3389" t="s">
        <v>6055</v>
      </c>
      <c r="K3389" t="s">
        <v>6064</v>
      </c>
      <c r="L3389" t="s">
        <v>8083</v>
      </c>
      <c r="M3389">
        <v>1535.91</v>
      </c>
      <c r="N3389">
        <v>1</v>
      </c>
      <c r="O3389">
        <v>0.15</v>
      </c>
      <c r="P3389">
        <v>107.98</v>
      </c>
      <c r="Q3389" t="s">
        <v>9896</v>
      </c>
      <c r="R3389">
        <v>6</v>
      </c>
      <c r="S3389" s="5">
        <f t="shared" si="104"/>
        <v>7.0303598518142343E-2</v>
      </c>
      <c r="T3389">
        <v>1535.91</v>
      </c>
      <c r="U3389">
        <v>8</v>
      </c>
      <c r="V3389">
        <v>2022</v>
      </c>
      <c r="W3389">
        <v>3</v>
      </c>
      <c r="X3389" t="s">
        <v>9899</v>
      </c>
      <c r="Y3389" t="s">
        <v>9901</v>
      </c>
      <c r="Z3389" t="s">
        <v>9898</v>
      </c>
      <c r="AD3389">
        <f t="shared" si="105"/>
        <v>6</v>
      </c>
    </row>
    <row r="3390" spans="1:30" x14ac:dyDescent="0.25">
      <c r="A3390" t="s">
        <v>3414</v>
      </c>
      <c r="B3390" s="2">
        <v>44761</v>
      </c>
      <c r="C3390" s="2">
        <v>44765</v>
      </c>
      <c r="D3390" t="s">
        <v>5227</v>
      </c>
      <c r="E3390" t="s">
        <v>5727</v>
      </c>
      <c r="F3390" t="s">
        <v>6026</v>
      </c>
      <c r="G3390" t="s">
        <v>6030</v>
      </c>
      <c r="H3390" t="s">
        <v>6039</v>
      </c>
      <c r="I3390" t="s">
        <v>6047</v>
      </c>
      <c r="J3390" t="s">
        <v>6055</v>
      </c>
      <c r="K3390" t="s">
        <v>6061</v>
      </c>
      <c r="L3390" t="s">
        <v>8874</v>
      </c>
      <c r="M3390">
        <v>513.73</v>
      </c>
      <c r="N3390">
        <v>3</v>
      </c>
      <c r="O3390">
        <v>0.27</v>
      </c>
      <c r="P3390">
        <v>14.05</v>
      </c>
      <c r="Q3390" t="s">
        <v>9894</v>
      </c>
      <c r="R3390">
        <v>4</v>
      </c>
      <c r="S3390" s="5">
        <f t="shared" si="104"/>
        <v>2.73489965546104E-2</v>
      </c>
      <c r="T3390">
        <v>171.24333333333331</v>
      </c>
      <c r="U3390">
        <v>7</v>
      </c>
      <c r="V3390">
        <v>2022</v>
      </c>
      <c r="W3390">
        <v>3</v>
      </c>
      <c r="X3390" t="s">
        <v>9899</v>
      </c>
      <c r="Y3390" t="s">
        <v>9900</v>
      </c>
      <c r="Z3390" t="s">
        <v>9899</v>
      </c>
      <c r="AD3390">
        <f t="shared" si="105"/>
        <v>4</v>
      </c>
    </row>
    <row r="3391" spans="1:30" x14ac:dyDescent="0.25">
      <c r="A3391" t="s">
        <v>3415</v>
      </c>
      <c r="B3391" s="2">
        <v>45076</v>
      </c>
      <c r="C3391" s="2">
        <v>45078</v>
      </c>
      <c r="D3391" t="s">
        <v>5394</v>
      </c>
      <c r="E3391" t="s">
        <v>5894</v>
      </c>
      <c r="F3391" t="s">
        <v>6026</v>
      </c>
      <c r="G3391" t="s">
        <v>6029</v>
      </c>
      <c r="H3391" t="s">
        <v>6036</v>
      </c>
      <c r="I3391" t="s">
        <v>6050</v>
      </c>
      <c r="J3391" t="s">
        <v>6053</v>
      </c>
      <c r="K3391" t="s">
        <v>6058</v>
      </c>
      <c r="L3391" t="s">
        <v>8875</v>
      </c>
      <c r="M3391">
        <v>156.49</v>
      </c>
      <c r="N3391">
        <v>6</v>
      </c>
      <c r="O3391">
        <v>0.1</v>
      </c>
      <c r="P3391">
        <v>24.82</v>
      </c>
      <c r="Q3391" t="s">
        <v>9896</v>
      </c>
      <c r="R3391">
        <v>2</v>
      </c>
      <c r="S3391" s="5">
        <f t="shared" si="104"/>
        <v>0.15860438366668797</v>
      </c>
      <c r="T3391">
        <v>26.081666666666671</v>
      </c>
      <c r="U3391">
        <v>5</v>
      </c>
      <c r="V3391">
        <v>2023</v>
      </c>
      <c r="W3391">
        <v>2</v>
      </c>
      <c r="X3391" t="s">
        <v>9899</v>
      </c>
      <c r="Y3391" t="s">
        <v>9901</v>
      </c>
      <c r="Z3391" t="s">
        <v>9899</v>
      </c>
      <c r="AD3391">
        <f t="shared" si="105"/>
        <v>2</v>
      </c>
    </row>
    <row r="3392" spans="1:30" x14ac:dyDescent="0.25">
      <c r="A3392" t="s">
        <v>3416</v>
      </c>
      <c r="B3392" s="2">
        <v>45220</v>
      </c>
      <c r="C3392" s="2">
        <v>45221</v>
      </c>
      <c r="D3392" t="s">
        <v>5432</v>
      </c>
      <c r="E3392" t="s">
        <v>5932</v>
      </c>
      <c r="F3392" t="s">
        <v>6027</v>
      </c>
      <c r="G3392" t="s">
        <v>6031</v>
      </c>
      <c r="H3392" t="s">
        <v>6042</v>
      </c>
      <c r="I3392" t="s">
        <v>6050</v>
      </c>
      <c r="J3392" t="s">
        <v>6053</v>
      </c>
      <c r="K3392" t="s">
        <v>6058</v>
      </c>
      <c r="L3392" t="s">
        <v>8876</v>
      </c>
      <c r="M3392">
        <v>1521.43</v>
      </c>
      <c r="N3392">
        <v>3</v>
      </c>
      <c r="O3392">
        <v>0.25</v>
      </c>
      <c r="P3392">
        <v>33.369999999999997</v>
      </c>
      <c r="Q3392" t="s">
        <v>9895</v>
      </c>
      <c r="R3392">
        <v>1</v>
      </c>
      <c r="S3392" s="5">
        <f t="shared" si="104"/>
        <v>2.1933312738673483E-2</v>
      </c>
      <c r="T3392">
        <v>507.14333333333337</v>
      </c>
      <c r="U3392">
        <v>10</v>
      </c>
      <c r="V3392">
        <v>2023</v>
      </c>
      <c r="W3392">
        <v>4</v>
      </c>
      <c r="X3392" t="s">
        <v>9899</v>
      </c>
      <c r="Y3392" t="s">
        <v>9900</v>
      </c>
      <c r="Z3392" t="s">
        <v>9898</v>
      </c>
      <c r="AD3392">
        <f t="shared" si="105"/>
        <v>1</v>
      </c>
    </row>
    <row r="3393" spans="1:30" x14ac:dyDescent="0.25">
      <c r="A3393" t="s">
        <v>3417</v>
      </c>
      <c r="B3393" s="2">
        <v>45375</v>
      </c>
      <c r="C3393" s="2">
        <v>45380</v>
      </c>
      <c r="D3393" t="s">
        <v>5424</v>
      </c>
      <c r="E3393" t="s">
        <v>5924</v>
      </c>
      <c r="F3393" t="s">
        <v>6028</v>
      </c>
      <c r="G3393" t="s">
        <v>6031</v>
      </c>
      <c r="H3393" t="s">
        <v>6034</v>
      </c>
      <c r="I3393" t="s">
        <v>6052</v>
      </c>
      <c r="J3393" t="s">
        <v>6054</v>
      </c>
      <c r="K3393" t="s">
        <v>6062</v>
      </c>
      <c r="L3393" t="s">
        <v>8877</v>
      </c>
      <c r="M3393">
        <v>1188.4000000000001</v>
      </c>
      <c r="N3393">
        <v>4</v>
      </c>
      <c r="O3393">
        <v>0.35</v>
      </c>
      <c r="P3393">
        <v>-157.88</v>
      </c>
      <c r="Q3393" t="s">
        <v>9894</v>
      </c>
      <c r="R3393">
        <v>5</v>
      </c>
      <c r="S3393" s="5">
        <f t="shared" si="104"/>
        <v>-0.13285089195557051</v>
      </c>
      <c r="T3393">
        <v>297.10000000000002</v>
      </c>
      <c r="U3393">
        <v>3</v>
      </c>
      <c r="V3393">
        <v>2024</v>
      </c>
      <c r="W3393">
        <v>1</v>
      </c>
      <c r="X3393" t="s">
        <v>9898</v>
      </c>
      <c r="Y3393" t="s">
        <v>9902</v>
      </c>
      <c r="Z3393" t="s">
        <v>9898</v>
      </c>
      <c r="AD3393">
        <f t="shared" si="105"/>
        <v>5</v>
      </c>
    </row>
    <row r="3394" spans="1:30" x14ac:dyDescent="0.25">
      <c r="A3394" t="s">
        <v>3418</v>
      </c>
      <c r="B3394" s="2">
        <v>45424</v>
      </c>
      <c r="C3394" s="2">
        <v>45425</v>
      </c>
      <c r="D3394" t="s">
        <v>5188</v>
      </c>
      <c r="E3394" t="s">
        <v>5688</v>
      </c>
      <c r="F3394" t="s">
        <v>6027</v>
      </c>
      <c r="G3394" t="s">
        <v>6029</v>
      </c>
      <c r="H3394" t="s">
        <v>6044</v>
      </c>
      <c r="I3394" t="s">
        <v>6050</v>
      </c>
      <c r="J3394" t="s">
        <v>6053</v>
      </c>
      <c r="K3394" t="s">
        <v>6057</v>
      </c>
      <c r="L3394" t="s">
        <v>8878</v>
      </c>
      <c r="M3394">
        <v>611.73</v>
      </c>
      <c r="N3394">
        <v>2</v>
      </c>
      <c r="O3394">
        <v>0.04</v>
      </c>
      <c r="P3394">
        <v>143.13</v>
      </c>
      <c r="Q3394" t="s">
        <v>9893</v>
      </c>
      <c r="R3394">
        <v>1</v>
      </c>
      <c r="S3394" s="5">
        <f t="shared" si="104"/>
        <v>0.23397577362561914</v>
      </c>
      <c r="T3394">
        <v>305.86500000000001</v>
      </c>
      <c r="U3394">
        <v>5</v>
      </c>
      <c r="V3394">
        <v>2024</v>
      </c>
      <c r="W3394">
        <v>2</v>
      </c>
      <c r="X3394" t="s">
        <v>9899</v>
      </c>
      <c r="Y3394" t="s">
        <v>9901</v>
      </c>
      <c r="Z3394" t="s">
        <v>9899</v>
      </c>
      <c r="AD3394">
        <f t="shared" si="105"/>
        <v>1</v>
      </c>
    </row>
    <row r="3395" spans="1:30" x14ac:dyDescent="0.25">
      <c r="A3395" t="s">
        <v>3419</v>
      </c>
      <c r="B3395" s="2">
        <v>44733</v>
      </c>
      <c r="C3395" s="2">
        <v>44734</v>
      </c>
      <c r="D3395" t="s">
        <v>5503</v>
      </c>
      <c r="E3395" t="s">
        <v>6003</v>
      </c>
      <c r="F3395" t="s">
        <v>6028</v>
      </c>
      <c r="G3395" t="s">
        <v>6031</v>
      </c>
      <c r="H3395" t="s">
        <v>6037</v>
      </c>
      <c r="I3395" t="s">
        <v>6048</v>
      </c>
      <c r="J3395" t="s">
        <v>6053</v>
      </c>
      <c r="K3395" t="s">
        <v>6058</v>
      </c>
      <c r="L3395" t="s">
        <v>8879</v>
      </c>
      <c r="M3395">
        <v>1859.42</v>
      </c>
      <c r="N3395">
        <v>8</v>
      </c>
      <c r="O3395">
        <v>0.08</v>
      </c>
      <c r="P3395">
        <v>365.02</v>
      </c>
      <c r="Q3395" t="s">
        <v>9893</v>
      </c>
      <c r="R3395">
        <v>1</v>
      </c>
      <c r="S3395" s="5">
        <f t="shared" ref="S3395:S3458" si="106">P3395/M3395</f>
        <v>0.19630852631465723</v>
      </c>
      <c r="T3395">
        <v>232.42750000000001</v>
      </c>
      <c r="U3395">
        <v>6</v>
      </c>
      <c r="V3395">
        <v>2022</v>
      </c>
      <c r="W3395">
        <v>2</v>
      </c>
      <c r="X3395" t="s">
        <v>9899</v>
      </c>
      <c r="Y3395" t="s">
        <v>9901</v>
      </c>
      <c r="Z3395" t="s">
        <v>9898</v>
      </c>
      <c r="AD3395">
        <f t="shared" ref="AD3395:AD3458" si="107">C3395-B3395</f>
        <v>1</v>
      </c>
    </row>
    <row r="3396" spans="1:30" x14ac:dyDescent="0.25">
      <c r="A3396" t="s">
        <v>3420</v>
      </c>
      <c r="B3396" s="2">
        <v>44769</v>
      </c>
      <c r="C3396" s="2">
        <v>44772</v>
      </c>
      <c r="D3396" t="s">
        <v>5430</v>
      </c>
      <c r="E3396" t="s">
        <v>5930</v>
      </c>
      <c r="F3396" t="s">
        <v>6026</v>
      </c>
      <c r="G3396" t="s">
        <v>6029</v>
      </c>
      <c r="H3396" t="s">
        <v>6044</v>
      </c>
      <c r="I3396" t="s">
        <v>6046</v>
      </c>
      <c r="J3396" t="s">
        <v>6055</v>
      </c>
      <c r="K3396" t="s">
        <v>6064</v>
      </c>
      <c r="L3396" t="s">
        <v>7768</v>
      </c>
      <c r="M3396">
        <v>1404.62</v>
      </c>
      <c r="N3396">
        <v>7</v>
      </c>
      <c r="O3396">
        <v>0.03</v>
      </c>
      <c r="P3396">
        <v>255.96</v>
      </c>
      <c r="Q3396" t="s">
        <v>9893</v>
      </c>
      <c r="R3396">
        <v>3</v>
      </c>
      <c r="S3396" s="5">
        <f t="shared" si="106"/>
        <v>0.18222722159730037</v>
      </c>
      <c r="T3396">
        <v>200.66</v>
      </c>
      <c r="U3396">
        <v>7</v>
      </c>
      <c r="V3396">
        <v>2022</v>
      </c>
      <c r="W3396">
        <v>3</v>
      </c>
      <c r="X3396" t="s">
        <v>9899</v>
      </c>
      <c r="Y3396" t="s">
        <v>9901</v>
      </c>
      <c r="Z3396" t="s">
        <v>9898</v>
      </c>
      <c r="AD3396">
        <f t="shared" si="107"/>
        <v>3</v>
      </c>
    </row>
    <row r="3397" spans="1:30" x14ac:dyDescent="0.25">
      <c r="A3397" t="s">
        <v>3421</v>
      </c>
      <c r="B3397" s="2">
        <v>45449</v>
      </c>
      <c r="C3397" s="2">
        <v>45455</v>
      </c>
      <c r="D3397" t="s">
        <v>5486</v>
      </c>
      <c r="E3397" t="s">
        <v>5986</v>
      </c>
      <c r="F3397" t="s">
        <v>6028</v>
      </c>
      <c r="G3397" t="s">
        <v>6030</v>
      </c>
      <c r="H3397" t="s">
        <v>6035</v>
      </c>
      <c r="I3397" t="s">
        <v>6051</v>
      </c>
      <c r="J3397" t="s">
        <v>6053</v>
      </c>
      <c r="K3397" t="s">
        <v>6056</v>
      </c>
      <c r="L3397" t="s">
        <v>8880</v>
      </c>
      <c r="M3397">
        <v>921.65</v>
      </c>
      <c r="N3397">
        <v>7</v>
      </c>
      <c r="O3397">
        <v>0.11</v>
      </c>
      <c r="P3397">
        <v>56.17</v>
      </c>
      <c r="Q3397" t="s">
        <v>9897</v>
      </c>
      <c r="R3397">
        <v>6</v>
      </c>
      <c r="S3397" s="5">
        <f t="shared" si="106"/>
        <v>6.0945044214181093E-2</v>
      </c>
      <c r="T3397">
        <v>131.66428571428571</v>
      </c>
      <c r="U3397">
        <v>6</v>
      </c>
      <c r="V3397">
        <v>2024</v>
      </c>
      <c r="W3397">
        <v>2</v>
      </c>
      <c r="X3397" t="s">
        <v>9899</v>
      </c>
      <c r="Y3397" t="s">
        <v>9901</v>
      </c>
      <c r="Z3397" t="s">
        <v>9899</v>
      </c>
      <c r="AD3397">
        <f t="shared" si="107"/>
        <v>6</v>
      </c>
    </row>
    <row r="3398" spans="1:30" x14ac:dyDescent="0.25">
      <c r="A3398" t="s">
        <v>3422</v>
      </c>
      <c r="B3398" s="2">
        <v>45438</v>
      </c>
      <c r="C3398" s="2">
        <v>45439</v>
      </c>
      <c r="D3398" t="s">
        <v>5403</v>
      </c>
      <c r="E3398" t="s">
        <v>5903</v>
      </c>
      <c r="F3398" t="s">
        <v>6027</v>
      </c>
      <c r="G3398" t="s">
        <v>6031</v>
      </c>
      <c r="H3398" t="s">
        <v>6037</v>
      </c>
      <c r="I3398" t="s">
        <v>6048</v>
      </c>
      <c r="J3398" t="s">
        <v>6054</v>
      </c>
      <c r="K3398" t="s">
        <v>6059</v>
      </c>
      <c r="L3398" t="s">
        <v>7744</v>
      </c>
      <c r="M3398">
        <v>151.13</v>
      </c>
      <c r="N3398">
        <v>8</v>
      </c>
      <c r="O3398">
        <v>0.11</v>
      </c>
      <c r="P3398">
        <v>25.38</v>
      </c>
      <c r="Q3398" t="s">
        <v>9894</v>
      </c>
      <c r="R3398">
        <v>1</v>
      </c>
      <c r="S3398" s="5">
        <f t="shared" si="106"/>
        <v>0.16793489049162971</v>
      </c>
      <c r="T3398">
        <v>18.891249999999999</v>
      </c>
      <c r="U3398">
        <v>5</v>
      </c>
      <c r="V3398">
        <v>2024</v>
      </c>
      <c r="W3398">
        <v>2</v>
      </c>
      <c r="X3398" t="s">
        <v>9899</v>
      </c>
      <c r="Y3398" t="s">
        <v>9901</v>
      </c>
      <c r="Z3398" t="s">
        <v>9899</v>
      </c>
      <c r="AD3398">
        <f t="shared" si="107"/>
        <v>1</v>
      </c>
    </row>
    <row r="3399" spans="1:30" x14ac:dyDescent="0.25">
      <c r="A3399" t="s">
        <v>3423</v>
      </c>
      <c r="B3399" s="2">
        <v>45391</v>
      </c>
      <c r="C3399" s="2">
        <v>45396</v>
      </c>
      <c r="D3399" t="s">
        <v>5432</v>
      </c>
      <c r="E3399" t="s">
        <v>5932</v>
      </c>
      <c r="F3399" t="s">
        <v>6028</v>
      </c>
      <c r="G3399" t="s">
        <v>6029</v>
      </c>
      <c r="H3399" t="s">
        <v>6044</v>
      </c>
      <c r="I3399" t="s">
        <v>6049</v>
      </c>
      <c r="J3399" t="s">
        <v>6055</v>
      </c>
      <c r="K3399" t="s">
        <v>6064</v>
      </c>
      <c r="L3399" t="s">
        <v>6813</v>
      </c>
      <c r="M3399">
        <v>1162.79</v>
      </c>
      <c r="N3399">
        <v>8</v>
      </c>
      <c r="O3399">
        <v>0.3</v>
      </c>
      <c r="P3399">
        <v>-66.23</v>
      </c>
      <c r="Q3399" t="s">
        <v>9895</v>
      </c>
      <c r="R3399">
        <v>5</v>
      </c>
      <c r="S3399" s="5">
        <f t="shared" si="106"/>
        <v>-5.695783417470051E-2</v>
      </c>
      <c r="T3399">
        <v>145.34875</v>
      </c>
      <c r="U3399">
        <v>4</v>
      </c>
      <c r="V3399">
        <v>2024</v>
      </c>
      <c r="W3399">
        <v>2</v>
      </c>
      <c r="X3399" t="s">
        <v>9898</v>
      </c>
      <c r="Y3399" t="s">
        <v>9900</v>
      </c>
      <c r="Z3399" t="s">
        <v>9898</v>
      </c>
      <c r="AD3399">
        <f t="shared" si="107"/>
        <v>5</v>
      </c>
    </row>
    <row r="3400" spans="1:30" x14ac:dyDescent="0.25">
      <c r="A3400" t="s">
        <v>3424</v>
      </c>
      <c r="B3400" s="2">
        <v>45370</v>
      </c>
      <c r="C3400" s="2">
        <v>45372</v>
      </c>
      <c r="D3400" t="s">
        <v>5363</v>
      </c>
      <c r="E3400" t="s">
        <v>5863</v>
      </c>
      <c r="F3400" t="s">
        <v>6027</v>
      </c>
      <c r="G3400" t="s">
        <v>6030</v>
      </c>
      <c r="H3400" t="s">
        <v>6039</v>
      </c>
      <c r="I3400" t="s">
        <v>6047</v>
      </c>
      <c r="J3400" t="s">
        <v>6053</v>
      </c>
      <c r="K3400" t="s">
        <v>6056</v>
      </c>
      <c r="L3400" t="s">
        <v>8027</v>
      </c>
      <c r="M3400">
        <v>442.85</v>
      </c>
      <c r="N3400">
        <v>2</v>
      </c>
      <c r="O3400">
        <v>0.18</v>
      </c>
      <c r="P3400">
        <v>-4.5</v>
      </c>
      <c r="Q3400" t="s">
        <v>9897</v>
      </c>
      <c r="R3400">
        <v>2</v>
      </c>
      <c r="S3400" s="5">
        <f t="shared" si="106"/>
        <v>-1.0161454217003499E-2</v>
      </c>
      <c r="T3400">
        <v>221.42500000000001</v>
      </c>
      <c r="U3400">
        <v>3</v>
      </c>
      <c r="V3400">
        <v>2024</v>
      </c>
      <c r="W3400">
        <v>1</v>
      </c>
      <c r="X3400" t="s">
        <v>9898</v>
      </c>
      <c r="Y3400" t="s">
        <v>9900</v>
      </c>
      <c r="Z3400" t="s">
        <v>9899</v>
      </c>
      <c r="AD3400">
        <f t="shared" si="107"/>
        <v>2</v>
      </c>
    </row>
    <row r="3401" spans="1:30" x14ac:dyDescent="0.25">
      <c r="A3401" t="s">
        <v>3425</v>
      </c>
      <c r="B3401" s="2">
        <v>44955</v>
      </c>
      <c r="C3401" s="2">
        <v>44957</v>
      </c>
      <c r="D3401" t="s">
        <v>5446</v>
      </c>
      <c r="E3401" t="s">
        <v>5946</v>
      </c>
      <c r="F3401" t="s">
        <v>6027</v>
      </c>
      <c r="G3401" t="s">
        <v>6030</v>
      </c>
      <c r="H3401" t="s">
        <v>6038</v>
      </c>
      <c r="I3401" t="s">
        <v>6047</v>
      </c>
      <c r="J3401" t="s">
        <v>6055</v>
      </c>
      <c r="K3401" t="s">
        <v>6063</v>
      </c>
      <c r="L3401" t="s">
        <v>7702</v>
      </c>
      <c r="M3401">
        <v>1817.06</v>
      </c>
      <c r="N3401">
        <v>1</v>
      </c>
      <c r="O3401">
        <v>0.31</v>
      </c>
      <c r="P3401">
        <v>-25.45</v>
      </c>
      <c r="Q3401" t="s">
        <v>9897</v>
      </c>
      <c r="R3401">
        <v>2</v>
      </c>
      <c r="S3401" s="5">
        <f t="shared" si="106"/>
        <v>-1.4006141789484111E-2</v>
      </c>
      <c r="T3401">
        <v>1817.06</v>
      </c>
      <c r="U3401">
        <v>1</v>
      </c>
      <c r="V3401">
        <v>2023</v>
      </c>
      <c r="W3401">
        <v>1</v>
      </c>
      <c r="X3401" t="s">
        <v>9898</v>
      </c>
      <c r="Y3401" t="s">
        <v>9902</v>
      </c>
      <c r="Z3401" t="s">
        <v>9898</v>
      </c>
      <c r="AD3401">
        <f t="shared" si="107"/>
        <v>2</v>
      </c>
    </row>
    <row r="3402" spans="1:30" x14ac:dyDescent="0.25">
      <c r="A3402" t="s">
        <v>3426</v>
      </c>
      <c r="B3402" s="2">
        <v>44777</v>
      </c>
      <c r="C3402" s="2">
        <v>44780</v>
      </c>
      <c r="D3402" t="s">
        <v>5343</v>
      </c>
      <c r="E3402" t="s">
        <v>5843</v>
      </c>
      <c r="F3402" t="s">
        <v>6027</v>
      </c>
      <c r="G3402" t="s">
        <v>6031</v>
      </c>
      <c r="H3402" t="s">
        <v>6042</v>
      </c>
      <c r="I3402" t="s">
        <v>6052</v>
      </c>
      <c r="J3402" t="s">
        <v>6054</v>
      </c>
      <c r="K3402" t="s">
        <v>6059</v>
      </c>
      <c r="L3402" t="s">
        <v>8881</v>
      </c>
      <c r="M3402">
        <v>428.72</v>
      </c>
      <c r="N3402">
        <v>2</v>
      </c>
      <c r="O3402">
        <v>0.05</v>
      </c>
      <c r="P3402">
        <v>37.770000000000003</v>
      </c>
      <c r="Q3402" t="s">
        <v>9895</v>
      </c>
      <c r="R3402">
        <v>3</v>
      </c>
      <c r="S3402" s="5">
        <f t="shared" si="106"/>
        <v>8.809945885426386E-2</v>
      </c>
      <c r="T3402">
        <v>214.36</v>
      </c>
      <c r="U3402">
        <v>8</v>
      </c>
      <c r="V3402">
        <v>2022</v>
      </c>
      <c r="W3402">
        <v>3</v>
      </c>
      <c r="X3402" t="s">
        <v>9899</v>
      </c>
      <c r="Y3402" t="s">
        <v>9901</v>
      </c>
      <c r="Z3402" t="s">
        <v>9899</v>
      </c>
      <c r="AD3402">
        <f t="shared" si="107"/>
        <v>3</v>
      </c>
    </row>
    <row r="3403" spans="1:30" x14ac:dyDescent="0.25">
      <c r="A3403" t="s">
        <v>3427</v>
      </c>
      <c r="B3403" s="2">
        <v>44837</v>
      </c>
      <c r="C3403" s="2">
        <v>44843</v>
      </c>
      <c r="D3403" t="s">
        <v>5059</v>
      </c>
      <c r="E3403" t="s">
        <v>5559</v>
      </c>
      <c r="F3403" t="s">
        <v>6028</v>
      </c>
      <c r="G3403" t="s">
        <v>6030</v>
      </c>
      <c r="H3403" t="s">
        <v>6038</v>
      </c>
      <c r="I3403" t="s">
        <v>6051</v>
      </c>
      <c r="J3403" t="s">
        <v>6055</v>
      </c>
      <c r="K3403" t="s">
        <v>6064</v>
      </c>
      <c r="L3403" t="s">
        <v>8882</v>
      </c>
      <c r="M3403">
        <v>181.95</v>
      </c>
      <c r="N3403">
        <v>2</v>
      </c>
      <c r="O3403">
        <v>0.34</v>
      </c>
      <c r="P3403">
        <v>-27.7</v>
      </c>
      <c r="Q3403" t="s">
        <v>9894</v>
      </c>
      <c r="R3403">
        <v>6</v>
      </c>
      <c r="S3403" s="5">
        <f t="shared" si="106"/>
        <v>-0.15223962627095355</v>
      </c>
      <c r="T3403">
        <v>90.974999999999994</v>
      </c>
      <c r="U3403">
        <v>10</v>
      </c>
      <c r="V3403">
        <v>2022</v>
      </c>
      <c r="W3403">
        <v>4</v>
      </c>
      <c r="X3403" t="s">
        <v>9898</v>
      </c>
      <c r="Y3403" t="s">
        <v>9902</v>
      </c>
      <c r="Z3403" t="s">
        <v>9899</v>
      </c>
      <c r="AD3403">
        <f t="shared" si="107"/>
        <v>6</v>
      </c>
    </row>
    <row r="3404" spans="1:30" x14ac:dyDescent="0.25">
      <c r="A3404" t="s">
        <v>3428</v>
      </c>
      <c r="B3404" s="2">
        <v>44618</v>
      </c>
      <c r="C3404" s="2">
        <v>44621</v>
      </c>
      <c r="D3404" t="s">
        <v>5216</v>
      </c>
      <c r="E3404" t="s">
        <v>5716</v>
      </c>
      <c r="F3404" t="s">
        <v>6027</v>
      </c>
      <c r="G3404" t="s">
        <v>6030</v>
      </c>
      <c r="H3404" t="s">
        <v>6039</v>
      </c>
      <c r="I3404" t="s">
        <v>6051</v>
      </c>
      <c r="J3404" t="s">
        <v>6055</v>
      </c>
      <c r="K3404" t="s">
        <v>6061</v>
      </c>
      <c r="L3404" t="s">
        <v>6753</v>
      </c>
      <c r="M3404">
        <v>1288.71</v>
      </c>
      <c r="N3404">
        <v>3</v>
      </c>
      <c r="O3404">
        <v>0.26</v>
      </c>
      <c r="P3404">
        <v>-178.15</v>
      </c>
      <c r="Q3404" t="s">
        <v>9897</v>
      </c>
      <c r="R3404">
        <v>3</v>
      </c>
      <c r="S3404" s="5">
        <f t="shared" si="106"/>
        <v>-0.13823901420800647</v>
      </c>
      <c r="T3404">
        <v>429.57</v>
      </c>
      <c r="U3404">
        <v>2</v>
      </c>
      <c r="V3404">
        <v>2022</v>
      </c>
      <c r="W3404">
        <v>1</v>
      </c>
      <c r="X3404" t="s">
        <v>9898</v>
      </c>
      <c r="Y3404" t="s">
        <v>9900</v>
      </c>
      <c r="Z3404" t="s">
        <v>9898</v>
      </c>
      <c r="AD3404">
        <f t="shared" si="107"/>
        <v>3</v>
      </c>
    </row>
    <row r="3405" spans="1:30" x14ac:dyDescent="0.25">
      <c r="A3405" t="s">
        <v>3429</v>
      </c>
      <c r="B3405" s="2">
        <v>44979</v>
      </c>
      <c r="C3405" s="2">
        <v>44985</v>
      </c>
      <c r="D3405" t="s">
        <v>5060</v>
      </c>
      <c r="E3405" t="s">
        <v>5560</v>
      </c>
      <c r="F3405" t="s">
        <v>6028</v>
      </c>
      <c r="G3405" t="s">
        <v>6030</v>
      </c>
      <c r="H3405" t="s">
        <v>6038</v>
      </c>
      <c r="I3405" t="s">
        <v>6051</v>
      </c>
      <c r="J3405" t="s">
        <v>6053</v>
      </c>
      <c r="K3405" t="s">
        <v>6056</v>
      </c>
      <c r="L3405" t="s">
        <v>8883</v>
      </c>
      <c r="M3405">
        <v>1302.74</v>
      </c>
      <c r="N3405">
        <v>5</v>
      </c>
      <c r="O3405">
        <v>0.1</v>
      </c>
      <c r="P3405">
        <v>252.27</v>
      </c>
      <c r="Q3405" t="s">
        <v>9895</v>
      </c>
      <c r="R3405">
        <v>6</v>
      </c>
      <c r="S3405" s="5">
        <f t="shared" si="106"/>
        <v>0.19364570060027328</v>
      </c>
      <c r="T3405">
        <v>260.548</v>
      </c>
      <c r="U3405">
        <v>2</v>
      </c>
      <c r="V3405">
        <v>2023</v>
      </c>
      <c r="W3405">
        <v>1</v>
      </c>
      <c r="X3405" t="s">
        <v>9899</v>
      </c>
      <c r="Y3405" t="s">
        <v>9901</v>
      </c>
      <c r="Z3405" t="s">
        <v>9898</v>
      </c>
      <c r="AD3405">
        <f t="shared" si="107"/>
        <v>6</v>
      </c>
    </row>
    <row r="3406" spans="1:30" x14ac:dyDescent="0.25">
      <c r="A3406" t="s">
        <v>3430</v>
      </c>
      <c r="B3406" s="2">
        <v>45217</v>
      </c>
      <c r="C3406" s="2">
        <v>45218</v>
      </c>
      <c r="D3406" t="s">
        <v>5089</v>
      </c>
      <c r="E3406" t="s">
        <v>5589</v>
      </c>
      <c r="F3406" t="s">
        <v>6027</v>
      </c>
      <c r="G3406" t="s">
        <v>6029</v>
      </c>
      <c r="H3406" t="s">
        <v>6041</v>
      </c>
      <c r="I3406" t="s">
        <v>6050</v>
      </c>
      <c r="J3406" t="s">
        <v>6055</v>
      </c>
      <c r="K3406" t="s">
        <v>6064</v>
      </c>
      <c r="L3406" t="s">
        <v>6401</v>
      </c>
      <c r="M3406">
        <v>170.8</v>
      </c>
      <c r="N3406">
        <v>2</v>
      </c>
      <c r="O3406">
        <v>0.08</v>
      </c>
      <c r="P3406">
        <v>19.55</v>
      </c>
      <c r="Q3406" t="s">
        <v>9896</v>
      </c>
      <c r="R3406">
        <v>1</v>
      </c>
      <c r="S3406" s="5">
        <f t="shared" si="106"/>
        <v>0.11446135831381733</v>
      </c>
      <c r="T3406">
        <v>85.4</v>
      </c>
      <c r="U3406">
        <v>10</v>
      </c>
      <c r="V3406">
        <v>2023</v>
      </c>
      <c r="W3406">
        <v>4</v>
      </c>
      <c r="X3406" t="s">
        <v>9899</v>
      </c>
      <c r="Y3406" t="s">
        <v>9901</v>
      </c>
      <c r="Z3406" t="s">
        <v>9899</v>
      </c>
      <c r="AD3406">
        <f t="shared" si="107"/>
        <v>1</v>
      </c>
    </row>
    <row r="3407" spans="1:30" x14ac:dyDescent="0.25">
      <c r="A3407" t="s">
        <v>3431</v>
      </c>
      <c r="B3407" s="2">
        <v>44905</v>
      </c>
      <c r="C3407" s="2">
        <v>44906</v>
      </c>
      <c r="D3407" t="s">
        <v>5131</v>
      </c>
      <c r="E3407" t="s">
        <v>5631</v>
      </c>
      <c r="F3407" t="s">
        <v>6027</v>
      </c>
      <c r="G3407" t="s">
        <v>6031</v>
      </c>
      <c r="H3407" t="s">
        <v>6040</v>
      </c>
      <c r="I3407" t="s">
        <v>6050</v>
      </c>
      <c r="J3407" t="s">
        <v>6053</v>
      </c>
      <c r="K3407" t="s">
        <v>6058</v>
      </c>
      <c r="L3407" t="s">
        <v>8884</v>
      </c>
      <c r="M3407">
        <v>137.03</v>
      </c>
      <c r="N3407">
        <v>6</v>
      </c>
      <c r="O3407">
        <v>0.04</v>
      </c>
      <c r="P3407">
        <v>17.25</v>
      </c>
      <c r="Q3407" t="s">
        <v>9896</v>
      </c>
      <c r="R3407">
        <v>1</v>
      </c>
      <c r="S3407" s="5">
        <f t="shared" si="106"/>
        <v>0.12588484273516748</v>
      </c>
      <c r="T3407">
        <v>22.838333333333331</v>
      </c>
      <c r="U3407">
        <v>12</v>
      </c>
      <c r="V3407">
        <v>2022</v>
      </c>
      <c r="W3407">
        <v>4</v>
      </c>
      <c r="X3407" t="s">
        <v>9899</v>
      </c>
      <c r="Y3407" t="s">
        <v>9901</v>
      </c>
      <c r="Z3407" t="s">
        <v>9899</v>
      </c>
      <c r="AD3407">
        <f t="shared" si="107"/>
        <v>1</v>
      </c>
    </row>
    <row r="3408" spans="1:30" x14ac:dyDescent="0.25">
      <c r="A3408" t="s">
        <v>3432</v>
      </c>
      <c r="B3408" s="2">
        <v>44593</v>
      </c>
      <c r="C3408" s="2">
        <v>44599</v>
      </c>
      <c r="D3408" t="s">
        <v>5176</v>
      </c>
      <c r="E3408" t="s">
        <v>5676</v>
      </c>
      <c r="F3408" t="s">
        <v>6027</v>
      </c>
      <c r="G3408" t="s">
        <v>6030</v>
      </c>
      <c r="H3408" t="s">
        <v>6035</v>
      </c>
      <c r="I3408" t="s">
        <v>6051</v>
      </c>
      <c r="J3408" t="s">
        <v>6055</v>
      </c>
      <c r="K3408" t="s">
        <v>6064</v>
      </c>
      <c r="L3408" t="s">
        <v>8885</v>
      </c>
      <c r="M3408">
        <v>721.72</v>
      </c>
      <c r="N3408">
        <v>7</v>
      </c>
      <c r="O3408">
        <v>0.13</v>
      </c>
      <c r="P3408">
        <v>35.86</v>
      </c>
      <c r="Q3408" t="s">
        <v>9893</v>
      </c>
      <c r="R3408">
        <v>6</v>
      </c>
      <c r="S3408" s="5">
        <f t="shared" si="106"/>
        <v>4.9686859169761122E-2</v>
      </c>
      <c r="T3408">
        <v>103.1028571428571</v>
      </c>
      <c r="U3408">
        <v>2</v>
      </c>
      <c r="V3408">
        <v>2022</v>
      </c>
      <c r="W3408">
        <v>1</v>
      </c>
      <c r="X3408" t="s">
        <v>9899</v>
      </c>
      <c r="Y3408" t="s">
        <v>9901</v>
      </c>
      <c r="Z3408" t="s">
        <v>9899</v>
      </c>
      <c r="AD3408">
        <f t="shared" si="107"/>
        <v>6</v>
      </c>
    </row>
    <row r="3409" spans="1:30" x14ac:dyDescent="0.25">
      <c r="A3409" t="s">
        <v>3433</v>
      </c>
      <c r="B3409" s="2">
        <v>45114</v>
      </c>
      <c r="C3409" s="2">
        <v>45116</v>
      </c>
      <c r="D3409" t="s">
        <v>5524</v>
      </c>
      <c r="E3409" t="s">
        <v>6024</v>
      </c>
      <c r="F3409" t="s">
        <v>6026</v>
      </c>
      <c r="G3409" t="s">
        <v>6031</v>
      </c>
      <c r="H3409" t="s">
        <v>6040</v>
      </c>
      <c r="I3409" t="s">
        <v>6052</v>
      </c>
      <c r="J3409" t="s">
        <v>6053</v>
      </c>
      <c r="K3409" t="s">
        <v>6057</v>
      </c>
      <c r="L3409" t="s">
        <v>7770</v>
      </c>
      <c r="M3409">
        <v>1363.64</v>
      </c>
      <c r="N3409">
        <v>7</v>
      </c>
      <c r="O3409">
        <v>0.12</v>
      </c>
      <c r="P3409">
        <v>-6.52</v>
      </c>
      <c r="Q3409" t="s">
        <v>9894</v>
      </c>
      <c r="R3409">
        <v>2</v>
      </c>
      <c r="S3409" s="5">
        <f t="shared" si="106"/>
        <v>-4.7813205831451107E-3</v>
      </c>
      <c r="T3409">
        <v>194.80571428571429</v>
      </c>
      <c r="U3409">
        <v>7</v>
      </c>
      <c r="V3409">
        <v>2023</v>
      </c>
      <c r="W3409">
        <v>3</v>
      </c>
      <c r="X3409" t="s">
        <v>9898</v>
      </c>
      <c r="Y3409" t="s">
        <v>9901</v>
      </c>
      <c r="Z3409" t="s">
        <v>9898</v>
      </c>
      <c r="AD3409">
        <f t="shared" si="107"/>
        <v>2</v>
      </c>
    </row>
    <row r="3410" spans="1:30" x14ac:dyDescent="0.25">
      <c r="A3410" t="s">
        <v>3434</v>
      </c>
      <c r="B3410" s="2">
        <v>45297</v>
      </c>
      <c r="C3410" s="2">
        <v>45299</v>
      </c>
      <c r="D3410" t="s">
        <v>5395</v>
      </c>
      <c r="E3410" t="s">
        <v>5895</v>
      </c>
      <c r="F3410" t="s">
        <v>6026</v>
      </c>
      <c r="G3410" t="s">
        <v>6031</v>
      </c>
      <c r="H3410" t="s">
        <v>6042</v>
      </c>
      <c r="I3410" t="s">
        <v>6050</v>
      </c>
      <c r="J3410" t="s">
        <v>6055</v>
      </c>
      <c r="K3410" t="s">
        <v>6061</v>
      </c>
      <c r="L3410" t="s">
        <v>6537</v>
      </c>
      <c r="M3410">
        <v>185.44</v>
      </c>
      <c r="N3410">
        <v>6</v>
      </c>
      <c r="O3410">
        <v>0.33</v>
      </c>
      <c r="P3410">
        <v>-11.54</v>
      </c>
      <c r="Q3410" t="s">
        <v>9894</v>
      </c>
      <c r="R3410">
        <v>2</v>
      </c>
      <c r="S3410" s="5">
        <f t="shared" si="106"/>
        <v>-6.2230371009490935E-2</v>
      </c>
      <c r="T3410">
        <v>30.90666666666667</v>
      </c>
      <c r="U3410">
        <v>1</v>
      </c>
      <c r="V3410">
        <v>2024</v>
      </c>
      <c r="W3410">
        <v>1</v>
      </c>
      <c r="X3410" t="s">
        <v>9898</v>
      </c>
      <c r="Y3410" t="s">
        <v>9902</v>
      </c>
      <c r="Z3410" t="s">
        <v>9899</v>
      </c>
      <c r="AD3410">
        <f t="shared" si="107"/>
        <v>2</v>
      </c>
    </row>
    <row r="3411" spans="1:30" x14ac:dyDescent="0.25">
      <c r="A3411" t="s">
        <v>3435</v>
      </c>
      <c r="B3411" s="2">
        <v>44978</v>
      </c>
      <c r="C3411" s="2">
        <v>44985</v>
      </c>
      <c r="D3411" t="s">
        <v>5177</v>
      </c>
      <c r="E3411" t="s">
        <v>5677</v>
      </c>
      <c r="F3411" t="s">
        <v>6026</v>
      </c>
      <c r="G3411" t="s">
        <v>6029</v>
      </c>
      <c r="H3411" t="s">
        <v>6041</v>
      </c>
      <c r="I3411" t="s">
        <v>6050</v>
      </c>
      <c r="J3411" t="s">
        <v>6054</v>
      </c>
      <c r="K3411" t="s">
        <v>6059</v>
      </c>
      <c r="L3411" t="s">
        <v>8886</v>
      </c>
      <c r="M3411">
        <v>1688.05</v>
      </c>
      <c r="N3411">
        <v>3</v>
      </c>
      <c r="O3411">
        <v>0.19</v>
      </c>
      <c r="P3411">
        <v>-47.15</v>
      </c>
      <c r="Q3411" t="s">
        <v>9895</v>
      </c>
      <c r="R3411">
        <v>7</v>
      </c>
      <c r="S3411" s="5">
        <f t="shared" si="106"/>
        <v>-2.7931637096057581E-2</v>
      </c>
      <c r="T3411">
        <v>562.68333333333328</v>
      </c>
      <c r="U3411">
        <v>2</v>
      </c>
      <c r="V3411">
        <v>2023</v>
      </c>
      <c r="W3411">
        <v>1</v>
      </c>
      <c r="X3411" t="s">
        <v>9898</v>
      </c>
      <c r="Y3411" t="s">
        <v>9900</v>
      </c>
      <c r="Z3411" t="s">
        <v>9898</v>
      </c>
      <c r="AD3411">
        <f t="shared" si="107"/>
        <v>7</v>
      </c>
    </row>
    <row r="3412" spans="1:30" x14ac:dyDescent="0.25">
      <c r="A3412" t="s">
        <v>3436</v>
      </c>
      <c r="B3412" s="2">
        <v>45281</v>
      </c>
      <c r="C3412" s="2">
        <v>45285</v>
      </c>
      <c r="D3412" t="s">
        <v>5110</v>
      </c>
      <c r="E3412" t="s">
        <v>5610</v>
      </c>
      <c r="F3412" t="s">
        <v>6026</v>
      </c>
      <c r="G3412" t="s">
        <v>6031</v>
      </c>
      <c r="H3412" t="s">
        <v>6043</v>
      </c>
      <c r="I3412" t="s">
        <v>6052</v>
      </c>
      <c r="J3412" t="s">
        <v>6054</v>
      </c>
      <c r="K3412" t="s">
        <v>6059</v>
      </c>
      <c r="L3412" t="s">
        <v>8887</v>
      </c>
      <c r="M3412">
        <v>880.43</v>
      </c>
      <c r="N3412">
        <v>2</v>
      </c>
      <c r="O3412">
        <v>0.25</v>
      </c>
      <c r="P3412">
        <v>-98.34</v>
      </c>
      <c r="Q3412" t="s">
        <v>9894</v>
      </c>
      <c r="R3412">
        <v>4</v>
      </c>
      <c r="S3412" s="5">
        <f t="shared" si="106"/>
        <v>-0.11169542155537636</v>
      </c>
      <c r="T3412">
        <v>440.21499999999997</v>
      </c>
      <c r="U3412">
        <v>12</v>
      </c>
      <c r="V3412">
        <v>2023</v>
      </c>
      <c r="W3412">
        <v>4</v>
      </c>
      <c r="X3412" t="s">
        <v>9898</v>
      </c>
      <c r="Y3412" t="s">
        <v>9900</v>
      </c>
      <c r="Z3412" t="s">
        <v>9899</v>
      </c>
      <c r="AD3412">
        <f t="shared" si="107"/>
        <v>4</v>
      </c>
    </row>
    <row r="3413" spans="1:30" x14ac:dyDescent="0.25">
      <c r="A3413" t="s">
        <v>3437</v>
      </c>
      <c r="B3413" s="2">
        <v>44996</v>
      </c>
      <c r="C3413" s="2">
        <v>44997</v>
      </c>
      <c r="D3413" t="s">
        <v>5079</v>
      </c>
      <c r="E3413" t="s">
        <v>5579</v>
      </c>
      <c r="F3413" t="s">
        <v>6026</v>
      </c>
      <c r="G3413" t="s">
        <v>6029</v>
      </c>
      <c r="H3413" t="s">
        <v>6044</v>
      </c>
      <c r="I3413" t="s">
        <v>6050</v>
      </c>
      <c r="J3413" t="s">
        <v>6054</v>
      </c>
      <c r="K3413" t="s">
        <v>6062</v>
      </c>
      <c r="L3413" t="s">
        <v>8888</v>
      </c>
      <c r="M3413">
        <v>1702.02</v>
      </c>
      <c r="N3413">
        <v>2</v>
      </c>
      <c r="O3413">
        <v>0.3</v>
      </c>
      <c r="P3413">
        <v>-275.43</v>
      </c>
      <c r="Q3413" t="s">
        <v>9893</v>
      </c>
      <c r="R3413">
        <v>1</v>
      </c>
      <c r="S3413" s="5">
        <f t="shared" si="106"/>
        <v>-0.16182536045404872</v>
      </c>
      <c r="T3413">
        <v>851.01</v>
      </c>
      <c r="U3413">
        <v>3</v>
      </c>
      <c r="V3413">
        <v>2023</v>
      </c>
      <c r="W3413">
        <v>1</v>
      </c>
      <c r="X3413" t="s">
        <v>9898</v>
      </c>
      <c r="Y3413" t="s">
        <v>9900</v>
      </c>
      <c r="Z3413" t="s">
        <v>9898</v>
      </c>
      <c r="AD3413">
        <f t="shared" si="107"/>
        <v>1</v>
      </c>
    </row>
    <row r="3414" spans="1:30" x14ac:dyDescent="0.25">
      <c r="A3414" t="s">
        <v>3438</v>
      </c>
      <c r="B3414" s="2">
        <v>44790</v>
      </c>
      <c r="C3414" s="2">
        <v>44797</v>
      </c>
      <c r="D3414" t="s">
        <v>5367</v>
      </c>
      <c r="E3414" t="s">
        <v>5867</v>
      </c>
      <c r="F3414" t="s">
        <v>6028</v>
      </c>
      <c r="G3414" t="s">
        <v>6030</v>
      </c>
      <c r="H3414" t="s">
        <v>6035</v>
      </c>
      <c r="I3414" t="s">
        <v>6051</v>
      </c>
      <c r="J3414" t="s">
        <v>6055</v>
      </c>
      <c r="K3414" t="s">
        <v>6064</v>
      </c>
      <c r="L3414" t="s">
        <v>6575</v>
      </c>
      <c r="M3414">
        <v>1743.36</v>
      </c>
      <c r="N3414">
        <v>5</v>
      </c>
      <c r="O3414">
        <v>7.0000000000000007E-2</v>
      </c>
      <c r="P3414">
        <v>145.96</v>
      </c>
      <c r="Q3414" t="s">
        <v>9896</v>
      </c>
      <c r="R3414">
        <v>7</v>
      </c>
      <c r="S3414" s="5">
        <f t="shared" si="106"/>
        <v>8.3723384728340691E-2</v>
      </c>
      <c r="T3414">
        <v>348.67200000000003</v>
      </c>
      <c r="U3414">
        <v>8</v>
      </c>
      <c r="V3414">
        <v>2022</v>
      </c>
      <c r="W3414">
        <v>3</v>
      </c>
      <c r="X3414" t="s">
        <v>9899</v>
      </c>
      <c r="Y3414" t="s">
        <v>9901</v>
      </c>
      <c r="Z3414" t="s">
        <v>9898</v>
      </c>
      <c r="AD3414">
        <f t="shared" si="107"/>
        <v>7</v>
      </c>
    </row>
    <row r="3415" spans="1:30" x14ac:dyDescent="0.25">
      <c r="A3415" t="s">
        <v>3439</v>
      </c>
      <c r="B3415" s="2">
        <v>44698</v>
      </c>
      <c r="C3415" s="2">
        <v>44705</v>
      </c>
      <c r="D3415" t="s">
        <v>5318</v>
      </c>
      <c r="E3415" t="s">
        <v>5818</v>
      </c>
      <c r="F3415" t="s">
        <v>6027</v>
      </c>
      <c r="G3415" t="s">
        <v>6030</v>
      </c>
      <c r="H3415" t="s">
        <v>6039</v>
      </c>
      <c r="I3415" t="s">
        <v>6047</v>
      </c>
      <c r="J3415" t="s">
        <v>6053</v>
      </c>
      <c r="K3415" t="s">
        <v>6057</v>
      </c>
      <c r="L3415" t="s">
        <v>8889</v>
      </c>
      <c r="M3415">
        <v>791.6</v>
      </c>
      <c r="N3415">
        <v>8</v>
      </c>
      <c r="O3415">
        <v>0.11</v>
      </c>
      <c r="P3415">
        <v>75.290000000000006</v>
      </c>
      <c r="Q3415" t="s">
        <v>9896</v>
      </c>
      <c r="R3415">
        <v>7</v>
      </c>
      <c r="S3415" s="5">
        <f t="shared" si="106"/>
        <v>9.5111167256189996E-2</v>
      </c>
      <c r="T3415">
        <v>98.95</v>
      </c>
      <c r="U3415">
        <v>5</v>
      </c>
      <c r="V3415">
        <v>2022</v>
      </c>
      <c r="W3415">
        <v>2</v>
      </c>
      <c r="X3415" t="s">
        <v>9899</v>
      </c>
      <c r="Y3415" t="s">
        <v>9901</v>
      </c>
      <c r="Z3415" t="s">
        <v>9899</v>
      </c>
      <c r="AD3415">
        <f t="shared" si="107"/>
        <v>7</v>
      </c>
    </row>
    <row r="3416" spans="1:30" x14ac:dyDescent="0.25">
      <c r="A3416" t="s">
        <v>3440</v>
      </c>
      <c r="B3416" s="2">
        <v>45082</v>
      </c>
      <c r="C3416" s="2">
        <v>45089</v>
      </c>
      <c r="D3416" t="s">
        <v>5430</v>
      </c>
      <c r="E3416" t="s">
        <v>5930</v>
      </c>
      <c r="F3416" t="s">
        <v>6027</v>
      </c>
      <c r="G3416" t="s">
        <v>6029</v>
      </c>
      <c r="H3416" t="s">
        <v>6044</v>
      </c>
      <c r="I3416" t="s">
        <v>6046</v>
      </c>
      <c r="J3416" t="s">
        <v>6055</v>
      </c>
      <c r="K3416" t="s">
        <v>6063</v>
      </c>
      <c r="L3416" t="s">
        <v>8890</v>
      </c>
      <c r="M3416">
        <v>1821.86</v>
      </c>
      <c r="N3416">
        <v>1</v>
      </c>
      <c r="O3416">
        <v>0.21</v>
      </c>
      <c r="P3416">
        <v>-32.549999999999997</v>
      </c>
      <c r="Q3416" t="s">
        <v>9896</v>
      </c>
      <c r="R3416">
        <v>7</v>
      </c>
      <c r="S3416" s="5">
        <f t="shared" si="106"/>
        <v>-1.7866356361081533E-2</v>
      </c>
      <c r="T3416">
        <v>1821.86</v>
      </c>
      <c r="U3416">
        <v>6</v>
      </c>
      <c r="V3416">
        <v>2023</v>
      </c>
      <c r="W3416">
        <v>2</v>
      </c>
      <c r="X3416" t="s">
        <v>9898</v>
      </c>
      <c r="Y3416" t="s">
        <v>9900</v>
      </c>
      <c r="Z3416" t="s">
        <v>9898</v>
      </c>
      <c r="AD3416">
        <f t="shared" si="107"/>
        <v>7</v>
      </c>
    </row>
    <row r="3417" spans="1:30" x14ac:dyDescent="0.25">
      <c r="A3417" t="s">
        <v>3441</v>
      </c>
      <c r="B3417" s="2">
        <v>44764</v>
      </c>
      <c r="C3417" s="2">
        <v>44769</v>
      </c>
      <c r="D3417" t="s">
        <v>5103</v>
      </c>
      <c r="E3417" t="s">
        <v>5603</v>
      </c>
      <c r="F3417" t="s">
        <v>6026</v>
      </c>
      <c r="G3417" t="s">
        <v>6029</v>
      </c>
      <c r="H3417" t="s">
        <v>6045</v>
      </c>
      <c r="I3417" t="s">
        <v>6046</v>
      </c>
      <c r="J3417" t="s">
        <v>6055</v>
      </c>
      <c r="K3417" t="s">
        <v>6064</v>
      </c>
      <c r="L3417" t="s">
        <v>7469</v>
      </c>
      <c r="M3417">
        <v>710.17</v>
      </c>
      <c r="N3417">
        <v>7</v>
      </c>
      <c r="O3417">
        <v>0.3</v>
      </c>
      <c r="P3417">
        <v>-93.81</v>
      </c>
      <c r="Q3417" t="s">
        <v>9897</v>
      </c>
      <c r="R3417">
        <v>5</v>
      </c>
      <c r="S3417" s="5">
        <f t="shared" si="106"/>
        <v>-0.13209513215145671</v>
      </c>
      <c r="T3417">
        <v>101.4528571428571</v>
      </c>
      <c r="U3417">
        <v>7</v>
      </c>
      <c r="V3417">
        <v>2022</v>
      </c>
      <c r="W3417">
        <v>3</v>
      </c>
      <c r="X3417" t="s">
        <v>9898</v>
      </c>
      <c r="Y3417" t="s">
        <v>9900</v>
      </c>
      <c r="Z3417" t="s">
        <v>9899</v>
      </c>
      <c r="AD3417">
        <f t="shared" si="107"/>
        <v>5</v>
      </c>
    </row>
    <row r="3418" spans="1:30" x14ac:dyDescent="0.25">
      <c r="A3418" t="s">
        <v>3442</v>
      </c>
      <c r="B3418" s="2">
        <v>44820</v>
      </c>
      <c r="C3418" s="2">
        <v>44827</v>
      </c>
      <c r="D3418" t="s">
        <v>5051</v>
      </c>
      <c r="E3418" t="s">
        <v>5551</v>
      </c>
      <c r="F3418" t="s">
        <v>6027</v>
      </c>
      <c r="G3418" t="s">
        <v>6030</v>
      </c>
      <c r="H3418" t="s">
        <v>6035</v>
      </c>
      <c r="I3418" t="s">
        <v>6047</v>
      </c>
      <c r="J3418" t="s">
        <v>6054</v>
      </c>
      <c r="K3418" t="s">
        <v>6059</v>
      </c>
      <c r="L3418" t="s">
        <v>8891</v>
      </c>
      <c r="M3418">
        <v>1084.1099999999999</v>
      </c>
      <c r="N3418">
        <v>7</v>
      </c>
      <c r="O3418">
        <v>0.27</v>
      </c>
      <c r="P3418">
        <v>-37.81</v>
      </c>
      <c r="Q3418" t="s">
        <v>9895</v>
      </c>
      <c r="R3418">
        <v>7</v>
      </c>
      <c r="S3418" s="5">
        <f t="shared" si="106"/>
        <v>-3.4876534668991162E-2</v>
      </c>
      <c r="T3418">
        <v>154.8728571428571</v>
      </c>
      <c r="U3418">
        <v>9</v>
      </c>
      <c r="V3418">
        <v>2022</v>
      </c>
      <c r="W3418">
        <v>3</v>
      </c>
      <c r="X3418" t="s">
        <v>9898</v>
      </c>
      <c r="Y3418" t="s">
        <v>9900</v>
      </c>
      <c r="Z3418" t="s">
        <v>9898</v>
      </c>
      <c r="AD3418">
        <f t="shared" si="107"/>
        <v>7</v>
      </c>
    </row>
    <row r="3419" spans="1:30" x14ac:dyDescent="0.25">
      <c r="A3419" t="s">
        <v>3443</v>
      </c>
      <c r="B3419" s="2">
        <v>44884</v>
      </c>
      <c r="C3419" s="2">
        <v>44890</v>
      </c>
      <c r="D3419" t="s">
        <v>5303</v>
      </c>
      <c r="E3419" t="s">
        <v>5803</v>
      </c>
      <c r="F3419" t="s">
        <v>6028</v>
      </c>
      <c r="G3419" t="s">
        <v>6029</v>
      </c>
      <c r="H3419" t="s">
        <v>6045</v>
      </c>
      <c r="I3419" t="s">
        <v>6050</v>
      </c>
      <c r="J3419" t="s">
        <v>6053</v>
      </c>
      <c r="K3419" t="s">
        <v>6057</v>
      </c>
      <c r="L3419" t="s">
        <v>8892</v>
      </c>
      <c r="M3419">
        <v>1014.93</v>
      </c>
      <c r="N3419">
        <v>4</v>
      </c>
      <c r="O3419">
        <v>0.02</v>
      </c>
      <c r="P3419">
        <v>143.1</v>
      </c>
      <c r="Q3419" t="s">
        <v>9893</v>
      </c>
      <c r="R3419">
        <v>6</v>
      </c>
      <c r="S3419" s="5">
        <f t="shared" si="106"/>
        <v>0.1409949454642192</v>
      </c>
      <c r="T3419">
        <v>253.73249999999999</v>
      </c>
      <c r="U3419">
        <v>11</v>
      </c>
      <c r="V3419">
        <v>2022</v>
      </c>
      <c r="W3419">
        <v>4</v>
      </c>
      <c r="X3419" t="s">
        <v>9899</v>
      </c>
      <c r="Y3419" t="s">
        <v>9901</v>
      </c>
      <c r="Z3419" t="s">
        <v>9898</v>
      </c>
      <c r="AD3419">
        <f t="shared" si="107"/>
        <v>6</v>
      </c>
    </row>
    <row r="3420" spans="1:30" x14ac:dyDescent="0.25">
      <c r="A3420" t="s">
        <v>3444</v>
      </c>
      <c r="B3420" s="2">
        <v>45374</v>
      </c>
      <c r="C3420" s="2">
        <v>45379</v>
      </c>
      <c r="D3420" t="s">
        <v>5261</v>
      </c>
      <c r="E3420" t="s">
        <v>5761</v>
      </c>
      <c r="F3420" t="s">
        <v>6028</v>
      </c>
      <c r="G3420" t="s">
        <v>6029</v>
      </c>
      <c r="H3420" t="s">
        <v>6036</v>
      </c>
      <c r="I3420" t="s">
        <v>6046</v>
      </c>
      <c r="J3420" t="s">
        <v>6054</v>
      </c>
      <c r="K3420" t="s">
        <v>6060</v>
      </c>
      <c r="L3420" t="s">
        <v>8893</v>
      </c>
      <c r="M3420">
        <v>206.38</v>
      </c>
      <c r="N3420">
        <v>7</v>
      </c>
      <c r="O3420">
        <v>0.14000000000000001</v>
      </c>
      <c r="P3420">
        <v>5.95</v>
      </c>
      <c r="Q3420" t="s">
        <v>9893</v>
      </c>
      <c r="R3420">
        <v>5</v>
      </c>
      <c r="S3420" s="5">
        <f t="shared" si="106"/>
        <v>2.8830313014827021E-2</v>
      </c>
      <c r="T3420">
        <v>29.482857142857139</v>
      </c>
      <c r="U3420">
        <v>3</v>
      </c>
      <c r="V3420">
        <v>2024</v>
      </c>
      <c r="W3420">
        <v>1</v>
      </c>
      <c r="X3420" t="s">
        <v>9899</v>
      </c>
      <c r="Y3420" t="s">
        <v>9901</v>
      </c>
      <c r="Z3420" t="s">
        <v>9899</v>
      </c>
      <c r="AD3420">
        <f t="shared" si="107"/>
        <v>5</v>
      </c>
    </row>
    <row r="3421" spans="1:30" x14ac:dyDescent="0.25">
      <c r="A3421" t="s">
        <v>3445</v>
      </c>
      <c r="B3421" s="2">
        <v>45081</v>
      </c>
      <c r="C3421" s="2">
        <v>45082</v>
      </c>
      <c r="D3421" t="s">
        <v>5319</v>
      </c>
      <c r="E3421" t="s">
        <v>5819</v>
      </c>
      <c r="F3421" t="s">
        <v>6028</v>
      </c>
      <c r="G3421" t="s">
        <v>6029</v>
      </c>
      <c r="H3421" t="s">
        <v>6041</v>
      </c>
      <c r="I3421" t="s">
        <v>6046</v>
      </c>
      <c r="J3421" t="s">
        <v>6054</v>
      </c>
      <c r="K3421" t="s">
        <v>6060</v>
      </c>
      <c r="L3421" t="s">
        <v>8894</v>
      </c>
      <c r="M3421">
        <v>1458.75</v>
      </c>
      <c r="N3421">
        <v>5</v>
      </c>
      <c r="O3421">
        <v>0</v>
      </c>
      <c r="P3421">
        <v>342.33</v>
      </c>
      <c r="Q3421" t="s">
        <v>9893</v>
      </c>
      <c r="R3421">
        <v>1</v>
      </c>
      <c r="S3421" s="5">
        <f t="shared" si="106"/>
        <v>0.23467352185089974</v>
      </c>
      <c r="T3421">
        <v>291.75</v>
      </c>
      <c r="U3421">
        <v>6</v>
      </c>
      <c r="V3421">
        <v>2023</v>
      </c>
      <c r="W3421">
        <v>2</v>
      </c>
      <c r="X3421" t="s">
        <v>9899</v>
      </c>
      <c r="Y3421" t="s">
        <v>9901</v>
      </c>
      <c r="Z3421" t="s">
        <v>9898</v>
      </c>
      <c r="AD3421">
        <f t="shared" si="107"/>
        <v>1</v>
      </c>
    </row>
    <row r="3422" spans="1:30" x14ac:dyDescent="0.25">
      <c r="A3422" t="s">
        <v>3446</v>
      </c>
      <c r="B3422" s="2">
        <v>44875</v>
      </c>
      <c r="C3422" s="2">
        <v>44876</v>
      </c>
      <c r="D3422" t="s">
        <v>5186</v>
      </c>
      <c r="E3422" t="s">
        <v>5686</v>
      </c>
      <c r="F3422" t="s">
        <v>6028</v>
      </c>
      <c r="G3422" t="s">
        <v>6029</v>
      </c>
      <c r="H3422" t="s">
        <v>6044</v>
      </c>
      <c r="I3422" t="s">
        <v>6046</v>
      </c>
      <c r="J3422" t="s">
        <v>6054</v>
      </c>
      <c r="K3422" t="s">
        <v>6060</v>
      </c>
      <c r="L3422" t="s">
        <v>8895</v>
      </c>
      <c r="M3422">
        <v>1164.98</v>
      </c>
      <c r="N3422">
        <v>2</v>
      </c>
      <c r="O3422">
        <v>0.2</v>
      </c>
      <c r="P3422">
        <v>-62.44</v>
      </c>
      <c r="Q3422" t="s">
        <v>9897</v>
      </c>
      <c r="R3422">
        <v>1</v>
      </c>
      <c r="S3422" s="5">
        <f t="shared" si="106"/>
        <v>-5.3597486652131363E-2</v>
      </c>
      <c r="T3422">
        <v>582.49</v>
      </c>
      <c r="U3422">
        <v>11</v>
      </c>
      <c r="V3422">
        <v>2022</v>
      </c>
      <c r="W3422">
        <v>4</v>
      </c>
      <c r="X3422" t="s">
        <v>9898</v>
      </c>
      <c r="Y3422" t="s">
        <v>9900</v>
      </c>
      <c r="Z3422" t="s">
        <v>9898</v>
      </c>
      <c r="AD3422">
        <f t="shared" si="107"/>
        <v>1</v>
      </c>
    </row>
    <row r="3423" spans="1:30" x14ac:dyDescent="0.25">
      <c r="A3423" t="s">
        <v>3447</v>
      </c>
      <c r="B3423" s="2">
        <v>45343</v>
      </c>
      <c r="C3423" s="2">
        <v>45350</v>
      </c>
      <c r="D3423" t="s">
        <v>5070</v>
      </c>
      <c r="E3423" t="s">
        <v>5570</v>
      </c>
      <c r="F3423" t="s">
        <v>6027</v>
      </c>
      <c r="G3423" t="s">
        <v>6030</v>
      </c>
      <c r="H3423" t="s">
        <v>6033</v>
      </c>
      <c r="I3423" t="s">
        <v>6047</v>
      </c>
      <c r="J3423" t="s">
        <v>6055</v>
      </c>
      <c r="K3423" t="s">
        <v>6061</v>
      </c>
      <c r="L3423" t="s">
        <v>8896</v>
      </c>
      <c r="M3423">
        <v>1622.45</v>
      </c>
      <c r="N3423">
        <v>2</v>
      </c>
      <c r="O3423">
        <v>0.28999999999999998</v>
      </c>
      <c r="P3423">
        <v>-201.34</v>
      </c>
      <c r="Q3423" t="s">
        <v>9893</v>
      </c>
      <c r="R3423">
        <v>7</v>
      </c>
      <c r="S3423" s="5">
        <f t="shared" si="106"/>
        <v>-0.1240962741532867</v>
      </c>
      <c r="T3423">
        <v>811.22500000000002</v>
      </c>
      <c r="U3423">
        <v>2</v>
      </c>
      <c r="V3423">
        <v>2024</v>
      </c>
      <c r="W3423">
        <v>1</v>
      </c>
      <c r="X3423" t="s">
        <v>9898</v>
      </c>
      <c r="Y3423" t="s">
        <v>9900</v>
      </c>
      <c r="Z3423" t="s">
        <v>9898</v>
      </c>
      <c r="AD3423">
        <f t="shared" si="107"/>
        <v>7</v>
      </c>
    </row>
    <row r="3424" spans="1:30" x14ac:dyDescent="0.25">
      <c r="A3424" t="s">
        <v>3448</v>
      </c>
      <c r="B3424" s="2">
        <v>45349</v>
      </c>
      <c r="C3424" s="2">
        <v>45353</v>
      </c>
      <c r="D3424" t="s">
        <v>5255</v>
      </c>
      <c r="E3424" t="s">
        <v>5755</v>
      </c>
      <c r="F3424" t="s">
        <v>6028</v>
      </c>
      <c r="G3424" t="s">
        <v>6030</v>
      </c>
      <c r="H3424" t="s">
        <v>6035</v>
      </c>
      <c r="I3424" t="s">
        <v>6051</v>
      </c>
      <c r="J3424" t="s">
        <v>6054</v>
      </c>
      <c r="K3424" t="s">
        <v>6062</v>
      </c>
      <c r="L3424" t="s">
        <v>8897</v>
      </c>
      <c r="M3424">
        <v>1812.12</v>
      </c>
      <c r="N3424">
        <v>6</v>
      </c>
      <c r="O3424">
        <v>0.2</v>
      </c>
      <c r="P3424">
        <v>-84.79</v>
      </c>
      <c r="Q3424" t="s">
        <v>9896</v>
      </c>
      <c r="R3424">
        <v>4</v>
      </c>
      <c r="S3424" s="5">
        <f t="shared" si="106"/>
        <v>-4.679049952541775E-2</v>
      </c>
      <c r="T3424">
        <v>302.02</v>
      </c>
      <c r="U3424">
        <v>2</v>
      </c>
      <c r="V3424">
        <v>2024</v>
      </c>
      <c r="W3424">
        <v>1</v>
      </c>
      <c r="X3424" t="s">
        <v>9898</v>
      </c>
      <c r="Y3424" t="s">
        <v>9900</v>
      </c>
      <c r="Z3424" t="s">
        <v>9898</v>
      </c>
      <c r="AD3424">
        <f t="shared" si="107"/>
        <v>4</v>
      </c>
    </row>
    <row r="3425" spans="1:30" x14ac:dyDescent="0.25">
      <c r="A3425" t="s">
        <v>3449</v>
      </c>
      <c r="B3425" s="2">
        <v>45360</v>
      </c>
      <c r="C3425" s="2">
        <v>45361</v>
      </c>
      <c r="D3425" t="s">
        <v>5073</v>
      </c>
      <c r="E3425" t="s">
        <v>5573</v>
      </c>
      <c r="F3425" t="s">
        <v>6028</v>
      </c>
      <c r="G3425" t="s">
        <v>6030</v>
      </c>
      <c r="H3425" t="s">
        <v>6033</v>
      </c>
      <c r="I3425" t="s">
        <v>6047</v>
      </c>
      <c r="J3425" t="s">
        <v>6055</v>
      </c>
      <c r="K3425" t="s">
        <v>6061</v>
      </c>
      <c r="L3425" t="s">
        <v>8898</v>
      </c>
      <c r="M3425">
        <v>1744.86</v>
      </c>
      <c r="N3425">
        <v>7</v>
      </c>
      <c r="O3425">
        <v>0.28000000000000003</v>
      </c>
      <c r="P3425">
        <v>-92.27</v>
      </c>
      <c r="Q3425" t="s">
        <v>9894</v>
      </c>
      <c r="R3425">
        <v>1</v>
      </c>
      <c r="S3425" s="5">
        <f t="shared" si="106"/>
        <v>-5.2881033435347252E-2</v>
      </c>
      <c r="T3425">
        <v>249.2657142857143</v>
      </c>
      <c r="U3425">
        <v>3</v>
      </c>
      <c r="V3425">
        <v>2024</v>
      </c>
      <c r="W3425">
        <v>1</v>
      </c>
      <c r="X3425" t="s">
        <v>9898</v>
      </c>
      <c r="Y3425" t="s">
        <v>9900</v>
      </c>
      <c r="Z3425" t="s">
        <v>9898</v>
      </c>
      <c r="AD3425">
        <f t="shared" si="107"/>
        <v>1</v>
      </c>
    </row>
    <row r="3426" spans="1:30" x14ac:dyDescent="0.25">
      <c r="A3426" t="s">
        <v>3450</v>
      </c>
      <c r="B3426" s="2">
        <v>45403</v>
      </c>
      <c r="C3426" s="2">
        <v>45407</v>
      </c>
      <c r="D3426" t="s">
        <v>5066</v>
      </c>
      <c r="E3426" t="s">
        <v>5566</v>
      </c>
      <c r="F3426" t="s">
        <v>6026</v>
      </c>
      <c r="G3426" t="s">
        <v>6029</v>
      </c>
      <c r="H3426" t="s">
        <v>6044</v>
      </c>
      <c r="I3426" t="s">
        <v>6050</v>
      </c>
      <c r="J3426" t="s">
        <v>6053</v>
      </c>
      <c r="K3426" t="s">
        <v>6058</v>
      </c>
      <c r="L3426" t="s">
        <v>8899</v>
      </c>
      <c r="M3426">
        <v>1944.25</v>
      </c>
      <c r="N3426">
        <v>5</v>
      </c>
      <c r="O3426">
        <v>0.34</v>
      </c>
      <c r="P3426">
        <v>-163.27000000000001</v>
      </c>
      <c r="Q3426" t="s">
        <v>9893</v>
      </c>
      <c r="R3426">
        <v>4</v>
      </c>
      <c r="S3426" s="5">
        <f t="shared" si="106"/>
        <v>-8.3975826154043975E-2</v>
      </c>
      <c r="T3426">
        <v>388.85</v>
      </c>
      <c r="U3426">
        <v>4</v>
      </c>
      <c r="V3426">
        <v>2024</v>
      </c>
      <c r="W3426">
        <v>2</v>
      </c>
      <c r="X3426" t="s">
        <v>9898</v>
      </c>
      <c r="Y3426" t="s">
        <v>9902</v>
      </c>
      <c r="Z3426" t="s">
        <v>9898</v>
      </c>
      <c r="AD3426">
        <f t="shared" si="107"/>
        <v>4</v>
      </c>
    </row>
    <row r="3427" spans="1:30" x14ac:dyDescent="0.25">
      <c r="A3427" t="s">
        <v>3451</v>
      </c>
      <c r="B3427" s="2">
        <v>45410</v>
      </c>
      <c r="C3427" s="2">
        <v>45415</v>
      </c>
      <c r="D3427" t="s">
        <v>5507</v>
      </c>
      <c r="E3427" t="s">
        <v>6007</v>
      </c>
      <c r="F3427" t="s">
        <v>6027</v>
      </c>
      <c r="G3427" t="s">
        <v>6031</v>
      </c>
      <c r="H3427" t="s">
        <v>6040</v>
      </c>
      <c r="I3427" t="s">
        <v>6050</v>
      </c>
      <c r="J3427" t="s">
        <v>6055</v>
      </c>
      <c r="K3427" t="s">
        <v>6063</v>
      </c>
      <c r="L3427" t="s">
        <v>8900</v>
      </c>
      <c r="M3427">
        <v>1814.95</v>
      </c>
      <c r="N3427">
        <v>1</v>
      </c>
      <c r="O3427">
        <v>0.06</v>
      </c>
      <c r="P3427">
        <v>281</v>
      </c>
      <c r="Q3427" t="s">
        <v>9893</v>
      </c>
      <c r="R3427">
        <v>5</v>
      </c>
      <c r="S3427" s="5">
        <f t="shared" si="106"/>
        <v>0.15482520179619272</v>
      </c>
      <c r="T3427">
        <v>1814.95</v>
      </c>
      <c r="U3427">
        <v>4</v>
      </c>
      <c r="V3427">
        <v>2024</v>
      </c>
      <c r="W3427">
        <v>2</v>
      </c>
      <c r="X3427" t="s">
        <v>9899</v>
      </c>
      <c r="Y3427" t="s">
        <v>9901</v>
      </c>
      <c r="Z3427" t="s">
        <v>9898</v>
      </c>
      <c r="AD3427">
        <f t="shared" si="107"/>
        <v>5</v>
      </c>
    </row>
    <row r="3428" spans="1:30" x14ac:dyDescent="0.25">
      <c r="A3428" t="s">
        <v>3452</v>
      </c>
      <c r="B3428" s="2">
        <v>45129</v>
      </c>
      <c r="C3428" s="2">
        <v>45130</v>
      </c>
      <c r="D3428" t="s">
        <v>5162</v>
      </c>
      <c r="E3428" t="s">
        <v>5662</v>
      </c>
      <c r="F3428" t="s">
        <v>6026</v>
      </c>
      <c r="G3428" t="s">
        <v>6030</v>
      </c>
      <c r="H3428" t="s">
        <v>6038</v>
      </c>
      <c r="I3428" t="s">
        <v>6047</v>
      </c>
      <c r="J3428" t="s">
        <v>6053</v>
      </c>
      <c r="K3428" t="s">
        <v>6057</v>
      </c>
      <c r="L3428" t="s">
        <v>6530</v>
      </c>
      <c r="M3428">
        <v>930.75</v>
      </c>
      <c r="N3428">
        <v>2</v>
      </c>
      <c r="O3428">
        <v>0.3</v>
      </c>
      <c r="P3428">
        <v>-171.65</v>
      </c>
      <c r="Q3428" t="s">
        <v>9894</v>
      </c>
      <c r="R3428">
        <v>1</v>
      </c>
      <c r="S3428" s="5">
        <f t="shared" si="106"/>
        <v>-0.18442116572656461</v>
      </c>
      <c r="T3428">
        <v>465.375</v>
      </c>
      <c r="U3428">
        <v>7</v>
      </c>
      <c r="V3428">
        <v>2023</v>
      </c>
      <c r="W3428">
        <v>3</v>
      </c>
      <c r="X3428" t="s">
        <v>9898</v>
      </c>
      <c r="Y3428" t="s">
        <v>9900</v>
      </c>
      <c r="Z3428" t="s">
        <v>9899</v>
      </c>
      <c r="AD3428">
        <f t="shared" si="107"/>
        <v>1</v>
      </c>
    </row>
    <row r="3429" spans="1:30" x14ac:dyDescent="0.25">
      <c r="A3429" t="s">
        <v>3453</v>
      </c>
      <c r="B3429" s="2">
        <v>45276</v>
      </c>
      <c r="C3429" s="2">
        <v>45281</v>
      </c>
      <c r="D3429" t="s">
        <v>5350</v>
      </c>
      <c r="E3429" t="s">
        <v>5850</v>
      </c>
      <c r="F3429" t="s">
        <v>6028</v>
      </c>
      <c r="G3429" t="s">
        <v>6029</v>
      </c>
      <c r="H3429" t="s">
        <v>6032</v>
      </c>
      <c r="I3429" t="s">
        <v>6050</v>
      </c>
      <c r="J3429" t="s">
        <v>6054</v>
      </c>
      <c r="K3429" t="s">
        <v>6062</v>
      </c>
      <c r="L3429" t="s">
        <v>8901</v>
      </c>
      <c r="M3429">
        <v>1227.77</v>
      </c>
      <c r="N3429">
        <v>6</v>
      </c>
      <c r="O3429">
        <v>0.26</v>
      </c>
      <c r="P3429">
        <v>-46.31</v>
      </c>
      <c r="Q3429" t="s">
        <v>9895</v>
      </c>
      <c r="R3429">
        <v>5</v>
      </c>
      <c r="S3429" s="5">
        <f t="shared" si="106"/>
        <v>-3.7718790978766382E-2</v>
      </c>
      <c r="T3429">
        <v>204.6283333333333</v>
      </c>
      <c r="U3429">
        <v>12</v>
      </c>
      <c r="V3429">
        <v>2023</v>
      </c>
      <c r="W3429">
        <v>4</v>
      </c>
      <c r="X3429" t="s">
        <v>9898</v>
      </c>
      <c r="Y3429" t="s">
        <v>9900</v>
      </c>
      <c r="Z3429" t="s">
        <v>9898</v>
      </c>
      <c r="AD3429">
        <f t="shared" si="107"/>
        <v>5</v>
      </c>
    </row>
    <row r="3430" spans="1:30" x14ac:dyDescent="0.25">
      <c r="A3430" t="s">
        <v>3454</v>
      </c>
      <c r="B3430" s="2">
        <v>44717</v>
      </c>
      <c r="C3430" s="2">
        <v>44723</v>
      </c>
      <c r="D3430" t="s">
        <v>5308</v>
      </c>
      <c r="E3430" t="s">
        <v>5808</v>
      </c>
      <c r="F3430" t="s">
        <v>6027</v>
      </c>
      <c r="G3430" t="s">
        <v>6030</v>
      </c>
      <c r="H3430" t="s">
        <v>6038</v>
      </c>
      <c r="I3430" t="s">
        <v>6051</v>
      </c>
      <c r="J3430" t="s">
        <v>6055</v>
      </c>
      <c r="K3430" t="s">
        <v>6061</v>
      </c>
      <c r="L3430" t="s">
        <v>8438</v>
      </c>
      <c r="M3430">
        <v>1813.87</v>
      </c>
      <c r="N3430">
        <v>8</v>
      </c>
      <c r="O3430">
        <v>0.09</v>
      </c>
      <c r="P3430">
        <v>49.9</v>
      </c>
      <c r="Q3430" t="s">
        <v>9897</v>
      </c>
      <c r="R3430">
        <v>6</v>
      </c>
      <c r="S3430" s="5">
        <f t="shared" si="106"/>
        <v>2.7510240535429772E-2</v>
      </c>
      <c r="T3430">
        <v>226.73374999999999</v>
      </c>
      <c r="U3430">
        <v>6</v>
      </c>
      <c r="V3430">
        <v>2022</v>
      </c>
      <c r="W3430">
        <v>2</v>
      </c>
      <c r="X3430" t="s">
        <v>9899</v>
      </c>
      <c r="Y3430" t="s">
        <v>9901</v>
      </c>
      <c r="Z3430" t="s">
        <v>9898</v>
      </c>
      <c r="AD3430">
        <f t="shared" si="107"/>
        <v>6</v>
      </c>
    </row>
    <row r="3431" spans="1:30" x14ac:dyDescent="0.25">
      <c r="A3431" t="s">
        <v>3455</v>
      </c>
      <c r="B3431" s="2">
        <v>44853</v>
      </c>
      <c r="C3431" s="2">
        <v>44859</v>
      </c>
      <c r="D3431" t="s">
        <v>5094</v>
      </c>
      <c r="E3431" t="s">
        <v>5594</v>
      </c>
      <c r="F3431" t="s">
        <v>6028</v>
      </c>
      <c r="G3431" t="s">
        <v>6030</v>
      </c>
      <c r="H3431" t="s">
        <v>6033</v>
      </c>
      <c r="I3431" t="s">
        <v>6051</v>
      </c>
      <c r="J3431" t="s">
        <v>6053</v>
      </c>
      <c r="K3431" t="s">
        <v>6057</v>
      </c>
      <c r="L3431" t="s">
        <v>8902</v>
      </c>
      <c r="M3431">
        <v>500.23</v>
      </c>
      <c r="N3431">
        <v>7</v>
      </c>
      <c r="O3431">
        <v>0.31</v>
      </c>
      <c r="P3431">
        <v>-85.67</v>
      </c>
      <c r="Q3431" t="s">
        <v>9894</v>
      </c>
      <c r="R3431">
        <v>6</v>
      </c>
      <c r="S3431" s="5">
        <f t="shared" si="106"/>
        <v>-0.1712612198388741</v>
      </c>
      <c r="T3431">
        <v>71.46142857142857</v>
      </c>
      <c r="U3431">
        <v>10</v>
      </c>
      <c r="V3431">
        <v>2022</v>
      </c>
      <c r="W3431">
        <v>4</v>
      </c>
      <c r="X3431" t="s">
        <v>9898</v>
      </c>
      <c r="Y3431" t="s">
        <v>9902</v>
      </c>
      <c r="Z3431" t="s">
        <v>9899</v>
      </c>
      <c r="AD3431">
        <f t="shared" si="107"/>
        <v>6</v>
      </c>
    </row>
    <row r="3432" spans="1:30" x14ac:dyDescent="0.25">
      <c r="A3432" t="s">
        <v>3456</v>
      </c>
      <c r="B3432" s="2">
        <v>44815</v>
      </c>
      <c r="C3432" s="2">
        <v>44818</v>
      </c>
      <c r="D3432" t="s">
        <v>5343</v>
      </c>
      <c r="E3432" t="s">
        <v>5843</v>
      </c>
      <c r="F3432" t="s">
        <v>6026</v>
      </c>
      <c r="G3432" t="s">
        <v>6031</v>
      </c>
      <c r="H3432" t="s">
        <v>6034</v>
      </c>
      <c r="I3432" t="s">
        <v>6050</v>
      </c>
      <c r="J3432" t="s">
        <v>6055</v>
      </c>
      <c r="K3432" t="s">
        <v>6061</v>
      </c>
      <c r="L3432" t="s">
        <v>8903</v>
      </c>
      <c r="M3432">
        <v>601.29</v>
      </c>
      <c r="N3432">
        <v>7</v>
      </c>
      <c r="O3432">
        <v>0.06</v>
      </c>
      <c r="P3432">
        <v>121.96</v>
      </c>
      <c r="Q3432" t="s">
        <v>9896</v>
      </c>
      <c r="R3432">
        <v>3</v>
      </c>
      <c r="S3432" s="5">
        <f t="shared" si="106"/>
        <v>0.20283058091769363</v>
      </c>
      <c r="T3432">
        <v>85.898571428571429</v>
      </c>
      <c r="U3432">
        <v>9</v>
      </c>
      <c r="V3432">
        <v>2022</v>
      </c>
      <c r="W3432">
        <v>3</v>
      </c>
      <c r="X3432" t="s">
        <v>9899</v>
      </c>
      <c r="Y3432" t="s">
        <v>9901</v>
      </c>
      <c r="Z3432" t="s">
        <v>9899</v>
      </c>
      <c r="AD3432">
        <f t="shared" si="107"/>
        <v>3</v>
      </c>
    </row>
    <row r="3433" spans="1:30" x14ac:dyDescent="0.25">
      <c r="A3433" t="s">
        <v>3457</v>
      </c>
      <c r="B3433" s="2">
        <v>44918</v>
      </c>
      <c r="C3433" s="2">
        <v>44923</v>
      </c>
      <c r="D3433" t="s">
        <v>5036</v>
      </c>
      <c r="E3433" t="s">
        <v>5536</v>
      </c>
      <c r="F3433" t="s">
        <v>6026</v>
      </c>
      <c r="G3433" t="s">
        <v>6029</v>
      </c>
      <c r="H3433" t="s">
        <v>6041</v>
      </c>
      <c r="I3433" t="s">
        <v>6050</v>
      </c>
      <c r="J3433" t="s">
        <v>6055</v>
      </c>
      <c r="K3433" t="s">
        <v>6061</v>
      </c>
      <c r="L3433" t="s">
        <v>7519</v>
      </c>
      <c r="M3433">
        <v>195.6</v>
      </c>
      <c r="N3433">
        <v>2</v>
      </c>
      <c r="O3433">
        <v>0.16</v>
      </c>
      <c r="P3433">
        <v>-4.32</v>
      </c>
      <c r="Q3433" t="s">
        <v>9894</v>
      </c>
      <c r="R3433">
        <v>5</v>
      </c>
      <c r="S3433" s="5">
        <f t="shared" si="106"/>
        <v>-2.2085889570552148E-2</v>
      </c>
      <c r="T3433">
        <v>97.8</v>
      </c>
      <c r="U3433">
        <v>12</v>
      </c>
      <c r="V3433">
        <v>2022</v>
      </c>
      <c r="W3433">
        <v>4</v>
      </c>
      <c r="X3433" t="s">
        <v>9898</v>
      </c>
      <c r="Y3433" t="s">
        <v>9900</v>
      </c>
      <c r="Z3433" t="s">
        <v>9899</v>
      </c>
      <c r="AD3433">
        <f t="shared" si="107"/>
        <v>5</v>
      </c>
    </row>
    <row r="3434" spans="1:30" x14ac:dyDescent="0.25">
      <c r="A3434" t="s">
        <v>3458</v>
      </c>
      <c r="B3434" s="2">
        <v>44655</v>
      </c>
      <c r="C3434" s="2">
        <v>44657</v>
      </c>
      <c r="D3434" t="s">
        <v>5263</v>
      </c>
      <c r="E3434" t="s">
        <v>5763</v>
      </c>
      <c r="F3434" t="s">
        <v>6027</v>
      </c>
      <c r="G3434" t="s">
        <v>6029</v>
      </c>
      <c r="H3434" t="s">
        <v>6041</v>
      </c>
      <c r="I3434" t="s">
        <v>6050</v>
      </c>
      <c r="J3434" t="s">
        <v>6054</v>
      </c>
      <c r="K3434" t="s">
        <v>6060</v>
      </c>
      <c r="L3434" t="s">
        <v>7610</v>
      </c>
      <c r="M3434">
        <v>503.83</v>
      </c>
      <c r="N3434">
        <v>2</v>
      </c>
      <c r="O3434">
        <v>0.01</v>
      </c>
      <c r="P3434">
        <v>58.11</v>
      </c>
      <c r="Q3434" t="s">
        <v>9895</v>
      </c>
      <c r="R3434">
        <v>2</v>
      </c>
      <c r="S3434" s="5">
        <f t="shared" si="106"/>
        <v>0.11533652223964433</v>
      </c>
      <c r="T3434">
        <v>251.91499999999999</v>
      </c>
      <c r="U3434">
        <v>4</v>
      </c>
      <c r="V3434">
        <v>2022</v>
      </c>
      <c r="W3434">
        <v>2</v>
      </c>
      <c r="X3434" t="s">
        <v>9899</v>
      </c>
      <c r="Y3434" t="s">
        <v>9901</v>
      </c>
      <c r="Z3434" t="s">
        <v>9899</v>
      </c>
      <c r="AD3434">
        <f t="shared" si="107"/>
        <v>2</v>
      </c>
    </row>
    <row r="3435" spans="1:30" x14ac:dyDescent="0.25">
      <c r="A3435" t="s">
        <v>3459</v>
      </c>
      <c r="B3435" s="2">
        <v>45330</v>
      </c>
      <c r="C3435" s="2">
        <v>45333</v>
      </c>
      <c r="D3435" t="s">
        <v>5073</v>
      </c>
      <c r="E3435" t="s">
        <v>5573</v>
      </c>
      <c r="F3435" t="s">
        <v>6027</v>
      </c>
      <c r="G3435" t="s">
        <v>6031</v>
      </c>
      <c r="H3435" t="s">
        <v>6040</v>
      </c>
      <c r="I3435" t="s">
        <v>6052</v>
      </c>
      <c r="J3435" t="s">
        <v>6054</v>
      </c>
      <c r="K3435" t="s">
        <v>6062</v>
      </c>
      <c r="L3435" t="s">
        <v>8904</v>
      </c>
      <c r="M3435">
        <v>1082.24</v>
      </c>
      <c r="N3435">
        <v>8</v>
      </c>
      <c r="O3435">
        <v>0.22</v>
      </c>
      <c r="P3435">
        <v>21.72</v>
      </c>
      <c r="Q3435" t="s">
        <v>9895</v>
      </c>
      <c r="R3435">
        <v>3</v>
      </c>
      <c r="S3435" s="5">
        <f t="shared" si="106"/>
        <v>2.0069485511531638E-2</v>
      </c>
      <c r="T3435">
        <v>135.28</v>
      </c>
      <c r="U3435">
        <v>2</v>
      </c>
      <c r="V3435">
        <v>2024</v>
      </c>
      <c r="W3435">
        <v>1</v>
      </c>
      <c r="X3435" t="s">
        <v>9899</v>
      </c>
      <c r="Y3435" t="s">
        <v>9900</v>
      </c>
      <c r="Z3435" t="s">
        <v>9898</v>
      </c>
      <c r="AD3435">
        <f t="shared" si="107"/>
        <v>3</v>
      </c>
    </row>
    <row r="3436" spans="1:30" x14ac:dyDescent="0.25">
      <c r="A3436" t="s">
        <v>3460</v>
      </c>
      <c r="B3436" s="2">
        <v>45336</v>
      </c>
      <c r="C3436" s="2">
        <v>45339</v>
      </c>
      <c r="D3436" t="s">
        <v>5376</v>
      </c>
      <c r="E3436" t="s">
        <v>5876</v>
      </c>
      <c r="F3436" t="s">
        <v>6027</v>
      </c>
      <c r="G3436" t="s">
        <v>6029</v>
      </c>
      <c r="H3436" t="s">
        <v>6041</v>
      </c>
      <c r="I3436" t="s">
        <v>6049</v>
      </c>
      <c r="J3436" t="s">
        <v>6053</v>
      </c>
      <c r="K3436" t="s">
        <v>6058</v>
      </c>
      <c r="L3436" t="s">
        <v>6296</v>
      </c>
      <c r="M3436">
        <v>1190.44</v>
      </c>
      <c r="N3436">
        <v>8</v>
      </c>
      <c r="O3436">
        <v>0.17</v>
      </c>
      <c r="P3436">
        <v>-75.2</v>
      </c>
      <c r="Q3436" t="s">
        <v>9895</v>
      </c>
      <c r="R3436">
        <v>3</v>
      </c>
      <c r="S3436" s="5">
        <f t="shared" si="106"/>
        <v>-6.3169920365579113E-2</v>
      </c>
      <c r="T3436">
        <v>148.80500000000001</v>
      </c>
      <c r="U3436">
        <v>2</v>
      </c>
      <c r="V3436">
        <v>2024</v>
      </c>
      <c r="W3436">
        <v>1</v>
      </c>
      <c r="X3436" t="s">
        <v>9898</v>
      </c>
      <c r="Y3436" t="s">
        <v>9900</v>
      </c>
      <c r="Z3436" t="s">
        <v>9898</v>
      </c>
      <c r="AD3436">
        <f t="shared" si="107"/>
        <v>3</v>
      </c>
    </row>
    <row r="3437" spans="1:30" x14ac:dyDescent="0.25">
      <c r="A3437" t="s">
        <v>3461</v>
      </c>
      <c r="B3437" s="2">
        <v>44960</v>
      </c>
      <c r="C3437" s="2">
        <v>44962</v>
      </c>
      <c r="D3437" t="s">
        <v>5132</v>
      </c>
      <c r="E3437" t="s">
        <v>5632</v>
      </c>
      <c r="F3437" t="s">
        <v>6026</v>
      </c>
      <c r="G3437" t="s">
        <v>6031</v>
      </c>
      <c r="H3437" t="s">
        <v>6034</v>
      </c>
      <c r="I3437" t="s">
        <v>6048</v>
      </c>
      <c r="J3437" t="s">
        <v>6054</v>
      </c>
      <c r="K3437" t="s">
        <v>6062</v>
      </c>
      <c r="L3437" t="s">
        <v>6126</v>
      </c>
      <c r="M3437">
        <v>1533.69</v>
      </c>
      <c r="N3437">
        <v>7</v>
      </c>
      <c r="O3437">
        <v>0.31</v>
      </c>
      <c r="P3437">
        <v>-139.41999999999999</v>
      </c>
      <c r="Q3437" t="s">
        <v>9893</v>
      </c>
      <c r="R3437">
        <v>2</v>
      </c>
      <c r="S3437" s="5">
        <f t="shared" si="106"/>
        <v>-9.0904941676609993E-2</v>
      </c>
      <c r="T3437">
        <v>219.0985714285714</v>
      </c>
      <c r="U3437">
        <v>2</v>
      </c>
      <c r="V3437">
        <v>2023</v>
      </c>
      <c r="W3437">
        <v>1</v>
      </c>
      <c r="X3437" t="s">
        <v>9898</v>
      </c>
      <c r="Y3437" t="s">
        <v>9902</v>
      </c>
      <c r="Z3437" t="s">
        <v>9898</v>
      </c>
      <c r="AD3437">
        <f t="shared" si="107"/>
        <v>2</v>
      </c>
    </row>
    <row r="3438" spans="1:30" x14ac:dyDescent="0.25">
      <c r="A3438" t="s">
        <v>3462</v>
      </c>
      <c r="B3438" s="2">
        <v>45207</v>
      </c>
      <c r="C3438" s="2">
        <v>45213</v>
      </c>
      <c r="D3438" t="s">
        <v>5175</v>
      </c>
      <c r="E3438" t="s">
        <v>5675</v>
      </c>
      <c r="F3438" t="s">
        <v>6026</v>
      </c>
      <c r="G3438" t="s">
        <v>6029</v>
      </c>
      <c r="H3438" t="s">
        <v>6045</v>
      </c>
      <c r="I3438" t="s">
        <v>6046</v>
      </c>
      <c r="J3438" t="s">
        <v>6055</v>
      </c>
      <c r="K3438" t="s">
        <v>6063</v>
      </c>
      <c r="L3438" t="s">
        <v>7508</v>
      </c>
      <c r="M3438">
        <v>556.95000000000005</v>
      </c>
      <c r="N3438">
        <v>3</v>
      </c>
      <c r="O3438">
        <v>0.11</v>
      </c>
      <c r="P3438">
        <v>65.94</v>
      </c>
      <c r="Q3438" t="s">
        <v>9894</v>
      </c>
      <c r="R3438">
        <v>6</v>
      </c>
      <c r="S3438" s="5">
        <f t="shared" si="106"/>
        <v>0.11839482897926204</v>
      </c>
      <c r="T3438">
        <v>185.65</v>
      </c>
      <c r="U3438">
        <v>10</v>
      </c>
      <c r="V3438">
        <v>2023</v>
      </c>
      <c r="W3438">
        <v>4</v>
      </c>
      <c r="X3438" t="s">
        <v>9899</v>
      </c>
      <c r="Y3438" t="s">
        <v>9901</v>
      </c>
      <c r="Z3438" t="s">
        <v>9899</v>
      </c>
      <c r="AD3438">
        <f t="shared" si="107"/>
        <v>6</v>
      </c>
    </row>
    <row r="3439" spans="1:30" x14ac:dyDescent="0.25">
      <c r="A3439" t="s">
        <v>3463</v>
      </c>
      <c r="B3439" s="2">
        <v>44923</v>
      </c>
      <c r="C3439" s="2">
        <v>44929</v>
      </c>
      <c r="D3439" t="s">
        <v>5217</v>
      </c>
      <c r="E3439" t="s">
        <v>5717</v>
      </c>
      <c r="F3439" t="s">
        <v>6026</v>
      </c>
      <c r="G3439" t="s">
        <v>6029</v>
      </c>
      <c r="H3439" t="s">
        <v>6032</v>
      </c>
      <c r="I3439" t="s">
        <v>6049</v>
      </c>
      <c r="J3439" t="s">
        <v>6053</v>
      </c>
      <c r="K3439" t="s">
        <v>6057</v>
      </c>
      <c r="L3439" t="s">
        <v>8905</v>
      </c>
      <c r="M3439">
        <v>1025.06</v>
      </c>
      <c r="N3439">
        <v>5</v>
      </c>
      <c r="O3439">
        <v>0.23</v>
      </c>
      <c r="P3439">
        <v>16.97</v>
      </c>
      <c r="Q3439" t="s">
        <v>9895</v>
      </c>
      <c r="R3439">
        <v>6</v>
      </c>
      <c r="S3439" s="5">
        <f t="shared" si="106"/>
        <v>1.6555128480284082E-2</v>
      </c>
      <c r="T3439">
        <v>205.012</v>
      </c>
      <c r="U3439">
        <v>12</v>
      </c>
      <c r="V3439">
        <v>2022</v>
      </c>
      <c r="W3439">
        <v>4</v>
      </c>
      <c r="X3439" t="s">
        <v>9899</v>
      </c>
      <c r="Y3439" t="s">
        <v>9900</v>
      </c>
      <c r="Z3439" t="s">
        <v>9898</v>
      </c>
      <c r="AD3439">
        <f t="shared" si="107"/>
        <v>6</v>
      </c>
    </row>
    <row r="3440" spans="1:30" x14ac:dyDescent="0.25">
      <c r="A3440" t="s">
        <v>3464</v>
      </c>
      <c r="B3440" s="2">
        <v>45231</v>
      </c>
      <c r="C3440" s="2">
        <v>45232</v>
      </c>
      <c r="D3440" t="s">
        <v>5099</v>
      </c>
      <c r="E3440" t="s">
        <v>5599</v>
      </c>
      <c r="F3440" t="s">
        <v>6027</v>
      </c>
      <c r="G3440" t="s">
        <v>6029</v>
      </c>
      <c r="H3440" t="s">
        <v>6045</v>
      </c>
      <c r="I3440" t="s">
        <v>6050</v>
      </c>
      <c r="J3440" t="s">
        <v>6053</v>
      </c>
      <c r="K3440" t="s">
        <v>6057</v>
      </c>
      <c r="L3440" t="s">
        <v>8906</v>
      </c>
      <c r="M3440">
        <v>169.42</v>
      </c>
      <c r="N3440">
        <v>8</v>
      </c>
      <c r="O3440">
        <v>0.17</v>
      </c>
      <c r="P3440">
        <v>-9.73</v>
      </c>
      <c r="Q3440" t="s">
        <v>9895</v>
      </c>
      <c r="R3440">
        <v>1</v>
      </c>
      <c r="S3440" s="5">
        <f t="shared" si="106"/>
        <v>-5.7431235981584235E-2</v>
      </c>
      <c r="T3440">
        <v>21.177499999999998</v>
      </c>
      <c r="U3440">
        <v>11</v>
      </c>
      <c r="V3440">
        <v>2023</v>
      </c>
      <c r="W3440">
        <v>4</v>
      </c>
      <c r="X3440" t="s">
        <v>9898</v>
      </c>
      <c r="Y3440" t="s">
        <v>9900</v>
      </c>
      <c r="Z3440" t="s">
        <v>9899</v>
      </c>
      <c r="AD3440">
        <f t="shared" si="107"/>
        <v>1</v>
      </c>
    </row>
    <row r="3441" spans="1:30" x14ac:dyDescent="0.25">
      <c r="A3441" t="s">
        <v>3465</v>
      </c>
      <c r="B3441" s="2">
        <v>44941</v>
      </c>
      <c r="C3441" s="2">
        <v>44945</v>
      </c>
      <c r="D3441" t="s">
        <v>5279</v>
      </c>
      <c r="E3441" t="s">
        <v>5779</v>
      </c>
      <c r="F3441" t="s">
        <v>6026</v>
      </c>
      <c r="G3441" t="s">
        <v>6030</v>
      </c>
      <c r="H3441" t="s">
        <v>6035</v>
      </c>
      <c r="I3441" t="s">
        <v>6051</v>
      </c>
      <c r="J3441" t="s">
        <v>6053</v>
      </c>
      <c r="K3441" t="s">
        <v>6056</v>
      </c>
      <c r="L3441" t="s">
        <v>8907</v>
      </c>
      <c r="M3441">
        <v>1737.11</v>
      </c>
      <c r="N3441">
        <v>3</v>
      </c>
      <c r="O3441">
        <v>0.23</v>
      </c>
      <c r="P3441">
        <v>-0.83</v>
      </c>
      <c r="Q3441" t="s">
        <v>9894</v>
      </c>
      <c r="R3441">
        <v>4</v>
      </c>
      <c r="S3441" s="5">
        <f t="shared" si="106"/>
        <v>-4.7780509006338116E-4</v>
      </c>
      <c r="T3441">
        <v>579.03666666666663</v>
      </c>
      <c r="U3441">
        <v>1</v>
      </c>
      <c r="V3441">
        <v>2023</v>
      </c>
      <c r="W3441">
        <v>1</v>
      </c>
      <c r="X3441" t="s">
        <v>9898</v>
      </c>
      <c r="Y3441" t="s">
        <v>9900</v>
      </c>
      <c r="Z3441" t="s">
        <v>9898</v>
      </c>
      <c r="AD3441">
        <f t="shared" si="107"/>
        <v>4</v>
      </c>
    </row>
    <row r="3442" spans="1:30" x14ac:dyDescent="0.25">
      <c r="A3442" t="s">
        <v>3466</v>
      </c>
      <c r="B3442" s="2">
        <v>44705</v>
      </c>
      <c r="C3442" s="2">
        <v>44712</v>
      </c>
      <c r="D3442" t="s">
        <v>5285</v>
      </c>
      <c r="E3442" t="s">
        <v>5785</v>
      </c>
      <c r="F3442" t="s">
        <v>6026</v>
      </c>
      <c r="G3442" t="s">
        <v>6029</v>
      </c>
      <c r="H3442" t="s">
        <v>6045</v>
      </c>
      <c r="I3442" t="s">
        <v>6049</v>
      </c>
      <c r="J3442" t="s">
        <v>6053</v>
      </c>
      <c r="K3442" t="s">
        <v>6058</v>
      </c>
      <c r="L3442" t="s">
        <v>8908</v>
      </c>
      <c r="M3442">
        <v>473.16</v>
      </c>
      <c r="N3442">
        <v>3</v>
      </c>
      <c r="O3442">
        <v>0.05</v>
      </c>
      <c r="P3442">
        <v>117.88</v>
      </c>
      <c r="Q3442" t="s">
        <v>9896</v>
      </c>
      <c r="R3442">
        <v>7</v>
      </c>
      <c r="S3442" s="5">
        <f t="shared" si="106"/>
        <v>0.249133485501733</v>
      </c>
      <c r="T3442">
        <v>157.72</v>
      </c>
      <c r="U3442">
        <v>5</v>
      </c>
      <c r="V3442">
        <v>2022</v>
      </c>
      <c r="W3442">
        <v>2</v>
      </c>
      <c r="X3442" t="s">
        <v>9899</v>
      </c>
      <c r="Y3442" t="s">
        <v>9901</v>
      </c>
      <c r="Z3442" t="s">
        <v>9899</v>
      </c>
      <c r="AD3442">
        <f t="shared" si="107"/>
        <v>7</v>
      </c>
    </row>
    <row r="3443" spans="1:30" x14ac:dyDescent="0.25">
      <c r="A3443" t="s">
        <v>3467</v>
      </c>
      <c r="B3443" s="2">
        <v>45223</v>
      </c>
      <c r="C3443" s="2">
        <v>45226</v>
      </c>
      <c r="D3443" t="s">
        <v>5518</v>
      </c>
      <c r="E3443" t="s">
        <v>6018</v>
      </c>
      <c r="F3443" t="s">
        <v>6027</v>
      </c>
      <c r="G3443" t="s">
        <v>6029</v>
      </c>
      <c r="H3443" t="s">
        <v>6044</v>
      </c>
      <c r="I3443" t="s">
        <v>6050</v>
      </c>
      <c r="J3443" t="s">
        <v>6053</v>
      </c>
      <c r="K3443" t="s">
        <v>6057</v>
      </c>
      <c r="L3443" t="s">
        <v>6131</v>
      </c>
      <c r="M3443">
        <v>465.71</v>
      </c>
      <c r="N3443">
        <v>8</v>
      </c>
      <c r="O3443">
        <v>0.16</v>
      </c>
      <c r="P3443">
        <v>-8.94</v>
      </c>
      <c r="Q3443" t="s">
        <v>9897</v>
      </c>
      <c r="R3443">
        <v>3</v>
      </c>
      <c r="S3443" s="5">
        <f t="shared" si="106"/>
        <v>-1.9196495673273067E-2</v>
      </c>
      <c r="T3443">
        <v>58.213749999999997</v>
      </c>
      <c r="U3443">
        <v>10</v>
      </c>
      <c r="V3443">
        <v>2023</v>
      </c>
      <c r="W3443">
        <v>4</v>
      </c>
      <c r="X3443" t="s">
        <v>9898</v>
      </c>
      <c r="Y3443" t="s">
        <v>9900</v>
      </c>
      <c r="Z3443" t="s">
        <v>9899</v>
      </c>
      <c r="AD3443">
        <f t="shared" si="107"/>
        <v>3</v>
      </c>
    </row>
    <row r="3444" spans="1:30" x14ac:dyDescent="0.25">
      <c r="A3444" t="s">
        <v>3468</v>
      </c>
      <c r="B3444" s="2">
        <v>44571</v>
      </c>
      <c r="C3444" s="2">
        <v>44574</v>
      </c>
      <c r="D3444" t="s">
        <v>5355</v>
      </c>
      <c r="E3444" t="s">
        <v>5855</v>
      </c>
      <c r="F3444" t="s">
        <v>6028</v>
      </c>
      <c r="G3444" t="s">
        <v>6030</v>
      </c>
      <c r="H3444" t="s">
        <v>6033</v>
      </c>
      <c r="I3444" t="s">
        <v>6047</v>
      </c>
      <c r="J3444" t="s">
        <v>6055</v>
      </c>
      <c r="K3444" t="s">
        <v>6063</v>
      </c>
      <c r="L3444" t="s">
        <v>8909</v>
      </c>
      <c r="M3444">
        <v>1360.06</v>
      </c>
      <c r="N3444">
        <v>7</v>
      </c>
      <c r="O3444">
        <v>0.14000000000000001</v>
      </c>
      <c r="P3444">
        <v>55.63</v>
      </c>
      <c r="Q3444" t="s">
        <v>9895</v>
      </c>
      <c r="R3444">
        <v>3</v>
      </c>
      <c r="S3444" s="5">
        <f t="shared" si="106"/>
        <v>4.0902607237915979E-2</v>
      </c>
      <c r="T3444">
        <v>194.29428571428571</v>
      </c>
      <c r="U3444">
        <v>1</v>
      </c>
      <c r="V3444">
        <v>2022</v>
      </c>
      <c r="W3444">
        <v>1</v>
      </c>
      <c r="X3444" t="s">
        <v>9899</v>
      </c>
      <c r="Y3444" t="s">
        <v>9901</v>
      </c>
      <c r="Z3444" t="s">
        <v>9898</v>
      </c>
      <c r="AD3444">
        <f t="shared" si="107"/>
        <v>3</v>
      </c>
    </row>
    <row r="3445" spans="1:30" x14ac:dyDescent="0.25">
      <c r="A3445" t="s">
        <v>3469</v>
      </c>
      <c r="B3445" s="2">
        <v>44707</v>
      </c>
      <c r="C3445" s="2">
        <v>44713</v>
      </c>
      <c r="D3445" t="s">
        <v>5262</v>
      </c>
      <c r="E3445" t="s">
        <v>5762</v>
      </c>
      <c r="F3445" t="s">
        <v>6027</v>
      </c>
      <c r="G3445" t="s">
        <v>6029</v>
      </c>
      <c r="H3445" t="s">
        <v>6044</v>
      </c>
      <c r="I3445" t="s">
        <v>6049</v>
      </c>
      <c r="J3445" t="s">
        <v>6055</v>
      </c>
      <c r="K3445" t="s">
        <v>6064</v>
      </c>
      <c r="L3445" t="s">
        <v>8910</v>
      </c>
      <c r="M3445">
        <v>122.66</v>
      </c>
      <c r="N3445">
        <v>5</v>
      </c>
      <c r="O3445">
        <v>0.34</v>
      </c>
      <c r="P3445">
        <v>-26.99</v>
      </c>
      <c r="Q3445" t="s">
        <v>9897</v>
      </c>
      <c r="R3445">
        <v>6</v>
      </c>
      <c r="S3445" s="5">
        <f t="shared" si="106"/>
        <v>-0.22003913256155225</v>
      </c>
      <c r="T3445">
        <v>24.532</v>
      </c>
      <c r="U3445">
        <v>5</v>
      </c>
      <c r="V3445">
        <v>2022</v>
      </c>
      <c r="W3445">
        <v>2</v>
      </c>
      <c r="X3445" t="s">
        <v>9898</v>
      </c>
      <c r="Y3445" t="s">
        <v>9902</v>
      </c>
      <c r="Z3445" t="s">
        <v>9899</v>
      </c>
      <c r="AD3445">
        <f t="shared" si="107"/>
        <v>6</v>
      </c>
    </row>
    <row r="3446" spans="1:30" x14ac:dyDescent="0.25">
      <c r="A3446" t="s">
        <v>3470</v>
      </c>
      <c r="B3446" s="2">
        <v>45367</v>
      </c>
      <c r="C3446" s="2">
        <v>45373</v>
      </c>
      <c r="D3446" t="s">
        <v>5510</v>
      </c>
      <c r="E3446" t="s">
        <v>6010</v>
      </c>
      <c r="F3446" t="s">
        <v>6026</v>
      </c>
      <c r="G3446" t="s">
        <v>6029</v>
      </c>
      <c r="H3446" t="s">
        <v>6041</v>
      </c>
      <c r="I3446" t="s">
        <v>6050</v>
      </c>
      <c r="J3446" t="s">
        <v>6055</v>
      </c>
      <c r="K3446" t="s">
        <v>6063</v>
      </c>
      <c r="L3446" t="s">
        <v>8911</v>
      </c>
      <c r="M3446">
        <v>1827.56</v>
      </c>
      <c r="N3446">
        <v>2</v>
      </c>
      <c r="O3446">
        <v>0.05</v>
      </c>
      <c r="P3446">
        <v>342.48</v>
      </c>
      <c r="Q3446" t="s">
        <v>9894</v>
      </c>
      <c r="R3446">
        <v>6</v>
      </c>
      <c r="S3446" s="5">
        <f t="shared" si="106"/>
        <v>0.18739740418919215</v>
      </c>
      <c r="T3446">
        <v>913.78</v>
      </c>
      <c r="U3446">
        <v>3</v>
      </c>
      <c r="V3446">
        <v>2024</v>
      </c>
      <c r="W3446">
        <v>1</v>
      </c>
      <c r="X3446" t="s">
        <v>9899</v>
      </c>
      <c r="Y3446" t="s">
        <v>9901</v>
      </c>
      <c r="Z3446" t="s">
        <v>9898</v>
      </c>
      <c r="AD3446">
        <f t="shared" si="107"/>
        <v>6</v>
      </c>
    </row>
    <row r="3447" spans="1:30" x14ac:dyDescent="0.25">
      <c r="A3447" t="s">
        <v>3471</v>
      </c>
      <c r="B3447" s="2">
        <v>45398</v>
      </c>
      <c r="C3447" s="2">
        <v>45405</v>
      </c>
      <c r="D3447" t="s">
        <v>5504</v>
      </c>
      <c r="E3447" t="s">
        <v>6004</v>
      </c>
      <c r="F3447" t="s">
        <v>6027</v>
      </c>
      <c r="G3447" t="s">
        <v>6029</v>
      </c>
      <c r="H3447" t="s">
        <v>6045</v>
      </c>
      <c r="I3447" t="s">
        <v>6050</v>
      </c>
      <c r="J3447" t="s">
        <v>6055</v>
      </c>
      <c r="K3447" t="s">
        <v>6063</v>
      </c>
      <c r="L3447" t="s">
        <v>8912</v>
      </c>
      <c r="M3447">
        <v>585.53</v>
      </c>
      <c r="N3447">
        <v>8</v>
      </c>
      <c r="O3447">
        <v>0.24</v>
      </c>
      <c r="P3447">
        <v>26.45</v>
      </c>
      <c r="Q3447" t="s">
        <v>9893</v>
      </c>
      <c r="R3447">
        <v>7</v>
      </c>
      <c r="S3447" s="5">
        <f t="shared" si="106"/>
        <v>4.5172749474834767E-2</v>
      </c>
      <c r="T3447">
        <v>73.191249999999997</v>
      </c>
      <c r="U3447">
        <v>4</v>
      </c>
      <c r="V3447">
        <v>2024</v>
      </c>
      <c r="W3447">
        <v>2</v>
      </c>
      <c r="X3447" t="s">
        <v>9899</v>
      </c>
      <c r="Y3447" t="s">
        <v>9900</v>
      </c>
      <c r="Z3447" t="s">
        <v>9899</v>
      </c>
      <c r="AD3447">
        <f t="shared" si="107"/>
        <v>7</v>
      </c>
    </row>
    <row r="3448" spans="1:30" x14ac:dyDescent="0.25">
      <c r="A3448" t="s">
        <v>3472</v>
      </c>
      <c r="B3448" s="2">
        <v>45069</v>
      </c>
      <c r="C3448" s="2">
        <v>45076</v>
      </c>
      <c r="D3448" t="s">
        <v>5233</v>
      </c>
      <c r="E3448" t="s">
        <v>5733</v>
      </c>
      <c r="F3448" t="s">
        <v>6027</v>
      </c>
      <c r="G3448" t="s">
        <v>6030</v>
      </c>
      <c r="H3448" t="s">
        <v>6039</v>
      </c>
      <c r="I3448" t="s">
        <v>6047</v>
      </c>
      <c r="J3448" t="s">
        <v>6054</v>
      </c>
      <c r="K3448" t="s">
        <v>6059</v>
      </c>
      <c r="L3448" t="s">
        <v>6695</v>
      </c>
      <c r="M3448">
        <v>942</v>
      </c>
      <c r="N3448">
        <v>1</v>
      </c>
      <c r="O3448">
        <v>0.3</v>
      </c>
      <c r="P3448">
        <v>-4.57</v>
      </c>
      <c r="Q3448" t="s">
        <v>9893</v>
      </c>
      <c r="R3448">
        <v>7</v>
      </c>
      <c r="S3448" s="5">
        <f t="shared" si="106"/>
        <v>-4.8513800424628455E-3</v>
      </c>
      <c r="T3448">
        <v>942</v>
      </c>
      <c r="U3448">
        <v>5</v>
      </c>
      <c r="V3448">
        <v>2023</v>
      </c>
      <c r="W3448">
        <v>2</v>
      </c>
      <c r="X3448" t="s">
        <v>9898</v>
      </c>
      <c r="Y3448" t="s">
        <v>9900</v>
      </c>
      <c r="Z3448" t="s">
        <v>9899</v>
      </c>
      <c r="AD3448">
        <f t="shared" si="107"/>
        <v>7</v>
      </c>
    </row>
    <row r="3449" spans="1:30" x14ac:dyDescent="0.25">
      <c r="A3449" t="s">
        <v>3473</v>
      </c>
      <c r="B3449" s="2">
        <v>45013</v>
      </c>
      <c r="C3449" s="2">
        <v>45014</v>
      </c>
      <c r="D3449" t="s">
        <v>5481</v>
      </c>
      <c r="E3449" t="s">
        <v>5981</v>
      </c>
      <c r="F3449" t="s">
        <v>6028</v>
      </c>
      <c r="G3449" t="s">
        <v>6031</v>
      </c>
      <c r="H3449" t="s">
        <v>6037</v>
      </c>
      <c r="I3449" t="s">
        <v>6052</v>
      </c>
      <c r="J3449" t="s">
        <v>6055</v>
      </c>
      <c r="K3449" t="s">
        <v>6061</v>
      </c>
      <c r="L3449" t="s">
        <v>8913</v>
      </c>
      <c r="M3449">
        <v>1520.8</v>
      </c>
      <c r="N3449">
        <v>7</v>
      </c>
      <c r="O3449">
        <v>0.21</v>
      </c>
      <c r="P3449">
        <v>-162.5</v>
      </c>
      <c r="Q3449" t="s">
        <v>9896</v>
      </c>
      <c r="R3449">
        <v>1</v>
      </c>
      <c r="S3449" s="5">
        <f t="shared" si="106"/>
        <v>-0.10685165702261967</v>
      </c>
      <c r="T3449">
        <v>217.25714285714281</v>
      </c>
      <c r="U3449">
        <v>3</v>
      </c>
      <c r="V3449">
        <v>2023</v>
      </c>
      <c r="W3449">
        <v>1</v>
      </c>
      <c r="X3449" t="s">
        <v>9898</v>
      </c>
      <c r="Y3449" t="s">
        <v>9900</v>
      </c>
      <c r="Z3449" t="s">
        <v>9898</v>
      </c>
      <c r="AD3449">
        <f t="shared" si="107"/>
        <v>1</v>
      </c>
    </row>
    <row r="3450" spans="1:30" x14ac:dyDescent="0.25">
      <c r="A3450" t="s">
        <v>3474</v>
      </c>
      <c r="B3450" s="2">
        <v>44995</v>
      </c>
      <c r="C3450" s="2">
        <v>44998</v>
      </c>
      <c r="D3450" t="s">
        <v>5461</v>
      </c>
      <c r="E3450" t="s">
        <v>5961</v>
      </c>
      <c r="F3450" t="s">
        <v>6026</v>
      </c>
      <c r="G3450" t="s">
        <v>6030</v>
      </c>
      <c r="H3450" t="s">
        <v>6035</v>
      </c>
      <c r="I3450" t="s">
        <v>6051</v>
      </c>
      <c r="J3450" t="s">
        <v>6053</v>
      </c>
      <c r="K3450" t="s">
        <v>6058</v>
      </c>
      <c r="L3450" t="s">
        <v>8914</v>
      </c>
      <c r="M3450">
        <v>1489.23</v>
      </c>
      <c r="N3450">
        <v>6</v>
      </c>
      <c r="O3450">
        <v>0.21</v>
      </c>
      <c r="P3450">
        <v>85.44</v>
      </c>
      <c r="Q3450" t="s">
        <v>9896</v>
      </c>
      <c r="R3450">
        <v>3</v>
      </c>
      <c r="S3450" s="5">
        <f t="shared" si="106"/>
        <v>5.7371930460707883E-2</v>
      </c>
      <c r="T3450">
        <v>248.20500000000001</v>
      </c>
      <c r="U3450">
        <v>3</v>
      </c>
      <c r="V3450">
        <v>2023</v>
      </c>
      <c r="W3450">
        <v>1</v>
      </c>
      <c r="X3450" t="s">
        <v>9899</v>
      </c>
      <c r="Y3450" t="s">
        <v>9900</v>
      </c>
      <c r="Z3450" t="s">
        <v>9898</v>
      </c>
      <c r="AD3450">
        <f t="shared" si="107"/>
        <v>3</v>
      </c>
    </row>
    <row r="3451" spans="1:30" x14ac:dyDescent="0.25">
      <c r="A3451" t="s">
        <v>3475</v>
      </c>
      <c r="B3451" s="2">
        <v>45371</v>
      </c>
      <c r="C3451" s="2">
        <v>45375</v>
      </c>
      <c r="D3451" t="s">
        <v>5309</v>
      </c>
      <c r="E3451" t="s">
        <v>5809</v>
      </c>
      <c r="F3451" t="s">
        <v>6027</v>
      </c>
      <c r="G3451" t="s">
        <v>6030</v>
      </c>
      <c r="H3451" t="s">
        <v>6039</v>
      </c>
      <c r="I3451" t="s">
        <v>6051</v>
      </c>
      <c r="J3451" t="s">
        <v>6055</v>
      </c>
      <c r="K3451" t="s">
        <v>6061</v>
      </c>
      <c r="L3451" t="s">
        <v>8915</v>
      </c>
      <c r="M3451">
        <v>716.24</v>
      </c>
      <c r="N3451">
        <v>4</v>
      </c>
      <c r="O3451">
        <v>0.09</v>
      </c>
      <c r="P3451">
        <v>119.98</v>
      </c>
      <c r="Q3451" t="s">
        <v>9896</v>
      </c>
      <c r="R3451">
        <v>4</v>
      </c>
      <c r="S3451" s="5">
        <f t="shared" si="106"/>
        <v>0.16751368256450352</v>
      </c>
      <c r="T3451">
        <v>179.06</v>
      </c>
      <c r="U3451">
        <v>3</v>
      </c>
      <c r="V3451">
        <v>2024</v>
      </c>
      <c r="W3451">
        <v>1</v>
      </c>
      <c r="X3451" t="s">
        <v>9899</v>
      </c>
      <c r="Y3451" t="s">
        <v>9901</v>
      </c>
      <c r="Z3451" t="s">
        <v>9899</v>
      </c>
      <c r="AD3451">
        <f t="shared" si="107"/>
        <v>4</v>
      </c>
    </row>
    <row r="3452" spans="1:30" x14ac:dyDescent="0.25">
      <c r="A3452" t="s">
        <v>3476</v>
      </c>
      <c r="B3452" s="2">
        <v>45314</v>
      </c>
      <c r="C3452" s="2">
        <v>45319</v>
      </c>
      <c r="D3452" t="s">
        <v>5188</v>
      </c>
      <c r="E3452" t="s">
        <v>5688</v>
      </c>
      <c r="F3452" t="s">
        <v>6027</v>
      </c>
      <c r="G3452" t="s">
        <v>6029</v>
      </c>
      <c r="H3452" t="s">
        <v>6036</v>
      </c>
      <c r="I3452" t="s">
        <v>6046</v>
      </c>
      <c r="J3452" t="s">
        <v>6055</v>
      </c>
      <c r="K3452" t="s">
        <v>6061</v>
      </c>
      <c r="L3452" t="s">
        <v>7293</v>
      </c>
      <c r="M3452">
        <v>1977.72</v>
      </c>
      <c r="N3452">
        <v>8</v>
      </c>
      <c r="O3452">
        <v>0.3</v>
      </c>
      <c r="P3452">
        <v>-278.20999999999998</v>
      </c>
      <c r="Q3452" t="s">
        <v>9896</v>
      </c>
      <c r="R3452">
        <v>5</v>
      </c>
      <c r="S3452" s="5">
        <f t="shared" si="106"/>
        <v>-0.14067208704973402</v>
      </c>
      <c r="T3452">
        <v>247.215</v>
      </c>
      <c r="U3452">
        <v>1</v>
      </c>
      <c r="V3452">
        <v>2024</v>
      </c>
      <c r="W3452">
        <v>1</v>
      </c>
      <c r="X3452" t="s">
        <v>9898</v>
      </c>
      <c r="Y3452" t="s">
        <v>9900</v>
      </c>
      <c r="Z3452" t="s">
        <v>9898</v>
      </c>
      <c r="AD3452">
        <f t="shared" si="107"/>
        <v>5</v>
      </c>
    </row>
    <row r="3453" spans="1:30" x14ac:dyDescent="0.25">
      <c r="A3453" t="s">
        <v>3477</v>
      </c>
      <c r="B3453" s="2">
        <v>45411</v>
      </c>
      <c r="C3453" s="2">
        <v>45418</v>
      </c>
      <c r="D3453" t="s">
        <v>5473</v>
      </c>
      <c r="E3453" t="s">
        <v>5973</v>
      </c>
      <c r="F3453" t="s">
        <v>6026</v>
      </c>
      <c r="G3453" t="s">
        <v>6031</v>
      </c>
      <c r="H3453" t="s">
        <v>6034</v>
      </c>
      <c r="I3453" t="s">
        <v>6048</v>
      </c>
      <c r="J3453" t="s">
        <v>6054</v>
      </c>
      <c r="K3453" t="s">
        <v>6060</v>
      </c>
      <c r="L3453" t="s">
        <v>8916</v>
      </c>
      <c r="M3453">
        <v>618.71</v>
      </c>
      <c r="N3453">
        <v>6</v>
      </c>
      <c r="O3453">
        <v>0.18</v>
      </c>
      <c r="P3453">
        <v>42.53</v>
      </c>
      <c r="Q3453" t="s">
        <v>9897</v>
      </c>
      <c r="R3453">
        <v>7</v>
      </c>
      <c r="S3453" s="5">
        <f t="shared" si="106"/>
        <v>6.8739797320230805E-2</v>
      </c>
      <c r="T3453">
        <v>103.1183333333333</v>
      </c>
      <c r="U3453">
        <v>4</v>
      </c>
      <c r="V3453">
        <v>2024</v>
      </c>
      <c r="W3453">
        <v>2</v>
      </c>
      <c r="X3453" t="s">
        <v>9899</v>
      </c>
      <c r="Y3453" t="s">
        <v>9900</v>
      </c>
      <c r="Z3453" t="s">
        <v>9899</v>
      </c>
      <c r="AD3453">
        <f t="shared" si="107"/>
        <v>7</v>
      </c>
    </row>
    <row r="3454" spans="1:30" x14ac:dyDescent="0.25">
      <c r="A3454" t="s">
        <v>3478</v>
      </c>
      <c r="B3454" s="2">
        <v>45450</v>
      </c>
      <c r="C3454" s="2">
        <v>45455</v>
      </c>
      <c r="D3454" t="s">
        <v>5403</v>
      </c>
      <c r="E3454" t="s">
        <v>5903</v>
      </c>
      <c r="F3454" t="s">
        <v>6028</v>
      </c>
      <c r="G3454" t="s">
        <v>6030</v>
      </c>
      <c r="H3454" t="s">
        <v>6033</v>
      </c>
      <c r="I3454" t="s">
        <v>6051</v>
      </c>
      <c r="J3454" t="s">
        <v>6055</v>
      </c>
      <c r="K3454" t="s">
        <v>6061</v>
      </c>
      <c r="L3454" t="s">
        <v>8524</v>
      </c>
      <c r="M3454">
        <v>420.24</v>
      </c>
      <c r="N3454">
        <v>3</v>
      </c>
      <c r="O3454">
        <v>0.01</v>
      </c>
      <c r="P3454">
        <v>74.400000000000006</v>
      </c>
      <c r="Q3454" t="s">
        <v>9896</v>
      </c>
      <c r="R3454">
        <v>5</v>
      </c>
      <c r="S3454" s="5">
        <f t="shared" si="106"/>
        <v>0.17704169046259283</v>
      </c>
      <c r="T3454">
        <v>140.08000000000001</v>
      </c>
      <c r="U3454">
        <v>6</v>
      </c>
      <c r="V3454">
        <v>2024</v>
      </c>
      <c r="W3454">
        <v>2</v>
      </c>
      <c r="X3454" t="s">
        <v>9899</v>
      </c>
      <c r="Y3454" t="s">
        <v>9901</v>
      </c>
      <c r="Z3454" t="s">
        <v>9899</v>
      </c>
      <c r="AD3454">
        <f t="shared" si="107"/>
        <v>5</v>
      </c>
    </row>
    <row r="3455" spans="1:30" x14ac:dyDescent="0.25">
      <c r="A3455" t="s">
        <v>3479</v>
      </c>
      <c r="B3455" s="2">
        <v>44563</v>
      </c>
      <c r="C3455" s="2">
        <v>44564</v>
      </c>
      <c r="D3455" t="s">
        <v>5276</v>
      </c>
      <c r="E3455" t="s">
        <v>5776</v>
      </c>
      <c r="F3455" t="s">
        <v>6026</v>
      </c>
      <c r="G3455" t="s">
        <v>6031</v>
      </c>
      <c r="H3455" t="s">
        <v>6037</v>
      </c>
      <c r="I3455" t="s">
        <v>6050</v>
      </c>
      <c r="J3455" t="s">
        <v>6053</v>
      </c>
      <c r="K3455" t="s">
        <v>6056</v>
      </c>
      <c r="L3455" t="s">
        <v>8917</v>
      </c>
      <c r="M3455">
        <v>388.52</v>
      </c>
      <c r="N3455">
        <v>5</v>
      </c>
      <c r="O3455">
        <v>0.25</v>
      </c>
      <c r="P3455">
        <v>-49.17</v>
      </c>
      <c r="Q3455" t="s">
        <v>9894</v>
      </c>
      <c r="R3455">
        <v>1</v>
      </c>
      <c r="S3455" s="5">
        <f t="shared" si="106"/>
        <v>-0.1265571913929785</v>
      </c>
      <c r="T3455">
        <v>77.703999999999994</v>
      </c>
      <c r="U3455">
        <v>1</v>
      </c>
      <c r="V3455">
        <v>2022</v>
      </c>
      <c r="W3455">
        <v>1</v>
      </c>
      <c r="X3455" t="s">
        <v>9898</v>
      </c>
      <c r="Y3455" t="s">
        <v>9900</v>
      </c>
      <c r="Z3455" t="s">
        <v>9899</v>
      </c>
      <c r="AD3455">
        <f t="shared" si="107"/>
        <v>1</v>
      </c>
    </row>
    <row r="3456" spans="1:30" x14ac:dyDescent="0.25">
      <c r="A3456" t="s">
        <v>3480</v>
      </c>
      <c r="B3456" s="2">
        <v>45359</v>
      </c>
      <c r="C3456" s="2">
        <v>45362</v>
      </c>
      <c r="D3456" t="s">
        <v>5293</v>
      </c>
      <c r="E3456" t="s">
        <v>5793</v>
      </c>
      <c r="F3456" t="s">
        <v>6028</v>
      </c>
      <c r="G3456" t="s">
        <v>6030</v>
      </c>
      <c r="H3456" t="s">
        <v>6038</v>
      </c>
      <c r="I3456" t="s">
        <v>6047</v>
      </c>
      <c r="J3456" t="s">
        <v>6055</v>
      </c>
      <c r="K3456" t="s">
        <v>6063</v>
      </c>
      <c r="L3456" t="s">
        <v>7702</v>
      </c>
      <c r="M3456">
        <v>658.03</v>
      </c>
      <c r="N3456">
        <v>5</v>
      </c>
      <c r="O3456">
        <v>0.25</v>
      </c>
      <c r="P3456">
        <v>-56.66</v>
      </c>
      <c r="Q3456" t="s">
        <v>9896</v>
      </c>
      <c r="R3456">
        <v>3</v>
      </c>
      <c r="S3456" s="5">
        <f t="shared" si="106"/>
        <v>-8.6105496709876453E-2</v>
      </c>
      <c r="T3456">
        <v>131.60599999999999</v>
      </c>
      <c r="U3456">
        <v>3</v>
      </c>
      <c r="V3456">
        <v>2024</v>
      </c>
      <c r="W3456">
        <v>1</v>
      </c>
      <c r="X3456" t="s">
        <v>9898</v>
      </c>
      <c r="Y3456" t="s">
        <v>9900</v>
      </c>
      <c r="Z3456" t="s">
        <v>9899</v>
      </c>
      <c r="AD3456">
        <f t="shared" si="107"/>
        <v>3</v>
      </c>
    </row>
    <row r="3457" spans="1:30" x14ac:dyDescent="0.25">
      <c r="A3457" t="s">
        <v>3481</v>
      </c>
      <c r="B3457" s="2">
        <v>44793</v>
      </c>
      <c r="C3457" s="2">
        <v>44800</v>
      </c>
      <c r="D3457" t="s">
        <v>5380</v>
      </c>
      <c r="E3457" t="s">
        <v>5880</v>
      </c>
      <c r="F3457" t="s">
        <v>6028</v>
      </c>
      <c r="G3457" t="s">
        <v>6029</v>
      </c>
      <c r="H3457" t="s">
        <v>6032</v>
      </c>
      <c r="I3457" t="s">
        <v>6050</v>
      </c>
      <c r="J3457" t="s">
        <v>6053</v>
      </c>
      <c r="K3457" t="s">
        <v>6057</v>
      </c>
      <c r="L3457" t="s">
        <v>8918</v>
      </c>
      <c r="M3457">
        <v>1499.78</v>
      </c>
      <c r="N3457">
        <v>2</v>
      </c>
      <c r="O3457">
        <v>0.3</v>
      </c>
      <c r="P3457">
        <v>-80.39</v>
      </c>
      <c r="Q3457" t="s">
        <v>9893</v>
      </c>
      <c r="R3457">
        <v>7</v>
      </c>
      <c r="S3457" s="5">
        <f t="shared" si="106"/>
        <v>-5.3601194841910151E-2</v>
      </c>
      <c r="T3457">
        <v>749.89</v>
      </c>
      <c r="U3457">
        <v>8</v>
      </c>
      <c r="V3457">
        <v>2022</v>
      </c>
      <c r="W3457">
        <v>3</v>
      </c>
      <c r="X3457" t="s">
        <v>9898</v>
      </c>
      <c r="Y3457" t="s">
        <v>9900</v>
      </c>
      <c r="Z3457" t="s">
        <v>9898</v>
      </c>
      <c r="AD3457">
        <f t="shared" si="107"/>
        <v>7</v>
      </c>
    </row>
    <row r="3458" spans="1:30" x14ac:dyDescent="0.25">
      <c r="A3458" t="s">
        <v>3482</v>
      </c>
      <c r="B3458" s="2">
        <v>44583</v>
      </c>
      <c r="C3458" s="2">
        <v>44587</v>
      </c>
      <c r="D3458" t="s">
        <v>5410</v>
      </c>
      <c r="E3458" t="s">
        <v>5910</v>
      </c>
      <c r="F3458" t="s">
        <v>6026</v>
      </c>
      <c r="G3458" t="s">
        <v>6031</v>
      </c>
      <c r="H3458" t="s">
        <v>6040</v>
      </c>
      <c r="I3458" t="s">
        <v>6048</v>
      </c>
      <c r="J3458" t="s">
        <v>6053</v>
      </c>
      <c r="K3458" t="s">
        <v>6058</v>
      </c>
      <c r="L3458" t="s">
        <v>8919</v>
      </c>
      <c r="M3458">
        <v>1237.5999999999999</v>
      </c>
      <c r="N3458">
        <v>7</v>
      </c>
      <c r="O3458">
        <v>0.11</v>
      </c>
      <c r="P3458">
        <v>187.05</v>
      </c>
      <c r="Q3458" t="s">
        <v>9896</v>
      </c>
      <c r="R3458">
        <v>4</v>
      </c>
      <c r="S3458" s="5">
        <f t="shared" si="106"/>
        <v>0.15113930187459601</v>
      </c>
      <c r="T3458">
        <v>176.8</v>
      </c>
      <c r="U3458">
        <v>1</v>
      </c>
      <c r="V3458">
        <v>2022</v>
      </c>
      <c r="W3458">
        <v>1</v>
      </c>
      <c r="X3458" t="s">
        <v>9899</v>
      </c>
      <c r="Y3458" t="s">
        <v>9901</v>
      </c>
      <c r="Z3458" t="s">
        <v>9898</v>
      </c>
      <c r="AD3458">
        <f t="shared" si="107"/>
        <v>4</v>
      </c>
    </row>
    <row r="3459" spans="1:30" x14ac:dyDescent="0.25">
      <c r="A3459" t="s">
        <v>3483</v>
      </c>
      <c r="B3459" s="2">
        <v>45317</v>
      </c>
      <c r="C3459" s="2">
        <v>45320</v>
      </c>
      <c r="D3459" t="s">
        <v>5299</v>
      </c>
      <c r="E3459" t="s">
        <v>5799</v>
      </c>
      <c r="F3459" t="s">
        <v>6027</v>
      </c>
      <c r="G3459" t="s">
        <v>6029</v>
      </c>
      <c r="H3459" t="s">
        <v>6036</v>
      </c>
      <c r="I3459" t="s">
        <v>6050</v>
      </c>
      <c r="J3459" t="s">
        <v>6055</v>
      </c>
      <c r="K3459" t="s">
        <v>6064</v>
      </c>
      <c r="L3459" t="s">
        <v>8920</v>
      </c>
      <c r="M3459">
        <v>1652.79</v>
      </c>
      <c r="N3459">
        <v>3</v>
      </c>
      <c r="O3459">
        <v>7.0000000000000007E-2</v>
      </c>
      <c r="P3459">
        <v>362.8</v>
      </c>
      <c r="Q3459" t="s">
        <v>9894</v>
      </c>
      <c r="R3459">
        <v>3</v>
      </c>
      <c r="S3459" s="5">
        <f t="shared" ref="S3459:S3522" si="108">P3459/M3459</f>
        <v>0.2195076204478488</v>
      </c>
      <c r="T3459">
        <v>550.92999999999995</v>
      </c>
      <c r="U3459">
        <v>1</v>
      </c>
      <c r="V3459">
        <v>2024</v>
      </c>
      <c r="W3459">
        <v>1</v>
      </c>
      <c r="X3459" t="s">
        <v>9899</v>
      </c>
      <c r="Y3459" t="s">
        <v>9901</v>
      </c>
      <c r="Z3459" t="s">
        <v>9898</v>
      </c>
      <c r="AD3459">
        <f t="shared" ref="AD3459:AD3522" si="109">C3459-B3459</f>
        <v>3</v>
      </c>
    </row>
    <row r="3460" spans="1:30" x14ac:dyDescent="0.25">
      <c r="A3460" t="s">
        <v>3484</v>
      </c>
      <c r="B3460" s="2">
        <v>44572</v>
      </c>
      <c r="C3460" s="2">
        <v>44575</v>
      </c>
      <c r="D3460" t="s">
        <v>5077</v>
      </c>
      <c r="E3460" t="s">
        <v>5577</v>
      </c>
      <c r="F3460" t="s">
        <v>6027</v>
      </c>
      <c r="G3460" t="s">
        <v>6030</v>
      </c>
      <c r="H3460" t="s">
        <v>6035</v>
      </c>
      <c r="I3460" t="s">
        <v>6047</v>
      </c>
      <c r="J3460" t="s">
        <v>6054</v>
      </c>
      <c r="K3460" t="s">
        <v>6059</v>
      </c>
      <c r="L3460" t="s">
        <v>6145</v>
      </c>
      <c r="M3460">
        <v>984.87</v>
      </c>
      <c r="N3460">
        <v>5</v>
      </c>
      <c r="O3460">
        <v>0.2</v>
      </c>
      <c r="P3460">
        <v>-75.319999999999993</v>
      </c>
      <c r="Q3460" t="s">
        <v>9894</v>
      </c>
      <c r="R3460">
        <v>3</v>
      </c>
      <c r="S3460" s="5">
        <f t="shared" si="108"/>
        <v>-7.6477098500309676E-2</v>
      </c>
      <c r="T3460">
        <v>196.97399999999999</v>
      </c>
      <c r="U3460">
        <v>1</v>
      </c>
      <c r="V3460">
        <v>2022</v>
      </c>
      <c r="W3460">
        <v>1</v>
      </c>
      <c r="X3460" t="s">
        <v>9898</v>
      </c>
      <c r="Y3460" t="s">
        <v>9900</v>
      </c>
      <c r="Z3460" t="s">
        <v>9899</v>
      </c>
      <c r="AD3460">
        <f t="shared" si="109"/>
        <v>3</v>
      </c>
    </row>
    <row r="3461" spans="1:30" x14ac:dyDescent="0.25">
      <c r="A3461" t="s">
        <v>3485</v>
      </c>
      <c r="B3461" s="2">
        <v>45282</v>
      </c>
      <c r="C3461" s="2">
        <v>45286</v>
      </c>
      <c r="D3461" t="s">
        <v>5204</v>
      </c>
      <c r="E3461" t="s">
        <v>5704</v>
      </c>
      <c r="F3461" t="s">
        <v>6026</v>
      </c>
      <c r="G3461" t="s">
        <v>6029</v>
      </c>
      <c r="H3461" t="s">
        <v>6044</v>
      </c>
      <c r="I3461" t="s">
        <v>6049</v>
      </c>
      <c r="J3461" t="s">
        <v>6054</v>
      </c>
      <c r="K3461" t="s">
        <v>6060</v>
      </c>
      <c r="L3461" t="s">
        <v>8921</v>
      </c>
      <c r="M3461">
        <v>864.28</v>
      </c>
      <c r="N3461">
        <v>5</v>
      </c>
      <c r="O3461">
        <v>0.14000000000000001</v>
      </c>
      <c r="P3461">
        <v>-18.38</v>
      </c>
      <c r="Q3461" t="s">
        <v>9896</v>
      </c>
      <c r="R3461">
        <v>4</v>
      </c>
      <c r="S3461" s="5">
        <f t="shared" si="108"/>
        <v>-2.1266256305826816E-2</v>
      </c>
      <c r="T3461">
        <v>172.85599999999999</v>
      </c>
      <c r="U3461">
        <v>12</v>
      </c>
      <c r="V3461">
        <v>2023</v>
      </c>
      <c r="W3461">
        <v>4</v>
      </c>
      <c r="X3461" t="s">
        <v>9898</v>
      </c>
      <c r="Y3461" t="s">
        <v>9901</v>
      </c>
      <c r="Z3461" t="s">
        <v>9899</v>
      </c>
      <c r="AD3461">
        <f t="shared" si="109"/>
        <v>4</v>
      </c>
    </row>
    <row r="3462" spans="1:30" x14ac:dyDescent="0.25">
      <c r="A3462" t="s">
        <v>3486</v>
      </c>
      <c r="B3462" s="2">
        <v>44974</v>
      </c>
      <c r="C3462" s="2">
        <v>44977</v>
      </c>
      <c r="D3462" t="s">
        <v>5142</v>
      </c>
      <c r="E3462" t="s">
        <v>5642</v>
      </c>
      <c r="F3462" t="s">
        <v>6027</v>
      </c>
      <c r="G3462" t="s">
        <v>6030</v>
      </c>
      <c r="H3462" t="s">
        <v>6033</v>
      </c>
      <c r="I3462" t="s">
        <v>6047</v>
      </c>
      <c r="J3462" t="s">
        <v>6054</v>
      </c>
      <c r="K3462" t="s">
        <v>6060</v>
      </c>
      <c r="L3462" t="s">
        <v>8922</v>
      </c>
      <c r="M3462">
        <v>480.85</v>
      </c>
      <c r="N3462">
        <v>2</v>
      </c>
      <c r="O3462">
        <v>0.13</v>
      </c>
      <c r="P3462">
        <v>26.82</v>
      </c>
      <c r="Q3462" t="s">
        <v>9896</v>
      </c>
      <c r="R3462">
        <v>3</v>
      </c>
      <c r="S3462" s="5">
        <f t="shared" si="108"/>
        <v>5.5776229593428303E-2</v>
      </c>
      <c r="T3462">
        <v>240.42500000000001</v>
      </c>
      <c r="U3462">
        <v>2</v>
      </c>
      <c r="V3462">
        <v>2023</v>
      </c>
      <c r="W3462">
        <v>1</v>
      </c>
      <c r="X3462" t="s">
        <v>9899</v>
      </c>
      <c r="Y3462" t="s">
        <v>9901</v>
      </c>
      <c r="Z3462" t="s">
        <v>9899</v>
      </c>
      <c r="AD3462">
        <f t="shared" si="109"/>
        <v>3</v>
      </c>
    </row>
    <row r="3463" spans="1:30" x14ac:dyDescent="0.25">
      <c r="A3463" t="s">
        <v>3487</v>
      </c>
      <c r="B3463" s="2">
        <v>45224</v>
      </c>
      <c r="C3463" s="2">
        <v>45226</v>
      </c>
      <c r="D3463" t="s">
        <v>5043</v>
      </c>
      <c r="E3463" t="s">
        <v>5543</v>
      </c>
      <c r="F3463" t="s">
        <v>6027</v>
      </c>
      <c r="G3463" t="s">
        <v>6030</v>
      </c>
      <c r="H3463" t="s">
        <v>6039</v>
      </c>
      <c r="I3463" t="s">
        <v>6051</v>
      </c>
      <c r="J3463" t="s">
        <v>6055</v>
      </c>
      <c r="K3463" t="s">
        <v>6064</v>
      </c>
      <c r="L3463" t="s">
        <v>8923</v>
      </c>
      <c r="M3463">
        <v>1129.52</v>
      </c>
      <c r="N3463">
        <v>4</v>
      </c>
      <c r="O3463">
        <v>0.09</v>
      </c>
      <c r="P3463">
        <v>27.18</v>
      </c>
      <c r="Q3463" t="s">
        <v>9894</v>
      </c>
      <c r="R3463">
        <v>2</v>
      </c>
      <c r="S3463" s="5">
        <f t="shared" si="108"/>
        <v>2.4063318931935689E-2</v>
      </c>
      <c r="T3463">
        <v>282.38</v>
      </c>
      <c r="U3463">
        <v>10</v>
      </c>
      <c r="V3463">
        <v>2023</v>
      </c>
      <c r="W3463">
        <v>4</v>
      </c>
      <c r="X3463" t="s">
        <v>9899</v>
      </c>
      <c r="Y3463" t="s">
        <v>9901</v>
      </c>
      <c r="Z3463" t="s">
        <v>9898</v>
      </c>
      <c r="AD3463">
        <f t="shared" si="109"/>
        <v>2</v>
      </c>
    </row>
    <row r="3464" spans="1:30" x14ac:dyDescent="0.25">
      <c r="A3464" t="s">
        <v>3488</v>
      </c>
      <c r="B3464" s="2">
        <v>44802</v>
      </c>
      <c r="C3464" s="2">
        <v>44809</v>
      </c>
      <c r="D3464" t="s">
        <v>5267</v>
      </c>
      <c r="E3464" t="s">
        <v>5767</v>
      </c>
      <c r="F3464" t="s">
        <v>6027</v>
      </c>
      <c r="G3464" t="s">
        <v>6030</v>
      </c>
      <c r="H3464" t="s">
        <v>6033</v>
      </c>
      <c r="I3464" t="s">
        <v>6047</v>
      </c>
      <c r="J3464" t="s">
        <v>6054</v>
      </c>
      <c r="K3464" t="s">
        <v>6060</v>
      </c>
      <c r="L3464" t="s">
        <v>8924</v>
      </c>
      <c r="M3464">
        <v>1761.49</v>
      </c>
      <c r="N3464">
        <v>7</v>
      </c>
      <c r="O3464">
        <v>0.13</v>
      </c>
      <c r="P3464">
        <v>108.78</v>
      </c>
      <c r="Q3464" t="s">
        <v>9897</v>
      </c>
      <c r="R3464">
        <v>7</v>
      </c>
      <c r="S3464" s="5">
        <f t="shared" si="108"/>
        <v>6.1754537351900951E-2</v>
      </c>
      <c r="T3464">
        <v>251.64142857142861</v>
      </c>
      <c r="U3464">
        <v>8</v>
      </c>
      <c r="V3464">
        <v>2022</v>
      </c>
      <c r="W3464">
        <v>3</v>
      </c>
      <c r="X3464" t="s">
        <v>9899</v>
      </c>
      <c r="Y3464" t="s">
        <v>9901</v>
      </c>
      <c r="Z3464" t="s">
        <v>9898</v>
      </c>
      <c r="AD3464">
        <f t="shared" si="109"/>
        <v>7</v>
      </c>
    </row>
    <row r="3465" spans="1:30" x14ac:dyDescent="0.25">
      <c r="A3465" t="s">
        <v>3489</v>
      </c>
      <c r="B3465" s="2">
        <v>45029</v>
      </c>
      <c r="C3465" s="2">
        <v>45030</v>
      </c>
      <c r="D3465" t="s">
        <v>5435</v>
      </c>
      <c r="E3465" t="s">
        <v>5935</v>
      </c>
      <c r="F3465" t="s">
        <v>6026</v>
      </c>
      <c r="G3465" t="s">
        <v>6029</v>
      </c>
      <c r="H3465" t="s">
        <v>6036</v>
      </c>
      <c r="I3465" t="s">
        <v>6046</v>
      </c>
      <c r="J3465" t="s">
        <v>6055</v>
      </c>
      <c r="K3465" t="s">
        <v>6064</v>
      </c>
      <c r="L3465" t="s">
        <v>8550</v>
      </c>
      <c r="M3465">
        <v>678.12</v>
      </c>
      <c r="N3465">
        <v>6</v>
      </c>
      <c r="O3465">
        <v>0.3</v>
      </c>
      <c r="P3465">
        <v>-128.33000000000001</v>
      </c>
      <c r="Q3465" t="s">
        <v>9896</v>
      </c>
      <c r="R3465">
        <v>1</v>
      </c>
      <c r="S3465" s="5">
        <f t="shared" si="108"/>
        <v>-0.18924379165929336</v>
      </c>
      <c r="T3465">
        <v>113.02</v>
      </c>
      <c r="U3465">
        <v>4</v>
      </c>
      <c r="V3465">
        <v>2023</v>
      </c>
      <c r="W3465">
        <v>2</v>
      </c>
      <c r="X3465" t="s">
        <v>9898</v>
      </c>
      <c r="Y3465" t="s">
        <v>9900</v>
      </c>
      <c r="Z3465" t="s">
        <v>9899</v>
      </c>
      <c r="AD3465">
        <f t="shared" si="109"/>
        <v>1</v>
      </c>
    </row>
    <row r="3466" spans="1:30" x14ac:dyDescent="0.25">
      <c r="A3466" t="s">
        <v>3490</v>
      </c>
      <c r="B3466" s="2">
        <v>45277</v>
      </c>
      <c r="C3466" s="2">
        <v>45280</v>
      </c>
      <c r="D3466" t="s">
        <v>5522</v>
      </c>
      <c r="E3466" t="s">
        <v>6022</v>
      </c>
      <c r="F3466" t="s">
        <v>6026</v>
      </c>
      <c r="G3466" t="s">
        <v>6029</v>
      </c>
      <c r="H3466" t="s">
        <v>6044</v>
      </c>
      <c r="I3466" t="s">
        <v>6050</v>
      </c>
      <c r="J3466" t="s">
        <v>6055</v>
      </c>
      <c r="K3466" t="s">
        <v>6064</v>
      </c>
      <c r="L3466" t="s">
        <v>8925</v>
      </c>
      <c r="M3466">
        <v>1326.77</v>
      </c>
      <c r="N3466">
        <v>8</v>
      </c>
      <c r="O3466">
        <v>0.26</v>
      </c>
      <c r="P3466">
        <v>-62.03</v>
      </c>
      <c r="Q3466" t="s">
        <v>9896</v>
      </c>
      <c r="R3466">
        <v>3</v>
      </c>
      <c r="S3466" s="5">
        <f t="shared" si="108"/>
        <v>-4.6752639869758889E-2</v>
      </c>
      <c r="T3466">
        <v>165.84625</v>
      </c>
      <c r="U3466">
        <v>12</v>
      </c>
      <c r="V3466">
        <v>2023</v>
      </c>
      <c r="W3466">
        <v>4</v>
      </c>
      <c r="X3466" t="s">
        <v>9898</v>
      </c>
      <c r="Y3466" t="s">
        <v>9900</v>
      </c>
      <c r="Z3466" t="s">
        <v>9898</v>
      </c>
      <c r="AD3466">
        <f t="shared" si="109"/>
        <v>3</v>
      </c>
    </row>
    <row r="3467" spans="1:30" x14ac:dyDescent="0.25">
      <c r="A3467" t="s">
        <v>3491</v>
      </c>
      <c r="B3467" s="2">
        <v>45159</v>
      </c>
      <c r="C3467" s="2">
        <v>45161</v>
      </c>
      <c r="D3467" t="s">
        <v>5387</v>
      </c>
      <c r="E3467" t="s">
        <v>5887</v>
      </c>
      <c r="F3467" t="s">
        <v>6026</v>
      </c>
      <c r="G3467" t="s">
        <v>6030</v>
      </c>
      <c r="H3467" t="s">
        <v>6033</v>
      </c>
      <c r="I3467" t="s">
        <v>6051</v>
      </c>
      <c r="J3467" t="s">
        <v>6054</v>
      </c>
      <c r="K3467" t="s">
        <v>6062</v>
      </c>
      <c r="L3467" t="s">
        <v>8350</v>
      </c>
      <c r="M3467">
        <v>1019.5</v>
      </c>
      <c r="N3467">
        <v>7</v>
      </c>
      <c r="O3467">
        <v>0.04</v>
      </c>
      <c r="P3467">
        <v>219.32</v>
      </c>
      <c r="Q3467" t="s">
        <v>9897</v>
      </c>
      <c r="R3467">
        <v>2</v>
      </c>
      <c r="S3467" s="5">
        <f t="shared" si="108"/>
        <v>0.21512506130456105</v>
      </c>
      <c r="T3467">
        <v>145.64285714285711</v>
      </c>
      <c r="U3467">
        <v>8</v>
      </c>
      <c r="V3467">
        <v>2023</v>
      </c>
      <c r="W3467">
        <v>3</v>
      </c>
      <c r="X3467" t="s">
        <v>9899</v>
      </c>
      <c r="Y3467" t="s">
        <v>9901</v>
      </c>
      <c r="Z3467" t="s">
        <v>9898</v>
      </c>
      <c r="AD3467">
        <f t="shared" si="109"/>
        <v>2</v>
      </c>
    </row>
    <row r="3468" spans="1:30" x14ac:dyDescent="0.25">
      <c r="A3468" t="s">
        <v>3492</v>
      </c>
      <c r="B3468" s="2">
        <v>45260</v>
      </c>
      <c r="C3468" s="2">
        <v>45263</v>
      </c>
      <c r="D3468" t="s">
        <v>5183</v>
      </c>
      <c r="E3468" t="s">
        <v>5683</v>
      </c>
      <c r="F3468" t="s">
        <v>6026</v>
      </c>
      <c r="G3468" t="s">
        <v>6029</v>
      </c>
      <c r="H3468" t="s">
        <v>6041</v>
      </c>
      <c r="I3468" t="s">
        <v>6049</v>
      </c>
      <c r="J3468" t="s">
        <v>6053</v>
      </c>
      <c r="K3468" t="s">
        <v>6056</v>
      </c>
      <c r="L3468" t="s">
        <v>8926</v>
      </c>
      <c r="M3468">
        <v>1107.6600000000001</v>
      </c>
      <c r="N3468">
        <v>7</v>
      </c>
      <c r="O3468">
        <v>0.32</v>
      </c>
      <c r="P3468">
        <v>-60.34</v>
      </c>
      <c r="Q3468" t="s">
        <v>9896</v>
      </c>
      <c r="R3468">
        <v>3</v>
      </c>
      <c r="S3468" s="5">
        <f t="shared" si="108"/>
        <v>-5.4475199971110271E-2</v>
      </c>
      <c r="T3468">
        <v>158.23714285714291</v>
      </c>
      <c r="U3468">
        <v>11</v>
      </c>
      <c r="V3468">
        <v>2023</v>
      </c>
      <c r="W3468">
        <v>4</v>
      </c>
      <c r="X3468" t="s">
        <v>9898</v>
      </c>
      <c r="Y3468" t="s">
        <v>9902</v>
      </c>
      <c r="Z3468" t="s">
        <v>9898</v>
      </c>
      <c r="AD3468">
        <f t="shared" si="109"/>
        <v>3</v>
      </c>
    </row>
    <row r="3469" spans="1:30" x14ac:dyDescent="0.25">
      <c r="A3469" t="s">
        <v>3493</v>
      </c>
      <c r="B3469" s="2">
        <v>44733</v>
      </c>
      <c r="C3469" s="2">
        <v>44736</v>
      </c>
      <c r="D3469" t="s">
        <v>5473</v>
      </c>
      <c r="E3469" t="s">
        <v>5973</v>
      </c>
      <c r="F3469" t="s">
        <v>6027</v>
      </c>
      <c r="G3469" t="s">
        <v>6030</v>
      </c>
      <c r="H3469" t="s">
        <v>6039</v>
      </c>
      <c r="I3469" t="s">
        <v>6047</v>
      </c>
      <c r="J3469" t="s">
        <v>6054</v>
      </c>
      <c r="K3469" t="s">
        <v>6062</v>
      </c>
      <c r="L3469" t="s">
        <v>8927</v>
      </c>
      <c r="M3469">
        <v>952.51</v>
      </c>
      <c r="N3469">
        <v>5</v>
      </c>
      <c r="O3469">
        <v>0.05</v>
      </c>
      <c r="P3469">
        <v>100.74</v>
      </c>
      <c r="Q3469" t="s">
        <v>9893</v>
      </c>
      <c r="R3469">
        <v>3</v>
      </c>
      <c r="S3469" s="5">
        <f t="shared" si="108"/>
        <v>0.10576266915832905</v>
      </c>
      <c r="T3469">
        <v>190.50200000000001</v>
      </c>
      <c r="U3469">
        <v>6</v>
      </c>
      <c r="V3469">
        <v>2022</v>
      </c>
      <c r="W3469">
        <v>2</v>
      </c>
      <c r="X3469" t="s">
        <v>9899</v>
      </c>
      <c r="Y3469" t="s">
        <v>9901</v>
      </c>
      <c r="Z3469" t="s">
        <v>9899</v>
      </c>
      <c r="AD3469">
        <f t="shared" si="109"/>
        <v>3</v>
      </c>
    </row>
    <row r="3470" spans="1:30" x14ac:dyDescent="0.25">
      <c r="A3470" t="s">
        <v>3494</v>
      </c>
      <c r="B3470" s="2">
        <v>44783</v>
      </c>
      <c r="C3470" s="2">
        <v>44790</v>
      </c>
      <c r="D3470" t="s">
        <v>5108</v>
      </c>
      <c r="E3470" t="s">
        <v>5608</v>
      </c>
      <c r="F3470" t="s">
        <v>6028</v>
      </c>
      <c r="G3470" t="s">
        <v>6029</v>
      </c>
      <c r="H3470" t="s">
        <v>6036</v>
      </c>
      <c r="I3470" t="s">
        <v>6049</v>
      </c>
      <c r="J3470" t="s">
        <v>6053</v>
      </c>
      <c r="K3470" t="s">
        <v>6056</v>
      </c>
      <c r="L3470" t="s">
        <v>8928</v>
      </c>
      <c r="M3470">
        <v>390.19</v>
      </c>
      <c r="N3470">
        <v>8</v>
      </c>
      <c r="O3470">
        <v>0.28999999999999998</v>
      </c>
      <c r="P3470">
        <v>-37.57</v>
      </c>
      <c r="Q3470" t="s">
        <v>9893</v>
      </c>
      <c r="R3470">
        <v>7</v>
      </c>
      <c r="S3470" s="5">
        <f t="shared" si="108"/>
        <v>-9.6286424562392683E-2</v>
      </c>
      <c r="T3470">
        <v>48.77375</v>
      </c>
      <c r="U3470">
        <v>8</v>
      </c>
      <c r="V3470">
        <v>2022</v>
      </c>
      <c r="W3470">
        <v>3</v>
      </c>
      <c r="X3470" t="s">
        <v>9898</v>
      </c>
      <c r="Y3470" t="s">
        <v>9900</v>
      </c>
      <c r="Z3470" t="s">
        <v>9899</v>
      </c>
      <c r="AD3470">
        <f t="shared" si="109"/>
        <v>7</v>
      </c>
    </row>
    <row r="3471" spans="1:30" x14ac:dyDescent="0.25">
      <c r="A3471" t="s">
        <v>3495</v>
      </c>
      <c r="B3471" s="2">
        <v>44648</v>
      </c>
      <c r="C3471" s="2">
        <v>44649</v>
      </c>
      <c r="D3471" t="s">
        <v>5418</v>
      </c>
      <c r="E3471" t="s">
        <v>5918</v>
      </c>
      <c r="F3471" t="s">
        <v>6026</v>
      </c>
      <c r="G3471" t="s">
        <v>6029</v>
      </c>
      <c r="H3471" t="s">
        <v>6044</v>
      </c>
      <c r="I3471" t="s">
        <v>6050</v>
      </c>
      <c r="J3471" t="s">
        <v>6055</v>
      </c>
      <c r="K3471" t="s">
        <v>6063</v>
      </c>
      <c r="L3471" t="s">
        <v>8929</v>
      </c>
      <c r="M3471">
        <v>215.59</v>
      </c>
      <c r="N3471">
        <v>8</v>
      </c>
      <c r="O3471">
        <v>0.1</v>
      </c>
      <c r="P3471">
        <v>37.270000000000003</v>
      </c>
      <c r="Q3471" t="s">
        <v>9894</v>
      </c>
      <c r="R3471">
        <v>1</v>
      </c>
      <c r="S3471" s="5">
        <f t="shared" si="108"/>
        <v>0.17287443758986967</v>
      </c>
      <c r="T3471">
        <v>26.94875</v>
      </c>
      <c r="U3471">
        <v>3</v>
      </c>
      <c r="V3471">
        <v>2022</v>
      </c>
      <c r="W3471">
        <v>1</v>
      </c>
      <c r="X3471" t="s">
        <v>9899</v>
      </c>
      <c r="Y3471" t="s">
        <v>9901</v>
      </c>
      <c r="Z3471" t="s">
        <v>9899</v>
      </c>
      <c r="AD3471">
        <f t="shared" si="109"/>
        <v>1</v>
      </c>
    </row>
    <row r="3472" spans="1:30" x14ac:dyDescent="0.25">
      <c r="A3472" t="s">
        <v>3496</v>
      </c>
      <c r="B3472" s="2">
        <v>45238</v>
      </c>
      <c r="C3472" s="2">
        <v>45245</v>
      </c>
      <c r="D3472" t="s">
        <v>5304</v>
      </c>
      <c r="E3472" t="s">
        <v>5804</v>
      </c>
      <c r="F3472" t="s">
        <v>6026</v>
      </c>
      <c r="G3472" t="s">
        <v>6031</v>
      </c>
      <c r="H3472" t="s">
        <v>6034</v>
      </c>
      <c r="I3472" t="s">
        <v>6052</v>
      </c>
      <c r="J3472" t="s">
        <v>6053</v>
      </c>
      <c r="K3472" t="s">
        <v>6056</v>
      </c>
      <c r="L3472" t="s">
        <v>8930</v>
      </c>
      <c r="M3472">
        <v>1023.06</v>
      </c>
      <c r="N3472">
        <v>7</v>
      </c>
      <c r="O3472">
        <v>0.13</v>
      </c>
      <c r="P3472">
        <v>68.08</v>
      </c>
      <c r="Q3472" t="s">
        <v>9897</v>
      </c>
      <c r="R3472">
        <v>7</v>
      </c>
      <c r="S3472" s="5">
        <f t="shared" si="108"/>
        <v>6.654546165425293E-2</v>
      </c>
      <c r="T3472">
        <v>146.1514285714286</v>
      </c>
      <c r="U3472">
        <v>11</v>
      </c>
      <c r="V3472">
        <v>2023</v>
      </c>
      <c r="W3472">
        <v>4</v>
      </c>
      <c r="X3472" t="s">
        <v>9899</v>
      </c>
      <c r="Y3472" t="s">
        <v>9901</v>
      </c>
      <c r="Z3472" t="s">
        <v>9898</v>
      </c>
      <c r="AD3472">
        <f t="shared" si="109"/>
        <v>7</v>
      </c>
    </row>
    <row r="3473" spans="1:30" x14ac:dyDescent="0.25">
      <c r="A3473" t="s">
        <v>3497</v>
      </c>
      <c r="B3473" s="2">
        <v>45184</v>
      </c>
      <c r="C3473" s="2">
        <v>45186</v>
      </c>
      <c r="D3473" t="s">
        <v>5084</v>
      </c>
      <c r="E3473" t="s">
        <v>5584</v>
      </c>
      <c r="F3473" t="s">
        <v>6026</v>
      </c>
      <c r="G3473" t="s">
        <v>6031</v>
      </c>
      <c r="H3473" t="s">
        <v>6042</v>
      </c>
      <c r="I3473" t="s">
        <v>6052</v>
      </c>
      <c r="J3473" t="s">
        <v>6053</v>
      </c>
      <c r="K3473" t="s">
        <v>6057</v>
      </c>
      <c r="L3473" t="s">
        <v>6070</v>
      </c>
      <c r="M3473">
        <v>1661.21</v>
      </c>
      <c r="N3473">
        <v>7</v>
      </c>
      <c r="O3473">
        <v>0.26</v>
      </c>
      <c r="P3473">
        <v>-236.56</v>
      </c>
      <c r="Q3473" t="s">
        <v>9894</v>
      </c>
      <c r="R3473">
        <v>2</v>
      </c>
      <c r="S3473" s="5">
        <f t="shared" si="108"/>
        <v>-0.14240222488427109</v>
      </c>
      <c r="T3473">
        <v>237.31571428571431</v>
      </c>
      <c r="U3473">
        <v>9</v>
      </c>
      <c r="V3473">
        <v>2023</v>
      </c>
      <c r="W3473">
        <v>3</v>
      </c>
      <c r="X3473" t="s">
        <v>9898</v>
      </c>
      <c r="Y3473" t="s">
        <v>9900</v>
      </c>
      <c r="Z3473" t="s">
        <v>9898</v>
      </c>
      <c r="AD3473">
        <f t="shared" si="109"/>
        <v>2</v>
      </c>
    </row>
    <row r="3474" spans="1:30" x14ac:dyDescent="0.25">
      <c r="A3474" t="s">
        <v>3498</v>
      </c>
      <c r="B3474" s="2">
        <v>44889</v>
      </c>
      <c r="C3474" s="2">
        <v>44896</v>
      </c>
      <c r="D3474" t="s">
        <v>5230</v>
      </c>
      <c r="E3474" t="s">
        <v>5730</v>
      </c>
      <c r="F3474" t="s">
        <v>6028</v>
      </c>
      <c r="G3474" t="s">
        <v>6030</v>
      </c>
      <c r="H3474" t="s">
        <v>6035</v>
      </c>
      <c r="I3474" t="s">
        <v>6051</v>
      </c>
      <c r="J3474" t="s">
        <v>6055</v>
      </c>
      <c r="K3474" t="s">
        <v>6063</v>
      </c>
      <c r="L3474" t="s">
        <v>6775</v>
      </c>
      <c r="M3474">
        <v>254.59</v>
      </c>
      <c r="N3474">
        <v>5</v>
      </c>
      <c r="O3474">
        <v>0.2</v>
      </c>
      <c r="P3474">
        <v>-17.36</v>
      </c>
      <c r="Q3474" t="s">
        <v>9897</v>
      </c>
      <c r="R3474">
        <v>7</v>
      </c>
      <c r="S3474" s="5">
        <f t="shared" si="108"/>
        <v>-6.8188067088259557E-2</v>
      </c>
      <c r="T3474">
        <v>50.917999999999999</v>
      </c>
      <c r="U3474">
        <v>11</v>
      </c>
      <c r="V3474">
        <v>2022</v>
      </c>
      <c r="W3474">
        <v>4</v>
      </c>
      <c r="X3474" t="s">
        <v>9898</v>
      </c>
      <c r="Y3474" t="s">
        <v>9900</v>
      </c>
      <c r="Z3474" t="s">
        <v>9899</v>
      </c>
      <c r="AD3474">
        <f t="shared" si="109"/>
        <v>7</v>
      </c>
    </row>
    <row r="3475" spans="1:30" x14ac:dyDescent="0.25">
      <c r="A3475" t="s">
        <v>3499</v>
      </c>
      <c r="B3475" s="2">
        <v>44984</v>
      </c>
      <c r="C3475" s="2">
        <v>44986</v>
      </c>
      <c r="D3475" t="s">
        <v>5165</v>
      </c>
      <c r="E3475" t="s">
        <v>5665</v>
      </c>
      <c r="F3475" t="s">
        <v>6027</v>
      </c>
      <c r="G3475" t="s">
        <v>6030</v>
      </c>
      <c r="H3475" t="s">
        <v>6038</v>
      </c>
      <c r="I3475" t="s">
        <v>6047</v>
      </c>
      <c r="J3475" t="s">
        <v>6053</v>
      </c>
      <c r="K3475" t="s">
        <v>6056</v>
      </c>
      <c r="L3475" t="s">
        <v>8931</v>
      </c>
      <c r="M3475">
        <v>156.66999999999999</v>
      </c>
      <c r="N3475">
        <v>6</v>
      </c>
      <c r="O3475">
        <v>0.27</v>
      </c>
      <c r="P3475">
        <v>0.46</v>
      </c>
      <c r="Q3475" t="s">
        <v>9893</v>
      </c>
      <c r="R3475">
        <v>2</v>
      </c>
      <c r="S3475" s="5">
        <f t="shared" si="108"/>
        <v>2.93610774238846E-3</v>
      </c>
      <c r="T3475">
        <v>26.111666666666661</v>
      </c>
      <c r="U3475">
        <v>2</v>
      </c>
      <c r="V3475">
        <v>2023</v>
      </c>
      <c r="W3475">
        <v>1</v>
      </c>
      <c r="X3475" t="s">
        <v>9899</v>
      </c>
      <c r="Y3475" t="s">
        <v>9900</v>
      </c>
      <c r="Z3475" t="s">
        <v>9899</v>
      </c>
      <c r="AD3475">
        <f t="shared" si="109"/>
        <v>2</v>
      </c>
    </row>
    <row r="3476" spans="1:30" x14ac:dyDescent="0.25">
      <c r="A3476" t="s">
        <v>3500</v>
      </c>
      <c r="B3476" s="2">
        <v>44872</v>
      </c>
      <c r="C3476" s="2">
        <v>44879</v>
      </c>
      <c r="D3476" t="s">
        <v>5366</v>
      </c>
      <c r="E3476" t="s">
        <v>5866</v>
      </c>
      <c r="F3476" t="s">
        <v>6028</v>
      </c>
      <c r="G3476" t="s">
        <v>6030</v>
      </c>
      <c r="H3476" t="s">
        <v>6033</v>
      </c>
      <c r="I3476" t="s">
        <v>6047</v>
      </c>
      <c r="J3476" t="s">
        <v>6055</v>
      </c>
      <c r="K3476" t="s">
        <v>6064</v>
      </c>
      <c r="L3476" t="s">
        <v>8932</v>
      </c>
      <c r="M3476">
        <v>437.28</v>
      </c>
      <c r="N3476">
        <v>1</v>
      </c>
      <c r="O3476">
        <v>0.32</v>
      </c>
      <c r="P3476">
        <v>-54.74</v>
      </c>
      <c r="Q3476" t="s">
        <v>9896</v>
      </c>
      <c r="R3476">
        <v>7</v>
      </c>
      <c r="S3476" s="5">
        <f t="shared" si="108"/>
        <v>-0.12518294914013905</v>
      </c>
      <c r="T3476">
        <v>437.28</v>
      </c>
      <c r="U3476">
        <v>11</v>
      </c>
      <c r="V3476">
        <v>2022</v>
      </c>
      <c r="W3476">
        <v>4</v>
      </c>
      <c r="X3476" t="s">
        <v>9898</v>
      </c>
      <c r="Y3476" t="s">
        <v>9902</v>
      </c>
      <c r="Z3476" t="s">
        <v>9899</v>
      </c>
      <c r="AD3476">
        <f t="shared" si="109"/>
        <v>7</v>
      </c>
    </row>
    <row r="3477" spans="1:30" x14ac:dyDescent="0.25">
      <c r="A3477" t="s">
        <v>3501</v>
      </c>
      <c r="B3477" s="2">
        <v>45019</v>
      </c>
      <c r="C3477" s="2">
        <v>45020</v>
      </c>
      <c r="D3477" t="s">
        <v>5511</v>
      </c>
      <c r="E3477" t="s">
        <v>6011</v>
      </c>
      <c r="F3477" t="s">
        <v>6027</v>
      </c>
      <c r="G3477" t="s">
        <v>6031</v>
      </c>
      <c r="H3477" t="s">
        <v>6037</v>
      </c>
      <c r="I3477" t="s">
        <v>6052</v>
      </c>
      <c r="J3477" t="s">
        <v>6055</v>
      </c>
      <c r="K3477" t="s">
        <v>6061</v>
      </c>
      <c r="L3477" t="s">
        <v>8933</v>
      </c>
      <c r="M3477">
        <v>639.27</v>
      </c>
      <c r="N3477">
        <v>6</v>
      </c>
      <c r="O3477">
        <v>0.21</v>
      </c>
      <c r="P3477">
        <v>-29.23</v>
      </c>
      <c r="Q3477" t="s">
        <v>9896</v>
      </c>
      <c r="R3477">
        <v>1</v>
      </c>
      <c r="S3477" s="5">
        <f t="shared" si="108"/>
        <v>-4.5724028970544527E-2</v>
      </c>
      <c r="T3477">
        <v>106.545</v>
      </c>
      <c r="U3477">
        <v>4</v>
      </c>
      <c r="V3477">
        <v>2023</v>
      </c>
      <c r="W3477">
        <v>2</v>
      </c>
      <c r="X3477" t="s">
        <v>9898</v>
      </c>
      <c r="Y3477" t="s">
        <v>9900</v>
      </c>
      <c r="Z3477" t="s">
        <v>9899</v>
      </c>
      <c r="AD3477">
        <f t="shared" si="109"/>
        <v>1</v>
      </c>
    </row>
    <row r="3478" spans="1:30" x14ac:dyDescent="0.25">
      <c r="A3478" t="s">
        <v>3502</v>
      </c>
      <c r="B3478" s="2">
        <v>44735</v>
      </c>
      <c r="C3478" s="2">
        <v>44736</v>
      </c>
      <c r="D3478" t="s">
        <v>5475</v>
      </c>
      <c r="E3478" t="s">
        <v>5975</v>
      </c>
      <c r="F3478" t="s">
        <v>6027</v>
      </c>
      <c r="G3478" t="s">
        <v>6029</v>
      </c>
      <c r="H3478" t="s">
        <v>6044</v>
      </c>
      <c r="I3478" t="s">
        <v>6046</v>
      </c>
      <c r="J3478" t="s">
        <v>6054</v>
      </c>
      <c r="K3478" t="s">
        <v>6059</v>
      </c>
      <c r="L3478" t="s">
        <v>7825</v>
      </c>
      <c r="M3478">
        <v>1051.42</v>
      </c>
      <c r="N3478">
        <v>6</v>
      </c>
      <c r="O3478">
        <v>0.25</v>
      </c>
      <c r="P3478">
        <v>-34.090000000000003</v>
      </c>
      <c r="Q3478" t="s">
        <v>9897</v>
      </c>
      <c r="R3478">
        <v>1</v>
      </c>
      <c r="S3478" s="5">
        <f t="shared" si="108"/>
        <v>-3.2422818664282593E-2</v>
      </c>
      <c r="T3478">
        <v>175.23666666666671</v>
      </c>
      <c r="U3478">
        <v>6</v>
      </c>
      <c r="V3478">
        <v>2022</v>
      </c>
      <c r="W3478">
        <v>2</v>
      </c>
      <c r="X3478" t="s">
        <v>9898</v>
      </c>
      <c r="Y3478" t="s">
        <v>9900</v>
      </c>
      <c r="Z3478" t="s">
        <v>9898</v>
      </c>
      <c r="AD3478">
        <f t="shared" si="109"/>
        <v>1</v>
      </c>
    </row>
    <row r="3479" spans="1:30" x14ac:dyDescent="0.25">
      <c r="A3479" t="s">
        <v>3503</v>
      </c>
      <c r="B3479" s="2">
        <v>45410</v>
      </c>
      <c r="C3479" s="2">
        <v>45416</v>
      </c>
      <c r="D3479" t="s">
        <v>5071</v>
      </c>
      <c r="E3479" t="s">
        <v>5571</v>
      </c>
      <c r="F3479" t="s">
        <v>6027</v>
      </c>
      <c r="G3479" t="s">
        <v>6030</v>
      </c>
      <c r="H3479" t="s">
        <v>6038</v>
      </c>
      <c r="I3479" t="s">
        <v>6047</v>
      </c>
      <c r="J3479" t="s">
        <v>6053</v>
      </c>
      <c r="K3479" t="s">
        <v>6056</v>
      </c>
      <c r="L3479" t="s">
        <v>7745</v>
      </c>
      <c r="M3479">
        <v>732.54</v>
      </c>
      <c r="N3479">
        <v>2</v>
      </c>
      <c r="O3479">
        <v>0.27</v>
      </c>
      <c r="P3479">
        <v>16.79</v>
      </c>
      <c r="Q3479" t="s">
        <v>9895</v>
      </c>
      <c r="R3479">
        <v>6</v>
      </c>
      <c r="S3479" s="5">
        <f t="shared" si="108"/>
        <v>2.2920250088732354E-2</v>
      </c>
      <c r="T3479">
        <v>366.27</v>
      </c>
      <c r="U3479">
        <v>4</v>
      </c>
      <c r="V3479">
        <v>2024</v>
      </c>
      <c r="W3479">
        <v>2</v>
      </c>
      <c r="X3479" t="s">
        <v>9899</v>
      </c>
      <c r="Y3479" t="s">
        <v>9900</v>
      </c>
      <c r="Z3479" t="s">
        <v>9899</v>
      </c>
      <c r="AD3479">
        <f t="shared" si="109"/>
        <v>6</v>
      </c>
    </row>
    <row r="3480" spans="1:30" x14ac:dyDescent="0.25">
      <c r="A3480" t="s">
        <v>3504</v>
      </c>
      <c r="B3480" s="2">
        <v>45145</v>
      </c>
      <c r="C3480" s="2">
        <v>45151</v>
      </c>
      <c r="D3480" t="s">
        <v>5203</v>
      </c>
      <c r="E3480" t="s">
        <v>5703</v>
      </c>
      <c r="F3480" t="s">
        <v>6026</v>
      </c>
      <c r="G3480" t="s">
        <v>6031</v>
      </c>
      <c r="H3480" t="s">
        <v>6043</v>
      </c>
      <c r="I3480" t="s">
        <v>6050</v>
      </c>
      <c r="J3480" t="s">
        <v>6053</v>
      </c>
      <c r="K3480" t="s">
        <v>6058</v>
      </c>
      <c r="L3480" t="s">
        <v>8934</v>
      </c>
      <c r="M3480">
        <v>1151.6400000000001</v>
      </c>
      <c r="N3480">
        <v>2</v>
      </c>
      <c r="O3480">
        <v>0.27</v>
      </c>
      <c r="P3480">
        <v>-164.69</v>
      </c>
      <c r="Q3480" t="s">
        <v>9893</v>
      </c>
      <c r="R3480">
        <v>6</v>
      </c>
      <c r="S3480" s="5">
        <f t="shared" si="108"/>
        <v>-0.14300475843145427</v>
      </c>
      <c r="T3480">
        <v>575.82000000000005</v>
      </c>
      <c r="U3480">
        <v>8</v>
      </c>
      <c r="V3480">
        <v>2023</v>
      </c>
      <c r="W3480">
        <v>3</v>
      </c>
      <c r="X3480" t="s">
        <v>9898</v>
      </c>
      <c r="Y3480" t="s">
        <v>9900</v>
      </c>
      <c r="Z3480" t="s">
        <v>9898</v>
      </c>
      <c r="AD3480">
        <f t="shared" si="109"/>
        <v>6</v>
      </c>
    </row>
    <row r="3481" spans="1:30" x14ac:dyDescent="0.25">
      <c r="A3481" t="s">
        <v>3505</v>
      </c>
      <c r="B3481" s="2">
        <v>44714</v>
      </c>
      <c r="C3481" s="2">
        <v>44720</v>
      </c>
      <c r="D3481" t="s">
        <v>5437</v>
      </c>
      <c r="E3481" t="s">
        <v>5937</v>
      </c>
      <c r="F3481" t="s">
        <v>6026</v>
      </c>
      <c r="G3481" t="s">
        <v>6031</v>
      </c>
      <c r="H3481" t="s">
        <v>6037</v>
      </c>
      <c r="I3481" t="s">
        <v>6050</v>
      </c>
      <c r="J3481" t="s">
        <v>6055</v>
      </c>
      <c r="K3481" t="s">
        <v>6063</v>
      </c>
      <c r="L3481" t="s">
        <v>8935</v>
      </c>
      <c r="M3481">
        <v>253.61</v>
      </c>
      <c r="N3481">
        <v>5</v>
      </c>
      <c r="O3481">
        <v>0.02</v>
      </c>
      <c r="P3481">
        <v>39.58</v>
      </c>
      <c r="Q3481" t="s">
        <v>9897</v>
      </c>
      <c r="R3481">
        <v>6</v>
      </c>
      <c r="S3481" s="5">
        <f t="shared" si="108"/>
        <v>0.1560664011671464</v>
      </c>
      <c r="T3481">
        <v>50.722000000000001</v>
      </c>
      <c r="U3481">
        <v>6</v>
      </c>
      <c r="V3481">
        <v>2022</v>
      </c>
      <c r="W3481">
        <v>2</v>
      </c>
      <c r="X3481" t="s">
        <v>9899</v>
      </c>
      <c r="Y3481" t="s">
        <v>9901</v>
      </c>
      <c r="Z3481" t="s">
        <v>9899</v>
      </c>
      <c r="AD3481">
        <f t="shared" si="109"/>
        <v>6</v>
      </c>
    </row>
    <row r="3482" spans="1:30" x14ac:dyDescent="0.25">
      <c r="A3482" t="s">
        <v>3506</v>
      </c>
      <c r="B3482" s="2">
        <v>45427</v>
      </c>
      <c r="C3482" s="2">
        <v>45430</v>
      </c>
      <c r="D3482" t="s">
        <v>5046</v>
      </c>
      <c r="E3482" t="s">
        <v>5546</v>
      </c>
      <c r="F3482" t="s">
        <v>6028</v>
      </c>
      <c r="G3482" t="s">
        <v>6029</v>
      </c>
      <c r="H3482" t="s">
        <v>6045</v>
      </c>
      <c r="I3482" t="s">
        <v>6046</v>
      </c>
      <c r="J3482" t="s">
        <v>6055</v>
      </c>
      <c r="K3482" t="s">
        <v>6063</v>
      </c>
      <c r="L3482" t="s">
        <v>8936</v>
      </c>
      <c r="M3482">
        <v>356.68</v>
      </c>
      <c r="N3482">
        <v>6</v>
      </c>
      <c r="O3482">
        <v>0.23</v>
      </c>
      <c r="P3482">
        <v>19.18</v>
      </c>
      <c r="Q3482" t="s">
        <v>9895</v>
      </c>
      <c r="R3482">
        <v>3</v>
      </c>
      <c r="S3482" s="5">
        <f t="shared" si="108"/>
        <v>5.3773690703151279E-2</v>
      </c>
      <c r="T3482">
        <v>59.446666666666673</v>
      </c>
      <c r="U3482">
        <v>5</v>
      </c>
      <c r="V3482">
        <v>2024</v>
      </c>
      <c r="W3482">
        <v>2</v>
      </c>
      <c r="X3482" t="s">
        <v>9899</v>
      </c>
      <c r="Y3482" t="s">
        <v>9900</v>
      </c>
      <c r="Z3482" t="s">
        <v>9899</v>
      </c>
      <c r="AD3482">
        <f t="shared" si="109"/>
        <v>3</v>
      </c>
    </row>
    <row r="3483" spans="1:30" x14ac:dyDescent="0.25">
      <c r="A3483" t="s">
        <v>3507</v>
      </c>
      <c r="B3483" s="2">
        <v>45306</v>
      </c>
      <c r="C3483" s="2">
        <v>45311</v>
      </c>
      <c r="D3483" t="s">
        <v>5094</v>
      </c>
      <c r="E3483" t="s">
        <v>5594</v>
      </c>
      <c r="F3483" t="s">
        <v>6028</v>
      </c>
      <c r="G3483" t="s">
        <v>6030</v>
      </c>
      <c r="H3483" t="s">
        <v>6033</v>
      </c>
      <c r="I3483" t="s">
        <v>6047</v>
      </c>
      <c r="J3483" t="s">
        <v>6054</v>
      </c>
      <c r="K3483" t="s">
        <v>6059</v>
      </c>
      <c r="L3483" t="s">
        <v>8937</v>
      </c>
      <c r="M3483">
        <v>1352.93</v>
      </c>
      <c r="N3483">
        <v>4</v>
      </c>
      <c r="O3483">
        <v>0.32</v>
      </c>
      <c r="P3483">
        <v>-141.1</v>
      </c>
      <c r="Q3483" t="s">
        <v>9894</v>
      </c>
      <c r="R3483">
        <v>5</v>
      </c>
      <c r="S3483" s="5">
        <f t="shared" si="108"/>
        <v>-0.10429216589180518</v>
      </c>
      <c r="T3483">
        <v>338.23250000000002</v>
      </c>
      <c r="U3483">
        <v>1</v>
      </c>
      <c r="V3483">
        <v>2024</v>
      </c>
      <c r="W3483">
        <v>1</v>
      </c>
      <c r="X3483" t="s">
        <v>9898</v>
      </c>
      <c r="Y3483" t="s">
        <v>9902</v>
      </c>
      <c r="Z3483" t="s">
        <v>9898</v>
      </c>
      <c r="AD3483">
        <f t="shared" si="109"/>
        <v>5</v>
      </c>
    </row>
    <row r="3484" spans="1:30" x14ac:dyDescent="0.25">
      <c r="A3484" t="s">
        <v>3508</v>
      </c>
      <c r="B3484" s="2">
        <v>44830</v>
      </c>
      <c r="C3484" s="2">
        <v>44837</v>
      </c>
      <c r="D3484" t="s">
        <v>5377</v>
      </c>
      <c r="E3484" t="s">
        <v>5877</v>
      </c>
      <c r="F3484" t="s">
        <v>6026</v>
      </c>
      <c r="G3484" t="s">
        <v>6030</v>
      </c>
      <c r="H3484" t="s">
        <v>6035</v>
      </c>
      <c r="I3484" t="s">
        <v>6047</v>
      </c>
      <c r="J3484" t="s">
        <v>6053</v>
      </c>
      <c r="K3484" t="s">
        <v>6057</v>
      </c>
      <c r="L3484" t="s">
        <v>7413</v>
      </c>
      <c r="M3484">
        <v>963.87</v>
      </c>
      <c r="N3484">
        <v>1</v>
      </c>
      <c r="O3484">
        <v>0.01</v>
      </c>
      <c r="P3484">
        <v>185.1</v>
      </c>
      <c r="Q3484" t="s">
        <v>9897</v>
      </c>
      <c r="R3484">
        <v>7</v>
      </c>
      <c r="S3484" s="5">
        <f t="shared" si="108"/>
        <v>0.19203834542002551</v>
      </c>
      <c r="T3484">
        <v>963.87</v>
      </c>
      <c r="U3484">
        <v>9</v>
      </c>
      <c r="V3484">
        <v>2022</v>
      </c>
      <c r="W3484">
        <v>3</v>
      </c>
      <c r="X3484" t="s">
        <v>9899</v>
      </c>
      <c r="Y3484" t="s">
        <v>9901</v>
      </c>
      <c r="Z3484" t="s">
        <v>9899</v>
      </c>
      <c r="AD3484">
        <f t="shared" si="109"/>
        <v>7</v>
      </c>
    </row>
    <row r="3485" spans="1:30" x14ac:dyDescent="0.25">
      <c r="A3485" t="s">
        <v>3509</v>
      </c>
      <c r="B3485" s="2">
        <v>45285</v>
      </c>
      <c r="C3485" s="2">
        <v>45287</v>
      </c>
      <c r="D3485" t="s">
        <v>5111</v>
      </c>
      <c r="E3485" t="s">
        <v>5611</v>
      </c>
      <c r="F3485" t="s">
        <v>6028</v>
      </c>
      <c r="G3485" t="s">
        <v>6029</v>
      </c>
      <c r="H3485" t="s">
        <v>6036</v>
      </c>
      <c r="I3485" t="s">
        <v>6046</v>
      </c>
      <c r="J3485" t="s">
        <v>6055</v>
      </c>
      <c r="K3485" t="s">
        <v>6061</v>
      </c>
      <c r="L3485" t="s">
        <v>8938</v>
      </c>
      <c r="M3485">
        <v>1561.93</v>
      </c>
      <c r="N3485">
        <v>1</v>
      </c>
      <c r="O3485">
        <v>0.15</v>
      </c>
      <c r="P3485">
        <v>159.59</v>
      </c>
      <c r="Q3485" t="s">
        <v>9893</v>
      </c>
      <c r="R3485">
        <v>2</v>
      </c>
      <c r="S3485" s="5">
        <f t="shared" si="108"/>
        <v>0.10217487339381406</v>
      </c>
      <c r="T3485">
        <v>1561.93</v>
      </c>
      <c r="U3485">
        <v>12</v>
      </c>
      <c r="V3485">
        <v>2023</v>
      </c>
      <c r="W3485">
        <v>4</v>
      </c>
      <c r="X3485" t="s">
        <v>9899</v>
      </c>
      <c r="Y3485" t="s">
        <v>9901</v>
      </c>
      <c r="Z3485" t="s">
        <v>9898</v>
      </c>
      <c r="AD3485">
        <f t="shared" si="109"/>
        <v>2</v>
      </c>
    </row>
    <row r="3486" spans="1:30" x14ac:dyDescent="0.25">
      <c r="A3486" t="s">
        <v>3510</v>
      </c>
      <c r="B3486" s="2">
        <v>45154</v>
      </c>
      <c r="C3486" s="2">
        <v>45156</v>
      </c>
      <c r="D3486" t="s">
        <v>5188</v>
      </c>
      <c r="E3486" t="s">
        <v>5688</v>
      </c>
      <c r="F3486" t="s">
        <v>6027</v>
      </c>
      <c r="G3486" t="s">
        <v>6029</v>
      </c>
      <c r="H3486" t="s">
        <v>6044</v>
      </c>
      <c r="I3486" t="s">
        <v>6046</v>
      </c>
      <c r="J3486" t="s">
        <v>6053</v>
      </c>
      <c r="K3486" t="s">
        <v>6058</v>
      </c>
      <c r="L3486" t="s">
        <v>8351</v>
      </c>
      <c r="M3486">
        <v>1641.72</v>
      </c>
      <c r="N3486">
        <v>2</v>
      </c>
      <c r="O3486">
        <v>0.23</v>
      </c>
      <c r="P3486">
        <v>-111.13</v>
      </c>
      <c r="Q3486" t="s">
        <v>9893</v>
      </c>
      <c r="R3486">
        <v>2</v>
      </c>
      <c r="S3486" s="5">
        <f t="shared" si="108"/>
        <v>-6.7691201910191748E-2</v>
      </c>
      <c r="T3486">
        <v>820.86</v>
      </c>
      <c r="U3486">
        <v>8</v>
      </c>
      <c r="V3486">
        <v>2023</v>
      </c>
      <c r="W3486">
        <v>3</v>
      </c>
      <c r="X3486" t="s">
        <v>9898</v>
      </c>
      <c r="Y3486" t="s">
        <v>9900</v>
      </c>
      <c r="Z3486" t="s">
        <v>9898</v>
      </c>
      <c r="AD3486">
        <f t="shared" si="109"/>
        <v>2</v>
      </c>
    </row>
    <row r="3487" spans="1:30" x14ac:dyDescent="0.25">
      <c r="A3487" t="s">
        <v>3511</v>
      </c>
      <c r="B3487" s="2">
        <v>44788</v>
      </c>
      <c r="C3487" s="2">
        <v>44794</v>
      </c>
      <c r="D3487" t="s">
        <v>5434</v>
      </c>
      <c r="E3487" t="s">
        <v>5934</v>
      </c>
      <c r="F3487" t="s">
        <v>6028</v>
      </c>
      <c r="G3487" t="s">
        <v>6030</v>
      </c>
      <c r="H3487" t="s">
        <v>6035</v>
      </c>
      <c r="I3487" t="s">
        <v>6047</v>
      </c>
      <c r="J3487" t="s">
        <v>6055</v>
      </c>
      <c r="K3487" t="s">
        <v>6063</v>
      </c>
      <c r="L3487" t="s">
        <v>8309</v>
      </c>
      <c r="M3487">
        <v>582.14</v>
      </c>
      <c r="N3487">
        <v>3</v>
      </c>
      <c r="O3487">
        <v>0.25</v>
      </c>
      <c r="P3487">
        <v>-73.64</v>
      </c>
      <c r="Q3487" t="s">
        <v>9895</v>
      </c>
      <c r="R3487">
        <v>6</v>
      </c>
      <c r="S3487" s="5">
        <f t="shared" si="108"/>
        <v>-0.12649878036211221</v>
      </c>
      <c r="T3487">
        <v>194.04666666666671</v>
      </c>
      <c r="U3487">
        <v>8</v>
      </c>
      <c r="V3487">
        <v>2022</v>
      </c>
      <c r="W3487">
        <v>3</v>
      </c>
      <c r="X3487" t="s">
        <v>9898</v>
      </c>
      <c r="Y3487" t="s">
        <v>9900</v>
      </c>
      <c r="Z3487" t="s">
        <v>9899</v>
      </c>
      <c r="AD3487">
        <f t="shared" si="109"/>
        <v>6</v>
      </c>
    </row>
    <row r="3488" spans="1:30" x14ac:dyDescent="0.25">
      <c r="A3488" t="s">
        <v>3512</v>
      </c>
      <c r="B3488" s="2">
        <v>45070</v>
      </c>
      <c r="C3488" s="2">
        <v>45073</v>
      </c>
      <c r="D3488" t="s">
        <v>5228</v>
      </c>
      <c r="E3488" t="s">
        <v>5728</v>
      </c>
      <c r="F3488" t="s">
        <v>6027</v>
      </c>
      <c r="G3488" t="s">
        <v>6029</v>
      </c>
      <c r="H3488" t="s">
        <v>6044</v>
      </c>
      <c r="I3488" t="s">
        <v>6050</v>
      </c>
      <c r="J3488" t="s">
        <v>6053</v>
      </c>
      <c r="K3488" t="s">
        <v>6058</v>
      </c>
      <c r="L3488" t="s">
        <v>8939</v>
      </c>
      <c r="M3488">
        <v>1058.6400000000001</v>
      </c>
      <c r="N3488">
        <v>2</v>
      </c>
      <c r="O3488">
        <v>0.28999999999999998</v>
      </c>
      <c r="P3488">
        <v>-99.45</v>
      </c>
      <c r="Q3488" t="s">
        <v>9897</v>
      </c>
      <c r="R3488">
        <v>3</v>
      </c>
      <c r="S3488" s="5">
        <f t="shared" si="108"/>
        <v>-9.3941283155746985E-2</v>
      </c>
      <c r="T3488">
        <v>529.32000000000005</v>
      </c>
      <c r="U3488">
        <v>5</v>
      </c>
      <c r="V3488">
        <v>2023</v>
      </c>
      <c r="W3488">
        <v>2</v>
      </c>
      <c r="X3488" t="s">
        <v>9898</v>
      </c>
      <c r="Y3488" t="s">
        <v>9900</v>
      </c>
      <c r="Z3488" t="s">
        <v>9898</v>
      </c>
      <c r="AD3488">
        <f t="shared" si="109"/>
        <v>3</v>
      </c>
    </row>
    <row r="3489" spans="1:30" x14ac:dyDescent="0.25">
      <c r="A3489" t="s">
        <v>3513</v>
      </c>
      <c r="B3489" s="2">
        <v>45247</v>
      </c>
      <c r="C3489" s="2">
        <v>45248</v>
      </c>
      <c r="D3489" t="s">
        <v>5318</v>
      </c>
      <c r="E3489" t="s">
        <v>5818</v>
      </c>
      <c r="F3489" t="s">
        <v>6027</v>
      </c>
      <c r="G3489" t="s">
        <v>6031</v>
      </c>
      <c r="H3489" t="s">
        <v>6034</v>
      </c>
      <c r="I3489" t="s">
        <v>6052</v>
      </c>
      <c r="J3489" t="s">
        <v>6055</v>
      </c>
      <c r="K3489" t="s">
        <v>6064</v>
      </c>
      <c r="L3489" t="s">
        <v>8454</v>
      </c>
      <c r="M3489">
        <v>1387.81</v>
      </c>
      <c r="N3489">
        <v>4</v>
      </c>
      <c r="O3489">
        <v>0.09</v>
      </c>
      <c r="P3489">
        <v>250.61</v>
      </c>
      <c r="Q3489" t="s">
        <v>9897</v>
      </c>
      <c r="R3489">
        <v>1</v>
      </c>
      <c r="S3489" s="5">
        <f t="shared" si="108"/>
        <v>0.18057947413550848</v>
      </c>
      <c r="T3489">
        <v>346.95249999999999</v>
      </c>
      <c r="U3489">
        <v>11</v>
      </c>
      <c r="V3489">
        <v>2023</v>
      </c>
      <c r="W3489">
        <v>4</v>
      </c>
      <c r="X3489" t="s">
        <v>9899</v>
      </c>
      <c r="Y3489" t="s">
        <v>9901</v>
      </c>
      <c r="Z3489" t="s">
        <v>9898</v>
      </c>
      <c r="AD3489">
        <f t="shared" si="109"/>
        <v>1</v>
      </c>
    </row>
    <row r="3490" spans="1:30" x14ac:dyDescent="0.25">
      <c r="A3490" t="s">
        <v>3514</v>
      </c>
      <c r="B3490" s="2">
        <v>45176</v>
      </c>
      <c r="C3490" s="2">
        <v>45181</v>
      </c>
      <c r="D3490" t="s">
        <v>5474</v>
      </c>
      <c r="E3490" t="s">
        <v>5974</v>
      </c>
      <c r="F3490" t="s">
        <v>6026</v>
      </c>
      <c r="G3490" t="s">
        <v>6029</v>
      </c>
      <c r="H3490" t="s">
        <v>6036</v>
      </c>
      <c r="I3490" t="s">
        <v>6049</v>
      </c>
      <c r="J3490" t="s">
        <v>6053</v>
      </c>
      <c r="K3490" t="s">
        <v>6058</v>
      </c>
      <c r="L3490" t="s">
        <v>8940</v>
      </c>
      <c r="M3490">
        <v>330.62</v>
      </c>
      <c r="N3490">
        <v>1</v>
      </c>
      <c r="O3490">
        <v>0.06</v>
      </c>
      <c r="P3490">
        <v>13.72</v>
      </c>
      <c r="Q3490" t="s">
        <v>9897</v>
      </c>
      <c r="R3490">
        <v>5</v>
      </c>
      <c r="S3490" s="5">
        <f t="shared" si="108"/>
        <v>4.1497792027100598E-2</v>
      </c>
      <c r="T3490">
        <v>330.62</v>
      </c>
      <c r="U3490">
        <v>9</v>
      </c>
      <c r="V3490">
        <v>2023</v>
      </c>
      <c r="W3490">
        <v>3</v>
      </c>
      <c r="X3490" t="s">
        <v>9899</v>
      </c>
      <c r="Y3490" t="s">
        <v>9901</v>
      </c>
      <c r="Z3490" t="s">
        <v>9899</v>
      </c>
      <c r="AD3490">
        <f t="shared" si="109"/>
        <v>5</v>
      </c>
    </row>
    <row r="3491" spans="1:30" x14ac:dyDescent="0.25">
      <c r="A3491" t="s">
        <v>3515</v>
      </c>
      <c r="B3491" s="2">
        <v>45284</v>
      </c>
      <c r="C3491" s="2">
        <v>45289</v>
      </c>
      <c r="D3491" t="s">
        <v>5287</v>
      </c>
      <c r="E3491" t="s">
        <v>5787</v>
      </c>
      <c r="F3491" t="s">
        <v>6026</v>
      </c>
      <c r="G3491" t="s">
        <v>6030</v>
      </c>
      <c r="H3491" t="s">
        <v>6039</v>
      </c>
      <c r="I3491" t="s">
        <v>6047</v>
      </c>
      <c r="J3491" t="s">
        <v>6054</v>
      </c>
      <c r="K3491" t="s">
        <v>6062</v>
      </c>
      <c r="L3491" t="s">
        <v>8941</v>
      </c>
      <c r="M3491">
        <v>430.02</v>
      </c>
      <c r="N3491">
        <v>4</v>
      </c>
      <c r="O3491">
        <v>0.02</v>
      </c>
      <c r="P3491">
        <v>56.94</v>
      </c>
      <c r="Q3491" t="s">
        <v>9897</v>
      </c>
      <c r="R3491">
        <v>5</v>
      </c>
      <c r="S3491" s="5">
        <f t="shared" si="108"/>
        <v>0.13241244593274731</v>
      </c>
      <c r="T3491">
        <v>107.505</v>
      </c>
      <c r="U3491">
        <v>12</v>
      </c>
      <c r="V3491">
        <v>2023</v>
      </c>
      <c r="W3491">
        <v>4</v>
      </c>
      <c r="X3491" t="s">
        <v>9899</v>
      </c>
      <c r="Y3491" t="s">
        <v>9901</v>
      </c>
      <c r="Z3491" t="s">
        <v>9899</v>
      </c>
      <c r="AD3491">
        <f t="shared" si="109"/>
        <v>5</v>
      </c>
    </row>
    <row r="3492" spans="1:30" x14ac:dyDescent="0.25">
      <c r="A3492" t="s">
        <v>3516</v>
      </c>
      <c r="B3492" s="2">
        <v>44731</v>
      </c>
      <c r="C3492" s="2">
        <v>44734</v>
      </c>
      <c r="D3492" t="s">
        <v>5465</v>
      </c>
      <c r="E3492" t="s">
        <v>5965</v>
      </c>
      <c r="F3492" t="s">
        <v>6026</v>
      </c>
      <c r="G3492" t="s">
        <v>6030</v>
      </c>
      <c r="H3492" t="s">
        <v>6038</v>
      </c>
      <c r="I3492" t="s">
        <v>6047</v>
      </c>
      <c r="J3492" t="s">
        <v>6055</v>
      </c>
      <c r="K3492" t="s">
        <v>6063</v>
      </c>
      <c r="L3492" t="s">
        <v>8911</v>
      </c>
      <c r="M3492">
        <v>1337.63</v>
      </c>
      <c r="N3492">
        <v>2</v>
      </c>
      <c r="O3492">
        <v>0.18</v>
      </c>
      <c r="P3492">
        <v>135.01</v>
      </c>
      <c r="Q3492" t="s">
        <v>9894</v>
      </c>
      <c r="R3492">
        <v>3</v>
      </c>
      <c r="S3492" s="5">
        <f t="shared" si="108"/>
        <v>0.10093224583778772</v>
      </c>
      <c r="T3492">
        <v>668.81500000000005</v>
      </c>
      <c r="U3492">
        <v>6</v>
      </c>
      <c r="V3492">
        <v>2022</v>
      </c>
      <c r="W3492">
        <v>2</v>
      </c>
      <c r="X3492" t="s">
        <v>9899</v>
      </c>
      <c r="Y3492" t="s">
        <v>9900</v>
      </c>
      <c r="Z3492" t="s">
        <v>9898</v>
      </c>
      <c r="AD3492">
        <f t="shared" si="109"/>
        <v>3</v>
      </c>
    </row>
    <row r="3493" spans="1:30" x14ac:dyDescent="0.25">
      <c r="A3493" t="s">
        <v>3517</v>
      </c>
      <c r="B3493" s="2">
        <v>44686</v>
      </c>
      <c r="C3493" s="2">
        <v>44688</v>
      </c>
      <c r="D3493" t="s">
        <v>5459</v>
      </c>
      <c r="E3493" t="s">
        <v>5959</v>
      </c>
      <c r="F3493" t="s">
        <v>6028</v>
      </c>
      <c r="G3493" t="s">
        <v>6030</v>
      </c>
      <c r="H3493" t="s">
        <v>6038</v>
      </c>
      <c r="I3493" t="s">
        <v>6047</v>
      </c>
      <c r="J3493" t="s">
        <v>6055</v>
      </c>
      <c r="K3493" t="s">
        <v>6063</v>
      </c>
      <c r="L3493" t="s">
        <v>8942</v>
      </c>
      <c r="M3493">
        <v>361.25</v>
      </c>
      <c r="N3493">
        <v>5</v>
      </c>
      <c r="O3493">
        <v>0.2</v>
      </c>
      <c r="P3493">
        <v>-23.54</v>
      </c>
      <c r="Q3493" t="s">
        <v>9895</v>
      </c>
      <c r="R3493">
        <v>2</v>
      </c>
      <c r="S3493" s="5">
        <f t="shared" si="108"/>
        <v>-6.5162629757785459E-2</v>
      </c>
      <c r="T3493">
        <v>72.25</v>
      </c>
      <c r="U3493">
        <v>5</v>
      </c>
      <c r="V3493">
        <v>2022</v>
      </c>
      <c r="W3493">
        <v>2</v>
      </c>
      <c r="X3493" t="s">
        <v>9898</v>
      </c>
      <c r="Y3493" t="s">
        <v>9900</v>
      </c>
      <c r="Z3493" t="s">
        <v>9899</v>
      </c>
      <c r="AD3493">
        <f t="shared" si="109"/>
        <v>2</v>
      </c>
    </row>
    <row r="3494" spans="1:30" x14ac:dyDescent="0.25">
      <c r="A3494" t="s">
        <v>3518</v>
      </c>
      <c r="B3494" s="2">
        <v>44851</v>
      </c>
      <c r="C3494" s="2">
        <v>44852</v>
      </c>
      <c r="D3494" t="s">
        <v>5028</v>
      </c>
      <c r="E3494" t="s">
        <v>5528</v>
      </c>
      <c r="F3494" t="s">
        <v>6026</v>
      </c>
      <c r="G3494" t="s">
        <v>6031</v>
      </c>
      <c r="H3494" t="s">
        <v>6037</v>
      </c>
      <c r="I3494" t="s">
        <v>6052</v>
      </c>
      <c r="J3494" t="s">
        <v>6054</v>
      </c>
      <c r="K3494" t="s">
        <v>6062</v>
      </c>
      <c r="L3494" t="s">
        <v>8943</v>
      </c>
      <c r="M3494">
        <v>273.93</v>
      </c>
      <c r="N3494">
        <v>6</v>
      </c>
      <c r="O3494">
        <v>7.0000000000000007E-2</v>
      </c>
      <c r="P3494">
        <v>29.35</v>
      </c>
      <c r="Q3494" t="s">
        <v>9893</v>
      </c>
      <c r="R3494">
        <v>1</v>
      </c>
      <c r="S3494" s="5">
        <f t="shared" si="108"/>
        <v>0.1071441609170226</v>
      </c>
      <c r="T3494">
        <v>45.655000000000001</v>
      </c>
      <c r="U3494">
        <v>10</v>
      </c>
      <c r="V3494">
        <v>2022</v>
      </c>
      <c r="W3494">
        <v>4</v>
      </c>
      <c r="X3494" t="s">
        <v>9899</v>
      </c>
      <c r="Y3494" t="s">
        <v>9901</v>
      </c>
      <c r="Z3494" t="s">
        <v>9899</v>
      </c>
      <c r="AD3494">
        <f t="shared" si="109"/>
        <v>1</v>
      </c>
    </row>
    <row r="3495" spans="1:30" x14ac:dyDescent="0.25">
      <c r="A3495" t="s">
        <v>3519</v>
      </c>
      <c r="B3495" s="2">
        <v>44761</v>
      </c>
      <c r="C3495" s="2">
        <v>44767</v>
      </c>
      <c r="D3495" t="s">
        <v>5199</v>
      </c>
      <c r="E3495" t="s">
        <v>5699</v>
      </c>
      <c r="F3495" t="s">
        <v>6028</v>
      </c>
      <c r="G3495" t="s">
        <v>6031</v>
      </c>
      <c r="H3495" t="s">
        <v>6037</v>
      </c>
      <c r="I3495" t="s">
        <v>6050</v>
      </c>
      <c r="J3495" t="s">
        <v>6053</v>
      </c>
      <c r="K3495" t="s">
        <v>6056</v>
      </c>
      <c r="L3495" t="s">
        <v>8944</v>
      </c>
      <c r="M3495">
        <v>1638.5</v>
      </c>
      <c r="N3495">
        <v>2</v>
      </c>
      <c r="O3495">
        <v>0.13</v>
      </c>
      <c r="P3495">
        <v>142.78</v>
      </c>
      <c r="Q3495" t="s">
        <v>9893</v>
      </c>
      <c r="R3495">
        <v>6</v>
      </c>
      <c r="S3495" s="5">
        <f t="shared" si="108"/>
        <v>8.7140677448886178E-2</v>
      </c>
      <c r="T3495">
        <v>819.25</v>
      </c>
      <c r="U3495">
        <v>7</v>
      </c>
      <c r="V3495">
        <v>2022</v>
      </c>
      <c r="W3495">
        <v>3</v>
      </c>
      <c r="X3495" t="s">
        <v>9899</v>
      </c>
      <c r="Y3495" t="s">
        <v>9901</v>
      </c>
      <c r="Z3495" t="s">
        <v>9898</v>
      </c>
      <c r="AD3495">
        <f t="shared" si="109"/>
        <v>6</v>
      </c>
    </row>
    <row r="3496" spans="1:30" x14ac:dyDescent="0.25">
      <c r="A3496" t="s">
        <v>3520</v>
      </c>
      <c r="B3496" s="2">
        <v>44856</v>
      </c>
      <c r="C3496" s="2">
        <v>44860</v>
      </c>
      <c r="D3496" t="s">
        <v>5161</v>
      </c>
      <c r="E3496" t="s">
        <v>5661</v>
      </c>
      <c r="F3496" t="s">
        <v>6028</v>
      </c>
      <c r="G3496" t="s">
        <v>6031</v>
      </c>
      <c r="H3496" t="s">
        <v>6037</v>
      </c>
      <c r="I3496" t="s">
        <v>6050</v>
      </c>
      <c r="J3496" t="s">
        <v>6054</v>
      </c>
      <c r="K3496" t="s">
        <v>6060</v>
      </c>
      <c r="L3496" t="s">
        <v>8945</v>
      </c>
      <c r="M3496">
        <v>277.35000000000002</v>
      </c>
      <c r="N3496">
        <v>3</v>
      </c>
      <c r="O3496">
        <v>0.26</v>
      </c>
      <c r="P3496">
        <v>-15.33</v>
      </c>
      <c r="Q3496" t="s">
        <v>9893</v>
      </c>
      <c r="R3496">
        <v>4</v>
      </c>
      <c r="S3496" s="5">
        <f t="shared" si="108"/>
        <v>-5.5273120605732827E-2</v>
      </c>
      <c r="T3496">
        <v>92.45</v>
      </c>
      <c r="U3496">
        <v>10</v>
      </c>
      <c r="V3496">
        <v>2022</v>
      </c>
      <c r="W3496">
        <v>4</v>
      </c>
      <c r="X3496" t="s">
        <v>9898</v>
      </c>
      <c r="Y3496" t="s">
        <v>9900</v>
      </c>
      <c r="Z3496" t="s">
        <v>9899</v>
      </c>
      <c r="AD3496">
        <f t="shared" si="109"/>
        <v>4</v>
      </c>
    </row>
    <row r="3497" spans="1:30" x14ac:dyDescent="0.25">
      <c r="A3497" t="s">
        <v>3521</v>
      </c>
      <c r="B3497" s="2">
        <v>45048</v>
      </c>
      <c r="C3497" s="2">
        <v>45050</v>
      </c>
      <c r="D3497" t="s">
        <v>5336</v>
      </c>
      <c r="E3497" t="s">
        <v>5836</v>
      </c>
      <c r="F3497" t="s">
        <v>6026</v>
      </c>
      <c r="G3497" t="s">
        <v>6030</v>
      </c>
      <c r="H3497" t="s">
        <v>6035</v>
      </c>
      <c r="I3497" t="s">
        <v>6047</v>
      </c>
      <c r="J3497" t="s">
        <v>6055</v>
      </c>
      <c r="K3497" t="s">
        <v>6064</v>
      </c>
      <c r="L3497" t="s">
        <v>8083</v>
      </c>
      <c r="M3497">
        <v>1396.01</v>
      </c>
      <c r="N3497">
        <v>1</v>
      </c>
      <c r="O3497">
        <v>0.04</v>
      </c>
      <c r="P3497">
        <v>277.89999999999998</v>
      </c>
      <c r="Q3497" t="s">
        <v>9893</v>
      </c>
      <c r="R3497">
        <v>2</v>
      </c>
      <c r="S3497" s="5">
        <f t="shared" si="108"/>
        <v>0.19906734192448478</v>
      </c>
      <c r="T3497">
        <v>1396.01</v>
      </c>
      <c r="U3497">
        <v>5</v>
      </c>
      <c r="V3497">
        <v>2023</v>
      </c>
      <c r="W3497">
        <v>2</v>
      </c>
      <c r="X3497" t="s">
        <v>9899</v>
      </c>
      <c r="Y3497" t="s">
        <v>9901</v>
      </c>
      <c r="Z3497" t="s">
        <v>9898</v>
      </c>
      <c r="AD3497">
        <f t="shared" si="109"/>
        <v>2</v>
      </c>
    </row>
    <row r="3498" spans="1:30" x14ac:dyDescent="0.25">
      <c r="A3498" t="s">
        <v>3522</v>
      </c>
      <c r="B3498" s="2">
        <v>45048</v>
      </c>
      <c r="C3498" s="2">
        <v>45052</v>
      </c>
      <c r="D3498" t="s">
        <v>5460</v>
      </c>
      <c r="E3498" t="s">
        <v>5960</v>
      </c>
      <c r="F3498" t="s">
        <v>6026</v>
      </c>
      <c r="G3498" t="s">
        <v>6030</v>
      </c>
      <c r="H3498" t="s">
        <v>6038</v>
      </c>
      <c r="I3498" t="s">
        <v>6047</v>
      </c>
      <c r="J3498" t="s">
        <v>6053</v>
      </c>
      <c r="K3498" t="s">
        <v>6058</v>
      </c>
      <c r="L3498" t="s">
        <v>8946</v>
      </c>
      <c r="M3498">
        <v>838.82</v>
      </c>
      <c r="N3498">
        <v>4</v>
      </c>
      <c r="O3498">
        <v>0.05</v>
      </c>
      <c r="P3498">
        <v>205.09</v>
      </c>
      <c r="Q3498" t="s">
        <v>9895</v>
      </c>
      <c r="R3498">
        <v>4</v>
      </c>
      <c r="S3498" s="5">
        <f t="shared" si="108"/>
        <v>0.24449822369519086</v>
      </c>
      <c r="T3498">
        <v>209.70500000000001</v>
      </c>
      <c r="U3498">
        <v>5</v>
      </c>
      <c r="V3498">
        <v>2023</v>
      </c>
      <c r="W3498">
        <v>2</v>
      </c>
      <c r="X3498" t="s">
        <v>9899</v>
      </c>
      <c r="Y3498" t="s">
        <v>9901</v>
      </c>
      <c r="Z3498" t="s">
        <v>9899</v>
      </c>
      <c r="AD3498">
        <f t="shared" si="109"/>
        <v>4</v>
      </c>
    </row>
    <row r="3499" spans="1:30" x14ac:dyDescent="0.25">
      <c r="A3499" t="s">
        <v>3523</v>
      </c>
      <c r="B3499" s="2">
        <v>45457</v>
      </c>
      <c r="C3499" s="2">
        <v>45463</v>
      </c>
      <c r="D3499" t="s">
        <v>5487</v>
      </c>
      <c r="E3499" t="s">
        <v>5987</v>
      </c>
      <c r="F3499" t="s">
        <v>6028</v>
      </c>
      <c r="G3499" t="s">
        <v>6030</v>
      </c>
      <c r="H3499" t="s">
        <v>6038</v>
      </c>
      <c r="I3499" t="s">
        <v>6051</v>
      </c>
      <c r="J3499" t="s">
        <v>6054</v>
      </c>
      <c r="K3499" t="s">
        <v>6062</v>
      </c>
      <c r="L3499" t="s">
        <v>8947</v>
      </c>
      <c r="M3499">
        <v>1733.82</v>
      </c>
      <c r="N3499">
        <v>8</v>
      </c>
      <c r="O3499">
        <v>0.15</v>
      </c>
      <c r="P3499">
        <v>-6.7</v>
      </c>
      <c r="Q3499" t="s">
        <v>9894</v>
      </c>
      <c r="R3499">
        <v>6</v>
      </c>
      <c r="S3499" s="5">
        <f t="shared" si="108"/>
        <v>-3.8642996389475267E-3</v>
      </c>
      <c r="T3499">
        <v>216.72749999999999</v>
      </c>
      <c r="U3499">
        <v>6</v>
      </c>
      <c r="V3499">
        <v>2024</v>
      </c>
      <c r="W3499">
        <v>2</v>
      </c>
      <c r="X3499" t="s">
        <v>9898</v>
      </c>
      <c r="Y3499" t="s">
        <v>9901</v>
      </c>
      <c r="Z3499" t="s">
        <v>9898</v>
      </c>
      <c r="AD3499">
        <f t="shared" si="109"/>
        <v>6</v>
      </c>
    </row>
    <row r="3500" spans="1:30" x14ac:dyDescent="0.25">
      <c r="A3500" t="s">
        <v>3524</v>
      </c>
      <c r="B3500" s="2">
        <v>44983</v>
      </c>
      <c r="C3500" s="2">
        <v>44990</v>
      </c>
      <c r="D3500" t="s">
        <v>5471</v>
      </c>
      <c r="E3500" t="s">
        <v>5971</v>
      </c>
      <c r="F3500" t="s">
        <v>6027</v>
      </c>
      <c r="G3500" t="s">
        <v>6031</v>
      </c>
      <c r="H3500" t="s">
        <v>6037</v>
      </c>
      <c r="I3500" t="s">
        <v>6048</v>
      </c>
      <c r="J3500" t="s">
        <v>6055</v>
      </c>
      <c r="K3500" t="s">
        <v>6063</v>
      </c>
      <c r="L3500" t="s">
        <v>8948</v>
      </c>
      <c r="M3500">
        <v>1710.27</v>
      </c>
      <c r="N3500">
        <v>3</v>
      </c>
      <c r="O3500">
        <v>0.33</v>
      </c>
      <c r="P3500">
        <v>-70.62</v>
      </c>
      <c r="Q3500" t="s">
        <v>9894</v>
      </c>
      <c r="R3500">
        <v>7</v>
      </c>
      <c r="S3500" s="5">
        <f t="shared" si="108"/>
        <v>-4.1291725867845429E-2</v>
      </c>
      <c r="T3500">
        <v>570.09</v>
      </c>
      <c r="U3500">
        <v>2</v>
      </c>
      <c r="V3500">
        <v>2023</v>
      </c>
      <c r="W3500">
        <v>1</v>
      </c>
      <c r="X3500" t="s">
        <v>9898</v>
      </c>
      <c r="Y3500" t="s">
        <v>9902</v>
      </c>
      <c r="Z3500" t="s">
        <v>9898</v>
      </c>
      <c r="AD3500">
        <f t="shared" si="109"/>
        <v>7</v>
      </c>
    </row>
    <row r="3501" spans="1:30" x14ac:dyDescent="0.25">
      <c r="A3501" t="s">
        <v>3525</v>
      </c>
      <c r="B3501" s="2">
        <v>45318</v>
      </c>
      <c r="C3501" s="2">
        <v>45323</v>
      </c>
      <c r="D3501" t="s">
        <v>5281</v>
      </c>
      <c r="E3501" t="s">
        <v>5781</v>
      </c>
      <c r="F3501" t="s">
        <v>6026</v>
      </c>
      <c r="G3501" t="s">
        <v>6031</v>
      </c>
      <c r="H3501" t="s">
        <v>6043</v>
      </c>
      <c r="I3501" t="s">
        <v>6052</v>
      </c>
      <c r="J3501" t="s">
        <v>6055</v>
      </c>
      <c r="K3501" t="s">
        <v>6064</v>
      </c>
      <c r="L3501" t="s">
        <v>8949</v>
      </c>
      <c r="M3501">
        <v>139.63999999999999</v>
      </c>
      <c r="N3501">
        <v>6</v>
      </c>
      <c r="O3501">
        <v>0.28000000000000003</v>
      </c>
      <c r="P3501">
        <v>-8.4499999999999993</v>
      </c>
      <c r="Q3501" t="s">
        <v>9893</v>
      </c>
      <c r="R3501">
        <v>5</v>
      </c>
      <c r="S3501" s="5">
        <f t="shared" si="108"/>
        <v>-6.0512747063878547E-2</v>
      </c>
      <c r="T3501">
        <v>23.27333333333333</v>
      </c>
      <c r="U3501">
        <v>1</v>
      </c>
      <c r="V3501">
        <v>2024</v>
      </c>
      <c r="W3501">
        <v>1</v>
      </c>
      <c r="X3501" t="s">
        <v>9898</v>
      </c>
      <c r="Y3501" t="s">
        <v>9900</v>
      </c>
      <c r="Z3501" t="s">
        <v>9899</v>
      </c>
      <c r="AD3501">
        <f t="shared" si="109"/>
        <v>5</v>
      </c>
    </row>
    <row r="3502" spans="1:30" x14ac:dyDescent="0.25">
      <c r="A3502" t="s">
        <v>3526</v>
      </c>
      <c r="B3502" s="2">
        <v>45404</v>
      </c>
      <c r="C3502" s="2">
        <v>45409</v>
      </c>
      <c r="D3502" t="s">
        <v>5361</v>
      </c>
      <c r="E3502" t="s">
        <v>5861</v>
      </c>
      <c r="F3502" t="s">
        <v>6027</v>
      </c>
      <c r="G3502" t="s">
        <v>6030</v>
      </c>
      <c r="H3502" t="s">
        <v>6035</v>
      </c>
      <c r="I3502" t="s">
        <v>6051</v>
      </c>
      <c r="J3502" t="s">
        <v>6054</v>
      </c>
      <c r="K3502" t="s">
        <v>6059</v>
      </c>
      <c r="L3502" t="s">
        <v>8950</v>
      </c>
      <c r="M3502">
        <v>228.52</v>
      </c>
      <c r="N3502">
        <v>7</v>
      </c>
      <c r="O3502">
        <v>0.27</v>
      </c>
      <c r="P3502">
        <v>-28.06</v>
      </c>
      <c r="Q3502" t="s">
        <v>9896</v>
      </c>
      <c r="R3502">
        <v>5</v>
      </c>
      <c r="S3502" s="5">
        <f t="shared" si="108"/>
        <v>-0.1227901277787502</v>
      </c>
      <c r="T3502">
        <v>32.645714285714277</v>
      </c>
      <c r="U3502">
        <v>4</v>
      </c>
      <c r="V3502">
        <v>2024</v>
      </c>
      <c r="W3502">
        <v>2</v>
      </c>
      <c r="X3502" t="s">
        <v>9898</v>
      </c>
      <c r="Y3502" t="s">
        <v>9900</v>
      </c>
      <c r="Z3502" t="s">
        <v>9899</v>
      </c>
      <c r="AD3502">
        <f t="shared" si="109"/>
        <v>5</v>
      </c>
    </row>
    <row r="3503" spans="1:30" x14ac:dyDescent="0.25">
      <c r="A3503" t="s">
        <v>3527</v>
      </c>
      <c r="B3503" s="2">
        <v>45110</v>
      </c>
      <c r="C3503" s="2">
        <v>45116</v>
      </c>
      <c r="D3503" t="s">
        <v>5239</v>
      </c>
      <c r="E3503" t="s">
        <v>5739</v>
      </c>
      <c r="F3503" t="s">
        <v>6026</v>
      </c>
      <c r="G3503" t="s">
        <v>6029</v>
      </c>
      <c r="H3503" t="s">
        <v>6044</v>
      </c>
      <c r="I3503" t="s">
        <v>6049</v>
      </c>
      <c r="J3503" t="s">
        <v>6054</v>
      </c>
      <c r="K3503" t="s">
        <v>6060</v>
      </c>
      <c r="L3503" t="s">
        <v>8951</v>
      </c>
      <c r="M3503">
        <v>1132.8399999999999</v>
      </c>
      <c r="N3503">
        <v>1</v>
      </c>
      <c r="O3503">
        <v>0.04</v>
      </c>
      <c r="P3503">
        <v>84.32</v>
      </c>
      <c r="Q3503" t="s">
        <v>9893</v>
      </c>
      <c r="R3503">
        <v>6</v>
      </c>
      <c r="S3503" s="5">
        <f t="shared" si="108"/>
        <v>7.443239998587621E-2</v>
      </c>
      <c r="T3503">
        <v>1132.8399999999999</v>
      </c>
      <c r="U3503">
        <v>7</v>
      </c>
      <c r="V3503">
        <v>2023</v>
      </c>
      <c r="W3503">
        <v>3</v>
      </c>
      <c r="X3503" t="s">
        <v>9899</v>
      </c>
      <c r="Y3503" t="s">
        <v>9901</v>
      </c>
      <c r="Z3503" t="s">
        <v>9898</v>
      </c>
      <c r="AD3503">
        <f t="shared" si="109"/>
        <v>6</v>
      </c>
    </row>
    <row r="3504" spans="1:30" x14ac:dyDescent="0.25">
      <c r="A3504" t="s">
        <v>3528</v>
      </c>
      <c r="B3504" s="2">
        <v>44668</v>
      </c>
      <c r="C3504" s="2">
        <v>44672</v>
      </c>
      <c r="D3504" t="s">
        <v>5231</v>
      </c>
      <c r="E3504" t="s">
        <v>5731</v>
      </c>
      <c r="F3504" t="s">
        <v>6026</v>
      </c>
      <c r="G3504" t="s">
        <v>6029</v>
      </c>
      <c r="H3504" t="s">
        <v>6044</v>
      </c>
      <c r="I3504" t="s">
        <v>6046</v>
      </c>
      <c r="J3504" t="s">
        <v>6055</v>
      </c>
      <c r="K3504" t="s">
        <v>6061</v>
      </c>
      <c r="L3504" t="s">
        <v>8952</v>
      </c>
      <c r="M3504">
        <v>1607.87</v>
      </c>
      <c r="N3504">
        <v>4</v>
      </c>
      <c r="O3504">
        <v>0.02</v>
      </c>
      <c r="P3504">
        <v>308.08</v>
      </c>
      <c r="Q3504" t="s">
        <v>9897</v>
      </c>
      <c r="R3504">
        <v>4</v>
      </c>
      <c r="S3504" s="5">
        <f t="shared" si="108"/>
        <v>0.19160753045955209</v>
      </c>
      <c r="T3504">
        <v>401.96749999999997</v>
      </c>
      <c r="U3504">
        <v>4</v>
      </c>
      <c r="V3504">
        <v>2022</v>
      </c>
      <c r="W3504">
        <v>2</v>
      </c>
      <c r="X3504" t="s">
        <v>9899</v>
      </c>
      <c r="Y3504" t="s">
        <v>9901</v>
      </c>
      <c r="Z3504" t="s">
        <v>9898</v>
      </c>
      <c r="AD3504">
        <f t="shared" si="109"/>
        <v>4</v>
      </c>
    </row>
    <row r="3505" spans="1:30" x14ac:dyDescent="0.25">
      <c r="A3505" t="s">
        <v>3529</v>
      </c>
      <c r="B3505" s="2">
        <v>45093</v>
      </c>
      <c r="C3505" s="2">
        <v>45096</v>
      </c>
      <c r="D3505" t="s">
        <v>5458</v>
      </c>
      <c r="E3505" t="s">
        <v>5958</v>
      </c>
      <c r="F3505" t="s">
        <v>6028</v>
      </c>
      <c r="G3505" t="s">
        <v>6031</v>
      </c>
      <c r="H3505" t="s">
        <v>6037</v>
      </c>
      <c r="I3505" t="s">
        <v>6048</v>
      </c>
      <c r="J3505" t="s">
        <v>6055</v>
      </c>
      <c r="K3505" t="s">
        <v>6061</v>
      </c>
      <c r="L3505" t="s">
        <v>8953</v>
      </c>
      <c r="M3505">
        <v>1467.02</v>
      </c>
      <c r="N3505">
        <v>4</v>
      </c>
      <c r="O3505">
        <v>0.24</v>
      </c>
      <c r="P3505">
        <v>43.5</v>
      </c>
      <c r="Q3505" t="s">
        <v>9894</v>
      </c>
      <c r="R3505">
        <v>3</v>
      </c>
      <c r="S3505" s="5">
        <f t="shared" si="108"/>
        <v>2.9651947485378524E-2</v>
      </c>
      <c r="T3505">
        <v>366.755</v>
      </c>
      <c r="U3505">
        <v>6</v>
      </c>
      <c r="V3505">
        <v>2023</v>
      </c>
      <c r="W3505">
        <v>2</v>
      </c>
      <c r="X3505" t="s">
        <v>9899</v>
      </c>
      <c r="Y3505" t="s">
        <v>9900</v>
      </c>
      <c r="Z3505" t="s">
        <v>9898</v>
      </c>
      <c r="AD3505">
        <f t="shared" si="109"/>
        <v>3</v>
      </c>
    </row>
    <row r="3506" spans="1:30" x14ac:dyDescent="0.25">
      <c r="A3506" t="s">
        <v>3530</v>
      </c>
      <c r="B3506" s="2">
        <v>45005</v>
      </c>
      <c r="C3506" s="2">
        <v>45010</v>
      </c>
      <c r="D3506" t="s">
        <v>5132</v>
      </c>
      <c r="E3506" t="s">
        <v>5632</v>
      </c>
      <c r="F3506" t="s">
        <v>6027</v>
      </c>
      <c r="G3506" t="s">
        <v>6031</v>
      </c>
      <c r="H3506" t="s">
        <v>6034</v>
      </c>
      <c r="I3506" t="s">
        <v>6048</v>
      </c>
      <c r="J3506" t="s">
        <v>6054</v>
      </c>
      <c r="K3506" t="s">
        <v>6060</v>
      </c>
      <c r="L3506" t="s">
        <v>8954</v>
      </c>
      <c r="M3506">
        <v>266.58999999999997</v>
      </c>
      <c r="N3506">
        <v>3</v>
      </c>
      <c r="O3506">
        <v>0.04</v>
      </c>
      <c r="P3506">
        <v>17.79</v>
      </c>
      <c r="Q3506" t="s">
        <v>9894</v>
      </c>
      <c r="R3506">
        <v>5</v>
      </c>
      <c r="S3506" s="5">
        <f t="shared" si="108"/>
        <v>6.6731685359540868E-2</v>
      </c>
      <c r="T3506">
        <v>88.86333333333333</v>
      </c>
      <c r="U3506">
        <v>3</v>
      </c>
      <c r="V3506">
        <v>2023</v>
      </c>
      <c r="W3506">
        <v>1</v>
      </c>
      <c r="X3506" t="s">
        <v>9899</v>
      </c>
      <c r="Y3506" t="s">
        <v>9901</v>
      </c>
      <c r="Z3506" t="s">
        <v>9899</v>
      </c>
      <c r="AD3506">
        <f t="shared" si="109"/>
        <v>5</v>
      </c>
    </row>
    <row r="3507" spans="1:30" x14ac:dyDescent="0.25">
      <c r="A3507" t="s">
        <v>3531</v>
      </c>
      <c r="B3507" s="2">
        <v>45347</v>
      </c>
      <c r="C3507" s="2">
        <v>45351</v>
      </c>
      <c r="D3507" t="s">
        <v>5110</v>
      </c>
      <c r="E3507" t="s">
        <v>5610</v>
      </c>
      <c r="F3507" t="s">
        <v>6028</v>
      </c>
      <c r="G3507" t="s">
        <v>6031</v>
      </c>
      <c r="H3507" t="s">
        <v>6037</v>
      </c>
      <c r="I3507" t="s">
        <v>6050</v>
      </c>
      <c r="J3507" t="s">
        <v>6053</v>
      </c>
      <c r="K3507" t="s">
        <v>6056</v>
      </c>
      <c r="L3507" t="s">
        <v>8955</v>
      </c>
      <c r="M3507">
        <v>1305.03</v>
      </c>
      <c r="N3507">
        <v>2</v>
      </c>
      <c r="O3507">
        <v>0.21</v>
      </c>
      <c r="P3507">
        <v>0.86</v>
      </c>
      <c r="Q3507" t="s">
        <v>9896</v>
      </c>
      <c r="R3507">
        <v>4</v>
      </c>
      <c r="S3507" s="5">
        <f t="shared" si="108"/>
        <v>6.5898868225251522E-4</v>
      </c>
      <c r="T3507">
        <v>652.51499999999999</v>
      </c>
      <c r="U3507">
        <v>2</v>
      </c>
      <c r="V3507">
        <v>2024</v>
      </c>
      <c r="W3507">
        <v>1</v>
      </c>
      <c r="X3507" t="s">
        <v>9899</v>
      </c>
      <c r="Y3507" t="s">
        <v>9900</v>
      </c>
      <c r="Z3507" t="s">
        <v>9898</v>
      </c>
      <c r="AD3507">
        <f t="shared" si="109"/>
        <v>4</v>
      </c>
    </row>
    <row r="3508" spans="1:30" x14ac:dyDescent="0.25">
      <c r="A3508" t="s">
        <v>3532</v>
      </c>
      <c r="B3508" s="2">
        <v>45111</v>
      </c>
      <c r="C3508" s="2">
        <v>45114</v>
      </c>
      <c r="D3508" t="s">
        <v>5095</v>
      </c>
      <c r="E3508" t="s">
        <v>5595</v>
      </c>
      <c r="F3508" t="s">
        <v>6026</v>
      </c>
      <c r="G3508" t="s">
        <v>6030</v>
      </c>
      <c r="H3508" t="s">
        <v>6038</v>
      </c>
      <c r="I3508" t="s">
        <v>6051</v>
      </c>
      <c r="J3508" t="s">
        <v>6053</v>
      </c>
      <c r="K3508" t="s">
        <v>6058</v>
      </c>
      <c r="L3508" t="s">
        <v>8940</v>
      </c>
      <c r="M3508">
        <v>1475.03</v>
      </c>
      <c r="N3508">
        <v>3</v>
      </c>
      <c r="O3508">
        <v>0.13</v>
      </c>
      <c r="P3508">
        <v>224.16</v>
      </c>
      <c r="Q3508" t="s">
        <v>9894</v>
      </c>
      <c r="R3508">
        <v>3</v>
      </c>
      <c r="S3508" s="5">
        <f t="shared" si="108"/>
        <v>0.15196979044494011</v>
      </c>
      <c r="T3508">
        <v>491.67666666666668</v>
      </c>
      <c r="U3508">
        <v>7</v>
      </c>
      <c r="V3508">
        <v>2023</v>
      </c>
      <c r="W3508">
        <v>3</v>
      </c>
      <c r="X3508" t="s">
        <v>9899</v>
      </c>
      <c r="Y3508" t="s">
        <v>9901</v>
      </c>
      <c r="Z3508" t="s">
        <v>9898</v>
      </c>
      <c r="AD3508">
        <f t="shared" si="109"/>
        <v>3</v>
      </c>
    </row>
    <row r="3509" spans="1:30" x14ac:dyDescent="0.25">
      <c r="A3509" t="s">
        <v>3533</v>
      </c>
      <c r="B3509" s="2">
        <v>44723</v>
      </c>
      <c r="C3509" s="2">
        <v>44724</v>
      </c>
      <c r="D3509" t="s">
        <v>5217</v>
      </c>
      <c r="E3509" t="s">
        <v>5717</v>
      </c>
      <c r="F3509" t="s">
        <v>6028</v>
      </c>
      <c r="G3509" t="s">
        <v>6030</v>
      </c>
      <c r="H3509" t="s">
        <v>6038</v>
      </c>
      <c r="I3509" t="s">
        <v>6051</v>
      </c>
      <c r="J3509" t="s">
        <v>6053</v>
      </c>
      <c r="K3509" t="s">
        <v>6057</v>
      </c>
      <c r="L3509" t="s">
        <v>8956</v>
      </c>
      <c r="M3509">
        <v>1259.22</v>
      </c>
      <c r="N3509">
        <v>1</v>
      </c>
      <c r="O3509">
        <v>0.05</v>
      </c>
      <c r="P3509">
        <v>166.75</v>
      </c>
      <c r="Q3509" t="s">
        <v>9893</v>
      </c>
      <c r="R3509">
        <v>1</v>
      </c>
      <c r="S3509" s="5">
        <f t="shared" si="108"/>
        <v>0.1324232461364972</v>
      </c>
      <c r="T3509">
        <v>1259.22</v>
      </c>
      <c r="U3509">
        <v>6</v>
      </c>
      <c r="V3509">
        <v>2022</v>
      </c>
      <c r="W3509">
        <v>2</v>
      </c>
      <c r="X3509" t="s">
        <v>9899</v>
      </c>
      <c r="Y3509" t="s">
        <v>9901</v>
      </c>
      <c r="Z3509" t="s">
        <v>9898</v>
      </c>
      <c r="AD3509">
        <f t="shared" si="109"/>
        <v>1</v>
      </c>
    </row>
    <row r="3510" spans="1:30" x14ac:dyDescent="0.25">
      <c r="A3510" t="s">
        <v>3534</v>
      </c>
      <c r="B3510" s="2">
        <v>44659</v>
      </c>
      <c r="C3510" s="2">
        <v>44660</v>
      </c>
      <c r="D3510" t="s">
        <v>5088</v>
      </c>
      <c r="E3510" t="s">
        <v>5588</v>
      </c>
      <c r="F3510" t="s">
        <v>6026</v>
      </c>
      <c r="G3510" t="s">
        <v>6030</v>
      </c>
      <c r="H3510" t="s">
        <v>6039</v>
      </c>
      <c r="I3510" t="s">
        <v>6051</v>
      </c>
      <c r="J3510" t="s">
        <v>6054</v>
      </c>
      <c r="K3510" t="s">
        <v>6060</v>
      </c>
      <c r="L3510" t="s">
        <v>7464</v>
      </c>
      <c r="M3510">
        <v>1960.73</v>
      </c>
      <c r="N3510">
        <v>4</v>
      </c>
      <c r="O3510">
        <v>0.21</v>
      </c>
      <c r="P3510">
        <v>-138.22999999999999</v>
      </c>
      <c r="Q3510" t="s">
        <v>9895</v>
      </c>
      <c r="R3510">
        <v>1</v>
      </c>
      <c r="S3510" s="5">
        <f t="shared" si="108"/>
        <v>-7.049925282930336E-2</v>
      </c>
      <c r="T3510">
        <v>490.1825</v>
      </c>
      <c r="U3510">
        <v>4</v>
      </c>
      <c r="V3510">
        <v>2022</v>
      </c>
      <c r="W3510">
        <v>2</v>
      </c>
      <c r="X3510" t="s">
        <v>9898</v>
      </c>
      <c r="Y3510" t="s">
        <v>9900</v>
      </c>
      <c r="Z3510" t="s">
        <v>9898</v>
      </c>
      <c r="AD3510">
        <f t="shared" si="109"/>
        <v>1</v>
      </c>
    </row>
    <row r="3511" spans="1:30" x14ac:dyDescent="0.25">
      <c r="A3511" t="s">
        <v>3535</v>
      </c>
      <c r="B3511" s="2">
        <v>45393</v>
      </c>
      <c r="C3511" s="2">
        <v>45396</v>
      </c>
      <c r="D3511" t="s">
        <v>5417</v>
      </c>
      <c r="E3511" t="s">
        <v>5917</v>
      </c>
      <c r="F3511" t="s">
        <v>6026</v>
      </c>
      <c r="G3511" t="s">
        <v>6029</v>
      </c>
      <c r="H3511" t="s">
        <v>6041</v>
      </c>
      <c r="I3511" t="s">
        <v>6046</v>
      </c>
      <c r="J3511" t="s">
        <v>6053</v>
      </c>
      <c r="K3511" t="s">
        <v>6058</v>
      </c>
      <c r="L3511" t="s">
        <v>8957</v>
      </c>
      <c r="M3511">
        <v>1819.68</v>
      </c>
      <c r="N3511">
        <v>6</v>
      </c>
      <c r="O3511">
        <v>0.16</v>
      </c>
      <c r="P3511">
        <v>13.2</v>
      </c>
      <c r="Q3511" t="s">
        <v>9896</v>
      </c>
      <c r="R3511">
        <v>3</v>
      </c>
      <c r="S3511" s="5">
        <f t="shared" si="108"/>
        <v>7.2540226853073063E-3</v>
      </c>
      <c r="T3511">
        <v>303.27999999999997</v>
      </c>
      <c r="U3511">
        <v>4</v>
      </c>
      <c r="V3511">
        <v>2024</v>
      </c>
      <c r="W3511">
        <v>2</v>
      </c>
      <c r="X3511" t="s">
        <v>9899</v>
      </c>
      <c r="Y3511" t="s">
        <v>9900</v>
      </c>
      <c r="Z3511" t="s">
        <v>9898</v>
      </c>
      <c r="AD3511">
        <f t="shared" si="109"/>
        <v>3</v>
      </c>
    </row>
    <row r="3512" spans="1:30" x14ac:dyDescent="0.25">
      <c r="A3512" t="s">
        <v>3536</v>
      </c>
      <c r="B3512" s="2">
        <v>45325</v>
      </c>
      <c r="C3512" s="2">
        <v>45330</v>
      </c>
      <c r="D3512" t="s">
        <v>5151</v>
      </c>
      <c r="E3512" t="s">
        <v>5651</v>
      </c>
      <c r="F3512" t="s">
        <v>6026</v>
      </c>
      <c r="G3512" t="s">
        <v>6031</v>
      </c>
      <c r="H3512" t="s">
        <v>6037</v>
      </c>
      <c r="I3512" t="s">
        <v>6052</v>
      </c>
      <c r="J3512" t="s">
        <v>6054</v>
      </c>
      <c r="K3512" t="s">
        <v>6062</v>
      </c>
      <c r="L3512" t="s">
        <v>8828</v>
      </c>
      <c r="M3512">
        <v>1903.38</v>
      </c>
      <c r="N3512">
        <v>7</v>
      </c>
      <c r="O3512">
        <v>0.31</v>
      </c>
      <c r="P3512">
        <v>-358.91</v>
      </c>
      <c r="Q3512" t="s">
        <v>9893</v>
      </c>
      <c r="R3512">
        <v>5</v>
      </c>
      <c r="S3512" s="5">
        <f t="shared" si="108"/>
        <v>-0.18856455358362492</v>
      </c>
      <c r="T3512">
        <v>271.91142857142859</v>
      </c>
      <c r="U3512">
        <v>2</v>
      </c>
      <c r="V3512">
        <v>2024</v>
      </c>
      <c r="W3512">
        <v>1</v>
      </c>
      <c r="X3512" t="s">
        <v>9898</v>
      </c>
      <c r="Y3512" t="s">
        <v>9902</v>
      </c>
      <c r="Z3512" t="s">
        <v>9898</v>
      </c>
      <c r="AD3512">
        <f t="shared" si="109"/>
        <v>5</v>
      </c>
    </row>
    <row r="3513" spans="1:30" x14ac:dyDescent="0.25">
      <c r="A3513" t="s">
        <v>3537</v>
      </c>
      <c r="B3513" s="2">
        <v>45228</v>
      </c>
      <c r="C3513" s="2">
        <v>45235</v>
      </c>
      <c r="D3513" t="s">
        <v>5292</v>
      </c>
      <c r="E3513" t="s">
        <v>5792</v>
      </c>
      <c r="F3513" t="s">
        <v>6028</v>
      </c>
      <c r="G3513" t="s">
        <v>6030</v>
      </c>
      <c r="H3513" t="s">
        <v>6033</v>
      </c>
      <c r="I3513" t="s">
        <v>6047</v>
      </c>
      <c r="J3513" t="s">
        <v>6054</v>
      </c>
      <c r="K3513" t="s">
        <v>6060</v>
      </c>
      <c r="L3513" t="s">
        <v>8958</v>
      </c>
      <c r="M3513">
        <v>1577.75</v>
      </c>
      <c r="N3513">
        <v>3</v>
      </c>
      <c r="O3513">
        <v>0.25</v>
      </c>
      <c r="P3513">
        <v>-227.99</v>
      </c>
      <c r="Q3513" t="s">
        <v>9895</v>
      </c>
      <c r="R3513">
        <v>7</v>
      </c>
      <c r="S3513" s="5">
        <f t="shared" si="108"/>
        <v>-0.14450324829662495</v>
      </c>
      <c r="T3513">
        <v>525.91666666666663</v>
      </c>
      <c r="U3513">
        <v>10</v>
      </c>
      <c r="V3513">
        <v>2023</v>
      </c>
      <c r="W3513">
        <v>4</v>
      </c>
      <c r="X3513" t="s">
        <v>9898</v>
      </c>
      <c r="Y3513" t="s">
        <v>9900</v>
      </c>
      <c r="Z3513" t="s">
        <v>9898</v>
      </c>
      <c r="AD3513">
        <f t="shared" si="109"/>
        <v>7</v>
      </c>
    </row>
    <row r="3514" spans="1:30" x14ac:dyDescent="0.25">
      <c r="A3514" t="s">
        <v>3538</v>
      </c>
      <c r="B3514" s="2">
        <v>44982</v>
      </c>
      <c r="C3514" s="2">
        <v>44987</v>
      </c>
      <c r="D3514" t="s">
        <v>5135</v>
      </c>
      <c r="E3514" t="s">
        <v>5635</v>
      </c>
      <c r="F3514" t="s">
        <v>6027</v>
      </c>
      <c r="G3514" t="s">
        <v>6030</v>
      </c>
      <c r="H3514" t="s">
        <v>6039</v>
      </c>
      <c r="I3514" t="s">
        <v>6051</v>
      </c>
      <c r="J3514" t="s">
        <v>6055</v>
      </c>
      <c r="K3514" t="s">
        <v>6061</v>
      </c>
      <c r="L3514" t="s">
        <v>8959</v>
      </c>
      <c r="M3514">
        <v>134.18</v>
      </c>
      <c r="N3514">
        <v>1</v>
      </c>
      <c r="O3514">
        <v>0.2</v>
      </c>
      <c r="P3514">
        <v>10.76</v>
      </c>
      <c r="Q3514" t="s">
        <v>9896</v>
      </c>
      <c r="R3514">
        <v>5</v>
      </c>
      <c r="S3514" s="5">
        <f t="shared" si="108"/>
        <v>8.0190788493069001E-2</v>
      </c>
      <c r="T3514">
        <v>134.18</v>
      </c>
      <c r="U3514">
        <v>2</v>
      </c>
      <c r="V3514">
        <v>2023</v>
      </c>
      <c r="W3514">
        <v>1</v>
      </c>
      <c r="X3514" t="s">
        <v>9899</v>
      </c>
      <c r="Y3514" t="s">
        <v>9900</v>
      </c>
      <c r="Z3514" t="s">
        <v>9899</v>
      </c>
      <c r="AD3514">
        <f t="shared" si="109"/>
        <v>5</v>
      </c>
    </row>
    <row r="3515" spans="1:30" x14ac:dyDescent="0.25">
      <c r="A3515" t="s">
        <v>3539</v>
      </c>
      <c r="B3515" s="2">
        <v>44886</v>
      </c>
      <c r="C3515" s="2">
        <v>44893</v>
      </c>
      <c r="D3515" t="s">
        <v>5395</v>
      </c>
      <c r="E3515" t="s">
        <v>5895</v>
      </c>
      <c r="F3515" t="s">
        <v>6028</v>
      </c>
      <c r="G3515" t="s">
        <v>6031</v>
      </c>
      <c r="H3515" t="s">
        <v>6037</v>
      </c>
      <c r="I3515" t="s">
        <v>6050</v>
      </c>
      <c r="J3515" t="s">
        <v>6054</v>
      </c>
      <c r="K3515" t="s">
        <v>6059</v>
      </c>
      <c r="L3515" t="s">
        <v>8960</v>
      </c>
      <c r="M3515">
        <v>1537.57</v>
      </c>
      <c r="N3515">
        <v>1</v>
      </c>
      <c r="O3515">
        <v>0.34</v>
      </c>
      <c r="P3515">
        <v>-217.79</v>
      </c>
      <c r="Q3515" t="s">
        <v>9894</v>
      </c>
      <c r="R3515">
        <v>7</v>
      </c>
      <c r="S3515" s="5">
        <f t="shared" si="108"/>
        <v>-0.14164558361570531</v>
      </c>
      <c r="T3515">
        <v>1537.57</v>
      </c>
      <c r="U3515">
        <v>11</v>
      </c>
      <c r="V3515">
        <v>2022</v>
      </c>
      <c r="W3515">
        <v>4</v>
      </c>
      <c r="X3515" t="s">
        <v>9898</v>
      </c>
      <c r="Y3515" t="s">
        <v>9902</v>
      </c>
      <c r="Z3515" t="s">
        <v>9898</v>
      </c>
      <c r="AD3515">
        <f t="shared" si="109"/>
        <v>7</v>
      </c>
    </row>
    <row r="3516" spans="1:30" x14ac:dyDescent="0.25">
      <c r="A3516" t="s">
        <v>3540</v>
      </c>
      <c r="B3516" s="2">
        <v>44748</v>
      </c>
      <c r="C3516" s="2">
        <v>44754</v>
      </c>
      <c r="D3516" t="s">
        <v>5133</v>
      </c>
      <c r="E3516" t="s">
        <v>5633</v>
      </c>
      <c r="F3516" t="s">
        <v>6026</v>
      </c>
      <c r="G3516" t="s">
        <v>6029</v>
      </c>
      <c r="H3516" t="s">
        <v>6045</v>
      </c>
      <c r="I3516" t="s">
        <v>6046</v>
      </c>
      <c r="J3516" t="s">
        <v>6054</v>
      </c>
      <c r="K3516" t="s">
        <v>6060</v>
      </c>
      <c r="L3516" t="s">
        <v>8961</v>
      </c>
      <c r="M3516">
        <v>1526.22</v>
      </c>
      <c r="N3516">
        <v>6</v>
      </c>
      <c r="O3516">
        <v>0.02</v>
      </c>
      <c r="P3516">
        <v>393.48</v>
      </c>
      <c r="Q3516" t="s">
        <v>9894</v>
      </c>
      <c r="R3516">
        <v>6</v>
      </c>
      <c r="S3516" s="5">
        <f t="shared" si="108"/>
        <v>0.25781342139403235</v>
      </c>
      <c r="T3516">
        <v>254.37</v>
      </c>
      <c r="U3516">
        <v>7</v>
      </c>
      <c r="V3516">
        <v>2022</v>
      </c>
      <c r="W3516">
        <v>3</v>
      </c>
      <c r="X3516" t="s">
        <v>9899</v>
      </c>
      <c r="Y3516" t="s">
        <v>9901</v>
      </c>
      <c r="Z3516" t="s">
        <v>9898</v>
      </c>
      <c r="AD3516">
        <f t="shared" si="109"/>
        <v>6</v>
      </c>
    </row>
    <row r="3517" spans="1:30" x14ac:dyDescent="0.25">
      <c r="A3517" t="s">
        <v>3541</v>
      </c>
      <c r="B3517" s="2">
        <v>45409</v>
      </c>
      <c r="C3517" s="2">
        <v>45413</v>
      </c>
      <c r="D3517" t="s">
        <v>5261</v>
      </c>
      <c r="E3517" t="s">
        <v>5761</v>
      </c>
      <c r="F3517" t="s">
        <v>6028</v>
      </c>
      <c r="G3517" t="s">
        <v>6029</v>
      </c>
      <c r="H3517" t="s">
        <v>6041</v>
      </c>
      <c r="I3517" t="s">
        <v>6050</v>
      </c>
      <c r="J3517" t="s">
        <v>6053</v>
      </c>
      <c r="K3517" t="s">
        <v>6058</v>
      </c>
      <c r="L3517" t="s">
        <v>8962</v>
      </c>
      <c r="M3517">
        <v>699.69</v>
      </c>
      <c r="N3517">
        <v>8</v>
      </c>
      <c r="O3517">
        <v>0.34</v>
      </c>
      <c r="P3517">
        <v>-140.41999999999999</v>
      </c>
      <c r="Q3517" t="s">
        <v>9895</v>
      </c>
      <c r="R3517">
        <v>4</v>
      </c>
      <c r="S3517" s="5">
        <f t="shared" si="108"/>
        <v>-0.20068887650245104</v>
      </c>
      <c r="T3517">
        <v>87.461250000000007</v>
      </c>
      <c r="U3517">
        <v>4</v>
      </c>
      <c r="V3517">
        <v>2024</v>
      </c>
      <c r="W3517">
        <v>2</v>
      </c>
      <c r="X3517" t="s">
        <v>9898</v>
      </c>
      <c r="Y3517" t="s">
        <v>9902</v>
      </c>
      <c r="Z3517" t="s">
        <v>9899</v>
      </c>
      <c r="AD3517">
        <f t="shared" si="109"/>
        <v>4</v>
      </c>
    </row>
    <row r="3518" spans="1:30" x14ac:dyDescent="0.25">
      <c r="A3518" t="s">
        <v>3542</v>
      </c>
      <c r="B3518" s="2">
        <v>45424</v>
      </c>
      <c r="C3518" s="2">
        <v>45427</v>
      </c>
      <c r="D3518" t="s">
        <v>5390</v>
      </c>
      <c r="E3518" t="s">
        <v>5890</v>
      </c>
      <c r="F3518" t="s">
        <v>6026</v>
      </c>
      <c r="G3518" t="s">
        <v>6031</v>
      </c>
      <c r="H3518" t="s">
        <v>6042</v>
      </c>
      <c r="I3518" t="s">
        <v>6050</v>
      </c>
      <c r="J3518" t="s">
        <v>6055</v>
      </c>
      <c r="K3518" t="s">
        <v>6061</v>
      </c>
      <c r="L3518" t="s">
        <v>8963</v>
      </c>
      <c r="M3518">
        <v>1152.78</v>
      </c>
      <c r="N3518">
        <v>3</v>
      </c>
      <c r="O3518">
        <v>0.01</v>
      </c>
      <c r="P3518">
        <v>201.56</v>
      </c>
      <c r="Q3518" t="s">
        <v>9895</v>
      </c>
      <c r="R3518">
        <v>3</v>
      </c>
      <c r="S3518" s="5">
        <f t="shared" si="108"/>
        <v>0.17484689186141328</v>
      </c>
      <c r="T3518">
        <v>384.26</v>
      </c>
      <c r="U3518">
        <v>5</v>
      </c>
      <c r="V3518">
        <v>2024</v>
      </c>
      <c r="W3518">
        <v>2</v>
      </c>
      <c r="X3518" t="s">
        <v>9899</v>
      </c>
      <c r="Y3518" t="s">
        <v>9901</v>
      </c>
      <c r="Z3518" t="s">
        <v>9898</v>
      </c>
      <c r="AD3518">
        <f t="shared" si="109"/>
        <v>3</v>
      </c>
    </row>
    <row r="3519" spans="1:30" x14ac:dyDescent="0.25">
      <c r="A3519" t="s">
        <v>3543</v>
      </c>
      <c r="B3519" s="2">
        <v>45109</v>
      </c>
      <c r="C3519" s="2">
        <v>45115</v>
      </c>
      <c r="D3519" t="s">
        <v>5488</v>
      </c>
      <c r="E3519" t="s">
        <v>5988</v>
      </c>
      <c r="F3519" t="s">
        <v>6026</v>
      </c>
      <c r="G3519" t="s">
        <v>6031</v>
      </c>
      <c r="H3519" t="s">
        <v>6043</v>
      </c>
      <c r="I3519" t="s">
        <v>6048</v>
      </c>
      <c r="J3519" t="s">
        <v>6053</v>
      </c>
      <c r="K3519" t="s">
        <v>6056</v>
      </c>
      <c r="L3519" t="s">
        <v>8964</v>
      </c>
      <c r="M3519">
        <v>1120.02</v>
      </c>
      <c r="N3519">
        <v>3</v>
      </c>
      <c r="O3519">
        <v>0.24</v>
      </c>
      <c r="P3519">
        <v>-90.24</v>
      </c>
      <c r="Q3519" t="s">
        <v>9894</v>
      </c>
      <c r="R3519">
        <v>6</v>
      </c>
      <c r="S3519" s="5">
        <f t="shared" si="108"/>
        <v>-8.056998982161033E-2</v>
      </c>
      <c r="T3519">
        <v>373.34</v>
      </c>
      <c r="U3519">
        <v>7</v>
      </c>
      <c r="V3519">
        <v>2023</v>
      </c>
      <c r="W3519">
        <v>3</v>
      </c>
      <c r="X3519" t="s">
        <v>9898</v>
      </c>
      <c r="Y3519" t="s">
        <v>9900</v>
      </c>
      <c r="Z3519" t="s">
        <v>9898</v>
      </c>
      <c r="AD3519">
        <f t="shared" si="109"/>
        <v>6</v>
      </c>
    </row>
    <row r="3520" spans="1:30" x14ac:dyDescent="0.25">
      <c r="A3520" t="s">
        <v>3544</v>
      </c>
      <c r="B3520" s="2">
        <v>44732</v>
      </c>
      <c r="C3520" s="2">
        <v>44733</v>
      </c>
      <c r="D3520" t="s">
        <v>5421</v>
      </c>
      <c r="E3520" t="s">
        <v>5921</v>
      </c>
      <c r="F3520" t="s">
        <v>6027</v>
      </c>
      <c r="G3520" t="s">
        <v>6031</v>
      </c>
      <c r="H3520" t="s">
        <v>6042</v>
      </c>
      <c r="I3520" t="s">
        <v>6050</v>
      </c>
      <c r="J3520" t="s">
        <v>6053</v>
      </c>
      <c r="K3520" t="s">
        <v>6058</v>
      </c>
      <c r="L3520" t="s">
        <v>8965</v>
      </c>
      <c r="M3520">
        <v>677.99</v>
      </c>
      <c r="N3520">
        <v>1</v>
      </c>
      <c r="O3520">
        <v>0.2</v>
      </c>
      <c r="P3520">
        <v>-27.32</v>
      </c>
      <c r="Q3520" t="s">
        <v>9895</v>
      </c>
      <c r="R3520">
        <v>1</v>
      </c>
      <c r="S3520" s="5">
        <f t="shared" si="108"/>
        <v>-4.0295579580819779E-2</v>
      </c>
      <c r="T3520">
        <v>677.99</v>
      </c>
      <c r="U3520">
        <v>6</v>
      </c>
      <c r="V3520">
        <v>2022</v>
      </c>
      <c r="W3520">
        <v>2</v>
      </c>
      <c r="X3520" t="s">
        <v>9898</v>
      </c>
      <c r="Y3520" t="s">
        <v>9900</v>
      </c>
      <c r="Z3520" t="s">
        <v>9899</v>
      </c>
      <c r="AD3520">
        <f t="shared" si="109"/>
        <v>1</v>
      </c>
    </row>
    <row r="3521" spans="1:30" x14ac:dyDescent="0.25">
      <c r="A3521" t="s">
        <v>3545</v>
      </c>
      <c r="B3521" s="2">
        <v>44752</v>
      </c>
      <c r="C3521" s="2">
        <v>44759</v>
      </c>
      <c r="D3521" t="s">
        <v>5372</v>
      </c>
      <c r="E3521" t="s">
        <v>5872</v>
      </c>
      <c r="F3521" t="s">
        <v>6028</v>
      </c>
      <c r="G3521" t="s">
        <v>6029</v>
      </c>
      <c r="H3521" t="s">
        <v>6036</v>
      </c>
      <c r="I3521" t="s">
        <v>6050</v>
      </c>
      <c r="J3521" t="s">
        <v>6053</v>
      </c>
      <c r="K3521" t="s">
        <v>6058</v>
      </c>
      <c r="L3521" t="s">
        <v>8966</v>
      </c>
      <c r="M3521">
        <v>209.2</v>
      </c>
      <c r="N3521">
        <v>8</v>
      </c>
      <c r="O3521">
        <v>0.32</v>
      </c>
      <c r="P3521">
        <v>-32.700000000000003</v>
      </c>
      <c r="Q3521" t="s">
        <v>9896</v>
      </c>
      <c r="R3521">
        <v>7</v>
      </c>
      <c r="S3521" s="5">
        <f t="shared" si="108"/>
        <v>-0.15630975143403444</v>
      </c>
      <c r="T3521">
        <v>26.15</v>
      </c>
      <c r="U3521">
        <v>7</v>
      </c>
      <c r="V3521">
        <v>2022</v>
      </c>
      <c r="W3521">
        <v>3</v>
      </c>
      <c r="X3521" t="s">
        <v>9898</v>
      </c>
      <c r="Y3521" t="s">
        <v>9902</v>
      </c>
      <c r="Z3521" t="s">
        <v>9899</v>
      </c>
      <c r="AD3521">
        <f t="shared" si="109"/>
        <v>7</v>
      </c>
    </row>
    <row r="3522" spans="1:30" x14ac:dyDescent="0.25">
      <c r="A3522" t="s">
        <v>3546</v>
      </c>
      <c r="B3522" s="2">
        <v>45343</v>
      </c>
      <c r="C3522" s="2">
        <v>45349</v>
      </c>
      <c r="D3522" t="s">
        <v>5209</v>
      </c>
      <c r="E3522" t="s">
        <v>5709</v>
      </c>
      <c r="F3522" t="s">
        <v>6026</v>
      </c>
      <c r="G3522" t="s">
        <v>6029</v>
      </c>
      <c r="H3522" t="s">
        <v>6036</v>
      </c>
      <c r="I3522" t="s">
        <v>6046</v>
      </c>
      <c r="J3522" t="s">
        <v>6054</v>
      </c>
      <c r="K3522" t="s">
        <v>6059</v>
      </c>
      <c r="L3522" t="s">
        <v>8544</v>
      </c>
      <c r="M3522">
        <v>608.04</v>
      </c>
      <c r="N3522">
        <v>1</v>
      </c>
      <c r="O3522">
        <v>7.0000000000000007E-2</v>
      </c>
      <c r="P3522">
        <v>132.15</v>
      </c>
      <c r="Q3522" t="s">
        <v>9893</v>
      </c>
      <c r="R3522">
        <v>6</v>
      </c>
      <c r="S3522" s="5">
        <f t="shared" si="108"/>
        <v>0.21733767515295049</v>
      </c>
      <c r="T3522">
        <v>608.04</v>
      </c>
      <c r="U3522">
        <v>2</v>
      </c>
      <c r="V3522">
        <v>2024</v>
      </c>
      <c r="W3522">
        <v>1</v>
      </c>
      <c r="X3522" t="s">
        <v>9899</v>
      </c>
      <c r="Y3522" t="s">
        <v>9901</v>
      </c>
      <c r="Z3522" t="s">
        <v>9899</v>
      </c>
      <c r="AD3522">
        <f t="shared" si="109"/>
        <v>6</v>
      </c>
    </row>
    <row r="3523" spans="1:30" x14ac:dyDescent="0.25">
      <c r="A3523" t="s">
        <v>3547</v>
      </c>
      <c r="B3523" s="2">
        <v>44979</v>
      </c>
      <c r="C3523" s="2">
        <v>44984</v>
      </c>
      <c r="D3523" t="s">
        <v>5255</v>
      </c>
      <c r="E3523" t="s">
        <v>5755</v>
      </c>
      <c r="F3523" t="s">
        <v>6028</v>
      </c>
      <c r="G3523" t="s">
        <v>6031</v>
      </c>
      <c r="H3523" t="s">
        <v>6042</v>
      </c>
      <c r="I3523" t="s">
        <v>6048</v>
      </c>
      <c r="J3523" t="s">
        <v>6053</v>
      </c>
      <c r="K3523" t="s">
        <v>6058</v>
      </c>
      <c r="L3523" t="s">
        <v>8967</v>
      </c>
      <c r="M3523">
        <v>840.26</v>
      </c>
      <c r="N3523">
        <v>7</v>
      </c>
      <c r="O3523">
        <v>0.16</v>
      </c>
      <c r="P3523">
        <v>112.12</v>
      </c>
      <c r="Q3523" t="s">
        <v>9893</v>
      </c>
      <c r="R3523">
        <v>5</v>
      </c>
      <c r="S3523" s="5">
        <f t="shared" ref="S3523:S3586" si="110">P3523/M3523</f>
        <v>0.13343488920096161</v>
      </c>
      <c r="T3523">
        <v>120.0371428571429</v>
      </c>
      <c r="U3523">
        <v>2</v>
      </c>
      <c r="V3523">
        <v>2023</v>
      </c>
      <c r="W3523">
        <v>1</v>
      </c>
      <c r="X3523" t="s">
        <v>9899</v>
      </c>
      <c r="Y3523" t="s">
        <v>9900</v>
      </c>
      <c r="Z3523" t="s">
        <v>9899</v>
      </c>
      <c r="AD3523">
        <f t="shared" ref="AD3523:AD3586" si="111">C3523-B3523</f>
        <v>5</v>
      </c>
    </row>
    <row r="3524" spans="1:30" x14ac:dyDescent="0.25">
      <c r="A3524" t="s">
        <v>3548</v>
      </c>
      <c r="B3524" s="2">
        <v>44920</v>
      </c>
      <c r="C3524" s="2">
        <v>44922</v>
      </c>
      <c r="D3524" t="s">
        <v>5386</v>
      </c>
      <c r="E3524" t="s">
        <v>5886</v>
      </c>
      <c r="F3524" t="s">
        <v>6027</v>
      </c>
      <c r="G3524" t="s">
        <v>6030</v>
      </c>
      <c r="H3524" t="s">
        <v>6038</v>
      </c>
      <c r="I3524" t="s">
        <v>6047</v>
      </c>
      <c r="J3524" t="s">
        <v>6055</v>
      </c>
      <c r="K3524" t="s">
        <v>6061</v>
      </c>
      <c r="L3524" t="s">
        <v>8968</v>
      </c>
      <c r="M3524">
        <v>1807.6</v>
      </c>
      <c r="N3524">
        <v>6</v>
      </c>
      <c r="O3524">
        <v>0.25</v>
      </c>
      <c r="P3524">
        <v>-122.22</v>
      </c>
      <c r="Q3524" t="s">
        <v>9897</v>
      </c>
      <c r="R3524">
        <v>2</v>
      </c>
      <c r="S3524" s="5">
        <f t="shared" si="110"/>
        <v>-6.7614516485948226E-2</v>
      </c>
      <c r="T3524">
        <v>301.26666666666671</v>
      </c>
      <c r="U3524">
        <v>12</v>
      </c>
      <c r="V3524">
        <v>2022</v>
      </c>
      <c r="W3524">
        <v>4</v>
      </c>
      <c r="X3524" t="s">
        <v>9898</v>
      </c>
      <c r="Y3524" t="s">
        <v>9900</v>
      </c>
      <c r="Z3524" t="s">
        <v>9898</v>
      </c>
      <c r="AD3524">
        <f t="shared" si="111"/>
        <v>2</v>
      </c>
    </row>
    <row r="3525" spans="1:30" x14ac:dyDescent="0.25">
      <c r="A3525" t="s">
        <v>3549</v>
      </c>
      <c r="B3525" s="2">
        <v>45174</v>
      </c>
      <c r="C3525" s="2">
        <v>45181</v>
      </c>
      <c r="D3525" t="s">
        <v>5280</v>
      </c>
      <c r="E3525" t="s">
        <v>5780</v>
      </c>
      <c r="F3525" t="s">
        <v>6026</v>
      </c>
      <c r="G3525" t="s">
        <v>6030</v>
      </c>
      <c r="H3525" t="s">
        <v>6039</v>
      </c>
      <c r="I3525" t="s">
        <v>6047</v>
      </c>
      <c r="J3525" t="s">
        <v>6054</v>
      </c>
      <c r="K3525" t="s">
        <v>6062</v>
      </c>
      <c r="L3525" t="s">
        <v>8969</v>
      </c>
      <c r="M3525">
        <v>363.88</v>
      </c>
      <c r="N3525">
        <v>5</v>
      </c>
      <c r="O3525">
        <v>0.23</v>
      </c>
      <c r="P3525">
        <v>-41.64</v>
      </c>
      <c r="Q3525" t="s">
        <v>9897</v>
      </c>
      <c r="R3525">
        <v>7</v>
      </c>
      <c r="S3525" s="5">
        <f t="shared" si="110"/>
        <v>-0.11443332966912169</v>
      </c>
      <c r="T3525">
        <v>72.775999999999996</v>
      </c>
      <c r="U3525">
        <v>9</v>
      </c>
      <c r="V3525">
        <v>2023</v>
      </c>
      <c r="W3525">
        <v>3</v>
      </c>
      <c r="X3525" t="s">
        <v>9898</v>
      </c>
      <c r="Y3525" t="s">
        <v>9900</v>
      </c>
      <c r="Z3525" t="s">
        <v>9899</v>
      </c>
      <c r="AD3525">
        <f t="shared" si="111"/>
        <v>7</v>
      </c>
    </row>
    <row r="3526" spans="1:30" x14ac:dyDescent="0.25">
      <c r="A3526" t="s">
        <v>3550</v>
      </c>
      <c r="B3526" s="2">
        <v>45312</v>
      </c>
      <c r="C3526" s="2">
        <v>45314</v>
      </c>
      <c r="D3526" t="s">
        <v>5214</v>
      </c>
      <c r="E3526" t="s">
        <v>5714</v>
      </c>
      <c r="F3526" t="s">
        <v>6027</v>
      </c>
      <c r="G3526" t="s">
        <v>6031</v>
      </c>
      <c r="H3526" t="s">
        <v>6040</v>
      </c>
      <c r="I3526" t="s">
        <v>6048</v>
      </c>
      <c r="J3526" t="s">
        <v>6054</v>
      </c>
      <c r="K3526" t="s">
        <v>6062</v>
      </c>
      <c r="L3526" t="s">
        <v>8970</v>
      </c>
      <c r="M3526">
        <v>1936.97</v>
      </c>
      <c r="N3526">
        <v>8</v>
      </c>
      <c r="O3526">
        <v>0.01</v>
      </c>
      <c r="P3526">
        <v>320.27999999999997</v>
      </c>
      <c r="Q3526" t="s">
        <v>9894</v>
      </c>
      <c r="R3526">
        <v>2</v>
      </c>
      <c r="S3526" s="5">
        <f t="shared" si="110"/>
        <v>0.165351037961352</v>
      </c>
      <c r="T3526">
        <v>242.12125</v>
      </c>
      <c r="U3526">
        <v>1</v>
      </c>
      <c r="V3526">
        <v>2024</v>
      </c>
      <c r="W3526">
        <v>1</v>
      </c>
      <c r="X3526" t="s">
        <v>9899</v>
      </c>
      <c r="Y3526" t="s">
        <v>9901</v>
      </c>
      <c r="Z3526" t="s">
        <v>9898</v>
      </c>
      <c r="AD3526">
        <f t="shared" si="111"/>
        <v>2</v>
      </c>
    </row>
    <row r="3527" spans="1:30" x14ac:dyDescent="0.25">
      <c r="A3527" t="s">
        <v>3551</v>
      </c>
      <c r="B3527" s="2">
        <v>45267</v>
      </c>
      <c r="C3527" s="2">
        <v>45270</v>
      </c>
      <c r="D3527" t="s">
        <v>5440</v>
      </c>
      <c r="E3527" t="s">
        <v>5940</v>
      </c>
      <c r="F3527" t="s">
        <v>6026</v>
      </c>
      <c r="G3527" t="s">
        <v>6030</v>
      </c>
      <c r="H3527" t="s">
        <v>6033</v>
      </c>
      <c r="I3527" t="s">
        <v>6051</v>
      </c>
      <c r="J3527" t="s">
        <v>6053</v>
      </c>
      <c r="K3527" t="s">
        <v>6058</v>
      </c>
      <c r="L3527" t="s">
        <v>8971</v>
      </c>
      <c r="M3527">
        <v>856.98</v>
      </c>
      <c r="N3527">
        <v>8</v>
      </c>
      <c r="O3527">
        <v>0.04</v>
      </c>
      <c r="P3527">
        <v>54</v>
      </c>
      <c r="Q3527" t="s">
        <v>9894</v>
      </c>
      <c r="R3527">
        <v>3</v>
      </c>
      <c r="S3527" s="5">
        <f t="shared" si="110"/>
        <v>6.3011972274732195E-2</v>
      </c>
      <c r="T3527">
        <v>107.1225</v>
      </c>
      <c r="U3527">
        <v>12</v>
      </c>
      <c r="V3527">
        <v>2023</v>
      </c>
      <c r="W3527">
        <v>4</v>
      </c>
      <c r="X3527" t="s">
        <v>9899</v>
      </c>
      <c r="Y3527" t="s">
        <v>9901</v>
      </c>
      <c r="Z3527" t="s">
        <v>9899</v>
      </c>
      <c r="AD3527">
        <f t="shared" si="111"/>
        <v>3</v>
      </c>
    </row>
    <row r="3528" spans="1:30" x14ac:dyDescent="0.25">
      <c r="A3528" t="s">
        <v>3552</v>
      </c>
      <c r="B3528" s="2">
        <v>44800</v>
      </c>
      <c r="C3528" s="2">
        <v>44805</v>
      </c>
      <c r="D3528" t="s">
        <v>5186</v>
      </c>
      <c r="E3528" t="s">
        <v>5686</v>
      </c>
      <c r="F3528" t="s">
        <v>6027</v>
      </c>
      <c r="G3528" t="s">
        <v>6031</v>
      </c>
      <c r="H3528" t="s">
        <v>6034</v>
      </c>
      <c r="I3528" t="s">
        <v>6050</v>
      </c>
      <c r="J3528" t="s">
        <v>6054</v>
      </c>
      <c r="K3528" t="s">
        <v>6059</v>
      </c>
      <c r="L3528" t="s">
        <v>7651</v>
      </c>
      <c r="M3528">
        <v>1048.24</v>
      </c>
      <c r="N3528">
        <v>7</v>
      </c>
      <c r="O3528">
        <v>0.05</v>
      </c>
      <c r="P3528">
        <v>250.56</v>
      </c>
      <c r="Q3528" t="s">
        <v>9896</v>
      </c>
      <c r="R3528">
        <v>5</v>
      </c>
      <c r="S3528" s="5">
        <f t="shared" si="110"/>
        <v>0.2390292299473403</v>
      </c>
      <c r="T3528">
        <v>149.74857142857141</v>
      </c>
      <c r="U3528">
        <v>8</v>
      </c>
      <c r="V3528">
        <v>2022</v>
      </c>
      <c r="W3528">
        <v>3</v>
      </c>
      <c r="X3528" t="s">
        <v>9899</v>
      </c>
      <c r="Y3528" t="s">
        <v>9901</v>
      </c>
      <c r="Z3528" t="s">
        <v>9898</v>
      </c>
      <c r="AD3528">
        <f t="shared" si="111"/>
        <v>5</v>
      </c>
    </row>
    <row r="3529" spans="1:30" x14ac:dyDescent="0.25">
      <c r="A3529" t="s">
        <v>3553</v>
      </c>
      <c r="B3529" s="2">
        <v>45207</v>
      </c>
      <c r="C3529" s="2">
        <v>45210</v>
      </c>
      <c r="D3529" t="s">
        <v>5415</v>
      </c>
      <c r="E3529" t="s">
        <v>5915</v>
      </c>
      <c r="F3529" t="s">
        <v>6026</v>
      </c>
      <c r="G3529" t="s">
        <v>6030</v>
      </c>
      <c r="H3529" t="s">
        <v>6039</v>
      </c>
      <c r="I3529" t="s">
        <v>6047</v>
      </c>
      <c r="J3529" t="s">
        <v>6054</v>
      </c>
      <c r="K3529" t="s">
        <v>6060</v>
      </c>
      <c r="L3529" t="s">
        <v>8972</v>
      </c>
      <c r="M3529">
        <v>1773.93</v>
      </c>
      <c r="N3529">
        <v>7</v>
      </c>
      <c r="O3529">
        <v>0.25</v>
      </c>
      <c r="P3529">
        <v>-114.23</v>
      </c>
      <c r="Q3529" t="s">
        <v>9894</v>
      </c>
      <c r="R3529">
        <v>3</v>
      </c>
      <c r="S3529" s="5">
        <f t="shared" si="110"/>
        <v>-6.4393747216631991E-2</v>
      </c>
      <c r="T3529">
        <v>253.4185714285714</v>
      </c>
      <c r="U3529">
        <v>10</v>
      </c>
      <c r="V3529">
        <v>2023</v>
      </c>
      <c r="W3529">
        <v>4</v>
      </c>
      <c r="X3529" t="s">
        <v>9898</v>
      </c>
      <c r="Y3529" t="s">
        <v>9900</v>
      </c>
      <c r="Z3529" t="s">
        <v>9898</v>
      </c>
      <c r="AD3529">
        <f t="shared" si="111"/>
        <v>3</v>
      </c>
    </row>
    <row r="3530" spans="1:30" x14ac:dyDescent="0.25">
      <c r="A3530" t="s">
        <v>3554</v>
      </c>
      <c r="B3530" s="2">
        <v>44832</v>
      </c>
      <c r="C3530" s="2">
        <v>44838</v>
      </c>
      <c r="D3530" t="s">
        <v>5153</v>
      </c>
      <c r="E3530" t="s">
        <v>5653</v>
      </c>
      <c r="F3530" t="s">
        <v>6027</v>
      </c>
      <c r="G3530" t="s">
        <v>6029</v>
      </c>
      <c r="H3530" t="s">
        <v>6036</v>
      </c>
      <c r="I3530" t="s">
        <v>6049</v>
      </c>
      <c r="J3530" t="s">
        <v>6054</v>
      </c>
      <c r="K3530" t="s">
        <v>6059</v>
      </c>
      <c r="L3530" t="s">
        <v>8973</v>
      </c>
      <c r="M3530">
        <v>1787.68</v>
      </c>
      <c r="N3530">
        <v>8</v>
      </c>
      <c r="O3530">
        <v>0.12</v>
      </c>
      <c r="P3530">
        <v>38.5</v>
      </c>
      <c r="Q3530" t="s">
        <v>9893</v>
      </c>
      <c r="R3530">
        <v>6</v>
      </c>
      <c r="S3530" s="5">
        <f t="shared" si="110"/>
        <v>2.1536292848832003E-2</v>
      </c>
      <c r="T3530">
        <v>223.46</v>
      </c>
      <c r="U3530">
        <v>9</v>
      </c>
      <c r="V3530">
        <v>2022</v>
      </c>
      <c r="W3530">
        <v>3</v>
      </c>
      <c r="X3530" t="s">
        <v>9899</v>
      </c>
      <c r="Y3530" t="s">
        <v>9901</v>
      </c>
      <c r="Z3530" t="s">
        <v>9898</v>
      </c>
      <c r="AD3530">
        <f t="shared" si="111"/>
        <v>6</v>
      </c>
    </row>
    <row r="3531" spans="1:30" x14ac:dyDescent="0.25">
      <c r="A3531" t="s">
        <v>3555</v>
      </c>
      <c r="B3531" s="2">
        <v>44947</v>
      </c>
      <c r="C3531" s="2">
        <v>44950</v>
      </c>
      <c r="D3531" t="s">
        <v>5060</v>
      </c>
      <c r="E3531" t="s">
        <v>5560</v>
      </c>
      <c r="F3531" t="s">
        <v>6026</v>
      </c>
      <c r="G3531" t="s">
        <v>6029</v>
      </c>
      <c r="H3531" t="s">
        <v>6032</v>
      </c>
      <c r="I3531" t="s">
        <v>6049</v>
      </c>
      <c r="J3531" t="s">
        <v>6054</v>
      </c>
      <c r="K3531" t="s">
        <v>6059</v>
      </c>
      <c r="L3531" t="s">
        <v>6680</v>
      </c>
      <c r="M3531">
        <v>1844.28</v>
      </c>
      <c r="N3531">
        <v>4</v>
      </c>
      <c r="O3531">
        <v>0.11</v>
      </c>
      <c r="P3531">
        <v>273.83</v>
      </c>
      <c r="Q3531" t="s">
        <v>9894</v>
      </c>
      <c r="R3531">
        <v>3</v>
      </c>
      <c r="S3531" s="5">
        <f t="shared" si="110"/>
        <v>0.14847528574836791</v>
      </c>
      <c r="T3531">
        <v>461.07</v>
      </c>
      <c r="U3531">
        <v>1</v>
      </c>
      <c r="V3531">
        <v>2023</v>
      </c>
      <c r="W3531">
        <v>1</v>
      </c>
      <c r="X3531" t="s">
        <v>9899</v>
      </c>
      <c r="Y3531" t="s">
        <v>9901</v>
      </c>
      <c r="Z3531" t="s">
        <v>9898</v>
      </c>
      <c r="AD3531">
        <f t="shared" si="111"/>
        <v>3</v>
      </c>
    </row>
    <row r="3532" spans="1:30" x14ac:dyDescent="0.25">
      <c r="A3532" t="s">
        <v>3556</v>
      </c>
      <c r="B3532" s="2">
        <v>45208</v>
      </c>
      <c r="C3532" s="2">
        <v>45210</v>
      </c>
      <c r="D3532" t="s">
        <v>5353</v>
      </c>
      <c r="E3532" t="s">
        <v>5853</v>
      </c>
      <c r="F3532" t="s">
        <v>6027</v>
      </c>
      <c r="G3532" t="s">
        <v>6029</v>
      </c>
      <c r="H3532" t="s">
        <v>6044</v>
      </c>
      <c r="I3532" t="s">
        <v>6046</v>
      </c>
      <c r="J3532" t="s">
        <v>6054</v>
      </c>
      <c r="K3532" t="s">
        <v>6060</v>
      </c>
      <c r="L3532" t="s">
        <v>8974</v>
      </c>
      <c r="M3532">
        <v>214.25</v>
      </c>
      <c r="N3532">
        <v>5</v>
      </c>
      <c r="O3532">
        <v>0.19</v>
      </c>
      <c r="P3532">
        <v>15.71</v>
      </c>
      <c r="Q3532" t="s">
        <v>9897</v>
      </c>
      <c r="R3532">
        <v>2</v>
      </c>
      <c r="S3532" s="5">
        <f t="shared" si="110"/>
        <v>7.3325554259043177E-2</v>
      </c>
      <c r="T3532">
        <v>42.85</v>
      </c>
      <c r="U3532">
        <v>10</v>
      </c>
      <c r="V3532">
        <v>2023</v>
      </c>
      <c r="W3532">
        <v>4</v>
      </c>
      <c r="X3532" t="s">
        <v>9899</v>
      </c>
      <c r="Y3532" t="s">
        <v>9900</v>
      </c>
      <c r="Z3532" t="s">
        <v>9899</v>
      </c>
      <c r="AD3532">
        <f t="shared" si="111"/>
        <v>2</v>
      </c>
    </row>
    <row r="3533" spans="1:30" x14ac:dyDescent="0.25">
      <c r="A3533" t="s">
        <v>3557</v>
      </c>
      <c r="B3533" s="2">
        <v>45057</v>
      </c>
      <c r="C3533" s="2">
        <v>45062</v>
      </c>
      <c r="D3533" t="s">
        <v>5504</v>
      </c>
      <c r="E3533" t="s">
        <v>6004</v>
      </c>
      <c r="F3533" t="s">
        <v>6028</v>
      </c>
      <c r="G3533" t="s">
        <v>6030</v>
      </c>
      <c r="H3533" t="s">
        <v>6038</v>
      </c>
      <c r="I3533" t="s">
        <v>6047</v>
      </c>
      <c r="J3533" t="s">
        <v>6055</v>
      </c>
      <c r="K3533" t="s">
        <v>6064</v>
      </c>
      <c r="L3533" t="s">
        <v>8975</v>
      </c>
      <c r="M3533">
        <v>257.60000000000002</v>
      </c>
      <c r="N3533">
        <v>7</v>
      </c>
      <c r="O3533">
        <v>0.13</v>
      </c>
      <c r="P3533">
        <v>27.97</v>
      </c>
      <c r="Q3533" t="s">
        <v>9896</v>
      </c>
      <c r="R3533">
        <v>5</v>
      </c>
      <c r="S3533" s="5">
        <f t="shared" si="110"/>
        <v>0.10857919254658384</v>
      </c>
      <c r="T3533">
        <v>36.799999999999997</v>
      </c>
      <c r="U3533">
        <v>5</v>
      </c>
      <c r="V3533">
        <v>2023</v>
      </c>
      <c r="W3533">
        <v>2</v>
      </c>
      <c r="X3533" t="s">
        <v>9899</v>
      </c>
      <c r="Y3533" t="s">
        <v>9901</v>
      </c>
      <c r="Z3533" t="s">
        <v>9899</v>
      </c>
      <c r="AD3533">
        <f t="shared" si="111"/>
        <v>5</v>
      </c>
    </row>
    <row r="3534" spans="1:30" x14ac:dyDescent="0.25">
      <c r="A3534" t="s">
        <v>3558</v>
      </c>
      <c r="B3534" s="2">
        <v>44914</v>
      </c>
      <c r="C3534" s="2">
        <v>44916</v>
      </c>
      <c r="D3534" t="s">
        <v>5500</v>
      </c>
      <c r="E3534" t="s">
        <v>6000</v>
      </c>
      <c r="F3534" t="s">
        <v>6026</v>
      </c>
      <c r="G3534" t="s">
        <v>6031</v>
      </c>
      <c r="H3534" t="s">
        <v>6042</v>
      </c>
      <c r="I3534" t="s">
        <v>6048</v>
      </c>
      <c r="J3534" t="s">
        <v>6055</v>
      </c>
      <c r="K3534" t="s">
        <v>6064</v>
      </c>
      <c r="L3534" t="s">
        <v>8976</v>
      </c>
      <c r="M3534">
        <v>176.07</v>
      </c>
      <c r="N3534">
        <v>3</v>
      </c>
      <c r="O3534">
        <v>0.03</v>
      </c>
      <c r="P3534">
        <v>33.39</v>
      </c>
      <c r="Q3534" t="s">
        <v>9897</v>
      </c>
      <c r="R3534">
        <v>2</v>
      </c>
      <c r="S3534" s="5">
        <f t="shared" si="110"/>
        <v>0.18964048389844948</v>
      </c>
      <c r="T3534">
        <v>58.69</v>
      </c>
      <c r="U3534">
        <v>12</v>
      </c>
      <c r="V3534">
        <v>2022</v>
      </c>
      <c r="W3534">
        <v>4</v>
      </c>
      <c r="X3534" t="s">
        <v>9899</v>
      </c>
      <c r="Y3534" t="s">
        <v>9901</v>
      </c>
      <c r="Z3534" t="s">
        <v>9899</v>
      </c>
      <c r="AD3534">
        <f t="shared" si="111"/>
        <v>2</v>
      </c>
    </row>
    <row r="3535" spans="1:30" x14ac:dyDescent="0.25">
      <c r="A3535" t="s">
        <v>3559</v>
      </c>
      <c r="B3535" s="2">
        <v>44992</v>
      </c>
      <c r="C3535" s="2">
        <v>44999</v>
      </c>
      <c r="D3535" t="s">
        <v>5061</v>
      </c>
      <c r="E3535" t="s">
        <v>5561</v>
      </c>
      <c r="F3535" t="s">
        <v>6027</v>
      </c>
      <c r="G3535" t="s">
        <v>6029</v>
      </c>
      <c r="H3535" t="s">
        <v>6045</v>
      </c>
      <c r="I3535" t="s">
        <v>6049</v>
      </c>
      <c r="J3535" t="s">
        <v>6055</v>
      </c>
      <c r="K3535" t="s">
        <v>6061</v>
      </c>
      <c r="L3535" t="s">
        <v>8977</v>
      </c>
      <c r="M3535">
        <v>1781.22</v>
      </c>
      <c r="N3535">
        <v>6</v>
      </c>
      <c r="O3535">
        <v>0.15</v>
      </c>
      <c r="P3535">
        <v>116.48</v>
      </c>
      <c r="Q3535" t="s">
        <v>9897</v>
      </c>
      <c r="R3535">
        <v>7</v>
      </c>
      <c r="S3535" s="5">
        <f t="shared" si="110"/>
        <v>6.5393382063978628E-2</v>
      </c>
      <c r="T3535">
        <v>296.87</v>
      </c>
      <c r="U3535">
        <v>3</v>
      </c>
      <c r="V3535">
        <v>2023</v>
      </c>
      <c r="W3535">
        <v>1</v>
      </c>
      <c r="X3535" t="s">
        <v>9899</v>
      </c>
      <c r="Y3535" t="s">
        <v>9901</v>
      </c>
      <c r="Z3535" t="s">
        <v>9898</v>
      </c>
      <c r="AD3535">
        <f t="shared" si="111"/>
        <v>7</v>
      </c>
    </row>
    <row r="3536" spans="1:30" x14ac:dyDescent="0.25">
      <c r="A3536" t="s">
        <v>3560</v>
      </c>
      <c r="B3536" s="2">
        <v>44855</v>
      </c>
      <c r="C3536" s="2">
        <v>44860</v>
      </c>
      <c r="D3536" t="s">
        <v>5217</v>
      </c>
      <c r="E3536" t="s">
        <v>5717</v>
      </c>
      <c r="F3536" t="s">
        <v>6028</v>
      </c>
      <c r="G3536" t="s">
        <v>6030</v>
      </c>
      <c r="H3536" t="s">
        <v>6035</v>
      </c>
      <c r="I3536" t="s">
        <v>6051</v>
      </c>
      <c r="J3536" t="s">
        <v>6053</v>
      </c>
      <c r="K3536" t="s">
        <v>6058</v>
      </c>
      <c r="L3536" t="s">
        <v>8978</v>
      </c>
      <c r="M3536">
        <v>1539.49</v>
      </c>
      <c r="N3536">
        <v>6</v>
      </c>
      <c r="O3536">
        <v>0.25</v>
      </c>
      <c r="P3536">
        <v>-105.16</v>
      </c>
      <c r="Q3536" t="s">
        <v>9895</v>
      </c>
      <c r="R3536">
        <v>5</v>
      </c>
      <c r="S3536" s="5">
        <f t="shared" si="110"/>
        <v>-6.8308335877465917E-2</v>
      </c>
      <c r="T3536">
        <v>256.58166666666659</v>
      </c>
      <c r="U3536">
        <v>10</v>
      </c>
      <c r="V3536">
        <v>2022</v>
      </c>
      <c r="W3536">
        <v>4</v>
      </c>
      <c r="X3536" t="s">
        <v>9898</v>
      </c>
      <c r="Y3536" t="s">
        <v>9900</v>
      </c>
      <c r="Z3536" t="s">
        <v>9898</v>
      </c>
      <c r="AD3536">
        <f t="shared" si="111"/>
        <v>5</v>
      </c>
    </row>
    <row r="3537" spans="1:30" x14ac:dyDescent="0.25">
      <c r="A3537" t="s">
        <v>3561</v>
      </c>
      <c r="B3537" s="2">
        <v>45081</v>
      </c>
      <c r="C3537" s="2">
        <v>45084</v>
      </c>
      <c r="D3537" t="s">
        <v>5261</v>
      </c>
      <c r="E3537" t="s">
        <v>5761</v>
      </c>
      <c r="F3537" t="s">
        <v>6028</v>
      </c>
      <c r="G3537" t="s">
        <v>6031</v>
      </c>
      <c r="H3537" t="s">
        <v>6034</v>
      </c>
      <c r="I3537" t="s">
        <v>6048</v>
      </c>
      <c r="J3537" t="s">
        <v>6055</v>
      </c>
      <c r="K3537" t="s">
        <v>6063</v>
      </c>
      <c r="L3537" t="s">
        <v>8979</v>
      </c>
      <c r="M3537">
        <v>1606.68</v>
      </c>
      <c r="N3537">
        <v>4</v>
      </c>
      <c r="O3537">
        <v>0.28000000000000003</v>
      </c>
      <c r="P3537">
        <v>-3.75</v>
      </c>
      <c r="Q3537" t="s">
        <v>9896</v>
      </c>
      <c r="R3537">
        <v>3</v>
      </c>
      <c r="S3537" s="5">
        <f t="shared" si="110"/>
        <v>-2.3340055269250879E-3</v>
      </c>
      <c r="T3537">
        <v>401.67</v>
      </c>
      <c r="U3537">
        <v>6</v>
      </c>
      <c r="V3537">
        <v>2023</v>
      </c>
      <c r="W3537">
        <v>2</v>
      </c>
      <c r="X3537" t="s">
        <v>9898</v>
      </c>
      <c r="Y3537" t="s">
        <v>9900</v>
      </c>
      <c r="Z3537" t="s">
        <v>9898</v>
      </c>
      <c r="AD3537">
        <f t="shared" si="111"/>
        <v>3</v>
      </c>
    </row>
    <row r="3538" spans="1:30" x14ac:dyDescent="0.25">
      <c r="A3538" t="s">
        <v>3562</v>
      </c>
      <c r="B3538" s="2">
        <v>45305</v>
      </c>
      <c r="C3538" s="2">
        <v>45312</v>
      </c>
      <c r="D3538" t="s">
        <v>5346</v>
      </c>
      <c r="E3538" t="s">
        <v>5846</v>
      </c>
      <c r="F3538" t="s">
        <v>6027</v>
      </c>
      <c r="G3538" t="s">
        <v>6029</v>
      </c>
      <c r="H3538" t="s">
        <v>6044</v>
      </c>
      <c r="I3538" t="s">
        <v>6050</v>
      </c>
      <c r="J3538" t="s">
        <v>6055</v>
      </c>
      <c r="K3538" t="s">
        <v>6064</v>
      </c>
      <c r="L3538" t="s">
        <v>8980</v>
      </c>
      <c r="M3538">
        <v>747.92</v>
      </c>
      <c r="N3538">
        <v>1</v>
      </c>
      <c r="O3538">
        <v>0.23</v>
      </c>
      <c r="P3538">
        <v>-19.399999999999999</v>
      </c>
      <c r="Q3538" t="s">
        <v>9896</v>
      </c>
      <c r="R3538">
        <v>7</v>
      </c>
      <c r="S3538" s="5">
        <f t="shared" si="110"/>
        <v>-2.593860305915071E-2</v>
      </c>
      <c r="T3538">
        <v>747.92</v>
      </c>
      <c r="U3538">
        <v>1</v>
      </c>
      <c r="V3538">
        <v>2024</v>
      </c>
      <c r="W3538">
        <v>1</v>
      </c>
      <c r="X3538" t="s">
        <v>9898</v>
      </c>
      <c r="Y3538" t="s">
        <v>9900</v>
      </c>
      <c r="Z3538" t="s">
        <v>9899</v>
      </c>
      <c r="AD3538">
        <f t="shared" si="111"/>
        <v>7</v>
      </c>
    </row>
    <row r="3539" spans="1:30" x14ac:dyDescent="0.25">
      <c r="A3539" t="s">
        <v>3563</v>
      </c>
      <c r="B3539" s="2">
        <v>44780</v>
      </c>
      <c r="C3539" s="2">
        <v>44786</v>
      </c>
      <c r="D3539" t="s">
        <v>5448</v>
      </c>
      <c r="E3539" t="s">
        <v>5948</v>
      </c>
      <c r="F3539" t="s">
        <v>6026</v>
      </c>
      <c r="G3539" t="s">
        <v>6030</v>
      </c>
      <c r="H3539" t="s">
        <v>6039</v>
      </c>
      <c r="I3539" t="s">
        <v>6047</v>
      </c>
      <c r="J3539" t="s">
        <v>6055</v>
      </c>
      <c r="K3539" t="s">
        <v>6063</v>
      </c>
      <c r="L3539" t="s">
        <v>8311</v>
      </c>
      <c r="M3539">
        <v>1782.98</v>
      </c>
      <c r="N3539">
        <v>8</v>
      </c>
      <c r="O3539">
        <v>0.04</v>
      </c>
      <c r="P3539">
        <v>123.84</v>
      </c>
      <c r="Q3539" t="s">
        <v>9894</v>
      </c>
      <c r="R3539">
        <v>6</v>
      </c>
      <c r="S3539" s="5">
        <f t="shared" si="110"/>
        <v>6.945675217893639E-2</v>
      </c>
      <c r="T3539">
        <v>222.8725</v>
      </c>
      <c r="U3539">
        <v>8</v>
      </c>
      <c r="V3539">
        <v>2022</v>
      </c>
      <c r="W3539">
        <v>3</v>
      </c>
      <c r="X3539" t="s">
        <v>9899</v>
      </c>
      <c r="Y3539" t="s">
        <v>9901</v>
      </c>
      <c r="Z3539" t="s">
        <v>9898</v>
      </c>
      <c r="AD3539">
        <f t="shared" si="111"/>
        <v>6</v>
      </c>
    </row>
    <row r="3540" spans="1:30" x14ac:dyDescent="0.25">
      <c r="A3540" t="s">
        <v>3564</v>
      </c>
      <c r="B3540" s="2">
        <v>45251</v>
      </c>
      <c r="C3540" s="2">
        <v>45255</v>
      </c>
      <c r="D3540" t="s">
        <v>5284</v>
      </c>
      <c r="E3540" t="s">
        <v>5784</v>
      </c>
      <c r="F3540" t="s">
        <v>6027</v>
      </c>
      <c r="G3540" t="s">
        <v>6031</v>
      </c>
      <c r="H3540" t="s">
        <v>6043</v>
      </c>
      <c r="I3540" t="s">
        <v>6050</v>
      </c>
      <c r="J3540" t="s">
        <v>6054</v>
      </c>
      <c r="K3540" t="s">
        <v>6060</v>
      </c>
      <c r="L3540" t="s">
        <v>8981</v>
      </c>
      <c r="M3540">
        <v>1277.3599999999999</v>
      </c>
      <c r="N3540">
        <v>4</v>
      </c>
      <c r="O3540">
        <v>0.33</v>
      </c>
      <c r="P3540">
        <v>-133.35</v>
      </c>
      <c r="Q3540" t="s">
        <v>9897</v>
      </c>
      <c r="R3540">
        <v>4</v>
      </c>
      <c r="S3540" s="5">
        <f t="shared" si="110"/>
        <v>-0.10439500219202105</v>
      </c>
      <c r="T3540">
        <v>319.33999999999997</v>
      </c>
      <c r="U3540">
        <v>11</v>
      </c>
      <c r="V3540">
        <v>2023</v>
      </c>
      <c r="W3540">
        <v>4</v>
      </c>
      <c r="X3540" t="s">
        <v>9898</v>
      </c>
      <c r="Y3540" t="s">
        <v>9902</v>
      </c>
      <c r="Z3540" t="s">
        <v>9898</v>
      </c>
      <c r="AD3540">
        <f t="shared" si="111"/>
        <v>4</v>
      </c>
    </row>
    <row r="3541" spans="1:30" x14ac:dyDescent="0.25">
      <c r="A3541" t="s">
        <v>3565</v>
      </c>
      <c r="B3541" s="2">
        <v>44821</v>
      </c>
      <c r="C3541" s="2">
        <v>44826</v>
      </c>
      <c r="D3541" t="s">
        <v>5481</v>
      </c>
      <c r="E3541" t="s">
        <v>5981</v>
      </c>
      <c r="F3541" t="s">
        <v>6028</v>
      </c>
      <c r="G3541" t="s">
        <v>6030</v>
      </c>
      <c r="H3541" t="s">
        <v>6033</v>
      </c>
      <c r="I3541" t="s">
        <v>6047</v>
      </c>
      <c r="J3541" t="s">
        <v>6055</v>
      </c>
      <c r="K3541" t="s">
        <v>6061</v>
      </c>
      <c r="L3541" t="s">
        <v>7348</v>
      </c>
      <c r="M3541">
        <v>932.52</v>
      </c>
      <c r="N3541">
        <v>2</v>
      </c>
      <c r="O3541">
        <v>0.02</v>
      </c>
      <c r="P3541">
        <v>218.26</v>
      </c>
      <c r="Q3541" t="s">
        <v>9895</v>
      </c>
      <c r="R3541">
        <v>5</v>
      </c>
      <c r="S3541" s="5">
        <f t="shared" si="110"/>
        <v>0.23405396130914083</v>
      </c>
      <c r="T3541">
        <v>466.26</v>
      </c>
      <c r="U3541">
        <v>9</v>
      </c>
      <c r="V3541">
        <v>2022</v>
      </c>
      <c r="W3541">
        <v>3</v>
      </c>
      <c r="X3541" t="s">
        <v>9899</v>
      </c>
      <c r="Y3541" t="s">
        <v>9901</v>
      </c>
      <c r="Z3541" t="s">
        <v>9899</v>
      </c>
      <c r="AD3541">
        <f t="shared" si="111"/>
        <v>5</v>
      </c>
    </row>
    <row r="3542" spans="1:30" x14ac:dyDescent="0.25">
      <c r="A3542" t="s">
        <v>3566</v>
      </c>
      <c r="B3542" s="2">
        <v>44922</v>
      </c>
      <c r="C3542" s="2">
        <v>44925</v>
      </c>
      <c r="D3542" t="s">
        <v>5393</v>
      </c>
      <c r="E3542" t="s">
        <v>5893</v>
      </c>
      <c r="F3542" t="s">
        <v>6026</v>
      </c>
      <c r="G3542" t="s">
        <v>6029</v>
      </c>
      <c r="H3542" t="s">
        <v>6045</v>
      </c>
      <c r="I3542" t="s">
        <v>6050</v>
      </c>
      <c r="J3542" t="s">
        <v>6053</v>
      </c>
      <c r="K3542" t="s">
        <v>6057</v>
      </c>
      <c r="L3542" t="s">
        <v>6807</v>
      </c>
      <c r="M3542">
        <v>1985.51</v>
      </c>
      <c r="N3542">
        <v>6</v>
      </c>
      <c r="O3542">
        <v>0.15</v>
      </c>
      <c r="P3542">
        <v>146.80000000000001</v>
      </c>
      <c r="Q3542" t="s">
        <v>9895</v>
      </c>
      <c r="R3542">
        <v>3</v>
      </c>
      <c r="S3542" s="5">
        <f t="shared" si="110"/>
        <v>7.3935663884845709E-2</v>
      </c>
      <c r="T3542">
        <v>330.91833333333341</v>
      </c>
      <c r="U3542">
        <v>12</v>
      </c>
      <c r="V3542">
        <v>2022</v>
      </c>
      <c r="W3542">
        <v>4</v>
      </c>
      <c r="X3542" t="s">
        <v>9899</v>
      </c>
      <c r="Y3542" t="s">
        <v>9901</v>
      </c>
      <c r="Z3542" t="s">
        <v>9898</v>
      </c>
      <c r="AD3542">
        <f t="shared" si="111"/>
        <v>3</v>
      </c>
    </row>
    <row r="3543" spans="1:30" x14ac:dyDescent="0.25">
      <c r="A3543" t="s">
        <v>3567</v>
      </c>
      <c r="B3543" s="2">
        <v>45164</v>
      </c>
      <c r="C3543" s="2">
        <v>45166</v>
      </c>
      <c r="D3543" t="s">
        <v>5204</v>
      </c>
      <c r="E3543" t="s">
        <v>5704</v>
      </c>
      <c r="F3543" t="s">
        <v>6027</v>
      </c>
      <c r="G3543" t="s">
        <v>6031</v>
      </c>
      <c r="H3543" t="s">
        <v>6042</v>
      </c>
      <c r="I3543" t="s">
        <v>6050</v>
      </c>
      <c r="J3543" t="s">
        <v>6053</v>
      </c>
      <c r="K3543" t="s">
        <v>6057</v>
      </c>
      <c r="L3543" t="s">
        <v>8982</v>
      </c>
      <c r="M3543">
        <v>1151.5999999999999</v>
      </c>
      <c r="N3543">
        <v>3</v>
      </c>
      <c r="O3543">
        <v>0.32</v>
      </c>
      <c r="P3543">
        <v>-185.82</v>
      </c>
      <c r="Q3543" t="s">
        <v>9895</v>
      </c>
      <c r="R3543">
        <v>2</v>
      </c>
      <c r="S3543" s="5">
        <f t="shared" si="110"/>
        <v>-0.1613581104550191</v>
      </c>
      <c r="T3543">
        <v>383.86666666666662</v>
      </c>
      <c r="U3543">
        <v>8</v>
      </c>
      <c r="V3543">
        <v>2023</v>
      </c>
      <c r="W3543">
        <v>3</v>
      </c>
      <c r="X3543" t="s">
        <v>9898</v>
      </c>
      <c r="Y3543" t="s">
        <v>9902</v>
      </c>
      <c r="Z3543" t="s">
        <v>9898</v>
      </c>
      <c r="AD3543">
        <f t="shared" si="111"/>
        <v>2</v>
      </c>
    </row>
    <row r="3544" spans="1:30" x14ac:dyDescent="0.25">
      <c r="A3544" t="s">
        <v>3568</v>
      </c>
      <c r="B3544" s="2">
        <v>45114</v>
      </c>
      <c r="C3544" s="2">
        <v>45121</v>
      </c>
      <c r="D3544" t="s">
        <v>5383</v>
      </c>
      <c r="E3544" t="s">
        <v>5883</v>
      </c>
      <c r="F3544" t="s">
        <v>6026</v>
      </c>
      <c r="G3544" t="s">
        <v>6029</v>
      </c>
      <c r="H3544" t="s">
        <v>6044</v>
      </c>
      <c r="I3544" t="s">
        <v>6050</v>
      </c>
      <c r="J3544" t="s">
        <v>6054</v>
      </c>
      <c r="K3544" t="s">
        <v>6060</v>
      </c>
      <c r="L3544" t="s">
        <v>8983</v>
      </c>
      <c r="M3544">
        <v>1801.27</v>
      </c>
      <c r="N3544">
        <v>8</v>
      </c>
      <c r="O3544">
        <v>0.26</v>
      </c>
      <c r="P3544">
        <v>28.78</v>
      </c>
      <c r="Q3544" t="s">
        <v>9895</v>
      </c>
      <c r="R3544">
        <v>7</v>
      </c>
      <c r="S3544" s="5">
        <f t="shared" si="110"/>
        <v>1.5977615793301394E-2</v>
      </c>
      <c r="T3544">
        <v>225.15875</v>
      </c>
      <c r="U3544">
        <v>7</v>
      </c>
      <c r="V3544">
        <v>2023</v>
      </c>
      <c r="W3544">
        <v>3</v>
      </c>
      <c r="X3544" t="s">
        <v>9899</v>
      </c>
      <c r="Y3544" t="s">
        <v>9900</v>
      </c>
      <c r="Z3544" t="s">
        <v>9898</v>
      </c>
      <c r="AD3544">
        <f t="shared" si="111"/>
        <v>7</v>
      </c>
    </row>
    <row r="3545" spans="1:30" x14ac:dyDescent="0.25">
      <c r="A3545" t="s">
        <v>3569</v>
      </c>
      <c r="B3545" s="2">
        <v>44838</v>
      </c>
      <c r="C3545" s="2">
        <v>44841</v>
      </c>
      <c r="D3545" t="s">
        <v>5459</v>
      </c>
      <c r="E3545" t="s">
        <v>5959</v>
      </c>
      <c r="F3545" t="s">
        <v>6027</v>
      </c>
      <c r="G3545" t="s">
        <v>6031</v>
      </c>
      <c r="H3545" t="s">
        <v>6040</v>
      </c>
      <c r="I3545" t="s">
        <v>6048</v>
      </c>
      <c r="J3545" t="s">
        <v>6055</v>
      </c>
      <c r="K3545" t="s">
        <v>6061</v>
      </c>
      <c r="L3545" t="s">
        <v>8984</v>
      </c>
      <c r="M3545">
        <v>828.37</v>
      </c>
      <c r="N3545">
        <v>4</v>
      </c>
      <c r="O3545">
        <v>0.27</v>
      </c>
      <c r="P3545">
        <v>-94.45</v>
      </c>
      <c r="Q3545" t="s">
        <v>9894</v>
      </c>
      <c r="R3545">
        <v>3</v>
      </c>
      <c r="S3545" s="5">
        <f t="shared" si="110"/>
        <v>-0.11401909774617623</v>
      </c>
      <c r="T3545">
        <v>207.0925</v>
      </c>
      <c r="U3545">
        <v>10</v>
      </c>
      <c r="V3545">
        <v>2022</v>
      </c>
      <c r="W3545">
        <v>4</v>
      </c>
      <c r="X3545" t="s">
        <v>9898</v>
      </c>
      <c r="Y3545" t="s">
        <v>9900</v>
      </c>
      <c r="Z3545" t="s">
        <v>9899</v>
      </c>
      <c r="AD3545">
        <f t="shared" si="111"/>
        <v>3</v>
      </c>
    </row>
    <row r="3546" spans="1:30" x14ac:dyDescent="0.25">
      <c r="A3546" t="s">
        <v>3570</v>
      </c>
      <c r="B3546" s="2">
        <v>45203</v>
      </c>
      <c r="C3546" s="2">
        <v>45210</v>
      </c>
      <c r="D3546" t="s">
        <v>5135</v>
      </c>
      <c r="E3546" t="s">
        <v>5635</v>
      </c>
      <c r="F3546" t="s">
        <v>6026</v>
      </c>
      <c r="G3546" t="s">
        <v>6030</v>
      </c>
      <c r="H3546" t="s">
        <v>6035</v>
      </c>
      <c r="I3546" t="s">
        <v>6047</v>
      </c>
      <c r="J3546" t="s">
        <v>6054</v>
      </c>
      <c r="K3546" t="s">
        <v>6062</v>
      </c>
      <c r="L3546" t="s">
        <v>8985</v>
      </c>
      <c r="M3546">
        <v>1650.81</v>
      </c>
      <c r="N3546">
        <v>5</v>
      </c>
      <c r="O3546">
        <v>0.28000000000000003</v>
      </c>
      <c r="P3546">
        <v>22.78</v>
      </c>
      <c r="Q3546" t="s">
        <v>9894</v>
      </c>
      <c r="R3546">
        <v>7</v>
      </c>
      <c r="S3546" s="5">
        <f t="shared" si="110"/>
        <v>1.3799286410913431E-2</v>
      </c>
      <c r="T3546">
        <v>330.16199999999998</v>
      </c>
      <c r="U3546">
        <v>10</v>
      </c>
      <c r="V3546">
        <v>2023</v>
      </c>
      <c r="W3546">
        <v>4</v>
      </c>
      <c r="X3546" t="s">
        <v>9899</v>
      </c>
      <c r="Y3546" t="s">
        <v>9900</v>
      </c>
      <c r="Z3546" t="s">
        <v>9898</v>
      </c>
      <c r="AD3546">
        <f t="shared" si="111"/>
        <v>7</v>
      </c>
    </row>
    <row r="3547" spans="1:30" x14ac:dyDescent="0.25">
      <c r="A3547" t="s">
        <v>3571</v>
      </c>
      <c r="B3547" s="2">
        <v>45042</v>
      </c>
      <c r="C3547" s="2">
        <v>45046</v>
      </c>
      <c r="D3547" t="s">
        <v>5106</v>
      </c>
      <c r="E3547" t="s">
        <v>5606</v>
      </c>
      <c r="F3547" t="s">
        <v>6027</v>
      </c>
      <c r="G3547" t="s">
        <v>6031</v>
      </c>
      <c r="H3547" t="s">
        <v>6043</v>
      </c>
      <c r="I3547" t="s">
        <v>6048</v>
      </c>
      <c r="J3547" t="s">
        <v>6054</v>
      </c>
      <c r="K3547" t="s">
        <v>6062</v>
      </c>
      <c r="L3547" t="s">
        <v>8986</v>
      </c>
      <c r="M3547">
        <v>1272.03</v>
      </c>
      <c r="N3547">
        <v>7</v>
      </c>
      <c r="O3547">
        <v>0.01</v>
      </c>
      <c r="P3547">
        <v>366.72</v>
      </c>
      <c r="Q3547" t="s">
        <v>9893</v>
      </c>
      <c r="R3547">
        <v>4</v>
      </c>
      <c r="S3547" s="5">
        <f t="shared" si="110"/>
        <v>0.28829508738001464</v>
      </c>
      <c r="T3547">
        <v>181.71857142857141</v>
      </c>
      <c r="U3547">
        <v>4</v>
      </c>
      <c r="V3547">
        <v>2023</v>
      </c>
      <c r="W3547">
        <v>2</v>
      </c>
      <c r="X3547" t="s">
        <v>9899</v>
      </c>
      <c r="Y3547" t="s">
        <v>9901</v>
      </c>
      <c r="Z3547" t="s">
        <v>9898</v>
      </c>
      <c r="AD3547">
        <f t="shared" si="111"/>
        <v>4</v>
      </c>
    </row>
    <row r="3548" spans="1:30" x14ac:dyDescent="0.25">
      <c r="A3548" t="s">
        <v>3572</v>
      </c>
      <c r="B3548" s="2">
        <v>44677</v>
      </c>
      <c r="C3548" s="2">
        <v>44683</v>
      </c>
      <c r="D3548" t="s">
        <v>5074</v>
      </c>
      <c r="E3548" t="s">
        <v>5574</v>
      </c>
      <c r="F3548" t="s">
        <v>6027</v>
      </c>
      <c r="G3548" t="s">
        <v>6031</v>
      </c>
      <c r="H3548" t="s">
        <v>6040</v>
      </c>
      <c r="I3548" t="s">
        <v>6048</v>
      </c>
      <c r="J3548" t="s">
        <v>6054</v>
      </c>
      <c r="K3548" t="s">
        <v>6062</v>
      </c>
      <c r="L3548" t="s">
        <v>8987</v>
      </c>
      <c r="M3548">
        <v>431.85</v>
      </c>
      <c r="N3548">
        <v>5</v>
      </c>
      <c r="O3548">
        <v>0.01</v>
      </c>
      <c r="P3548">
        <v>49.4</v>
      </c>
      <c r="Q3548" t="s">
        <v>9896</v>
      </c>
      <c r="R3548">
        <v>6</v>
      </c>
      <c r="S3548" s="5">
        <f t="shared" si="110"/>
        <v>0.11439157114738913</v>
      </c>
      <c r="T3548">
        <v>86.37</v>
      </c>
      <c r="U3548">
        <v>4</v>
      </c>
      <c r="V3548">
        <v>2022</v>
      </c>
      <c r="W3548">
        <v>2</v>
      </c>
      <c r="X3548" t="s">
        <v>9899</v>
      </c>
      <c r="Y3548" t="s">
        <v>9901</v>
      </c>
      <c r="Z3548" t="s">
        <v>9899</v>
      </c>
      <c r="AD3548">
        <f t="shared" si="111"/>
        <v>6</v>
      </c>
    </row>
    <row r="3549" spans="1:30" x14ac:dyDescent="0.25">
      <c r="A3549" t="s">
        <v>3573</v>
      </c>
      <c r="B3549" s="2">
        <v>45117</v>
      </c>
      <c r="C3549" s="2">
        <v>45121</v>
      </c>
      <c r="D3549" t="s">
        <v>5098</v>
      </c>
      <c r="E3549" t="s">
        <v>5598</v>
      </c>
      <c r="F3549" t="s">
        <v>6026</v>
      </c>
      <c r="G3549" t="s">
        <v>6030</v>
      </c>
      <c r="H3549" t="s">
        <v>6039</v>
      </c>
      <c r="I3549" t="s">
        <v>6047</v>
      </c>
      <c r="J3549" t="s">
        <v>6055</v>
      </c>
      <c r="K3549" t="s">
        <v>6063</v>
      </c>
      <c r="L3549" t="s">
        <v>7530</v>
      </c>
      <c r="M3549">
        <v>1159.8900000000001</v>
      </c>
      <c r="N3549">
        <v>2</v>
      </c>
      <c r="O3549">
        <v>0.27</v>
      </c>
      <c r="P3549">
        <v>27.25</v>
      </c>
      <c r="Q3549" t="s">
        <v>9893</v>
      </c>
      <c r="R3549">
        <v>4</v>
      </c>
      <c r="S3549" s="5">
        <f t="shared" si="110"/>
        <v>2.3493607152402382E-2</v>
      </c>
      <c r="T3549">
        <v>579.94500000000005</v>
      </c>
      <c r="U3549">
        <v>7</v>
      </c>
      <c r="V3549">
        <v>2023</v>
      </c>
      <c r="W3549">
        <v>3</v>
      </c>
      <c r="X3549" t="s">
        <v>9899</v>
      </c>
      <c r="Y3549" t="s">
        <v>9900</v>
      </c>
      <c r="Z3549" t="s">
        <v>9898</v>
      </c>
      <c r="AD3549">
        <f t="shared" si="111"/>
        <v>4</v>
      </c>
    </row>
    <row r="3550" spans="1:30" x14ac:dyDescent="0.25">
      <c r="A3550" t="s">
        <v>3574</v>
      </c>
      <c r="B3550" s="2">
        <v>45421</v>
      </c>
      <c r="C3550" s="2">
        <v>45424</v>
      </c>
      <c r="D3550" t="s">
        <v>5092</v>
      </c>
      <c r="E3550" t="s">
        <v>5592</v>
      </c>
      <c r="F3550" t="s">
        <v>6028</v>
      </c>
      <c r="G3550" t="s">
        <v>6030</v>
      </c>
      <c r="H3550" t="s">
        <v>6033</v>
      </c>
      <c r="I3550" t="s">
        <v>6047</v>
      </c>
      <c r="J3550" t="s">
        <v>6055</v>
      </c>
      <c r="K3550" t="s">
        <v>6063</v>
      </c>
      <c r="L3550" t="s">
        <v>8686</v>
      </c>
      <c r="M3550">
        <v>1528.49</v>
      </c>
      <c r="N3550">
        <v>6</v>
      </c>
      <c r="O3550">
        <v>0.23</v>
      </c>
      <c r="P3550">
        <v>82.02</v>
      </c>
      <c r="Q3550" t="s">
        <v>9896</v>
      </c>
      <c r="R3550">
        <v>3</v>
      </c>
      <c r="S3550" s="5">
        <f t="shared" si="110"/>
        <v>5.3660802491347664E-2</v>
      </c>
      <c r="T3550">
        <v>254.74833333333331</v>
      </c>
      <c r="U3550">
        <v>5</v>
      </c>
      <c r="V3550">
        <v>2024</v>
      </c>
      <c r="W3550">
        <v>2</v>
      </c>
      <c r="X3550" t="s">
        <v>9899</v>
      </c>
      <c r="Y3550" t="s">
        <v>9900</v>
      </c>
      <c r="Z3550" t="s">
        <v>9898</v>
      </c>
      <c r="AD3550">
        <f t="shared" si="111"/>
        <v>3</v>
      </c>
    </row>
    <row r="3551" spans="1:30" x14ac:dyDescent="0.25">
      <c r="A3551" t="s">
        <v>3575</v>
      </c>
      <c r="B3551" s="2">
        <v>44878</v>
      </c>
      <c r="C3551" s="2">
        <v>44879</v>
      </c>
      <c r="D3551" t="s">
        <v>5101</v>
      </c>
      <c r="E3551" t="s">
        <v>5601</v>
      </c>
      <c r="F3551" t="s">
        <v>6026</v>
      </c>
      <c r="G3551" t="s">
        <v>6030</v>
      </c>
      <c r="H3551" t="s">
        <v>6035</v>
      </c>
      <c r="I3551" t="s">
        <v>6047</v>
      </c>
      <c r="J3551" t="s">
        <v>6053</v>
      </c>
      <c r="K3551" t="s">
        <v>6058</v>
      </c>
      <c r="L3551" t="s">
        <v>8988</v>
      </c>
      <c r="M3551">
        <v>360.56</v>
      </c>
      <c r="N3551">
        <v>5</v>
      </c>
      <c r="O3551">
        <v>0.32</v>
      </c>
      <c r="P3551">
        <v>-75.209999999999994</v>
      </c>
      <c r="Q3551" t="s">
        <v>9895</v>
      </c>
      <c r="R3551">
        <v>1</v>
      </c>
      <c r="S3551" s="5">
        <f t="shared" si="110"/>
        <v>-0.20859218992678055</v>
      </c>
      <c r="T3551">
        <v>72.111999999999995</v>
      </c>
      <c r="U3551">
        <v>11</v>
      </c>
      <c r="V3551">
        <v>2022</v>
      </c>
      <c r="W3551">
        <v>4</v>
      </c>
      <c r="X3551" t="s">
        <v>9898</v>
      </c>
      <c r="Y3551" t="s">
        <v>9902</v>
      </c>
      <c r="Z3551" t="s">
        <v>9899</v>
      </c>
      <c r="AD3551">
        <f t="shared" si="111"/>
        <v>1</v>
      </c>
    </row>
    <row r="3552" spans="1:30" x14ac:dyDescent="0.25">
      <c r="A3552" t="s">
        <v>3576</v>
      </c>
      <c r="B3552" s="2">
        <v>45236</v>
      </c>
      <c r="C3552" s="2">
        <v>45241</v>
      </c>
      <c r="D3552" t="s">
        <v>5083</v>
      </c>
      <c r="E3552" t="s">
        <v>5583</v>
      </c>
      <c r="F3552" t="s">
        <v>6028</v>
      </c>
      <c r="G3552" t="s">
        <v>6030</v>
      </c>
      <c r="H3552" t="s">
        <v>6038</v>
      </c>
      <c r="I3552" t="s">
        <v>6051</v>
      </c>
      <c r="J3552" t="s">
        <v>6054</v>
      </c>
      <c r="K3552" t="s">
        <v>6059</v>
      </c>
      <c r="L3552" t="s">
        <v>8989</v>
      </c>
      <c r="M3552">
        <v>1200.26</v>
      </c>
      <c r="N3552">
        <v>3</v>
      </c>
      <c r="O3552">
        <v>0.31</v>
      </c>
      <c r="P3552">
        <v>-160.31</v>
      </c>
      <c r="Q3552" t="s">
        <v>9895</v>
      </c>
      <c r="R3552">
        <v>5</v>
      </c>
      <c r="S3552" s="5">
        <f t="shared" si="110"/>
        <v>-0.13356272807558361</v>
      </c>
      <c r="T3552">
        <v>400.08666666666659</v>
      </c>
      <c r="U3552">
        <v>11</v>
      </c>
      <c r="V3552">
        <v>2023</v>
      </c>
      <c r="W3552">
        <v>4</v>
      </c>
      <c r="X3552" t="s">
        <v>9898</v>
      </c>
      <c r="Y3552" t="s">
        <v>9902</v>
      </c>
      <c r="Z3552" t="s">
        <v>9898</v>
      </c>
      <c r="AD3552">
        <f t="shared" si="111"/>
        <v>5</v>
      </c>
    </row>
    <row r="3553" spans="1:30" x14ac:dyDescent="0.25">
      <c r="A3553" t="s">
        <v>3577</v>
      </c>
      <c r="B3553" s="2">
        <v>45215</v>
      </c>
      <c r="C3553" s="2">
        <v>45218</v>
      </c>
      <c r="D3553" t="s">
        <v>5050</v>
      </c>
      <c r="E3553" t="s">
        <v>5550</v>
      </c>
      <c r="F3553" t="s">
        <v>6027</v>
      </c>
      <c r="G3553" t="s">
        <v>6030</v>
      </c>
      <c r="H3553" t="s">
        <v>6035</v>
      </c>
      <c r="I3553" t="s">
        <v>6051</v>
      </c>
      <c r="J3553" t="s">
        <v>6054</v>
      </c>
      <c r="K3553" t="s">
        <v>6062</v>
      </c>
      <c r="L3553" t="s">
        <v>8986</v>
      </c>
      <c r="M3553">
        <v>295.97000000000003</v>
      </c>
      <c r="N3553">
        <v>6</v>
      </c>
      <c r="O3553">
        <v>0.19</v>
      </c>
      <c r="P3553">
        <v>18.57</v>
      </c>
      <c r="Q3553" t="s">
        <v>9895</v>
      </c>
      <c r="R3553">
        <v>3</v>
      </c>
      <c r="S3553" s="5">
        <f t="shared" si="110"/>
        <v>6.2742845558671476E-2</v>
      </c>
      <c r="T3553">
        <v>49.32833333333334</v>
      </c>
      <c r="U3553">
        <v>10</v>
      </c>
      <c r="V3553">
        <v>2023</v>
      </c>
      <c r="W3553">
        <v>4</v>
      </c>
      <c r="X3553" t="s">
        <v>9899</v>
      </c>
      <c r="Y3553" t="s">
        <v>9900</v>
      </c>
      <c r="Z3553" t="s">
        <v>9899</v>
      </c>
      <c r="AD3553">
        <f t="shared" si="111"/>
        <v>3</v>
      </c>
    </row>
    <row r="3554" spans="1:30" x14ac:dyDescent="0.25">
      <c r="A3554" t="s">
        <v>3578</v>
      </c>
      <c r="B3554" s="2">
        <v>44594</v>
      </c>
      <c r="C3554" s="2">
        <v>44597</v>
      </c>
      <c r="D3554" t="s">
        <v>5413</v>
      </c>
      <c r="E3554" t="s">
        <v>5913</v>
      </c>
      <c r="F3554" t="s">
        <v>6026</v>
      </c>
      <c r="G3554" t="s">
        <v>6029</v>
      </c>
      <c r="H3554" t="s">
        <v>6045</v>
      </c>
      <c r="I3554" t="s">
        <v>6050</v>
      </c>
      <c r="J3554" t="s">
        <v>6055</v>
      </c>
      <c r="K3554" t="s">
        <v>6063</v>
      </c>
      <c r="L3554" t="s">
        <v>7257</v>
      </c>
      <c r="M3554">
        <v>1097.8900000000001</v>
      </c>
      <c r="N3554">
        <v>1</v>
      </c>
      <c r="O3554">
        <v>0.12</v>
      </c>
      <c r="P3554">
        <v>173.27</v>
      </c>
      <c r="Q3554" t="s">
        <v>9894</v>
      </c>
      <c r="R3554">
        <v>3</v>
      </c>
      <c r="S3554" s="5">
        <f t="shared" si="110"/>
        <v>0.15782091102022971</v>
      </c>
      <c r="T3554">
        <v>1097.8900000000001</v>
      </c>
      <c r="U3554">
        <v>2</v>
      </c>
      <c r="V3554">
        <v>2022</v>
      </c>
      <c r="W3554">
        <v>1</v>
      </c>
      <c r="X3554" t="s">
        <v>9899</v>
      </c>
      <c r="Y3554" t="s">
        <v>9901</v>
      </c>
      <c r="Z3554" t="s">
        <v>9898</v>
      </c>
      <c r="AD3554">
        <f t="shared" si="111"/>
        <v>3</v>
      </c>
    </row>
    <row r="3555" spans="1:30" x14ac:dyDescent="0.25">
      <c r="A3555" t="s">
        <v>3579</v>
      </c>
      <c r="B3555" s="2">
        <v>44943</v>
      </c>
      <c r="C3555" s="2">
        <v>44946</v>
      </c>
      <c r="D3555" t="s">
        <v>5464</v>
      </c>
      <c r="E3555" t="s">
        <v>5964</v>
      </c>
      <c r="F3555" t="s">
        <v>6026</v>
      </c>
      <c r="G3555" t="s">
        <v>6029</v>
      </c>
      <c r="H3555" t="s">
        <v>6041</v>
      </c>
      <c r="I3555" t="s">
        <v>6049</v>
      </c>
      <c r="J3555" t="s">
        <v>6055</v>
      </c>
      <c r="K3555" t="s">
        <v>6063</v>
      </c>
      <c r="L3555" t="s">
        <v>8990</v>
      </c>
      <c r="M3555">
        <v>650.64</v>
      </c>
      <c r="N3555">
        <v>5</v>
      </c>
      <c r="O3555">
        <v>0.26</v>
      </c>
      <c r="P3555">
        <v>-48.4</v>
      </c>
      <c r="Q3555" t="s">
        <v>9897</v>
      </c>
      <c r="R3555">
        <v>3</v>
      </c>
      <c r="S3555" s="5">
        <f t="shared" si="110"/>
        <v>-7.4388294602237795E-2</v>
      </c>
      <c r="T3555">
        <v>130.12799999999999</v>
      </c>
      <c r="U3555">
        <v>1</v>
      </c>
      <c r="V3555">
        <v>2023</v>
      </c>
      <c r="W3555">
        <v>1</v>
      </c>
      <c r="X3555" t="s">
        <v>9898</v>
      </c>
      <c r="Y3555" t="s">
        <v>9900</v>
      </c>
      <c r="Z3555" t="s">
        <v>9899</v>
      </c>
      <c r="AD3555">
        <f t="shared" si="111"/>
        <v>3</v>
      </c>
    </row>
    <row r="3556" spans="1:30" x14ac:dyDescent="0.25">
      <c r="A3556" t="s">
        <v>3580</v>
      </c>
      <c r="B3556" s="2">
        <v>44694</v>
      </c>
      <c r="C3556" s="2">
        <v>44698</v>
      </c>
      <c r="D3556" t="s">
        <v>5220</v>
      </c>
      <c r="E3556" t="s">
        <v>5720</v>
      </c>
      <c r="F3556" t="s">
        <v>6028</v>
      </c>
      <c r="G3556" t="s">
        <v>6031</v>
      </c>
      <c r="H3556" t="s">
        <v>6043</v>
      </c>
      <c r="I3556" t="s">
        <v>6052</v>
      </c>
      <c r="J3556" t="s">
        <v>6054</v>
      </c>
      <c r="K3556" t="s">
        <v>6060</v>
      </c>
      <c r="L3556" t="s">
        <v>8991</v>
      </c>
      <c r="M3556">
        <v>1606.95</v>
      </c>
      <c r="N3556">
        <v>4</v>
      </c>
      <c r="O3556">
        <v>0.17</v>
      </c>
      <c r="P3556">
        <v>136.88</v>
      </c>
      <c r="Q3556" t="s">
        <v>9896</v>
      </c>
      <c r="R3556">
        <v>4</v>
      </c>
      <c r="S3556" s="5">
        <f t="shared" si="110"/>
        <v>8.5179999377703097E-2</v>
      </c>
      <c r="T3556">
        <v>401.73750000000001</v>
      </c>
      <c r="U3556">
        <v>5</v>
      </c>
      <c r="V3556">
        <v>2022</v>
      </c>
      <c r="W3556">
        <v>2</v>
      </c>
      <c r="X3556" t="s">
        <v>9899</v>
      </c>
      <c r="Y3556" t="s">
        <v>9900</v>
      </c>
      <c r="Z3556" t="s">
        <v>9898</v>
      </c>
      <c r="AD3556">
        <f t="shared" si="111"/>
        <v>4</v>
      </c>
    </row>
    <row r="3557" spans="1:30" x14ac:dyDescent="0.25">
      <c r="A3557" t="s">
        <v>3581</v>
      </c>
      <c r="B3557" s="2">
        <v>44995</v>
      </c>
      <c r="C3557" s="2">
        <v>45002</v>
      </c>
      <c r="D3557" t="s">
        <v>5341</v>
      </c>
      <c r="E3557" t="s">
        <v>5841</v>
      </c>
      <c r="F3557" t="s">
        <v>6028</v>
      </c>
      <c r="G3557" t="s">
        <v>6031</v>
      </c>
      <c r="H3557" t="s">
        <v>6037</v>
      </c>
      <c r="I3557" t="s">
        <v>6048</v>
      </c>
      <c r="J3557" t="s">
        <v>6054</v>
      </c>
      <c r="K3557" t="s">
        <v>6060</v>
      </c>
      <c r="L3557" t="s">
        <v>8992</v>
      </c>
      <c r="M3557">
        <v>751.96</v>
      </c>
      <c r="N3557">
        <v>7</v>
      </c>
      <c r="O3557">
        <v>0.31</v>
      </c>
      <c r="P3557">
        <v>-139.25</v>
      </c>
      <c r="Q3557" t="s">
        <v>9894</v>
      </c>
      <c r="R3557">
        <v>7</v>
      </c>
      <c r="S3557" s="5">
        <f t="shared" si="110"/>
        <v>-0.18518272248523857</v>
      </c>
      <c r="T3557">
        <v>107.4228571428572</v>
      </c>
      <c r="U3557">
        <v>3</v>
      </c>
      <c r="V3557">
        <v>2023</v>
      </c>
      <c r="W3557">
        <v>1</v>
      </c>
      <c r="X3557" t="s">
        <v>9898</v>
      </c>
      <c r="Y3557" t="s">
        <v>9902</v>
      </c>
      <c r="Z3557" t="s">
        <v>9899</v>
      </c>
      <c r="AD3557">
        <f t="shared" si="111"/>
        <v>7</v>
      </c>
    </row>
    <row r="3558" spans="1:30" x14ac:dyDescent="0.25">
      <c r="A3558" t="s">
        <v>3582</v>
      </c>
      <c r="B3558" s="2">
        <v>44603</v>
      </c>
      <c r="C3558" s="2">
        <v>44604</v>
      </c>
      <c r="D3558" t="s">
        <v>5258</v>
      </c>
      <c r="E3558" t="s">
        <v>5758</v>
      </c>
      <c r="F3558" t="s">
        <v>6028</v>
      </c>
      <c r="G3558" t="s">
        <v>6030</v>
      </c>
      <c r="H3558" t="s">
        <v>6033</v>
      </c>
      <c r="I3558" t="s">
        <v>6047</v>
      </c>
      <c r="J3558" t="s">
        <v>6053</v>
      </c>
      <c r="K3558" t="s">
        <v>6056</v>
      </c>
      <c r="L3558" t="s">
        <v>8993</v>
      </c>
      <c r="M3558">
        <v>165.19</v>
      </c>
      <c r="N3558">
        <v>5</v>
      </c>
      <c r="O3558">
        <v>0.34</v>
      </c>
      <c r="P3558">
        <v>-37.909999999999997</v>
      </c>
      <c r="Q3558" t="s">
        <v>9893</v>
      </c>
      <c r="R3558">
        <v>1</v>
      </c>
      <c r="S3558" s="5">
        <f t="shared" si="110"/>
        <v>-0.2294933107330952</v>
      </c>
      <c r="T3558">
        <v>33.037999999999997</v>
      </c>
      <c r="U3558">
        <v>2</v>
      </c>
      <c r="V3558">
        <v>2022</v>
      </c>
      <c r="W3558">
        <v>1</v>
      </c>
      <c r="X3558" t="s">
        <v>9898</v>
      </c>
      <c r="Y3558" t="s">
        <v>9902</v>
      </c>
      <c r="Z3558" t="s">
        <v>9899</v>
      </c>
      <c r="AD3558">
        <f t="shared" si="111"/>
        <v>1</v>
      </c>
    </row>
    <row r="3559" spans="1:30" x14ac:dyDescent="0.25">
      <c r="A3559" t="s">
        <v>3583</v>
      </c>
      <c r="B3559" s="2">
        <v>44692</v>
      </c>
      <c r="C3559" s="2">
        <v>44693</v>
      </c>
      <c r="D3559" t="s">
        <v>5399</v>
      </c>
      <c r="E3559" t="s">
        <v>5899</v>
      </c>
      <c r="F3559" t="s">
        <v>6026</v>
      </c>
      <c r="G3559" t="s">
        <v>6030</v>
      </c>
      <c r="H3559" t="s">
        <v>6038</v>
      </c>
      <c r="I3559" t="s">
        <v>6051</v>
      </c>
      <c r="J3559" t="s">
        <v>6053</v>
      </c>
      <c r="K3559" t="s">
        <v>6057</v>
      </c>
      <c r="L3559" t="s">
        <v>8994</v>
      </c>
      <c r="M3559">
        <v>233.8</v>
      </c>
      <c r="N3559">
        <v>2</v>
      </c>
      <c r="O3559">
        <v>0.11</v>
      </c>
      <c r="P3559">
        <v>36.35</v>
      </c>
      <c r="Q3559" t="s">
        <v>9893</v>
      </c>
      <c r="R3559">
        <v>1</v>
      </c>
      <c r="S3559" s="5">
        <f t="shared" si="110"/>
        <v>0.15547476475620189</v>
      </c>
      <c r="T3559">
        <v>116.9</v>
      </c>
      <c r="U3559">
        <v>5</v>
      </c>
      <c r="V3559">
        <v>2022</v>
      </c>
      <c r="W3559">
        <v>2</v>
      </c>
      <c r="X3559" t="s">
        <v>9899</v>
      </c>
      <c r="Y3559" t="s">
        <v>9901</v>
      </c>
      <c r="Z3559" t="s">
        <v>9899</v>
      </c>
      <c r="AD3559">
        <f t="shared" si="111"/>
        <v>1</v>
      </c>
    </row>
    <row r="3560" spans="1:30" x14ac:dyDescent="0.25">
      <c r="A3560" t="s">
        <v>3584</v>
      </c>
      <c r="B3560" s="2">
        <v>44953</v>
      </c>
      <c r="C3560" s="2">
        <v>44960</v>
      </c>
      <c r="D3560" t="s">
        <v>5213</v>
      </c>
      <c r="E3560" t="s">
        <v>5713</v>
      </c>
      <c r="F3560" t="s">
        <v>6027</v>
      </c>
      <c r="G3560" t="s">
        <v>6030</v>
      </c>
      <c r="H3560" t="s">
        <v>6039</v>
      </c>
      <c r="I3560" t="s">
        <v>6051</v>
      </c>
      <c r="J3560" t="s">
        <v>6053</v>
      </c>
      <c r="K3560" t="s">
        <v>6057</v>
      </c>
      <c r="L3560" t="s">
        <v>7413</v>
      </c>
      <c r="M3560">
        <v>395.66</v>
      </c>
      <c r="N3560">
        <v>7</v>
      </c>
      <c r="O3560">
        <v>0.28999999999999998</v>
      </c>
      <c r="P3560">
        <v>-23.49</v>
      </c>
      <c r="Q3560" t="s">
        <v>9897</v>
      </c>
      <c r="R3560">
        <v>7</v>
      </c>
      <c r="S3560" s="5">
        <f t="shared" si="110"/>
        <v>-5.936915533538896E-2</v>
      </c>
      <c r="T3560">
        <v>56.522857142857148</v>
      </c>
      <c r="U3560">
        <v>1</v>
      </c>
      <c r="V3560">
        <v>2023</v>
      </c>
      <c r="W3560">
        <v>1</v>
      </c>
      <c r="X3560" t="s">
        <v>9898</v>
      </c>
      <c r="Y3560" t="s">
        <v>9900</v>
      </c>
      <c r="Z3560" t="s">
        <v>9899</v>
      </c>
      <c r="AD3560">
        <f t="shared" si="111"/>
        <v>7</v>
      </c>
    </row>
    <row r="3561" spans="1:30" x14ac:dyDescent="0.25">
      <c r="A3561" t="s">
        <v>3585</v>
      </c>
      <c r="B3561" s="2">
        <v>44828</v>
      </c>
      <c r="C3561" s="2">
        <v>44832</v>
      </c>
      <c r="D3561" t="s">
        <v>5387</v>
      </c>
      <c r="E3561" t="s">
        <v>5887</v>
      </c>
      <c r="F3561" t="s">
        <v>6026</v>
      </c>
      <c r="G3561" t="s">
        <v>6030</v>
      </c>
      <c r="H3561" t="s">
        <v>6033</v>
      </c>
      <c r="I3561" t="s">
        <v>6047</v>
      </c>
      <c r="J3561" t="s">
        <v>6054</v>
      </c>
      <c r="K3561" t="s">
        <v>6059</v>
      </c>
      <c r="L3561" t="s">
        <v>8995</v>
      </c>
      <c r="M3561">
        <v>1411.82</v>
      </c>
      <c r="N3561">
        <v>2</v>
      </c>
      <c r="O3561">
        <v>0.15</v>
      </c>
      <c r="P3561">
        <v>51.31</v>
      </c>
      <c r="Q3561" t="s">
        <v>9896</v>
      </c>
      <c r="R3561">
        <v>4</v>
      </c>
      <c r="S3561" s="5">
        <f t="shared" si="110"/>
        <v>3.6343159892904195E-2</v>
      </c>
      <c r="T3561">
        <v>705.91</v>
      </c>
      <c r="U3561">
        <v>9</v>
      </c>
      <c r="V3561">
        <v>2022</v>
      </c>
      <c r="W3561">
        <v>3</v>
      </c>
      <c r="X3561" t="s">
        <v>9899</v>
      </c>
      <c r="Y3561" t="s">
        <v>9901</v>
      </c>
      <c r="Z3561" t="s">
        <v>9898</v>
      </c>
      <c r="AD3561">
        <f t="shared" si="111"/>
        <v>4</v>
      </c>
    </row>
    <row r="3562" spans="1:30" x14ac:dyDescent="0.25">
      <c r="A3562" t="s">
        <v>3586</v>
      </c>
      <c r="B3562" s="2">
        <v>44707</v>
      </c>
      <c r="C3562" s="2">
        <v>44709</v>
      </c>
      <c r="D3562" t="s">
        <v>5075</v>
      </c>
      <c r="E3562" t="s">
        <v>5575</v>
      </c>
      <c r="F3562" t="s">
        <v>6027</v>
      </c>
      <c r="G3562" t="s">
        <v>6029</v>
      </c>
      <c r="H3562" t="s">
        <v>6045</v>
      </c>
      <c r="I3562" t="s">
        <v>6046</v>
      </c>
      <c r="J3562" t="s">
        <v>6053</v>
      </c>
      <c r="K3562" t="s">
        <v>6056</v>
      </c>
      <c r="L3562" t="s">
        <v>6900</v>
      </c>
      <c r="M3562">
        <v>1287.51</v>
      </c>
      <c r="N3562">
        <v>6</v>
      </c>
      <c r="O3562">
        <v>0.08</v>
      </c>
      <c r="P3562">
        <v>252.49</v>
      </c>
      <c r="Q3562" t="s">
        <v>9895</v>
      </c>
      <c r="R3562">
        <v>2</v>
      </c>
      <c r="S3562" s="5">
        <f t="shared" si="110"/>
        <v>0.19610721470124504</v>
      </c>
      <c r="T3562">
        <v>214.58500000000001</v>
      </c>
      <c r="U3562">
        <v>5</v>
      </c>
      <c r="V3562">
        <v>2022</v>
      </c>
      <c r="W3562">
        <v>2</v>
      </c>
      <c r="X3562" t="s">
        <v>9899</v>
      </c>
      <c r="Y3562" t="s">
        <v>9901</v>
      </c>
      <c r="Z3562" t="s">
        <v>9898</v>
      </c>
      <c r="AD3562">
        <f t="shared" si="111"/>
        <v>2</v>
      </c>
    </row>
    <row r="3563" spans="1:30" x14ac:dyDescent="0.25">
      <c r="A3563" t="s">
        <v>3587</v>
      </c>
      <c r="B3563" s="2">
        <v>45222</v>
      </c>
      <c r="C3563" s="2">
        <v>45229</v>
      </c>
      <c r="D3563" t="s">
        <v>5370</v>
      </c>
      <c r="E3563" t="s">
        <v>5870</v>
      </c>
      <c r="F3563" t="s">
        <v>6027</v>
      </c>
      <c r="G3563" t="s">
        <v>6031</v>
      </c>
      <c r="H3563" t="s">
        <v>6043</v>
      </c>
      <c r="I3563" t="s">
        <v>6050</v>
      </c>
      <c r="J3563" t="s">
        <v>6054</v>
      </c>
      <c r="K3563" t="s">
        <v>6062</v>
      </c>
      <c r="L3563" t="s">
        <v>8996</v>
      </c>
      <c r="M3563">
        <v>494.4</v>
      </c>
      <c r="N3563">
        <v>2</v>
      </c>
      <c r="O3563">
        <v>0.18</v>
      </c>
      <c r="P3563">
        <v>16.73</v>
      </c>
      <c r="Q3563" t="s">
        <v>9896</v>
      </c>
      <c r="R3563">
        <v>7</v>
      </c>
      <c r="S3563" s="5">
        <f t="shared" si="110"/>
        <v>3.3838996763754049E-2</v>
      </c>
      <c r="T3563">
        <v>247.2</v>
      </c>
      <c r="U3563">
        <v>10</v>
      </c>
      <c r="V3563">
        <v>2023</v>
      </c>
      <c r="W3563">
        <v>4</v>
      </c>
      <c r="X3563" t="s">
        <v>9899</v>
      </c>
      <c r="Y3563" t="s">
        <v>9900</v>
      </c>
      <c r="Z3563" t="s">
        <v>9899</v>
      </c>
      <c r="AD3563">
        <f t="shared" si="111"/>
        <v>7</v>
      </c>
    </row>
    <row r="3564" spans="1:30" x14ac:dyDescent="0.25">
      <c r="A3564" t="s">
        <v>3588</v>
      </c>
      <c r="B3564" s="2">
        <v>45015</v>
      </c>
      <c r="C3564" s="2">
        <v>45016</v>
      </c>
      <c r="D3564" t="s">
        <v>5111</v>
      </c>
      <c r="E3564" t="s">
        <v>5611</v>
      </c>
      <c r="F3564" t="s">
        <v>6026</v>
      </c>
      <c r="G3564" t="s">
        <v>6030</v>
      </c>
      <c r="H3564" t="s">
        <v>6038</v>
      </c>
      <c r="I3564" t="s">
        <v>6047</v>
      </c>
      <c r="J3564" t="s">
        <v>6053</v>
      </c>
      <c r="K3564" t="s">
        <v>6057</v>
      </c>
      <c r="L3564" t="s">
        <v>8997</v>
      </c>
      <c r="M3564">
        <v>1266.8900000000001</v>
      </c>
      <c r="N3564">
        <v>3</v>
      </c>
      <c r="O3564">
        <v>0.08</v>
      </c>
      <c r="P3564">
        <v>98.01</v>
      </c>
      <c r="Q3564" t="s">
        <v>9895</v>
      </c>
      <c r="R3564">
        <v>1</v>
      </c>
      <c r="S3564" s="5">
        <f t="shared" si="110"/>
        <v>7.736267552826212E-2</v>
      </c>
      <c r="T3564">
        <v>422.29666666666668</v>
      </c>
      <c r="U3564">
        <v>3</v>
      </c>
      <c r="V3564">
        <v>2023</v>
      </c>
      <c r="W3564">
        <v>1</v>
      </c>
      <c r="X3564" t="s">
        <v>9899</v>
      </c>
      <c r="Y3564" t="s">
        <v>9901</v>
      </c>
      <c r="Z3564" t="s">
        <v>9898</v>
      </c>
      <c r="AD3564">
        <f t="shared" si="111"/>
        <v>1</v>
      </c>
    </row>
    <row r="3565" spans="1:30" x14ac:dyDescent="0.25">
      <c r="A3565" t="s">
        <v>3589</v>
      </c>
      <c r="B3565" s="2">
        <v>45455</v>
      </c>
      <c r="C3565" s="2">
        <v>45458</v>
      </c>
      <c r="D3565" t="s">
        <v>5269</v>
      </c>
      <c r="E3565" t="s">
        <v>5769</v>
      </c>
      <c r="F3565" t="s">
        <v>6026</v>
      </c>
      <c r="G3565" t="s">
        <v>6031</v>
      </c>
      <c r="H3565" t="s">
        <v>6034</v>
      </c>
      <c r="I3565" t="s">
        <v>6052</v>
      </c>
      <c r="J3565" t="s">
        <v>6053</v>
      </c>
      <c r="K3565" t="s">
        <v>6056</v>
      </c>
      <c r="L3565" t="s">
        <v>8998</v>
      </c>
      <c r="M3565">
        <v>137.4</v>
      </c>
      <c r="N3565">
        <v>4</v>
      </c>
      <c r="O3565">
        <v>0.32</v>
      </c>
      <c r="P3565">
        <v>-15.52</v>
      </c>
      <c r="Q3565" t="s">
        <v>9893</v>
      </c>
      <c r="R3565">
        <v>3</v>
      </c>
      <c r="S3565" s="5">
        <f t="shared" si="110"/>
        <v>-0.11295487627365355</v>
      </c>
      <c r="T3565">
        <v>34.35</v>
      </c>
      <c r="U3565">
        <v>6</v>
      </c>
      <c r="V3565">
        <v>2024</v>
      </c>
      <c r="W3565">
        <v>2</v>
      </c>
      <c r="X3565" t="s">
        <v>9898</v>
      </c>
      <c r="Y3565" t="s">
        <v>9902</v>
      </c>
      <c r="Z3565" t="s">
        <v>9899</v>
      </c>
      <c r="AD3565">
        <f t="shared" si="111"/>
        <v>3</v>
      </c>
    </row>
    <row r="3566" spans="1:30" x14ac:dyDescent="0.25">
      <c r="A3566" t="s">
        <v>3590</v>
      </c>
      <c r="B3566" s="2">
        <v>44701</v>
      </c>
      <c r="C3566" s="2">
        <v>44706</v>
      </c>
      <c r="D3566" t="s">
        <v>5313</v>
      </c>
      <c r="E3566" t="s">
        <v>5813</v>
      </c>
      <c r="F3566" t="s">
        <v>6026</v>
      </c>
      <c r="G3566" t="s">
        <v>6031</v>
      </c>
      <c r="H3566" t="s">
        <v>6043</v>
      </c>
      <c r="I3566" t="s">
        <v>6050</v>
      </c>
      <c r="J3566" t="s">
        <v>6055</v>
      </c>
      <c r="K3566" t="s">
        <v>6063</v>
      </c>
      <c r="L3566" t="s">
        <v>8999</v>
      </c>
      <c r="M3566">
        <v>942.92</v>
      </c>
      <c r="N3566">
        <v>7</v>
      </c>
      <c r="O3566">
        <v>0.03</v>
      </c>
      <c r="P3566">
        <v>242.03</v>
      </c>
      <c r="Q3566" t="s">
        <v>9894</v>
      </c>
      <c r="R3566">
        <v>5</v>
      </c>
      <c r="S3566" s="5">
        <f t="shared" si="110"/>
        <v>0.25668137275696773</v>
      </c>
      <c r="T3566">
        <v>134.70285714285711</v>
      </c>
      <c r="U3566">
        <v>5</v>
      </c>
      <c r="V3566">
        <v>2022</v>
      </c>
      <c r="W3566">
        <v>2</v>
      </c>
      <c r="X3566" t="s">
        <v>9899</v>
      </c>
      <c r="Y3566" t="s">
        <v>9901</v>
      </c>
      <c r="Z3566" t="s">
        <v>9899</v>
      </c>
      <c r="AD3566">
        <f t="shared" si="111"/>
        <v>5</v>
      </c>
    </row>
    <row r="3567" spans="1:30" x14ac:dyDescent="0.25">
      <c r="A3567" t="s">
        <v>3591</v>
      </c>
      <c r="B3567" s="2">
        <v>45167</v>
      </c>
      <c r="C3567" s="2">
        <v>45170</v>
      </c>
      <c r="D3567" t="s">
        <v>5351</v>
      </c>
      <c r="E3567" t="s">
        <v>5851</v>
      </c>
      <c r="F3567" t="s">
        <v>6028</v>
      </c>
      <c r="G3567" t="s">
        <v>6029</v>
      </c>
      <c r="H3567" t="s">
        <v>6044</v>
      </c>
      <c r="I3567" t="s">
        <v>6049</v>
      </c>
      <c r="J3567" t="s">
        <v>6055</v>
      </c>
      <c r="K3567" t="s">
        <v>6063</v>
      </c>
      <c r="L3567" t="s">
        <v>8198</v>
      </c>
      <c r="M3567">
        <v>1674.44</v>
      </c>
      <c r="N3567">
        <v>1</v>
      </c>
      <c r="O3567">
        <v>0.26</v>
      </c>
      <c r="P3567">
        <v>-101.3</v>
      </c>
      <c r="Q3567" t="s">
        <v>9895</v>
      </c>
      <c r="R3567">
        <v>3</v>
      </c>
      <c r="S3567" s="5">
        <f t="shared" si="110"/>
        <v>-6.0497838083180044E-2</v>
      </c>
      <c r="T3567">
        <v>1674.44</v>
      </c>
      <c r="U3567">
        <v>8</v>
      </c>
      <c r="V3567">
        <v>2023</v>
      </c>
      <c r="W3567">
        <v>3</v>
      </c>
      <c r="X3567" t="s">
        <v>9898</v>
      </c>
      <c r="Y3567" t="s">
        <v>9900</v>
      </c>
      <c r="Z3567" t="s">
        <v>9898</v>
      </c>
      <c r="AD3567">
        <f t="shared" si="111"/>
        <v>3</v>
      </c>
    </row>
    <row r="3568" spans="1:30" x14ac:dyDescent="0.25">
      <c r="A3568" t="s">
        <v>3592</v>
      </c>
      <c r="B3568" s="2">
        <v>45148</v>
      </c>
      <c r="C3568" s="2">
        <v>45150</v>
      </c>
      <c r="D3568" t="s">
        <v>5275</v>
      </c>
      <c r="E3568" t="s">
        <v>5775</v>
      </c>
      <c r="F3568" t="s">
        <v>6027</v>
      </c>
      <c r="G3568" t="s">
        <v>6030</v>
      </c>
      <c r="H3568" t="s">
        <v>6035</v>
      </c>
      <c r="I3568" t="s">
        <v>6051</v>
      </c>
      <c r="J3568" t="s">
        <v>6055</v>
      </c>
      <c r="K3568" t="s">
        <v>6064</v>
      </c>
      <c r="L3568" t="s">
        <v>9000</v>
      </c>
      <c r="M3568">
        <v>982.63</v>
      </c>
      <c r="N3568">
        <v>1</v>
      </c>
      <c r="O3568">
        <v>0.01</v>
      </c>
      <c r="P3568">
        <v>228.36</v>
      </c>
      <c r="Q3568" t="s">
        <v>9896</v>
      </c>
      <c r="R3568">
        <v>2</v>
      </c>
      <c r="S3568" s="5">
        <f t="shared" si="110"/>
        <v>0.23239673122131424</v>
      </c>
      <c r="T3568">
        <v>982.63</v>
      </c>
      <c r="U3568">
        <v>8</v>
      </c>
      <c r="V3568">
        <v>2023</v>
      </c>
      <c r="W3568">
        <v>3</v>
      </c>
      <c r="X3568" t="s">
        <v>9899</v>
      </c>
      <c r="Y3568" t="s">
        <v>9901</v>
      </c>
      <c r="Z3568" t="s">
        <v>9899</v>
      </c>
      <c r="AD3568">
        <f t="shared" si="111"/>
        <v>2</v>
      </c>
    </row>
    <row r="3569" spans="1:30" x14ac:dyDescent="0.25">
      <c r="A3569" t="s">
        <v>3593</v>
      </c>
      <c r="B3569" s="2">
        <v>45023</v>
      </c>
      <c r="C3569" s="2">
        <v>45029</v>
      </c>
      <c r="D3569" t="s">
        <v>5047</v>
      </c>
      <c r="E3569" t="s">
        <v>5547</v>
      </c>
      <c r="F3569" t="s">
        <v>6027</v>
      </c>
      <c r="G3569" t="s">
        <v>6030</v>
      </c>
      <c r="H3569" t="s">
        <v>6039</v>
      </c>
      <c r="I3569" t="s">
        <v>6051</v>
      </c>
      <c r="J3569" t="s">
        <v>6053</v>
      </c>
      <c r="K3569" t="s">
        <v>6056</v>
      </c>
      <c r="L3569" t="s">
        <v>9001</v>
      </c>
      <c r="M3569">
        <v>1285.9000000000001</v>
      </c>
      <c r="N3569">
        <v>1</v>
      </c>
      <c r="O3569">
        <v>0.02</v>
      </c>
      <c r="P3569">
        <v>130.47</v>
      </c>
      <c r="Q3569" t="s">
        <v>9894</v>
      </c>
      <c r="R3569">
        <v>6</v>
      </c>
      <c r="S3569" s="5">
        <f t="shared" si="110"/>
        <v>0.10146201104284935</v>
      </c>
      <c r="T3569">
        <v>1285.9000000000001</v>
      </c>
      <c r="U3569">
        <v>4</v>
      </c>
      <c r="V3569">
        <v>2023</v>
      </c>
      <c r="W3569">
        <v>2</v>
      </c>
      <c r="X3569" t="s">
        <v>9899</v>
      </c>
      <c r="Y3569" t="s">
        <v>9901</v>
      </c>
      <c r="Z3569" t="s">
        <v>9898</v>
      </c>
      <c r="AD3569">
        <f t="shared" si="111"/>
        <v>6</v>
      </c>
    </row>
    <row r="3570" spans="1:30" x14ac:dyDescent="0.25">
      <c r="A3570" t="s">
        <v>3594</v>
      </c>
      <c r="B3570" s="2">
        <v>45417</v>
      </c>
      <c r="C3570" s="2">
        <v>45424</v>
      </c>
      <c r="D3570" t="s">
        <v>5385</v>
      </c>
      <c r="E3570" t="s">
        <v>5885</v>
      </c>
      <c r="F3570" t="s">
        <v>6026</v>
      </c>
      <c r="G3570" t="s">
        <v>6029</v>
      </c>
      <c r="H3570" t="s">
        <v>6041</v>
      </c>
      <c r="I3570" t="s">
        <v>6050</v>
      </c>
      <c r="J3570" t="s">
        <v>6054</v>
      </c>
      <c r="K3570" t="s">
        <v>6060</v>
      </c>
      <c r="L3570" t="s">
        <v>9002</v>
      </c>
      <c r="M3570">
        <v>748.92</v>
      </c>
      <c r="N3570">
        <v>5</v>
      </c>
      <c r="O3570">
        <v>0.15</v>
      </c>
      <c r="P3570">
        <v>81.84</v>
      </c>
      <c r="Q3570" t="s">
        <v>9895</v>
      </c>
      <c r="R3570">
        <v>7</v>
      </c>
      <c r="S3570" s="5">
        <f t="shared" si="110"/>
        <v>0.10927735939753246</v>
      </c>
      <c r="T3570">
        <v>149.78399999999999</v>
      </c>
      <c r="U3570">
        <v>5</v>
      </c>
      <c r="V3570">
        <v>2024</v>
      </c>
      <c r="W3570">
        <v>2</v>
      </c>
      <c r="X3570" t="s">
        <v>9899</v>
      </c>
      <c r="Y3570" t="s">
        <v>9901</v>
      </c>
      <c r="Z3570" t="s">
        <v>9899</v>
      </c>
      <c r="AD3570">
        <f t="shared" si="111"/>
        <v>7</v>
      </c>
    </row>
    <row r="3571" spans="1:30" x14ac:dyDescent="0.25">
      <c r="A3571" t="s">
        <v>3595</v>
      </c>
      <c r="B3571" s="2">
        <v>44730</v>
      </c>
      <c r="C3571" s="2">
        <v>44735</v>
      </c>
      <c r="D3571" t="s">
        <v>5128</v>
      </c>
      <c r="E3571" t="s">
        <v>5628</v>
      </c>
      <c r="F3571" t="s">
        <v>6027</v>
      </c>
      <c r="G3571" t="s">
        <v>6030</v>
      </c>
      <c r="H3571" t="s">
        <v>6035</v>
      </c>
      <c r="I3571" t="s">
        <v>6047</v>
      </c>
      <c r="J3571" t="s">
        <v>6054</v>
      </c>
      <c r="K3571" t="s">
        <v>6060</v>
      </c>
      <c r="L3571" t="s">
        <v>7321</v>
      </c>
      <c r="M3571">
        <v>1167.99</v>
      </c>
      <c r="N3571">
        <v>1</v>
      </c>
      <c r="O3571">
        <v>0.06</v>
      </c>
      <c r="P3571">
        <v>76.55</v>
      </c>
      <c r="Q3571" t="s">
        <v>9894</v>
      </c>
      <c r="R3571">
        <v>5</v>
      </c>
      <c r="S3571" s="5">
        <f t="shared" si="110"/>
        <v>6.5539944691307292E-2</v>
      </c>
      <c r="T3571">
        <v>1167.99</v>
      </c>
      <c r="U3571">
        <v>6</v>
      </c>
      <c r="V3571">
        <v>2022</v>
      </c>
      <c r="W3571">
        <v>2</v>
      </c>
      <c r="X3571" t="s">
        <v>9899</v>
      </c>
      <c r="Y3571" t="s">
        <v>9901</v>
      </c>
      <c r="Z3571" t="s">
        <v>9898</v>
      </c>
      <c r="AD3571">
        <f t="shared" si="111"/>
        <v>5</v>
      </c>
    </row>
    <row r="3572" spans="1:30" x14ac:dyDescent="0.25">
      <c r="A3572" t="s">
        <v>3596</v>
      </c>
      <c r="B3572" s="2">
        <v>45380</v>
      </c>
      <c r="C3572" s="2">
        <v>45387</v>
      </c>
      <c r="D3572" t="s">
        <v>5354</v>
      </c>
      <c r="E3572" t="s">
        <v>5854</v>
      </c>
      <c r="F3572" t="s">
        <v>6028</v>
      </c>
      <c r="G3572" t="s">
        <v>6030</v>
      </c>
      <c r="H3572" t="s">
        <v>6033</v>
      </c>
      <c r="I3572" t="s">
        <v>6047</v>
      </c>
      <c r="J3572" t="s">
        <v>6055</v>
      </c>
      <c r="K3572" t="s">
        <v>6063</v>
      </c>
      <c r="L3572" t="s">
        <v>6112</v>
      </c>
      <c r="M3572">
        <v>1116.78</v>
      </c>
      <c r="N3572">
        <v>8</v>
      </c>
      <c r="O3572">
        <v>0.13</v>
      </c>
      <c r="P3572">
        <v>-10.23</v>
      </c>
      <c r="Q3572" t="s">
        <v>9893</v>
      </c>
      <c r="R3572">
        <v>7</v>
      </c>
      <c r="S3572" s="5">
        <f t="shared" si="110"/>
        <v>-9.1602643313812935E-3</v>
      </c>
      <c r="T3572">
        <v>139.5975</v>
      </c>
      <c r="U3572">
        <v>3</v>
      </c>
      <c r="V3572">
        <v>2024</v>
      </c>
      <c r="W3572">
        <v>1</v>
      </c>
      <c r="X3572" t="s">
        <v>9898</v>
      </c>
      <c r="Y3572" t="s">
        <v>9901</v>
      </c>
      <c r="Z3572" t="s">
        <v>9898</v>
      </c>
      <c r="AD3572">
        <f t="shared" si="111"/>
        <v>7</v>
      </c>
    </row>
    <row r="3573" spans="1:30" x14ac:dyDescent="0.25">
      <c r="A3573" t="s">
        <v>3597</v>
      </c>
      <c r="B3573" s="2">
        <v>45201</v>
      </c>
      <c r="C3573" s="2">
        <v>45205</v>
      </c>
      <c r="D3573" t="s">
        <v>5458</v>
      </c>
      <c r="E3573" t="s">
        <v>5958</v>
      </c>
      <c r="F3573" t="s">
        <v>6028</v>
      </c>
      <c r="G3573" t="s">
        <v>6030</v>
      </c>
      <c r="H3573" t="s">
        <v>6039</v>
      </c>
      <c r="I3573" t="s">
        <v>6051</v>
      </c>
      <c r="J3573" t="s">
        <v>6054</v>
      </c>
      <c r="K3573" t="s">
        <v>6062</v>
      </c>
      <c r="L3573" t="s">
        <v>9003</v>
      </c>
      <c r="M3573">
        <v>1759.58</v>
      </c>
      <c r="N3573">
        <v>7</v>
      </c>
      <c r="O3573">
        <v>0.25</v>
      </c>
      <c r="P3573">
        <v>-8.6</v>
      </c>
      <c r="Q3573" t="s">
        <v>9897</v>
      </c>
      <c r="R3573">
        <v>4</v>
      </c>
      <c r="S3573" s="5">
        <f t="shared" si="110"/>
        <v>-4.8875299787449278E-3</v>
      </c>
      <c r="T3573">
        <v>251.36857142857141</v>
      </c>
      <c r="U3573">
        <v>10</v>
      </c>
      <c r="V3573">
        <v>2023</v>
      </c>
      <c r="W3573">
        <v>4</v>
      </c>
      <c r="X3573" t="s">
        <v>9898</v>
      </c>
      <c r="Y3573" t="s">
        <v>9900</v>
      </c>
      <c r="Z3573" t="s">
        <v>9898</v>
      </c>
      <c r="AD3573">
        <f t="shared" si="111"/>
        <v>4</v>
      </c>
    </row>
    <row r="3574" spans="1:30" x14ac:dyDescent="0.25">
      <c r="A3574" t="s">
        <v>3598</v>
      </c>
      <c r="B3574" s="2">
        <v>44918</v>
      </c>
      <c r="C3574" s="2">
        <v>44923</v>
      </c>
      <c r="D3574" t="s">
        <v>5251</v>
      </c>
      <c r="E3574" t="s">
        <v>5751</v>
      </c>
      <c r="F3574" t="s">
        <v>6028</v>
      </c>
      <c r="G3574" t="s">
        <v>6029</v>
      </c>
      <c r="H3574" t="s">
        <v>6036</v>
      </c>
      <c r="I3574" t="s">
        <v>6050</v>
      </c>
      <c r="J3574" t="s">
        <v>6055</v>
      </c>
      <c r="K3574" t="s">
        <v>6064</v>
      </c>
      <c r="L3574" t="s">
        <v>9004</v>
      </c>
      <c r="M3574">
        <v>110.32</v>
      </c>
      <c r="N3574">
        <v>1</v>
      </c>
      <c r="O3574">
        <v>0.22</v>
      </c>
      <c r="P3574">
        <v>3</v>
      </c>
      <c r="Q3574" t="s">
        <v>9895</v>
      </c>
      <c r="R3574">
        <v>5</v>
      </c>
      <c r="S3574" s="5">
        <f t="shared" si="110"/>
        <v>2.7193618564176941E-2</v>
      </c>
      <c r="T3574">
        <v>110.32</v>
      </c>
      <c r="U3574">
        <v>12</v>
      </c>
      <c r="V3574">
        <v>2022</v>
      </c>
      <c r="W3574">
        <v>4</v>
      </c>
      <c r="X3574" t="s">
        <v>9899</v>
      </c>
      <c r="Y3574" t="s">
        <v>9900</v>
      </c>
      <c r="Z3574" t="s">
        <v>9899</v>
      </c>
      <c r="AD3574">
        <f t="shared" si="111"/>
        <v>5</v>
      </c>
    </row>
    <row r="3575" spans="1:30" x14ac:dyDescent="0.25">
      <c r="A3575" t="s">
        <v>3599</v>
      </c>
      <c r="B3575" s="2">
        <v>45129</v>
      </c>
      <c r="C3575" s="2">
        <v>45132</v>
      </c>
      <c r="D3575" t="s">
        <v>5134</v>
      </c>
      <c r="E3575" t="s">
        <v>5634</v>
      </c>
      <c r="F3575" t="s">
        <v>6027</v>
      </c>
      <c r="G3575" t="s">
        <v>6029</v>
      </c>
      <c r="H3575" t="s">
        <v>6045</v>
      </c>
      <c r="I3575" t="s">
        <v>6046</v>
      </c>
      <c r="J3575" t="s">
        <v>6054</v>
      </c>
      <c r="K3575" t="s">
        <v>6059</v>
      </c>
      <c r="L3575" t="s">
        <v>9005</v>
      </c>
      <c r="M3575">
        <v>650.19000000000005</v>
      </c>
      <c r="N3575">
        <v>7</v>
      </c>
      <c r="O3575">
        <v>0.27</v>
      </c>
      <c r="P3575">
        <v>-101.43</v>
      </c>
      <c r="Q3575" t="s">
        <v>9896</v>
      </c>
      <c r="R3575">
        <v>3</v>
      </c>
      <c r="S3575" s="5">
        <f t="shared" si="110"/>
        <v>-0.15600055368430765</v>
      </c>
      <c r="T3575">
        <v>92.884285714285724</v>
      </c>
      <c r="U3575">
        <v>7</v>
      </c>
      <c r="V3575">
        <v>2023</v>
      </c>
      <c r="W3575">
        <v>3</v>
      </c>
      <c r="X3575" t="s">
        <v>9898</v>
      </c>
      <c r="Y3575" t="s">
        <v>9900</v>
      </c>
      <c r="Z3575" t="s">
        <v>9899</v>
      </c>
      <c r="AD3575">
        <f t="shared" si="111"/>
        <v>3</v>
      </c>
    </row>
    <row r="3576" spans="1:30" x14ac:dyDescent="0.25">
      <c r="A3576" t="s">
        <v>3600</v>
      </c>
      <c r="B3576" s="2">
        <v>45209</v>
      </c>
      <c r="C3576" s="2">
        <v>45216</v>
      </c>
      <c r="D3576" t="s">
        <v>5266</v>
      </c>
      <c r="E3576" t="s">
        <v>5766</v>
      </c>
      <c r="F3576" t="s">
        <v>6027</v>
      </c>
      <c r="G3576" t="s">
        <v>6031</v>
      </c>
      <c r="H3576" t="s">
        <v>6037</v>
      </c>
      <c r="I3576" t="s">
        <v>6048</v>
      </c>
      <c r="J3576" t="s">
        <v>6055</v>
      </c>
      <c r="K3576" t="s">
        <v>6064</v>
      </c>
      <c r="L3576" t="s">
        <v>8769</v>
      </c>
      <c r="M3576">
        <v>668.95</v>
      </c>
      <c r="N3576">
        <v>1</v>
      </c>
      <c r="O3576">
        <v>0.01</v>
      </c>
      <c r="P3576">
        <v>89.96</v>
      </c>
      <c r="Q3576" t="s">
        <v>9897</v>
      </c>
      <c r="R3576">
        <v>7</v>
      </c>
      <c r="S3576" s="5">
        <f t="shared" si="110"/>
        <v>0.13447940802750577</v>
      </c>
      <c r="T3576">
        <v>668.95</v>
      </c>
      <c r="U3576">
        <v>10</v>
      </c>
      <c r="V3576">
        <v>2023</v>
      </c>
      <c r="W3576">
        <v>4</v>
      </c>
      <c r="X3576" t="s">
        <v>9899</v>
      </c>
      <c r="Y3576" t="s">
        <v>9901</v>
      </c>
      <c r="Z3576" t="s">
        <v>9899</v>
      </c>
      <c r="AD3576">
        <f t="shared" si="111"/>
        <v>7</v>
      </c>
    </row>
    <row r="3577" spans="1:30" x14ac:dyDescent="0.25">
      <c r="A3577" t="s">
        <v>3601</v>
      </c>
      <c r="B3577" s="2">
        <v>44881</v>
      </c>
      <c r="C3577" s="2">
        <v>44885</v>
      </c>
      <c r="D3577" t="s">
        <v>5421</v>
      </c>
      <c r="E3577" t="s">
        <v>5921</v>
      </c>
      <c r="F3577" t="s">
        <v>6027</v>
      </c>
      <c r="G3577" t="s">
        <v>6031</v>
      </c>
      <c r="H3577" t="s">
        <v>6040</v>
      </c>
      <c r="I3577" t="s">
        <v>6048</v>
      </c>
      <c r="J3577" t="s">
        <v>6054</v>
      </c>
      <c r="K3577" t="s">
        <v>6060</v>
      </c>
      <c r="L3577" t="s">
        <v>7504</v>
      </c>
      <c r="M3577">
        <v>1869.23</v>
      </c>
      <c r="N3577">
        <v>6</v>
      </c>
      <c r="O3577">
        <v>0.18</v>
      </c>
      <c r="P3577">
        <v>-117.87</v>
      </c>
      <c r="Q3577" t="s">
        <v>9893</v>
      </c>
      <c r="R3577">
        <v>4</v>
      </c>
      <c r="S3577" s="5">
        <f t="shared" si="110"/>
        <v>-6.3058050641173105E-2</v>
      </c>
      <c r="T3577">
        <v>311.53833333333341</v>
      </c>
      <c r="U3577">
        <v>11</v>
      </c>
      <c r="V3577">
        <v>2022</v>
      </c>
      <c r="W3577">
        <v>4</v>
      </c>
      <c r="X3577" t="s">
        <v>9898</v>
      </c>
      <c r="Y3577" t="s">
        <v>9900</v>
      </c>
      <c r="Z3577" t="s">
        <v>9898</v>
      </c>
      <c r="AD3577">
        <f t="shared" si="111"/>
        <v>4</v>
      </c>
    </row>
    <row r="3578" spans="1:30" x14ac:dyDescent="0.25">
      <c r="A3578" t="s">
        <v>3602</v>
      </c>
      <c r="B3578" s="2">
        <v>45240</v>
      </c>
      <c r="C3578" s="2">
        <v>45244</v>
      </c>
      <c r="D3578" t="s">
        <v>5317</v>
      </c>
      <c r="E3578" t="s">
        <v>5817</v>
      </c>
      <c r="F3578" t="s">
        <v>6026</v>
      </c>
      <c r="G3578" t="s">
        <v>6029</v>
      </c>
      <c r="H3578" t="s">
        <v>6044</v>
      </c>
      <c r="I3578" t="s">
        <v>6046</v>
      </c>
      <c r="J3578" t="s">
        <v>6055</v>
      </c>
      <c r="K3578" t="s">
        <v>6061</v>
      </c>
      <c r="L3578" t="s">
        <v>9006</v>
      </c>
      <c r="M3578">
        <v>1068.56</v>
      </c>
      <c r="N3578">
        <v>8</v>
      </c>
      <c r="O3578">
        <v>0.13</v>
      </c>
      <c r="P3578">
        <v>164.11</v>
      </c>
      <c r="Q3578" t="s">
        <v>9894</v>
      </c>
      <c r="R3578">
        <v>4</v>
      </c>
      <c r="S3578" s="5">
        <f t="shared" si="110"/>
        <v>0.15358051957774951</v>
      </c>
      <c r="T3578">
        <v>133.57</v>
      </c>
      <c r="U3578">
        <v>11</v>
      </c>
      <c r="V3578">
        <v>2023</v>
      </c>
      <c r="W3578">
        <v>4</v>
      </c>
      <c r="X3578" t="s">
        <v>9899</v>
      </c>
      <c r="Y3578" t="s">
        <v>9901</v>
      </c>
      <c r="Z3578" t="s">
        <v>9898</v>
      </c>
      <c r="AD3578">
        <f t="shared" si="111"/>
        <v>4</v>
      </c>
    </row>
    <row r="3579" spans="1:30" x14ac:dyDescent="0.25">
      <c r="A3579" t="s">
        <v>3603</v>
      </c>
      <c r="B3579" s="2">
        <v>45396</v>
      </c>
      <c r="C3579" s="2">
        <v>45403</v>
      </c>
      <c r="D3579" t="s">
        <v>5213</v>
      </c>
      <c r="E3579" t="s">
        <v>5713</v>
      </c>
      <c r="F3579" t="s">
        <v>6026</v>
      </c>
      <c r="G3579" t="s">
        <v>6030</v>
      </c>
      <c r="H3579" t="s">
        <v>6039</v>
      </c>
      <c r="I3579" t="s">
        <v>6051</v>
      </c>
      <c r="J3579" t="s">
        <v>6054</v>
      </c>
      <c r="K3579" t="s">
        <v>6059</v>
      </c>
      <c r="L3579" t="s">
        <v>9007</v>
      </c>
      <c r="M3579">
        <v>799.17</v>
      </c>
      <c r="N3579">
        <v>1</v>
      </c>
      <c r="O3579">
        <v>0.21</v>
      </c>
      <c r="P3579">
        <v>-62.22</v>
      </c>
      <c r="Q3579" t="s">
        <v>9895</v>
      </c>
      <c r="R3579">
        <v>7</v>
      </c>
      <c r="S3579" s="5">
        <f t="shared" si="110"/>
        <v>-7.78557753669432E-2</v>
      </c>
      <c r="T3579">
        <v>799.17</v>
      </c>
      <c r="U3579">
        <v>4</v>
      </c>
      <c r="V3579">
        <v>2024</v>
      </c>
      <c r="W3579">
        <v>2</v>
      </c>
      <c r="X3579" t="s">
        <v>9898</v>
      </c>
      <c r="Y3579" t="s">
        <v>9900</v>
      </c>
      <c r="Z3579" t="s">
        <v>9899</v>
      </c>
      <c r="AD3579">
        <f t="shared" si="111"/>
        <v>7</v>
      </c>
    </row>
    <row r="3580" spans="1:30" x14ac:dyDescent="0.25">
      <c r="A3580" t="s">
        <v>3604</v>
      </c>
      <c r="B3580" s="2">
        <v>45292</v>
      </c>
      <c r="C3580" s="2">
        <v>45293</v>
      </c>
      <c r="D3580" t="s">
        <v>5299</v>
      </c>
      <c r="E3580" t="s">
        <v>5799</v>
      </c>
      <c r="F3580" t="s">
        <v>6026</v>
      </c>
      <c r="G3580" t="s">
        <v>6031</v>
      </c>
      <c r="H3580" t="s">
        <v>6042</v>
      </c>
      <c r="I3580" t="s">
        <v>6050</v>
      </c>
      <c r="J3580" t="s">
        <v>6053</v>
      </c>
      <c r="K3580" t="s">
        <v>6056</v>
      </c>
      <c r="L3580" t="s">
        <v>9008</v>
      </c>
      <c r="M3580">
        <v>1352.23</v>
      </c>
      <c r="N3580">
        <v>8</v>
      </c>
      <c r="O3580">
        <v>0.06</v>
      </c>
      <c r="P3580">
        <v>126.85</v>
      </c>
      <c r="Q3580" t="s">
        <v>9897</v>
      </c>
      <c r="R3580">
        <v>1</v>
      </c>
      <c r="S3580" s="5">
        <f t="shared" si="110"/>
        <v>9.3808006034476379E-2</v>
      </c>
      <c r="T3580">
        <v>169.02875</v>
      </c>
      <c r="U3580">
        <v>1</v>
      </c>
      <c r="V3580">
        <v>2024</v>
      </c>
      <c r="W3580">
        <v>1</v>
      </c>
      <c r="X3580" t="s">
        <v>9899</v>
      </c>
      <c r="Y3580" t="s">
        <v>9901</v>
      </c>
      <c r="Z3580" t="s">
        <v>9898</v>
      </c>
      <c r="AD3580">
        <f t="shared" si="111"/>
        <v>1</v>
      </c>
    </row>
    <row r="3581" spans="1:30" x14ac:dyDescent="0.25">
      <c r="A3581" t="s">
        <v>3605</v>
      </c>
      <c r="B3581" s="2">
        <v>45020</v>
      </c>
      <c r="C3581" s="2">
        <v>45027</v>
      </c>
      <c r="D3581" t="s">
        <v>5223</v>
      </c>
      <c r="E3581" t="s">
        <v>5723</v>
      </c>
      <c r="F3581" t="s">
        <v>6026</v>
      </c>
      <c r="G3581" t="s">
        <v>6030</v>
      </c>
      <c r="H3581" t="s">
        <v>6038</v>
      </c>
      <c r="I3581" t="s">
        <v>6051</v>
      </c>
      <c r="J3581" t="s">
        <v>6054</v>
      </c>
      <c r="K3581" t="s">
        <v>6060</v>
      </c>
      <c r="L3581" t="s">
        <v>8063</v>
      </c>
      <c r="M3581">
        <v>818.3</v>
      </c>
      <c r="N3581">
        <v>3</v>
      </c>
      <c r="O3581">
        <v>0.26</v>
      </c>
      <c r="P3581">
        <v>-28.45</v>
      </c>
      <c r="Q3581" t="s">
        <v>9894</v>
      </c>
      <c r="R3581">
        <v>7</v>
      </c>
      <c r="S3581" s="5">
        <f t="shared" si="110"/>
        <v>-3.4767200293290973E-2</v>
      </c>
      <c r="T3581">
        <v>272.76666666666671</v>
      </c>
      <c r="U3581">
        <v>4</v>
      </c>
      <c r="V3581">
        <v>2023</v>
      </c>
      <c r="W3581">
        <v>2</v>
      </c>
      <c r="X3581" t="s">
        <v>9898</v>
      </c>
      <c r="Y3581" t="s">
        <v>9900</v>
      </c>
      <c r="Z3581" t="s">
        <v>9899</v>
      </c>
      <c r="AD3581">
        <f t="shared" si="111"/>
        <v>7</v>
      </c>
    </row>
    <row r="3582" spans="1:30" x14ac:dyDescent="0.25">
      <c r="A3582" t="s">
        <v>3606</v>
      </c>
      <c r="B3582" s="2">
        <v>45053</v>
      </c>
      <c r="C3582" s="2">
        <v>45054</v>
      </c>
      <c r="D3582" t="s">
        <v>5480</v>
      </c>
      <c r="E3582" t="s">
        <v>5980</v>
      </c>
      <c r="F3582" t="s">
        <v>6026</v>
      </c>
      <c r="G3582" t="s">
        <v>6031</v>
      </c>
      <c r="H3582" t="s">
        <v>6043</v>
      </c>
      <c r="I3582" t="s">
        <v>6048</v>
      </c>
      <c r="J3582" t="s">
        <v>6053</v>
      </c>
      <c r="K3582" t="s">
        <v>6057</v>
      </c>
      <c r="L3582" t="s">
        <v>9009</v>
      </c>
      <c r="M3582">
        <v>814.43</v>
      </c>
      <c r="N3582">
        <v>3</v>
      </c>
      <c r="O3582">
        <v>0.25</v>
      </c>
      <c r="P3582">
        <v>15.09</v>
      </c>
      <c r="Q3582" t="s">
        <v>9893</v>
      </c>
      <c r="R3582">
        <v>1</v>
      </c>
      <c r="S3582" s="5">
        <f t="shared" si="110"/>
        <v>1.8528295863364564E-2</v>
      </c>
      <c r="T3582">
        <v>271.47666666666657</v>
      </c>
      <c r="U3582">
        <v>5</v>
      </c>
      <c r="V3582">
        <v>2023</v>
      </c>
      <c r="W3582">
        <v>2</v>
      </c>
      <c r="X3582" t="s">
        <v>9899</v>
      </c>
      <c r="Y3582" t="s">
        <v>9900</v>
      </c>
      <c r="Z3582" t="s">
        <v>9899</v>
      </c>
      <c r="AD3582">
        <f t="shared" si="111"/>
        <v>1</v>
      </c>
    </row>
    <row r="3583" spans="1:30" x14ac:dyDescent="0.25">
      <c r="A3583" t="s">
        <v>3607</v>
      </c>
      <c r="B3583" s="2">
        <v>44728</v>
      </c>
      <c r="C3583" s="2">
        <v>44734</v>
      </c>
      <c r="D3583" t="s">
        <v>5494</v>
      </c>
      <c r="E3583" t="s">
        <v>5994</v>
      </c>
      <c r="F3583" t="s">
        <v>6027</v>
      </c>
      <c r="G3583" t="s">
        <v>6030</v>
      </c>
      <c r="H3583" t="s">
        <v>6039</v>
      </c>
      <c r="I3583" t="s">
        <v>6047</v>
      </c>
      <c r="J3583" t="s">
        <v>6055</v>
      </c>
      <c r="K3583" t="s">
        <v>6063</v>
      </c>
      <c r="L3583" t="s">
        <v>9010</v>
      </c>
      <c r="M3583">
        <v>1420.89</v>
      </c>
      <c r="N3583">
        <v>6</v>
      </c>
      <c r="O3583">
        <v>0.1</v>
      </c>
      <c r="P3583">
        <v>159.83000000000001</v>
      </c>
      <c r="Q3583" t="s">
        <v>9893</v>
      </c>
      <c r="R3583">
        <v>6</v>
      </c>
      <c r="S3583" s="5">
        <f t="shared" si="110"/>
        <v>0.11248583634201099</v>
      </c>
      <c r="T3583">
        <v>236.815</v>
      </c>
      <c r="U3583">
        <v>6</v>
      </c>
      <c r="V3583">
        <v>2022</v>
      </c>
      <c r="W3583">
        <v>2</v>
      </c>
      <c r="X3583" t="s">
        <v>9899</v>
      </c>
      <c r="Y3583" t="s">
        <v>9901</v>
      </c>
      <c r="Z3583" t="s">
        <v>9898</v>
      </c>
      <c r="AD3583">
        <f t="shared" si="111"/>
        <v>6</v>
      </c>
    </row>
    <row r="3584" spans="1:30" x14ac:dyDescent="0.25">
      <c r="A3584" t="s">
        <v>3608</v>
      </c>
      <c r="B3584" s="2">
        <v>45417</v>
      </c>
      <c r="C3584" s="2">
        <v>45424</v>
      </c>
      <c r="D3584" t="s">
        <v>5204</v>
      </c>
      <c r="E3584" t="s">
        <v>5704</v>
      </c>
      <c r="F3584" t="s">
        <v>6028</v>
      </c>
      <c r="G3584" t="s">
        <v>6030</v>
      </c>
      <c r="H3584" t="s">
        <v>6033</v>
      </c>
      <c r="I3584" t="s">
        <v>6051</v>
      </c>
      <c r="J3584" t="s">
        <v>6053</v>
      </c>
      <c r="K3584" t="s">
        <v>6057</v>
      </c>
      <c r="L3584" t="s">
        <v>6328</v>
      </c>
      <c r="M3584">
        <v>229.54</v>
      </c>
      <c r="N3584">
        <v>8</v>
      </c>
      <c r="O3584">
        <v>0.22</v>
      </c>
      <c r="P3584">
        <v>-24.76</v>
      </c>
      <c r="Q3584" t="s">
        <v>9895</v>
      </c>
      <c r="R3584">
        <v>7</v>
      </c>
      <c r="S3584" s="5">
        <f t="shared" si="110"/>
        <v>-0.10786790973250851</v>
      </c>
      <c r="T3584">
        <v>28.692499999999999</v>
      </c>
      <c r="U3584">
        <v>5</v>
      </c>
      <c r="V3584">
        <v>2024</v>
      </c>
      <c r="W3584">
        <v>2</v>
      </c>
      <c r="X3584" t="s">
        <v>9898</v>
      </c>
      <c r="Y3584" t="s">
        <v>9900</v>
      </c>
      <c r="Z3584" t="s">
        <v>9899</v>
      </c>
      <c r="AD3584">
        <f t="shared" si="111"/>
        <v>7</v>
      </c>
    </row>
    <row r="3585" spans="1:30" x14ac:dyDescent="0.25">
      <c r="A3585" t="s">
        <v>3609</v>
      </c>
      <c r="B3585" s="2">
        <v>44780</v>
      </c>
      <c r="C3585" s="2">
        <v>44787</v>
      </c>
      <c r="D3585" t="s">
        <v>5261</v>
      </c>
      <c r="E3585" t="s">
        <v>5761</v>
      </c>
      <c r="F3585" t="s">
        <v>6027</v>
      </c>
      <c r="G3585" t="s">
        <v>6029</v>
      </c>
      <c r="H3585" t="s">
        <v>6045</v>
      </c>
      <c r="I3585" t="s">
        <v>6049</v>
      </c>
      <c r="J3585" t="s">
        <v>6055</v>
      </c>
      <c r="K3585" t="s">
        <v>6063</v>
      </c>
      <c r="L3585" t="s">
        <v>9011</v>
      </c>
      <c r="M3585">
        <v>1070.81</v>
      </c>
      <c r="N3585">
        <v>5</v>
      </c>
      <c r="O3585">
        <v>0.06</v>
      </c>
      <c r="P3585">
        <v>248.31</v>
      </c>
      <c r="Q3585" t="s">
        <v>9896</v>
      </c>
      <c r="R3585">
        <v>7</v>
      </c>
      <c r="S3585" s="5">
        <f t="shared" si="110"/>
        <v>0.23188987775609118</v>
      </c>
      <c r="T3585">
        <v>214.16200000000001</v>
      </c>
      <c r="U3585">
        <v>8</v>
      </c>
      <c r="V3585">
        <v>2022</v>
      </c>
      <c r="W3585">
        <v>3</v>
      </c>
      <c r="X3585" t="s">
        <v>9899</v>
      </c>
      <c r="Y3585" t="s">
        <v>9901</v>
      </c>
      <c r="Z3585" t="s">
        <v>9898</v>
      </c>
      <c r="AD3585">
        <f t="shared" si="111"/>
        <v>7</v>
      </c>
    </row>
    <row r="3586" spans="1:30" x14ac:dyDescent="0.25">
      <c r="A3586" t="s">
        <v>3610</v>
      </c>
      <c r="B3586" s="2">
        <v>45016</v>
      </c>
      <c r="C3586" s="2">
        <v>45020</v>
      </c>
      <c r="D3586" t="s">
        <v>5293</v>
      </c>
      <c r="E3586" t="s">
        <v>5793</v>
      </c>
      <c r="F3586" t="s">
        <v>6027</v>
      </c>
      <c r="G3586" t="s">
        <v>6030</v>
      </c>
      <c r="H3586" t="s">
        <v>6039</v>
      </c>
      <c r="I3586" t="s">
        <v>6051</v>
      </c>
      <c r="J3586" t="s">
        <v>6054</v>
      </c>
      <c r="K3586" t="s">
        <v>6060</v>
      </c>
      <c r="L3586" t="s">
        <v>7644</v>
      </c>
      <c r="M3586">
        <v>1486.14</v>
      </c>
      <c r="N3586">
        <v>4</v>
      </c>
      <c r="O3586">
        <v>0.03</v>
      </c>
      <c r="P3586">
        <v>148.11000000000001</v>
      </c>
      <c r="Q3586" t="s">
        <v>9894</v>
      </c>
      <c r="R3586">
        <v>4</v>
      </c>
      <c r="S3586" s="5">
        <f t="shared" si="110"/>
        <v>9.9660866405587634E-2</v>
      </c>
      <c r="T3586">
        <v>371.53500000000003</v>
      </c>
      <c r="U3586">
        <v>3</v>
      </c>
      <c r="V3586">
        <v>2023</v>
      </c>
      <c r="W3586">
        <v>1</v>
      </c>
      <c r="X3586" t="s">
        <v>9899</v>
      </c>
      <c r="Y3586" t="s">
        <v>9901</v>
      </c>
      <c r="Z3586" t="s">
        <v>9898</v>
      </c>
      <c r="AD3586">
        <f t="shared" si="111"/>
        <v>4</v>
      </c>
    </row>
    <row r="3587" spans="1:30" x14ac:dyDescent="0.25">
      <c r="A3587" t="s">
        <v>3611</v>
      </c>
      <c r="B3587" s="2">
        <v>45318</v>
      </c>
      <c r="C3587" s="2">
        <v>45324</v>
      </c>
      <c r="D3587" t="s">
        <v>5164</v>
      </c>
      <c r="E3587" t="s">
        <v>5664</v>
      </c>
      <c r="F3587" t="s">
        <v>6028</v>
      </c>
      <c r="G3587" t="s">
        <v>6031</v>
      </c>
      <c r="H3587" t="s">
        <v>6034</v>
      </c>
      <c r="I3587" t="s">
        <v>6050</v>
      </c>
      <c r="J3587" t="s">
        <v>6055</v>
      </c>
      <c r="K3587" t="s">
        <v>6063</v>
      </c>
      <c r="L3587" t="s">
        <v>6875</v>
      </c>
      <c r="M3587">
        <v>961.89</v>
      </c>
      <c r="N3587">
        <v>7</v>
      </c>
      <c r="O3587">
        <v>0.2</v>
      </c>
      <c r="P3587">
        <v>63.97</v>
      </c>
      <c r="Q3587" t="s">
        <v>9897</v>
      </c>
      <c r="R3587">
        <v>6</v>
      </c>
      <c r="S3587" s="5">
        <f t="shared" ref="S3587:S3650" si="112">P3587/M3587</f>
        <v>6.6504485959933052E-2</v>
      </c>
      <c r="T3587">
        <v>137.41285714285709</v>
      </c>
      <c r="U3587">
        <v>1</v>
      </c>
      <c r="V3587">
        <v>2024</v>
      </c>
      <c r="W3587">
        <v>1</v>
      </c>
      <c r="X3587" t="s">
        <v>9899</v>
      </c>
      <c r="Y3587" t="s">
        <v>9900</v>
      </c>
      <c r="Z3587" t="s">
        <v>9899</v>
      </c>
      <c r="AD3587">
        <f t="shared" ref="AD3587:AD3650" si="113">C3587-B3587</f>
        <v>6</v>
      </c>
    </row>
    <row r="3588" spans="1:30" x14ac:dyDescent="0.25">
      <c r="A3588" t="s">
        <v>3612</v>
      </c>
      <c r="B3588" s="2">
        <v>45433</v>
      </c>
      <c r="C3588" s="2">
        <v>45439</v>
      </c>
      <c r="D3588" t="s">
        <v>5484</v>
      </c>
      <c r="E3588" t="s">
        <v>5984</v>
      </c>
      <c r="F3588" t="s">
        <v>6027</v>
      </c>
      <c r="G3588" t="s">
        <v>6029</v>
      </c>
      <c r="H3588" t="s">
        <v>6041</v>
      </c>
      <c r="I3588" t="s">
        <v>6049</v>
      </c>
      <c r="J3588" t="s">
        <v>6054</v>
      </c>
      <c r="K3588" t="s">
        <v>6062</v>
      </c>
      <c r="L3588" t="s">
        <v>7763</v>
      </c>
      <c r="M3588">
        <v>1502.79</v>
      </c>
      <c r="N3588">
        <v>5</v>
      </c>
      <c r="O3588">
        <v>0.28000000000000003</v>
      </c>
      <c r="P3588">
        <v>22.91</v>
      </c>
      <c r="Q3588" t="s">
        <v>9897</v>
      </c>
      <c r="R3588">
        <v>6</v>
      </c>
      <c r="S3588" s="5">
        <f t="shared" si="112"/>
        <v>1.5244977674858098E-2</v>
      </c>
      <c r="T3588">
        <v>300.55799999999999</v>
      </c>
      <c r="U3588">
        <v>5</v>
      </c>
      <c r="V3588">
        <v>2024</v>
      </c>
      <c r="W3588">
        <v>2</v>
      </c>
      <c r="X3588" t="s">
        <v>9899</v>
      </c>
      <c r="Y3588" t="s">
        <v>9900</v>
      </c>
      <c r="Z3588" t="s">
        <v>9898</v>
      </c>
      <c r="AD3588">
        <f t="shared" si="113"/>
        <v>6</v>
      </c>
    </row>
    <row r="3589" spans="1:30" x14ac:dyDescent="0.25">
      <c r="A3589" t="s">
        <v>3613</v>
      </c>
      <c r="B3589" s="2">
        <v>44810</v>
      </c>
      <c r="C3589" s="2">
        <v>44813</v>
      </c>
      <c r="D3589" t="s">
        <v>5314</v>
      </c>
      <c r="E3589" t="s">
        <v>5814</v>
      </c>
      <c r="F3589" t="s">
        <v>6026</v>
      </c>
      <c r="G3589" t="s">
        <v>6029</v>
      </c>
      <c r="H3589" t="s">
        <v>6032</v>
      </c>
      <c r="I3589" t="s">
        <v>6049</v>
      </c>
      <c r="J3589" t="s">
        <v>6053</v>
      </c>
      <c r="K3589" t="s">
        <v>6058</v>
      </c>
      <c r="L3589" t="s">
        <v>9012</v>
      </c>
      <c r="M3589">
        <v>364.6</v>
      </c>
      <c r="N3589">
        <v>6</v>
      </c>
      <c r="O3589">
        <v>0.3</v>
      </c>
      <c r="P3589">
        <v>-9.0299999999999994</v>
      </c>
      <c r="Q3589" t="s">
        <v>9894</v>
      </c>
      <c r="R3589">
        <v>3</v>
      </c>
      <c r="S3589" s="5">
        <f t="shared" si="112"/>
        <v>-2.4766867800329124E-2</v>
      </c>
      <c r="T3589">
        <v>60.766666666666673</v>
      </c>
      <c r="U3589">
        <v>9</v>
      </c>
      <c r="V3589">
        <v>2022</v>
      </c>
      <c r="W3589">
        <v>3</v>
      </c>
      <c r="X3589" t="s">
        <v>9898</v>
      </c>
      <c r="Y3589" t="s">
        <v>9900</v>
      </c>
      <c r="Z3589" t="s">
        <v>9899</v>
      </c>
      <c r="AD3589">
        <f t="shared" si="113"/>
        <v>3</v>
      </c>
    </row>
    <row r="3590" spans="1:30" x14ac:dyDescent="0.25">
      <c r="A3590" t="s">
        <v>3614</v>
      </c>
      <c r="B3590" s="2">
        <v>44740</v>
      </c>
      <c r="C3590" s="2">
        <v>44745</v>
      </c>
      <c r="D3590" t="s">
        <v>5316</v>
      </c>
      <c r="E3590" t="s">
        <v>5816</v>
      </c>
      <c r="F3590" t="s">
        <v>6028</v>
      </c>
      <c r="G3590" t="s">
        <v>6029</v>
      </c>
      <c r="H3590" t="s">
        <v>6044</v>
      </c>
      <c r="I3590" t="s">
        <v>6049</v>
      </c>
      <c r="J3590" t="s">
        <v>6055</v>
      </c>
      <c r="K3590" t="s">
        <v>6064</v>
      </c>
      <c r="L3590" t="s">
        <v>7832</v>
      </c>
      <c r="M3590">
        <v>1825.27</v>
      </c>
      <c r="N3590">
        <v>8</v>
      </c>
      <c r="O3590">
        <v>0.26</v>
      </c>
      <c r="P3590">
        <v>-36.29</v>
      </c>
      <c r="Q3590" t="s">
        <v>9896</v>
      </c>
      <c r="R3590">
        <v>5</v>
      </c>
      <c r="S3590" s="5">
        <f t="shared" si="112"/>
        <v>-1.9881990061744289E-2</v>
      </c>
      <c r="T3590">
        <v>228.15875</v>
      </c>
      <c r="U3590">
        <v>6</v>
      </c>
      <c r="V3590">
        <v>2022</v>
      </c>
      <c r="W3590">
        <v>2</v>
      </c>
      <c r="X3590" t="s">
        <v>9898</v>
      </c>
      <c r="Y3590" t="s">
        <v>9900</v>
      </c>
      <c r="Z3590" t="s">
        <v>9898</v>
      </c>
      <c r="AD3590">
        <f t="shared" si="113"/>
        <v>5</v>
      </c>
    </row>
    <row r="3591" spans="1:30" x14ac:dyDescent="0.25">
      <c r="A3591" t="s">
        <v>3615</v>
      </c>
      <c r="B3591" s="2">
        <v>44634</v>
      </c>
      <c r="C3591" s="2">
        <v>44637</v>
      </c>
      <c r="D3591" t="s">
        <v>5091</v>
      </c>
      <c r="E3591" t="s">
        <v>5591</v>
      </c>
      <c r="F3591" t="s">
        <v>6027</v>
      </c>
      <c r="G3591" t="s">
        <v>6031</v>
      </c>
      <c r="H3591" t="s">
        <v>6040</v>
      </c>
      <c r="I3591" t="s">
        <v>6052</v>
      </c>
      <c r="J3591" t="s">
        <v>6054</v>
      </c>
      <c r="K3591" t="s">
        <v>6060</v>
      </c>
      <c r="L3591" t="s">
        <v>9013</v>
      </c>
      <c r="M3591">
        <v>1177.56</v>
      </c>
      <c r="N3591">
        <v>8</v>
      </c>
      <c r="O3591">
        <v>0.05</v>
      </c>
      <c r="P3591">
        <v>116.97</v>
      </c>
      <c r="Q3591" t="s">
        <v>9893</v>
      </c>
      <c r="R3591">
        <v>3</v>
      </c>
      <c r="S3591" s="5">
        <f t="shared" si="112"/>
        <v>9.9332518088250291E-2</v>
      </c>
      <c r="T3591">
        <v>147.19499999999999</v>
      </c>
      <c r="U3591">
        <v>3</v>
      </c>
      <c r="V3591">
        <v>2022</v>
      </c>
      <c r="W3591">
        <v>1</v>
      </c>
      <c r="X3591" t="s">
        <v>9899</v>
      </c>
      <c r="Y3591" t="s">
        <v>9901</v>
      </c>
      <c r="Z3591" t="s">
        <v>9898</v>
      </c>
      <c r="AD3591">
        <f t="shared" si="113"/>
        <v>3</v>
      </c>
    </row>
    <row r="3592" spans="1:30" x14ac:dyDescent="0.25">
      <c r="A3592" t="s">
        <v>3616</v>
      </c>
      <c r="B3592" s="2">
        <v>45416</v>
      </c>
      <c r="C3592" s="2">
        <v>45423</v>
      </c>
      <c r="D3592" t="s">
        <v>5176</v>
      </c>
      <c r="E3592" t="s">
        <v>5676</v>
      </c>
      <c r="F3592" t="s">
        <v>6028</v>
      </c>
      <c r="G3592" t="s">
        <v>6030</v>
      </c>
      <c r="H3592" t="s">
        <v>6038</v>
      </c>
      <c r="I3592" t="s">
        <v>6047</v>
      </c>
      <c r="J3592" t="s">
        <v>6053</v>
      </c>
      <c r="K3592" t="s">
        <v>6056</v>
      </c>
      <c r="L3592" t="s">
        <v>9014</v>
      </c>
      <c r="M3592">
        <v>243.18</v>
      </c>
      <c r="N3592">
        <v>1</v>
      </c>
      <c r="O3592">
        <v>7.0000000000000007E-2</v>
      </c>
      <c r="P3592">
        <v>33.93</v>
      </c>
      <c r="Q3592" t="s">
        <v>9897</v>
      </c>
      <c r="R3592">
        <v>7</v>
      </c>
      <c r="S3592" s="5">
        <f t="shared" si="112"/>
        <v>0.1395262768319763</v>
      </c>
      <c r="T3592">
        <v>243.18</v>
      </c>
      <c r="U3592">
        <v>5</v>
      </c>
      <c r="V3592">
        <v>2024</v>
      </c>
      <c r="W3592">
        <v>2</v>
      </c>
      <c r="X3592" t="s">
        <v>9899</v>
      </c>
      <c r="Y3592" t="s">
        <v>9901</v>
      </c>
      <c r="Z3592" t="s">
        <v>9899</v>
      </c>
      <c r="AD3592">
        <f t="shared" si="113"/>
        <v>7</v>
      </c>
    </row>
    <row r="3593" spans="1:30" x14ac:dyDescent="0.25">
      <c r="A3593" t="s">
        <v>3617</v>
      </c>
      <c r="B3593" s="2">
        <v>44765</v>
      </c>
      <c r="C3593" s="2">
        <v>44768</v>
      </c>
      <c r="D3593" t="s">
        <v>5246</v>
      </c>
      <c r="E3593" t="s">
        <v>5746</v>
      </c>
      <c r="F3593" t="s">
        <v>6026</v>
      </c>
      <c r="G3593" t="s">
        <v>6029</v>
      </c>
      <c r="H3593" t="s">
        <v>6032</v>
      </c>
      <c r="I3593" t="s">
        <v>6050</v>
      </c>
      <c r="J3593" t="s">
        <v>6054</v>
      </c>
      <c r="K3593" t="s">
        <v>6062</v>
      </c>
      <c r="L3593" t="s">
        <v>9015</v>
      </c>
      <c r="M3593">
        <v>672.43</v>
      </c>
      <c r="N3593">
        <v>6</v>
      </c>
      <c r="O3593">
        <v>0.05</v>
      </c>
      <c r="P3593">
        <v>121.45</v>
      </c>
      <c r="Q3593" t="s">
        <v>9893</v>
      </c>
      <c r="R3593">
        <v>3</v>
      </c>
      <c r="S3593" s="5">
        <f t="shared" si="112"/>
        <v>0.18061359546718619</v>
      </c>
      <c r="T3593">
        <v>112.0716666666667</v>
      </c>
      <c r="U3593">
        <v>7</v>
      </c>
      <c r="V3593">
        <v>2022</v>
      </c>
      <c r="W3593">
        <v>3</v>
      </c>
      <c r="X3593" t="s">
        <v>9899</v>
      </c>
      <c r="Y3593" t="s">
        <v>9901</v>
      </c>
      <c r="Z3593" t="s">
        <v>9899</v>
      </c>
      <c r="AD3593">
        <f t="shared" si="113"/>
        <v>3</v>
      </c>
    </row>
    <row r="3594" spans="1:30" x14ac:dyDescent="0.25">
      <c r="A3594" t="s">
        <v>3618</v>
      </c>
      <c r="B3594" s="2">
        <v>44999</v>
      </c>
      <c r="C3594" s="2">
        <v>45002</v>
      </c>
      <c r="D3594" t="s">
        <v>5347</v>
      </c>
      <c r="E3594" t="s">
        <v>5847</v>
      </c>
      <c r="F3594" t="s">
        <v>6026</v>
      </c>
      <c r="G3594" t="s">
        <v>6031</v>
      </c>
      <c r="H3594" t="s">
        <v>6034</v>
      </c>
      <c r="I3594" t="s">
        <v>6050</v>
      </c>
      <c r="J3594" t="s">
        <v>6053</v>
      </c>
      <c r="K3594" t="s">
        <v>6056</v>
      </c>
      <c r="L3594" t="s">
        <v>6212</v>
      </c>
      <c r="M3594">
        <v>1625.8</v>
      </c>
      <c r="N3594">
        <v>5</v>
      </c>
      <c r="O3594">
        <v>0.21</v>
      </c>
      <c r="P3594">
        <v>-68.87</v>
      </c>
      <c r="Q3594" t="s">
        <v>9893</v>
      </c>
      <c r="R3594">
        <v>3</v>
      </c>
      <c r="S3594" s="5">
        <f t="shared" si="112"/>
        <v>-4.2360683970968142E-2</v>
      </c>
      <c r="T3594">
        <v>325.16000000000003</v>
      </c>
      <c r="U3594">
        <v>3</v>
      </c>
      <c r="V3594">
        <v>2023</v>
      </c>
      <c r="W3594">
        <v>1</v>
      </c>
      <c r="X3594" t="s">
        <v>9898</v>
      </c>
      <c r="Y3594" t="s">
        <v>9900</v>
      </c>
      <c r="Z3594" t="s">
        <v>9898</v>
      </c>
      <c r="AD3594">
        <f t="shared" si="113"/>
        <v>3</v>
      </c>
    </row>
    <row r="3595" spans="1:30" x14ac:dyDescent="0.25">
      <c r="A3595" t="s">
        <v>3619</v>
      </c>
      <c r="B3595" s="2">
        <v>44926</v>
      </c>
      <c r="C3595" s="2">
        <v>44930</v>
      </c>
      <c r="D3595" t="s">
        <v>5292</v>
      </c>
      <c r="E3595" t="s">
        <v>5792</v>
      </c>
      <c r="F3595" t="s">
        <v>6026</v>
      </c>
      <c r="G3595" t="s">
        <v>6030</v>
      </c>
      <c r="H3595" t="s">
        <v>6039</v>
      </c>
      <c r="I3595" t="s">
        <v>6051</v>
      </c>
      <c r="J3595" t="s">
        <v>6055</v>
      </c>
      <c r="K3595" t="s">
        <v>6064</v>
      </c>
      <c r="L3595" t="s">
        <v>8500</v>
      </c>
      <c r="M3595">
        <v>1837.73</v>
      </c>
      <c r="N3595">
        <v>6</v>
      </c>
      <c r="O3595">
        <v>0.24</v>
      </c>
      <c r="P3595">
        <v>-73.930000000000007</v>
      </c>
      <c r="Q3595" t="s">
        <v>9897</v>
      </c>
      <c r="R3595">
        <v>4</v>
      </c>
      <c r="S3595" s="5">
        <f t="shared" si="112"/>
        <v>-4.0228978141511544E-2</v>
      </c>
      <c r="T3595">
        <v>306.28833333333341</v>
      </c>
      <c r="U3595">
        <v>12</v>
      </c>
      <c r="V3595">
        <v>2022</v>
      </c>
      <c r="W3595">
        <v>4</v>
      </c>
      <c r="X3595" t="s">
        <v>9898</v>
      </c>
      <c r="Y3595" t="s">
        <v>9900</v>
      </c>
      <c r="Z3595" t="s">
        <v>9898</v>
      </c>
      <c r="AD3595">
        <f t="shared" si="113"/>
        <v>4</v>
      </c>
    </row>
    <row r="3596" spans="1:30" x14ac:dyDescent="0.25">
      <c r="A3596" t="s">
        <v>3620</v>
      </c>
      <c r="B3596" s="2">
        <v>44781</v>
      </c>
      <c r="C3596" s="2">
        <v>44786</v>
      </c>
      <c r="D3596" t="s">
        <v>5193</v>
      </c>
      <c r="E3596" t="s">
        <v>5693</v>
      </c>
      <c r="F3596" t="s">
        <v>6028</v>
      </c>
      <c r="G3596" t="s">
        <v>6029</v>
      </c>
      <c r="H3596" t="s">
        <v>6044</v>
      </c>
      <c r="I3596" t="s">
        <v>6050</v>
      </c>
      <c r="J3596" t="s">
        <v>6054</v>
      </c>
      <c r="K3596" t="s">
        <v>6059</v>
      </c>
      <c r="L3596" t="s">
        <v>9016</v>
      </c>
      <c r="M3596">
        <v>1305.79</v>
      </c>
      <c r="N3596">
        <v>8</v>
      </c>
      <c r="O3596">
        <v>0</v>
      </c>
      <c r="P3596">
        <v>297.85000000000002</v>
      </c>
      <c r="Q3596" t="s">
        <v>9893</v>
      </c>
      <c r="R3596">
        <v>5</v>
      </c>
      <c r="S3596" s="5">
        <f t="shared" si="112"/>
        <v>0.22809946469187237</v>
      </c>
      <c r="T3596">
        <v>163.22375</v>
      </c>
      <c r="U3596">
        <v>8</v>
      </c>
      <c r="V3596">
        <v>2022</v>
      </c>
      <c r="W3596">
        <v>3</v>
      </c>
      <c r="X3596" t="s">
        <v>9899</v>
      </c>
      <c r="Y3596" t="s">
        <v>9901</v>
      </c>
      <c r="Z3596" t="s">
        <v>9898</v>
      </c>
      <c r="AD3596">
        <f t="shared" si="113"/>
        <v>5</v>
      </c>
    </row>
    <row r="3597" spans="1:30" x14ac:dyDescent="0.25">
      <c r="A3597" t="s">
        <v>3621</v>
      </c>
      <c r="B3597" s="2">
        <v>44798</v>
      </c>
      <c r="C3597" s="2">
        <v>44801</v>
      </c>
      <c r="D3597" t="s">
        <v>5125</v>
      </c>
      <c r="E3597" t="s">
        <v>5625</v>
      </c>
      <c r="F3597" t="s">
        <v>6026</v>
      </c>
      <c r="G3597" t="s">
        <v>6030</v>
      </c>
      <c r="H3597" t="s">
        <v>6038</v>
      </c>
      <c r="I3597" t="s">
        <v>6051</v>
      </c>
      <c r="J3597" t="s">
        <v>6053</v>
      </c>
      <c r="K3597" t="s">
        <v>6058</v>
      </c>
      <c r="L3597" t="s">
        <v>9017</v>
      </c>
      <c r="M3597">
        <v>993.51</v>
      </c>
      <c r="N3597">
        <v>1</v>
      </c>
      <c r="O3597">
        <v>0.18</v>
      </c>
      <c r="P3597">
        <v>-78.260000000000005</v>
      </c>
      <c r="Q3597" t="s">
        <v>9893</v>
      </c>
      <c r="R3597">
        <v>3</v>
      </c>
      <c r="S3597" s="5">
        <f t="shared" si="112"/>
        <v>-7.8771225251884736E-2</v>
      </c>
      <c r="T3597">
        <v>993.51</v>
      </c>
      <c r="U3597">
        <v>8</v>
      </c>
      <c r="V3597">
        <v>2022</v>
      </c>
      <c r="W3597">
        <v>3</v>
      </c>
      <c r="X3597" t="s">
        <v>9898</v>
      </c>
      <c r="Y3597" t="s">
        <v>9900</v>
      </c>
      <c r="Z3597" t="s">
        <v>9899</v>
      </c>
      <c r="AD3597">
        <f t="shared" si="113"/>
        <v>3</v>
      </c>
    </row>
    <row r="3598" spans="1:30" x14ac:dyDescent="0.25">
      <c r="A3598" t="s">
        <v>3622</v>
      </c>
      <c r="B3598" s="2">
        <v>44959</v>
      </c>
      <c r="C3598" s="2">
        <v>44960</v>
      </c>
      <c r="D3598" t="s">
        <v>5031</v>
      </c>
      <c r="E3598" t="s">
        <v>5531</v>
      </c>
      <c r="F3598" t="s">
        <v>6026</v>
      </c>
      <c r="G3598" t="s">
        <v>6031</v>
      </c>
      <c r="H3598" t="s">
        <v>6043</v>
      </c>
      <c r="I3598" t="s">
        <v>6048</v>
      </c>
      <c r="J3598" t="s">
        <v>6055</v>
      </c>
      <c r="K3598" t="s">
        <v>6063</v>
      </c>
      <c r="L3598" t="s">
        <v>9018</v>
      </c>
      <c r="M3598">
        <v>1404.11</v>
      </c>
      <c r="N3598">
        <v>8</v>
      </c>
      <c r="O3598">
        <v>0.26</v>
      </c>
      <c r="P3598">
        <v>-51.72</v>
      </c>
      <c r="Q3598" t="s">
        <v>9895</v>
      </c>
      <c r="R3598">
        <v>1</v>
      </c>
      <c r="S3598" s="5">
        <f t="shared" si="112"/>
        <v>-3.6834720926423148E-2</v>
      </c>
      <c r="T3598">
        <v>175.51374999999999</v>
      </c>
      <c r="U3598">
        <v>2</v>
      </c>
      <c r="V3598">
        <v>2023</v>
      </c>
      <c r="W3598">
        <v>1</v>
      </c>
      <c r="X3598" t="s">
        <v>9898</v>
      </c>
      <c r="Y3598" t="s">
        <v>9900</v>
      </c>
      <c r="Z3598" t="s">
        <v>9898</v>
      </c>
      <c r="AD3598">
        <f t="shared" si="113"/>
        <v>1</v>
      </c>
    </row>
    <row r="3599" spans="1:30" x14ac:dyDescent="0.25">
      <c r="A3599" t="s">
        <v>3623</v>
      </c>
      <c r="B3599" s="2">
        <v>44630</v>
      </c>
      <c r="C3599" s="2">
        <v>44631</v>
      </c>
      <c r="D3599" t="s">
        <v>5136</v>
      </c>
      <c r="E3599" t="s">
        <v>5636</v>
      </c>
      <c r="F3599" t="s">
        <v>6028</v>
      </c>
      <c r="G3599" t="s">
        <v>6031</v>
      </c>
      <c r="H3599" t="s">
        <v>6037</v>
      </c>
      <c r="I3599" t="s">
        <v>6048</v>
      </c>
      <c r="J3599" t="s">
        <v>6055</v>
      </c>
      <c r="K3599" t="s">
        <v>6061</v>
      </c>
      <c r="L3599" t="s">
        <v>9019</v>
      </c>
      <c r="M3599">
        <v>1389.25</v>
      </c>
      <c r="N3599">
        <v>8</v>
      </c>
      <c r="O3599">
        <v>0.13</v>
      </c>
      <c r="P3599">
        <v>-25.54</v>
      </c>
      <c r="Q3599" t="s">
        <v>9897</v>
      </c>
      <c r="R3599">
        <v>1</v>
      </c>
      <c r="S3599" s="5">
        <f t="shared" si="112"/>
        <v>-1.8384020154759761E-2</v>
      </c>
      <c r="T3599">
        <v>173.65625</v>
      </c>
      <c r="U3599">
        <v>3</v>
      </c>
      <c r="V3599">
        <v>2022</v>
      </c>
      <c r="W3599">
        <v>1</v>
      </c>
      <c r="X3599" t="s">
        <v>9898</v>
      </c>
      <c r="Y3599" t="s">
        <v>9901</v>
      </c>
      <c r="Z3599" t="s">
        <v>9898</v>
      </c>
      <c r="AD3599">
        <f t="shared" si="113"/>
        <v>1</v>
      </c>
    </row>
    <row r="3600" spans="1:30" x14ac:dyDescent="0.25">
      <c r="A3600" t="s">
        <v>3624</v>
      </c>
      <c r="B3600" s="2">
        <v>44844</v>
      </c>
      <c r="C3600" s="2">
        <v>44849</v>
      </c>
      <c r="D3600" t="s">
        <v>5141</v>
      </c>
      <c r="E3600" t="s">
        <v>5641</v>
      </c>
      <c r="F3600" t="s">
        <v>6027</v>
      </c>
      <c r="G3600" t="s">
        <v>6029</v>
      </c>
      <c r="H3600" t="s">
        <v>6036</v>
      </c>
      <c r="I3600" t="s">
        <v>6046</v>
      </c>
      <c r="J3600" t="s">
        <v>6054</v>
      </c>
      <c r="K3600" t="s">
        <v>6060</v>
      </c>
      <c r="L3600" t="s">
        <v>9020</v>
      </c>
      <c r="M3600">
        <v>785.05</v>
      </c>
      <c r="N3600">
        <v>8</v>
      </c>
      <c r="O3600">
        <v>0.24</v>
      </c>
      <c r="P3600">
        <v>3</v>
      </c>
      <c r="Q3600" t="s">
        <v>9896</v>
      </c>
      <c r="R3600">
        <v>5</v>
      </c>
      <c r="S3600" s="5">
        <f t="shared" si="112"/>
        <v>3.8214126488758681E-3</v>
      </c>
      <c r="T3600">
        <v>98.131249999999994</v>
      </c>
      <c r="U3600">
        <v>10</v>
      </c>
      <c r="V3600">
        <v>2022</v>
      </c>
      <c r="W3600">
        <v>4</v>
      </c>
      <c r="X3600" t="s">
        <v>9899</v>
      </c>
      <c r="Y3600" t="s">
        <v>9900</v>
      </c>
      <c r="Z3600" t="s">
        <v>9899</v>
      </c>
      <c r="AD3600">
        <f t="shared" si="113"/>
        <v>5</v>
      </c>
    </row>
    <row r="3601" spans="1:30" x14ac:dyDescent="0.25">
      <c r="A3601" t="s">
        <v>3625</v>
      </c>
      <c r="B3601" s="2">
        <v>44807</v>
      </c>
      <c r="C3601" s="2">
        <v>44813</v>
      </c>
      <c r="D3601" t="s">
        <v>5325</v>
      </c>
      <c r="E3601" t="s">
        <v>5825</v>
      </c>
      <c r="F3601" t="s">
        <v>6026</v>
      </c>
      <c r="G3601" t="s">
        <v>6030</v>
      </c>
      <c r="H3601" t="s">
        <v>6035</v>
      </c>
      <c r="I3601" t="s">
        <v>6051</v>
      </c>
      <c r="J3601" t="s">
        <v>6053</v>
      </c>
      <c r="K3601" t="s">
        <v>6056</v>
      </c>
      <c r="L3601" t="s">
        <v>7579</v>
      </c>
      <c r="M3601">
        <v>1821.99</v>
      </c>
      <c r="N3601">
        <v>4</v>
      </c>
      <c r="O3601">
        <v>0.15</v>
      </c>
      <c r="P3601">
        <v>264.64999999999998</v>
      </c>
      <c r="Q3601" t="s">
        <v>9896</v>
      </c>
      <c r="R3601">
        <v>6</v>
      </c>
      <c r="S3601" s="5">
        <f t="shared" si="112"/>
        <v>0.14525326703220104</v>
      </c>
      <c r="T3601">
        <v>455.4975</v>
      </c>
      <c r="U3601">
        <v>9</v>
      </c>
      <c r="V3601">
        <v>2022</v>
      </c>
      <c r="W3601">
        <v>3</v>
      </c>
      <c r="X3601" t="s">
        <v>9899</v>
      </c>
      <c r="Y3601" t="s">
        <v>9901</v>
      </c>
      <c r="Z3601" t="s">
        <v>9898</v>
      </c>
      <c r="AD3601">
        <f t="shared" si="113"/>
        <v>6</v>
      </c>
    </row>
    <row r="3602" spans="1:30" x14ac:dyDescent="0.25">
      <c r="A3602" t="s">
        <v>3626</v>
      </c>
      <c r="B3602" s="2">
        <v>45391</v>
      </c>
      <c r="C3602" s="2">
        <v>45393</v>
      </c>
      <c r="D3602" t="s">
        <v>5385</v>
      </c>
      <c r="E3602" t="s">
        <v>5885</v>
      </c>
      <c r="F3602" t="s">
        <v>6028</v>
      </c>
      <c r="G3602" t="s">
        <v>6030</v>
      </c>
      <c r="H3602" t="s">
        <v>6033</v>
      </c>
      <c r="I3602" t="s">
        <v>6047</v>
      </c>
      <c r="J3602" t="s">
        <v>6053</v>
      </c>
      <c r="K3602" t="s">
        <v>6056</v>
      </c>
      <c r="L3602" t="s">
        <v>7265</v>
      </c>
      <c r="M3602">
        <v>1631.8</v>
      </c>
      <c r="N3602">
        <v>2</v>
      </c>
      <c r="O3602">
        <v>0.28000000000000003</v>
      </c>
      <c r="P3602">
        <v>-28.34</v>
      </c>
      <c r="Q3602" t="s">
        <v>9894</v>
      </c>
      <c r="R3602">
        <v>2</v>
      </c>
      <c r="S3602" s="5">
        <f t="shared" si="112"/>
        <v>-1.7367324427013116E-2</v>
      </c>
      <c r="T3602">
        <v>815.9</v>
      </c>
      <c r="U3602">
        <v>4</v>
      </c>
      <c r="V3602">
        <v>2024</v>
      </c>
      <c r="W3602">
        <v>2</v>
      </c>
      <c r="X3602" t="s">
        <v>9898</v>
      </c>
      <c r="Y3602" t="s">
        <v>9900</v>
      </c>
      <c r="Z3602" t="s">
        <v>9898</v>
      </c>
      <c r="AD3602">
        <f t="shared" si="113"/>
        <v>2</v>
      </c>
    </row>
    <row r="3603" spans="1:30" x14ac:dyDescent="0.25">
      <c r="A3603" t="s">
        <v>3627</v>
      </c>
      <c r="B3603" s="2">
        <v>44610</v>
      </c>
      <c r="C3603" s="2">
        <v>44615</v>
      </c>
      <c r="D3603" t="s">
        <v>5481</v>
      </c>
      <c r="E3603" t="s">
        <v>5981</v>
      </c>
      <c r="F3603" t="s">
        <v>6026</v>
      </c>
      <c r="G3603" t="s">
        <v>6030</v>
      </c>
      <c r="H3603" t="s">
        <v>6035</v>
      </c>
      <c r="I3603" t="s">
        <v>6051</v>
      </c>
      <c r="J3603" t="s">
        <v>6053</v>
      </c>
      <c r="K3603" t="s">
        <v>6056</v>
      </c>
      <c r="L3603" t="s">
        <v>9021</v>
      </c>
      <c r="M3603">
        <v>1396.54</v>
      </c>
      <c r="N3603">
        <v>4</v>
      </c>
      <c r="O3603">
        <v>0.16</v>
      </c>
      <c r="P3603">
        <v>0.31</v>
      </c>
      <c r="Q3603" t="s">
        <v>9894</v>
      </c>
      <c r="R3603">
        <v>5</v>
      </c>
      <c r="S3603" s="5">
        <f t="shared" si="112"/>
        <v>2.2197717215403784E-4</v>
      </c>
      <c r="T3603">
        <v>349.13499999999999</v>
      </c>
      <c r="U3603">
        <v>2</v>
      </c>
      <c r="V3603">
        <v>2022</v>
      </c>
      <c r="W3603">
        <v>1</v>
      </c>
      <c r="X3603" t="s">
        <v>9899</v>
      </c>
      <c r="Y3603" t="s">
        <v>9900</v>
      </c>
      <c r="Z3603" t="s">
        <v>9898</v>
      </c>
      <c r="AD3603">
        <f t="shared" si="113"/>
        <v>5</v>
      </c>
    </row>
    <row r="3604" spans="1:30" x14ac:dyDescent="0.25">
      <c r="A3604" t="s">
        <v>3628</v>
      </c>
      <c r="B3604" s="2">
        <v>44748</v>
      </c>
      <c r="C3604" s="2">
        <v>44751</v>
      </c>
      <c r="D3604" t="s">
        <v>5190</v>
      </c>
      <c r="E3604" t="s">
        <v>5690</v>
      </c>
      <c r="F3604" t="s">
        <v>6027</v>
      </c>
      <c r="G3604" t="s">
        <v>6031</v>
      </c>
      <c r="H3604" t="s">
        <v>6034</v>
      </c>
      <c r="I3604" t="s">
        <v>6050</v>
      </c>
      <c r="J3604" t="s">
        <v>6053</v>
      </c>
      <c r="K3604" t="s">
        <v>6058</v>
      </c>
      <c r="L3604" t="s">
        <v>9022</v>
      </c>
      <c r="M3604">
        <v>1272.8499999999999</v>
      </c>
      <c r="N3604">
        <v>6</v>
      </c>
      <c r="O3604">
        <v>0.28000000000000003</v>
      </c>
      <c r="P3604">
        <v>-214.09</v>
      </c>
      <c r="Q3604" t="s">
        <v>9896</v>
      </c>
      <c r="R3604">
        <v>3</v>
      </c>
      <c r="S3604" s="5">
        <f t="shared" si="112"/>
        <v>-0.16819735239816161</v>
      </c>
      <c r="T3604">
        <v>212.14166666666671</v>
      </c>
      <c r="U3604">
        <v>7</v>
      </c>
      <c r="V3604">
        <v>2022</v>
      </c>
      <c r="W3604">
        <v>3</v>
      </c>
      <c r="X3604" t="s">
        <v>9898</v>
      </c>
      <c r="Y3604" t="s">
        <v>9900</v>
      </c>
      <c r="Z3604" t="s">
        <v>9898</v>
      </c>
      <c r="AD3604">
        <f t="shared" si="113"/>
        <v>3</v>
      </c>
    </row>
    <row r="3605" spans="1:30" x14ac:dyDescent="0.25">
      <c r="A3605" t="s">
        <v>3629</v>
      </c>
      <c r="B3605" s="2">
        <v>44881</v>
      </c>
      <c r="C3605" s="2">
        <v>44888</v>
      </c>
      <c r="D3605" t="s">
        <v>5438</v>
      </c>
      <c r="E3605" t="s">
        <v>5938</v>
      </c>
      <c r="F3605" t="s">
        <v>6027</v>
      </c>
      <c r="G3605" t="s">
        <v>6030</v>
      </c>
      <c r="H3605" t="s">
        <v>6033</v>
      </c>
      <c r="I3605" t="s">
        <v>6051</v>
      </c>
      <c r="J3605" t="s">
        <v>6053</v>
      </c>
      <c r="K3605" t="s">
        <v>6058</v>
      </c>
      <c r="L3605" t="s">
        <v>8021</v>
      </c>
      <c r="M3605">
        <v>909.42</v>
      </c>
      <c r="N3605">
        <v>3</v>
      </c>
      <c r="O3605">
        <v>0.3</v>
      </c>
      <c r="P3605">
        <v>-23.05</v>
      </c>
      <c r="Q3605" t="s">
        <v>9893</v>
      </c>
      <c r="R3605">
        <v>7</v>
      </c>
      <c r="S3605" s="5">
        <f t="shared" si="112"/>
        <v>-2.5345824811418269E-2</v>
      </c>
      <c r="T3605">
        <v>303.14</v>
      </c>
      <c r="U3605">
        <v>11</v>
      </c>
      <c r="V3605">
        <v>2022</v>
      </c>
      <c r="W3605">
        <v>4</v>
      </c>
      <c r="X3605" t="s">
        <v>9898</v>
      </c>
      <c r="Y3605" t="s">
        <v>9900</v>
      </c>
      <c r="Z3605" t="s">
        <v>9899</v>
      </c>
      <c r="AD3605">
        <f t="shared" si="113"/>
        <v>7</v>
      </c>
    </row>
    <row r="3606" spans="1:30" x14ac:dyDescent="0.25">
      <c r="A3606" t="s">
        <v>3630</v>
      </c>
      <c r="B3606" s="2">
        <v>44667</v>
      </c>
      <c r="C3606" s="2">
        <v>44671</v>
      </c>
      <c r="D3606" t="s">
        <v>5382</v>
      </c>
      <c r="E3606" t="s">
        <v>5882</v>
      </c>
      <c r="F3606" t="s">
        <v>6027</v>
      </c>
      <c r="G3606" t="s">
        <v>6031</v>
      </c>
      <c r="H3606" t="s">
        <v>6043</v>
      </c>
      <c r="I3606" t="s">
        <v>6050</v>
      </c>
      <c r="J3606" t="s">
        <v>6055</v>
      </c>
      <c r="K3606" t="s">
        <v>6063</v>
      </c>
      <c r="L3606" t="s">
        <v>9023</v>
      </c>
      <c r="M3606">
        <v>1776.19</v>
      </c>
      <c r="N3606">
        <v>6</v>
      </c>
      <c r="O3606">
        <v>0.28999999999999998</v>
      </c>
      <c r="P3606">
        <v>-210.98</v>
      </c>
      <c r="Q3606" t="s">
        <v>9894</v>
      </c>
      <c r="R3606">
        <v>4</v>
      </c>
      <c r="S3606" s="5">
        <f t="shared" si="112"/>
        <v>-0.11878233747515748</v>
      </c>
      <c r="T3606">
        <v>296.03166666666669</v>
      </c>
      <c r="U3606">
        <v>4</v>
      </c>
      <c r="V3606">
        <v>2022</v>
      </c>
      <c r="W3606">
        <v>2</v>
      </c>
      <c r="X3606" t="s">
        <v>9898</v>
      </c>
      <c r="Y3606" t="s">
        <v>9900</v>
      </c>
      <c r="Z3606" t="s">
        <v>9898</v>
      </c>
      <c r="AD3606">
        <f t="shared" si="113"/>
        <v>4</v>
      </c>
    </row>
    <row r="3607" spans="1:30" x14ac:dyDescent="0.25">
      <c r="A3607" t="s">
        <v>3631</v>
      </c>
      <c r="B3607" s="2">
        <v>44663</v>
      </c>
      <c r="C3607" s="2">
        <v>44664</v>
      </c>
      <c r="D3607" t="s">
        <v>5402</v>
      </c>
      <c r="E3607" t="s">
        <v>5902</v>
      </c>
      <c r="F3607" t="s">
        <v>6027</v>
      </c>
      <c r="G3607" t="s">
        <v>6031</v>
      </c>
      <c r="H3607" t="s">
        <v>6034</v>
      </c>
      <c r="I3607" t="s">
        <v>6048</v>
      </c>
      <c r="J3607" t="s">
        <v>6054</v>
      </c>
      <c r="K3607" t="s">
        <v>6060</v>
      </c>
      <c r="L3607" t="s">
        <v>9024</v>
      </c>
      <c r="M3607">
        <v>1702.87</v>
      </c>
      <c r="N3607">
        <v>6</v>
      </c>
      <c r="O3607">
        <v>0.21</v>
      </c>
      <c r="P3607">
        <v>-147.01</v>
      </c>
      <c r="Q3607" t="s">
        <v>9897</v>
      </c>
      <c r="R3607">
        <v>1</v>
      </c>
      <c r="S3607" s="5">
        <f t="shared" si="112"/>
        <v>-8.6330724012989829E-2</v>
      </c>
      <c r="T3607">
        <v>283.81166666666672</v>
      </c>
      <c r="U3607">
        <v>4</v>
      </c>
      <c r="V3607">
        <v>2022</v>
      </c>
      <c r="W3607">
        <v>2</v>
      </c>
      <c r="X3607" t="s">
        <v>9898</v>
      </c>
      <c r="Y3607" t="s">
        <v>9900</v>
      </c>
      <c r="Z3607" t="s">
        <v>9898</v>
      </c>
      <c r="AD3607">
        <f t="shared" si="113"/>
        <v>1</v>
      </c>
    </row>
    <row r="3608" spans="1:30" x14ac:dyDescent="0.25">
      <c r="A3608" t="s">
        <v>3632</v>
      </c>
      <c r="B3608" s="2">
        <v>45404</v>
      </c>
      <c r="C3608" s="2">
        <v>45409</v>
      </c>
      <c r="D3608" t="s">
        <v>5122</v>
      </c>
      <c r="E3608" t="s">
        <v>5622</v>
      </c>
      <c r="F3608" t="s">
        <v>6026</v>
      </c>
      <c r="G3608" t="s">
        <v>6029</v>
      </c>
      <c r="H3608" t="s">
        <v>6045</v>
      </c>
      <c r="I3608" t="s">
        <v>6046</v>
      </c>
      <c r="J3608" t="s">
        <v>6054</v>
      </c>
      <c r="K3608" t="s">
        <v>6059</v>
      </c>
      <c r="L3608" t="s">
        <v>8813</v>
      </c>
      <c r="M3608">
        <v>313.89</v>
      </c>
      <c r="N3608">
        <v>8</v>
      </c>
      <c r="O3608">
        <v>0.02</v>
      </c>
      <c r="P3608">
        <v>41.86</v>
      </c>
      <c r="Q3608" t="s">
        <v>9894</v>
      </c>
      <c r="R3608">
        <v>5</v>
      </c>
      <c r="S3608" s="5">
        <f t="shared" si="112"/>
        <v>0.13335881996877888</v>
      </c>
      <c r="T3608">
        <v>39.236249999999998</v>
      </c>
      <c r="U3608">
        <v>4</v>
      </c>
      <c r="V3608">
        <v>2024</v>
      </c>
      <c r="W3608">
        <v>2</v>
      </c>
      <c r="X3608" t="s">
        <v>9899</v>
      </c>
      <c r="Y3608" t="s">
        <v>9901</v>
      </c>
      <c r="Z3608" t="s">
        <v>9899</v>
      </c>
      <c r="AD3608">
        <f t="shared" si="113"/>
        <v>5</v>
      </c>
    </row>
    <row r="3609" spans="1:30" x14ac:dyDescent="0.25">
      <c r="A3609" t="s">
        <v>3633</v>
      </c>
      <c r="B3609" s="2">
        <v>44968</v>
      </c>
      <c r="C3609" s="2">
        <v>44974</v>
      </c>
      <c r="D3609" t="s">
        <v>5041</v>
      </c>
      <c r="E3609" t="s">
        <v>5541</v>
      </c>
      <c r="F3609" t="s">
        <v>6028</v>
      </c>
      <c r="G3609" t="s">
        <v>6031</v>
      </c>
      <c r="H3609" t="s">
        <v>6037</v>
      </c>
      <c r="I3609" t="s">
        <v>6050</v>
      </c>
      <c r="J3609" t="s">
        <v>6053</v>
      </c>
      <c r="K3609" t="s">
        <v>6057</v>
      </c>
      <c r="L3609" t="s">
        <v>7185</v>
      </c>
      <c r="M3609">
        <v>1115.8699999999999</v>
      </c>
      <c r="N3609">
        <v>8</v>
      </c>
      <c r="O3609">
        <v>0.26</v>
      </c>
      <c r="P3609">
        <v>3.32</v>
      </c>
      <c r="Q3609" t="s">
        <v>9895</v>
      </c>
      <c r="R3609">
        <v>6</v>
      </c>
      <c r="S3609" s="5">
        <f t="shared" si="112"/>
        <v>2.975256974378736E-3</v>
      </c>
      <c r="T3609">
        <v>139.48374999999999</v>
      </c>
      <c r="U3609">
        <v>2</v>
      </c>
      <c r="V3609">
        <v>2023</v>
      </c>
      <c r="W3609">
        <v>1</v>
      </c>
      <c r="X3609" t="s">
        <v>9899</v>
      </c>
      <c r="Y3609" t="s">
        <v>9900</v>
      </c>
      <c r="Z3609" t="s">
        <v>9898</v>
      </c>
      <c r="AD3609">
        <f t="shared" si="113"/>
        <v>6</v>
      </c>
    </row>
    <row r="3610" spans="1:30" x14ac:dyDescent="0.25">
      <c r="A3610" t="s">
        <v>3634</v>
      </c>
      <c r="B3610" s="2">
        <v>44740</v>
      </c>
      <c r="C3610" s="2">
        <v>44744</v>
      </c>
      <c r="D3610" t="s">
        <v>5343</v>
      </c>
      <c r="E3610" t="s">
        <v>5843</v>
      </c>
      <c r="F3610" t="s">
        <v>6028</v>
      </c>
      <c r="G3610" t="s">
        <v>6029</v>
      </c>
      <c r="H3610" t="s">
        <v>6045</v>
      </c>
      <c r="I3610" t="s">
        <v>6046</v>
      </c>
      <c r="J3610" t="s">
        <v>6055</v>
      </c>
      <c r="K3610" t="s">
        <v>6063</v>
      </c>
      <c r="L3610" t="s">
        <v>8610</v>
      </c>
      <c r="M3610">
        <v>1457.48</v>
      </c>
      <c r="N3610">
        <v>2</v>
      </c>
      <c r="O3610">
        <v>0.15</v>
      </c>
      <c r="P3610">
        <v>202.65</v>
      </c>
      <c r="Q3610" t="s">
        <v>9897</v>
      </c>
      <c r="R3610">
        <v>4</v>
      </c>
      <c r="S3610" s="5">
        <f t="shared" si="112"/>
        <v>0.13904135905810028</v>
      </c>
      <c r="T3610">
        <v>728.74</v>
      </c>
      <c r="U3610">
        <v>6</v>
      </c>
      <c r="V3610">
        <v>2022</v>
      </c>
      <c r="W3610">
        <v>2</v>
      </c>
      <c r="X3610" t="s">
        <v>9899</v>
      </c>
      <c r="Y3610" t="s">
        <v>9901</v>
      </c>
      <c r="Z3610" t="s">
        <v>9898</v>
      </c>
      <c r="AD3610">
        <f t="shared" si="113"/>
        <v>4</v>
      </c>
    </row>
    <row r="3611" spans="1:30" x14ac:dyDescent="0.25">
      <c r="A3611" t="s">
        <v>3635</v>
      </c>
      <c r="B3611" s="2">
        <v>45143</v>
      </c>
      <c r="C3611" s="2">
        <v>45149</v>
      </c>
      <c r="D3611" t="s">
        <v>5392</v>
      </c>
      <c r="E3611" t="s">
        <v>5892</v>
      </c>
      <c r="F3611" t="s">
        <v>6027</v>
      </c>
      <c r="G3611" t="s">
        <v>6031</v>
      </c>
      <c r="H3611" t="s">
        <v>6034</v>
      </c>
      <c r="I3611" t="s">
        <v>6050</v>
      </c>
      <c r="J3611" t="s">
        <v>6054</v>
      </c>
      <c r="K3611" t="s">
        <v>6060</v>
      </c>
      <c r="L3611" t="s">
        <v>9025</v>
      </c>
      <c r="M3611">
        <v>968.34</v>
      </c>
      <c r="N3611">
        <v>1</v>
      </c>
      <c r="O3611">
        <v>7.0000000000000007E-2</v>
      </c>
      <c r="P3611">
        <v>131.56</v>
      </c>
      <c r="Q3611" t="s">
        <v>9897</v>
      </c>
      <c r="R3611">
        <v>6</v>
      </c>
      <c r="S3611" s="5">
        <f t="shared" si="112"/>
        <v>0.13586137100605158</v>
      </c>
      <c r="T3611">
        <v>968.34</v>
      </c>
      <c r="U3611">
        <v>8</v>
      </c>
      <c r="V3611">
        <v>2023</v>
      </c>
      <c r="W3611">
        <v>3</v>
      </c>
      <c r="X3611" t="s">
        <v>9899</v>
      </c>
      <c r="Y3611" t="s">
        <v>9901</v>
      </c>
      <c r="Z3611" t="s">
        <v>9899</v>
      </c>
      <c r="AD3611">
        <f t="shared" si="113"/>
        <v>6</v>
      </c>
    </row>
    <row r="3612" spans="1:30" x14ac:dyDescent="0.25">
      <c r="A3612" t="s">
        <v>3636</v>
      </c>
      <c r="B3612" s="2">
        <v>44845</v>
      </c>
      <c r="C3612" s="2">
        <v>44848</v>
      </c>
      <c r="D3612" t="s">
        <v>5423</v>
      </c>
      <c r="E3612" t="s">
        <v>5923</v>
      </c>
      <c r="F3612" t="s">
        <v>6027</v>
      </c>
      <c r="G3612" t="s">
        <v>6029</v>
      </c>
      <c r="H3612" t="s">
        <v>6044</v>
      </c>
      <c r="I3612" t="s">
        <v>6050</v>
      </c>
      <c r="J3612" t="s">
        <v>6053</v>
      </c>
      <c r="K3612" t="s">
        <v>6056</v>
      </c>
      <c r="L3612" t="s">
        <v>9026</v>
      </c>
      <c r="M3612">
        <v>837.38</v>
      </c>
      <c r="N3612">
        <v>6</v>
      </c>
      <c r="O3612">
        <v>0.24</v>
      </c>
      <c r="P3612">
        <v>-25.76</v>
      </c>
      <c r="Q3612" t="s">
        <v>9895</v>
      </c>
      <c r="R3612">
        <v>3</v>
      </c>
      <c r="S3612" s="5">
        <f t="shared" si="112"/>
        <v>-3.0762616733143854E-2</v>
      </c>
      <c r="T3612">
        <v>139.5633333333333</v>
      </c>
      <c r="U3612">
        <v>10</v>
      </c>
      <c r="V3612">
        <v>2022</v>
      </c>
      <c r="W3612">
        <v>4</v>
      </c>
      <c r="X3612" t="s">
        <v>9898</v>
      </c>
      <c r="Y3612" t="s">
        <v>9900</v>
      </c>
      <c r="Z3612" t="s">
        <v>9899</v>
      </c>
      <c r="AD3612">
        <f t="shared" si="113"/>
        <v>3</v>
      </c>
    </row>
    <row r="3613" spans="1:30" x14ac:dyDescent="0.25">
      <c r="A3613" t="s">
        <v>3637</v>
      </c>
      <c r="B3613" s="2">
        <v>44666</v>
      </c>
      <c r="C3613" s="2">
        <v>44668</v>
      </c>
      <c r="D3613" t="s">
        <v>5079</v>
      </c>
      <c r="E3613" t="s">
        <v>5579</v>
      </c>
      <c r="F3613" t="s">
        <v>6027</v>
      </c>
      <c r="G3613" t="s">
        <v>6029</v>
      </c>
      <c r="H3613" t="s">
        <v>6041</v>
      </c>
      <c r="I3613" t="s">
        <v>6046</v>
      </c>
      <c r="J3613" t="s">
        <v>6054</v>
      </c>
      <c r="K3613" t="s">
        <v>6060</v>
      </c>
      <c r="L3613" t="s">
        <v>9027</v>
      </c>
      <c r="M3613">
        <v>459.37</v>
      </c>
      <c r="N3613">
        <v>6</v>
      </c>
      <c r="O3613">
        <v>0.19</v>
      </c>
      <c r="P3613">
        <v>9.99</v>
      </c>
      <c r="Q3613" t="s">
        <v>9896</v>
      </c>
      <c r="R3613">
        <v>2</v>
      </c>
      <c r="S3613" s="5">
        <f t="shared" si="112"/>
        <v>2.1747175479461003E-2</v>
      </c>
      <c r="T3613">
        <v>76.561666666666667</v>
      </c>
      <c r="U3613">
        <v>4</v>
      </c>
      <c r="V3613">
        <v>2022</v>
      </c>
      <c r="W3613">
        <v>2</v>
      </c>
      <c r="X3613" t="s">
        <v>9899</v>
      </c>
      <c r="Y3613" t="s">
        <v>9900</v>
      </c>
      <c r="Z3613" t="s">
        <v>9899</v>
      </c>
      <c r="AD3613">
        <f t="shared" si="113"/>
        <v>2</v>
      </c>
    </row>
    <row r="3614" spans="1:30" x14ac:dyDescent="0.25">
      <c r="A3614" t="s">
        <v>3638</v>
      </c>
      <c r="B3614" s="2">
        <v>45437</v>
      </c>
      <c r="C3614" s="2">
        <v>45443</v>
      </c>
      <c r="D3614" t="s">
        <v>5318</v>
      </c>
      <c r="E3614" t="s">
        <v>5818</v>
      </c>
      <c r="F3614" t="s">
        <v>6026</v>
      </c>
      <c r="G3614" t="s">
        <v>6030</v>
      </c>
      <c r="H3614" t="s">
        <v>6038</v>
      </c>
      <c r="I3614" t="s">
        <v>6047</v>
      </c>
      <c r="J3614" t="s">
        <v>6054</v>
      </c>
      <c r="K3614" t="s">
        <v>6059</v>
      </c>
      <c r="L3614" t="s">
        <v>9028</v>
      </c>
      <c r="M3614">
        <v>759.76</v>
      </c>
      <c r="N3614">
        <v>6</v>
      </c>
      <c r="O3614">
        <v>0.27</v>
      </c>
      <c r="P3614">
        <v>-104.69</v>
      </c>
      <c r="Q3614" t="s">
        <v>9896</v>
      </c>
      <c r="R3614">
        <v>6</v>
      </c>
      <c r="S3614" s="5">
        <f t="shared" si="112"/>
        <v>-0.13779351374118143</v>
      </c>
      <c r="T3614">
        <v>126.62666666666669</v>
      </c>
      <c r="U3614">
        <v>5</v>
      </c>
      <c r="V3614">
        <v>2024</v>
      </c>
      <c r="W3614">
        <v>2</v>
      </c>
      <c r="X3614" t="s">
        <v>9898</v>
      </c>
      <c r="Y3614" t="s">
        <v>9900</v>
      </c>
      <c r="Z3614" t="s">
        <v>9899</v>
      </c>
      <c r="AD3614">
        <f t="shared" si="113"/>
        <v>6</v>
      </c>
    </row>
    <row r="3615" spans="1:30" x14ac:dyDescent="0.25">
      <c r="A3615" t="s">
        <v>3639</v>
      </c>
      <c r="B3615" s="2">
        <v>45125</v>
      </c>
      <c r="C3615" s="2">
        <v>45131</v>
      </c>
      <c r="D3615" t="s">
        <v>5507</v>
      </c>
      <c r="E3615" t="s">
        <v>6007</v>
      </c>
      <c r="F3615" t="s">
        <v>6028</v>
      </c>
      <c r="G3615" t="s">
        <v>6029</v>
      </c>
      <c r="H3615" t="s">
        <v>6036</v>
      </c>
      <c r="I3615" t="s">
        <v>6046</v>
      </c>
      <c r="J3615" t="s">
        <v>6053</v>
      </c>
      <c r="K3615" t="s">
        <v>6056</v>
      </c>
      <c r="L3615" t="s">
        <v>9029</v>
      </c>
      <c r="M3615">
        <v>1362.88</v>
      </c>
      <c r="N3615">
        <v>5</v>
      </c>
      <c r="O3615">
        <v>0.04</v>
      </c>
      <c r="P3615">
        <v>333.04</v>
      </c>
      <c r="Q3615" t="s">
        <v>9895</v>
      </c>
      <c r="R3615">
        <v>6</v>
      </c>
      <c r="S3615" s="5">
        <f t="shared" si="112"/>
        <v>0.24436487438365814</v>
      </c>
      <c r="T3615">
        <v>272.57600000000002</v>
      </c>
      <c r="U3615">
        <v>7</v>
      </c>
      <c r="V3615">
        <v>2023</v>
      </c>
      <c r="W3615">
        <v>3</v>
      </c>
      <c r="X3615" t="s">
        <v>9899</v>
      </c>
      <c r="Y3615" t="s">
        <v>9901</v>
      </c>
      <c r="Z3615" t="s">
        <v>9898</v>
      </c>
      <c r="AD3615">
        <f t="shared" si="113"/>
        <v>6</v>
      </c>
    </row>
    <row r="3616" spans="1:30" x14ac:dyDescent="0.25">
      <c r="A3616" t="s">
        <v>3640</v>
      </c>
      <c r="B3616" s="2">
        <v>45136</v>
      </c>
      <c r="C3616" s="2">
        <v>45143</v>
      </c>
      <c r="D3616" t="s">
        <v>5156</v>
      </c>
      <c r="E3616" t="s">
        <v>5656</v>
      </c>
      <c r="F3616" t="s">
        <v>6028</v>
      </c>
      <c r="G3616" t="s">
        <v>6029</v>
      </c>
      <c r="H3616" t="s">
        <v>6045</v>
      </c>
      <c r="I3616" t="s">
        <v>6046</v>
      </c>
      <c r="J3616" t="s">
        <v>6054</v>
      </c>
      <c r="K3616" t="s">
        <v>6060</v>
      </c>
      <c r="L3616" t="s">
        <v>8815</v>
      </c>
      <c r="M3616">
        <v>1232.74</v>
      </c>
      <c r="N3616">
        <v>3</v>
      </c>
      <c r="O3616">
        <v>0.23</v>
      </c>
      <c r="P3616">
        <v>-58.59</v>
      </c>
      <c r="Q3616" t="s">
        <v>9897</v>
      </c>
      <c r="R3616">
        <v>7</v>
      </c>
      <c r="S3616" s="5">
        <f t="shared" si="112"/>
        <v>-4.7528270357090709E-2</v>
      </c>
      <c r="T3616">
        <v>410.91333333333341</v>
      </c>
      <c r="U3616">
        <v>7</v>
      </c>
      <c r="V3616">
        <v>2023</v>
      </c>
      <c r="W3616">
        <v>3</v>
      </c>
      <c r="X3616" t="s">
        <v>9898</v>
      </c>
      <c r="Y3616" t="s">
        <v>9900</v>
      </c>
      <c r="Z3616" t="s">
        <v>9898</v>
      </c>
      <c r="AD3616">
        <f t="shared" si="113"/>
        <v>7</v>
      </c>
    </row>
    <row r="3617" spans="1:30" x14ac:dyDescent="0.25">
      <c r="A3617" t="s">
        <v>3641</v>
      </c>
      <c r="B3617" s="2">
        <v>44971</v>
      </c>
      <c r="C3617" s="2">
        <v>44977</v>
      </c>
      <c r="D3617" t="s">
        <v>5309</v>
      </c>
      <c r="E3617" t="s">
        <v>5809</v>
      </c>
      <c r="F3617" t="s">
        <v>6028</v>
      </c>
      <c r="G3617" t="s">
        <v>6031</v>
      </c>
      <c r="H3617" t="s">
        <v>6043</v>
      </c>
      <c r="I3617" t="s">
        <v>6050</v>
      </c>
      <c r="J3617" t="s">
        <v>6054</v>
      </c>
      <c r="K3617" t="s">
        <v>6059</v>
      </c>
      <c r="L3617" t="s">
        <v>9030</v>
      </c>
      <c r="M3617">
        <v>210.03</v>
      </c>
      <c r="N3617">
        <v>8</v>
      </c>
      <c r="O3617">
        <v>0.28000000000000003</v>
      </c>
      <c r="P3617">
        <v>-16.27</v>
      </c>
      <c r="Q3617" t="s">
        <v>9894</v>
      </c>
      <c r="R3617">
        <v>6</v>
      </c>
      <c r="S3617" s="5">
        <f t="shared" si="112"/>
        <v>-7.7465124029900481E-2</v>
      </c>
      <c r="T3617">
        <v>26.25375</v>
      </c>
      <c r="U3617">
        <v>2</v>
      </c>
      <c r="V3617">
        <v>2023</v>
      </c>
      <c r="W3617">
        <v>1</v>
      </c>
      <c r="X3617" t="s">
        <v>9898</v>
      </c>
      <c r="Y3617" t="s">
        <v>9900</v>
      </c>
      <c r="Z3617" t="s">
        <v>9899</v>
      </c>
      <c r="AD3617">
        <f t="shared" si="113"/>
        <v>6</v>
      </c>
    </row>
    <row r="3618" spans="1:30" x14ac:dyDescent="0.25">
      <c r="A3618" t="s">
        <v>3642</v>
      </c>
      <c r="B3618" s="2">
        <v>45006</v>
      </c>
      <c r="C3618" s="2">
        <v>45013</v>
      </c>
      <c r="D3618" t="s">
        <v>5315</v>
      </c>
      <c r="E3618" t="s">
        <v>5815</v>
      </c>
      <c r="F3618" t="s">
        <v>6028</v>
      </c>
      <c r="G3618" t="s">
        <v>6029</v>
      </c>
      <c r="H3618" t="s">
        <v>6032</v>
      </c>
      <c r="I3618" t="s">
        <v>6050</v>
      </c>
      <c r="J3618" t="s">
        <v>6054</v>
      </c>
      <c r="K3618" t="s">
        <v>6060</v>
      </c>
      <c r="L3618" t="s">
        <v>9031</v>
      </c>
      <c r="M3618">
        <v>1691.55</v>
      </c>
      <c r="N3618">
        <v>1</v>
      </c>
      <c r="O3618">
        <v>0.15</v>
      </c>
      <c r="P3618">
        <v>101.39</v>
      </c>
      <c r="Q3618" t="s">
        <v>9894</v>
      </c>
      <c r="R3618">
        <v>7</v>
      </c>
      <c r="S3618" s="5">
        <f t="shared" si="112"/>
        <v>5.9939109101120276E-2</v>
      </c>
      <c r="T3618">
        <v>1691.55</v>
      </c>
      <c r="U3618">
        <v>3</v>
      </c>
      <c r="V3618">
        <v>2023</v>
      </c>
      <c r="W3618">
        <v>1</v>
      </c>
      <c r="X3618" t="s">
        <v>9899</v>
      </c>
      <c r="Y3618" t="s">
        <v>9901</v>
      </c>
      <c r="Z3618" t="s">
        <v>9898</v>
      </c>
      <c r="AD3618">
        <f t="shared" si="113"/>
        <v>7</v>
      </c>
    </row>
    <row r="3619" spans="1:30" x14ac:dyDescent="0.25">
      <c r="A3619" t="s">
        <v>3643</v>
      </c>
      <c r="B3619" s="2">
        <v>44899</v>
      </c>
      <c r="C3619" s="2">
        <v>44905</v>
      </c>
      <c r="D3619" t="s">
        <v>5370</v>
      </c>
      <c r="E3619" t="s">
        <v>5870</v>
      </c>
      <c r="F3619" t="s">
        <v>6027</v>
      </c>
      <c r="G3619" t="s">
        <v>6030</v>
      </c>
      <c r="H3619" t="s">
        <v>6033</v>
      </c>
      <c r="I3619" t="s">
        <v>6047</v>
      </c>
      <c r="J3619" t="s">
        <v>6053</v>
      </c>
      <c r="K3619" t="s">
        <v>6058</v>
      </c>
      <c r="L3619" t="s">
        <v>9032</v>
      </c>
      <c r="M3619">
        <v>586.89</v>
      </c>
      <c r="N3619">
        <v>3</v>
      </c>
      <c r="O3619">
        <v>0.28000000000000003</v>
      </c>
      <c r="P3619">
        <v>-26.76</v>
      </c>
      <c r="Q3619" t="s">
        <v>9895</v>
      </c>
      <c r="R3619">
        <v>6</v>
      </c>
      <c r="S3619" s="5">
        <f t="shared" si="112"/>
        <v>-4.5596278689362578E-2</v>
      </c>
      <c r="T3619">
        <v>195.63</v>
      </c>
      <c r="U3619">
        <v>12</v>
      </c>
      <c r="V3619">
        <v>2022</v>
      </c>
      <c r="W3619">
        <v>4</v>
      </c>
      <c r="X3619" t="s">
        <v>9898</v>
      </c>
      <c r="Y3619" t="s">
        <v>9900</v>
      </c>
      <c r="Z3619" t="s">
        <v>9899</v>
      </c>
      <c r="AD3619">
        <f t="shared" si="113"/>
        <v>6</v>
      </c>
    </row>
    <row r="3620" spans="1:30" x14ac:dyDescent="0.25">
      <c r="A3620" t="s">
        <v>3644</v>
      </c>
      <c r="B3620" s="2">
        <v>44922</v>
      </c>
      <c r="C3620" s="2">
        <v>44926</v>
      </c>
      <c r="D3620" t="s">
        <v>5232</v>
      </c>
      <c r="E3620" t="s">
        <v>5732</v>
      </c>
      <c r="F3620" t="s">
        <v>6026</v>
      </c>
      <c r="G3620" t="s">
        <v>6031</v>
      </c>
      <c r="H3620" t="s">
        <v>6043</v>
      </c>
      <c r="I3620" t="s">
        <v>6048</v>
      </c>
      <c r="J3620" t="s">
        <v>6055</v>
      </c>
      <c r="K3620" t="s">
        <v>6063</v>
      </c>
      <c r="L3620" t="s">
        <v>6947</v>
      </c>
      <c r="M3620">
        <v>1065.0999999999999</v>
      </c>
      <c r="N3620">
        <v>1</v>
      </c>
      <c r="O3620">
        <v>0.25</v>
      </c>
      <c r="P3620">
        <v>-39.17</v>
      </c>
      <c r="Q3620" t="s">
        <v>9894</v>
      </c>
      <c r="R3620">
        <v>4</v>
      </c>
      <c r="S3620" s="5">
        <f t="shared" si="112"/>
        <v>-3.6775889587832136E-2</v>
      </c>
      <c r="T3620">
        <v>1065.0999999999999</v>
      </c>
      <c r="U3620">
        <v>12</v>
      </c>
      <c r="V3620">
        <v>2022</v>
      </c>
      <c r="W3620">
        <v>4</v>
      </c>
      <c r="X3620" t="s">
        <v>9898</v>
      </c>
      <c r="Y3620" t="s">
        <v>9900</v>
      </c>
      <c r="Z3620" t="s">
        <v>9898</v>
      </c>
      <c r="AD3620">
        <f t="shared" si="113"/>
        <v>4</v>
      </c>
    </row>
    <row r="3621" spans="1:30" x14ac:dyDescent="0.25">
      <c r="A3621" t="s">
        <v>3645</v>
      </c>
      <c r="B3621" s="2">
        <v>45275</v>
      </c>
      <c r="C3621" s="2">
        <v>45281</v>
      </c>
      <c r="D3621" t="s">
        <v>5213</v>
      </c>
      <c r="E3621" t="s">
        <v>5713</v>
      </c>
      <c r="F3621" t="s">
        <v>6028</v>
      </c>
      <c r="G3621" t="s">
        <v>6031</v>
      </c>
      <c r="H3621" t="s">
        <v>6034</v>
      </c>
      <c r="I3621" t="s">
        <v>6048</v>
      </c>
      <c r="J3621" t="s">
        <v>6055</v>
      </c>
      <c r="K3621" t="s">
        <v>6061</v>
      </c>
      <c r="L3621" t="s">
        <v>9033</v>
      </c>
      <c r="M3621">
        <v>168.3</v>
      </c>
      <c r="N3621">
        <v>7</v>
      </c>
      <c r="O3621">
        <v>0.01</v>
      </c>
      <c r="P3621">
        <v>31.93</v>
      </c>
      <c r="Q3621" t="s">
        <v>9897</v>
      </c>
      <c r="R3621">
        <v>6</v>
      </c>
      <c r="S3621" s="5">
        <f t="shared" si="112"/>
        <v>0.18972073677956031</v>
      </c>
      <c r="T3621">
        <v>24.042857142857141</v>
      </c>
      <c r="U3621">
        <v>12</v>
      </c>
      <c r="V3621">
        <v>2023</v>
      </c>
      <c r="W3621">
        <v>4</v>
      </c>
      <c r="X3621" t="s">
        <v>9899</v>
      </c>
      <c r="Y3621" t="s">
        <v>9901</v>
      </c>
      <c r="Z3621" t="s">
        <v>9899</v>
      </c>
      <c r="AD3621">
        <f t="shared" si="113"/>
        <v>6</v>
      </c>
    </row>
    <row r="3622" spans="1:30" x14ac:dyDescent="0.25">
      <c r="A3622" t="s">
        <v>3646</v>
      </c>
      <c r="B3622" s="2">
        <v>44908</v>
      </c>
      <c r="C3622" s="2">
        <v>44911</v>
      </c>
      <c r="D3622" t="s">
        <v>5199</v>
      </c>
      <c r="E3622" t="s">
        <v>5699</v>
      </c>
      <c r="F3622" t="s">
        <v>6027</v>
      </c>
      <c r="G3622" t="s">
        <v>6029</v>
      </c>
      <c r="H3622" t="s">
        <v>6036</v>
      </c>
      <c r="I3622" t="s">
        <v>6050</v>
      </c>
      <c r="J3622" t="s">
        <v>6053</v>
      </c>
      <c r="K3622" t="s">
        <v>6057</v>
      </c>
      <c r="L3622" t="s">
        <v>9034</v>
      </c>
      <c r="M3622">
        <v>1667.18</v>
      </c>
      <c r="N3622">
        <v>1</v>
      </c>
      <c r="O3622">
        <v>0.28999999999999998</v>
      </c>
      <c r="P3622">
        <v>-191.67</v>
      </c>
      <c r="Q3622" t="s">
        <v>9894</v>
      </c>
      <c r="R3622">
        <v>3</v>
      </c>
      <c r="S3622" s="5">
        <f t="shared" si="112"/>
        <v>-0.11496659029019062</v>
      </c>
      <c r="T3622">
        <v>1667.18</v>
      </c>
      <c r="U3622">
        <v>12</v>
      </c>
      <c r="V3622">
        <v>2022</v>
      </c>
      <c r="W3622">
        <v>4</v>
      </c>
      <c r="X3622" t="s">
        <v>9898</v>
      </c>
      <c r="Y3622" t="s">
        <v>9900</v>
      </c>
      <c r="Z3622" t="s">
        <v>9898</v>
      </c>
      <c r="AD3622">
        <f t="shared" si="113"/>
        <v>3</v>
      </c>
    </row>
    <row r="3623" spans="1:30" x14ac:dyDescent="0.25">
      <c r="A3623" t="s">
        <v>3647</v>
      </c>
      <c r="B3623" s="2">
        <v>44970</v>
      </c>
      <c r="C3623" s="2">
        <v>44975</v>
      </c>
      <c r="D3623" t="s">
        <v>5207</v>
      </c>
      <c r="E3623" t="s">
        <v>5707</v>
      </c>
      <c r="F3623" t="s">
        <v>6028</v>
      </c>
      <c r="G3623" t="s">
        <v>6030</v>
      </c>
      <c r="H3623" t="s">
        <v>6038</v>
      </c>
      <c r="I3623" t="s">
        <v>6047</v>
      </c>
      <c r="J3623" t="s">
        <v>6055</v>
      </c>
      <c r="K3623" t="s">
        <v>6063</v>
      </c>
      <c r="L3623" t="s">
        <v>6443</v>
      </c>
      <c r="M3623">
        <v>1340.46</v>
      </c>
      <c r="N3623">
        <v>4</v>
      </c>
      <c r="O3623">
        <v>0.12</v>
      </c>
      <c r="P3623">
        <v>135.69999999999999</v>
      </c>
      <c r="Q3623" t="s">
        <v>9893</v>
      </c>
      <c r="R3623">
        <v>5</v>
      </c>
      <c r="S3623" s="5">
        <f t="shared" si="112"/>
        <v>0.10123390477895647</v>
      </c>
      <c r="T3623">
        <v>335.11500000000001</v>
      </c>
      <c r="U3623">
        <v>2</v>
      </c>
      <c r="V3623">
        <v>2023</v>
      </c>
      <c r="W3623">
        <v>1</v>
      </c>
      <c r="X3623" t="s">
        <v>9899</v>
      </c>
      <c r="Y3623" t="s">
        <v>9901</v>
      </c>
      <c r="Z3623" t="s">
        <v>9898</v>
      </c>
      <c r="AD3623">
        <f t="shared" si="113"/>
        <v>5</v>
      </c>
    </row>
    <row r="3624" spans="1:30" x14ac:dyDescent="0.25">
      <c r="A3624" t="s">
        <v>3648</v>
      </c>
      <c r="B3624" s="2">
        <v>44888</v>
      </c>
      <c r="C3624" s="2">
        <v>44891</v>
      </c>
      <c r="D3624" t="s">
        <v>5246</v>
      </c>
      <c r="E3624" t="s">
        <v>5746</v>
      </c>
      <c r="F3624" t="s">
        <v>6026</v>
      </c>
      <c r="G3624" t="s">
        <v>6029</v>
      </c>
      <c r="H3624" t="s">
        <v>6045</v>
      </c>
      <c r="I3624" t="s">
        <v>6050</v>
      </c>
      <c r="J3624" t="s">
        <v>6053</v>
      </c>
      <c r="K3624" t="s">
        <v>6058</v>
      </c>
      <c r="L3624" t="s">
        <v>9035</v>
      </c>
      <c r="M3624">
        <v>1217.07</v>
      </c>
      <c r="N3624">
        <v>4</v>
      </c>
      <c r="O3624">
        <v>0.04</v>
      </c>
      <c r="P3624">
        <v>144.65</v>
      </c>
      <c r="Q3624" t="s">
        <v>9895</v>
      </c>
      <c r="R3624">
        <v>3</v>
      </c>
      <c r="S3624" s="5">
        <f t="shared" si="112"/>
        <v>0.1188510110346981</v>
      </c>
      <c r="T3624">
        <v>304.26749999999998</v>
      </c>
      <c r="U3624">
        <v>11</v>
      </c>
      <c r="V3624">
        <v>2022</v>
      </c>
      <c r="W3624">
        <v>4</v>
      </c>
      <c r="X3624" t="s">
        <v>9899</v>
      </c>
      <c r="Y3624" t="s">
        <v>9901</v>
      </c>
      <c r="Z3624" t="s">
        <v>9898</v>
      </c>
      <c r="AD3624">
        <f t="shared" si="113"/>
        <v>3</v>
      </c>
    </row>
    <row r="3625" spans="1:30" x14ac:dyDescent="0.25">
      <c r="A3625" t="s">
        <v>3649</v>
      </c>
      <c r="B3625" s="2">
        <v>45326</v>
      </c>
      <c r="C3625" s="2">
        <v>45330</v>
      </c>
      <c r="D3625" t="s">
        <v>5479</v>
      </c>
      <c r="E3625" t="s">
        <v>5979</v>
      </c>
      <c r="F3625" t="s">
        <v>6026</v>
      </c>
      <c r="G3625" t="s">
        <v>6029</v>
      </c>
      <c r="H3625" t="s">
        <v>6044</v>
      </c>
      <c r="I3625" t="s">
        <v>6046</v>
      </c>
      <c r="J3625" t="s">
        <v>6055</v>
      </c>
      <c r="K3625" t="s">
        <v>6061</v>
      </c>
      <c r="L3625" t="s">
        <v>9036</v>
      </c>
      <c r="M3625">
        <v>1197.78</v>
      </c>
      <c r="N3625">
        <v>3</v>
      </c>
      <c r="O3625">
        <v>0.09</v>
      </c>
      <c r="P3625">
        <v>183.95</v>
      </c>
      <c r="Q3625" t="s">
        <v>9897</v>
      </c>
      <c r="R3625">
        <v>4</v>
      </c>
      <c r="S3625" s="5">
        <f t="shared" si="112"/>
        <v>0.15357578186311341</v>
      </c>
      <c r="T3625">
        <v>399.26</v>
      </c>
      <c r="U3625">
        <v>2</v>
      </c>
      <c r="V3625">
        <v>2024</v>
      </c>
      <c r="W3625">
        <v>1</v>
      </c>
      <c r="X3625" t="s">
        <v>9899</v>
      </c>
      <c r="Y3625" t="s">
        <v>9901</v>
      </c>
      <c r="Z3625" t="s">
        <v>9898</v>
      </c>
      <c r="AD3625">
        <f t="shared" si="113"/>
        <v>4</v>
      </c>
    </row>
    <row r="3626" spans="1:30" x14ac:dyDescent="0.25">
      <c r="A3626" t="s">
        <v>3650</v>
      </c>
      <c r="B3626" s="2">
        <v>44860</v>
      </c>
      <c r="C3626" s="2">
        <v>44866</v>
      </c>
      <c r="D3626" t="s">
        <v>5269</v>
      </c>
      <c r="E3626" t="s">
        <v>5769</v>
      </c>
      <c r="F3626" t="s">
        <v>6026</v>
      </c>
      <c r="G3626" t="s">
        <v>6031</v>
      </c>
      <c r="H3626" t="s">
        <v>6034</v>
      </c>
      <c r="I3626" t="s">
        <v>6050</v>
      </c>
      <c r="J3626" t="s">
        <v>6053</v>
      </c>
      <c r="K3626" t="s">
        <v>6057</v>
      </c>
      <c r="L3626" t="s">
        <v>9009</v>
      </c>
      <c r="M3626">
        <v>932.86</v>
      </c>
      <c r="N3626">
        <v>7</v>
      </c>
      <c r="O3626">
        <v>0.3</v>
      </c>
      <c r="P3626">
        <v>-75.930000000000007</v>
      </c>
      <c r="Q3626" t="s">
        <v>9895</v>
      </c>
      <c r="R3626">
        <v>6</v>
      </c>
      <c r="S3626" s="5">
        <f t="shared" si="112"/>
        <v>-8.139485024548164E-2</v>
      </c>
      <c r="T3626">
        <v>133.2657142857143</v>
      </c>
      <c r="U3626">
        <v>10</v>
      </c>
      <c r="V3626">
        <v>2022</v>
      </c>
      <c r="W3626">
        <v>4</v>
      </c>
      <c r="X3626" t="s">
        <v>9898</v>
      </c>
      <c r="Y3626" t="s">
        <v>9900</v>
      </c>
      <c r="Z3626" t="s">
        <v>9899</v>
      </c>
      <c r="AD3626">
        <f t="shared" si="113"/>
        <v>6</v>
      </c>
    </row>
    <row r="3627" spans="1:30" x14ac:dyDescent="0.25">
      <c r="A3627" t="s">
        <v>3651</v>
      </c>
      <c r="B3627" s="2">
        <v>44807</v>
      </c>
      <c r="C3627" s="2">
        <v>44810</v>
      </c>
      <c r="D3627" t="s">
        <v>5470</v>
      </c>
      <c r="E3627" t="s">
        <v>5970</v>
      </c>
      <c r="F3627" t="s">
        <v>6027</v>
      </c>
      <c r="G3627" t="s">
        <v>6029</v>
      </c>
      <c r="H3627" t="s">
        <v>6045</v>
      </c>
      <c r="I3627" t="s">
        <v>6049</v>
      </c>
      <c r="J3627" t="s">
        <v>6053</v>
      </c>
      <c r="K3627" t="s">
        <v>6057</v>
      </c>
      <c r="L3627" t="s">
        <v>9037</v>
      </c>
      <c r="M3627">
        <v>732.83</v>
      </c>
      <c r="N3627">
        <v>2</v>
      </c>
      <c r="O3627">
        <v>0.31</v>
      </c>
      <c r="P3627">
        <v>-116.45</v>
      </c>
      <c r="Q3627" t="s">
        <v>9896</v>
      </c>
      <c r="R3627">
        <v>3</v>
      </c>
      <c r="S3627" s="5">
        <f t="shared" si="112"/>
        <v>-0.15890452083020618</v>
      </c>
      <c r="T3627">
        <v>366.41500000000002</v>
      </c>
      <c r="U3627">
        <v>9</v>
      </c>
      <c r="V3627">
        <v>2022</v>
      </c>
      <c r="W3627">
        <v>3</v>
      </c>
      <c r="X3627" t="s">
        <v>9898</v>
      </c>
      <c r="Y3627" t="s">
        <v>9902</v>
      </c>
      <c r="Z3627" t="s">
        <v>9899</v>
      </c>
      <c r="AD3627">
        <f t="shared" si="113"/>
        <v>3</v>
      </c>
    </row>
    <row r="3628" spans="1:30" x14ac:dyDescent="0.25">
      <c r="A3628" t="s">
        <v>3652</v>
      </c>
      <c r="B3628" s="2">
        <v>45363</v>
      </c>
      <c r="C3628" s="2">
        <v>45367</v>
      </c>
      <c r="D3628" t="s">
        <v>5356</v>
      </c>
      <c r="E3628" t="s">
        <v>5856</v>
      </c>
      <c r="F3628" t="s">
        <v>6027</v>
      </c>
      <c r="G3628" t="s">
        <v>6031</v>
      </c>
      <c r="H3628" t="s">
        <v>6040</v>
      </c>
      <c r="I3628" t="s">
        <v>6050</v>
      </c>
      <c r="J3628" t="s">
        <v>6054</v>
      </c>
      <c r="K3628" t="s">
        <v>6059</v>
      </c>
      <c r="L3628" t="s">
        <v>9038</v>
      </c>
      <c r="M3628">
        <v>1218.0999999999999</v>
      </c>
      <c r="N3628">
        <v>5</v>
      </c>
      <c r="O3628">
        <v>0.31</v>
      </c>
      <c r="P3628">
        <v>-59.75</v>
      </c>
      <c r="Q3628" t="s">
        <v>9894</v>
      </c>
      <c r="R3628">
        <v>4</v>
      </c>
      <c r="S3628" s="5">
        <f t="shared" si="112"/>
        <v>-4.9051801986700602E-2</v>
      </c>
      <c r="T3628">
        <v>243.62</v>
      </c>
      <c r="U3628">
        <v>3</v>
      </c>
      <c r="V3628">
        <v>2024</v>
      </c>
      <c r="W3628">
        <v>1</v>
      </c>
      <c r="X3628" t="s">
        <v>9898</v>
      </c>
      <c r="Y3628" t="s">
        <v>9902</v>
      </c>
      <c r="Z3628" t="s">
        <v>9898</v>
      </c>
      <c r="AD3628">
        <f t="shared" si="113"/>
        <v>4</v>
      </c>
    </row>
    <row r="3629" spans="1:30" x14ac:dyDescent="0.25">
      <c r="A3629" t="s">
        <v>3653</v>
      </c>
      <c r="B3629" s="2">
        <v>44925</v>
      </c>
      <c r="C3629" s="2">
        <v>44929</v>
      </c>
      <c r="D3629" t="s">
        <v>5428</v>
      </c>
      <c r="E3629" t="s">
        <v>5928</v>
      </c>
      <c r="F3629" t="s">
        <v>6026</v>
      </c>
      <c r="G3629" t="s">
        <v>6029</v>
      </c>
      <c r="H3629" t="s">
        <v>6044</v>
      </c>
      <c r="I3629" t="s">
        <v>6050</v>
      </c>
      <c r="J3629" t="s">
        <v>6054</v>
      </c>
      <c r="K3629" t="s">
        <v>6059</v>
      </c>
      <c r="L3629" t="s">
        <v>9039</v>
      </c>
      <c r="M3629">
        <v>434.98</v>
      </c>
      <c r="N3629">
        <v>2</v>
      </c>
      <c r="O3629">
        <v>0.02</v>
      </c>
      <c r="P3629">
        <v>79.45</v>
      </c>
      <c r="Q3629" t="s">
        <v>9896</v>
      </c>
      <c r="R3629">
        <v>4</v>
      </c>
      <c r="S3629" s="5">
        <f t="shared" si="112"/>
        <v>0.18265207595751529</v>
      </c>
      <c r="T3629">
        <v>217.49</v>
      </c>
      <c r="U3629">
        <v>12</v>
      </c>
      <c r="V3629">
        <v>2022</v>
      </c>
      <c r="W3629">
        <v>4</v>
      </c>
      <c r="X3629" t="s">
        <v>9899</v>
      </c>
      <c r="Y3629" t="s">
        <v>9901</v>
      </c>
      <c r="Z3629" t="s">
        <v>9899</v>
      </c>
      <c r="AD3629">
        <f t="shared" si="113"/>
        <v>4</v>
      </c>
    </row>
    <row r="3630" spans="1:30" x14ac:dyDescent="0.25">
      <c r="A3630" t="s">
        <v>3654</v>
      </c>
      <c r="B3630" s="2">
        <v>44824</v>
      </c>
      <c r="C3630" s="2">
        <v>44828</v>
      </c>
      <c r="D3630" t="s">
        <v>5149</v>
      </c>
      <c r="E3630" t="s">
        <v>5649</v>
      </c>
      <c r="F3630" t="s">
        <v>6027</v>
      </c>
      <c r="G3630" t="s">
        <v>6031</v>
      </c>
      <c r="H3630" t="s">
        <v>6042</v>
      </c>
      <c r="I3630" t="s">
        <v>6052</v>
      </c>
      <c r="J3630" t="s">
        <v>6054</v>
      </c>
      <c r="K3630" t="s">
        <v>6062</v>
      </c>
      <c r="L3630" t="s">
        <v>9040</v>
      </c>
      <c r="M3630">
        <v>1324.2</v>
      </c>
      <c r="N3630">
        <v>3</v>
      </c>
      <c r="O3630">
        <v>0.02</v>
      </c>
      <c r="P3630">
        <v>130.72999999999999</v>
      </c>
      <c r="Q3630" t="s">
        <v>9896</v>
      </c>
      <c r="R3630">
        <v>4</v>
      </c>
      <c r="S3630" s="5">
        <f t="shared" si="112"/>
        <v>9.8723757740522569E-2</v>
      </c>
      <c r="T3630">
        <v>441.4</v>
      </c>
      <c r="U3630">
        <v>9</v>
      </c>
      <c r="V3630">
        <v>2022</v>
      </c>
      <c r="W3630">
        <v>3</v>
      </c>
      <c r="X3630" t="s">
        <v>9899</v>
      </c>
      <c r="Y3630" t="s">
        <v>9901</v>
      </c>
      <c r="Z3630" t="s">
        <v>9898</v>
      </c>
      <c r="AD3630">
        <f t="shared" si="113"/>
        <v>4</v>
      </c>
    </row>
    <row r="3631" spans="1:30" x14ac:dyDescent="0.25">
      <c r="A3631" t="s">
        <v>3655</v>
      </c>
      <c r="B3631" s="2">
        <v>44854</v>
      </c>
      <c r="C3631" s="2">
        <v>44858</v>
      </c>
      <c r="D3631" t="s">
        <v>5037</v>
      </c>
      <c r="E3631" t="s">
        <v>5537</v>
      </c>
      <c r="F3631" t="s">
        <v>6026</v>
      </c>
      <c r="G3631" t="s">
        <v>6030</v>
      </c>
      <c r="H3631" t="s">
        <v>6038</v>
      </c>
      <c r="I3631" t="s">
        <v>6051</v>
      </c>
      <c r="J3631" t="s">
        <v>6054</v>
      </c>
      <c r="K3631" t="s">
        <v>6060</v>
      </c>
      <c r="L3631" t="s">
        <v>7479</v>
      </c>
      <c r="M3631">
        <v>1827.58</v>
      </c>
      <c r="N3631">
        <v>5</v>
      </c>
      <c r="O3631">
        <v>0.13</v>
      </c>
      <c r="P3631">
        <v>40.729999999999997</v>
      </c>
      <c r="Q3631" t="s">
        <v>9894</v>
      </c>
      <c r="R3631">
        <v>4</v>
      </c>
      <c r="S3631" s="5">
        <f t="shared" si="112"/>
        <v>2.2286302104422239E-2</v>
      </c>
      <c r="T3631">
        <v>365.51600000000002</v>
      </c>
      <c r="U3631">
        <v>10</v>
      </c>
      <c r="V3631">
        <v>2022</v>
      </c>
      <c r="W3631">
        <v>4</v>
      </c>
      <c r="X3631" t="s">
        <v>9899</v>
      </c>
      <c r="Y3631" t="s">
        <v>9901</v>
      </c>
      <c r="Z3631" t="s">
        <v>9898</v>
      </c>
      <c r="AD3631">
        <f t="shared" si="113"/>
        <v>4</v>
      </c>
    </row>
    <row r="3632" spans="1:30" x14ac:dyDescent="0.25">
      <c r="A3632" t="s">
        <v>3656</v>
      </c>
      <c r="B3632" s="2">
        <v>45250</v>
      </c>
      <c r="C3632" s="2">
        <v>45257</v>
      </c>
      <c r="D3632" t="s">
        <v>5089</v>
      </c>
      <c r="E3632" t="s">
        <v>5589</v>
      </c>
      <c r="F3632" t="s">
        <v>6026</v>
      </c>
      <c r="G3632" t="s">
        <v>6030</v>
      </c>
      <c r="H3632" t="s">
        <v>6038</v>
      </c>
      <c r="I3632" t="s">
        <v>6051</v>
      </c>
      <c r="J3632" t="s">
        <v>6054</v>
      </c>
      <c r="K3632" t="s">
        <v>6059</v>
      </c>
      <c r="L3632" t="s">
        <v>9041</v>
      </c>
      <c r="M3632">
        <v>1742.52</v>
      </c>
      <c r="N3632">
        <v>3</v>
      </c>
      <c r="O3632">
        <v>0.32</v>
      </c>
      <c r="P3632">
        <v>-181.38</v>
      </c>
      <c r="Q3632" t="s">
        <v>9896</v>
      </c>
      <c r="R3632">
        <v>7</v>
      </c>
      <c r="S3632" s="5">
        <f t="shared" si="112"/>
        <v>-0.10409062736726121</v>
      </c>
      <c r="T3632">
        <v>580.84</v>
      </c>
      <c r="U3632">
        <v>11</v>
      </c>
      <c r="V3632">
        <v>2023</v>
      </c>
      <c r="W3632">
        <v>4</v>
      </c>
      <c r="X3632" t="s">
        <v>9898</v>
      </c>
      <c r="Y3632" t="s">
        <v>9902</v>
      </c>
      <c r="Z3632" t="s">
        <v>9898</v>
      </c>
      <c r="AD3632">
        <f t="shared" si="113"/>
        <v>7</v>
      </c>
    </row>
    <row r="3633" spans="1:30" x14ac:dyDescent="0.25">
      <c r="A3633" t="s">
        <v>3657</v>
      </c>
      <c r="B3633" s="2">
        <v>44855</v>
      </c>
      <c r="C3633" s="2">
        <v>44856</v>
      </c>
      <c r="D3633" t="s">
        <v>5076</v>
      </c>
      <c r="E3633" t="s">
        <v>5576</v>
      </c>
      <c r="F3633" t="s">
        <v>6026</v>
      </c>
      <c r="G3633" t="s">
        <v>6030</v>
      </c>
      <c r="H3633" t="s">
        <v>6039</v>
      </c>
      <c r="I3633" t="s">
        <v>6051</v>
      </c>
      <c r="J3633" t="s">
        <v>6053</v>
      </c>
      <c r="K3633" t="s">
        <v>6058</v>
      </c>
      <c r="L3633" t="s">
        <v>9042</v>
      </c>
      <c r="M3633">
        <v>501.62</v>
      </c>
      <c r="N3633">
        <v>2</v>
      </c>
      <c r="O3633">
        <v>0.26</v>
      </c>
      <c r="P3633">
        <v>-38.36</v>
      </c>
      <c r="Q3633" t="s">
        <v>9895</v>
      </c>
      <c r="R3633">
        <v>1</v>
      </c>
      <c r="S3633" s="5">
        <f t="shared" si="112"/>
        <v>-7.6472229974881387E-2</v>
      </c>
      <c r="T3633">
        <v>250.81</v>
      </c>
      <c r="U3633">
        <v>10</v>
      </c>
      <c r="V3633">
        <v>2022</v>
      </c>
      <c r="W3633">
        <v>4</v>
      </c>
      <c r="X3633" t="s">
        <v>9898</v>
      </c>
      <c r="Y3633" t="s">
        <v>9900</v>
      </c>
      <c r="Z3633" t="s">
        <v>9899</v>
      </c>
      <c r="AD3633">
        <f t="shared" si="113"/>
        <v>1</v>
      </c>
    </row>
    <row r="3634" spans="1:30" x14ac:dyDescent="0.25">
      <c r="A3634" t="s">
        <v>3658</v>
      </c>
      <c r="B3634" s="2">
        <v>45462</v>
      </c>
      <c r="C3634" s="2">
        <v>45467</v>
      </c>
      <c r="D3634" t="s">
        <v>5054</v>
      </c>
      <c r="E3634" t="s">
        <v>5554</v>
      </c>
      <c r="F3634" t="s">
        <v>6028</v>
      </c>
      <c r="G3634" t="s">
        <v>6030</v>
      </c>
      <c r="H3634" t="s">
        <v>6039</v>
      </c>
      <c r="I3634" t="s">
        <v>6051</v>
      </c>
      <c r="J3634" t="s">
        <v>6054</v>
      </c>
      <c r="K3634" t="s">
        <v>6059</v>
      </c>
      <c r="L3634" t="s">
        <v>7226</v>
      </c>
      <c r="M3634">
        <v>381.79</v>
      </c>
      <c r="N3634">
        <v>2</v>
      </c>
      <c r="O3634">
        <v>0.15</v>
      </c>
      <c r="P3634">
        <v>19.149999999999999</v>
      </c>
      <c r="Q3634" t="s">
        <v>9895</v>
      </c>
      <c r="R3634">
        <v>5</v>
      </c>
      <c r="S3634" s="5">
        <f t="shared" si="112"/>
        <v>5.015846407711045E-2</v>
      </c>
      <c r="T3634">
        <v>190.89500000000001</v>
      </c>
      <c r="U3634">
        <v>6</v>
      </c>
      <c r="V3634">
        <v>2024</v>
      </c>
      <c r="W3634">
        <v>2</v>
      </c>
      <c r="X3634" t="s">
        <v>9899</v>
      </c>
      <c r="Y3634" t="s">
        <v>9901</v>
      </c>
      <c r="Z3634" t="s">
        <v>9899</v>
      </c>
      <c r="AD3634">
        <f t="shared" si="113"/>
        <v>5</v>
      </c>
    </row>
    <row r="3635" spans="1:30" x14ac:dyDescent="0.25">
      <c r="A3635" t="s">
        <v>3659</v>
      </c>
      <c r="B3635" s="2">
        <v>44572</v>
      </c>
      <c r="C3635" s="2">
        <v>44576</v>
      </c>
      <c r="D3635" t="s">
        <v>5510</v>
      </c>
      <c r="E3635" t="s">
        <v>6010</v>
      </c>
      <c r="F3635" t="s">
        <v>6028</v>
      </c>
      <c r="G3635" t="s">
        <v>6029</v>
      </c>
      <c r="H3635" t="s">
        <v>6036</v>
      </c>
      <c r="I3635" t="s">
        <v>6046</v>
      </c>
      <c r="J3635" t="s">
        <v>6054</v>
      </c>
      <c r="K3635" t="s">
        <v>6062</v>
      </c>
      <c r="L3635" t="s">
        <v>9043</v>
      </c>
      <c r="M3635">
        <v>270.39999999999998</v>
      </c>
      <c r="N3635">
        <v>2</v>
      </c>
      <c r="O3635">
        <v>0.1</v>
      </c>
      <c r="P3635">
        <v>16.32</v>
      </c>
      <c r="Q3635" t="s">
        <v>9895</v>
      </c>
      <c r="R3635">
        <v>4</v>
      </c>
      <c r="S3635" s="5">
        <f t="shared" si="112"/>
        <v>6.0355029585798824E-2</v>
      </c>
      <c r="T3635">
        <v>135.19999999999999</v>
      </c>
      <c r="U3635">
        <v>1</v>
      </c>
      <c r="V3635">
        <v>2022</v>
      </c>
      <c r="W3635">
        <v>1</v>
      </c>
      <c r="X3635" t="s">
        <v>9899</v>
      </c>
      <c r="Y3635" t="s">
        <v>9901</v>
      </c>
      <c r="Z3635" t="s">
        <v>9899</v>
      </c>
      <c r="AD3635">
        <f t="shared" si="113"/>
        <v>4</v>
      </c>
    </row>
    <row r="3636" spans="1:30" x14ac:dyDescent="0.25">
      <c r="A3636" t="s">
        <v>3660</v>
      </c>
      <c r="B3636" s="2">
        <v>45426</v>
      </c>
      <c r="C3636" s="2">
        <v>45428</v>
      </c>
      <c r="D3636" t="s">
        <v>5227</v>
      </c>
      <c r="E3636" t="s">
        <v>5727</v>
      </c>
      <c r="F3636" t="s">
        <v>6028</v>
      </c>
      <c r="G3636" t="s">
        <v>6029</v>
      </c>
      <c r="H3636" t="s">
        <v>6044</v>
      </c>
      <c r="I3636" t="s">
        <v>6046</v>
      </c>
      <c r="J3636" t="s">
        <v>6054</v>
      </c>
      <c r="K3636" t="s">
        <v>6059</v>
      </c>
      <c r="L3636" t="s">
        <v>9044</v>
      </c>
      <c r="M3636">
        <v>1799.25</v>
      </c>
      <c r="N3636">
        <v>8</v>
      </c>
      <c r="O3636">
        <v>0.11</v>
      </c>
      <c r="P3636">
        <v>255.57</v>
      </c>
      <c r="Q3636" t="s">
        <v>9894</v>
      </c>
      <c r="R3636">
        <v>2</v>
      </c>
      <c r="S3636" s="5">
        <f t="shared" si="112"/>
        <v>0.14204251771571488</v>
      </c>
      <c r="T3636">
        <v>224.90625</v>
      </c>
      <c r="U3636">
        <v>5</v>
      </c>
      <c r="V3636">
        <v>2024</v>
      </c>
      <c r="W3636">
        <v>2</v>
      </c>
      <c r="X3636" t="s">
        <v>9899</v>
      </c>
      <c r="Y3636" t="s">
        <v>9901</v>
      </c>
      <c r="Z3636" t="s">
        <v>9898</v>
      </c>
      <c r="AD3636">
        <f t="shared" si="113"/>
        <v>2</v>
      </c>
    </row>
    <row r="3637" spans="1:30" x14ac:dyDescent="0.25">
      <c r="A3637" t="s">
        <v>3661</v>
      </c>
      <c r="B3637" s="2">
        <v>45421</v>
      </c>
      <c r="C3637" s="2">
        <v>45423</v>
      </c>
      <c r="D3637" t="s">
        <v>5242</v>
      </c>
      <c r="E3637" t="s">
        <v>5742</v>
      </c>
      <c r="F3637" t="s">
        <v>6028</v>
      </c>
      <c r="G3637" t="s">
        <v>6031</v>
      </c>
      <c r="H3637" t="s">
        <v>6040</v>
      </c>
      <c r="I3637" t="s">
        <v>6052</v>
      </c>
      <c r="J3637" t="s">
        <v>6055</v>
      </c>
      <c r="K3637" t="s">
        <v>6063</v>
      </c>
      <c r="L3637" t="s">
        <v>9045</v>
      </c>
      <c r="M3637">
        <v>1762.29</v>
      </c>
      <c r="N3637">
        <v>1</v>
      </c>
      <c r="O3637">
        <v>0.06</v>
      </c>
      <c r="P3637">
        <v>277.42</v>
      </c>
      <c r="Q3637" t="s">
        <v>9893</v>
      </c>
      <c r="R3637">
        <v>2</v>
      </c>
      <c r="S3637" s="5">
        <f t="shared" si="112"/>
        <v>0.15742017488608573</v>
      </c>
      <c r="T3637">
        <v>1762.29</v>
      </c>
      <c r="U3637">
        <v>5</v>
      </c>
      <c r="V3637">
        <v>2024</v>
      </c>
      <c r="W3637">
        <v>2</v>
      </c>
      <c r="X3637" t="s">
        <v>9899</v>
      </c>
      <c r="Y3637" t="s">
        <v>9901</v>
      </c>
      <c r="Z3637" t="s">
        <v>9898</v>
      </c>
      <c r="AD3637">
        <f t="shared" si="113"/>
        <v>2</v>
      </c>
    </row>
    <row r="3638" spans="1:30" x14ac:dyDescent="0.25">
      <c r="A3638" t="s">
        <v>3662</v>
      </c>
      <c r="B3638" s="2">
        <v>45076</v>
      </c>
      <c r="C3638" s="2">
        <v>45077</v>
      </c>
      <c r="D3638" t="s">
        <v>5338</v>
      </c>
      <c r="E3638" t="s">
        <v>5838</v>
      </c>
      <c r="F3638" t="s">
        <v>6026</v>
      </c>
      <c r="G3638" t="s">
        <v>6031</v>
      </c>
      <c r="H3638" t="s">
        <v>6034</v>
      </c>
      <c r="I3638" t="s">
        <v>6052</v>
      </c>
      <c r="J3638" t="s">
        <v>6055</v>
      </c>
      <c r="K3638" t="s">
        <v>6061</v>
      </c>
      <c r="L3638" t="s">
        <v>7073</v>
      </c>
      <c r="M3638">
        <v>1582.63</v>
      </c>
      <c r="N3638">
        <v>7</v>
      </c>
      <c r="O3638">
        <v>0.28000000000000003</v>
      </c>
      <c r="P3638">
        <v>-117.35</v>
      </c>
      <c r="Q3638" t="s">
        <v>9894</v>
      </c>
      <c r="R3638">
        <v>1</v>
      </c>
      <c r="S3638" s="5">
        <f t="shared" si="112"/>
        <v>-7.4148727118783286E-2</v>
      </c>
      <c r="T3638">
        <v>226.09</v>
      </c>
      <c r="U3638">
        <v>5</v>
      </c>
      <c r="V3638">
        <v>2023</v>
      </c>
      <c r="W3638">
        <v>2</v>
      </c>
      <c r="X3638" t="s">
        <v>9898</v>
      </c>
      <c r="Y3638" t="s">
        <v>9900</v>
      </c>
      <c r="Z3638" t="s">
        <v>9898</v>
      </c>
      <c r="AD3638">
        <f t="shared" si="113"/>
        <v>1</v>
      </c>
    </row>
    <row r="3639" spans="1:30" x14ac:dyDescent="0.25">
      <c r="A3639" t="s">
        <v>3663</v>
      </c>
      <c r="B3639" s="2">
        <v>44597</v>
      </c>
      <c r="C3639" s="2">
        <v>44600</v>
      </c>
      <c r="D3639" t="s">
        <v>5268</v>
      </c>
      <c r="E3639" t="s">
        <v>5768</v>
      </c>
      <c r="F3639" t="s">
        <v>6026</v>
      </c>
      <c r="G3639" t="s">
        <v>6031</v>
      </c>
      <c r="H3639" t="s">
        <v>6040</v>
      </c>
      <c r="I3639" t="s">
        <v>6050</v>
      </c>
      <c r="J3639" t="s">
        <v>6055</v>
      </c>
      <c r="K3639" t="s">
        <v>6061</v>
      </c>
      <c r="L3639" t="s">
        <v>9046</v>
      </c>
      <c r="M3639">
        <v>177.79</v>
      </c>
      <c r="N3639">
        <v>6</v>
      </c>
      <c r="O3639">
        <v>0.03</v>
      </c>
      <c r="P3639">
        <v>21.09</v>
      </c>
      <c r="Q3639" t="s">
        <v>9896</v>
      </c>
      <c r="R3639">
        <v>3</v>
      </c>
      <c r="S3639" s="5">
        <f t="shared" si="112"/>
        <v>0.11862309466224198</v>
      </c>
      <c r="T3639">
        <v>29.631666666666661</v>
      </c>
      <c r="U3639">
        <v>2</v>
      </c>
      <c r="V3639">
        <v>2022</v>
      </c>
      <c r="W3639">
        <v>1</v>
      </c>
      <c r="X3639" t="s">
        <v>9899</v>
      </c>
      <c r="Y3639" t="s">
        <v>9901</v>
      </c>
      <c r="Z3639" t="s">
        <v>9899</v>
      </c>
      <c r="AD3639">
        <f t="shared" si="113"/>
        <v>3</v>
      </c>
    </row>
    <row r="3640" spans="1:30" x14ac:dyDescent="0.25">
      <c r="A3640" t="s">
        <v>3664</v>
      </c>
      <c r="B3640" s="2">
        <v>45237</v>
      </c>
      <c r="C3640" s="2">
        <v>45239</v>
      </c>
      <c r="D3640" t="s">
        <v>5231</v>
      </c>
      <c r="E3640" t="s">
        <v>5731</v>
      </c>
      <c r="F3640" t="s">
        <v>6028</v>
      </c>
      <c r="G3640" t="s">
        <v>6031</v>
      </c>
      <c r="H3640" t="s">
        <v>6043</v>
      </c>
      <c r="I3640" t="s">
        <v>6048</v>
      </c>
      <c r="J3640" t="s">
        <v>6054</v>
      </c>
      <c r="K3640" t="s">
        <v>6062</v>
      </c>
      <c r="L3640" t="s">
        <v>6356</v>
      </c>
      <c r="M3640">
        <v>973.36</v>
      </c>
      <c r="N3640">
        <v>6</v>
      </c>
      <c r="O3640">
        <v>0.18</v>
      </c>
      <c r="P3640">
        <v>58.76</v>
      </c>
      <c r="Q3640" t="s">
        <v>9896</v>
      </c>
      <c r="R3640">
        <v>2</v>
      </c>
      <c r="S3640" s="5">
        <f t="shared" si="112"/>
        <v>6.0368209090161912E-2</v>
      </c>
      <c r="T3640">
        <v>162.22666666666669</v>
      </c>
      <c r="U3640">
        <v>11</v>
      </c>
      <c r="V3640">
        <v>2023</v>
      </c>
      <c r="W3640">
        <v>4</v>
      </c>
      <c r="X3640" t="s">
        <v>9899</v>
      </c>
      <c r="Y3640" t="s">
        <v>9900</v>
      </c>
      <c r="Z3640" t="s">
        <v>9899</v>
      </c>
      <c r="AD3640">
        <f t="shared" si="113"/>
        <v>2</v>
      </c>
    </row>
    <row r="3641" spans="1:30" x14ac:dyDescent="0.25">
      <c r="A3641" t="s">
        <v>3665</v>
      </c>
      <c r="B3641" s="2">
        <v>45347</v>
      </c>
      <c r="C3641" s="2">
        <v>45351</v>
      </c>
      <c r="D3641" t="s">
        <v>5390</v>
      </c>
      <c r="E3641" t="s">
        <v>5890</v>
      </c>
      <c r="F3641" t="s">
        <v>6026</v>
      </c>
      <c r="G3641" t="s">
        <v>6030</v>
      </c>
      <c r="H3641" t="s">
        <v>6038</v>
      </c>
      <c r="I3641" t="s">
        <v>6047</v>
      </c>
      <c r="J3641" t="s">
        <v>6054</v>
      </c>
      <c r="K3641" t="s">
        <v>6062</v>
      </c>
      <c r="L3641" t="s">
        <v>9047</v>
      </c>
      <c r="M3641">
        <v>1097.21</v>
      </c>
      <c r="N3641">
        <v>6</v>
      </c>
      <c r="O3641">
        <v>0.06</v>
      </c>
      <c r="P3641">
        <v>85.54</v>
      </c>
      <c r="Q3641" t="s">
        <v>9893</v>
      </c>
      <c r="R3641">
        <v>4</v>
      </c>
      <c r="S3641" s="5">
        <f t="shared" si="112"/>
        <v>7.7961374759617577E-2</v>
      </c>
      <c r="T3641">
        <v>182.86833333333331</v>
      </c>
      <c r="U3641">
        <v>2</v>
      </c>
      <c r="V3641">
        <v>2024</v>
      </c>
      <c r="W3641">
        <v>1</v>
      </c>
      <c r="X3641" t="s">
        <v>9899</v>
      </c>
      <c r="Y3641" t="s">
        <v>9901</v>
      </c>
      <c r="Z3641" t="s">
        <v>9898</v>
      </c>
      <c r="AD3641">
        <f t="shared" si="113"/>
        <v>4</v>
      </c>
    </row>
    <row r="3642" spans="1:30" x14ac:dyDescent="0.25">
      <c r="A3642" t="s">
        <v>3666</v>
      </c>
      <c r="B3642" s="2">
        <v>45218</v>
      </c>
      <c r="C3642" s="2">
        <v>45225</v>
      </c>
      <c r="D3642" t="s">
        <v>5219</v>
      </c>
      <c r="E3642" t="s">
        <v>5719</v>
      </c>
      <c r="F3642" t="s">
        <v>6028</v>
      </c>
      <c r="G3642" t="s">
        <v>6030</v>
      </c>
      <c r="H3642" t="s">
        <v>6039</v>
      </c>
      <c r="I3642" t="s">
        <v>6047</v>
      </c>
      <c r="J3642" t="s">
        <v>6054</v>
      </c>
      <c r="K3642" t="s">
        <v>6059</v>
      </c>
      <c r="L3642" t="s">
        <v>9048</v>
      </c>
      <c r="M3642">
        <v>1784.33</v>
      </c>
      <c r="N3642">
        <v>8</v>
      </c>
      <c r="O3642">
        <v>0.26</v>
      </c>
      <c r="P3642">
        <v>51.74</v>
      </c>
      <c r="Q3642" t="s">
        <v>9894</v>
      </c>
      <c r="R3642">
        <v>7</v>
      </c>
      <c r="S3642" s="5">
        <f t="shared" si="112"/>
        <v>2.8996878380120272E-2</v>
      </c>
      <c r="T3642">
        <v>223.04124999999999</v>
      </c>
      <c r="U3642">
        <v>10</v>
      </c>
      <c r="V3642">
        <v>2023</v>
      </c>
      <c r="W3642">
        <v>4</v>
      </c>
      <c r="X3642" t="s">
        <v>9899</v>
      </c>
      <c r="Y3642" t="s">
        <v>9900</v>
      </c>
      <c r="Z3642" t="s">
        <v>9898</v>
      </c>
      <c r="AD3642">
        <f t="shared" si="113"/>
        <v>7</v>
      </c>
    </row>
    <row r="3643" spans="1:30" x14ac:dyDescent="0.25">
      <c r="A3643" t="s">
        <v>3667</v>
      </c>
      <c r="B3643" s="2">
        <v>44829</v>
      </c>
      <c r="C3643" s="2">
        <v>44833</v>
      </c>
      <c r="D3643" t="s">
        <v>5519</v>
      </c>
      <c r="E3643" t="s">
        <v>6019</v>
      </c>
      <c r="F3643" t="s">
        <v>6027</v>
      </c>
      <c r="G3643" t="s">
        <v>6030</v>
      </c>
      <c r="H3643" t="s">
        <v>6035</v>
      </c>
      <c r="I3643" t="s">
        <v>6051</v>
      </c>
      <c r="J3643" t="s">
        <v>6055</v>
      </c>
      <c r="K3643" t="s">
        <v>6061</v>
      </c>
      <c r="L3643" t="s">
        <v>6638</v>
      </c>
      <c r="M3643">
        <v>928.83</v>
      </c>
      <c r="N3643">
        <v>8</v>
      </c>
      <c r="O3643">
        <v>0.18</v>
      </c>
      <c r="P3643">
        <v>43.83</v>
      </c>
      <c r="Q3643" t="s">
        <v>9894</v>
      </c>
      <c r="R3643">
        <v>4</v>
      </c>
      <c r="S3643" s="5">
        <f t="shared" si="112"/>
        <v>4.7188398307548202E-2</v>
      </c>
      <c r="T3643">
        <v>116.10375000000001</v>
      </c>
      <c r="U3643">
        <v>9</v>
      </c>
      <c r="V3643">
        <v>2022</v>
      </c>
      <c r="W3643">
        <v>3</v>
      </c>
      <c r="X3643" t="s">
        <v>9899</v>
      </c>
      <c r="Y3643" t="s">
        <v>9900</v>
      </c>
      <c r="Z3643" t="s">
        <v>9899</v>
      </c>
      <c r="AD3643">
        <f t="shared" si="113"/>
        <v>4</v>
      </c>
    </row>
    <row r="3644" spans="1:30" x14ac:dyDescent="0.25">
      <c r="A3644" t="s">
        <v>3668</v>
      </c>
      <c r="B3644" s="2">
        <v>44899</v>
      </c>
      <c r="C3644" s="2">
        <v>44900</v>
      </c>
      <c r="D3644" t="s">
        <v>5278</v>
      </c>
      <c r="E3644" t="s">
        <v>5778</v>
      </c>
      <c r="F3644" t="s">
        <v>6026</v>
      </c>
      <c r="G3644" t="s">
        <v>6029</v>
      </c>
      <c r="H3644" t="s">
        <v>6044</v>
      </c>
      <c r="I3644" t="s">
        <v>6046</v>
      </c>
      <c r="J3644" t="s">
        <v>6053</v>
      </c>
      <c r="K3644" t="s">
        <v>6058</v>
      </c>
      <c r="L3644" t="s">
        <v>9049</v>
      </c>
      <c r="M3644">
        <v>228.24</v>
      </c>
      <c r="N3644">
        <v>3</v>
      </c>
      <c r="O3644">
        <v>0.02</v>
      </c>
      <c r="P3644">
        <v>62.86</v>
      </c>
      <c r="Q3644" t="s">
        <v>9894</v>
      </c>
      <c r="R3644">
        <v>1</v>
      </c>
      <c r="S3644" s="5">
        <f t="shared" si="112"/>
        <v>0.27541184717840866</v>
      </c>
      <c r="T3644">
        <v>76.08</v>
      </c>
      <c r="U3644">
        <v>12</v>
      </c>
      <c r="V3644">
        <v>2022</v>
      </c>
      <c r="W3644">
        <v>4</v>
      </c>
      <c r="X3644" t="s">
        <v>9899</v>
      </c>
      <c r="Y3644" t="s">
        <v>9901</v>
      </c>
      <c r="Z3644" t="s">
        <v>9899</v>
      </c>
      <c r="AD3644">
        <f t="shared" si="113"/>
        <v>1</v>
      </c>
    </row>
    <row r="3645" spans="1:30" x14ac:dyDescent="0.25">
      <c r="A3645" t="s">
        <v>3669</v>
      </c>
      <c r="B3645" s="2">
        <v>44712</v>
      </c>
      <c r="C3645" s="2">
        <v>44717</v>
      </c>
      <c r="D3645" t="s">
        <v>5369</v>
      </c>
      <c r="E3645" t="s">
        <v>5869</v>
      </c>
      <c r="F3645" t="s">
        <v>6027</v>
      </c>
      <c r="G3645" t="s">
        <v>6030</v>
      </c>
      <c r="H3645" t="s">
        <v>6033</v>
      </c>
      <c r="I3645" t="s">
        <v>6047</v>
      </c>
      <c r="J3645" t="s">
        <v>6054</v>
      </c>
      <c r="K3645" t="s">
        <v>6060</v>
      </c>
      <c r="L3645" t="s">
        <v>9050</v>
      </c>
      <c r="M3645">
        <v>1178.56</v>
      </c>
      <c r="N3645">
        <v>8</v>
      </c>
      <c r="O3645">
        <v>0.17</v>
      </c>
      <c r="P3645">
        <v>11.69</v>
      </c>
      <c r="Q3645" t="s">
        <v>9896</v>
      </c>
      <c r="R3645">
        <v>5</v>
      </c>
      <c r="S3645" s="5">
        <f t="shared" si="112"/>
        <v>9.9188840619060543E-3</v>
      </c>
      <c r="T3645">
        <v>147.32</v>
      </c>
      <c r="U3645">
        <v>5</v>
      </c>
      <c r="V3645">
        <v>2022</v>
      </c>
      <c r="W3645">
        <v>2</v>
      </c>
      <c r="X3645" t="s">
        <v>9899</v>
      </c>
      <c r="Y3645" t="s">
        <v>9900</v>
      </c>
      <c r="Z3645" t="s">
        <v>9898</v>
      </c>
      <c r="AD3645">
        <f t="shared" si="113"/>
        <v>5</v>
      </c>
    </row>
    <row r="3646" spans="1:30" x14ac:dyDescent="0.25">
      <c r="A3646" t="s">
        <v>3670</v>
      </c>
      <c r="B3646" s="2">
        <v>45236</v>
      </c>
      <c r="C3646" s="2">
        <v>45243</v>
      </c>
      <c r="D3646" t="s">
        <v>5286</v>
      </c>
      <c r="E3646" t="s">
        <v>5786</v>
      </c>
      <c r="F3646" t="s">
        <v>6028</v>
      </c>
      <c r="G3646" t="s">
        <v>6030</v>
      </c>
      <c r="H3646" t="s">
        <v>6035</v>
      </c>
      <c r="I3646" t="s">
        <v>6047</v>
      </c>
      <c r="J3646" t="s">
        <v>6053</v>
      </c>
      <c r="K3646" t="s">
        <v>6058</v>
      </c>
      <c r="L3646" t="s">
        <v>9051</v>
      </c>
      <c r="M3646">
        <v>1129.0999999999999</v>
      </c>
      <c r="N3646">
        <v>8</v>
      </c>
      <c r="O3646">
        <v>0.04</v>
      </c>
      <c r="P3646">
        <v>258.04000000000002</v>
      </c>
      <c r="Q3646" t="s">
        <v>9896</v>
      </c>
      <c r="R3646">
        <v>7</v>
      </c>
      <c r="S3646" s="5">
        <f t="shared" si="112"/>
        <v>0.22853600212558678</v>
      </c>
      <c r="T3646">
        <v>141.13749999999999</v>
      </c>
      <c r="U3646">
        <v>11</v>
      </c>
      <c r="V3646">
        <v>2023</v>
      </c>
      <c r="W3646">
        <v>4</v>
      </c>
      <c r="X3646" t="s">
        <v>9899</v>
      </c>
      <c r="Y3646" t="s">
        <v>9901</v>
      </c>
      <c r="Z3646" t="s">
        <v>9898</v>
      </c>
      <c r="AD3646">
        <f t="shared" si="113"/>
        <v>7</v>
      </c>
    </row>
    <row r="3647" spans="1:30" x14ac:dyDescent="0.25">
      <c r="A3647" t="s">
        <v>3671</v>
      </c>
      <c r="B3647" s="2">
        <v>44577</v>
      </c>
      <c r="C3647" s="2">
        <v>44580</v>
      </c>
      <c r="D3647" t="s">
        <v>5407</v>
      </c>
      <c r="E3647" t="s">
        <v>5907</v>
      </c>
      <c r="F3647" t="s">
        <v>6026</v>
      </c>
      <c r="G3647" t="s">
        <v>6030</v>
      </c>
      <c r="H3647" t="s">
        <v>6039</v>
      </c>
      <c r="I3647" t="s">
        <v>6047</v>
      </c>
      <c r="J3647" t="s">
        <v>6053</v>
      </c>
      <c r="K3647" t="s">
        <v>6057</v>
      </c>
      <c r="L3647" t="s">
        <v>9052</v>
      </c>
      <c r="M3647">
        <v>712.07</v>
      </c>
      <c r="N3647">
        <v>8</v>
      </c>
      <c r="O3647">
        <v>0.05</v>
      </c>
      <c r="P3647">
        <v>69.59</v>
      </c>
      <c r="Q3647" t="s">
        <v>9895</v>
      </c>
      <c r="R3647">
        <v>3</v>
      </c>
      <c r="S3647" s="5">
        <f t="shared" si="112"/>
        <v>9.7729155841420084E-2</v>
      </c>
      <c r="T3647">
        <v>89.008750000000006</v>
      </c>
      <c r="U3647">
        <v>1</v>
      </c>
      <c r="V3647">
        <v>2022</v>
      </c>
      <c r="W3647">
        <v>1</v>
      </c>
      <c r="X3647" t="s">
        <v>9899</v>
      </c>
      <c r="Y3647" t="s">
        <v>9901</v>
      </c>
      <c r="Z3647" t="s">
        <v>9899</v>
      </c>
      <c r="AD3647">
        <f t="shared" si="113"/>
        <v>3</v>
      </c>
    </row>
    <row r="3648" spans="1:30" x14ac:dyDescent="0.25">
      <c r="A3648" t="s">
        <v>3672</v>
      </c>
      <c r="B3648" s="2">
        <v>45369</v>
      </c>
      <c r="C3648" s="2">
        <v>45372</v>
      </c>
      <c r="D3648" t="s">
        <v>5195</v>
      </c>
      <c r="E3648" t="s">
        <v>5695</v>
      </c>
      <c r="F3648" t="s">
        <v>6026</v>
      </c>
      <c r="G3648" t="s">
        <v>6030</v>
      </c>
      <c r="H3648" t="s">
        <v>6038</v>
      </c>
      <c r="I3648" t="s">
        <v>6051</v>
      </c>
      <c r="J3648" t="s">
        <v>6055</v>
      </c>
      <c r="K3648" t="s">
        <v>6063</v>
      </c>
      <c r="L3648" t="s">
        <v>8388</v>
      </c>
      <c r="M3648">
        <v>905.07</v>
      </c>
      <c r="N3648">
        <v>5</v>
      </c>
      <c r="O3648">
        <v>0.04</v>
      </c>
      <c r="P3648">
        <v>148.86000000000001</v>
      </c>
      <c r="Q3648" t="s">
        <v>9893</v>
      </c>
      <c r="R3648">
        <v>3</v>
      </c>
      <c r="S3648" s="5">
        <f t="shared" si="112"/>
        <v>0.16447346614074049</v>
      </c>
      <c r="T3648">
        <v>181.01400000000001</v>
      </c>
      <c r="U3648">
        <v>3</v>
      </c>
      <c r="V3648">
        <v>2024</v>
      </c>
      <c r="W3648">
        <v>1</v>
      </c>
      <c r="X3648" t="s">
        <v>9899</v>
      </c>
      <c r="Y3648" t="s">
        <v>9901</v>
      </c>
      <c r="Z3648" t="s">
        <v>9899</v>
      </c>
      <c r="AD3648">
        <f t="shared" si="113"/>
        <v>3</v>
      </c>
    </row>
    <row r="3649" spans="1:30" x14ac:dyDescent="0.25">
      <c r="A3649" t="s">
        <v>3673</v>
      </c>
      <c r="B3649" s="2">
        <v>44849</v>
      </c>
      <c r="C3649" s="2">
        <v>44854</v>
      </c>
      <c r="D3649" t="s">
        <v>5048</v>
      </c>
      <c r="E3649" t="s">
        <v>5548</v>
      </c>
      <c r="F3649" t="s">
        <v>6028</v>
      </c>
      <c r="G3649" t="s">
        <v>6031</v>
      </c>
      <c r="H3649" t="s">
        <v>6037</v>
      </c>
      <c r="I3649" t="s">
        <v>6052</v>
      </c>
      <c r="J3649" t="s">
        <v>6053</v>
      </c>
      <c r="K3649" t="s">
        <v>6056</v>
      </c>
      <c r="L3649" t="s">
        <v>6117</v>
      </c>
      <c r="M3649">
        <v>1693.02</v>
      </c>
      <c r="N3649">
        <v>3</v>
      </c>
      <c r="O3649">
        <v>0.23</v>
      </c>
      <c r="P3649">
        <v>-150.55000000000001</v>
      </c>
      <c r="Q3649" t="s">
        <v>9893</v>
      </c>
      <c r="R3649">
        <v>5</v>
      </c>
      <c r="S3649" s="5">
        <f t="shared" si="112"/>
        <v>-8.8923934743830563E-2</v>
      </c>
      <c r="T3649">
        <v>564.34</v>
      </c>
      <c r="U3649">
        <v>10</v>
      </c>
      <c r="V3649">
        <v>2022</v>
      </c>
      <c r="W3649">
        <v>4</v>
      </c>
      <c r="X3649" t="s">
        <v>9898</v>
      </c>
      <c r="Y3649" t="s">
        <v>9900</v>
      </c>
      <c r="Z3649" t="s">
        <v>9898</v>
      </c>
      <c r="AD3649">
        <f t="shared" si="113"/>
        <v>5</v>
      </c>
    </row>
    <row r="3650" spans="1:30" x14ac:dyDescent="0.25">
      <c r="A3650" t="s">
        <v>3674</v>
      </c>
      <c r="B3650" s="2">
        <v>45111</v>
      </c>
      <c r="C3650" s="2">
        <v>45118</v>
      </c>
      <c r="D3650" t="s">
        <v>5314</v>
      </c>
      <c r="E3650" t="s">
        <v>5814</v>
      </c>
      <c r="F3650" t="s">
        <v>6027</v>
      </c>
      <c r="G3650" t="s">
        <v>6029</v>
      </c>
      <c r="H3650" t="s">
        <v>6045</v>
      </c>
      <c r="I3650" t="s">
        <v>6046</v>
      </c>
      <c r="J3650" t="s">
        <v>6054</v>
      </c>
      <c r="K3650" t="s">
        <v>6060</v>
      </c>
      <c r="L3650" t="s">
        <v>8299</v>
      </c>
      <c r="M3650">
        <v>184.98</v>
      </c>
      <c r="N3650">
        <v>3</v>
      </c>
      <c r="O3650">
        <v>0.3</v>
      </c>
      <c r="P3650">
        <v>-13.23</v>
      </c>
      <c r="Q3650" t="s">
        <v>9895</v>
      </c>
      <c r="R3650">
        <v>7</v>
      </c>
      <c r="S3650" s="5">
        <f t="shared" si="112"/>
        <v>-7.1521245540058384E-2</v>
      </c>
      <c r="T3650">
        <v>61.66</v>
      </c>
      <c r="U3650">
        <v>7</v>
      </c>
      <c r="V3650">
        <v>2023</v>
      </c>
      <c r="W3650">
        <v>3</v>
      </c>
      <c r="X3650" t="s">
        <v>9898</v>
      </c>
      <c r="Y3650" t="s">
        <v>9900</v>
      </c>
      <c r="Z3650" t="s">
        <v>9899</v>
      </c>
      <c r="AD3650">
        <f t="shared" si="113"/>
        <v>7</v>
      </c>
    </row>
    <row r="3651" spans="1:30" x14ac:dyDescent="0.25">
      <c r="A3651" t="s">
        <v>3675</v>
      </c>
      <c r="B3651" s="2">
        <v>45107</v>
      </c>
      <c r="C3651" s="2">
        <v>45113</v>
      </c>
      <c r="D3651" t="s">
        <v>5155</v>
      </c>
      <c r="E3651" t="s">
        <v>5655</v>
      </c>
      <c r="F3651" t="s">
        <v>6026</v>
      </c>
      <c r="G3651" t="s">
        <v>6030</v>
      </c>
      <c r="H3651" t="s">
        <v>6038</v>
      </c>
      <c r="I3651" t="s">
        <v>6051</v>
      </c>
      <c r="J3651" t="s">
        <v>6054</v>
      </c>
      <c r="K3651" t="s">
        <v>6060</v>
      </c>
      <c r="L3651" t="s">
        <v>6742</v>
      </c>
      <c r="M3651">
        <v>1949.27</v>
      </c>
      <c r="N3651">
        <v>8</v>
      </c>
      <c r="O3651">
        <v>0.32</v>
      </c>
      <c r="P3651">
        <v>-178.71</v>
      </c>
      <c r="Q3651" t="s">
        <v>9894</v>
      </c>
      <c r="R3651">
        <v>6</v>
      </c>
      <c r="S3651" s="5">
        <f t="shared" ref="S3651:S3714" si="114">P3651/M3651</f>
        <v>-9.1680475254838995E-2</v>
      </c>
      <c r="T3651">
        <v>243.65875</v>
      </c>
      <c r="U3651">
        <v>6</v>
      </c>
      <c r="V3651">
        <v>2023</v>
      </c>
      <c r="W3651">
        <v>2</v>
      </c>
      <c r="X3651" t="s">
        <v>9898</v>
      </c>
      <c r="Y3651" t="s">
        <v>9902</v>
      </c>
      <c r="Z3651" t="s">
        <v>9898</v>
      </c>
      <c r="AD3651">
        <f t="shared" ref="AD3651:AD3714" si="115">C3651-B3651</f>
        <v>6</v>
      </c>
    </row>
    <row r="3652" spans="1:30" x14ac:dyDescent="0.25">
      <c r="A3652" t="s">
        <v>3676</v>
      </c>
      <c r="B3652" s="2">
        <v>45231</v>
      </c>
      <c r="C3652" s="2">
        <v>45232</v>
      </c>
      <c r="D3652" t="s">
        <v>5467</v>
      </c>
      <c r="E3652" t="s">
        <v>5967</v>
      </c>
      <c r="F3652" t="s">
        <v>6026</v>
      </c>
      <c r="G3652" t="s">
        <v>6030</v>
      </c>
      <c r="H3652" t="s">
        <v>6039</v>
      </c>
      <c r="I3652" t="s">
        <v>6051</v>
      </c>
      <c r="J3652" t="s">
        <v>6054</v>
      </c>
      <c r="K3652" t="s">
        <v>6062</v>
      </c>
      <c r="L3652" t="s">
        <v>9053</v>
      </c>
      <c r="M3652">
        <v>1421.12</v>
      </c>
      <c r="N3652">
        <v>3</v>
      </c>
      <c r="O3652">
        <v>0.13</v>
      </c>
      <c r="P3652">
        <v>112.03</v>
      </c>
      <c r="Q3652" t="s">
        <v>9897</v>
      </c>
      <c r="R3652">
        <v>1</v>
      </c>
      <c r="S3652" s="5">
        <f t="shared" si="114"/>
        <v>7.8832188696239591E-2</v>
      </c>
      <c r="T3652">
        <v>473.70666666666659</v>
      </c>
      <c r="U3652">
        <v>11</v>
      </c>
      <c r="V3652">
        <v>2023</v>
      </c>
      <c r="W3652">
        <v>4</v>
      </c>
      <c r="X3652" t="s">
        <v>9899</v>
      </c>
      <c r="Y3652" t="s">
        <v>9901</v>
      </c>
      <c r="Z3652" t="s">
        <v>9898</v>
      </c>
      <c r="AD3652">
        <f t="shared" si="115"/>
        <v>1</v>
      </c>
    </row>
    <row r="3653" spans="1:30" x14ac:dyDescent="0.25">
      <c r="A3653" t="s">
        <v>3677</v>
      </c>
      <c r="B3653" s="2">
        <v>45124</v>
      </c>
      <c r="C3653" s="2">
        <v>45131</v>
      </c>
      <c r="D3653" t="s">
        <v>5110</v>
      </c>
      <c r="E3653" t="s">
        <v>5610</v>
      </c>
      <c r="F3653" t="s">
        <v>6027</v>
      </c>
      <c r="G3653" t="s">
        <v>6029</v>
      </c>
      <c r="H3653" t="s">
        <v>6032</v>
      </c>
      <c r="I3653" t="s">
        <v>6050</v>
      </c>
      <c r="J3653" t="s">
        <v>6053</v>
      </c>
      <c r="K3653" t="s">
        <v>6058</v>
      </c>
      <c r="L3653" t="s">
        <v>9054</v>
      </c>
      <c r="M3653">
        <v>965.81</v>
      </c>
      <c r="N3653">
        <v>3</v>
      </c>
      <c r="O3653">
        <v>0.14000000000000001</v>
      </c>
      <c r="P3653">
        <v>43.16</v>
      </c>
      <c r="Q3653" t="s">
        <v>9896</v>
      </c>
      <c r="R3653">
        <v>7</v>
      </c>
      <c r="S3653" s="5">
        <f t="shared" si="114"/>
        <v>4.4687878568248414E-2</v>
      </c>
      <c r="T3653">
        <v>321.93666666666672</v>
      </c>
      <c r="U3653">
        <v>7</v>
      </c>
      <c r="V3653">
        <v>2023</v>
      </c>
      <c r="W3653">
        <v>3</v>
      </c>
      <c r="X3653" t="s">
        <v>9899</v>
      </c>
      <c r="Y3653" t="s">
        <v>9901</v>
      </c>
      <c r="Z3653" t="s">
        <v>9899</v>
      </c>
      <c r="AD3653">
        <f t="shared" si="115"/>
        <v>7</v>
      </c>
    </row>
    <row r="3654" spans="1:30" x14ac:dyDescent="0.25">
      <c r="A3654" t="s">
        <v>3678</v>
      </c>
      <c r="B3654" s="2">
        <v>44633</v>
      </c>
      <c r="C3654" s="2">
        <v>44640</v>
      </c>
      <c r="D3654" t="s">
        <v>5375</v>
      </c>
      <c r="E3654" t="s">
        <v>5875</v>
      </c>
      <c r="F3654" t="s">
        <v>6027</v>
      </c>
      <c r="G3654" t="s">
        <v>6029</v>
      </c>
      <c r="H3654" t="s">
        <v>6045</v>
      </c>
      <c r="I3654" t="s">
        <v>6046</v>
      </c>
      <c r="J3654" t="s">
        <v>6055</v>
      </c>
      <c r="K3654" t="s">
        <v>6063</v>
      </c>
      <c r="L3654" t="s">
        <v>8484</v>
      </c>
      <c r="M3654">
        <v>111.77</v>
      </c>
      <c r="N3654">
        <v>5</v>
      </c>
      <c r="O3654">
        <v>0.18</v>
      </c>
      <c r="P3654">
        <v>10.09</v>
      </c>
      <c r="Q3654" t="s">
        <v>9897</v>
      </c>
      <c r="R3654">
        <v>7</v>
      </c>
      <c r="S3654" s="5">
        <f t="shared" si="114"/>
        <v>9.0274671199785272E-2</v>
      </c>
      <c r="T3654">
        <v>22.353999999999999</v>
      </c>
      <c r="U3654">
        <v>3</v>
      </c>
      <c r="V3654">
        <v>2022</v>
      </c>
      <c r="W3654">
        <v>1</v>
      </c>
      <c r="X3654" t="s">
        <v>9899</v>
      </c>
      <c r="Y3654" t="s">
        <v>9900</v>
      </c>
      <c r="Z3654" t="s">
        <v>9899</v>
      </c>
      <c r="AD3654">
        <f t="shared" si="115"/>
        <v>7</v>
      </c>
    </row>
    <row r="3655" spans="1:30" x14ac:dyDescent="0.25">
      <c r="A3655" t="s">
        <v>3679</v>
      </c>
      <c r="B3655" s="2">
        <v>45331</v>
      </c>
      <c r="C3655" s="2">
        <v>45336</v>
      </c>
      <c r="D3655" t="s">
        <v>5056</v>
      </c>
      <c r="E3655" t="s">
        <v>5556</v>
      </c>
      <c r="F3655" t="s">
        <v>6027</v>
      </c>
      <c r="G3655" t="s">
        <v>6029</v>
      </c>
      <c r="H3655" t="s">
        <v>6032</v>
      </c>
      <c r="I3655" t="s">
        <v>6049</v>
      </c>
      <c r="J3655" t="s">
        <v>6054</v>
      </c>
      <c r="K3655" t="s">
        <v>6062</v>
      </c>
      <c r="L3655" t="s">
        <v>9055</v>
      </c>
      <c r="M3655">
        <v>324.31</v>
      </c>
      <c r="N3655">
        <v>3</v>
      </c>
      <c r="O3655">
        <v>0.28999999999999998</v>
      </c>
      <c r="P3655">
        <v>-25.08</v>
      </c>
      <c r="Q3655" t="s">
        <v>9896</v>
      </c>
      <c r="R3655">
        <v>5</v>
      </c>
      <c r="S3655" s="5">
        <f t="shared" si="114"/>
        <v>-7.7333415559187185E-2</v>
      </c>
      <c r="T3655">
        <v>108.1033333333333</v>
      </c>
      <c r="U3655">
        <v>2</v>
      </c>
      <c r="V3655">
        <v>2024</v>
      </c>
      <c r="W3655">
        <v>1</v>
      </c>
      <c r="X3655" t="s">
        <v>9898</v>
      </c>
      <c r="Y3655" t="s">
        <v>9900</v>
      </c>
      <c r="Z3655" t="s">
        <v>9899</v>
      </c>
      <c r="AD3655">
        <f t="shared" si="115"/>
        <v>5</v>
      </c>
    </row>
    <row r="3656" spans="1:30" x14ac:dyDescent="0.25">
      <c r="A3656" t="s">
        <v>3680</v>
      </c>
      <c r="B3656" s="2">
        <v>44973</v>
      </c>
      <c r="C3656" s="2">
        <v>44977</v>
      </c>
      <c r="D3656" t="s">
        <v>5158</v>
      </c>
      <c r="E3656" t="s">
        <v>5658</v>
      </c>
      <c r="F3656" t="s">
        <v>6026</v>
      </c>
      <c r="G3656" t="s">
        <v>6030</v>
      </c>
      <c r="H3656" t="s">
        <v>6033</v>
      </c>
      <c r="I3656" t="s">
        <v>6051</v>
      </c>
      <c r="J3656" t="s">
        <v>6055</v>
      </c>
      <c r="K3656" t="s">
        <v>6061</v>
      </c>
      <c r="L3656" t="s">
        <v>9056</v>
      </c>
      <c r="M3656">
        <v>187.77</v>
      </c>
      <c r="N3656">
        <v>8</v>
      </c>
      <c r="O3656">
        <v>0.28000000000000003</v>
      </c>
      <c r="P3656">
        <v>-0.97</v>
      </c>
      <c r="Q3656" t="s">
        <v>9893</v>
      </c>
      <c r="R3656">
        <v>4</v>
      </c>
      <c r="S3656" s="5">
        <f t="shared" si="114"/>
        <v>-5.165894445332055E-3</v>
      </c>
      <c r="T3656">
        <v>23.471250000000001</v>
      </c>
      <c r="U3656">
        <v>2</v>
      </c>
      <c r="V3656">
        <v>2023</v>
      </c>
      <c r="W3656">
        <v>1</v>
      </c>
      <c r="X3656" t="s">
        <v>9898</v>
      </c>
      <c r="Y3656" t="s">
        <v>9900</v>
      </c>
      <c r="Z3656" t="s">
        <v>9899</v>
      </c>
      <c r="AD3656">
        <f t="shared" si="115"/>
        <v>4</v>
      </c>
    </row>
    <row r="3657" spans="1:30" x14ac:dyDescent="0.25">
      <c r="A3657" t="s">
        <v>3681</v>
      </c>
      <c r="B3657" s="2">
        <v>44796</v>
      </c>
      <c r="C3657" s="2">
        <v>44803</v>
      </c>
      <c r="D3657" t="s">
        <v>5421</v>
      </c>
      <c r="E3657" t="s">
        <v>5921</v>
      </c>
      <c r="F3657" t="s">
        <v>6028</v>
      </c>
      <c r="G3657" t="s">
        <v>6029</v>
      </c>
      <c r="H3657" t="s">
        <v>6041</v>
      </c>
      <c r="I3657" t="s">
        <v>6046</v>
      </c>
      <c r="J3657" t="s">
        <v>6053</v>
      </c>
      <c r="K3657" t="s">
        <v>6056</v>
      </c>
      <c r="L3657" t="s">
        <v>9057</v>
      </c>
      <c r="M3657">
        <v>865.07</v>
      </c>
      <c r="N3657">
        <v>5</v>
      </c>
      <c r="O3657">
        <v>0.12</v>
      </c>
      <c r="P3657">
        <v>39.200000000000003</v>
      </c>
      <c r="Q3657" t="s">
        <v>9894</v>
      </c>
      <c r="R3657">
        <v>7</v>
      </c>
      <c r="S3657" s="5">
        <f t="shared" si="114"/>
        <v>4.5314252025847622E-2</v>
      </c>
      <c r="T3657">
        <v>173.01400000000001</v>
      </c>
      <c r="U3657">
        <v>8</v>
      </c>
      <c r="V3657">
        <v>2022</v>
      </c>
      <c r="W3657">
        <v>3</v>
      </c>
      <c r="X3657" t="s">
        <v>9899</v>
      </c>
      <c r="Y3657" t="s">
        <v>9901</v>
      </c>
      <c r="Z3657" t="s">
        <v>9899</v>
      </c>
      <c r="AD3657">
        <f t="shared" si="115"/>
        <v>7</v>
      </c>
    </row>
    <row r="3658" spans="1:30" x14ac:dyDescent="0.25">
      <c r="A3658" t="s">
        <v>3682</v>
      </c>
      <c r="B3658" s="2">
        <v>44698</v>
      </c>
      <c r="C3658" s="2">
        <v>44701</v>
      </c>
      <c r="D3658" t="s">
        <v>5477</v>
      </c>
      <c r="E3658" t="s">
        <v>5977</v>
      </c>
      <c r="F3658" t="s">
        <v>6026</v>
      </c>
      <c r="G3658" t="s">
        <v>6030</v>
      </c>
      <c r="H3658" t="s">
        <v>6033</v>
      </c>
      <c r="I3658" t="s">
        <v>6051</v>
      </c>
      <c r="J3658" t="s">
        <v>6055</v>
      </c>
      <c r="K3658" t="s">
        <v>6061</v>
      </c>
      <c r="L3658" t="s">
        <v>9058</v>
      </c>
      <c r="M3658">
        <v>350.8</v>
      </c>
      <c r="N3658">
        <v>5</v>
      </c>
      <c r="O3658">
        <v>0.1</v>
      </c>
      <c r="P3658">
        <v>66.599999999999994</v>
      </c>
      <c r="Q3658" t="s">
        <v>9897</v>
      </c>
      <c r="R3658">
        <v>3</v>
      </c>
      <c r="S3658" s="5">
        <f t="shared" si="114"/>
        <v>0.18985176738882553</v>
      </c>
      <c r="T3658">
        <v>70.16</v>
      </c>
      <c r="U3658">
        <v>5</v>
      </c>
      <c r="V3658">
        <v>2022</v>
      </c>
      <c r="W3658">
        <v>2</v>
      </c>
      <c r="X3658" t="s">
        <v>9899</v>
      </c>
      <c r="Y3658" t="s">
        <v>9901</v>
      </c>
      <c r="Z3658" t="s">
        <v>9899</v>
      </c>
      <c r="AD3658">
        <f t="shared" si="115"/>
        <v>3</v>
      </c>
    </row>
    <row r="3659" spans="1:30" x14ac:dyDescent="0.25">
      <c r="A3659" t="s">
        <v>3683</v>
      </c>
      <c r="B3659" s="2">
        <v>44703</v>
      </c>
      <c r="C3659" s="2">
        <v>44709</v>
      </c>
      <c r="D3659" t="s">
        <v>5064</v>
      </c>
      <c r="E3659" t="s">
        <v>5564</v>
      </c>
      <c r="F3659" t="s">
        <v>6026</v>
      </c>
      <c r="G3659" t="s">
        <v>6029</v>
      </c>
      <c r="H3659" t="s">
        <v>6036</v>
      </c>
      <c r="I3659" t="s">
        <v>6046</v>
      </c>
      <c r="J3659" t="s">
        <v>6054</v>
      </c>
      <c r="K3659" t="s">
        <v>6059</v>
      </c>
      <c r="L3659" t="s">
        <v>9038</v>
      </c>
      <c r="M3659">
        <v>213.23</v>
      </c>
      <c r="N3659">
        <v>7</v>
      </c>
      <c r="O3659">
        <v>0.02</v>
      </c>
      <c r="P3659">
        <v>37.42</v>
      </c>
      <c r="Q3659" t="s">
        <v>9894</v>
      </c>
      <c r="R3659">
        <v>6</v>
      </c>
      <c r="S3659" s="5">
        <f t="shared" si="114"/>
        <v>0.17549125357595086</v>
      </c>
      <c r="T3659">
        <v>30.46142857142857</v>
      </c>
      <c r="U3659">
        <v>5</v>
      </c>
      <c r="V3659">
        <v>2022</v>
      </c>
      <c r="W3659">
        <v>2</v>
      </c>
      <c r="X3659" t="s">
        <v>9899</v>
      </c>
      <c r="Y3659" t="s">
        <v>9901</v>
      </c>
      <c r="Z3659" t="s">
        <v>9899</v>
      </c>
      <c r="AD3659">
        <f t="shared" si="115"/>
        <v>6</v>
      </c>
    </row>
    <row r="3660" spans="1:30" x14ac:dyDescent="0.25">
      <c r="A3660" t="s">
        <v>3684</v>
      </c>
      <c r="B3660" s="2">
        <v>44636</v>
      </c>
      <c r="C3660" s="2">
        <v>44637</v>
      </c>
      <c r="D3660" t="s">
        <v>5142</v>
      </c>
      <c r="E3660" t="s">
        <v>5642</v>
      </c>
      <c r="F3660" t="s">
        <v>6026</v>
      </c>
      <c r="G3660" t="s">
        <v>6030</v>
      </c>
      <c r="H3660" t="s">
        <v>6039</v>
      </c>
      <c r="I3660" t="s">
        <v>6047</v>
      </c>
      <c r="J3660" t="s">
        <v>6055</v>
      </c>
      <c r="K3660" t="s">
        <v>6063</v>
      </c>
      <c r="L3660" t="s">
        <v>9059</v>
      </c>
      <c r="M3660">
        <v>1180.96</v>
      </c>
      <c r="N3660">
        <v>3</v>
      </c>
      <c r="O3660">
        <v>0.28000000000000003</v>
      </c>
      <c r="P3660">
        <v>-202.78</v>
      </c>
      <c r="Q3660" t="s">
        <v>9896</v>
      </c>
      <c r="R3660">
        <v>1</v>
      </c>
      <c r="S3660" s="5">
        <f t="shared" si="114"/>
        <v>-0.17170776317572145</v>
      </c>
      <c r="T3660">
        <v>393.65333333333342</v>
      </c>
      <c r="U3660">
        <v>3</v>
      </c>
      <c r="V3660">
        <v>2022</v>
      </c>
      <c r="W3660">
        <v>1</v>
      </c>
      <c r="X3660" t="s">
        <v>9898</v>
      </c>
      <c r="Y3660" t="s">
        <v>9900</v>
      </c>
      <c r="Z3660" t="s">
        <v>9898</v>
      </c>
      <c r="AD3660">
        <f t="shared" si="115"/>
        <v>1</v>
      </c>
    </row>
    <row r="3661" spans="1:30" x14ac:dyDescent="0.25">
      <c r="A3661" t="s">
        <v>3685</v>
      </c>
      <c r="B3661" s="2">
        <v>44875</v>
      </c>
      <c r="C3661" s="2">
        <v>44877</v>
      </c>
      <c r="D3661" t="s">
        <v>5413</v>
      </c>
      <c r="E3661" t="s">
        <v>5913</v>
      </c>
      <c r="F3661" t="s">
        <v>6026</v>
      </c>
      <c r="G3661" t="s">
        <v>6031</v>
      </c>
      <c r="H3661" t="s">
        <v>6034</v>
      </c>
      <c r="I3661" t="s">
        <v>6050</v>
      </c>
      <c r="J3661" t="s">
        <v>6055</v>
      </c>
      <c r="K3661" t="s">
        <v>6063</v>
      </c>
      <c r="L3661" t="s">
        <v>9060</v>
      </c>
      <c r="M3661">
        <v>139.88</v>
      </c>
      <c r="N3661">
        <v>2</v>
      </c>
      <c r="O3661">
        <v>0.16</v>
      </c>
      <c r="P3661">
        <v>2.92</v>
      </c>
      <c r="Q3661" t="s">
        <v>9894</v>
      </c>
      <c r="R3661">
        <v>2</v>
      </c>
      <c r="S3661" s="5">
        <f t="shared" si="114"/>
        <v>2.087503574492422E-2</v>
      </c>
      <c r="T3661">
        <v>69.94</v>
      </c>
      <c r="U3661">
        <v>11</v>
      </c>
      <c r="V3661">
        <v>2022</v>
      </c>
      <c r="W3661">
        <v>4</v>
      </c>
      <c r="X3661" t="s">
        <v>9899</v>
      </c>
      <c r="Y3661" t="s">
        <v>9900</v>
      </c>
      <c r="Z3661" t="s">
        <v>9899</v>
      </c>
      <c r="AD3661">
        <f t="shared" si="115"/>
        <v>2</v>
      </c>
    </row>
    <row r="3662" spans="1:30" x14ac:dyDescent="0.25">
      <c r="A3662" t="s">
        <v>3686</v>
      </c>
      <c r="B3662" s="2">
        <v>45165</v>
      </c>
      <c r="C3662" s="2">
        <v>45167</v>
      </c>
      <c r="D3662" t="s">
        <v>5309</v>
      </c>
      <c r="E3662" t="s">
        <v>5809</v>
      </c>
      <c r="F3662" t="s">
        <v>6027</v>
      </c>
      <c r="G3662" t="s">
        <v>6029</v>
      </c>
      <c r="H3662" t="s">
        <v>6045</v>
      </c>
      <c r="I3662" t="s">
        <v>6049</v>
      </c>
      <c r="J3662" t="s">
        <v>6054</v>
      </c>
      <c r="K3662" t="s">
        <v>6060</v>
      </c>
      <c r="L3662" t="s">
        <v>9061</v>
      </c>
      <c r="M3662">
        <v>667.52</v>
      </c>
      <c r="N3662">
        <v>7</v>
      </c>
      <c r="O3662">
        <v>0.32</v>
      </c>
      <c r="P3662">
        <v>-29.09</v>
      </c>
      <c r="Q3662" t="s">
        <v>9897</v>
      </c>
      <c r="R3662">
        <v>2</v>
      </c>
      <c r="S3662" s="5">
        <f t="shared" si="114"/>
        <v>-4.3579218600191753E-2</v>
      </c>
      <c r="T3662">
        <v>95.36</v>
      </c>
      <c r="U3662">
        <v>8</v>
      </c>
      <c r="V3662">
        <v>2023</v>
      </c>
      <c r="W3662">
        <v>3</v>
      </c>
      <c r="X3662" t="s">
        <v>9898</v>
      </c>
      <c r="Y3662" t="s">
        <v>9902</v>
      </c>
      <c r="Z3662" t="s">
        <v>9899</v>
      </c>
      <c r="AD3662">
        <f t="shared" si="115"/>
        <v>2</v>
      </c>
    </row>
    <row r="3663" spans="1:30" x14ac:dyDescent="0.25">
      <c r="A3663" t="s">
        <v>3687</v>
      </c>
      <c r="B3663" s="2">
        <v>45020</v>
      </c>
      <c r="C3663" s="2">
        <v>45022</v>
      </c>
      <c r="D3663" t="s">
        <v>5131</v>
      </c>
      <c r="E3663" t="s">
        <v>5631</v>
      </c>
      <c r="F3663" t="s">
        <v>6028</v>
      </c>
      <c r="G3663" t="s">
        <v>6029</v>
      </c>
      <c r="H3663" t="s">
        <v>6036</v>
      </c>
      <c r="I3663" t="s">
        <v>6046</v>
      </c>
      <c r="J3663" t="s">
        <v>6053</v>
      </c>
      <c r="K3663" t="s">
        <v>6058</v>
      </c>
      <c r="L3663" t="s">
        <v>9062</v>
      </c>
      <c r="M3663">
        <v>980.21</v>
      </c>
      <c r="N3663">
        <v>3</v>
      </c>
      <c r="O3663">
        <v>0.22</v>
      </c>
      <c r="P3663">
        <v>-14.46</v>
      </c>
      <c r="Q3663" t="s">
        <v>9896</v>
      </c>
      <c r="R3663">
        <v>2</v>
      </c>
      <c r="S3663" s="5">
        <f t="shared" si="114"/>
        <v>-1.4751940910621193E-2</v>
      </c>
      <c r="T3663">
        <v>326.73666666666668</v>
      </c>
      <c r="U3663">
        <v>4</v>
      </c>
      <c r="V3663">
        <v>2023</v>
      </c>
      <c r="W3663">
        <v>2</v>
      </c>
      <c r="X3663" t="s">
        <v>9898</v>
      </c>
      <c r="Y3663" t="s">
        <v>9900</v>
      </c>
      <c r="Z3663" t="s">
        <v>9899</v>
      </c>
      <c r="AD3663">
        <f t="shared" si="115"/>
        <v>2</v>
      </c>
    </row>
    <row r="3664" spans="1:30" x14ac:dyDescent="0.25">
      <c r="A3664" t="s">
        <v>3688</v>
      </c>
      <c r="B3664" s="2">
        <v>45348</v>
      </c>
      <c r="C3664" s="2">
        <v>45354</v>
      </c>
      <c r="D3664" t="s">
        <v>5197</v>
      </c>
      <c r="E3664" t="s">
        <v>5697</v>
      </c>
      <c r="F3664" t="s">
        <v>6027</v>
      </c>
      <c r="G3664" t="s">
        <v>6031</v>
      </c>
      <c r="H3664" t="s">
        <v>6040</v>
      </c>
      <c r="I3664" t="s">
        <v>6052</v>
      </c>
      <c r="J3664" t="s">
        <v>6053</v>
      </c>
      <c r="K3664" t="s">
        <v>6057</v>
      </c>
      <c r="L3664" t="s">
        <v>9063</v>
      </c>
      <c r="M3664">
        <v>1112.23</v>
      </c>
      <c r="N3664">
        <v>7</v>
      </c>
      <c r="O3664">
        <v>0.05</v>
      </c>
      <c r="P3664">
        <v>76.260000000000005</v>
      </c>
      <c r="Q3664" t="s">
        <v>9894</v>
      </c>
      <c r="R3664">
        <v>6</v>
      </c>
      <c r="S3664" s="5">
        <f t="shared" si="114"/>
        <v>6.8564955090224144E-2</v>
      </c>
      <c r="T3664">
        <v>158.88999999999999</v>
      </c>
      <c r="U3664">
        <v>2</v>
      </c>
      <c r="V3664">
        <v>2024</v>
      </c>
      <c r="W3664">
        <v>1</v>
      </c>
      <c r="X3664" t="s">
        <v>9899</v>
      </c>
      <c r="Y3664" t="s">
        <v>9901</v>
      </c>
      <c r="Z3664" t="s">
        <v>9898</v>
      </c>
      <c r="AD3664">
        <f t="shared" si="115"/>
        <v>6</v>
      </c>
    </row>
    <row r="3665" spans="1:30" x14ac:dyDescent="0.25">
      <c r="A3665" t="s">
        <v>3689</v>
      </c>
      <c r="B3665" s="2">
        <v>44567</v>
      </c>
      <c r="C3665" s="2">
        <v>44568</v>
      </c>
      <c r="D3665" t="s">
        <v>5084</v>
      </c>
      <c r="E3665" t="s">
        <v>5584</v>
      </c>
      <c r="F3665" t="s">
        <v>6027</v>
      </c>
      <c r="G3665" t="s">
        <v>6030</v>
      </c>
      <c r="H3665" t="s">
        <v>6039</v>
      </c>
      <c r="I3665" t="s">
        <v>6047</v>
      </c>
      <c r="J3665" t="s">
        <v>6053</v>
      </c>
      <c r="K3665" t="s">
        <v>6057</v>
      </c>
      <c r="L3665" t="s">
        <v>9064</v>
      </c>
      <c r="M3665">
        <v>1159.72</v>
      </c>
      <c r="N3665">
        <v>4</v>
      </c>
      <c r="O3665">
        <v>0.28999999999999998</v>
      </c>
      <c r="P3665">
        <v>-212.52</v>
      </c>
      <c r="Q3665" t="s">
        <v>9893</v>
      </c>
      <c r="R3665">
        <v>1</v>
      </c>
      <c r="S3665" s="5">
        <f t="shared" si="114"/>
        <v>-0.1832511295830028</v>
      </c>
      <c r="T3665">
        <v>289.93</v>
      </c>
      <c r="U3665">
        <v>1</v>
      </c>
      <c r="V3665">
        <v>2022</v>
      </c>
      <c r="W3665">
        <v>1</v>
      </c>
      <c r="X3665" t="s">
        <v>9898</v>
      </c>
      <c r="Y3665" t="s">
        <v>9900</v>
      </c>
      <c r="Z3665" t="s">
        <v>9898</v>
      </c>
      <c r="AD3665">
        <f t="shared" si="115"/>
        <v>1</v>
      </c>
    </row>
    <row r="3666" spans="1:30" x14ac:dyDescent="0.25">
      <c r="A3666" t="s">
        <v>3690</v>
      </c>
      <c r="B3666" s="2">
        <v>44926</v>
      </c>
      <c r="C3666" s="2">
        <v>44933</v>
      </c>
      <c r="D3666" t="s">
        <v>5099</v>
      </c>
      <c r="E3666" t="s">
        <v>5599</v>
      </c>
      <c r="F3666" t="s">
        <v>6026</v>
      </c>
      <c r="G3666" t="s">
        <v>6031</v>
      </c>
      <c r="H3666" t="s">
        <v>6043</v>
      </c>
      <c r="I3666" t="s">
        <v>6048</v>
      </c>
      <c r="J3666" t="s">
        <v>6054</v>
      </c>
      <c r="K3666" t="s">
        <v>6062</v>
      </c>
      <c r="L3666" t="s">
        <v>7742</v>
      </c>
      <c r="M3666">
        <v>255.19</v>
      </c>
      <c r="N3666">
        <v>6</v>
      </c>
      <c r="O3666">
        <v>0.17</v>
      </c>
      <c r="P3666">
        <v>8.81</v>
      </c>
      <c r="Q3666" t="s">
        <v>9897</v>
      </c>
      <c r="R3666">
        <v>7</v>
      </c>
      <c r="S3666" s="5">
        <f t="shared" si="114"/>
        <v>3.4523296367412519E-2</v>
      </c>
      <c r="T3666">
        <v>42.531666666666673</v>
      </c>
      <c r="U3666">
        <v>12</v>
      </c>
      <c r="V3666">
        <v>2022</v>
      </c>
      <c r="W3666">
        <v>4</v>
      </c>
      <c r="X3666" t="s">
        <v>9899</v>
      </c>
      <c r="Y3666" t="s">
        <v>9900</v>
      </c>
      <c r="Z3666" t="s">
        <v>9899</v>
      </c>
      <c r="AD3666">
        <f t="shared" si="115"/>
        <v>7</v>
      </c>
    </row>
    <row r="3667" spans="1:30" x14ac:dyDescent="0.25">
      <c r="A3667" t="s">
        <v>3691</v>
      </c>
      <c r="B3667" s="2">
        <v>45024</v>
      </c>
      <c r="C3667" s="2">
        <v>45025</v>
      </c>
      <c r="D3667" t="s">
        <v>5052</v>
      </c>
      <c r="E3667" t="s">
        <v>5552</v>
      </c>
      <c r="F3667" t="s">
        <v>6028</v>
      </c>
      <c r="G3667" t="s">
        <v>6029</v>
      </c>
      <c r="H3667" t="s">
        <v>6036</v>
      </c>
      <c r="I3667" t="s">
        <v>6046</v>
      </c>
      <c r="J3667" t="s">
        <v>6053</v>
      </c>
      <c r="K3667" t="s">
        <v>6056</v>
      </c>
      <c r="L3667" t="s">
        <v>6483</v>
      </c>
      <c r="M3667">
        <v>442.53</v>
      </c>
      <c r="N3667">
        <v>6</v>
      </c>
      <c r="O3667">
        <v>0.19</v>
      </c>
      <c r="P3667">
        <v>8.7200000000000006</v>
      </c>
      <c r="Q3667" t="s">
        <v>9893</v>
      </c>
      <c r="R3667">
        <v>1</v>
      </c>
      <c r="S3667" s="5">
        <f t="shared" si="114"/>
        <v>1.9704878765281451E-2</v>
      </c>
      <c r="T3667">
        <v>73.754999999999995</v>
      </c>
      <c r="U3667">
        <v>4</v>
      </c>
      <c r="V3667">
        <v>2023</v>
      </c>
      <c r="W3667">
        <v>2</v>
      </c>
      <c r="X3667" t="s">
        <v>9899</v>
      </c>
      <c r="Y3667" t="s">
        <v>9900</v>
      </c>
      <c r="Z3667" t="s">
        <v>9899</v>
      </c>
      <c r="AD3667">
        <f t="shared" si="115"/>
        <v>1</v>
      </c>
    </row>
    <row r="3668" spans="1:30" x14ac:dyDescent="0.25">
      <c r="A3668" t="s">
        <v>3692</v>
      </c>
      <c r="B3668" s="2">
        <v>44871</v>
      </c>
      <c r="C3668" s="2">
        <v>44872</v>
      </c>
      <c r="D3668" t="s">
        <v>5483</v>
      </c>
      <c r="E3668" t="s">
        <v>5983</v>
      </c>
      <c r="F3668" t="s">
        <v>6026</v>
      </c>
      <c r="G3668" t="s">
        <v>6030</v>
      </c>
      <c r="H3668" t="s">
        <v>6038</v>
      </c>
      <c r="I3668" t="s">
        <v>6051</v>
      </c>
      <c r="J3668" t="s">
        <v>6054</v>
      </c>
      <c r="K3668" t="s">
        <v>6062</v>
      </c>
      <c r="L3668" t="s">
        <v>9065</v>
      </c>
      <c r="M3668">
        <v>269.26</v>
      </c>
      <c r="N3668">
        <v>6</v>
      </c>
      <c r="O3668">
        <v>0.14000000000000001</v>
      </c>
      <c r="P3668">
        <v>36.76</v>
      </c>
      <c r="Q3668" t="s">
        <v>9896</v>
      </c>
      <c r="R3668">
        <v>1</v>
      </c>
      <c r="S3668" s="5">
        <f t="shared" si="114"/>
        <v>0.13652232043378149</v>
      </c>
      <c r="T3668">
        <v>44.876666666666672</v>
      </c>
      <c r="U3668">
        <v>11</v>
      </c>
      <c r="V3668">
        <v>2022</v>
      </c>
      <c r="W3668">
        <v>4</v>
      </c>
      <c r="X3668" t="s">
        <v>9899</v>
      </c>
      <c r="Y3668" t="s">
        <v>9901</v>
      </c>
      <c r="Z3668" t="s">
        <v>9899</v>
      </c>
      <c r="AD3668">
        <f t="shared" si="115"/>
        <v>1</v>
      </c>
    </row>
    <row r="3669" spans="1:30" x14ac:dyDescent="0.25">
      <c r="A3669" t="s">
        <v>3693</v>
      </c>
      <c r="B3669" s="2">
        <v>44704</v>
      </c>
      <c r="C3669" s="2">
        <v>44708</v>
      </c>
      <c r="D3669" t="s">
        <v>5353</v>
      </c>
      <c r="E3669" t="s">
        <v>5853</v>
      </c>
      <c r="F3669" t="s">
        <v>6028</v>
      </c>
      <c r="G3669" t="s">
        <v>6030</v>
      </c>
      <c r="H3669" t="s">
        <v>6035</v>
      </c>
      <c r="I3669" t="s">
        <v>6051</v>
      </c>
      <c r="J3669" t="s">
        <v>6055</v>
      </c>
      <c r="K3669" t="s">
        <v>6063</v>
      </c>
      <c r="L3669" t="s">
        <v>8273</v>
      </c>
      <c r="M3669">
        <v>1142.9000000000001</v>
      </c>
      <c r="N3669">
        <v>4</v>
      </c>
      <c r="O3669">
        <v>0.05</v>
      </c>
      <c r="P3669">
        <v>259.83999999999997</v>
      </c>
      <c r="Q3669" t="s">
        <v>9896</v>
      </c>
      <c r="R3669">
        <v>4</v>
      </c>
      <c r="S3669" s="5">
        <f t="shared" si="114"/>
        <v>0.22735147431971298</v>
      </c>
      <c r="T3669">
        <v>285.72500000000002</v>
      </c>
      <c r="U3669">
        <v>5</v>
      </c>
      <c r="V3669">
        <v>2022</v>
      </c>
      <c r="W3669">
        <v>2</v>
      </c>
      <c r="X3669" t="s">
        <v>9899</v>
      </c>
      <c r="Y3669" t="s">
        <v>9901</v>
      </c>
      <c r="Z3669" t="s">
        <v>9898</v>
      </c>
      <c r="AD3669">
        <f t="shared" si="115"/>
        <v>4</v>
      </c>
    </row>
    <row r="3670" spans="1:30" x14ac:dyDescent="0.25">
      <c r="A3670" t="s">
        <v>3694</v>
      </c>
      <c r="B3670" s="2">
        <v>45420</v>
      </c>
      <c r="C3670" s="2">
        <v>45426</v>
      </c>
      <c r="D3670" t="s">
        <v>5518</v>
      </c>
      <c r="E3670" t="s">
        <v>6018</v>
      </c>
      <c r="F3670" t="s">
        <v>6026</v>
      </c>
      <c r="G3670" t="s">
        <v>6031</v>
      </c>
      <c r="H3670" t="s">
        <v>6043</v>
      </c>
      <c r="I3670" t="s">
        <v>6048</v>
      </c>
      <c r="J3670" t="s">
        <v>6053</v>
      </c>
      <c r="K3670" t="s">
        <v>6056</v>
      </c>
      <c r="L3670" t="s">
        <v>9066</v>
      </c>
      <c r="M3670">
        <v>754.36</v>
      </c>
      <c r="N3670">
        <v>7</v>
      </c>
      <c r="O3670">
        <v>0.24</v>
      </c>
      <c r="P3670">
        <v>-80.09</v>
      </c>
      <c r="Q3670" t="s">
        <v>9893</v>
      </c>
      <c r="R3670">
        <v>6</v>
      </c>
      <c r="S3670" s="5">
        <f t="shared" si="114"/>
        <v>-0.10616946815843895</v>
      </c>
      <c r="T3670">
        <v>107.7657142857143</v>
      </c>
      <c r="U3670">
        <v>5</v>
      </c>
      <c r="V3670">
        <v>2024</v>
      </c>
      <c r="W3670">
        <v>2</v>
      </c>
      <c r="X3670" t="s">
        <v>9898</v>
      </c>
      <c r="Y3670" t="s">
        <v>9900</v>
      </c>
      <c r="Z3670" t="s">
        <v>9899</v>
      </c>
      <c r="AD3670">
        <f t="shared" si="115"/>
        <v>6</v>
      </c>
    </row>
    <row r="3671" spans="1:30" x14ac:dyDescent="0.25">
      <c r="A3671" t="s">
        <v>3695</v>
      </c>
      <c r="B3671" s="2">
        <v>44680</v>
      </c>
      <c r="C3671" s="2">
        <v>44682</v>
      </c>
      <c r="D3671" t="s">
        <v>5203</v>
      </c>
      <c r="E3671" t="s">
        <v>5703</v>
      </c>
      <c r="F3671" t="s">
        <v>6026</v>
      </c>
      <c r="G3671" t="s">
        <v>6029</v>
      </c>
      <c r="H3671" t="s">
        <v>6044</v>
      </c>
      <c r="I3671" t="s">
        <v>6046</v>
      </c>
      <c r="J3671" t="s">
        <v>6054</v>
      </c>
      <c r="K3671" t="s">
        <v>6060</v>
      </c>
      <c r="L3671" t="s">
        <v>8766</v>
      </c>
      <c r="M3671">
        <v>1226.79</v>
      </c>
      <c r="N3671">
        <v>7</v>
      </c>
      <c r="O3671">
        <v>0.17</v>
      </c>
      <c r="P3671">
        <v>33.53</v>
      </c>
      <c r="Q3671" t="s">
        <v>9894</v>
      </c>
      <c r="R3671">
        <v>2</v>
      </c>
      <c r="S3671" s="5">
        <f t="shared" si="114"/>
        <v>2.7331491127250796E-2</v>
      </c>
      <c r="T3671">
        <v>175.2557142857143</v>
      </c>
      <c r="U3671">
        <v>4</v>
      </c>
      <c r="V3671">
        <v>2022</v>
      </c>
      <c r="W3671">
        <v>2</v>
      </c>
      <c r="X3671" t="s">
        <v>9899</v>
      </c>
      <c r="Y3671" t="s">
        <v>9900</v>
      </c>
      <c r="Z3671" t="s">
        <v>9898</v>
      </c>
      <c r="AD3671">
        <f t="shared" si="115"/>
        <v>2</v>
      </c>
    </row>
    <row r="3672" spans="1:30" x14ac:dyDescent="0.25">
      <c r="A3672" t="s">
        <v>3696</v>
      </c>
      <c r="B3672" s="2">
        <v>45202</v>
      </c>
      <c r="C3672" s="2">
        <v>45209</v>
      </c>
      <c r="D3672" t="s">
        <v>5231</v>
      </c>
      <c r="E3672" t="s">
        <v>5731</v>
      </c>
      <c r="F3672" t="s">
        <v>6028</v>
      </c>
      <c r="G3672" t="s">
        <v>6030</v>
      </c>
      <c r="H3672" t="s">
        <v>6038</v>
      </c>
      <c r="I3672" t="s">
        <v>6051</v>
      </c>
      <c r="J3672" t="s">
        <v>6054</v>
      </c>
      <c r="K3672" t="s">
        <v>6062</v>
      </c>
      <c r="L3672" t="s">
        <v>9067</v>
      </c>
      <c r="M3672">
        <v>1516.12</v>
      </c>
      <c r="N3672">
        <v>8</v>
      </c>
      <c r="O3672">
        <v>0.04</v>
      </c>
      <c r="P3672">
        <v>357.98</v>
      </c>
      <c r="Q3672" t="s">
        <v>9893</v>
      </c>
      <c r="R3672">
        <v>7</v>
      </c>
      <c r="S3672" s="5">
        <f t="shared" si="114"/>
        <v>0.23611587473287077</v>
      </c>
      <c r="T3672">
        <v>189.51499999999999</v>
      </c>
      <c r="U3672">
        <v>10</v>
      </c>
      <c r="V3672">
        <v>2023</v>
      </c>
      <c r="W3672">
        <v>4</v>
      </c>
      <c r="X3672" t="s">
        <v>9899</v>
      </c>
      <c r="Y3672" t="s">
        <v>9901</v>
      </c>
      <c r="Z3672" t="s">
        <v>9898</v>
      </c>
      <c r="AD3672">
        <f t="shared" si="115"/>
        <v>7</v>
      </c>
    </row>
    <row r="3673" spans="1:30" x14ac:dyDescent="0.25">
      <c r="A3673" t="s">
        <v>3697</v>
      </c>
      <c r="B3673" s="2">
        <v>44987</v>
      </c>
      <c r="C3673" s="2">
        <v>44992</v>
      </c>
      <c r="D3673" t="s">
        <v>5478</v>
      </c>
      <c r="E3673" t="s">
        <v>5978</v>
      </c>
      <c r="F3673" t="s">
        <v>6026</v>
      </c>
      <c r="G3673" t="s">
        <v>6030</v>
      </c>
      <c r="H3673" t="s">
        <v>6038</v>
      </c>
      <c r="I3673" t="s">
        <v>6047</v>
      </c>
      <c r="J3673" t="s">
        <v>6055</v>
      </c>
      <c r="K3673" t="s">
        <v>6061</v>
      </c>
      <c r="L3673" t="s">
        <v>9068</v>
      </c>
      <c r="M3673">
        <v>914.44</v>
      </c>
      <c r="N3673">
        <v>3</v>
      </c>
      <c r="O3673">
        <v>0.02</v>
      </c>
      <c r="P3673">
        <v>149.97999999999999</v>
      </c>
      <c r="Q3673" t="s">
        <v>9895</v>
      </c>
      <c r="R3673">
        <v>5</v>
      </c>
      <c r="S3673" s="5">
        <f t="shared" si="114"/>
        <v>0.16401294781505618</v>
      </c>
      <c r="T3673">
        <v>304.81333333333328</v>
      </c>
      <c r="U3673">
        <v>3</v>
      </c>
      <c r="V3673">
        <v>2023</v>
      </c>
      <c r="W3673">
        <v>1</v>
      </c>
      <c r="X3673" t="s">
        <v>9899</v>
      </c>
      <c r="Y3673" t="s">
        <v>9901</v>
      </c>
      <c r="Z3673" t="s">
        <v>9899</v>
      </c>
      <c r="AD3673">
        <f t="shared" si="115"/>
        <v>5</v>
      </c>
    </row>
    <row r="3674" spans="1:30" x14ac:dyDescent="0.25">
      <c r="A3674" t="s">
        <v>3698</v>
      </c>
      <c r="B3674" s="2">
        <v>44692</v>
      </c>
      <c r="C3674" s="2">
        <v>44695</v>
      </c>
      <c r="D3674" t="s">
        <v>5446</v>
      </c>
      <c r="E3674" t="s">
        <v>5946</v>
      </c>
      <c r="F3674" t="s">
        <v>6028</v>
      </c>
      <c r="G3674" t="s">
        <v>6030</v>
      </c>
      <c r="H3674" t="s">
        <v>6038</v>
      </c>
      <c r="I3674" t="s">
        <v>6051</v>
      </c>
      <c r="J3674" t="s">
        <v>6054</v>
      </c>
      <c r="K3674" t="s">
        <v>6060</v>
      </c>
      <c r="L3674" t="s">
        <v>6426</v>
      </c>
      <c r="M3674">
        <v>1188.56</v>
      </c>
      <c r="N3674">
        <v>8</v>
      </c>
      <c r="O3674">
        <v>0.2</v>
      </c>
      <c r="P3674">
        <v>-7.94</v>
      </c>
      <c r="Q3674" t="s">
        <v>9896</v>
      </c>
      <c r="R3674">
        <v>3</v>
      </c>
      <c r="S3674" s="5">
        <f t="shared" si="114"/>
        <v>-6.6803526956989981E-3</v>
      </c>
      <c r="T3674">
        <v>148.57</v>
      </c>
      <c r="U3674">
        <v>5</v>
      </c>
      <c r="V3674">
        <v>2022</v>
      </c>
      <c r="W3674">
        <v>2</v>
      </c>
      <c r="X3674" t="s">
        <v>9898</v>
      </c>
      <c r="Y3674" t="s">
        <v>9900</v>
      </c>
      <c r="Z3674" t="s">
        <v>9898</v>
      </c>
      <c r="AD3674">
        <f t="shared" si="115"/>
        <v>3</v>
      </c>
    </row>
    <row r="3675" spans="1:30" x14ac:dyDescent="0.25">
      <c r="A3675" t="s">
        <v>3699</v>
      </c>
      <c r="B3675" s="2">
        <v>45014</v>
      </c>
      <c r="C3675" s="2">
        <v>45015</v>
      </c>
      <c r="D3675" t="s">
        <v>5428</v>
      </c>
      <c r="E3675" t="s">
        <v>5928</v>
      </c>
      <c r="F3675" t="s">
        <v>6026</v>
      </c>
      <c r="G3675" t="s">
        <v>6030</v>
      </c>
      <c r="H3675" t="s">
        <v>6035</v>
      </c>
      <c r="I3675" t="s">
        <v>6051</v>
      </c>
      <c r="J3675" t="s">
        <v>6055</v>
      </c>
      <c r="K3675" t="s">
        <v>6064</v>
      </c>
      <c r="L3675" t="s">
        <v>6793</v>
      </c>
      <c r="M3675">
        <v>1341.99</v>
      </c>
      <c r="N3675">
        <v>4</v>
      </c>
      <c r="O3675">
        <v>0.24</v>
      </c>
      <c r="P3675">
        <v>-22.61</v>
      </c>
      <c r="Q3675" t="s">
        <v>9894</v>
      </c>
      <c r="R3675">
        <v>1</v>
      </c>
      <c r="S3675" s="5">
        <f t="shared" si="114"/>
        <v>-1.6848113622307169E-2</v>
      </c>
      <c r="T3675">
        <v>335.4975</v>
      </c>
      <c r="U3675">
        <v>3</v>
      </c>
      <c r="V3675">
        <v>2023</v>
      </c>
      <c r="W3675">
        <v>1</v>
      </c>
      <c r="X3675" t="s">
        <v>9898</v>
      </c>
      <c r="Y3675" t="s">
        <v>9900</v>
      </c>
      <c r="Z3675" t="s">
        <v>9898</v>
      </c>
      <c r="AD3675">
        <f t="shared" si="115"/>
        <v>1</v>
      </c>
    </row>
    <row r="3676" spans="1:30" x14ac:dyDescent="0.25">
      <c r="A3676" t="s">
        <v>3700</v>
      </c>
      <c r="B3676" s="2">
        <v>44840</v>
      </c>
      <c r="C3676" s="2">
        <v>44843</v>
      </c>
      <c r="D3676" t="s">
        <v>5110</v>
      </c>
      <c r="E3676" t="s">
        <v>5610</v>
      </c>
      <c r="F3676" t="s">
        <v>6026</v>
      </c>
      <c r="G3676" t="s">
        <v>6029</v>
      </c>
      <c r="H3676" t="s">
        <v>6041</v>
      </c>
      <c r="I3676" t="s">
        <v>6046</v>
      </c>
      <c r="J3676" t="s">
        <v>6054</v>
      </c>
      <c r="K3676" t="s">
        <v>6060</v>
      </c>
      <c r="L3676" t="s">
        <v>9069</v>
      </c>
      <c r="M3676">
        <v>1684.04</v>
      </c>
      <c r="N3676">
        <v>2</v>
      </c>
      <c r="O3676">
        <v>0.14000000000000001</v>
      </c>
      <c r="P3676">
        <v>-58.32</v>
      </c>
      <c r="Q3676" t="s">
        <v>9895</v>
      </c>
      <c r="R3676">
        <v>3</v>
      </c>
      <c r="S3676" s="5">
        <f t="shared" si="114"/>
        <v>-3.463100638939693E-2</v>
      </c>
      <c r="T3676">
        <v>842.02</v>
      </c>
      <c r="U3676">
        <v>10</v>
      </c>
      <c r="V3676">
        <v>2022</v>
      </c>
      <c r="W3676">
        <v>4</v>
      </c>
      <c r="X3676" t="s">
        <v>9898</v>
      </c>
      <c r="Y3676" t="s">
        <v>9901</v>
      </c>
      <c r="Z3676" t="s">
        <v>9898</v>
      </c>
      <c r="AD3676">
        <f t="shared" si="115"/>
        <v>3</v>
      </c>
    </row>
    <row r="3677" spans="1:30" x14ac:dyDescent="0.25">
      <c r="A3677" t="s">
        <v>3701</v>
      </c>
      <c r="B3677" s="2">
        <v>44936</v>
      </c>
      <c r="C3677" s="2">
        <v>44937</v>
      </c>
      <c r="D3677" t="s">
        <v>5521</v>
      </c>
      <c r="E3677" t="s">
        <v>6021</v>
      </c>
      <c r="F3677" t="s">
        <v>6026</v>
      </c>
      <c r="G3677" t="s">
        <v>6030</v>
      </c>
      <c r="H3677" t="s">
        <v>6033</v>
      </c>
      <c r="I3677" t="s">
        <v>6051</v>
      </c>
      <c r="J3677" t="s">
        <v>6055</v>
      </c>
      <c r="K3677" t="s">
        <v>6064</v>
      </c>
      <c r="L3677" t="s">
        <v>9070</v>
      </c>
      <c r="M3677">
        <v>550.38</v>
      </c>
      <c r="N3677">
        <v>7</v>
      </c>
      <c r="O3677">
        <v>0.31</v>
      </c>
      <c r="P3677">
        <v>-9.6199999999999992</v>
      </c>
      <c r="Q3677" t="s">
        <v>9894</v>
      </c>
      <c r="R3677">
        <v>1</v>
      </c>
      <c r="S3677" s="5">
        <f t="shared" si="114"/>
        <v>-1.7478832806424652E-2</v>
      </c>
      <c r="T3677">
        <v>78.625714285714281</v>
      </c>
      <c r="U3677">
        <v>1</v>
      </c>
      <c r="V3677">
        <v>2023</v>
      </c>
      <c r="W3677">
        <v>1</v>
      </c>
      <c r="X3677" t="s">
        <v>9898</v>
      </c>
      <c r="Y3677" t="s">
        <v>9902</v>
      </c>
      <c r="Z3677" t="s">
        <v>9899</v>
      </c>
      <c r="AD3677">
        <f t="shared" si="115"/>
        <v>1</v>
      </c>
    </row>
    <row r="3678" spans="1:30" x14ac:dyDescent="0.25">
      <c r="A3678" t="s">
        <v>3702</v>
      </c>
      <c r="B3678" s="2">
        <v>45304</v>
      </c>
      <c r="C3678" s="2">
        <v>45308</v>
      </c>
      <c r="D3678" t="s">
        <v>5245</v>
      </c>
      <c r="E3678" t="s">
        <v>5745</v>
      </c>
      <c r="F3678" t="s">
        <v>6026</v>
      </c>
      <c r="G3678" t="s">
        <v>6031</v>
      </c>
      <c r="H3678" t="s">
        <v>6040</v>
      </c>
      <c r="I3678" t="s">
        <v>6048</v>
      </c>
      <c r="J3678" t="s">
        <v>6055</v>
      </c>
      <c r="K3678" t="s">
        <v>6061</v>
      </c>
      <c r="L3678" t="s">
        <v>6957</v>
      </c>
      <c r="M3678">
        <v>326.76</v>
      </c>
      <c r="N3678">
        <v>1</v>
      </c>
      <c r="O3678">
        <v>0.23</v>
      </c>
      <c r="P3678">
        <v>-36.54</v>
      </c>
      <c r="Q3678" t="s">
        <v>9896</v>
      </c>
      <c r="R3678">
        <v>4</v>
      </c>
      <c r="S3678" s="5">
        <f t="shared" si="114"/>
        <v>-0.11182519280205655</v>
      </c>
      <c r="T3678">
        <v>326.76</v>
      </c>
      <c r="U3678">
        <v>1</v>
      </c>
      <c r="V3678">
        <v>2024</v>
      </c>
      <c r="W3678">
        <v>1</v>
      </c>
      <c r="X3678" t="s">
        <v>9898</v>
      </c>
      <c r="Y3678" t="s">
        <v>9900</v>
      </c>
      <c r="Z3678" t="s">
        <v>9899</v>
      </c>
      <c r="AD3678">
        <f t="shared" si="115"/>
        <v>4</v>
      </c>
    </row>
    <row r="3679" spans="1:30" x14ac:dyDescent="0.25">
      <c r="A3679" t="s">
        <v>3703</v>
      </c>
      <c r="B3679" s="2">
        <v>45240</v>
      </c>
      <c r="C3679" s="2">
        <v>45243</v>
      </c>
      <c r="D3679" t="s">
        <v>5296</v>
      </c>
      <c r="E3679" t="s">
        <v>5796</v>
      </c>
      <c r="F3679" t="s">
        <v>6027</v>
      </c>
      <c r="G3679" t="s">
        <v>6031</v>
      </c>
      <c r="H3679" t="s">
        <v>6034</v>
      </c>
      <c r="I3679" t="s">
        <v>6052</v>
      </c>
      <c r="J3679" t="s">
        <v>6055</v>
      </c>
      <c r="K3679" t="s">
        <v>6061</v>
      </c>
      <c r="L3679" t="s">
        <v>7442</v>
      </c>
      <c r="M3679">
        <v>294.72000000000003</v>
      </c>
      <c r="N3679">
        <v>8</v>
      </c>
      <c r="O3679">
        <v>0.28000000000000003</v>
      </c>
      <c r="P3679">
        <v>3.12</v>
      </c>
      <c r="Q3679" t="s">
        <v>9895</v>
      </c>
      <c r="R3679">
        <v>3</v>
      </c>
      <c r="S3679" s="5">
        <f t="shared" si="114"/>
        <v>1.0586319218241042E-2</v>
      </c>
      <c r="T3679">
        <v>36.840000000000003</v>
      </c>
      <c r="U3679">
        <v>11</v>
      </c>
      <c r="V3679">
        <v>2023</v>
      </c>
      <c r="W3679">
        <v>4</v>
      </c>
      <c r="X3679" t="s">
        <v>9899</v>
      </c>
      <c r="Y3679" t="s">
        <v>9900</v>
      </c>
      <c r="Z3679" t="s">
        <v>9899</v>
      </c>
      <c r="AD3679">
        <f t="shared" si="115"/>
        <v>3</v>
      </c>
    </row>
    <row r="3680" spans="1:30" x14ac:dyDescent="0.25">
      <c r="A3680" t="s">
        <v>3704</v>
      </c>
      <c r="B3680" s="2">
        <v>45258</v>
      </c>
      <c r="C3680" s="2">
        <v>45260</v>
      </c>
      <c r="D3680" t="s">
        <v>5171</v>
      </c>
      <c r="E3680" t="s">
        <v>5671</v>
      </c>
      <c r="F3680" t="s">
        <v>6026</v>
      </c>
      <c r="G3680" t="s">
        <v>6031</v>
      </c>
      <c r="H3680" t="s">
        <v>6043</v>
      </c>
      <c r="I3680" t="s">
        <v>6050</v>
      </c>
      <c r="J3680" t="s">
        <v>6053</v>
      </c>
      <c r="K3680" t="s">
        <v>6056</v>
      </c>
      <c r="L3680" t="s">
        <v>8414</v>
      </c>
      <c r="M3680">
        <v>1149.8900000000001</v>
      </c>
      <c r="N3680">
        <v>8</v>
      </c>
      <c r="O3680">
        <v>0.25</v>
      </c>
      <c r="P3680">
        <v>-3.82</v>
      </c>
      <c r="Q3680" t="s">
        <v>9897</v>
      </c>
      <c r="R3680">
        <v>2</v>
      </c>
      <c r="S3680" s="5">
        <f t="shared" si="114"/>
        <v>-3.3220568923984029E-3</v>
      </c>
      <c r="T3680">
        <v>143.73625000000001</v>
      </c>
      <c r="U3680">
        <v>11</v>
      </c>
      <c r="V3680">
        <v>2023</v>
      </c>
      <c r="W3680">
        <v>4</v>
      </c>
      <c r="X3680" t="s">
        <v>9898</v>
      </c>
      <c r="Y3680" t="s">
        <v>9900</v>
      </c>
      <c r="Z3680" t="s">
        <v>9898</v>
      </c>
      <c r="AD3680">
        <f t="shared" si="115"/>
        <v>2</v>
      </c>
    </row>
    <row r="3681" spans="1:30" x14ac:dyDescent="0.25">
      <c r="A3681" t="s">
        <v>3705</v>
      </c>
      <c r="B3681" s="2">
        <v>44683</v>
      </c>
      <c r="C3681" s="2">
        <v>44687</v>
      </c>
      <c r="D3681" t="s">
        <v>5353</v>
      </c>
      <c r="E3681" t="s">
        <v>5853</v>
      </c>
      <c r="F3681" t="s">
        <v>6028</v>
      </c>
      <c r="G3681" t="s">
        <v>6031</v>
      </c>
      <c r="H3681" t="s">
        <v>6040</v>
      </c>
      <c r="I3681" t="s">
        <v>6050</v>
      </c>
      <c r="J3681" t="s">
        <v>6055</v>
      </c>
      <c r="K3681" t="s">
        <v>6064</v>
      </c>
      <c r="L3681" t="s">
        <v>7923</v>
      </c>
      <c r="M3681">
        <v>785.17</v>
      </c>
      <c r="N3681">
        <v>7</v>
      </c>
      <c r="O3681">
        <v>0.11</v>
      </c>
      <c r="P3681">
        <v>125.02</v>
      </c>
      <c r="Q3681" t="s">
        <v>9897</v>
      </c>
      <c r="R3681">
        <v>4</v>
      </c>
      <c r="S3681" s="5">
        <f t="shared" si="114"/>
        <v>0.15922666428926219</v>
      </c>
      <c r="T3681">
        <v>112.16714285714281</v>
      </c>
      <c r="U3681">
        <v>5</v>
      </c>
      <c r="V3681">
        <v>2022</v>
      </c>
      <c r="W3681">
        <v>2</v>
      </c>
      <c r="X3681" t="s">
        <v>9899</v>
      </c>
      <c r="Y3681" t="s">
        <v>9901</v>
      </c>
      <c r="Z3681" t="s">
        <v>9899</v>
      </c>
      <c r="AD3681">
        <f t="shared" si="115"/>
        <v>4</v>
      </c>
    </row>
    <row r="3682" spans="1:30" x14ac:dyDescent="0.25">
      <c r="A3682" t="s">
        <v>3706</v>
      </c>
      <c r="B3682" s="2">
        <v>45055</v>
      </c>
      <c r="C3682" s="2">
        <v>45058</v>
      </c>
      <c r="D3682" t="s">
        <v>5371</v>
      </c>
      <c r="E3682" t="s">
        <v>5871</v>
      </c>
      <c r="F3682" t="s">
        <v>6028</v>
      </c>
      <c r="G3682" t="s">
        <v>6030</v>
      </c>
      <c r="H3682" t="s">
        <v>6033</v>
      </c>
      <c r="I3682" t="s">
        <v>6047</v>
      </c>
      <c r="J3682" t="s">
        <v>6055</v>
      </c>
      <c r="K3682" t="s">
        <v>6064</v>
      </c>
      <c r="L3682" t="s">
        <v>6901</v>
      </c>
      <c r="M3682">
        <v>1559.84</v>
      </c>
      <c r="N3682">
        <v>2</v>
      </c>
      <c r="O3682">
        <v>0.02</v>
      </c>
      <c r="P3682">
        <v>146.29</v>
      </c>
      <c r="Q3682" t="s">
        <v>9895</v>
      </c>
      <c r="R3682">
        <v>3</v>
      </c>
      <c r="S3682" s="5">
        <f t="shared" si="114"/>
        <v>9.3785260026669398E-2</v>
      </c>
      <c r="T3682">
        <v>779.92</v>
      </c>
      <c r="U3682">
        <v>5</v>
      </c>
      <c r="V3682">
        <v>2023</v>
      </c>
      <c r="W3682">
        <v>2</v>
      </c>
      <c r="X3682" t="s">
        <v>9899</v>
      </c>
      <c r="Y3682" t="s">
        <v>9901</v>
      </c>
      <c r="Z3682" t="s">
        <v>9898</v>
      </c>
      <c r="AD3682">
        <f t="shared" si="115"/>
        <v>3</v>
      </c>
    </row>
    <row r="3683" spans="1:30" x14ac:dyDescent="0.25">
      <c r="A3683" t="s">
        <v>3707</v>
      </c>
      <c r="B3683" s="2">
        <v>45161</v>
      </c>
      <c r="C3683" s="2">
        <v>45168</v>
      </c>
      <c r="D3683" t="s">
        <v>5109</v>
      </c>
      <c r="E3683" t="s">
        <v>5609</v>
      </c>
      <c r="F3683" t="s">
        <v>6028</v>
      </c>
      <c r="G3683" t="s">
        <v>6031</v>
      </c>
      <c r="H3683" t="s">
        <v>6040</v>
      </c>
      <c r="I3683" t="s">
        <v>6050</v>
      </c>
      <c r="J3683" t="s">
        <v>6053</v>
      </c>
      <c r="K3683" t="s">
        <v>6056</v>
      </c>
      <c r="L3683" t="s">
        <v>9071</v>
      </c>
      <c r="M3683">
        <v>243.93</v>
      </c>
      <c r="N3683">
        <v>1</v>
      </c>
      <c r="O3683">
        <v>0.08</v>
      </c>
      <c r="P3683">
        <v>27.02</v>
      </c>
      <c r="Q3683" t="s">
        <v>9896</v>
      </c>
      <c r="R3683">
        <v>7</v>
      </c>
      <c r="S3683" s="5">
        <f t="shared" si="114"/>
        <v>0.11076948304841552</v>
      </c>
      <c r="T3683">
        <v>243.93</v>
      </c>
      <c r="U3683">
        <v>8</v>
      </c>
      <c r="V3683">
        <v>2023</v>
      </c>
      <c r="W3683">
        <v>3</v>
      </c>
      <c r="X3683" t="s">
        <v>9899</v>
      </c>
      <c r="Y3683" t="s">
        <v>9901</v>
      </c>
      <c r="Z3683" t="s">
        <v>9899</v>
      </c>
      <c r="AD3683">
        <f t="shared" si="115"/>
        <v>7</v>
      </c>
    </row>
    <row r="3684" spans="1:30" x14ac:dyDescent="0.25">
      <c r="A3684" t="s">
        <v>3708</v>
      </c>
      <c r="B3684" s="2">
        <v>44808</v>
      </c>
      <c r="C3684" s="2">
        <v>44809</v>
      </c>
      <c r="D3684" t="s">
        <v>5247</v>
      </c>
      <c r="E3684" t="s">
        <v>5747</v>
      </c>
      <c r="F3684" t="s">
        <v>6026</v>
      </c>
      <c r="G3684" t="s">
        <v>6030</v>
      </c>
      <c r="H3684" t="s">
        <v>6038</v>
      </c>
      <c r="I3684" t="s">
        <v>6051</v>
      </c>
      <c r="J3684" t="s">
        <v>6053</v>
      </c>
      <c r="K3684" t="s">
        <v>6056</v>
      </c>
      <c r="L3684" t="s">
        <v>9072</v>
      </c>
      <c r="M3684">
        <v>1972.49</v>
      </c>
      <c r="N3684">
        <v>4</v>
      </c>
      <c r="O3684">
        <v>0.12</v>
      </c>
      <c r="P3684">
        <v>165.49</v>
      </c>
      <c r="Q3684" t="s">
        <v>9897</v>
      </c>
      <c r="R3684">
        <v>1</v>
      </c>
      <c r="S3684" s="5">
        <f t="shared" si="114"/>
        <v>8.389903117379556E-2</v>
      </c>
      <c r="T3684">
        <v>493.1225</v>
      </c>
      <c r="U3684">
        <v>9</v>
      </c>
      <c r="V3684">
        <v>2022</v>
      </c>
      <c r="W3684">
        <v>3</v>
      </c>
      <c r="X3684" t="s">
        <v>9899</v>
      </c>
      <c r="Y3684" t="s">
        <v>9901</v>
      </c>
      <c r="Z3684" t="s">
        <v>9898</v>
      </c>
      <c r="AD3684">
        <f t="shared" si="115"/>
        <v>1</v>
      </c>
    </row>
    <row r="3685" spans="1:30" x14ac:dyDescent="0.25">
      <c r="A3685" t="s">
        <v>3709</v>
      </c>
      <c r="B3685" s="2">
        <v>44849</v>
      </c>
      <c r="C3685" s="2">
        <v>44855</v>
      </c>
      <c r="D3685" t="s">
        <v>5104</v>
      </c>
      <c r="E3685" t="s">
        <v>5604</v>
      </c>
      <c r="F3685" t="s">
        <v>6026</v>
      </c>
      <c r="G3685" t="s">
        <v>6029</v>
      </c>
      <c r="H3685" t="s">
        <v>6032</v>
      </c>
      <c r="I3685" t="s">
        <v>6050</v>
      </c>
      <c r="J3685" t="s">
        <v>6053</v>
      </c>
      <c r="K3685" t="s">
        <v>6058</v>
      </c>
      <c r="L3685" t="s">
        <v>8196</v>
      </c>
      <c r="M3685">
        <v>1133.46</v>
      </c>
      <c r="N3685">
        <v>1</v>
      </c>
      <c r="O3685">
        <v>0.26</v>
      </c>
      <c r="P3685">
        <v>-39.06</v>
      </c>
      <c r="Q3685" t="s">
        <v>9895</v>
      </c>
      <c r="R3685">
        <v>6</v>
      </c>
      <c r="S3685" s="5">
        <f t="shared" si="114"/>
        <v>-3.4460854375099256E-2</v>
      </c>
      <c r="T3685">
        <v>1133.46</v>
      </c>
      <c r="U3685">
        <v>10</v>
      </c>
      <c r="V3685">
        <v>2022</v>
      </c>
      <c r="W3685">
        <v>4</v>
      </c>
      <c r="X3685" t="s">
        <v>9898</v>
      </c>
      <c r="Y3685" t="s">
        <v>9900</v>
      </c>
      <c r="Z3685" t="s">
        <v>9898</v>
      </c>
      <c r="AD3685">
        <f t="shared" si="115"/>
        <v>6</v>
      </c>
    </row>
    <row r="3686" spans="1:30" x14ac:dyDescent="0.25">
      <c r="A3686" t="s">
        <v>3710</v>
      </c>
      <c r="B3686" s="2">
        <v>45017</v>
      </c>
      <c r="C3686" s="2">
        <v>45019</v>
      </c>
      <c r="D3686" t="s">
        <v>5158</v>
      </c>
      <c r="E3686" t="s">
        <v>5658</v>
      </c>
      <c r="F3686" t="s">
        <v>6026</v>
      </c>
      <c r="G3686" t="s">
        <v>6029</v>
      </c>
      <c r="H3686" t="s">
        <v>6044</v>
      </c>
      <c r="I3686" t="s">
        <v>6050</v>
      </c>
      <c r="J3686" t="s">
        <v>6055</v>
      </c>
      <c r="K3686" t="s">
        <v>6061</v>
      </c>
      <c r="L3686" t="s">
        <v>8554</v>
      </c>
      <c r="M3686">
        <v>1808.53</v>
      </c>
      <c r="N3686">
        <v>2</v>
      </c>
      <c r="O3686">
        <v>0.2</v>
      </c>
      <c r="P3686">
        <v>84.38</v>
      </c>
      <c r="Q3686" t="s">
        <v>9893</v>
      </c>
      <c r="R3686">
        <v>2</v>
      </c>
      <c r="S3686" s="5">
        <f t="shared" si="114"/>
        <v>4.6656676969693618E-2</v>
      </c>
      <c r="T3686">
        <v>904.26499999999999</v>
      </c>
      <c r="U3686">
        <v>4</v>
      </c>
      <c r="V3686">
        <v>2023</v>
      </c>
      <c r="W3686">
        <v>2</v>
      </c>
      <c r="X3686" t="s">
        <v>9899</v>
      </c>
      <c r="Y3686" t="s">
        <v>9900</v>
      </c>
      <c r="Z3686" t="s">
        <v>9898</v>
      </c>
      <c r="AD3686">
        <f t="shared" si="115"/>
        <v>2</v>
      </c>
    </row>
    <row r="3687" spans="1:30" x14ac:dyDescent="0.25">
      <c r="A3687" t="s">
        <v>3711</v>
      </c>
      <c r="B3687" s="2">
        <v>45102</v>
      </c>
      <c r="C3687" s="2">
        <v>45106</v>
      </c>
      <c r="D3687" t="s">
        <v>5317</v>
      </c>
      <c r="E3687" t="s">
        <v>5817</v>
      </c>
      <c r="F3687" t="s">
        <v>6026</v>
      </c>
      <c r="G3687" t="s">
        <v>6031</v>
      </c>
      <c r="H3687" t="s">
        <v>6037</v>
      </c>
      <c r="I3687" t="s">
        <v>6052</v>
      </c>
      <c r="J3687" t="s">
        <v>6053</v>
      </c>
      <c r="K3687" t="s">
        <v>6056</v>
      </c>
      <c r="L3687" t="s">
        <v>8219</v>
      </c>
      <c r="M3687">
        <v>963.11</v>
      </c>
      <c r="N3687">
        <v>5</v>
      </c>
      <c r="O3687">
        <v>0.02</v>
      </c>
      <c r="P3687">
        <v>91.2</v>
      </c>
      <c r="Q3687" t="s">
        <v>9894</v>
      </c>
      <c r="R3687">
        <v>4</v>
      </c>
      <c r="S3687" s="5">
        <f t="shared" si="114"/>
        <v>9.4693233379364763E-2</v>
      </c>
      <c r="T3687">
        <v>192.62200000000001</v>
      </c>
      <c r="U3687">
        <v>6</v>
      </c>
      <c r="V3687">
        <v>2023</v>
      </c>
      <c r="W3687">
        <v>2</v>
      </c>
      <c r="X3687" t="s">
        <v>9899</v>
      </c>
      <c r="Y3687" t="s">
        <v>9901</v>
      </c>
      <c r="Z3687" t="s">
        <v>9899</v>
      </c>
      <c r="AD3687">
        <f t="shared" si="115"/>
        <v>4</v>
      </c>
    </row>
    <row r="3688" spans="1:30" x14ac:dyDescent="0.25">
      <c r="A3688" t="s">
        <v>3712</v>
      </c>
      <c r="B3688" s="2">
        <v>45092</v>
      </c>
      <c r="C3688" s="2">
        <v>45098</v>
      </c>
      <c r="D3688" t="s">
        <v>5245</v>
      </c>
      <c r="E3688" t="s">
        <v>5745</v>
      </c>
      <c r="F3688" t="s">
        <v>6026</v>
      </c>
      <c r="G3688" t="s">
        <v>6030</v>
      </c>
      <c r="H3688" t="s">
        <v>6035</v>
      </c>
      <c r="I3688" t="s">
        <v>6051</v>
      </c>
      <c r="J3688" t="s">
        <v>6053</v>
      </c>
      <c r="K3688" t="s">
        <v>6057</v>
      </c>
      <c r="L3688" t="s">
        <v>9073</v>
      </c>
      <c r="M3688">
        <v>1560.53</v>
      </c>
      <c r="N3688">
        <v>2</v>
      </c>
      <c r="O3688">
        <v>0.02</v>
      </c>
      <c r="P3688">
        <v>206.56</v>
      </c>
      <c r="Q3688" t="s">
        <v>9895</v>
      </c>
      <c r="R3688">
        <v>6</v>
      </c>
      <c r="S3688" s="5">
        <f t="shared" si="114"/>
        <v>0.13236528615278143</v>
      </c>
      <c r="T3688">
        <v>780.26499999999999</v>
      </c>
      <c r="U3688">
        <v>6</v>
      </c>
      <c r="V3688">
        <v>2023</v>
      </c>
      <c r="W3688">
        <v>2</v>
      </c>
      <c r="X3688" t="s">
        <v>9899</v>
      </c>
      <c r="Y3688" t="s">
        <v>9901</v>
      </c>
      <c r="Z3688" t="s">
        <v>9898</v>
      </c>
      <c r="AD3688">
        <f t="shared" si="115"/>
        <v>6</v>
      </c>
    </row>
    <row r="3689" spans="1:30" x14ac:dyDescent="0.25">
      <c r="A3689" t="s">
        <v>3713</v>
      </c>
      <c r="B3689" s="2">
        <v>44795</v>
      </c>
      <c r="C3689" s="2">
        <v>44797</v>
      </c>
      <c r="D3689" t="s">
        <v>5221</v>
      </c>
      <c r="E3689" t="s">
        <v>5721</v>
      </c>
      <c r="F3689" t="s">
        <v>6027</v>
      </c>
      <c r="G3689" t="s">
        <v>6030</v>
      </c>
      <c r="H3689" t="s">
        <v>6038</v>
      </c>
      <c r="I3689" t="s">
        <v>6051</v>
      </c>
      <c r="J3689" t="s">
        <v>6055</v>
      </c>
      <c r="K3689" t="s">
        <v>6064</v>
      </c>
      <c r="L3689" t="s">
        <v>9074</v>
      </c>
      <c r="M3689">
        <v>1092.83</v>
      </c>
      <c r="N3689">
        <v>5</v>
      </c>
      <c r="O3689">
        <v>0.1</v>
      </c>
      <c r="P3689">
        <v>8.92</v>
      </c>
      <c r="Q3689" t="s">
        <v>9896</v>
      </c>
      <c r="R3689">
        <v>2</v>
      </c>
      <c r="S3689" s="5">
        <f t="shared" si="114"/>
        <v>8.1622942269154401E-3</v>
      </c>
      <c r="T3689">
        <v>218.566</v>
      </c>
      <c r="U3689">
        <v>8</v>
      </c>
      <c r="V3689">
        <v>2022</v>
      </c>
      <c r="W3689">
        <v>3</v>
      </c>
      <c r="X3689" t="s">
        <v>9899</v>
      </c>
      <c r="Y3689" t="s">
        <v>9901</v>
      </c>
      <c r="Z3689" t="s">
        <v>9898</v>
      </c>
      <c r="AD3689">
        <f t="shared" si="115"/>
        <v>2</v>
      </c>
    </row>
    <row r="3690" spans="1:30" x14ac:dyDescent="0.25">
      <c r="A3690" t="s">
        <v>3714</v>
      </c>
      <c r="B3690" s="2">
        <v>45220</v>
      </c>
      <c r="C3690" s="2">
        <v>45221</v>
      </c>
      <c r="D3690" t="s">
        <v>5132</v>
      </c>
      <c r="E3690" t="s">
        <v>5632</v>
      </c>
      <c r="F3690" t="s">
        <v>6028</v>
      </c>
      <c r="G3690" t="s">
        <v>6030</v>
      </c>
      <c r="H3690" t="s">
        <v>6038</v>
      </c>
      <c r="I3690" t="s">
        <v>6051</v>
      </c>
      <c r="J3690" t="s">
        <v>6054</v>
      </c>
      <c r="K3690" t="s">
        <v>6062</v>
      </c>
      <c r="L3690" t="s">
        <v>9075</v>
      </c>
      <c r="M3690">
        <v>1791.87</v>
      </c>
      <c r="N3690">
        <v>3</v>
      </c>
      <c r="O3690">
        <v>0.32</v>
      </c>
      <c r="P3690">
        <v>-158.76</v>
      </c>
      <c r="Q3690" t="s">
        <v>9894</v>
      </c>
      <c r="R3690">
        <v>1</v>
      </c>
      <c r="S3690" s="5">
        <f t="shared" si="114"/>
        <v>-8.8600177468231511E-2</v>
      </c>
      <c r="T3690">
        <v>597.29</v>
      </c>
      <c r="U3690">
        <v>10</v>
      </c>
      <c r="V3690">
        <v>2023</v>
      </c>
      <c r="W3690">
        <v>4</v>
      </c>
      <c r="X3690" t="s">
        <v>9898</v>
      </c>
      <c r="Y3690" t="s">
        <v>9902</v>
      </c>
      <c r="Z3690" t="s">
        <v>9898</v>
      </c>
      <c r="AD3690">
        <f t="shared" si="115"/>
        <v>1</v>
      </c>
    </row>
    <row r="3691" spans="1:30" x14ac:dyDescent="0.25">
      <c r="A3691" t="s">
        <v>3715</v>
      </c>
      <c r="B3691" s="2">
        <v>45342</v>
      </c>
      <c r="C3691" s="2">
        <v>45347</v>
      </c>
      <c r="D3691" t="s">
        <v>5496</v>
      </c>
      <c r="E3691" t="s">
        <v>5996</v>
      </c>
      <c r="F3691" t="s">
        <v>6027</v>
      </c>
      <c r="G3691" t="s">
        <v>6031</v>
      </c>
      <c r="H3691" t="s">
        <v>6042</v>
      </c>
      <c r="I3691" t="s">
        <v>6050</v>
      </c>
      <c r="J3691" t="s">
        <v>6054</v>
      </c>
      <c r="K3691" t="s">
        <v>6059</v>
      </c>
      <c r="L3691" t="s">
        <v>9076</v>
      </c>
      <c r="M3691">
        <v>523.89</v>
      </c>
      <c r="N3691">
        <v>2</v>
      </c>
      <c r="O3691">
        <v>0.08</v>
      </c>
      <c r="P3691">
        <v>108.33</v>
      </c>
      <c r="Q3691" t="s">
        <v>9896</v>
      </c>
      <c r="R3691">
        <v>5</v>
      </c>
      <c r="S3691" s="5">
        <f t="shared" si="114"/>
        <v>0.20678004924697932</v>
      </c>
      <c r="T3691">
        <v>261.94499999999999</v>
      </c>
      <c r="U3691">
        <v>2</v>
      </c>
      <c r="V3691">
        <v>2024</v>
      </c>
      <c r="W3691">
        <v>1</v>
      </c>
      <c r="X3691" t="s">
        <v>9899</v>
      </c>
      <c r="Y3691" t="s">
        <v>9901</v>
      </c>
      <c r="Z3691" t="s">
        <v>9899</v>
      </c>
      <c r="AD3691">
        <f t="shared" si="115"/>
        <v>5</v>
      </c>
    </row>
    <row r="3692" spans="1:30" x14ac:dyDescent="0.25">
      <c r="A3692" t="s">
        <v>3716</v>
      </c>
      <c r="B3692" s="2">
        <v>45087</v>
      </c>
      <c r="C3692" s="2">
        <v>45089</v>
      </c>
      <c r="D3692" t="s">
        <v>5070</v>
      </c>
      <c r="E3692" t="s">
        <v>5570</v>
      </c>
      <c r="F3692" t="s">
        <v>6027</v>
      </c>
      <c r="G3692" t="s">
        <v>6029</v>
      </c>
      <c r="H3692" t="s">
        <v>6041</v>
      </c>
      <c r="I3692" t="s">
        <v>6049</v>
      </c>
      <c r="J3692" t="s">
        <v>6054</v>
      </c>
      <c r="K3692" t="s">
        <v>6059</v>
      </c>
      <c r="L3692" t="s">
        <v>9077</v>
      </c>
      <c r="M3692">
        <v>1732.78</v>
      </c>
      <c r="N3692">
        <v>5</v>
      </c>
      <c r="O3692">
        <v>0.14000000000000001</v>
      </c>
      <c r="P3692">
        <v>160.83000000000001</v>
      </c>
      <c r="Q3692" t="s">
        <v>9895</v>
      </c>
      <c r="R3692">
        <v>2</v>
      </c>
      <c r="S3692" s="5">
        <f t="shared" si="114"/>
        <v>9.2816168238322241E-2</v>
      </c>
      <c r="T3692">
        <v>346.55599999999998</v>
      </c>
      <c r="U3692">
        <v>6</v>
      </c>
      <c r="V3692">
        <v>2023</v>
      </c>
      <c r="W3692">
        <v>2</v>
      </c>
      <c r="X3692" t="s">
        <v>9899</v>
      </c>
      <c r="Y3692" t="s">
        <v>9901</v>
      </c>
      <c r="Z3692" t="s">
        <v>9898</v>
      </c>
      <c r="AD3692">
        <f t="shared" si="115"/>
        <v>2</v>
      </c>
    </row>
    <row r="3693" spans="1:30" x14ac:dyDescent="0.25">
      <c r="A3693" t="s">
        <v>3717</v>
      </c>
      <c r="B3693" s="2">
        <v>44794</v>
      </c>
      <c r="C3693" s="2">
        <v>44799</v>
      </c>
      <c r="D3693" t="s">
        <v>5217</v>
      </c>
      <c r="E3693" t="s">
        <v>5717</v>
      </c>
      <c r="F3693" t="s">
        <v>6026</v>
      </c>
      <c r="G3693" t="s">
        <v>6030</v>
      </c>
      <c r="H3693" t="s">
        <v>6033</v>
      </c>
      <c r="I3693" t="s">
        <v>6047</v>
      </c>
      <c r="J3693" t="s">
        <v>6053</v>
      </c>
      <c r="K3693" t="s">
        <v>6057</v>
      </c>
      <c r="L3693" t="s">
        <v>9078</v>
      </c>
      <c r="M3693">
        <v>350.34</v>
      </c>
      <c r="N3693">
        <v>8</v>
      </c>
      <c r="O3693">
        <v>0.23</v>
      </c>
      <c r="P3693">
        <v>-42.74</v>
      </c>
      <c r="Q3693" t="s">
        <v>9896</v>
      </c>
      <c r="R3693">
        <v>5</v>
      </c>
      <c r="S3693" s="5">
        <f t="shared" si="114"/>
        <v>-0.12199577553234002</v>
      </c>
      <c r="T3693">
        <v>43.792499999999997</v>
      </c>
      <c r="U3693">
        <v>8</v>
      </c>
      <c r="V3693">
        <v>2022</v>
      </c>
      <c r="W3693">
        <v>3</v>
      </c>
      <c r="X3693" t="s">
        <v>9898</v>
      </c>
      <c r="Y3693" t="s">
        <v>9900</v>
      </c>
      <c r="Z3693" t="s">
        <v>9899</v>
      </c>
      <c r="AD3693">
        <f t="shared" si="115"/>
        <v>5</v>
      </c>
    </row>
    <row r="3694" spans="1:30" x14ac:dyDescent="0.25">
      <c r="A3694" t="s">
        <v>3718</v>
      </c>
      <c r="B3694" s="2">
        <v>44950</v>
      </c>
      <c r="C3694" s="2">
        <v>44954</v>
      </c>
      <c r="D3694" t="s">
        <v>5512</v>
      </c>
      <c r="E3694" t="s">
        <v>6012</v>
      </c>
      <c r="F3694" t="s">
        <v>6026</v>
      </c>
      <c r="G3694" t="s">
        <v>6031</v>
      </c>
      <c r="H3694" t="s">
        <v>6037</v>
      </c>
      <c r="I3694" t="s">
        <v>6052</v>
      </c>
      <c r="J3694" t="s">
        <v>6054</v>
      </c>
      <c r="K3694" t="s">
        <v>6062</v>
      </c>
      <c r="L3694" t="s">
        <v>9079</v>
      </c>
      <c r="M3694">
        <v>259.64999999999998</v>
      </c>
      <c r="N3694">
        <v>2</v>
      </c>
      <c r="O3694">
        <v>0.31</v>
      </c>
      <c r="P3694">
        <v>-35.78</v>
      </c>
      <c r="Q3694" t="s">
        <v>9896</v>
      </c>
      <c r="R3694">
        <v>4</v>
      </c>
      <c r="S3694" s="5">
        <f t="shared" si="114"/>
        <v>-0.13780088580781824</v>
      </c>
      <c r="T3694">
        <v>129.82499999999999</v>
      </c>
      <c r="U3694">
        <v>1</v>
      </c>
      <c r="V3694">
        <v>2023</v>
      </c>
      <c r="W3694">
        <v>1</v>
      </c>
      <c r="X3694" t="s">
        <v>9898</v>
      </c>
      <c r="Y3694" t="s">
        <v>9902</v>
      </c>
      <c r="Z3694" t="s">
        <v>9899</v>
      </c>
      <c r="AD3694">
        <f t="shared" si="115"/>
        <v>4</v>
      </c>
    </row>
    <row r="3695" spans="1:30" x14ac:dyDescent="0.25">
      <c r="A3695" t="s">
        <v>3719</v>
      </c>
      <c r="B3695" s="2">
        <v>44594</v>
      </c>
      <c r="C3695" s="2">
        <v>44600</v>
      </c>
      <c r="D3695" t="s">
        <v>5447</v>
      </c>
      <c r="E3695" t="s">
        <v>5947</v>
      </c>
      <c r="F3695" t="s">
        <v>6026</v>
      </c>
      <c r="G3695" t="s">
        <v>6031</v>
      </c>
      <c r="H3695" t="s">
        <v>6042</v>
      </c>
      <c r="I3695" t="s">
        <v>6048</v>
      </c>
      <c r="J3695" t="s">
        <v>6055</v>
      </c>
      <c r="K3695" t="s">
        <v>6064</v>
      </c>
      <c r="L3695" t="s">
        <v>8949</v>
      </c>
      <c r="M3695">
        <v>219.62</v>
      </c>
      <c r="N3695">
        <v>7</v>
      </c>
      <c r="O3695">
        <v>0.25</v>
      </c>
      <c r="P3695">
        <v>-12.6</v>
      </c>
      <c r="Q3695" t="s">
        <v>9895</v>
      </c>
      <c r="R3695">
        <v>6</v>
      </c>
      <c r="S3695" s="5">
        <f t="shared" si="114"/>
        <v>-5.7371824059739548E-2</v>
      </c>
      <c r="T3695">
        <v>31.374285714285719</v>
      </c>
      <c r="U3695">
        <v>2</v>
      </c>
      <c r="V3695">
        <v>2022</v>
      </c>
      <c r="W3695">
        <v>1</v>
      </c>
      <c r="X3695" t="s">
        <v>9898</v>
      </c>
      <c r="Y3695" t="s">
        <v>9900</v>
      </c>
      <c r="Z3695" t="s">
        <v>9899</v>
      </c>
      <c r="AD3695">
        <f t="shared" si="115"/>
        <v>6</v>
      </c>
    </row>
    <row r="3696" spans="1:30" x14ac:dyDescent="0.25">
      <c r="A3696" t="s">
        <v>3720</v>
      </c>
      <c r="B3696" s="2">
        <v>45248</v>
      </c>
      <c r="C3696" s="2">
        <v>45251</v>
      </c>
      <c r="D3696" t="s">
        <v>5221</v>
      </c>
      <c r="E3696" t="s">
        <v>5721</v>
      </c>
      <c r="F3696" t="s">
        <v>6028</v>
      </c>
      <c r="G3696" t="s">
        <v>6031</v>
      </c>
      <c r="H3696" t="s">
        <v>6042</v>
      </c>
      <c r="I3696" t="s">
        <v>6048</v>
      </c>
      <c r="J3696" t="s">
        <v>6053</v>
      </c>
      <c r="K3696" t="s">
        <v>6056</v>
      </c>
      <c r="L3696" t="s">
        <v>8156</v>
      </c>
      <c r="M3696">
        <v>598.51</v>
      </c>
      <c r="N3696">
        <v>1</v>
      </c>
      <c r="O3696">
        <v>0.23</v>
      </c>
      <c r="P3696">
        <v>26.86</v>
      </c>
      <c r="Q3696" t="s">
        <v>9896</v>
      </c>
      <c r="R3696">
        <v>3</v>
      </c>
      <c r="S3696" s="5">
        <f t="shared" si="114"/>
        <v>4.4878113983057924E-2</v>
      </c>
      <c r="T3696">
        <v>598.51</v>
      </c>
      <c r="U3696">
        <v>11</v>
      </c>
      <c r="V3696">
        <v>2023</v>
      </c>
      <c r="W3696">
        <v>4</v>
      </c>
      <c r="X3696" t="s">
        <v>9899</v>
      </c>
      <c r="Y3696" t="s">
        <v>9900</v>
      </c>
      <c r="Z3696" t="s">
        <v>9899</v>
      </c>
      <c r="AD3696">
        <f t="shared" si="115"/>
        <v>3</v>
      </c>
    </row>
    <row r="3697" spans="1:30" x14ac:dyDescent="0.25">
      <c r="A3697" t="s">
        <v>3721</v>
      </c>
      <c r="B3697" s="2">
        <v>45161</v>
      </c>
      <c r="C3697" s="2">
        <v>45165</v>
      </c>
      <c r="D3697" t="s">
        <v>5202</v>
      </c>
      <c r="E3697" t="s">
        <v>5702</v>
      </c>
      <c r="F3697" t="s">
        <v>6028</v>
      </c>
      <c r="G3697" t="s">
        <v>6030</v>
      </c>
      <c r="H3697" t="s">
        <v>6038</v>
      </c>
      <c r="I3697" t="s">
        <v>6051</v>
      </c>
      <c r="J3697" t="s">
        <v>6055</v>
      </c>
      <c r="K3697" t="s">
        <v>6064</v>
      </c>
      <c r="L3697" t="s">
        <v>9080</v>
      </c>
      <c r="M3697">
        <v>1817.02</v>
      </c>
      <c r="N3697">
        <v>7</v>
      </c>
      <c r="O3697">
        <v>0.32</v>
      </c>
      <c r="P3697">
        <v>-238.29</v>
      </c>
      <c r="Q3697" t="s">
        <v>9894</v>
      </c>
      <c r="R3697">
        <v>4</v>
      </c>
      <c r="S3697" s="5">
        <f t="shared" si="114"/>
        <v>-0.13114330056906362</v>
      </c>
      <c r="T3697">
        <v>259.57428571428568</v>
      </c>
      <c r="U3697">
        <v>8</v>
      </c>
      <c r="V3697">
        <v>2023</v>
      </c>
      <c r="W3697">
        <v>3</v>
      </c>
      <c r="X3697" t="s">
        <v>9898</v>
      </c>
      <c r="Y3697" t="s">
        <v>9902</v>
      </c>
      <c r="Z3697" t="s">
        <v>9898</v>
      </c>
      <c r="AD3697">
        <f t="shared" si="115"/>
        <v>4</v>
      </c>
    </row>
    <row r="3698" spans="1:30" x14ac:dyDescent="0.25">
      <c r="A3698" t="s">
        <v>3722</v>
      </c>
      <c r="B3698" s="2">
        <v>44616</v>
      </c>
      <c r="C3698" s="2">
        <v>44620</v>
      </c>
      <c r="D3698" t="s">
        <v>5263</v>
      </c>
      <c r="E3698" t="s">
        <v>5763</v>
      </c>
      <c r="F3698" t="s">
        <v>6027</v>
      </c>
      <c r="G3698" t="s">
        <v>6029</v>
      </c>
      <c r="H3698" t="s">
        <v>6032</v>
      </c>
      <c r="I3698" t="s">
        <v>6046</v>
      </c>
      <c r="J3698" t="s">
        <v>6055</v>
      </c>
      <c r="K3698" t="s">
        <v>6064</v>
      </c>
      <c r="L3698" t="s">
        <v>9081</v>
      </c>
      <c r="M3698">
        <v>157.05000000000001</v>
      </c>
      <c r="N3698">
        <v>6</v>
      </c>
      <c r="O3698">
        <v>0.28999999999999998</v>
      </c>
      <c r="P3698">
        <v>-29.1</v>
      </c>
      <c r="Q3698" t="s">
        <v>9896</v>
      </c>
      <c r="R3698">
        <v>4</v>
      </c>
      <c r="S3698" s="5">
        <f t="shared" si="114"/>
        <v>-0.18529130850047756</v>
      </c>
      <c r="T3698">
        <v>26.175000000000001</v>
      </c>
      <c r="U3698">
        <v>2</v>
      </c>
      <c r="V3698">
        <v>2022</v>
      </c>
      <c r="W3698">
        <v>1</v>
      </c>
      <c r="X3698" t="s">
        <v>9898</v>
      </c>
      <c r="Y3698" t="s">
        <v>9900</v>
      </c>
      <c r="Z3698" t="s">
        <v>9899</v>
      </c>
      <c r="AD3698">
        <f t="shared" si="115"/>
        <v>4</v>
      </c>
    </row>
    <row r="3699" spans="1:30" x14ac:dyDescent="0.25">
      <c r="A3699" t="s">
        <v>3723</v>
      </c>
      <c r="B3699" s="2">
        <v>45176</v>
      </c>
      <c r="C3699" s="2">
        <v>45180</v>
      </c>
      <c r="D3699" t="s">
        <v>5122</v>
      </c>
      <c r="E3699" t="s">
        <v>5622</v>
      </c>
      <c r="F3699" t="s">
        <v>6028</v>
      </c>
      <c r="G3699" t="s">
        <v>6030</v>
      </c>
      <c r="H3699" t="s">
        <v>6033</v>
      </c>
      <c r="I3699" t="s">
        <v>6051</v>
      </c>
      <c r="J3699" t="s">
        <v>6054</v>
      </c>
      <c r="K3699" t="s">
        <v>6059</v>
      </c>
      <c r="L3699" t="s">
        <v>9082</v>
      </c>
      <c r="M3699">
        <v>1379.59</v>
      </c>
      <c r="N3699">
        <v>5</v>
      </c>
      <c r="O3699">
        <v>0.1</v>
      </c>
      <c r="P3699">
        <v>100.77</v>
      </c>
      <c r="Q3699" t="s">
        <v>9893</v>
      </c>
      <c r="R3699">
        <v>4</v>
      </c>
      <c r="S3699" s="5">
        <f t="shared" si="114"/>
        <v>7.30434404424503E-2</v>
      </c>
      <c r="T3699">
        <v>275.91800000000001</v>
      </c>
      <c r="U3699">
        <v>9</v>
      </c>
      <c r="V3699">
        <v>2023</v>
      </c>
      <c r="W3699">
        <v>3</v>
      </c>
      <c r="X3699" t="s">
        <v>9899</v>
      </c>
      <c r="Y3699" t="s">
        <v>9901</v>
      </c>
      <c r="Z3699" t="s">
        <v>9898</v>
      </c>
      <c r="AD3699">
        <f t="shared" si="115"/>
        <v>4</v>
      </c>
    </row>
    <row r="3700" spans="1:30" x14ac:dyDescent="0.25">
      <c r="A3700" t="s">
        <v>3724</v>
      </c>
      <c r="B3700" s="2">
        <v>44995</v>
      </c>
      <c r="C3700" s="2">
        <v>45001</v>
      </c>
      <c r="D3700" t="s">
        <v>5292</v>
      </c>
      <c r="E3700" t="s">
        <v>5792</v>
      </c>
      <c r="F3700" t="s">
        <v>6028</v>
      </c>
      <c r="G3700" t="s">
        <v>6031</v>
      </c>
      <c r="H3700" t="s">
        <v>6037</v>
      </c>
      <c r="I3700" t="s">
        <v>6050</v>
      </c>
      <c r="J3700" t="s">
        <v>6054</v>
      </c>
      <c r="K3700" t="s">
        <v>6059</v>
      </c>
      <c r="L3700" t="s">
        <v>9083</v>
      </c>
      <c r="M3700">
        <v>934.52</v>
      </c>
      <c r="N3700">
        <v>3</v>
      </c>
      <c r="O3700">
        <v>0.22</v>
      </c>
      <c r="P3700">
        <v>-111.21</v>
      </c>
      <c r="Q3700" t="s">
        <v>9894</v>
      </c>
      <c r="R3700">
        <v>6</v>
      </c>
      <c r="S3700" s="5">
        <f t="shared" si="114"/>
        <v>-0.11900226854427941</v>
      </c>
      <c r="T3700">
        <v>311.50666666666672</v>
      </c>
      <c r="U3700">
        <v>3</v>
      </c>
      <c r="V3700">
        <v>2023</v>
      </c>
      <c r="W3700">
        <v>1</v>
      </c>
      <c r="X3700" t="s">
        <v>9898</v>
      </c>
      <c r="Y3700" t="s">
        <v>9900</v>
      </c>
      <c r="Z3700" t="s">
        <v>9899</v>
      </c>
      <c r="AD3700">
        <f t="shared" si="115"/>
        <v>6</v>
      </c>
    </row>
    <row r="3701" spans="1:30" x14ac:dyDescent="0.25">
      <c r="A3701" t="s">
        <v>3725</v>
      </c>
      <c r="B3701" s="2">
        <v>45354</v>
      </c>
      <c r="C3701" s="2">
        <v>45361</v>
      </c>
      <c r="D3701" t="s">
        <v>5175</v>
      </c>
      <c r="E3701" t="s">
        <v>5675</v>
      </c>
      <c r="F3701" t="s">
        <v>6027</v>
      </c>
      <c r="G3701" t="s">
        <v>6031</v>
      </c>
      <c r="H3701" t="s">
        <v>6040</v>
      </c>
      <c r="I3701" t="s">
        <v>6048</v>
      </c>
      <c r="J3701" t="s">
        <v>6053</v>
      </c>
      <c r="K3701" t="s">
        <v>6056</v>
      </c>
      <c r="L3701" t="s">
        <v>6507</v>
      </c>
      <c r="M3701">
        <v>1693.23</v>
      </c>
      <c r="N3701">
        <v>3</v>
      </c>
      <c r="O3701">
        <v>0.33</v>
      </c>
      <c r="P3701">
        <v>-256.32</v>
      </c>
      <c r="Q3701" t="s">
        <v>9895</v>
      </c>
      <c r="R3701">
        <v>7</v>
      </c>
      <c r="S3701" s="5">
        <f t="shared" si="114"/>
        <v>-0.15137931645435054</v>
      </c>
      <c r="T3701">
        <v>564.41</v>
      </c>
      <c r="U3701">
        <v>3</v>
      </c>
      <c r="V3701">
        <v>2024</v>
      </c>
      <c r="W3701">
        <v>1</v>
      </c>
      <c r="X3701" t="s">
        <v>9898</v>
      </c>
      <c r="Y3701" t="s">
        <v>9902</v>
      </c>
      <c r="Z3701" t="s">
        <v>9898</v>
      </c>
      <c r="AD3701">
        <f t="shared" si="115"/>
        <v>7</v>
      </c>
    </row>
    <row r="3702" spans="1:30" x14ac:dyDescent="0.25">
      <c r="A3702" t="s">
        <v>3726</v>
      </c>
      <c r="B3702" s="2">
        <v>45392</v>
      </c>
      <c r="C3702" s="2">
        <v>45394</v>
      </c>
      <c r="D3702" t="s">
        <v>5035</v>
      </c>
      <c r="E3702" t="s">
        <v>5535</v>
      </c>
      <c r="F3702" t="s">
        <v>6026</v>
      </c>
      <c r="G3702" t="s">
        <v>6030</v>
      </c>
      <c r="H3702" t="s">
        <v>6033</v>
      </c>
      <c r="I3702" t="s">
        <v>6047</v>
      </c>
      <c r="J3702" t="s">
        <v>6053</v>
      </c>
      <c r="K3702" t="s">
        <v>6058</v>
      </c>
      <c r="L3702" t="s">
        <v>9084</v>
      </c>
      <c r="M3702">
        <v>1755.39</v>
      </c>
      <c r="N3702">
        <v>2</v>
      </c>
      <c r="O3702">
        <v>0.19</v>
      </c>
      <c r="P3702">
        <v>-54.11</v>
      </c>
      <c r="Q3702" t="s">
        <v>9896</v>
      </c>
      <c r="R3702">
        <v>2</v>
      </c>
      <c r="S3702" s="5">
        <f t="shared" si="114"/>
        <v>-3.0825058818837976E-2</v>
      </c>
      <c r="T3702">
        <v>877.69500000000005</v>
      </c>
      <c r="U3702">
        <v>4</v>
      </c>
      <c r="V3702">
        <v>2024</v>
      </c>
      <c r="W3702">
        <v>2</v>
      </c>
      <c r="X3702" t="s">
        <v>9898</v>
      </c>
      <c r="Y3702" t="s">
        <v>9900</v>
      </c>
      <c r="Z3702" t="s">
        <v>9898</v>
      </c>
      <c r="AD3702">
        <f t="shared" si="115"/>
        <v>2</v>
      </c>
    </row>
    <row r="3703" spans="1:30" x14ac:dyDescent="0.25">
      <c r="A3703" t="s">
        <v>3727</v>
      </c>
      <c r="B3703" s="2">
        <v>45347</v>
      </c>
      <c r="C3703" s="2">
        <v>45350</v>
      </c>
      <c r="D3703" t="s">
        <v>5425</v>
      </c>
      <c r="E3703" t="s">
        <v>5925</v>
      </c>
      <c r="F3703" t="s">
        <v>6026</v>
      </c>
      <c r="G3703" t="s">
        <v>6031</v>
      </c>
      <c r="H3703" t="s">
        <v>6034</v>
      </c>
      <c r="I3703" t="s">
        <v>6052</v>
      </c>
      <c r="J3703" t="s">
        <v>6054</v>
      </c>
      <c r="K3703" t="s">
        <v>6059</v>
      </c>
      <c r="L3703" t="s">
        <v>7774</v>
      </c>
      <c r="M3703">
        <v>1300.6600000000001</v>
      </c>
      <c r="N3703">
        <v>8</v>
      </c>
      <c r="O3703">
        <v>0.17</v>
      </c>
      <c r="P3703">
        <v>145.43</v>
      </c>
      <c r="Q3703" t="s">
        <v>9896</v>
      </c>
      <c r="R3703">
        <v>3</v>
      </c>
      <c r="S3703" s="5">
        <f t="shared" si="114"/>
        <v>0.11181246444112988</v>
      </c>
      <c r="T3703">
        <v>162.58250000000001</v>
      </c>
      <c r="U3703">
        <v>2</v>
      </c>
      <c r="V3703">
        <v>2024</v>
      </c>
      <c r="W3703">
        <v>1</v>
      </c>
      <c r="X3703" t="s">
        <v>9899</v>
      </c>
      <c r="Y3703" t="s">
        <v>9900</v>
      </c>
      <c r="Z3703" t="s">
        <v>9898</v>
      </c>
      <c r="AD3703">
        <f t="shared" si="115"/>
        <v>3</v>
      </c>
    </row>
    <row r="3704" spans="1:30" x14ac:dyDescent="0.25">
      <c r="A3704" t="s">
        <v>3728</v>
      </c>
      <c r="B3704" s="2">
        <v>45112</v>
      </c>
      <c r="C3704" s="2">
        <v>45115</v>
      </c>
      <c r="D3704" t="s">
        <v>5486</v>
      </c>
      <c r="E3704" t="s">
        <v>5986</v>
      </c>
      <c r="F3704" t="s">
        <v>6026</v>
      </c>
      <c r="G3704" t="s">
        <v>6031</v>
      </c>
      <c r="H3704" t="s">
        <v>6037</v>
      </c>
      <c r="I3704" t="s">
        <v>6050</v>
      </c>
      <c r="J3704" t="s">
        <v>6055</v>
      </c>
      <c r="K3704" t="s">
        <v>6064</v>
      </c>
      <c r="L3704" t="s">
        <v>6707</v>
      </c>
      <c r="M3704">
        <v>493.61</v>
      </c>
      <c r="N3704">
        <v>4</v>
      </c>
      <c r="O3704">
        <v>0.17</v>
      </c>
      <c r="P3704">
        <v>-26.95</v>
      </c>
      <c r="Q3704" t="s">
        <v>9894</v>
      </c>
      <c r="R3704">
        <v>3</v>
      </c>
      <c r="S3704" s="5">
        <f t="shared" si="114"/>
        <v>-5.4597759364680615E-2</v>
      </c>
      <c r="T3704">
        <v>123.4025</v>
      </c>
      <c r="U3704">
        <v>7</v>
      </c>
      <c r="V3704">
        <v>2023</v>
      </c>
      <c r="W3704">
        <v>3</v>
      </c>
      <c r="X3704" t="s">
        <v>9898</v>
      </c>
      <c r="Y3704" t="s">
        <v>9900</v>
      </c>
      <c r="Z3704" t="s">
        <v>9899</v>
      </c>
      <c r="AD3704">
        <f t="shared" si="115"/>
        <v>3</v>
      </c>
    </row>
    <row r="3705" spans="1:30" x14ac:dyDescent="0.25">
      <c r="A3705" t="s">
        <v>3729</v>
      </c>
      <c r="B3705" s="2">
        <v>44939</v>
      </c>
      <c r="C3705" s="2">
        <v>44942</v>
      </c>
      <c r="D3705" t="s">
        <v>5482</v>
      </c>
      <c r="E3705" t="s">
        <v>5982</v>
      </c>
      <c r="F3705" t="s">
        <v>6026</v>
      </c>
      <c r="G3705" t="s">
        <v>6029</v>
      </c>
      <c r="H3705" t="s">
        <v>6044</v>
      </c>
      <c r="I3705" t="s">
        <v>6046</v>
      </c>
      <c r="J3705" t="s">
        <v>6054</v>
      </c>
      <c r="K3705" t="s">
        <v>6059</v>
      </c>
      <c r="L3705" t="s">
        <v>9085</v>
      </c>
      <c r="M3705">
        <v>860.51</v>
      </c>
      <c r="N3705">
        <v>7</v>
      </c>
      <c r="O3705">
        <v>0.15</v>
      </c>
      <c r="P3705">
        <v>33.74</v>
      </c>
      <c r="Q3705" t="s">
        <v>9896</v>
      </c>
      <c r="R3705">
        <v>3</v>
      </c>
      <c r="S3705" s="5">
        <f t="shared" si="114"/>
        <v>3.920930610916782E-2</v>
      </c>
      <c r="T3705">
        <v>122.93</v>
      </c>
      <c r="U3705">
        <v>1</v>
      </c>
      <c r="V3705">
        <v>2023</v>
      </c>
      <c r="W3705">
        <v>1</v>
      </c>
      <c r="X3705" t="s">
        <v>9899</v>
      </c>
      <c r="Y3705" t="s">
        <v>9901</v>
      </c>
      <c r="Z3705" t="s">
        <v>9899</v>
      </c>
      <c r="AD3705">
        <f t="shared" si="115"/>
        <v>3</v>
      </c>
    </row>
    <row r="3706" spans="1:30" x14ac:dyDescent="0.25">
      <c r="A3706" t="s">
        <v>3730</v>
      </c>
      <c r="B3706" s="2">
        <v>45125</v>
      </c>
      <c r="C3706" s="2">
        <v>45130</v>
      </c>
      <c r="D3706" t="s">
        <v>5422</v>
      </c>
      <c r="E3706" t="s">
        <v>5922</v>
      </c>
      <c r="F3706" t="s">
        <v>6027</v>
      </c>
      <c r="G3706" t="s">
        <v>6030</v>
      </c>
      <c r="H3706" t="s">
        <v>6035</v>
      </c>
      <c r="I3706" t="s">
        <v>6051</v>
      </c>
      <c r="J3706" t="s">
        <v>6055</v>
      </c>
      <c r="K3706" t="s">
        <v>6061</v>
      </c>
      <c r="L3706" t="s">
        <v>8411</v>
      </c>
      <c r="M3706">
        <v>1626.19</v>
      </c>
      <c r="N3706">
        <v>1</v>
      </c>
      <c r="O3706">
        <v>0.26</v>
      </c>
      <c r="P3706">
        <v>-106.66</v>
      </c>
      <c r="Q3706" t="s">
        <v>9894</v>
      </c>
      <c r="R3706">
        <v>5</v>
      </c>
      <c r="S3706" s="5">
        <f t="shared" si="114"/>
        <v>-6.5588891826908288E-2</v>
      </c>
      <c r="T3706">
        <v>1626.19</v>
      </c>
      <c r="U3706">
        <v>7</v>
      </c>
      <c r="V3706">
        <v>2023</v>
      </c>
      <c r="W3706">
        <v>3</v>
      </c>
      <c r="X3706" t="s">
        <v>9898</v>
      </c>
      <c r="Y3706" t="s">
        <v>9900</v>
      </c>
      <c r="Z3706" t="s">
        <v>9898</v>
      </c>
      <c r="AD3706">
        <f t="shared" si="115"/>
        <v>5</v>
      </c>
    </row>
    <row r="3707" spans="1:30" x14ac:dyDescent="0.25">
      <c r="A3707" t="s">
        <v>3731</v>
      </c>
      <c r="B3707" s="2">
        <v>44631</v>
      </c>
      <c r="C3707" s="2">
        <v>44632</v>
      </c>
      <c r="D3707" t="s">
        <v>5482</v>
      </c>
      <c r="E3707" t="s">
        <v>5982</v>
      </c>
      <c r="F3707" t="s">
        <v>6027</v>
      </c>
      <c r="G3707" t="s">
        <v>6030</v>
      </c>
      <c r="H3707" t="s">
        <v>6039</v>
      </c>
      <c r="I3707" t="s">
        <v>6051</v>
      </c>
      <c r="J3707" t="s">
        <v>6053</v>
      </c>
      <c r="K3707" t="s">
        <v>6056</v>
      </c>
      <c r="L3707" t="s">
        <v>8236</v>
      </c>
      <c r="M3707">
        <v>1990.99</v>
      </c>
      <c r="N3707">
        <v>1</v>
      </c>
      <c r="O3707">
        <v>0.11</v>
      </c>
      <c r="P3707">
        <v>356.89</v>
      </c>
      <c r="Q3707" t="s">
        <v>9893</v>
      </c>
      <c r="R3707">
        <v>1</v>
      </c>
      <c r="S3707" s="5">
        <f t="shared" si="114"/>
        <v>0.17925253265963162</v>
      </c>
      <c r="T3707">
        <v>1990.99</v>
      </c>
      <c r="U3707">
        <v>3</v>
      </c>
      <c r="V3707">
        <v>2022</v>
      </c>
      <c r="W3707">
        <v>1</v>
      </c>
      <c r="X3707" t="s">
        <v>9899</v>
      </c>
      <c r="Y3707" t="s">
        <v>9901</v>
      </c>
      <c r="Z3707" t="s">
        <v>9898</v>
      </c>
      <c r="AD3707">
        <f t="shared" si="115"/>
        <v>1</v>
      </c>
    </row>
    <row r="3708" spans="1:30" x14ac:dyDescent="0.25">
      <c r="A3708" t="s">
        <v>3732</v>
      </c>
      <c r="B3708" s="2">
        <v>45289</v>
      </c>
      <c r="C3708" s="2">
        <v>45296</v>
      </c>
      <c r="D3708" t="s">
        <v>5202</v>
      </c>
      <c r="E3708" t="s">
        <v>5702</v>
      </c>
      <c r="F3708" t="s">
        <v>6028</v>
      </c>
      <c r="G3708" t="s">
        <v>6031</v>
      </c>
      <c r="H3708" t="s">
        <v>6034</v>
      </c>
      <c r="I3708" t="s">
        <v>6048</v>
      </c>
      <c r="J3708" t="s">
        <v>6053</v>
      </c>
      <c r="K3708" t="s">
        <v>6056</v>
      </c>
      <c r="L3708" t="s">
        <v>9086</v>
      </c>
      <c r="M3708">
        <v>1009.62</v>
      </c>
      <c r="N3708">
        <v>2</v>
      </c>
      <c r="O3708">
        <v>0.17</v>
      </c>
      <c r="P3708">
        <v>57.46</v>
      </c>
      <c r="Q3708" t="s">
        <v>9894</v>
      </c>
      <c r="R3708">
        <v>7</v>
      </c>
      <c r="S3708" s="5">
        <f t="shared" si="114"/>
        <v>5.6912501733325412E-2</v>
      </c>
      <c r="T3708">
        <v>504.81</v>
      </c>
      <c r="U3708">
        <v>12</v>
      </c>
      <c r="V3708">
        <v>2023</v>
      </c>
      <c r="W3708">
        <v>4</v>
      </c>
      <c r="X3708" t="s">
        <v>9899</v>
      </c>
      <c r="Y3708" t="s">
        <v>9900</v>
      </c>
      <c r="Z3708" t="s">
        <v>9898</v>
      </c>
      <c r="AD3708">
        <f t="shared" si="115"/>
        <v>7</v>
      </c>
    </row>
    <row r="3709" spans="1:30" x14ac:dyDescent="0.25">
      <c r="A3709" t="s">
        <v>3733</v>
      </c>
      <c r="B3709" s="2">
        <v>45047</v>
      </c>
      <c r="C3709" s="2">
        <v>45048</v>
      </c>
      <c r="D3709" t="s">
        <v>5523</v>
      </c>
      <c r="E3709" t="s">
        <v>6023</v>
      </c>
      <c r="F3709" t="s">
        <v>6026</v>
      </c>
      <c r="G3709" t="s">
        <v>6029</v>
      </c>
      <c r="H3709" t="s">
        <v>6041</v>
      </c>
      <c r="I3709" t="s">
        <v>6050</v>
      </c>
      <c r="J3709" t="s">
        <v>6053</v>
      </c>
      <c r="K3709" t="s">
        <v>6056</v>
      </c>
      <c r="L3709" t="s">
        <v>9087</v>
      </c>
      <c r="M3709">
        <v>1496.08</v>
      </c>
      <c r="N3709">
        <v>6</v>
      </c>
      <c r="O3709">
        <v>0.01</v>
      </c>
      <c r="P3709">
        <v>374.23</v>
      </c>
      <c r="Q3709" t="s">
        <v>9895</v>
      </c>
      <c r="R3709">
        <v>1</v>
      </c>
      <c r="S3709" s="5">
        <f t="shared" si="114"/>
        <v>0.2501403668253035</v>
      </c>
      <c r="T3709">
        <v>249.34666666666669</v>
      </c>
      <c r="U3709">
        <v>5</v>
      </c>
      <c r="V3709">
        <v>2023</v>
      </c>
      <c r="W3709">
        <v>2</v>
      </c>
      <c r="X3709" t="s">
        <v>9899</v>
      </c>
      <c r="Y3709" t="s">
        <v>9901</v>
      </c>
      <c r="Z3709" t="s">
        <v>9898</v>
      </c>
      <c r="AD3709">
        <f t="shared" si="115"/>
        <v>1</v>
      </c>
    </row>
    <row r="3710" spans="1:30" x14ac:dyDescent="0.25">
      <c r="A3710" t="s">
        <v>3734</v>
      </c>
      <c r="B3710" s="2">
        <v>45405</v>
      </c>
      <c r="C3710" s="2">
        <v>45411</v>
      </c>
      <c r="D3710" t="s">
        <v>5163</v>
      </c>
      <c r="E3710" t="s">
        <v>5663</v>
      </c>
      <c r="F3710" t="s">
        <v>6027</v>
      </c>
      <c r="G3710" t="s">
        <v>6029</v>
      </c>
      <c r="H3710" t="s">
        <v>6044</v>
      </c>
      <c r="I3710" t="s">
        <v>6050</v>
      </c>
      <c r="J3710" t="s">
        <v>6055</v>
      </c>
      <c r="K3710" t="s">
        <v>6061</v>
      </c>
      <c r="L3710" t="s">
        <v>9088</v>
      </c>
      <c r="M3710">
        <v>1941.86</v>
      </c>
      <c r="N3710">
        <v>7</v>
      </c>
      <c r="O3710">
        <v>0.28000000000000003</v>
      </c>
      <c r="P3710">
        <v>-189.06</v>
      </c>
      <c r="Q3710" t="s">
        <v>9897</v>
      </c>
      <c r="R3710">
        <v>6</v>
      </c>
      <c r="S3710" s="5">
        <f t="shared" si="114"/>
        <v>-9.7360262840781531E-2</v>
      </c>
      <c r="T3710">
        <v>277.40857142857141</v>
      </c>
      <c r="U3710">
        <v>4</v>
      </c>
      <c r="V3710">
        <v>2024</v>
      </c>
      <c r="W3710">
        <v>2</v>
      </c>
      <c r="X3710" t="s">
        <v>9898</v>
      </c>
      <c r="Y3710" t="s">
        <v>9900</v>
      </c>
      <c r="Z3710" t="s">
        <v>9898</v>
      </c>
      <c r="AD3710">
        <f t="shared" si="115"/>
        <v>6</v>
      </c>
    </row>
    <row r="3711" spans="1:30" x14ac:dyDescent="0.25">
      <c r="A3711" t="s">
        <v>3735</v>
      </c>
      <c r="B3711" s="2">
        <v>44661</v>
      </c>
      <c r="C3711" s="2">
        <v>44667</v>
      </c>
      <c r="D3711" t="s">
        <v>5287</v>
      </c>
      <c r="E3711" t="s">
        <v>5787</v>
      </c>
      <c r="F3711" t="s">
        <v>6027</v>
      </c>
      <c r="G3711" t="s">
        <v>6030</v>
      </c>
      <c r="H3711" t="s">
        <v>6033</v>
      </c>
      <c r="I3711" t="s">
        <v>6051</v>
      </c>
      <c r="J3711" t="s">
        <v>6053</v>
      </c>
      <c r="K3711" t="s">
        <v>6057</v>
      </c>
      <c r="L3711" t="s">
        <v>6777</v>
      </c>
      <c r="M3711">
        <v>264.08999999999997</v>
      </c>
      <c r="N3711">
        <v>5</v>
      </c>
      <c r="O3711">
        <v>0.1</v>
      </c>
      <c r="P3711">
        <v>9.3000000000000007</v>
      </c>
      <c r="Q3711" t="s">
        <v>9895</v>
      </c>
      <c r="R3711">
        <v>6</v>
      </c>
      <c r="S3711" s="5">
        <f t="shared" si="114"/>
        <v>3.5215267522435541E-2</v>
      </c>
      <c r="T3711">
        <v>52.817999999999998</v>
      </c>
      <c r="U3711">
        <v>4</v>
      </c>
      <c r="V3711">
        <v>2022</v>
      </c>
      <c r="W3711">
        <v>2</v>
      </c>
      <c r="X3711" t="s">
        <v>9899</v>
      </c>
      <c r="Y3711" t="s">
        <v>9901</v>
      </c>
      <c r="Z3711" t="s">
        <v>9899</v>
      </c>
      <c r="AD3711">
        <f t="shared" si="115"/>
        <v>6</v>
      </c>
    </row>
    <row r="3712" spans="1:30" x14ac:dyDescent="0.25">
      <c r="A3712" t="s">
        <v>3736</v>
      </c>
      <c r="B3712" s="2">
        <v>45346</v>
      </c>
      <c r="C3712" s="2">
        <v>45349</v>
      </c>
      <c r="D3712" t="s">
        <v>5525</v>
      </c>
      <c r="E3712" t="s">
        <v>6025</v>
      </c>
      <c r="F3712" t="s">
        <v>6028</v>
      </c>
      <c r="G3712" t="s">
        <v>6030</v>
      </c>
      <c r="H3712" t="s">
        <v>6035</v>
      </c>
      <c r="I3712" t="s">
        <v>6047</v>
      </c>
      <c r="J3712" t="s">
        <v>6054</v>
      </c>
      <c r="K3712" t="s">
        <v>6060</v>
      </c>
      <c r="L3712" t="s">
        <v>9089</v>
      </c>
      <c r="M3712">
        <v>483.83</v>
      </c>
      <c r="N3712">
        <v>4</v>
      </c>
      <c r="O3712">
        <v>0.04</v>
      </c>
      <c r="P3712">
        <v>49.95</v>
      </c>
      <c r="Q3712" t="s">
        <v>9893</v>
      </c>
      <c r="R3712">
        <v>3</v>
      </c>
      <c r="S3712" s="5">
        <f t="shared" si="114"/>
        <v>0.10323874088006119</v>
      </c>
      <c r="T3712">
        <v>120.9575</v>
      </c>
      <c r="U3712">
        <v>2</v>
      </c>
      <c r="V3712">
        <v>2024</v>
      </c>
      <c r="W3712">
        <v>1</v>
      </c>
      <c r="X3712" t="s">
        <v>9899</v>
      </c>
      <c r="Y3712" t="s">
        <v>9901</v>
      </c>
      <c r="Z3712" t="s">
        <v>9899</v>
      </c>
      <c r="AD3712">
        <f t="shared" si="115"/>
        <v>3</v>
      </c>
    </row>
    <row r="3713" spans="1:30" x14ac:dyDescent="0.25">
      <c r="A3713" t="s">
        <v>3737</v>
      </c>
      <c r="B3713" s="2">
        <v>45066</v>
      </c>
      <c r="C3713" s="2">
        <v>45072</v>
      </c>
      <c r="D3713" t="s">
        <v>5310</v>
      </c>
      <c r="E3713" t="s">
        <v>5810</v>
      </c>
      <c r="F3713" t="s">
        <v>6027</v>
      </c>
      <c r="G3713" t="s">
        <v>6031</v>
      </c>
      <c r="H3713" t="s">
        <v>6043</v>
      </c>
      <c r="I3713" t="s">
        <v>6052</v>
      </c>
      <c r="J3713" t="s">
        <v>6053</v>
      </c>
      <c r="K3713" t="s">
        <v>6058</v>
      </c>
      <c r="L3713" t="s">
        <v>9090</v>
      </c>
      <c r="M3713">
        <v>1374.22</v>
      </c>
      <c r="N3713">
        <v>1</v>
      </c>
      <c r="O3713">
        <v>0.02</v>
      </c>
      <c r="P3713">
        <v>356.85</v>
      </c>
      <c r="Q3713" t="s">
        <v>9895</v>
      </c>
      <c r="R3713">
        <v>6</v>
      </c>
      <c r="S3713" s="5">
        <f t="shared" si="114"/>
        <v>0.25967457903392471</v>
      </c>
      <c r="T3713">
        <v>1374.22</v>
      </c>
      <c r="U3713">
        <v>5</v>
      </c>
      <c r="V3713">
        <v>2023</v>
      </c>
      <c r="W3713">
        <v>2</v>
      </c>
      <c r="X3713" t="s">
        <v>9899</v>
      </c>
      <c r="Y3713" t="s">
        <v>9901</v>
      </c>
      <c r="Z3713" t="s">
        <v>9898</v>
      </c>
      <c r="AD3713">
        <f t="shared" si="115"/>
        <v>6</v>
      </c>
    </row>
    <row r="3714" spans="1:30" x14ac:dyDescent="0.25">
      <c r="A3714" t="s">
        <v>3738</v>
      </c>
      <c r="B3714" s="2">
        <v>45158</v>
      </c>
      <c r="C3714" s="2">
        <v>45164</v>
      </c>
      <c r="D3714" t="s">
        <v>5247</v>
      </c>
      <c r="E3714" t="s">
        <v>5747</v>
      </c>
      <c r="F3714" t="s">
        <v>6028</v>
      </c>
      <c r="G3714" t="s">
        <v>6030</v>
      </c>
      <c r="H3714" t="s">
        <v>6039</v>
      </c>
      <c r="I3714" t="s">
        <v>6047</v>
      </c>
      <c r="J3714" t="s">
        <v>6055</v>
      </c>
      <c r="K3714" t="s">
        <v>6063</v>
      </c>
      <c r="L3714" t="s">
        <v>9091</v>
      </c>
      <c r="M3714">
        <v>327.24</v>
      </c>
      <c r="N3714">
        <v>6</v>
      </c>
      <c r="O3714">
        <v>0.11</v>
      </c>
      <c r="P3714">
        <v>61.08</v>
      </c>
      <c r="Q3714" t="s">
        <v>9894</v>
      </c>
      <c r="R3714">
        <v>6</v>
      </c>
      <c r="S3714" s="5">
        <f t="shared" si="114"/>
        <v>0.18665199853318665</v>
      </c>
      <c r="T3714">
        <v>54.54</v>
      </c>
      <c r="U3714">
        <v>8</v>
      </c>
      <c r="V3714">
        <v>2023</v>
      </c>
      <c r="W3714">
        <v>3</v>
      </c>
      <c r="X3714" t="s">
        <v>9899</v>
      </c>
      <c r="Y3714" t="s">
        <v>9901</v>
      </c>
      <c r="Z3714" t="s">
        <v>9899</v>
      </c>
      <c r="AD3714">
        <f t="shared" si="115"/>
        <v>6</v>
      </c>
    </row>
    <row r="3715" spans="1:30" x14ac:dyDescent="0.25">
      <c r="A3715" t="s">
        <v>3739</v>
      </c>
      <c r="B3715" s="2">
        <v>45321</v>
      </c>
      <c r="C3715" s="2">
        <v>45327</v>
      </c>
      <c r="D3715" t="s">
        <v>5498</v>
      </c>
      <c r="E3715" t="s">
        <v>5998</v>
      </c>
      <c r="F3715" t="s">
        <v>6028</v>
      </c>
      <c r="G3715" t="s">
        <v>6029</v>
      </c>
      <c r="H3715" t="s">
        <v>6036</v>
      </c>
      <c r="I3715" t="s">
        <v>6046</v>
      </c>
      <c r="J3715" t="s">
        <v>6053</v>
      </c>
      <c r="K3715" t="s">
        <v>6056</v>
      </c>
      <c r="L3715" t="s">
        <v>6387</v>
      </c>
      <c r="M3715">
        <v>1239.79</v>
      </c>
      <c r="N3715">
        <v>3</v>
      </c>
      <c r="O3715">
        <v>0.27</v>
      </c>
      <c r="P3715">
        <v>10.64</v>
      </c>
      <c r="Q3715" t="s">
        <v>9897</v>
      </c>
      <c r="R3715">
        <v>6</v>
      </c>
      <c r="S3715" s="5">
        <f t="shared" ref="S3715:S3778" si="116">P3715/M3715</f>
        <v>8.5820985812113341E-3</v>
      </c>
      <c r="T3715">
        <v>413.26333333333332</v>
      </c>
      <c r="U3715">
        <v>1</v>
      </c>
      <c r="V3715">
        <v>2024</v>
      </c>
      <c r="W3715">
        <v>1</v>
      </c>
      <c r="X3715" t="s">
        <v>9899</v>
      </c>
      <c r="Y3715" t="s">
        <v>9900</v>
      </c>
      <c r="Z3715" t="s">
        <v>9898</v>
      </c>
      <c r="AD3715">
        <f t="shared" ref="AD3715:AD3778" si="117">C3715-B3715</f>
        <v>6</v>
      </c>
    </row>
    <row r="3716" spans="1:30" x14ac:dyDescent="0.25">
      <c r="A3716" t="s">
        <v>3740</v>
      </c>
      <c r="B3716" s="2">
        <v>45007</v>
      </c>
      <c r="C3716" s="2">
        <v>45008</v>
      </c>
      <c r="D3716" t="s">
        <v>5078</v>
      </c>
      <c r="E3716" t="s">
        <v>5578</v>
      </c>
      <c r="F3716" t="s">
        <v>6026</v>
      </c>
      <c r="G3716" t="s">
        <v>6031</v>
      </c>
      <c r="H3716" t="s">
        <v>6034</v>
      </c>
      <c r="I3716" t="s">
        <v>6052</v>
      </c>
      <c r="J3716" t="s">
        <v>6054</v>
      </c>
      <c r="K3716" t="s">
        <v>6060</v>
      </c>
      <c r="L3716" t="s">
        <v>9092</v>
      </c>
      <c r="M3716">
        <v>648.61</v>
      </c>
      <c r="N3716">
        <v>6</v>
      </c>
      <c r="O3716">
        <v>0.19</v>
      </c>
      <c r="P3716">
        <v>56</v>
      </c>
      <c r="Q3716" t="s">
        <v>9893</v>
      </c>
      <c r="R3716">
        <v>1</v>
      </c>
      <c r="S3716" s="5">
        <f t="shared" si="116"/>
        <v>8.63384776676277E-2</v>
      </c>
      <c r="T3716">
        <v>108.1016666666667</v>
      </c>
      <c r="U3716">
        <v>3</v>
      </c>
      <c r="V3716">
        <v>2023</v>
      </c>
      <c r="W3716">
        <v>1</v>
      </c>
      <c r="X3716" t="s">
        <v>9899</v>
      </c>
      <c r="Y3716" t="s">
        <v>9900</v>
      </c>
      <c r="Z3716" t="s">
        <v>9899</v>
      </c>
      <c r="AD3716">
        <f t="shared" si="117"/>
        <v>1</v>
      </c>
    </row>
    <row r="3717" spans="1:30" x14ac:dyDescent="0.25">
      <c r="A3717" t="s">
        <v>3741</v>
      </c>
      <c r="B3717" s="2">
        <v>45291</v>
      </c>
      <c r="C3717" s="2">
        <v>45294</v>
      </c>
      <c r="D3717" t="s">
        <v>5481</v>
      </c>
      <c r="E3717" t="s">
        <v>5981</v>
      </c>
      <c r="F3717" t="s">
        <v>6028</v>
      </c>
      <c r="G3717" t="s">
        <v>6031</v>
      </c>
      <c r="H3717" t="s">
        <v>6040</v>
      </c>
      <c r="I3717" t="s">
        <v>6050</v>
      </c>
      <c r="J3717" t="s">
        <v>6055</v>
      </c>
      <c r="K3717" t="s">
        <v>6063</v>
      </c>
      <c r="L3717" t="s">
        <v>7100</v>
      </c>
      <c r="M3717">
        <v>940.85</v>
      </c>
      <c r="N3717">
        <v>3</v>
      </c>
      <c r="O3717">
        <v>0.26</v>
      </c>
      <c r="P3717">
        <v>-69.11</v>
      </c>
      <c r="Q3717" t="s">
        <v>9897</v>
      </c>
      <c r="R3717">
        <v>3</v>
      </c>
      <c r="S3717" s="5">
        <f t="shared" si="116"/>
        <v>-7.3454854652707652E-2</v>
      </c>
      <c r="T3717">
        <v>313.61666666666667</v>
      </c>
      <c r="U3717">
        <v>12</v>
      </c>
      <c r="V3717">
        <v>2023</v>
      </c>
      <c r="W3717">
        <v>4</v>
      </c>
      <c r="X3717" t="s">
        <v>9898</v>
      </c>
      <c r="Y3717" t="s">
        <v>9900</v>
      </c>
      <c r="Z3717" t="s">
        <v>9899</v>
      </c>
      <c r="AD3717">
        <f t="shared" si="117"/>
        <v>3</v>
      </c>
    </row>
    <row r="3718" spans="1:30" x14ac:dyDescent="0.25">
      <c r="A3718" t="s">
        <v>3742</v>
      </c>
      <c r="B3718" s="2">
        <v>45190</v>
      </c>
      <c r="C3718" s="2">
        <v>45192</v>
      </c>
      <c r="D3718" t="s">
        <v>5070</v>
      </c>
      <c r="E3718" t="s">
        <v>5570</v>
      </c>
      <c r="F3718" t="s">
        <v>6027</v>
      </c>
      <c r="G3718" t="s">
        <v>6030</v>
      </c>
      <c r="H3718" t="s">
        <v>6039</v>
      </c>
      <c r="I3718" t="s">
        <v>6047</v>
      </c>
      <c r="J3718" t="s">
        <v>6053</v>
      </c>
      <c r="K3718" t="s">
        <v>6056</v>
      </c>
      <c r="L3718" t="s">
        <v>9093</v>
      </c>
      <c r="M3718">
        <v>1064.92</v>
      </c>
      <c r="N3718">
        <v>5</v>
      </c>
      <c r="O3718">
        <v>0.02</v>
      </c>
      <c r="P3718">
        <v>242.88</v>
      </c>
      <c r="Q3718" t="s">
        <v>9897</v>
      </c>
      <c r="R3718">
        <v>2</v>
      </c>
      <c r="S3718" s="5">
        <f t="shared" si="116"/>
        <v>0.22807347030762873</v>
      </c>
      <c r="T3718">
        <v>212.98400000000001</v>
      </c>
      <c r="U3718">
        <v>9</v>
      </c>
      <c r="V3718">
        <v>2023</v>
      </c>
      <c r="W3718">
        <v>3</v>
      </c>
      <c r="X3718" t="s">
        <v>9899</v>
      </c>
      <c r="Y3718" t="s">
        <v>9901</v>
      </c>
      <c r="Z3718" t="s">
        <v>9898</v>
      </c>
      <c r="AD3718">
        <f t="shared" si="117"/>
        <v>2</v>
      </c>
    </row>
    <row r="3719" spans="1:30" x14ac:dyDescent="0.25">
      <c r="A3719" t="s">
        <v>3743</v>
      </c>
      <c r="B3719" s="2">
        <v>44604</v>
      </c>
      <c r="C3719" s="2">
        <v>44605</v>
      </c>
      <c r="D3719" t="s">
        <v>5516</v>
      </c>
      <c r="E3719" t="s">
        <v>6016</v>
      </c>
      <c r="F3719" t="s">
        <v>6028</v>
      </c>
      <c r="G3719" t="s">
        <v>6031</v>
      </c>
      <c r="H3719" t="s">
        <v>6037</v>
      </c>
      <c r="I3719" t="s">
        <v>6048</v>
      </c>
      <c r="J3719" t="s">
        <v>6053</v>
      </c>
      <c r="K3719" t="s">
        <v>6058</v>
      </c>
      <c r="L3719" t="s">
        <v>9094</v>
      </c>
      <c r="M3719">
        <v>475</v>
      </c>
      <c r="N3719">
        <v>6</v>
      </c>
      <c r="O3719">
        <v>0.17</v>
      </c>
      <c r="P3719">
        <v>9.92</v>
      </c>
      <c r="Q3719" t="s">
        <v>9893</v>
      </c>
      <c r="R3719">
        <v>1</v>
      </c>
      <c r="S3719" s="5">
        <f t="shared" si="116"/>
        <v>2.088421052631579E-2</v>
      </c>
      <c r="T3719">
        <v>79.166666666666671</v>
      </c>
      <c r="U3719">
        <v>2</v>
      </c>
      <c r="V3719">
        <v>2022</v>
      </c>
      <c r="W3719">
        <v>1</v>
      </c>
      <c r="X3719" t="s">
        <v>9899</v>
      </c>
      <c r="Y3719" t="s">
        <v>9900</v>
      </c>
      <c r="Z3719" t="s">
        <v>9899</v>
      </c>
      <c r="AD3719">
        <f t="shared" si="117"/>
        <v>1</v>
      </c>
    </row>
    <row r="3720" spans="1:30" x14ac:dyDescent="0.25">
      <c r="A3720" t="s">
        <v>3744</v>
      </c>
      <c r="B3720" s="2">
        <v>45388</v>
      </c>
      <c r="C3720" s="2">
        <v>45389</v>
      </c>
      <c r="D3720" t="s">
        <v>5524</v>
      </c>
      <c r="E3720" t="s">
        <v>6024</v>
      </c>
      <c r="F3720" t="s">
        <v>6026</v>
      </c>
      <c r="G3720" t="s">
        <v>6030</v>
      </c>
      <c r="H3720" t="s">
        <v>6035</v>
      </c>
      <c r="I3720" t="s">
        <v>6051</v>
      </c>
      <c r="J3720" t="s">
        <v>6055</v>
      </c>
      <c r="K3720" t="s">
        <v>6064</v>
      </c>
      <c r="L3720" t="s">
        <v>8439</v>
      </c>
      <c r="M3720">
        <v>813.56</v>
      </c>
      <c r="N3720">
        <v>1</v>
      </c>
      <c r="O3720">
        <v>0.32</v>
      </c>
      <c r="P3720">
        <v>-120.87</v>
      </c>
      <c r="Q3720" t="s">
        <v>9893</v>
      </c>
      <c r="R3720">
        <v>1</v>
      </c>
      <c r="S3720" s="5">
        <f t="shared" si="116"/>
        <v>-0.1485692511922907</v>
      </c>
      <c r="T3720">
        <v>813.56</v>
      </c>
      <c r="U3720">
        <v>4</v>
      </c>
      <c r="V3720">
        <v>2024</v>
      </c>
      <c r="W3720">
        <v>2</v>
      </c>
      <c r="X3720" t="s">
        <v>9898</v>
      </c>
      <c r="Y3720" t="s">
        <v>9902</v>
      </c>
      <c r="Z3720" t="s">
        <v>9899</v>
      </c>
      <c r="AD3720">
        <f t="shared" si="117"/>
        <v>1</v>
      </c>
    </row>
    <row r="3721" spans="1:30" x14ac:dyDescent="0.25">
      <c r="A3721" t="s">
        <v>3745</v>
      </c>
      <c r="B3721" s="2">
        <v>45328</v>
      </c>
      <c r="C3721" s="2">
        <v>45331</v>
      </c>
      <c r="D3721" t="s">
        <v>5255</v>
      </c>
      <c r="E3721" t="s">
        <v>5755</v>
      </c>
      <c r="F3721" t="s">
        <v>6027</v>
      </c>
      <c r="G3721" t="s">
        <v>6030</v>
      </c>
      <c r="H3721" t="s">
        <v>6035</v>
      </c>
      <c r="I3721" t="s">
        <v>6047</v>
      </c>
      <c r="J3721" t="s">
        <v>6054</v>
      </c>
      <c r="K3721" t="s">
        <v>6059</v>
      </c>
      <c r="L3721" t="s">
        <v>7053</v>
      </c>
      <c r="M3721">
        <v>1521.15</v>
      </c>
      <c r="N3721">
        <v>6</v>
      </c>
      <c r="O3721">
        <v>0.21</v>
      </c>
      <c r="P3721">
        <v>-4.1100000000000003</v>
      </c>
      <c r="Q3721" t="s">
        <v>9894</v>
      </c>
      <c r="R3721">
        <v>3</v>
      </c>
      <c r="S3721" s="5">
        <f t="shared" si="116"/>
        <v>-2.701903165368307E-3</v>
      </c>
      <c r="T3721">
        <v>253.52500000000001</v>
      </c>
      <c r="U3721">
        <v>2</v>
      </c>
      <c r="V3721">
        <v>2024</v>
      </c>
      <c r="W3721">
        <v>1</v>
      </c>
      <c r="X3721" t="s">
        <v>9898</v>
      </c>
      <c r="Y3721" t="s">
        <v>9900</v>
      </c>
      <c r="Z3721" t="s">
        <v>9898</v>
      </c>
      <c r="AD3721">
        <f t="shared" si="117"/>
        <v>3</v>
      </c>
    </row>
    <row r="3722" spans="1:30" x14ac:dyDescent="0.25">
      <c r="A3722" t="s">
        <v>3746</v>
      </c>
      <c r="B3722" s="2">
        <v>44957</v>
      </c>
      <c r="C3722" s="2">
        <v>44961</v>
      </c>
      <c r="D3722" t="s">
        <v>5373</v>
      </c>
      <c r="E3722" t="s">
        <v>5873</v>
      </c>
      <c r="F3722" t="s">
        <v>6027</v>
      </c>
      <c r="G3722" t="s">
        <v>6029</v>
      </c>
      <c r="H3722" t="s">
        <v>6032</v>
      </c>
      <c r="I3722" t="s">
        <v>6049</v>
      </c>
      <c r="J3722" t="s">
        <v>6054</v>
      </c>
      <c r="K3722" t="s">
        <v>6060</v>
      </c>
      <c r="L3722" t="s">
        <v>9095</v>
      </c>
      <c r="M3722">
        <v>246.03</v>
      </c>
      <c r="N3722">
        <v>8</v>
      </c>
      <c r="O3722">
        <v>0.1</v>
      </c>
      <c r="P3722">
        <v>8.15</v>
      </c>
      <c r="Q3722" t="s">
        <v>9893</v>
      </c>
      <c r="R3722">
        <v>4</v>
      </c>
      <c r="S3722" s="5">
        <f t="shared" si="116"/>
        <v>3.3126041539649639E-2</v>
      </c>
      <c r="T3722">
        <v>30.75375</v>
      </c>
      <c r="U3722">
        <v>1</v>
      </c>
      <c r="V3722">
        <v>2023</v>
      </c>
      <c r="W3722">
        <v>1</v>
      </c>
      <c r="X3722" t="s">
        <v>9899</v>
      </c>
      <c r="Y3722" t="s">
        <v>9901</v>
      </c>
      <c r="Z3722" t="s">
        <v>9899</v>
      </c>
      <c r="AD3722">
        <f t="shared" si="117"/>
        <v>4</v>
      </c>
    </row>
    <row r="3723" spans="1:30" x14ac:dyDescent="0.25">
      <c r="A3723" t="s">
        <v>3747</v>
      </c>
      <c r="B3723" s="2">
        <v>45421</v>
      </c>
      <c r="C3723" s="2">
        <v>45428</v>
      </c>
      <c r="D3723" t="s">
        <v>5315</v>
      </c>
      <c r="E3723" t="s">
        <v>5815</v>
      </c>
      <c r="F3723" t="s">
        <v>6028</v>
      </c>
      <c r="G3723" t="s">
        <v>6031</v>
      </c>
      <c r="H3723" t="s">
        <v>6042</v>
      </c>
      <c r="I3723" t="s">
        <v>6048</v>
      </c>
      <c r="J3723" t="s">
        <v>6053</v>
      </c>
      <c r="K3723" t="s">
        <v>6057</v>
      </c>
      <c r="L3723" t="s">
        <v>9096</v>
      </c>
      <c r="M3723">
        <v>1490.78</v>
      </c>
      <c r="N3723">
        <v>5</v>
      </c>
      <c r="O3723">
        <v>0.35</v>
      </c>
      <c r="P3723">
        <v>-371.05</v>
      </c>
      <c r="Q3723" t="s">
        <v>9896</v>
      </c>
      <c r="R3723">
        <v>7</v>
      </c>
      <c r="S3723" s="5">
        <f t="shared" si="116"/>
        <v>-0.24889655079891065</v>
      </c>
      <c r="T3723">
        <v>298.15600000000001</v>
      </c>
      <c r="U3723">
        <v>5</v>
      </c>
      <c r="V3723">
        <v>2024</v>
      </c>
      <c r="W3723">
        <v>2</v>
      </c>
      <c r="X3723" t="s">
        <v>9898</v>
      </c>
      <c r="Y3723" t="s">
        <v>9902</v>
      </c>
      <c r="Z3723" t="s">
        <v>9898</v>
      </c>
      <c r="AD3723">
        <f t="shared" si="117"/>
        <v>7</v>
      </c>
    </row>
    <row r="3724" spans="1:30" x14ac:dyDescent="0.25">
      <c r="A3724" t="s">
        <v>3748</v>
      </c>
      <c r="B3724" s="2">
        <v>45416</v>
      </c>
      <c r="C3724" s="2">
        <v>45421</v>
      </c>
      <c r="D3724" t="s">
        <v>5472</v>
      </c>
      <c r="E3724" t="s">
        <v>5972</v>
      </c>
      <c r="F3724" t="s">
        <v>6026</v>
      </c>
      <c r="G3724" t="s">
        <v>6031</v>
      </c>
      <c r="H3724" t="s">
        <v>6042</v>
      </c>
      <c r="I3724" t="s">
        <v>6048</v>
      </c>
      <c r="J3724" t="s">
        <v>6054</v>
      </c>
      <c r="K3724" t="s">
        <v>6062</v>
      </c>
      <c r="L3724" t="s">
        <v>9097</v>
      </c>
      <c r="M3724">
        <v>1815.31</v>
      </c>
      <c r="N3724">
        <v>5</v>
      </c>
      <c r="O3724">
        <v>0.05</v>
      </c>
      <c r="P3724">
        <v>95.17</v>
      </c>
      <c r="Q3724" t="s">
        <v>9895</v>
      </c>
      <c r="R3724">
        <v>5</v>
      </c>
      <c r="S3724" s="5">
        <f t="shared" si="116"/>
        <v>5.2426307352463217E-2</v>
      </c>
      <c r="T3724">
        <v>363.06200000000001</v>
      </c>
      <c r="U3724">
        <v>5</v>
      </c>
      <c r="V3724">
        <v>2024</v>
      </c>
      <c r="W3724">
        <v>2</v>
      </c>
      <c r="X3724" t="s">
        <v>9899</v>
      </c>
      <c r="Y3724" t="s">
        <v>9901</v>
      </c>
      <c r="Z3724" t="s">
        <v>9898</v>
      </c>
      <c r="AD3724">
        <f t="shared" si="117"/>
        <v>5</v>
      </c>
    </row>
    <row r="3725" spans="1:30" x14ac:dyDescent="0.25">
      <c r="A3725" t="s">
        <v>3749</v>
      </c>
      <c r="B3725" s="2">
        <v>45149</v>
      </c>
      <c r="C3725" s="2">
        <v>45156</v>
      </c>
      <c r="D3725" t="s">
        <v>5506</v>
      </c>
      <c r="E3725" t="s">
        <v>6006</v>
      </c>
      <c r="F3725" t="s">
        <v>6028</v>
      </c>
      <c r="G3725" t="s">
        <v>6030</v>
      </c>
      <c r="H3725" t="s">
        <v>6035</v>
      </c>
      <c r="I3725" t="s">
        <v>6051</v>
      </c>
      <c r="J3725" t="s">
        <v>6054</v>
      </c>
      <c r="K3725" t="s">
        <v>6060</v>
      </c>
      <c r="L3725" t="s">
        <v>9098</v>
      </c>
      <c r="M3725">
        <v>544.98</v>
      </c>
      <c r="N3725">
        <v>4</v>
      </c>
      <c r="O3725">
        <v>0.19</v>
      </c>
      <c r="P3725">
        <v>-17.45</v>
      </c>
      <c r="Q3725" t="s">
        <v>9896</v>
      </c>
      <c r="R3725">
        <v>7</v>
      </c>
      <c r="S3725" s="5">
        <f t="shared" si="116"/>
        <v>-3.2019523652244114E-2</v>
      </c>
      <c r="T3725">
        <v>136.245</v>
      </c>
      <c r="U3725">
        <v>8</v>
      </c>
      <c r="V3725">
        <v>2023</v>
      </c>
      <c r="W3725">
        <v>3</v>
      </c>
      <c r="X3725" t="s">
        <v>9898</v>
      </c>
      <c r="Y3725" t="s">
        <v>9900</v>
      </c>
      <c r="Z3725" t="s">
        <v>9899</v>
      </c>
      <c r="AD3725">
        <f t="shared" si="117"/>
        <v>7</v>
      </c>
    </row>
    <row r="3726" spans="1:30" x14ac:dyDescent="0.25">
      <c r="A3726" t="s">
        <v>3750</v>
      </c>
      <c r="B3726" s="2">
        <v>44757</v>
      </c>
      <c r="C3726" s="2">
        <v>44758</v>
      </c>
      <c r="D3726" t="s">
        <v>5095</v>
      </c>
      <c r="E3726" t="s">
        <v>5595</v>
      </c>
      <c r="F3726" t="s">
        <v>6027</v>
      </c>
      <c r="G3726" t="s">
        <v>6031</v>
      </c>
      <c r="H3726" t="s">
        <v>6043</v>
      </c>
      <c r="I3726" t="s">
        <v>6048</v>
      </c>
      <c r="J3726" t="s">
        <v>6053</v>
      </c>
      <c r="K3726" t="s">
        <v>6057</v>
      </c>
      <c r="L3726" t="s">
        <v>9099</v>
      </c>
      <c r="M3726">
        <v>639.70000000000005</v>
      </c>
      <c r="N3726">
        <v>3</v>
      </c>
      <c r="O3726">
        <v>0.19</v>
      </c>
      <c r="P3726">
        <v>40.549999999999997</v>
      </c>
      <c r="Q3726" t="s">
        <v>9896</v>
      </c>
      <c r="R3726">
        <v>1</v>
      </c>
      <c r="S3726" s="5">
        <f t="shared" si="116"/>
        <v>6.3389088635297783E-2</v>
      </c>
      <c r="T3726">
        <v>213.23333333333329</v>
      </c>
      <c r="U3726">
        <v>7</v>
      </c>
      <c r="V3726">
        <v>2022</v>
      </c>
      <c r="W3726">
        <v>3</v>
      </c>
      <c r="X3726" t="s">
        <v>9899</v>
      </c>
      <c r="Y3726" t="s">
        <v>9900</v>
      </c>
      <c r="Z3726" t="s">
        <v>9899</v>
      </c>
      <c r="AD3726">
        <f t="shared" si="117"/>
        <v>1</v>
      </c>
    </row>
    <row r="3727" spans="1:30" x14ac:dyDescent="0.25">
      <c r="A3727" t="s">
        <v>3751</v>
      </c>
      <c r="B3727" s="2">
        <v>44812</v>
      </c>
      <c r="C3727" s="2">
        <v>44818</v>
      </c>
      <c r="D3727" t="s">
        <v>5321</v>
      </c>
      <c r="E3727" t="s">
        <v>5821</v>
      </c>
      <c r="F3727" t="s">
        <v>6026</v>
      </c>
      <c r="G3727" t="s">
        <v>6031</v>
      </c>
      <c r="H3727" t="s">
        <v>6034</v>
      </c>
      <c r="I3727" t="s">
        <v>6048</v>
      </c>
      <c r="J3727" t="s">
        <v>6055</v>
      </c>
      <c r="K3727" t="s">
        <v>6063</v>
      </c>
      <c r="L3727" t="s">
        <v>9100</v>
      </c>
      <c r="M3727">
        <v>1714.78</v>
      </c>
      <c r="N3727">
        <v>3</v>
      </c>
      <c r="O3727">
        <v>0.16</v>
      </c>
      <c r="P3727">
        <v>63.73</v>
      </c>
      <c r="Q3727" t="s">
        <v>9893</v>
      </c>
      <c r="R3727">
        <v>6</v>
      </c>
      <c r="S3727" s="5">
        <f t="shared" si="116"/>
        <v>3.7165117391152219E-2</v>
      </c>
      <c r="T3727">
        <v>571.59333333333336</v>
      </c>
      <c r="U3727">
        <v>9</v>
      </c>
      <c r="V3727">
        <v>2022</v>
      </c>
      <c r="W3727">
        <v>3</v>
      </c>
      <c r="X3727" t="s">
        <v>9899</v>
      </c>
      <c r="Y3727" t="s">
        <v>9900</v>
      </c>
      <c r="Z3727" t="s">
        <v>9898</v>
      </c>
      <c r="AD3727">
        <f t="shared" si="117"/>
        <v>6</v>
      </c>
    </row>
    <row r="3728" spans="1:30" x14ac:dyDescent="0.25">
      <c r="A3728" t="s">
        <v>3752</v>
      </c>
      <c r="B3728" s="2">
        <v>45250</v>
      </c>
      <c r="C3728" s="2">
        <v>45256</v>
      </c>
      <c r="D3728" t="s">
        <v>5495</v>
      </c>
      <c r="E3728" t="s">
        <v>5995</v>
      </c>
      <c r="F3728" t="s">
        <v>6028</v>
      </c>
      <c r="G3728" t="s">
        <v>6029</v>
      </c>
      <c r="H3728" t="s">
        <v>6036</v>
      </c>
      <c r="I3728" t="s">
        <v>6050</v>
      </c>
      <c r="J3728" t="s">
        <v>6055</v>
      </c>
      <c r="K3728" t="s">
        <v>6064</v>
      </c>
      <c r="L3728" t="s">
        <v>8521</v>
      </c>
      <c r="M3728">
        <v>581.54</v>
      </c>
      <c r="N3728">
        <v>1</v>
      </c>
      <c r="O3728">
        <v>0.3</v>
      </c>
      <c r="P3728">
        <v>-17.28</v>
      </c>
      <c r="Q3728" t="s">
        <v>9895</v>
      </c>
      <c r="R3728">
        <v>6</v>
      </c>
      <c r="S3728" s="5">
        <f t="shared" si="116"/>
        <v>-2.9714207105272211E-2</v>
      </c>
      <c r="T3728">
        <v>581.54</v>
      </c>
      <c r="U3728">
        <v>11</v>
      </c>
      <c r="V3728">
        <v>2023</v>
      </c>
      <c r="W3728">
        <v>4</v>
      </c>
      <c r="X3728" t="s">
        <v>9898</v>
      </c>
      <c r="Y3728" t="s">
        <v>9900</v>
      </c>
      <c r="Z3728" t="s">
        <v>9899</v>
      </c>
      <c r="AD3728">
        <f t="shared" si="117"/>
        <v>6</v>
      </c>
    </row>
    <row r="3729" spans="1:30" x14ac:dyDescent="0.25">
      <c r="A3729" t="s">
        <v>3753</v>
      </c>
      <c r="B3729" s="2">
        <v>45345</v>
      </c>
      <c r="C3729" s="2">
        <v>45348</v>
      </c>
      <c r="D3729" t="s">
        <v>5411</v>
      </c>
      <c r="E3729" t="s">
        <v>5911</v>
      </c>
      <c r="F3729" t="s">
        <v>6027</v>
      </c>
      <c r="G3729" t="s">
        <v>6029</v>
      </c>
      <c r="H3729" t="s">
        <v>6036</v>
      </c>
      <c r="I3729" t="s">
        <v>6049</v>
      </c>
      <c r="J3729" t="s">
        <v>6055</v>
      </c>
      <c r="K3729" t="s">
        <v>6063</v>
      </c>
      <c r="L3729" t="s">
        <v>8273</v>
      </c>
      <c r="M3729">
        <v>174.82</v>
      </c>
      <c r="N3729">
        <v>8</v>
      </c>
      <c r="O3729">
        <v>0.02</v>
      </c>
      <c r="P3729">
        <v>18.3</v>
      </c>
      <c r="Q3729" t="s">
        <v>9896</v>
      </c>
      <c r="R3729">
        <v>3</v>
      </c>
      <c r="S3729" s="5">
        <f t="shared" si="116"/>
        <v>0.10467909850131565</v>
      </c>
      <c r="T3729">
        <v>21.852499999999999</v>
      </c>
      <c r="U3729">
        <v>2</v>
      </c>
      <c r="V3729">
        <v>2024</v>
      </c>
      <c r="W3729">
        <v>1</v>
      </c>
      <c r="X3729" t="s">
        <v>9899</v>
      </c>
      <c r="Y3729" t="s">
        <v>9901</v>
      </c>
      <c r="Z3729" t="s">
        <v>9899</v>
      </c>
      <c r="AD3729">
        <f t="shared" si="117"/>
        <v>3</v>
      </c>
    </row>
    <row r="3730" spans="1:30" x14ac:dyDescent="0.25">
      <c r="A3730" t="s">
        <v>3754</v>
      </c>
      <c r="B3730" s="2">
        <v>45197</v>
      </c>
      <c r="C3730" s="2">
        <v>45202</v>
      </c>
      <c r="D3730" t="s">
        <v>5210</v>
      </c>
      <c r="E3730" t="s">
        <v>5710</v>
      </c>
      <c r="F3730" t="s">
        <v>6028</v>
      </c>
      <c r="G3730" t="s">
        <v>6030</v>
      </c>
      <c r="H3730" t="s">
        <v>6039</v>
      </c>
      <c r="I3730" t="s">
        <v>6051</v>
      </c>
      <c r="J3730" t="s">
        <v>6053</v>
      </c>
      <c r="K3730" t="s">
        <v>6057</v>
      </c>
      <c r="L3730" t="s">
        <v>8185</v>
      </c>
      <c r="M3730">
        <v>1075.05</v>
      </c>
      <c r="N3730">
        <v>4</v>
      </c>
      <c r="O3730">
        <v>0.04</v>
      </c>
      <c r="P3730">
        <v>70.47</v>
      </c>
      <c r="Q3730" t="s">
        <v>9894</v>
      </c>
      <c r="R3730">
        <v>5</v>
      </c>
      <c r="S3730" s="5">
        <f t="shared" si="116"/>
        <v>6.5550439514441186E-2</v>
      </c>
      <c r="T3730">
        <v>268.76249999999999</v>
      </c>
      <c r="U3730">
        <v>9</v>
      </c>
      <c r="V3730">
        <v>2023</v>
      </c>
      <c r="W3730">
        <v>3</v>
      </c>
      <c r="X3730" t="s">
        <v>9899</v>
      </c>
      <c r="Y3730" t="s">
        <v>9901</v>
      </c>
      <c r="Z3730" t="s">
        <v>9898</v>
      </c>
      <c r="AD3730">
        <f t="shared" si="117"/>
        <v>5</v>
      </c>
    </row>
    <row r="3731" spans="1:30" x14ac:dyDescent="0.25">
      <c r="A3731" t="s">
        <v>3755</v>
      </c>
      <c r="B3731" s="2">
        <v>45333</v>
      </c>
      <c r="C3731" s="2">
        <v>45339</v>
      </c>
      <c r="D3731" t="s">
        <v>5228</v>
      </c>
      <c r="E3731" t="s">
        <v>5728</v>
      </c>
      <c r="F3731" t="s">
        <v>6028</v>
      </c>
      <c r="G3731" t="s">
        <v>6030</v>
      </c>
      <c r="H3731" t="s">
        <v>6035</v>
      </c>
      <c r="I3731" t="s">
        <v>6051</v>
      </c>
      <c r="J3731" t="s">
        <v>6054</v>
      </c>
      <c r="K3731" t="s">
        <v>6059</v>
      </c>
      <c r="L3731" t="s">
        <v>7233</v>
      </c>
      <c r="M3731">
        <v>1922.6</v>
      </c>
      <c r="N3731">
        <v>2</v>
      </c>
      <c r="O3731">
        <v>0.19</v>
      </c>
      <c r="P3731">
        <v>-161.44999999999999</v>
      </c>
      <c r="Q3731" t="s">
        <v>9895</v>
      </c>
      <c r="R3731">
        <v>6</v>
      </c>
      <c r="S3731" s="5">
        <f t="shared" si="116"/>
        <v>-8.3974825756787677E-2</v>
      </c>
      <c r="T3731">
        <v>961.3</v>
      </c>
      <c r="U3731">
        <v>2</v>
      </c>
      <c r="V3731">
        <v>2024</v>
      </c>
      <c r="W3731">
        <v>1</v>
      </c>
      <c r="X3731" t="s">
        <v>9898</v>
      </c>
      <c r="Y3731" t="s">
        <v>9900</v>
      </c>
      <c r="Z3731" t="s">
        <v>9898</v>
      </c>
      <c r="AD3731">
        <f t="shared" si="117"/>
        <v>6</v>
      </c>
    </row>
    <row r="3732" spans="1:30" x14ac:dyDescent="0.25">
      <c r="A3732" t="s">
        <v>3756</v>
      </c>
      <c r="B3732" s="2">
        <v>44770</v>
      </c>
      <c r="C3732" s="2">
        <v>44774</v>
      </c>
      <c r="D3732" t="s">
        <v>5374</v>
      </c>
      <c r="E3732" t="s">
        <v>5874</v>
      </c>
      <c r="F3732" t="s">
        <v>6027</v>
      </c>
      <c r="G3732" t="s">
        <v>6031</v>
      </c>
      <c r="H3732" t="s">
        <v>6042</v>
      </c>
      <c r="I3732" t="s">
        <v>6052</v>
      </c>
      <c r="J3732" t="s">
        <v>6055</v>
      </c>
      <c r="K3732" t="s">
        <v>6063</v>
      </c>
      <c r="L3732" t="s">
        <v>8900</v>
      </c>
      <c r="M3732">
        <v>1881.03</v>
      </c>
      <c r="N3732">
        <v>6</v>
      </c>
      <c r="O3732">
        <v>0.09</v>
      </c>
      <c r="P3732">
        <v>280.66000000000003</v>
      </c>
      <c r="Q3732" t="s">
        <v>9897</v>
      </c>
      <c r="R3732">
        <v>4</v>
      </c>
      <c r="S3732" s="5">
        <f t="shared" si="116"/>
        <v>0.14920548848237403</v>
      </c>
      <c r="T3732">
        <v>313.505</v>
      </c>
      <c r="U3732">
        <v>7</v>
      </c>
      <c r="V3732">
        <v>2022</v>
      </c>
      <c r="W3732">
        <v>3</v>
      </c>
      <c r="X3732" t="s">
        <v>9899</v>
      </c>
      <c r="Y3732" t="s">
        <v>9901</v>
      </c>
      <c r="Z3732" t="s">
        <v>9898</v>
      </c>
      <c r="AD3732">
        <f t="shared" si="117"/>
        <v>4</v>
      </c>
    </row>
    <row r="3733" spans="1:30" x14ac:dyDescent="0.25">
      <c r="A3733" t="s">
        <v>3757</v>
      </c>
      <c r="B3733" s="2">
        <v>44563</v>
      </c>
      <c r="C3733" s="2">
        <v>44569</v>
      </c>
      <c r="D3733" t="s">
        <v>5306</v>
      </c>
      <c r="E3733" t="s">
        <v>5806</v>
      </c>
      <c r="F3733" t="s">
        <v>6027</v>
      </c>
      <c r="G3733" t="s">
        <v>6030</v>
      </c>
      <c r="H3733" t="s">
        <v>6038</v>
      </c>
      <c r="I3733" t="s">
        <v>6051</v>
      </c>
      <c r="J3733" t="s">
        <v>6053</v>
      </c>
      <c r="K3733" t="s">
        <v>6056</v>
      </c>
      <c r="L3733" t="s">
        <v>6396</v>
      </c>
      <c r="M3733">
        <v>1485.3</v>
      </c>
      <c r="N3733">
        <v>7</v>
      </c>
      <c r="O3733">
        <v>0.34</v>
      </c>
      <c r="P3733">
        <v>-185.39</v>
      </c>
      <c r="Q3733" t="s">
        <v>9897</v>
      </c>
      <c r="R3733">
        <v>6</v>
      </c>
      <c r="S3733" s="5">
        <f t="shared" si="116"/>
        <v>-0.12481653538005789</v>
      </c>
      <c r="T3733">
        <v>212.18571428571431</v>
      </c>
      <c r="U3733">
        <v>1</v>
      </c>
      <c r="V3733">
        <v>2022</v>
      </c>
      <c r="W3733">
        <v>1</v>
      </c>
      <c r="X3733" t="s">
        <v>9898</v>
      </c>
      <c r="Y3733" t="s">
        <v>9902</v>
      </c>
      <c r="Z3733" t="s">
        <v>9898</v>
      </c>
      <c r="AD3733">
        <f t="shared" si="117"/>
        <v>6</v>
      </c>
    </row>
    <row r="3734" spans="1:30" x14ac:dyDescent="0.25">
      <c r="A3734" t="s">
        <v>3758</v>
      </c>
      <c r="B3734" s="2">
        <v>44581</v>
      </c>
      <c r="C3734" s="2">
        <v>44583</v>
      </c>
      <c r="D3734" t="s">
        <v>5263</v>
      </c>
      <c r="E3734" t="s">
        <v>5763</v>
      </c>
      <c r="F3734" t="s">
        <v>6026</v>
      </c>
      <c r="G3734" t="s">
        <v>6031</v>
      </c>
      <c r="H3734" t="s">
        <v>6037</v>
      </c>
      <c r="I3734" t="s">
        <v>6052</v>
      </c>
      <c r="J3734" t="s">
        <v>6054</v>
      </c>
      <c r="K3734" t="s">
        <v>6059</v>
      </c>
      <c r="L3734" t="s">
        <v>7012</v>
      </c>
      <c r="M3734">
        <v>203.55</v>
      </c>
      <c r="N3734">
        <v>8</v>
      </c>
      <c r="O3734">
        <v>0.12</v>
      </c>
      <c r="P3734">
        <v>22.02</v>
      </c>
      <c r="Q3734" t="s">
        <v>9893</v>
      </c>
      <c r="R3734">
        <v>2</v>
      </c>
      <c r="S3734" s="5">
        <f t="shared" si="116"/>
        <v>0.1081798084008843</v>
      </c>
      <c r="T3734">
        <v>25.443750000000001</v>
      </c>
      <c r="U3734">
        <v>1</v>
      </c>
      <c r="V3734">
        <v>2022</v>
      </c>
      <c r="W3734">
        <v>1</v>
      </c>
      <c r="X3734" t="s">
        <v>9899</v>
      </c>
      <c r="Y3734" t="s">
        <v>9901</v>
      </c>
      <c r="Z3734" t="s">
        <v>9899</v>
      </c>
      <c r="AD3734">
        <f t="shared" si="117"/>
        <v>2</v>
      </c>
    </row>
    <row r="3735" spans="1:30" x14ac:dyDescent="0.25">
      <c r="A3735" t="s">
        <v>3759</v>
      </c>
      <c r="B3735" s="2">
        <v>44994</v>
      </c>
      <c r="C3735" s="2">
        <v>44995</v>
      </c>
      <c r="D3735" t="s">
        <v>5346</v>
      </c>
      <c r="E3735" t="s">
        <v>5846</v>
      </c>
      <c r="F3735" t="s">
        <v>6027</v>
      </c>
      <c r="G3735" t="s">
        <v>6030</v>
      </c>
      <c r="H3735" t="s">
        <v>6039</v>
      </c>
      <c r="I3735" t="s">
        <v>6047</v>
      </c>
      <c r="J3735" t="s">
        <v>6055</v>
      </c>
      <c r="K3735" t="s">
        <v>6061</v>
      </c>
      <c r="L3735" t="s">
        <v>7217</v>
      </c>
      <c r="M3735">
        <v>1231.24</v>
      </c>
      <c r="N3735">
        <v>8</v>
      </c>
      <c r="O3735">
        <v>0.3</v>
      </c>
      <c r="P3735">
        <v>-9.75</v>
      </c>
      <c r="Q3735" t="s">
        <v>9895</v>
      </c>
      <c r="R3735">
        <v>1</v>
      </c>
      <c r="S3735" s="5">
        <f t="shared" si="116"/>
        <v>-7.9188460413891684E-3</v>
      </c>
      <c r="T3735">
        <v>153.905</v>
      </c>
      <c r="U3735">
        <v>3</v>
      </c>
      <c r="V3735">
        <v>2023</v>
      </c>
      <c r="W3735">
        <v>1</v>
      </c>
      <c r="X3735" t="s">
        <v>9898</v>
      </c>
      <c r="Y3735" t="s">
        <v>9900</v>
      </c>
      <c r="Z3735" t="s">
        <v>9898</v>
      </c>
      <c r="AD3735">
        <f t="shared" si="117"/>
        <v>1</v>
      </c>
    </row>
    <row r="3736" spans="1:30" x14ac:dyDescent="0.25">
      <c r="A3736" t="s">
        <v>3760</v>
      </c>
      <c r="B3736" s="2">
        <v>44725</v>
      </c>
      <c r="C3736" s="2">
        <v>44731</v>
      </c>
      <c r="D3736" t="s">
        <v>5243</v>
      </c>
      <c r="E3736" t="s">
        <v>5743</v>
      </c>
      <c r="F3736" t="s">
        <v>6028</v>
      </c>
      <c r="G3736" t="s">
        <v>6031</v>
      </c>
      <c r="H3736" t="s">
        <v>6043</v>
      </c>
      <c r="I3736" t="s">
        <v>6050</v>
      </c>
      <c r="J3736" t="s">
        <v>6053</v>
      </c>
      <c r="K3736" t="s">
        <v>6058</v>
      </c>
      <c r="L3736" t="s">
        <v>9101</v>
      </c>
      <c r="M3736">
        <v>1454.86</v>
      </c>
      <c r="N3736">
        <v>1</v>
      </c>
      <c r="O3736">
        <v>0.19</v>
      </c>
      <c r="P3736">
        <v>-77.819999999999993</v>
      </c>
      <c r="Q3736" t="s">
        <v>9894</v>
      </c>
      <c r="R3736">
        <v>6</v>
      </c>
      <c r="S3736" s="5">
        <f t="shared" si="116"/>
        <v>-5.3489682856082368E-2</v>
      </c>
      <c r="T3736">
        <v>1454.86</v>
      </c>
      <c r="U3736">
        <v>6</v>
      </c>
      <c r="V3736">
        <v>2022</v>
      </c>
      <c r="W3736">
        <v>2</v>
      </c>
      <c r="X3736" t="s">
        <v>9898</v>
      </c>
      <c r="Y3736" t="s">
        <v>9900</v>
      </c>
      <c r="Z3736" t="s">
        <v>9898</v>
      </c>
      <c r="AD3736">
        <f t="shared" si="117"/>
        <v>6</v>
      </c>
    </row>
    <row r="3737" spans="1:30" x14ac:dyDescent="0.25">
      <c r="A3737" t="s">
        <v>3761</v>
      </c>
      <c r="B3737" s="2">
        <v>44606</v>
      </c>
      <c r="C3737" s="2">
        <v>44607</v>
      </c>
      <c r="D3737" t="s">
        <v>5061</v>
      </c>
      <c r="E3737" t="s">
        <v>5561</v>
      </c>
      <c r="F3737" t="s">
        <v>6027</v>
      </c>
      <c r="G3737" t="s">
        <v>6031</v>
      </c>
      <c r="H3737" t="s">
        <v>6042</v>
      </c>
      <c r="I3737" t="s">
        <v>6050</v>
      </c>
      <c r="J3737" t="s">
        <v>6053</v>
      </c>
      <c r="K3737" t="s">
        <v>6057</v>
      </c>
      <c r="L3737" t="s">
        <v>9102</v>
      </c>
      <c r="M3737">
        <v>1343.13</v>
      </c>
      <c r="N3737">
        <v>4</v>
      </c>
      <c r="O3737">
        <v>0.02</v>
      </c>
      <c r="P3737">
        <v>305.31</v>
      </c>
      <c r="Q3737" t="s">
        <v>9894</v>
      </c>
      <c r="R3737">
        <v>1</v>
      </c>
      <c r="S3737" s="5">
        <f t="shared" si="116"/>
        <v>0.22731232270889637</v>
      </c>
      <c r="T3737">
        <v>335.78250000000003</v>
      </c>
      <c r="U3737">
        <v>2</v>
      </c>
      <c r="V3737">
        <v>2022</v>
      </c>
      <c r="W3737">
        <v>1</v>
      </c>
      <c r="X3737" t="s">
        <v>9899</v>
      </c>
      <c r="Y3737" t="s">
        <v>9901</v>
      </c>
      <c r="Z3737" t="s">
        <v>9898</v>
      </c>
      <c r="AD3737">
        <f t="shared" si="117"/>
        <v>1</v>
      </c>
    </row>
    <row r="3738" spans="1:30" x14ac:dyDescent="0.25">
      <c r="A3738" t="s">
        <v>3762</v>
      </c>
      <c r="B3738" s="2">
        <v>44576</v>
      </c>
      <c r="C3738" s="2">
        <v>44583</v>
      </c>
      <c r="D3738" t="s">
        <v>5319</v>
      </c>
      <c r="E3738" t="s">
        <v>5819</v>
      </c>
      <c r="F3738" t="s">
        <v>6028</v>
      </c>
      <c r="G3738" t="s">
        <v>6031</v>
      </c>
      <c r="H3738" t="s">
        <v>6037</v>
      </c>
      <c r="I3738" t="s">
        <v>6048</v>
      </c>
      <c r="J3738" t="s">
        <v>6055</v>
      </c>
      <c r="K3738" t="s">
        <v>6063</v>
      </c>
      <c r="L3738" t="s">
        <v>9103</v>
      </c>
      <c r="M3738">
        <v>945.41</v>
      </c>
      <c r="N3738">
        <v>5</v>
      </c>
      <c r="O3738">
        <v>0.05</v>
      </c>
      <c r="P3738">
        <v>137.03</v>
      </c>
      <c r="Q3738" t="s">
        <v>9896</v>
      </c>
      <c r="R3738">
        <v>7</v>
      </c>
      <c r="S3738" s="5">
        <f t="shared" si="116"/>
        <v>0.14494240594027988</v>
      </c>
      <c r="T3738">
        <v>189.08199999999999</v>
      </c>
      <c r="U3738">
        <v>1</v>
      </c>
      <c r="V3738">
        <v>2022</v>
      </c>
      <c r="W3738">
        <v>1</v>
      </c>
      <c r="X3738" t="s">
        <v>9899</v>
      </c>
      <c r="Y3738" t="s">
        <v>9901</v>
      </c>
      <c r="Z3738" t="s">
        <v>9899</v>
      </c>
      <c r="AD3738">
        <f t="shared" si="117"/>
        <v>7</v>
      </c>
    </row>
    <row r="3739" spans="1:30" x14ac:dyDescent="0.25">
      <c r="A3739" t="s">
        <v>3763</v>
      </c>
      <c r="B3739" s="2">
        <v>45209</v>
      </c>
      <c r="C3739" s="2">
        <v>45214</v>
      </c>
      <c r="D3739" t="s">
        <v>5354</v>
      </c>
      <c r="E3739" t="s">
        <v>5854</v>
      </c>
      <c r="F3739" t="s">
        <v>6026</v>
      </c>
      <c r="G3739" t="s">
        <v>6029</v>
      </c>
      <c r="H3739" t="s">
        <v>6032</v>
      </c>
      <c r="I3739" t="s">
        <v>6050</v>
      </c>
      <c r="J3739" t="s">
        <v>6055</v>
      </c>
      <c r="K3739" t="s">
        <v>6061</v>
      </c>
      <c r="L3739" t="s">
        <v>9104</v>
      </c>
      <c r="M3739">
        <v>430.34</v>
      </c>
      <c r="N3739">
        <v>1</v>
      </c>
      <c r="O3739">
        <v>0.04</v>
      </c>
      <c r="P3739">
        <v>105.68</v>
      </c>
      <c r="Q3739" t="s">
        <v>9895</v>
      </c>
      <c r="R3739">
        <v>5</v>
      </c>
      <c r="S3739" s="5">
        <f t="shared" si="116"/>
        <v>0.24557326764883583</v>
      </c>
      <c r="T3739">
        <v>430.34</v>
      </c>
      <c r="U3739">
        <v>10</v>
      </c>
      <c r="V3739">
        <v>2023</v>
      </c>
      <c r="W3739">
        <v>4</v>
      </c>
      <c r="X3739" t="s">
        <v>9899</v>
      </c>
      <c r="Y3739" t="s">
        <v>9901</v>
      </c>
      <c r="Z3739" t="s">
        <v>9899</v>
      </c>
      <c r="AD3739">
        <f t="shared" si="117"/>
        <v>5</v>
      </c>
    </row>
    <row r="3740" spans="1:30" x14ac:dyDescent="0.25">
      <c r="A3740" t="s">
        <v>3764</v>
      </c>
      <c r="B3740" s="2">
        <v>44670</v>
      </c>
      <c r="C3740" s="2">
        <v>44675</v>
      </c>
      <c r="D3740" t="s">
        <v>5201</v>
      </c>
      <c r="E3740" t="s">
        <v>5701</v>
      </c>
      <c r="F3740" t="s">
        <v>6028</v>
      </c>
      <c r="G3740" t="s">
        <v>6029</v>
      </c>
      <c r="H3740" t="s">
        <v>6044</v>
      </c>
      <c r="I3740" t="s">
        <v>6046</v>
      </c>
      <c r="J3740" t="s">
        <v>6053</v>
      </c>
      <c r="K3740" t="s">
        <v>6057</v>
      </c>
      <c r="L3740" t="s">
        <v>9105</v>
      </c>
      <c r="M3740">
        <v>806.67</v>
      </c>
      <c r="N3740">
        <v>1</v>
      </c>
      <c r="O3740">
        <v>0.03</v>
      </c>
      <c r="P3740">
        <v>121.11</v>
      </c>
      <c r="Q3740" t="s">
        <v>9896</v>
      </c>
      <c r="R3740">
        <v>5</v>
      </c>
      <c r="S3740" s="5">
        <f t="shared" si="116"/>
        <v>0.15013574324073042</v>
      </c>
      <c r="T3740">
        <v>806.67</v>
      </c>
      <c r="U3740">
        <v>4</v>
      </c>
      <c r="V3740">
        <v>2022</v>
      </c>
      <c r="W3740">
        <v>2</v>
      </c>
      <c r="X3740" t="s">
        <v>9899</v>
      </c>
      <c r="Y3740" t="s">
        <v>9901</v>
      </c>
      <c r="Z3740" t="s">
        <v>9899</v>
      </c>
      <c r="AD3740">
        <f t="shared" si="117"/>
        <v>5</v>
      </c>
    </row>
    <row r="3741" spans="1:30" x14ac:dyDescent="0.25">
      <c r="A3741" t="s">
        <v>3765</v>
      </c>
      <c r="B3741" s="2">
        <v>44720</v>
      </c>
      <c r="C3741" s="2">
        <v>44725</v>
      </c>
      <c r="D3741" t="s">
        <v>5160</v>
      </c>
      <c r="E3741" t="s">
        <v>5660</v>
      </c>
      <c r="F3741" t="s">
        <v>6027</v>
      </c>
      <c r="G3741" t="s">
        <v>6029</v>
      </c>
      <c r="H3741" t="s">
        <v>6044</v>
      </c>
      <c r="I3741" t="s">
        <v>6046</v>
      </c>
      <c r="J3741" t="s">
        <v>6053</v>
      </c>
      <c r="K3741" t="s">
        <v>6058</v>
      </c>
      <c r="L3741" t="s">
        <v>8210</v>
      </c>
      <c r="M3741">
        <v>642.19000000000005</v>
      </c>
      <c r="N3741">
        <v>4</v>
      </c>
      <c r="O3741">
        <v>0.17</v>
      </c>
      <c r="P3741">
        <v>-31.38</v>
      </c>
      <c r="Q3741" t="s">
        <v>9897</v>
      </c>
      <c r="R3741">
        <v>5</v>
      </c>
      <c r="S3741" s="5">
        <f t="shared" si="116"/>
        <v>-4.8864043351656047E-2</v>
      </c>
      <c r="T3741">
        <v>160.54750000000001</v>
      </c>
      <c r="U3741">
        <v>6</v>
      </c>
      <c r="V3741">
        <v>2022</v>
      </c>
      <c r="W3741">
        <v>2</v>
      </c>
      <c r="X3741" t="s">
        <v>9898</v>
      </c>
      <c r="Y3741" t="s">
        <v>9900</v>
      </c>
      <c r="Z3741" t="s">
        <v>9899</v>
      </c>
      <c r="AD3741">
        <f t="shared" si="117"/>
        <v>5</v>
      </c>
    </row>
    <row r="3742" spans="1:30" x14ac:dyDescent="0.25">
      <c r="A3742" t="s">
        <v>3766</v>
      </c>
      <c r="B3742" s="2">
        <v>44904</v>
      </c>
      <c r="C3742" s="2">
        <v>44905</v>
      </c>
      <c r="D3742" t="s">
        <v>5400</v>
      </c>
      <c r="E3742" t="s">
        <v>5900</v>
      </c>
      <c r="F3742" t="s">
        <v>6028</v>
      </c>
      <c r="G3742" t="s">
        <v>6031</v>
      </c>
      <c r="H3742" t="s">
        <v>6040</v>
      </c>
      <c r="I3742" t="s">
        <v>6052</v>
      </c>
      <c r="J3742" t="s">
        <v>6054</v>
      </c>
      <c r="K3742" t="s">
        <v>6059</v>
      </c>
      <c r="L3742" t="s">
        <v>9106</v>
      </c>
      <c r="M3742">
        <v>729.91</v>
      </c>
      <c r="N3742">
        <v>5</v>
      </c>
      <c r="O3742">
        <v>0.04</v>
      </c>
      <c r="P3742">
        <v>103.26</v>
      </c>
      <c r="Q3742" t="s">
        <v>9894</v>
      </c>
      <c r="R3742">
        <v>1</v>
      </c>
      <c r="S3742" s="5">
        <f t="shared" si="116"/>
        <v>0.14146949623926239</v>
      </c>
      <c r="T3742">
        <v>145.982</v>
      </c>
      <c r="U3742">
        <v>12</v>
      </c>
      <c r="V3742">
        <v>2022</v>
      </c>
      <c r="W3742">
        <v>4</v>
      </c>
      <c r="X3742" t="s">
        <v>9899</v>
      </c>
      <c r="Y3742" t="s">
        <v>9901</v>
      </c>
      <c r="Z3742" t="s">
        <v>9899</v>
      </c>
      <c r="AD3742">
        <f t="shared" si="117"/>
        <v>1</v>
      </c>
    </row>
    <row r="3743" spans="1:30" x14ac:dyDescent="0.25">
      <c r="A3743" t="s">
        <v>3767</v>
      </c>
      <c r="B3743" s="2">
        <v>44788</v>
      </c>
      <c r="C3743" s="2">
        <v>44791</v>
      </c>
      <c r="D3743" t="s">
        <v>5319</v>
      </c>
      <c r="E3743" t="s">
        <v>5819</v>
      </c>
      <c r="F3743" t="s">
        <v>6027</v>
      </c>
      <c r="G3743" t="s">
        <v>6030</v>
      </c>
      <c r="H3743" t="s">
        <v>6033</v>
      </c>
      <c r="I3743" t="s">
        <v>6051</v>
      </c>
      <c r="J3743" t="s">
        <v>6055</v>
      </c>
      <c r="K3743" t="s">
        <v>6063</v>
      </c>
      <c r="L3743" t="s">
        <v>8822</v>
      </c>
      <c r="M3743">
        <v>269.55</v>
      </c>
      <c r="N3743">
        <v>2</v>
      </c>
      <c r="O3743">
        <v>0.13</v>
      </c>
      <c r="P3743">
        <v>34.69</v>
      </c>
      <c r="Q3743" t="s">
        <v>9894</v>
      </c>
      <c r="R3743">
        <v>3</v>
      </c>
      <c r="S3743" s="5">
        <f t="shared" si="116"/>
        <v>0.12869597477276942</v>
      </c>
      <c r="T3743">
        <v>134.77500000000001</v>
      </c>
      <c r="U3743">
        <v>8</v>
      </c>
      <c r="V3743">
        <v>2022</v>
      </c>
      <c r="W3743">
        <v>3</v>
      </c>
      <c r="X3743" t="s">
        <v>9899</v>
      </c>
      <c r="Y3743" t="s">
        <v>9901</v>
      </c>
      <c r="Z3743" t="s">
        <v>9899</v>
      </c>
      <c r="AD3743">
        <f t="shared" si="117"/>
        <v>3</v>
      </c>
    </row>
    <row r="3744" spans="1:30" x14ac:dyDescent="0.25">
      <c r="A3744" t="s">
        <v>3768</v>
      </c>
      <c r="B3744" s="2">
        <v>45339</v>
      </c>
      <c r="C3744" s="2">
        <v>45345</v>
      </c>
      <c r="D3744" t="s">
        <v>5276</v>
      </c>
      <c r="E3744" t="s">
        <v>5776</v>
      </c>
      <c r="F3744" t="s">
        <v>6026</v>
      </c>
      <c r="G3744" t="s">
        <v>6029</v>
      </c>
      <c r="H3744" t="s">
        <v>6041</v>
      </c>
      <c r="I3744" t="s">
        <v>6049</v>
      </c>
      <c r="J3744" t="s">
        <v>6054</v>
      </c>
      <c r="K3744" t="s">
        <v>6059</v>
      </c>
      <c r="L3744" t="s">
        <v>9107</v>
      </c>
      <c r="M3744">
        <v>911.65</v>
      </c>
      <c r="N3744">
        <v>7</v>
      </c>
      <c r="O3744">
        <v>0.08</v>
      </c>
      <c r="P3744">
        <v>153.41999999999999</v>
      </c>
      <c r="Q3744" t="s">
        <v>9895</v>
      </c>
      <c r="R3744">
        <v>6</v>
      </c>
      <c r="S3744" s="5">
        <f t="shared" si="116"/>
        <v>0.16828826852410464</v>
      </c>
      <c r="T3744">
        <v>130.23571428571429</v>
      </c>
      <c r="U3744">
        <v>2</v>
      </c>
      <c r="V3744">
        <v>2024</v>
      </c>
      <c r="W3744">
        <v>1</v>
      </c>
      <c r="X3744" t="s">
        <v>9899</v>
      </c>
      <c r="Y3744" t="s">
        <v>9901</v>
      </c>
      <c r="Z3744" t="s">
        <v>9899</v>
      </c>
      <c r="AD3744">
        <f t="shared" si="117"/>
        <v>6</v>
      </c>
    </row>
    <row r="3745" spans="1:30" x14ac:dyDescent="0.25">
      <c r="A3745" t="s">
        <v>3769</v>
      </c>
      <c r="B3745" s="2">
        <v>45169</v>
      </c>
      <c r="C3745" s="2">
        <v>45170</v>
      </c>
      <c r="D3745" t="s">
        <v>5299</v>
      </c>
      <c r="E3745" t="s">
        <v>5799</v>
      </c>
      <c r="F3745" t="s">
        <v>6026</v>
      </c>
      <c r="G3745" t="s">
        <v>6029</v>
      </c>
      <c r="H3745" t="s">
        <v>6045</v>
      </c>
      <c r="I3745" t="s">
        <v>6049</v>
      </c>
      <c r="J3745" t="s">
        <v>6054</v>
      </c>
      <c r="K3745" t="s">
        <v>6062</v>
      </c>
      <c r="L3745" t="s">
        <v>8901</v>
      </c>
      <c r="M3745">
        <v>246.46</v>
      </c>
      <c r="N3745">
        <v>2</v>
      </c>
      <c r="O3745">
        <v>0.2</v>
      </c>
      <c r="P3745">
        <v>16.420000000000002</v>
      </c>
      <c r="Q3745" t="s">
        <v>9893</v>
      </c>
      <c r="R3745">
        <v>1</v>
      </c>
      <c r="S3745" s="5">
        <f t="shared" si="116"/>
        <v>6.6623387162216996E-2</v>
      </c>
      <c r="T3745">
        <v>123.23</v>
      </c>
      <c r="U3745">
        <v>8</v>
      </c>
      <c r="V3745">
        <v>2023</v>
      </c>
      <c r="W3745">
        <v>3</v>
      </c>
      <c r="X3745" t="s">
        <v>9899</v>
      </c>
      <c r="Y3745" t="s">
        <v>9900</v>
      </c>
      <c r="Z3745" t="s">
        <v>9899</v>
      </c>
      <c r="AD3745">
        <f t="shared" si="117"/>
        <v>1</v>
      </c>
    </row>
    <row r="3746" spans="1:30" x14ac:dyDescent="0.25">
      <c r="A3746" t="s">
        <v>3770</v>
      </c>
      <c r="B3746" s="2">
        <v>44694</v>
      </c>
      <c r="C3746" s="2">
        <v>44697</v>
      </c>
      <c r="D3746" t="s">
        <v>5457</v>
      </c>
      <c r="E3746" t="s">
        <v>5957</v>
      </c>
      <c r="F3746" t="s">
        <v>6027</v>
      </c>
      <c r="G3746" t="s">
        <v>6029</v>
      </c>
      <c r="H3746" t="s">
        <v>6041</v>
      </c>
      <c r="I3746" t="s">
        <v>6050</v>
      </c>
      <c r="J3746" t="s">
        <v>6053</v>
      </c>
      <c r="K3746" t="s">
        <v>6058</v>
      </c>
      <c r="L3746" t="s">
        <v>8305</v>
      </c>
      <c r="M3746">
        <v>1487.4</v>
      </c>
      <c r="N3746">
        <v>4</v>
      </c>
      <c r="O3746">
        <v>0.13</v>
      </c>
      <c r="P3746">
        <v>63.82</v>
      </c>
      <c r="Q3746" t="s">
        <v>9895</v>
      </c>
      <c r="R3746">
        <v>3</v>
      </c>
      <c r="S3746" s="5">
        <f t="shared" si="116"/>
        <v>4.2907086190668277E-2</v>
      </c>
      <c r="T3746">
        <v>371.85</v>
      </c>
      <c r="U3746">
        <v>5</v>
      </c>
      <c r="V3746">
        <v>2022</v>
      </c>
      <c r="W3746">
        <v>2</v>
      </c>
      <c r="X3746" t="s">
        <v>9899</v>
      </c>
      <c r="Y3746" t="s">
        <v>9901</v>
      </c>
      <c r="Z3746" t="s">
        <v>9898</v>
      </c>
      <c r="AD3746">
        <f t="shared" si="117"/>
        <v>3</v>
      </c>
    </row>
    <row r="3747" spans="1:30" x14ac:dyDescent="0.25">
      <c r="A3747" t="s">
        <v>3771</v>
      </c>
      <c r="B3747" s="2">
        <v>45081</v>
      </c>
      <c r="C3747" s="2">
        <v>45086</v>
      </c>
      <c r="D3747" t="s">
        <v>5454</v>
      </c>
      <c r="E3747" t="s">
        <v>5954</v>
      </c>
      <c r="F3747" t="s">
        <v>6026</v>
      </c>
      <c r="G3747" t="s">
        <v>6029</v>
      </c>
      <c r="H3747" t="s">
        <v>6044</v>
      </c>
      <c r="I3747" t="s">
        <v>6049</v>
      </c>
      <c r="J3747" t="s">
        <v>6055</v>
      </c>
      <c r="K3747" t="s">
        <v>6063</v>
      </c>
      <c r="L3747" t="s">
        <v>6805</v>
      </c>
      <c r="M3747">
        <v>416.73</v>
      </c>
      <c r="N3747">
        <v>3</v>
      </c>
      <c r="O3747">
        <v>0.06</v>
      </c>
      <c r="P3747">
        <v>83.37</v>
      </c>
      <c r="Q3747" t="s">
        <v>9896</v>
      </c>
      <c r="R3747">
        <v>5</v>
      </c>
      <c r="S3747" s="5">
        <f t="shared" si="116"/>
        <v>0.20005759124613059</v>
      </c>
      <c r="T3747">
        <v>138.91</v>
      </c>
      <c r="U3747">
        <v>6</v>
      </c>
      <c r="V3747">
        <v>2023</v>
      </c>
      <c r="W3747">
        <v>2</v>
      </c>
      <c r="X3747" t="s">
        <v>9899</v>
      </c>
      <c r="Y3747" t="s">
        <v>9901</v>
      </c>
      <c r="Z3747" t="s">
        <v>9899</v>
      </c>
      <c r="AD3747">
        <f t="shared" si="117"/>
        <v>5</v>
      </c>
    </row>
    <row r="3748" spans="1:30" x14ac:dyDescent="0.25">
      <c r="A3748" t="s">
        <v>3772</v>
      </c>
      <c r="B3748" s="2">
        <v>45043</v>
      </c>
      <c r="C3748" s="2">
        <v>45046</v>
      </c>
      <c r="D3748" t="s">
        <v>5031</v>
      </c>
      <c r="E3748" t="s">
        <v>5531</v>
      </c>
      <c r="F3748" t="s">
        <v>6027</v>
      </c>
      <c r="G3748" t="s">
        <v>6030</v>
      </c>
      <c r="H3748" t="s">
        <v>6035</v>
      </c>
      <c r="I3748" t="s">
        <v>6051</v>
      </c>
      <c r="J3748" t="s">
        <v>6055</v>
      </c>
      <c r="K3748" t="s">
        <v>6061</v>
      </c>
      <c r="L3748" t="s">
        <v>7485</v>
      </c>
      <c r="M3748">
        <v>1781.47</v>
      </c>
      <c r="N3748">
        <v>6</v>
      </c>
      <c r="O3748">
        <v>0.28000000000000003</v>
      </c>
      <c r="P3748">
        <v>-230.63</v>
      </c>
      <c r="Q3748" t="s">
        <v>9895</v>
      </c>
      <c r="R3748">
        <v>3</v>
      </c>
      <c r="S3748" s="5">
        <f t="shared" si="116"/>
        <v>-0.12946050172048926</v>
      </c>
      <c r="T3748">
        <v>296.91166666666669</v>
      </c>
      <c r="U3748">
        <v>4</v>
      </c>
      <c r="V3748">
        <v>2023</v>
      </c>
      <c r="W3748">
        <v>2</v>
      </c>
      <c r="X3748" t="s">
        <v>9898</v>
      </c>
      <c r="Y3748" t="s">
        <v>9900</v>
      </c>
      <c r="Z3748" t="s">
        <v>9898</v>
      </c>
      <c r="AD3748">
        <f t="shared" si="117"/>
        <v>3</v>
      </c>
    </row>
    <row r="3749" spans="1:30" x14ac:dyDescent="0.25">
      <c r="A3749" t="s">
        <v>3773</v>
      </c>
      <c r="B3749" s="2">
        <v>45035</v>
      </c>
      <c r="C3749" s="2">
        <v>45038</v>
      </c>
      <c r="D3749" t="s">
        <v>5029</v>
      </c>
      <c r="E3749" t="s">
        <v>5529</v>
      </c>
      <c r="F3749" t="s">
        <v>6028</v>
      </c>
      <c r="G3749" t="s">
        <v>6030</v>
      </c>
      <c r="H3749" t="s">
        <v>6039</v>
      </c>
      <c r="I3749" t="s">
        <v>6047</v>
      </c>
      <c r="J3749" t="s">
        <v>6053</v>
      </c>
      <c r="K3749" t="s">
        <v>6058</v>
      </c>
      <c r="L3749" t="s">
        <v>9108</v>
      </c>
      <c r="M3749">
        <v>329.08</v>
      </c>
      <c r="N3749">
        <v>3</v>
      </c>
      <c r="O3749">
        <v>0.16</v>
      </c>
      <c r="P3749">
        <v>-4.01</v>
      </c>
      <c r="Q3749" t="s">
        <v>9897</v>
      </c>
      <c r="R3749">
        <v>3</v>
      </c>
      <c r="S3749" s="5">
        <f t="shared" si="116"/>
        <v>-1.2185486811717515E-2</v>
      </c>
      <c r="T3749">
        <v>109.6933333333333</v>
      </c>
      <c r="U3749">
        <v>4</v>
      </c>
      <c r="V3749">
        <v>2023</v>
      </c>
      <c r="W3749">
        <v>2</v>
      </c>
      <c r="X3749" t="s">
        <v>9898</v>
      </c>
      <c r="Y3749" t="s">
        <v>9900</v>
      </c>
      <c r="Z3749" t="s">
        <v>9899</v>
      </c>
      <c r="AD3749">
        <f t="shared" si="117"/>
        <v>3</v>
      </c>
    </row>
    <row r="3750" spans="1:30" x14ac:dyDescent="0.25">
      <c r="A3750" t="s">
        <v>3774</v>
      </c>
      <c r="B3750" s="2">
        <v>44733</v>
      </c>
      <c r="C3750" s="2">
        <v>44736</v>
      </c>
      <c r="D3750" t="s">
        <v>5425</v>
      </c>
      <c r="E3750" t="s">
        <v>5925</v>
      </c>
      <c r="F3750" t="s">
        <v>6028</v>
      </c>
      <c r="G3750" t="s">
        <v>6030</v>
      </c>
      <c r="H3750" t="s">
        <v>6038</v>
      </c>
      <c r="I3750" t="s">
        <v>6051</v>
      </c>
      <c r="J3750" t="s">
        <v>6053</v>
      </c>
      <c r="K3750" t="s">
        <v>6058</v>
      </c>
      <c r="L3750" t="s">
        <v>9109</v>
      </c>
      <c r="M3750">
        <v>945.87</v>
      </c>
      <c r="N3750">
        <v>7</v>
      </c>
      <c r="O3750">
        <v>0.18</v>
      </c>
      <c r="P3750">
        <v>-23.23</v>
      </c>
      <c r="Q3750" t="s">
        <v>9897</v>
      </c>
      <c r="R3750">
        <v>3</v>
      </c>
      <c r="S3750" s="5">
        <f t="shared" si="116"/>
        <v>-2.4559400340427331E-2</v>
      </c>
      <c r="T3750">
        <v>135.12428571428569</v>
      </c>
      <c r="U3750">
        <v>6</v>
      </c>
      <c r="V3750">
        <v>2022</v>
      </c>
      <c r="W3750">
        <v>2</v>
      </c>
      <c r="X3750" t="s">
        <v>9898</v>
      </c>
      <c r="Y3750" t="s">
        <v>9900</v>
      </c>
      <c r="Z3750" t="s">
        <v>9899</v>
      </c>
      <c r="AD3750">
        <f t="shared" si="117"/>
        <v>3</v>
      </c>
    </row>
    <row r="3751" spans="1:30" x14ac:dyDescent="0.25">
      <c r="A3751" t="s">
        <v>3775</v>
      </c>
      <c r="B3751" s="2">
        <v>45385</v>
      </c>
      <c r="C3751" s="2">
        <v>45386</v>
      </c>
      <c r="D3751" t="s">
        <v>5217</v>
      </c>
      <c r="E3751" t="s">
        <v>5717</v>
      </c>
      <c r="F3751" t="s">
        <v>6028</v>
      </c>
      <c r="G3751" t="s">
        <v>6030</v>
      </c>
      <c r="H3751" t="s">
        <v>6033</v>
      </c>
      <c r="I3751" t="s">
        <v>6051</v>
      </c>
      <c r="J3751" t="s">
        <v>6053</v>
      </c>
      <c r="K3751" t="s">
        <v>6058</v>
      </c>
      <c r="L3751" t="s">
        <v>9110</v>
      </c>
      <c r="M3751">
        <v>413.9</v>
      </c>
      <c r="N3751">
        <v>4</v>
      </c>
      <c r="O3751">
        <v>0.28999999999999998</v>
      </c>
      <c r="P3751">
        <v>-58.15</v>
      </c>
      <c r="Q3751" t="s">
        <v>9893</v>
      </c>
      <c r="R3751">
        <v>1</v>
      </c>
      <c r="S3751" s="5">
        <f t="shared" si="116"/>
        <v>-0.14049287267455907</v>
      </c>
      <c r="T3751">
        <v>103.47499999999999</v>
      </c>
      <c r="U3751">
        <v>4</v>
      </c>
      <c r="V3751">
        <v>2024</v>
      </c>
      <c r="W3751">
        <v>2</v>
      </c>
      <c r="X3751" t="s">
        <v>9898</v>
      </c>
      <c r="Y3751" t="s">
        <v>9900</v>
      </c>
      <c r="Z3751" t="s">
        <v>9899</v>
      </c>
      <c r="AD3751">
        <f t="shared" si="117"/>
        <v>1</v>
      </c>
    </row>
    <row r="3752" spans="1:30" x14ac:dyDescent="0.25">
      <c r="A3752" t="s">
        <v>3776</v>
      </c>
      <c r="B3752" s="2">
        <v>44621</v>
      </c>
      <c r="C3752" s="2">
        <v>44627</v>
      </c>
      <c r="D3752" t="s">
        <v>5140</v>
      </c>
      <c r="E3752" t="s">
        <v>5640</v>
      </c>
      <c r="F3752" t="s">
        <v>6026</v>
      </c>
      <c r="G3752" t="s">
        <v>6031</v>
      </c>
      <c r="H3752" t="s">
        <v>6043</v>
      </c>
      <c r="I3752" t="s">
        <v>6050</v>
      </c>
      <c r="J3752" t="s">
        <v>6055</v>
      </c>
      <c r="K3752" t="s">
        <v>6061</v>
      </c>
      <c r="L3752" t="s">
        <v>9111</v>
      </c>
      <c r="M3752">
        <v>1656.27</v>
      </c>
      <c r="N3752">
        <v>8</v>
      </c>
      <c r="O3752">
        <v>0.11</v>
      </c>
      <c r="P3752">
        <v>109.39</v>
      </c>
      <c r="Q3752" t="s">
        <v>9894</v>
      </c>
      <c r="R3752">
        <v>6</v>
      </c>
      <c r="S3752" s="5">
        <f t="shared" si="116"/>
        <v>6.6045994916287806E-2</v>
      </c>
      <c r="T3752">
        <v>207.03375</v>
      </c>
      <c r="U3752">
        <v>3</v>
      </c>
      <c r="V3752">
        <v>2022</v>
      </c>
      <c r="W3752">
        <v>1</v>
      </c>
      <c r="X3752" t="s">
        <v>9899</v>
      </c>
      <c r="Y3752" t="s">
        <v>9901</v>
      </c>
      <c r="Z3752" t="s">
        <v>9898</v>
      </c>
      <c r="AD3752">
        <f t="shared" si="117"/>
        <v>6</v>
      </c>
    </row>
    <row r="3753" spans="1:30" x14ac:dyDescent="0.25">
      <c r="A3753" t="s">
        <v>3777</v>
      </c>
      <c r="B3753" s="2">
        <v>45250</v>
      </c>
      <c r="C3753" s="2">
        <v>45253</v>
      </c>
      <c r="D3753" t="s">
        <v>5164</v>
      </c>
      <c r="E3753" t="s">
        <v>5664</v>
      </c>
      <c r="F3753" t="s">
        <v>6028</v>
      </c>
      <c r="G3753" t="s">
        <v>6029</v>
      </c>
      <c r="H3753" t="s">
        <v>6044</v>
      </c>
      <c r="I3753" t="s">
        <v>6046</v>
      </c>
      <c r="J3753" t="s">
        <v>6054</v>
      </c>
      <c r="K3753" t="s">
        <v>6060</v>
      </c>
      <c r="L3753" t="s">
        <v>9112</v>
      </c>
      <c r="M3753">
        <v>1640.62</v>
      </c>
      <c r="N3753">
        <v>1</v>
      </c>
      <c r="O3753">
        <v>0.23</v>
      </c>
      <c r="P3753">
        <v>90.59</v>
      </c>
      <c r="Q3753" t="s">
        <v>9895</v>
      </c>
      <c r="R3753">
        <v>3</v>
      </c>
      <c r="S3753" s="5">
        <f t="shared" si="116"/>
        <v>5.5216930184930096E-2</v>
      </c>
      <c r="T3753">
        <v>1640.62</v>
      </c>
      <c r="U3753">
        <v>11</v>
      </c>
      <c r="V3753">
        <v>2023</v>
      </c>
      <c r="W3753">
        <v>4</v>
      </c>
      <c r="X3753" t="s">
        <v>9899</v>
      </c>
      <c r="Y3753" t="s">
        <v>9900</v>
      </c>
      <c r="Z3753" t="s">
        <v>9898</v>
      </c>
      <c r="AD3753">
        <f t="shared" si="117"/>
        <v>3</v>
      </c>
    </row>
    <row r="3754" spans="1:30" x14ac:dyDescent="0.25">
      <c r="A3754" t="s">
        <v>3778</v>
      </c>
      <c r="B3754" s="2">
        <v>45120</v>
      </c>
      <c r="C3754" s="2">
        <v>45122</v>
      </c>
      <c r="D3754" t="s">
        <v>5199</v>
      </c>
      <c r="E3754" t="s">
        <v>5699</v>
      </c>
      <c r="F3754" t="s">
        <v>6028</v>
      </c>
      <c r="G3754" t="s">
        <v>6029</v>
      </c>
      <c r="H3754" t="s">
        <v>6036</v>
      </c>
      <c r="I3754" t="s">
        <v>6050</v>
      </c>
      <c r="J3754" t="s">
        <v>6055</v>
      </c>
      <c r="K3754" t="s">
        <v>6061</v>
      </c>
      <c r="L3754" t="s">
        <v>9113</v>
      </c>
      <c r="M3754">
        <v>471.81</v>
      </c>
      <c r="N3754">
        <v>2</v>
      </c>
      <c r="O3754">
        <v>0.19</v>
      </c>
      <c r="P3754">
        <v>-14.77</v>
      </c>
      <c r="Q3754" t="s">
        <v>9896</v>
      </c>
      <c r="R3754">
        <v>2</v>
      </c>
      <c r="S3754" s="5">
        <f t="shared" si="116"/>
        <v>-3.1304974460058074E-2</v>
      </c>
      <c r="T3754">
        <v>235.905</v>
      </c>
      <c r="U3754">
        <v>7</v>
      </c>
      <c r="V3754">
        <v>2023</v>
      </c>
      <c r="W3754">
        <v>3</v>
      </c>
      <c r="X3754" t="s">
        <v>9898</v>
      </c>
      <c r="Y3754" t="s">
        <v>9900</v>
      </c>
      <c r="Z3754" t="s">
        <v>9899</v>
      </c>
      <c r="AD3754">
        <f t="shared" si="117"/>
        <v>2</v>
      </c>
    </row>
    <row r="3755" spans="1:30" x14ac:dyDescent="0.25">
      <c r="A3755" t="s">
        <v>3779</v>
      </c>
      <c r="B3755" s="2">
        <v>45182</v>
      </c>
      <c r="C3755" s="2">
        <v>45189</v>
      </c>
      <c r="D3755" t="s">
        <v>5264</v>
      </c>
      <c r="E3755" t="s">
        <v>5764</v>
      </c>
      <c r="F3755" t="s">
        <v>6028</v>
      </c>
      <c r="G3755" t="s">
        <v>6030</v>
      </c>
      <c r="H3755" t="s">
        <v>6039</v>
      </c>
      <c r="I3755" t="s">
        <v>6047</v>
      </c>
      <c r="J3755" t="s">
        <v>6053</v>
      </c>
      <c r="K3755" t="s">
        <v>6057</v>
      </c>
      <c r="L3755" t="s">
        <v>8164</v>
      </c>
      <c r="M3755">
        <v>1929.71</v>
      </c>
      <c r="N3755">
        <v>5</v>
      </c>
      <c r="O3755">
        <v>0.24</v>
      </c>
      <c r="P3755">
        <v>-209.26</v>
      </c>
      <c r="Q3755" t="s">
        <v>9893</v>
      </c>
      <c r="R3755">
        <v>7</v>
      </c>
      <c r="S3755" s="5">
        <f t="shared" si="116"/>
        <v>-0.10844116473459742</v>
      </c>
      <c r="T3755">
        <v>385.94200000000001</v>
      </c>
      <c r="U3755">
        <v>9</v>
      </c>
      <c r="V3755">
        <v>2023</v>
      </c>
      <c r="W3755">
        <v>3</v>
      </c>
      <c r="X3755" t="s">
        <v>9898</v>
      </c>
      <c r="Y3755" t="s">
        <v>9900</v>
      </c>
      <c r="Z3755" t="s">
        <v>9898</v>
      </c>
      <c r="AD3755">
        <f t="shared" si="117"/>
        <v>7</v>
      </c>
    </row>
    <row r="3756" spans="1:30" x14ac:dyDescent="0.25">
      <c r="A3756" t="s">
        <v>3780</v>
      </c>
      <c r="B3756" s="2">
        <v>45342</v>
      </c>
      <c r="C3756" s="2">
        <v>45349</v>
      </c>
      <c r="D3756" t="s">
        <v>5369</v>
      </c>
      <c r="E3756" t="s">
        <v>5869</v>
      </c>
      <c r="F3756" t="s">
        <v>6027</v>
      </c>
      <c r="G3756" t="s">
        <v>6031</v>
      </c>
      <c r="H3756" t="s">
        <v>6040</v>
      </c>
      <c r="I3756" t="s">
        <v>6050</v>
      </c>
      <c r="J3756" t="s">
        <v>6053</v>
      </c>
      <c r="K3756" t="s">
        <v>6057</v>
      </c>
      <c r="L3756" t="s">
        <v>9114</v>
      </c>
      <c r="M3756">
        <v>763.85</v>
      </c>
      <c r="N3756">
        <v>2</v>
      </c>
      <c r="O3756">
        <v>0.28000000000000003</v>
      </c>
      <c r="P3756">
        <v>-1.8</v>
      </c>
      <c r="Q3756" t="s">
        <v>9894</v>
      </c>
      <c r="R3756">
        <v>7</v>
      </c>
      <c r="S3756" s="5">
        <f t="shared" si="116"/>
        <v>-2.3564836028015972E-3</v>
      </c>
      <c r="T3756">
        <v>381.92500000000001</v>
      </c>
      <c r="U3756">
        <v>2</v>
      </c>
      <c r="V3756">
        <v>2024</v>
      </c>
      <c r="W3756">
        <v>1</v>
      </c>
      <c r="X3756" t="s">
        <v>9898</v>
      </c>
      <c r="Y3756" t="s">
        <v>9900</v>
      </c>
      <c r="Z3756" t="s">
        <v>9899</v>
      </c>
      <c r="AD3756">
        <f t="shared" si="117"/>
        <v>7</v>
      </c>
    </row>
    <row r="3757" spans="1:30" x14ac:dyDescent="0.25">
      <c r="A3757" t="s">
        <v>3781</v>
      </c>
      <c r="B3757" s="2">
        <v>45140</v>
      </c>
      <c r="C3757" s="2">
        <v>45146</v>
      </c>
      <c r="D3757" t="s">
        <v>5083</v>
      </c>
      <c r="E3757" t="s">
        <v>5583</v>
      </c>
      <c r="F3757" t="s">
        <v>6027</v>
      </c>
      <c r="G3757" t="s">
        <v>6029</v>
      </c>
      <c r="H3757" t="s">
        <v>6036</v>
      </c>
      <c r="I3757" t="s">
        <v>6049</v>
      </c>
      <c r="J3757" t="s">
        <v>6054</v>
      </c>
      <c r="K3757" t="s">
        <v>6059</v>
      </c>
      <c r="L3757" t="s">
        <v>9115</v>
      </c>
      <c r="M3757">
        <v>1648.32</v>
      </c>
      <c r="N3757">
        <v>7</v>
      </c>
      <c r="O3757">
        <v>0.01</v>
      </c>
      <c r="P3757">
        <v>309.74</v>
      </c>
      <c r="Q3757" t="s">
        <v>9894</v>
      </c>
      <c r="R3757">
        <v>6</v>
      </c>
      <c r="S3757" s="5">
        <f t="shared" si="116"/>
        <v>0.18791254125412543</v>
      </c>
      <c r="T3757">
        <v>235.47428571428571</v>
      </c>
      <c r="U3757">
        <v>8</v>
      </c>
      <c r="V3757">
        <v>2023</v>
      </c>
      <c r="W3757">
        <v>3</v>
      </c>
      <c r="X3757" t="s">
        <v>9899</v>
      </c>
      <c r="Y3757" t="s">
        <v>9901</v>
      </c>
      <c r="Z3757" t="s">
        <v>9898</v>
      </c>
      <c r="AD3757">
        <f t="shared" si="117"/>
        <v>6</v>
      </c>
    </row>
    <row r="3758" spans="1:30" x14ac:dyDescent="0.25">
      <c r="A3758" t="s">
        <v>3782</v>
      </c>
      <c r="B3758" s="2">
        <v>45229</v>
      </c>
      <c r="C3758" s="2">
        <v>45235</v>
      </c>
      <c r="D3758" t="s">
        <v>5519</v>
      </c>
      <c r="E3758" t="s">
        <v>6019</v>
      </c>
      <c r="F3758" t="s">
        <v>6027</v>
      </c>
      <c r="G3758" t="s">
        <v>6031</v>
      </c>
      <c r="H3758" t="s">
        <v>6037</v>
      </c>
      <c r="I3758" t="s">
        <v>6052</v>
      </c>
      <c r="J3758" t="s">
        <v>6054</v>
      </c>
      <c r="K3758" t="s">
        <v>6062</v>
      </c>
      <c r="L3758" t="s">
        <v>6666</v>
      </c>
      <c r="M3758">
        <v>1414.28</v>
      </c>
      <c r="N3758">
        <v>2</v>
      </c>
      <c r="O3758">
        <v>0.31</v>
      </c>
      <c r="P3758">
        <v>-73.33</v>
      </c>
      <c r="Q3758" t="s">
        <v>9897</v>
      </c>
      <c r="R3758">
        <v>6</v>
      </c>
      <c r="S3758" s="5">
        <f t="shared" si="116"/>
        <v>-5.1849704443250273E-2</v>
      </c>
      <c r="T3758">
        <v>707.14</v>
      </c>
      <c r="U3758">
        <v>10</v>
      </c>
      <c r="V3758">
        <v>2023</v>
      </c>
      <c r="W3758">
        <v>4</v>
      </c>
      <c r="X3758" t="s">
        <v>9898</v>
      </c>
      <c r="Y3758" t="s">
        <v>9902</v>
      </c>
      <c r="Z3758" t="s">
        <v>9898</v>
      </c>
      <c r="AD3758">
        <f t="shared" si="117"/>
        <v>6</v>
      </c>
    </row>
    <row r="3759" spans="1:30" x14ac:dyDescent="0.25">
      <c r="A3759" t="s">
        <v>3783</v>
      </c>
      <c r="B3759" s="2">
        <v>44918</v>
      </c>
      <c r="C3759" s="2">
        <v>44920</v>
      </c>
      <c r="D3759" t="s">
        <v>5384</v>
      </c>
      <c r="E3759" t="s">
        <v>5884</v>
      </c>
      <c r="F3759" t="s">
        <v>6027</v>
      </c>
      <c r="G3759" t="s">
        <v>6031</v>
      </c>
      <c r="H3759" t="s">
        <v>6040</v>
      </c>
      <c r="I3759" t="s">
        <v>6050</v>
      </c>
      <c r="J3759" t="s">
        <v>6054</v>
      </c>
      <c r="K3759" t="s">
        <v>6062</v>
      </c>
      <c r="L3759" t="s">
        <v>9116</v>
      </c>
      <c r="M3759">
        <v>1524.91</v>
      </c>
      <c r="N3759">
        <v>4</v>
      </c>
      <c r="O3759">
        <v>0.15</v>
      </c>
      <c r="P3759">
        <v>-49.86</v>
      </c>
      <c r="Q3759" t="s">
        <v>9895</v>
      </c>
      <c r="R3759">
        <v>2</v>
      </c>
      <c r="S3759" s="5">
        <f t="shared" si="116"/>
        <v>-3.2697011626915684E-2</v>
      </c>
      <c r="T3759">
        <v>381.22750000000002</v>
      </c>
      <c r="U3759">
        <v>12</v>
      </c>
      <c r="V3759">
        <v>2022</v>
      </c>
      <c r="W3759">
        <v>4</v>
      </c>
      <c r="X3759" t="s">
        <v>9898</v>
      </c>
      <c r="Y3759" t="s">
        <v>9901</v>
      </c>
      <c r="Z3759" t="s">
        <v>9898</v>
      </c>
      <c r="AD3759">
        <f t="shared" si="117"/>
        <v>2</v>
      </c>
    </row>
    <row r="3760" spans="1:30" x14ac:dyDescent="0.25">
      <c r="A3760" t="s">
        <v>3784</v>
      </c>
      <c r="B3760" s="2">
        <v>44750</v>
      </c>
      <c r="C3760" s="2">
        <v>44756</v>
      </c>
      <c r="D3760" t="s">
        <v>5344</v>
      </c>
      <c r="E3760" t="s">
        <v>5844</v>
      </c>
      <c r="F3760" t="s">
        <v>6026</v>
      </c>
      <c r="G3760" t="s">
        <v>6029</v>
      </c>
      <c r="H3760" t="s">
        <v>6032</v>
      </c>
      <c r="I3760" t="s">
        <v>6046</v>
      </c>
      <c r="J3760" t="s">
        <v>6053</v>
      </c>
      <c r="K3760" t="s">
        <v>6056</v>
      </c>
      <c r="L3760" t="s">
        <v>8683</v>
      </c>
      <c r="M3760">
        <v>1917.16</v>
      </c>
      <c r="N3760">
        <v>5</v>
      </c>
      <c r="O3760">
        <v>0.17</v>
      </c>
      <c r="P3760">
        <v>-113.66</v>
      </c>
      <c r="Q3760" t="s">
        <v>9896</v>
      </c>
      <c r="R3760">
        <v>6</v>
      </c>
      <c r="S3760" s="5">
        <f t="shared" si="116"/>
        <v>-5.9285609964739507E-2</v>
      </c>
      <c r="T3760">
        <v>383.43200000000002</v>
      </c>
      <c r="U3760">
        <v>7</v>
      </c>
      <c r="V3760">
        <v>2022</v>
      </c>
      <c r="W3760">
        <v>3</v>
      </c>
      <c r="X3760" t="s">
        <v>9898</v>
      </c>
      <c r="Y3760" t="s">
        <v>9900</v>
      </c>
      <c r="Z3760" t="s">
        <v>9898</v>
      </c>
      <c r="AD3760">
        <f t="shared" si="117"/>
        <v>6</v>
      </c>
    </row>
    <row r="3761" spans="1:30" x14ac:dyDescent="0.25">
      <c r="A3761" t="s">
        <v>3785</v>
      </c>
      <c r="B3761" s="2">
        <v>45243</v>
      </c>
      <c r="C3761" s="2">
        <v>45246</v>
      </c>
      <c r="D3761" t="s">
        <v>5489</v>
      </c>
      <c r="E3761" t="s">
        <v>5989</v>
      </c>
      <c r="F3761" t="s">
        <v>6026</v>
      </c>
      <c r="G3761" t="s">
        <v>6030</v>
      </c>
      <c r="H3761" t="s">
        <v>6033</v>
      </c>
      <c r="I3761" t="s">
        <v>6051</v>
      </c>
      <c r="J3761" t="s">
        <v>6054</v>
      </c>
      <c r="K3761" t="s">
        <v>6059</v>
      </c>
      <c r="L3761" t="s">
        <v>9117</v>
      </c>
      <c r="M3761">
        <v>800.93</v>
      </c>
      <c r="N3761">
        <v>4</v>
      </c>
      <c r="O3761">
        <v>0.25</v>
      </c>
      <c r="P3761">
        <v>-34.58</v>
      </c>
      <c r="Q3761" t="s">
        <v>9893</v>
      </c>
      <c r="R3761">
        <v>3</v>
      </c>
      <c r="S3761" s="5">
        <f t="shared" si="116"/>
        <v>-4.3174809284207111E-2</v>
      </c>
      <c r="T3761">
        <v>200.23249999999999</v>
      </c>
      <c r="U3761">
        <v>11</v>
      </c>
      <c r="V3761">
        <v>2023</v>
      </c>
      <c r="W3761">
        <v>4</v>
      </c>
      <c r="X3761" t="s">
        <v>9898</v>
      </c>
      <c r="Y3761" t="s">
        <v>9900</v>
      </c>
      <c r="Z3761" t="s">
        <v>9899</v>
      </c>
      <c r="AD3761">
        <f t="shared" si="117"/>
        <v>3</v>
      </c>
    </row>
    <row r="3762" spans="1:30" x14ac:dyDescent="0.25">
      <c r="A3762" t="s">
        <v>3786</v>
      </c>
      <c r="B3762" s="2">
        <v>44971</v>
      </c>
      <c r="C3762" s="2">
        <v>44974</v>
      </c>
      <c r="D3762" t="s">
        <v>5385</v>
      </c>
      <c r="E3762" t="s">
        <v>5885</v>
      </c>
      <c r="F3762" t="s">
        <v>6026</v>
      </c>
      <c r="G3762" t="s">
        <v>6029</v>
      </c>
      <c r="H3762" t="s">
        <v>6044</v>
      </c>
      <c r="I3762" t="s">
        <v>6050</v>
      </c>
      <c r="J3762" t="s">
        <v>6053</v>
      </c>
      <c r="K3762" t="s">
        <v>6057</v>
      </c>
      <c r="L3762" t="s">
        <v>9118</v>
      </c>
      <c r="M3762">
        <v>1514.91</v>
      </c>
      <c r="N3762">
        <v>6</v>
      </c>
      <c r="O3762">
        <v>0.26</v>
      </c>
      <c r="P3762">
        <v>-118.94</v>
      </c>
      <c r="Q3762" t="s">
        <v>9897</v>
      </c>
      <c r="R3762">
        <v>3</v>
      </c>
      <c r="S3762" s="5">
        <f t="shared" si="116"/>
        <v>-7.8512914958644403E-2</v>
      </c>
      <c r="T3762">
        <v>252.48500000000001</v>
      </c>
      <c r="U3762">
        <v>2</v>
      </c>
      <c r="V3762">
        <v>2023</v>
      </c>
      <c r="W3762">
        <v>1</v>
      </c>
      <c r="X3762" t="s">
        <v>9898</v>
      </c>
      <c r="Y3762" t="s">
        <v>9900</v>
      </c>
      <c r="Z3762" t="s">
        <v>9898</v>
      </c>
      <c r="AD3762">
        <f t="shared" si="117"/>
        <v>3</v>
      </c>
    </row>
    <row r="3763" spans="1:30" x14ac:dyDescent="0.25">
      <c r="A3763" t="s">
        <v>3787</v>
      </c>
      <c r="B3763" s="2">
        <v>45217</v>
      </c>
      <c r="C3763" s="2">
        <v>45221</v>
      </c>
      <c r="D3763" t="s">
        <v>5421</v>
      </c>
      <c r="E3763" t="s">
        <v>5921</v>
      </c>
      <c r="F3763" t="s">
        <v>6026</v>
      </c>
      <c r="G3763" t="s">
        <v>6030</v>
      </c>
      <c r="H3763" t="s">
        <v>6033</v>
      </c>
      <c r="I3763" t="s">
        <v>6051</v>
      </c>
      <c r="J3763" t="s">
        <v>6053</v>
      </c>
      <c r="K3763" t="s">
        <v>6057</v>
      </c>
      <c r="L3763" t="s">
        <v>9102</v>
      </c>
      <c r="M3763">
        <v>911.14</v>
      </c>
      <c r="N3763">
        <v>5</v>
      </c>
      <c r="O3763">
        <v>0.15</v>
      </c>
      <c r="P3763">
        <v>-26.39</v>
      </c>
      <c r="Q3763" t="s">
        <v>9895</v>
      </c>
      <c r="R3763">
        <v>4</v>
      </c>
      <c r="S3763" s="5">
        <f t="shared" si="116"/>
        <v>-2.8963715784621466E-2</v>
      </c>
      <c r="T3763">
        <v>182.22800000000001</v>
      </c>
      <c r="U3763">
        <v>10</v>
      </c>
      <c r="V3763">
        <v>2023</v>
      </c>
      <c r="W3763">
        <v>4</v>
      </c>
      <c r="X3763" t="s">
        <v>9898</v>
      </c>
      <c r="Y3763" t="s">
        <v>9901</v>
      </c>
      <c r="Z3763" t="s">
        <v>9899</v>
      </c>
      <c r="AD3763">
        <f t="shared" si="117"/>
        <v>4</v>
      </c>
    </row>
    <row r="3764" spans="1:30" x14ac:dyDescent="0.25">
      <c r="A3764" t="s">
        <v>3788</v>
      </c>
      <c r="B3764" s="2">
        <v>45055</v>
      </c>
      <c r="C3764" s="2">
        <v>45061</v>
      </c>
      <c r="D3764" t="s">
        <v>5478</v>
      </c>
      <c r="E3764" t="s">
        <v>5978</v>
      </c>
      <c r="F3764" t="s">
        <v>6027</v>
      </c>
      <c r="G3764" t="s">
        <v>6029</v>
      </c>
      <c r="H3764" t="s">
        <v>6041</v>
      </c>
      <c r="I3764" t="s">
        <v>6046</v>
      </c>
      <c r="J3764" t="s">
        <v>6054</v>
      </c>
      <c r="K3764" t="s">
        <v>6062</v>
      </c>
      <c r="L3764" t="s">
        <v>8032</v>
      </c>
      <c r="M3764">
        <v>517.58000000000004</v>
      </c>
      <c r="N3764">
        <v>4</v>
      </c>
      <c r="O3764">
        <v>0.19</v>
      </c>
      <c r="P3764">
        <v>-21.93</v>
      </c>
      <c r="Q3764" t="s">
        <v>9897</v>
      </c>
      <c r="R3764">
        <v>6</v>
      </c>
      <c r="S3764" s="5">
        <f t="shared" si="116"/>
        <v>-4.237026160207117E-2</v>
      </c>
      <c r="T3764">
        <v>129.39500000000001</v>
      </c>
      <c r="U3764">
        <v>5</v>
      </c>
      <c r="V3764">
        <v>2023</v>
      </c>
      <c r="W3764">
        <v>2</v>
      </c>
      <c r="X3764" t="s">
        <v>9898</v>
      </c>
      <c r="Y3764" t="s">
        <v>9900</v>
      </c>
      <c r="Z3764" t="s">
        <v>9899</v>
      </c>
      <c r="AD3764">
        <f t="shared" si="117"/>
        <v>6</v>
      </c>
    </row>
    <row r="3765" spans="1:30" x14ac:dyDescent="0.25">
      <c r="A3765" t="s">
        <v>3789</v>
      </c>
      <c r="B3765" s="2">
        <v>45113</v>
      </c>
      <c r="C3765" s="2">
        <v>45116</v>
      </c>
      <c r="D3765" t="s">
        <v>5053</v>
      </c>
      <c r="E3765" t="s">
        <v>5553</v>
      </c>
      <c r="F3765" t="s">
        <v>6028</v>
      </c>
      <c r="G3765" t="s">
        <v>6031</v>
      </c>
      <c r="H3765" t="s">
        <v>6034</v>
      </c>
      <c r="I3765" t="s">
        <v>6050</v>
      </c>
      <c r="J3765" t="s">
        <v>6053</v>
      </c>
      <c r="K3765" t="s">
        <v>6057</v>
      </c>
      <c r="L3765" t="s">
        <v>9119</v>
      </c>
      <c r="M3765">
        <v>1829.75</v>
      </c>
      <c r="N3765">
        <v>6</v>
      </c>
      <c r="O3765">
        <v>0.03</v>
      </c>
      <c r="P3765">
        <v>434.74</v>
      </c>
      <c r="Q3765" t="s">
        <v>9896</v>
      </c>
      <c r="R3765">
        <v>3</v>
      </c>
      <c r="S3765" s="5">
        <f t="shared" si="116"/>
        <v>0.23759529990435851</v>
      </c>
      <c r="T3765">
        <v>304.95833333333331</v>
      </c>
      <c r="U3765">
        <v>7</v>
      </c>
      <c r="V3765">
        <v>2023</v>
      </c>
      <c r="W3765">
        <v>3</v>
      </c>
      <c r="X3765" t="s">
        <v>9899</v>
      </c>
      <c r="Y3765" t="s">
        <v>9901</v>
      </c>
      <c r="Z3765" t="s">
        <v>9898</v>
      </c>
      <c r="AD3765">
        <f t="shared" si="117"/>
        <v>3</v>
      </c>
    </row>
    <row r="3766" spans="1:30" x14ac:dyDescent="0.25">
      <c r="A3766" t="s">
        <v>3790</v>
      </c>
      <c r="B3766" s="2">
        <v>45048</v>
      </c>
      <c r="C3766" s="2">
        <v>45053</v>
      </c>
      <c r="D3766" t="s">
        <v>5124</v>
      </c>
      <c r="E3766" t="s">
        <v>5624</v>
      </c>
      <c r="F3766" t="s">
        <v>6026</v>
      </c>
      <c r="G3766" t="s">
        <v>6029</v>
      </c>
      <c r="H3766" t="s">
        <v>6044</v>
      </c>
      <c r="I3766" t="s">
        <v>6049</v>
      </c>
      <c r="J3766" t="s">
        <v>6055</v>
      </c>
      <c r="K3766" t="s">
        <v>6063</v>
      </c>
      <c r="L3766" t="s">
        <v>9120</v>
      </c>
      <c r="M3766">
        <v>938.88</v>
      </c>
      <c r="N3766">
        <v>4</v>
      </c>
      <c r="O3766">
        <v>0.33</v>
      </c>
      <c r="P3766">
        <v>-99.97</v>
      </c>
      <c r="Q3766" t="s">
        <v>9894</v>
      </c>
      <c r="R3766">
        <v>5</v>
      </c>
      <c r="S3766" s="5">
        <f t="shared" si="116"/>
        <v>-0.1064779311520109</v>
      </c>
      <c r="T3766">
        <v>234.72</v>
      </c>
      <c r="U3766">
        <v>5</v>
      </c>
      <c r="V3766">
        <v>2023</v>
      </c>
      <c r="W3766">
        <v>2</v>
      </c>
      <c r="X3766" t="s">
        <v>9898</v>
      </c>
      <c r="Y3766" t="s">
        <v>9902</v>
      </c>
      <c r="Z3766" t="s">
        <v>9899</v>
      </c>
      <c r="AD3766">
        <f t="shared" si="117"/>
        <v>5</v>
      </c>
    </row>
    <row r="3767" spans="1:30" x14ac:dyDescent="0.25">
      <c r="A3767" t="s">
        <v>3791</v>
      </c>
      <c r="B3767" s="2">
        <v>45233</v>
      </c>
      <c r="C3767" s="2">
        <v>45234</v>
      </c>
      <c r="D3767" t="s">
        <v>5351</v>
      </c>
      <c r="E3767" t="s">
        <v>5851</v>
      </c>
      <c r="F3767" t="s">
        <v>6026</v>
      </c>
      <c r="G3767" t="s">
        <v>6031</v>
      </c>
      <c r="H3767" t="s">
        <v>6037</v>
      </c>
      <c r="I3767" t="s">
        <v>6048</v>
      </c>
      <c r="J3767" t="s">
        <v>6055</v>
      </c>
      <c r="K3767" t="s">
        <v>6063</v>
      </c>
      <c r="L3767" t="s">
        <v>9121</v>
      </c>
      <c r="M3767">
        <v>317.01</v>
      </c>
      <c r="N3767">
        <v>5</v>
      </c>
      <c r="O3767">
        <v>0.11</v>
      </c>
      <c r="P3767">
        <v>52.14</v>
      </c>
      <c r="Q3767" t="s">
        <v>9895</v>
      </c>
      <c r="R3767">
        <v>1</v>
      </c>
      <c r="S3767" s="5">
        <f t="shared" si="116"/>
        <v>0.16447430680420178</v>
      </c>
      <c r="T3767">
        <v>63.402000000000001</v>
      </c>
      <c r="U3767">
        <v>11</v>
      </c>
      <c r="V3767">
        <v>2023</v>
      </c>
      <c r="W3767">
        <v>4</v>
      </c>
      <c r="X3767" t="s">
        <v>9899</v>
      </c>
      <c r="Y3767" t="s">
        <v>9901</v>
      </c>
      <c r="Z3767" t="s">
        <v>9899</v>
      </c>
      <c r="AD3767">
        <f t="shared" si="117"/>
        <v>1</v>
      </c>
    </row>
    <row r="3768" spans="1:30" x14ac:dyDescent="0.25">
      <c r="A3768" t="s">
        <v>3792</v>
      </c>
      <c r="B3768" s="2">
        <v>45306</v>
      </c>
      <c r="C3768" s="2">
        <v>45308</v>
      </c>
      <c r="D3768" t="s">
        <v>5488</v>
      </c>
      <c r="E3768" t="s">
        <v>5988</v>
      </c>
      <c r="F3768" t="s">
        <v>6026</v>
      </c>
      <c r="G3768" t="s">
        <v>6031</v>
      </c>
      <c r="H3768" t="s">
        <v>6040</v>
      </c>
      <c r="I3768" t="s">
        <v>6052</v>
      </c>
      <c r="J3768" t="s">
        <v>6055</v>
      </c>
      <c r="K3768" t="s">
        <v>6064</v>
      </c>
      <c r="L3768" t="s">
        <v>9122</v>
      </c>
      <c r="M3768">
        <v>407.45</v>
      </c>
      <c r="N3768">
        <v>4</v>
      </c>
      <c r="O3768">
        <v>0.27</v>
      </c>
      <c r="P3768">
        <v>-45.82</v>
      </c>
      <c r="Q3768" t="s">
        <v>9897</v>
      </c>
      <c r="R3768">
        <v>2</v>
      </c>
      <c r="S3768" s="5">
        <f t="shared" si="116"/>
        <v>-0.11245551601423488</v>
      </c>
      <c r="T3768">
        <v>101.8625</v>
      </c>
      <c r="U3768">
        <v>1</v>
      </c>
      <c r="V3768">
        <v>2024</v>
      </c>
      <c r="W3768">
        <v>1</v>
      </c>
      <c r="X3768" t="s">
        <v>9898</v>
      </c>
      <c r="Y3768" t="s">
        <v>9900</v>
      </c>
      <c r="Z3768" t="s">
        <v>9899</v>
      </c>
      <c r="AD3768">
        <f t="shared" si="117"/>
        <v>2</v>
      </c>
    </row>
    <row r="3769" spans="1:30" x14ac:dyDescent="0.25">
      <c r="A3769" t="s">
        <v>3793</v>
      </c>
      <c r="B3769" s="2">
        <v>45124</v>
      </c>
      <c r="C3769" s="2">
        <v>45128</v>
      </c>
      <c r="D3769" t="s">
        <v>5336</v>
      </c>
      <c r="E3769" t="s">
        <v>5836</v>
      </c>
      <c r="F3769" t="s">
        <v>6026</v>
      </c>
      <c r="G3769" t="s">
        <v>6031</v>
      </c>
      <c r="H3769" t="s">
        <v>6037</v>
      </c>
      <c r="I3769" t="s">
        <v>6052</v>
      </c>
      <c r="J3769" t="s">
        <v>6053</v>
      </c>
      <c r="K3769" t="s">
        <v>6058</v>
      </c>
      <c r="L3769" t="s">
        <v>8196</v>
      </c>
      <c r="M3769">
        <v>1666.12</v>
      </c>
      <c r="N3769">
        <v>4</v>
      </c>
      <c r="O3769">
        <v>0.27</v>
      </c>
      <c r="P3769">
        <v>-204.76</v>
      </c>
      <c r="Q3769" t="s">
        <v>9893</v>
      </c>
      <c r="R3769">
        <v>4</v>
      </c>
      <c r="S3769" s="5">
        <f t="shared" si="116"/>
        <v>-0.12289630998967661</v>
      </c>
      <c r="T3769">
        <v>416.53</v>
      </c>
      <c r="U3769">
        <v>7</v>
      </c>
      <c r="V3769">
        <v>2023</v>
      </c>
      <c r="W3769">
        <v>3</v>
      </c>
      <c r="X3769" t="s">
        <v>9898</v>
      </c>
      <c r="Y3769" t="s">
        <v>9900</v>
      </c>
      <c r="Z3769" t="s">
        <v>9898</v>
      </c>
      <c r="AD3769">
        <f t="shared" si="117"/>
        <v>4</v>
      </c>
    </row>
    <row r="3770" spans="1:30" x14ac:dyDescent="0.25">
      <c r="A3770" t="s">
        <v>3794</v>
      </c>
      <c r="B3770" s="2">
        <v>45184</v>
      </c>
      <c r="C3770" s="2">
        <v>45189</v>
      </c>
      <c r="D3770" t="s">
        <v>5156</v>
      </c>
      <c r="E3770" t="s">
        <v>5656</v>
      </c>
      <c r="F3770" t="s">
        <v>6027</v>
      </c>
      <c r="G3770" t="s">
        <v>6030</v>
      </c>
      <c r="H3770" t="s">
        <v>6033</v>
      </c>
      <c r="I3770" t="s">
        <v>6051</v>
      </c>
      <c r="J3770" t="s">
        <v>6054</v>
      </c>
      <c r="K3770" t="s">
        <v>6060</v>
      </c>
      <c r="L3770" t="s">
        <v>9123</v>
      </c>
      <c r="M3770">
        <v>1916.59</v>
      </c>
      <c r="N3770">
        <v>8</v>
      </c>
      <c r="O3770">
        <v>0.1</v>
      </c>
      <c r="P3770">
        <v>313.35000000000002</v>
      </c>
      <c r="Q3770" t="s">
        <v>9893</v>
      </c>
      <c r="R3770">
        <v>5</v>
      </c>
      <c r="S3770" s="5">
        <f t="shared" si="116"/>
        <v>0.1634934962615896</v>
      </c>
      <c r="T3770">
        <v>239.57374999999999</v>
      </c>
      <c r="U3770">
        <v>9</v>
      </c>
      <c r="V3770">
        <v>2023</v>
      </c>
      <c r="W3770">
        <v>3</v>
      </c>
      <c r="X3770" t="s">
        <v>9899</v>
      </c>
      <c r="Y3770" t="s">
        <v>9901</v>
      </c>
      <c r="Z3770" t="s">
        <v>9898</v>
      </c>
      <c r="AD3770">
        <f t="shared" si="117"/>
        <v>5</v>
      </c>
    </row>
    <row r="3771" spans="1:30" x14ac:dyDescent="0.25">
      <c r="A3771" t="s">
        <v>3795</v>
      </c>
      <c r="B3771" s="2">
        <v>45356</v>
      </c>
      <c r="C3771" s="2">
        <v>45359</v>
      </c>
      <c r="D3771" t="s">
        <v>5419</v>
      </c>
      <c r="E3771" t="s">
        <v>5919</v>
      </c>
      <c r="F3771" t="s">
        <v>6028</v>
      </c>
      <c r="G3771" t="s">
        <v>6030</v>
      </c>
      <c r="H3771" t="s">
        <v>6033</v>
      </c>
      <c r="I3771" t="s">
        <v>6047</v>
      </c>
      <c r="J3771" t="s">
        <v>6053</v>
      </c>
      <c r="K3771" t="s">
        <v>6057</v>
      </c>
      <c r="L3771" t="s">
        <v>9124</v>
      </c>
      <c r="M3771">
        <v>1119.79</v>
      </c>
      <c r="N3771">
        <v>7</v>
      </c>
      <c r="O3771">
        <v>0.15</v>
      </c>
      <c r="P3771">
        <v>143.44</v>
      </c>
      <c r="Q3771" t="s">
        <v>9896</v>
      </c>
      <c r="R3771">
        <v>3</v>
      </c>
      <c r="S3771" s="5">
        <f t="shared" si="116"/>
        <v>0.12809544646764126</v>
      </c>
      <c r="T3771">
        <v>159.97</v>
      </c>
      <c r="U3771">
        <v>3</v>
      </c>
      <c r="V3771">
        <v>2024</v>
      </c>
      <c r="W3771">
        <v>1</v>
      </c>
      <c r="X3771" t="s">
        <v>9899</v>
      </c>
      <c r="Y3771" t="s">
        <v>9901</v>
      </c>
      <c r="Z3771" t="s">
        <v>9898</v>
      </c>
      <c r="AD3771">
        <f t="shared" si="117"/>
        <v>3</v>
      </c>
    </row>
    <row r="3772" spans="1:30" x14ac:dyDescent="0.25">
      <c r="A3772" t="s">
        <v>3796</v>
      </c>
      <c r="B3772" s="2">
        <v>45313</v>
      </c>
      <c r="C3772" s="2">
        <v>45318</v>
      </c>
      <c r="D3772" t="s">
        <v>5114</v>
      </c>
      <c r="E3772" t="s">
        <v>5614</v>
      </c>
      <c r="F3772" t="s">
        <v>6028</v>
      </c>
      <c r="G3772" t="s">
        <v>6029</v>
      </c>
      <c r="H3772" t="s">
        <v>6044</v>
      </c>
      <c r="I3772" t="s">
        <v>6046</v>
      </c>
      <c r="J3772" t="s">
        <v>6054</v>
      </c>
      <c r="K3772" t="s">
        <v>6062</v>
      </c>
      <c r="L3772" t="s">
        <v>7534</v>
      </c>
      <c r="M3772">
        <v>954.17</v>
      </c>
      <c r="N3772">
        <v>1</v>
      </c>
      <c r="O3772">
        <v>0.18</v>
      </c>
      <c r="P3772">
        <v>-20.51</v>
      </c>
      <c r="Q3772" t="s">
        <v>9894</v>
      </c>
      <c r="R3772">
        <v>5</v>
      </c>
      <c r="S3772" s="5">
        <f t="shared" si="116"/>
        <v>-2.1495121414423009E-2</v>
      </c>
      <c r="T3772">
        <v>954.17</v>
      </c>
      <c r="U3772">
        <v>1</v>
      </c>
      <c r="V3772">
        <v>2024</v>
      </c>
      <c r="W3772">
        <v>1</v>
      </c>
      <c r="X3772" t="s">
        <v>9898</v>
      </c>
      <c r="Y3772" t="s">
        <v>9900</v>
      </c>
      <c r="Z3772" t="s">
        <v>9899</v>
      </c>
      <c r="AD3772">
        <f t="shared" si="117"/>
        <v>5</v>
      </c>
    </row>
    <row r="3773" spans="1:30" x14ac:dyDescent="0.25">
      <c r="A3773" t="s">
        <v>3797</v>
      </c>
      <c r="B3773" s="2">
        <v>44674</v>
      </c>
      <c r="C3773" s="2">
        <v>44679</v>
      </c>
      <c r="D3773" t="s">
        <v>5175</v>
      </c>
      <c r="E3773" t="s">
        <v>5675</v>
      </c>
      <c r="F3773" t="s">
        <v>6026</v>
      </c>
      <c r="G3773" t="s">
        <v>6031</v>
      </c>
      <c r="H3773" t="s">
        <v>6042</v>
      </c>
      <c r="I3773" t="s">
        <v>6052</v>
      </c>
      <c r="J3773" t="s">
        <v>6055</v>
      </c>
      <c r="K3773" t="s">
        <v>6064</v>
      </c>
      <c r="L3773" t="s">
        <v>6925</v>
      </c>
      <c r="M3773">
        <v>181.39</v>
      </c>
      <c r="N3773">
        <v>7</v>
      </c>
      <c r="O3773">
        <v>0.11</v>
      </c>
      <c r="P3773">
        <v>3.31</v>
      </c>
      <c r="Q3773" t="s">
        <v>9897</v>
      </c>
      <c r="R3773">
        <v>5</v>
      </c>
      <c r="S3773" s="5">
        <f t="shared" si="116"/>
        <v>1.8247973978719887E-2</v>
      </c>
      <c r="T3773">
        <v>25.912857142857138</v>
      </c>
      <c r="U3773">
        <v>4</v>
      </c>
      <c r="V3773">
        <v>2022</v>
      </c>
      <c r="W3773">
        <v>2</v>
      </c>
      <c r="X3773" t="s">
        <v>9899</v>
      </c>
      <c r="Y3773" t="s">
        <v>9901</v>
      </c>
      <c r="Z3773" t="s">
        <v>9899</v>
      </c>
      <c r="AD3773">
        <f t="shared" si="117"/>
        <v>5</v>
      </c>
    </row>
    <row r="3774" spans="1:30" x14ac:dyDescent="0.25">
      <c r="A3774" t="s">
        <v>3798</v>
      </c>
      <c r="B3774" s="2">
        <v>44790</v>
      </c>
      <c r="C3774" s="2">
        <v>44794</v>
      </c>
      <c r="D3774" t="s">
        <v>5329</v>
      </c>
      <c r="E3774" t="s">
        <v>5829</v>
      </c>
      <c r="F3774" t="s">
        <v>6026</v>
      </c>
      <c r="G3774" t="s">
        <v>6031</v>
      </c>
      <c r="H3774" t="s">
        <v>6043</v>
      </c>
      <c r="I3774" t="s">
        <v>6052</v>
      </c>
      <c r="J3774" t="s">
        <v>6053</v>
      </c>
      <c r="K3774" t="s">
        <v>6058</v>
      </c>
      <c r="L3774" t="s">
        <v>9125</v>
      </c>
      <c r="M3774">
        <v>1851.64</v>
      </c>
      <c r="N3774">
        <v>5</v>
      </c>
      <c r="O3774">
        <v>0.19</v>
      </c>
      <c r="P3774">
        <v>91.41</v>
      </c>
      <c r="Q3774" t="s">
        <v>9893</v>
      </c>
      <c r="R3774">
        <v>4</v>
      </c>
      <c r="S3774" s="5">
        <f t="shared" si="116"/>
        <v>4.9367047590244323E-2</v>
      </c>
      <c r="T3774">
        <v>370.32799999999997</v>
      </c>
      <c r="U3774">
        <v>8</v>
      </c>
      <c r="V3774">
        <v>2022</v>
      </c>
      <c r="W3774">
        <v>3</v>
      </c>
      <c r="X3774" t="s">
        <v>9899</v>
      </c>
      <c r="Y3774" t="s">
        <v>9900</v>
      </c>
      <c r="Z3774" t="s">
        <v>9898</v>
      </c>
      <c r="AD3774">
        <f t="shared" si="117"/>
        <v>4</v>
      </c>
    </row>
    <row r="3775" spans="1:30" x14ac:dyDescent="0.25">
      <c r="A3775" t="s">
        <v>3799</v>
      </c>
      <c r="B3775" s="2">
        <v>45328</v>
      </c>
      <c r="C3775" s="2">
        <v>45332</v>
      </c>
      <c r="D3775" t="s">
        <v>5270</v>
      </c>
      <c r="E3775" t="s">
        <v>5770</v>
      </c>
      <c r="F3775" t="s">
        <v>6026</v>
      </c>
      <c r="G3775" t="s">
        <v>6029</v>
      </c>
      <c r="H3775" t="s">
        <v>6045</v>
      </c>
      <c r="I3775" t="s">
        <v>6046</v>
      </c>
      <c r="J3775" t="s">
        <v>6055</v>
      </c>
      <c r="K3775" t="s">
        <v>6061</v>
      </c>
      <c r="L3775" t="s">
        <v>9036</v>
      </c>
      <c r="M3775">
        <v>1814.93</v>
      </c>
      <c r="N3775">
        <v>7</v>
      </c>
      <c r="O3775">
        <v>0.31</v>
      </c>
      <c r="P3775">
        <v>-126.21</v>
      </c>
      <c r="Q3775" t="s">
        <v>9897</v>
      </c>
      <c r="R3775">
        <v>4</v>
      </c>
      <c r="S3775" s="5">
        <f t="shared" si="116"/>
        <v>-6.9539872061181424E-2</v>
      </c>
      <c r="T3775">
        <v>259.27571428571429</v>
      </c>
      <c r="U3775">
        <v>2</v>
      </c>
      <c r="V3775">
        <v>2024</v>
      </c>
      <c r="W3775">
        <v>1</v>
      </c>
      <c r="X3775" t="s">
        <v>9898</v>
      </c>
      <c r="Y3775" t="s">
        <v>9902</v>
      </c>
      <c r="Z3775" t="s">
        <v>9898</v>
      </c>
      <c r="AD3775">
        <f t="shared" si="117"/>
        <v>4</v>
      </c>
    </row>
    <row r="3776" spans="1:30" x14ac:dyDescent="0.25">
      <c r="A3776" t="s">
        <v>3800</v>
      </c>
      <c r="B3776" s="2">
        <v>45106</v>
      </c>
      <c r="C3776" s="2">
        <v>45112</v>
      </c>
      <c r="D3776" t="s">
        <v>5319</v>
      </c>
      <c r="E3776" t="s">
        <v>5819</v>
      </c>
      <c r="F3776" t="s">
        <v>6026</v>
      </c>
      <c r="G3776" t="s">
        <v>6031</v>
      </c>
      <c r="H3776" t="s">
        <v>6034</v>
      </c>
      <c r="I3776" t="s">
        <v>6048</v>
      </c>
      <c r="J3776" t="s">
        <v>6054</v>
      </c>
      <c r="K3776" t="s">
        <v>6060</v>
      </c>
      <c r="L3776" t="s">
        <v>7449</v>
      </c>
      <c r="M3776">
        <v>305.08999999999997</v>
      </c>
      <c r="N3776">
        <v>1</v>
      </c>
      <c r="O3776">
        <v>0.03</v>
      </c>
      <c r="P3776">
        <v>72.510000000000005</v>
      </c>
      <c r="Q3776" t="s">
        <v>9894</v>
      </c>
      <c r="R3776">
        <v>6</v>
      </c>
      <c r="S3776" s="5">
        <f t="shared" si="116"/>
        <v>0.23766757350290083</v>
      </c>
      <c r="T3776">
        <v>305.08999999999997</v>
      </c>
      <c r="U3776">
        <v>6</v>
      </c>
      <c r="V3776">
        <v>2023</v>
      </c>
      <c r="W3776">
        <v>2</v>
      </c>
      <c r="X3776" t="s">
        <v>9899</v>
      </c>
      <c r="Y3776" t="s">
        <v>9901</v>
      </c>
      <c r="Z3776" t="s">
        <v>9899</v>
      </c>
      <c r="AD3776">
        <f t="shared" si="117"/>
        <v>6</v>
      </c>
    </row>
    <row r="3777" spans="1:30" x14ac:dyDescent="0.25">
      <c r="A3777" t="s">
        <v>3801</v>
      </c>
      <c r="B3777" s="2">
        <v>45354</v>
      </c>
      <c r="C3777" s="2">
        <v>45356</v>
      </c>
      <c r="D3777" t="s">
        <v>5347</v>
      </c>
      <c r="E3777" t="s">
        <v>5847</v>
      </c>
      <c r="F3777" t="s">
        <v>6028</v>
      </c>
      <c r="G3777" t="s">
        <v>6029</v>
      </c>
      <c r="H3777" t="s">
        <v>6045</v>
      </c>
      <c r="I3777" t="s">
        <v>6049</v>
      </c>
      <c r="J3777" t="s">
        <v>6054</v>
      </c>
      <c r="K3777" t="s">
        <v>6060</v>
      </c>
      <c r="L3777" t="s">
        <v>9126</v>
      </c>
      <c r="M3777">
        <v>487.68</v>
      </c>
      <c r="N3777">
        <v>1</v>
      </c>
      <c r="O3777">
        <v>0.27</v>
      </c>
      <c r="P3777">
        <v>-81.36</v>
      </c>
      <c r="Q3777" t="s">
        <v>9894</v>
      </c>
      <c r="R3777">
        <v>2</v>
      </c>
      <c r="S3777" s="5">
        <f t="shared" si="116"/>
        <v>-0.16683070866141733</v>
      </c>
      <c r="T3777">
        <v>487.68</v>
      </c>
      <c r="U3777">
        <v>3</v>
      </c>
      <c r="V3777">
        <v>2024</v>
      </c>
      <c r="W3777">
        <v>1</v>
      </c>
      <c r="X3777" t="s">
        <v>9898</v>
      </c>
      <c r="Y3777" t="s">
        <v>9900</v>
      </c>
      <c r="Z3777" t="s">
        <v>9899</v>
      </c>
      <c r="AD3777">
        <f t="shared" si="117"/>
        <v>2</v>
      </c>
    </row>
    <row r="3778" spans="1:30" x14ac:dyDescent="0.25">
      <c r="A3778" t="s">
        <v>3802</v>
      </c>
      <c r="B3778" s="2">
        <v>45131</v>
      </c>
      <c r="C3778" s="2">
        <v>45134</v>
      </c>
      <c r="D3778" t="s">
        <v>5126</v>
      </c>
      <c r="E3778" t="s">
        <v>5626</v>
      </c>
      <c r="F3778" t="s">
        <v>6027</v>
      </c>
      <c r="G3778" t="s">
        <v>6030</v>
      </c>
      <c r="H3778" t="s">
        <v>6035</v>
      </c>
      <c r="I3778" t="s">
        <v>6047</v>
      </c>
      <c r="J3778" t="s">
        <v>6055</v>
      </c>
      <c r="K3778" t="s">
        <v>6063</v>
      </c>
      <c r="L3778" t="s">
        <v>9127</v>
      </c>
      <c r="M3778">
        <v>392.15</v>
      </c>
      <c r="N3778">
        <v>3</v>
      </c>
      <c r="O3778">
        <v>0.1</v>
      </c>
      <c r="P3778">
        <v>58.03</v>
      </c>
      <c r="Q3778" t="s">
        <v>9894</v>
      </c>
      <c r="R3778">
        <v>3</v>
      </c>
      <c r="S3778" s="5">
        <f t="shared" si="116"/>
        <v>0.14797908963406861</v>
      </c>
      <c r="T3778">
        <v>130.7166666666667</v>
      </c>
      <c r="U3778">
        <v>7</v>
      </c>
      <c r="V3778">
        <v>2023</v>
      </c>
      <c r="W3778">
        <v>3</v>
      </c>
      <c r="X3778" t="s">
        <v>9899</v>
      </c>
      <c r="Y3778" t="s">
        <v>9901</v>
      </c>
      <c r="Z3778" t="s">
        <v>9899</v>
      </c>
      <c r="AD3778">
        <f t="shared" si="117"/>
        <v>3</v>
      </c>
    </row>
    <row r="3779" spans="1:30" x14ac:dyDescent="0.25">
      <c r="A3779" t="s">
        <v>3803</v>
      </c>
      <c r="B3779" s="2">
        <v>44652</v>
      </c>
      <c r="C3779" s="2">
        <v>44654</v>
      </c>
      <c r="D3779" t="s">
        <v>5413</v>
      </c>
      <c r="E3779" t="s">
        <v>5913</v>
      </c>
      <c r="F3779" t="s">
        <v>6027</v>
      </c>
      <c r="G3779" t="s">
        <v>6029</v>
      </c>
      <c r="H3779" t="s">
        <v>6041</v>
      </c>
      <c r="I3779" t="s">
        <v>6049</v>
      </c>
      <c r="J3779" t="s">
        <v>6055</v>
      </c>
      <c r="K3779" t="s">
        <v>6061</v>
      </c>
      <c r="L3779" t="s">
        <v>8288</v>
      </c>
      <c r="M3779">
        <v>1269.8699999999999</v>
      </c>
      <c r="N3779">
        <v>1</v>
      </c>
      <c r="O3779">
        <v>0.02</v>
      </c>
      <c r="P3779">
        <v>320.70999999999998</v>
      </c>
      <c r="Q3779" t="s">
        <v>9897</v>
      </c>
      <c r="R3779">
        <v>2</v>
      </c>
      <c r="S3779" s="5">
        <f t="shared" ref="S3779:S3842" si="118">P3779/M3779</f>
        <v>0.25255341097907663</v>
      </c>
      <c r="T3779">
        <v>1269.8699999999999</v>
      </c>
      <c r="U3779">
        <v>4</v>
      </c>
      <c r="V3779">
        <v>2022</v>
      </c>
      <c r="W3779">
        <v>2</v>
      </c>
      <c r="X3779" t="s">
        <v>9899</v>
      </c>
      <c r="Y3779" t="s">
        <v>9901</v>
      </c>
      <c r="Z3779" t="s">
        <v>9898</v>
      </c>
      <c r="AD3779">
        <f t="shared" ref="AD3779:AD3842" si="119">C3779-B3779</f>
        <v>2</v>
      </c>
    </row>
    <row r="3780" spans="1:30" x14ac:dyDescent="0.25">
      <c r="A3780" t="s">
        <v>3804</v>
      </c>
      <c r="B3780" s="2">
        <v>45329</v>
      </c>
      <c r="C3780" s="2">
        <v>45336</v>
      </c>
      <c r="D3780" t="s">
        <v>5094</v>
      </c>
      <c r="E3780" t="s">
        <v>5594</v>
      </c>
      <c r="F3780" t="s">
        <v>6026</v>
      </c>
      <c r="G3780" t="s">
        <v>6031</v>
      </c>
      <c r="H3780" t="s">
        <v>6034</v>
      </c>
      <c r="I3780" t="s">
        <v>6050</v>
      </c>
      <c r="J3780" t="s">
        <v>6055</v>
      </c>
      <c r="K3780" t="s">
        <v>6061</v>
      </c>
      <c r="L3780" t="s">
        <v>9128</v>
      </c>
      <c r="M3780">
        <v>1174.94</v>
      </c>
      <c r="N3780">
        <v>6</v>
      </c>
      <c r="O3780">
        <v>0.09</v>
      </c>
      <c r="P3780">
        <v>185.81</v>
      </c>
      <c r="Q3780" t="s">
        <v>9894</v>
      </c>
      <c r="R3780">
        <v>7</v>
      </c>
      <c r="S3780" s="5">
        <f t="shared" si="118"/>
        <v>0.15814424566360835</v>
      </c>
      <c r="T3780">
        <v>195.82333333333341</v>
      </c>
      <c r="U3780">
        <v>2</v>
      </c>
      <c r="V3780">
        <v>2024</v>
      </c>
      <c r="W3780">
        <v>1</v>
      </c>
      <c r="X3780" t="s">
        <v>9899</v>
      </c>
      <c r="Y3780" t="s">
        <v>9901</v>
      </c>
      <c r="Z3780" t="s">
        <v>9898</v>
      </c>
      <c r="AD3780">
        <f t="shared" si="119"/>
        <v>7</v>
      </c>
    </row>
    <row r="3781" spans="1:30" x14ac:dyDescent="0.25">
      <c r="A3781" t="s">
        <v>3805</v>
      </c>
      <c r="B3781" s="2">
        <v>45120</v>
      </c>
      <c r="C3781" s="2">
        <v>45124</v>
      </c>
      <c r="D3781" t="s">
        <v>5180</v>
      </c>
      <c r="E3781" t="s">
        <v>5680</v>
      </c>
      <c r="F3781" t="s">
        <v>6027</v>
      </c>
      <c r="G3781" t="s">
        <v>6030</v>
      </c>
      <c r="H3781" t="s">
        <v>6035</v>
      </c>
      <c r="I3781" t="s">
        <v>6051</v>
      </c>
      <c r="J3781" t="s">
        <v>6055</v>
      </c>
      <c r="K3781" t="s">
        <v>6063</v>
      </c>
      <c r="L3781" t="s">
        <v>9129</v>
      </c>
      <c r="M3781">
        <v>1713</v>
      </c>
      <c r="N3781">
        <v>5</v>
      </c>
      <c r="O3781">
        <v>0.05</v>
      </c>
      <c r="P3781">
        <v>354.93</v>
      </c>
      <c r="Q3781" t="s">
        <v>9895</v>
      </c>
      <c r="R3781">
        <v>4</v>
      </c>
      <c r="S3781" s="5">
        <f t="shared" si="118"/>
        <v>0.20719789842381786</v>
      </c>
      <c r="T3781">
        <v>342.6</v>
      </c>
      <c r="U3781">
        <v>7</v>
      </c>
      <c r="V3781">
        <v>2023</v>
      </c>
      <c r="W3781">
        <v>3</v>
      </c>
      <c r="X3781" t="s">
        <v>9899</v>
      </c>
      <c r="Y3781" t="s">
        <v>9901</v>
      </c>
      <c r="Z3781" t="s">
        <v>9898</v>
      </c>
      <c r="AD3781">
        <f t="shared" si="119"/>
        <v>4</v>
      </c>
    </row>
    <row r="3782" spans="1:30" x14ac:dyDescent="0.25">
      <c r="A3782" t="s">
        <v>3806</v>
      </c>
      <c r="B3782" s="2">
        <v>45326</v>
      </c>
      <c r="C3782" s="2">
        <v>45332</v>
      </c>
      <c r="D3782" t="s">
        <v>5158</v>
      </c>
      <c r="E3782" t="s">
        <v>5658</v>
      </c>
      <c r="F3782" t="s">
        <v>6028</v>
      </c>
      <c r="G3782" t="s">
        <v>6030</v>
      </c>
      <c r="H3782" t="s">
        <v>6033</v>
      </c>
      <c r="I3782" t="s">
        <v>6047</v>
      </c>
      <c r="J3782" t="s">
        <v>6055</v>
      </c>
      <c r="K3782" t="s">
        <v>6063</v>
      </c>
      <c r="L3782" t="s">
        <v>9130</v>
      </c>
      <c r="M3782">
        <v>1954.01</v>
      </c>
      <c r="N3782">
        <v>7</v>
      </c>
      <c r="O3782">
        <v>0.04</v>
      </c>
      <c r="P3782">
        <v>504.92</v>
      </c>
      <c r="Q3782" t="s">
        <v>9893</v>
      </c>
      <c r="R3782">
        <v>6</v>
      </c>
      <c r="S3782" s="5">
        <f t="shared" si="118"/>
        <v>0.25840195290709872</v>
      </c>
      <c r="T3782">
        <v>279.14428571428567</v>
      </c>
      <c r="U3782">
        <v>2</v>
      </c>
      <c r="V3782">
        <v>2024</v>
      </c>
      <c r="W3782">
        <v>1</v>
      </c>
      <c r="X3782" t="s">
        <v>9899</v>
      </c>
      <c r="Y3782" t="s">
        <v>9901</v>
      </c>
      <c r="Z3782" t="s">
        <v>9898</v>
      </c>
      <c r="AD3782">
        <f t="shared" si="119"/>
        <v>6</v>
      </c>
    </row>
    <row r="3783" spans="1:30" x14ac:dyDescent="0.25">
      <c r="A3783" t="s">
        <v>3807</v>
      </c>
      <c r="B3783" s="2">
        <v>44594</v>
      </c>
      <c r="C3783" s="2">
        <v>44598</v>
      </c>
      <c r="D3783" t="s">
        <v>5120</v>
      </c>
      <c r="E3783" t="s">
        <v>5620</v>
      </c>
      <c r="F3783" t="s">
        <v>6026</v>
      </c>
      <c r="G3783" t="s">
        <v>6031</v>
      </c>
      <c r="H3783" t="s">
        <v>6042</v>
      </c>
      <c r="I3783" t="s">
        <v>6052</v>
      </c>
      <c r="J3783" t="s">
        <v>6053</v>
      </c>
      <c r="K3783" t="s">
        <v>6058</v>
      </c>
      <c r="L3783" t="s">
        <v>9131</v>
      </c>
      <c r="M3783">
        <v>1095.44</v>
      </c>
      <c r="N3783">
        <v>2</v>
      </c>
      <c r="O3783">
        <v>0.28000000000000003</v>
      </c>
      <c r="P3783">
        <v>-6.81</v>
      </c>
      <c r="Q3783" t="s">
        <v>9896</v>
      </c>
      <c r="R3783">
        <v>4</v>
      </c>
      <c r="S3783" s="5">
        <f t="shared" si="118"/>
        <v>-6.2166800555028112E-3</v>
      </c>
      <c r="T3783">
        <v>547.72</v>
      </c>
      <c r="U3783">
        <v>2</v>
      </c>
      <c r="V3783">
        <v>2022</v>
      </c>
      <c r="W3783">
        <v>1</v>
      </c>
      <c r="X3783" t="s">
        <v>9898</v>
      </c>
      <c r="Y3783" t="s">
        <v>9900</v>
      </c>
      <c r="Z3783" t="s">
        <v>9898</v>
      </c>
      <c r="AD3783">
        <f t="shared" si="119"/>
        <v>4</v>
      </c>
    </row>
    <row r="3784" spans="1:30" x14ac:dyDescent="0.25">
      <c r="A3784" t="s">
        <v>3808</v>
      </c>
      <c r="B3784" s="2">
        <v>44950</v>
      </c>
      <c r="C3784" s="2">
        <v>44955</v>
      </c>
      <c r="D3784" t="s">
        <v>5381</v>
      </c>
      <c r="E3784" t="s">
        <v>5881</v>
      </c>
      <c r="F3784" t="s">
        <v>6026</v>
      </c>
      <c r="G3784" t="s">
        <v>6031</v>
      </c>
      <c r="H3784" t="s">
        <v>6034</v>
      </c>
      <c r="I3784" t="s">
        <v>6048</v>
      </c>
      <c r="J3784" t="s">
        <v>6054</v>
      </c>
      <c r="K3784" t="s">
        <v>6059</v>
      </c>
      <c r="L3784" t="s">
        <v>7647</v>
      </c>
      <c r="M3784">
        <v>1171.2</v>
      </c>
      <c r="N3784">
        <v>6</v>
      </c>
      <c r="O3784">
        <v>0.16</v>
      </c>
      <c r="P3784">
        <v>25.45</v>
      </c>
      <c r="Q3784" t="s">
        <v>9897</v>
      </c>
      <c r="R3784">
        <v>5</v>
      </c>
      <c r="S3784" s="5">
        <f t="shared" si="118"/>
        <v>2.1729849726775954E-2</v>
      </c>
      <c r="T3784">
        <v>195.2</v>
      </c>
      <c r="U3784">
        <v>1</v>
      </c>
      <c r="V3784">
        <v>2023</v>
      </c>
      <c r="W3784">
        <v>1</v>
      </c>
      <c r="X3784" t="s">
        <v>9899</v>
      </c>
      <c r="Y3784" t="s">
        <v>9900</v>
      </c>
      <c r="Z3784" t="s">
        <v>9898</v>
      </c>
      <c r="AD3784">
        <f t="shared" si="119"/>
        <v>5</v>
      </c>
    </row>
    <row r="3785" spans="1:30" x14ac:dyDescent="0.25">
      <c r="A3785" t="s">
        <v>3809</v>
      </c>
      <c r="B3785" s="2">
        <v>44640</v>
      </c>
      <c r="C3785" s="2">
        <v>44642</v>
      </c>
      <c r="D3785" t="s">
        <v>5442</v>
      </c>
      <c r="E3785" t="s">
        <v>5942</v>
      </c>
      <c r="F3785" t="s">
        <v>6026</v>
      </c>
      <c r="G3785" t="s">
        <v>6029</v>
      </c>
      <c r="H3785" t="s">
        <v>6036</v>
      </c>
      <c r="I3785" t="s">
        <v>6049</v>
      </c>
      <c r="J3785" t="s">
        <v>6054</v>
      </c>
      <c r="K3785" t="s">
        <v>6060</v>
      </c>
      <c r="L3785" t="s">
        <v>7944</v>
      </c>
      <c r="M3785">
        <v>844.02</v>
      </c>
      <c r="N3785">
        <v>1</v>
      </c>
      <c r="O3785">
        <v>0.02</v>
      </c>
      <c r="P3785">
        <v>212.77</v>
      </c>
      <c r="Q3785" t="s">
        <v>9897</v>
      </c>
      <c r="R3785">
        <v>2</v>
      </c>
      <c r="S3785" s="5">
        <f t="shared" si="118"/>
        <v>0.25209118267339636</v>
      </c>
      <c r="T3785">
        <v>844.02</v>
      </c>
      <c r="U3785">
        <v>3</v>
      </c>
      <c r="V3785">
        <v>2022</v>
      </c>
      <c r="W3785">
        <v>1</v>
      </c>
      <c r="X3785" t="s">
        <v>9899</v>
      </c>
      <c r="Y3785" t="s">
        <v>9901</v>
      </c>
      <c r="Z3785" t="s">
        <v>9899</v>
      </c>
      <c r="AD3785">
        <f t="shared" si="119"/>
        <v>2</v>
      </c>
    </row>
    <row r="3786" spans="1:30" x14ac:dyDescent="0.25">
      <c r="A3786" t="s">
        <v>3810</v>
      </c>
      <c r="B3786" s="2">
        <v>44674</v>
      </c>
      <c r="C3786" s="2">
        <v>44678</v>
      </c>
      <c r="D3786" t="s">
        <v>5139</v>
      </c>
      <c r="E3786" t="s">
        <v>5639</v>
      </c>
      <c r="F3786" t="s">
        <v>6026</v>
      </c>
      <c r="G3786" t="s">
        <v>6030</v>
      </c>
      <c r="H3786" t="s">
        <v>6039</v>
      </c>
      <c r="I3786" t="s">
        <v>6047</v>
      </c>
      <c r="J3786" t="s">
        <v>6055</v>
      </c>
      <c r="K3786" t="s">
        <v>6064</v>
      </c>
      <c r="L3786" t="s">
        <v>6737</v>
      </c>
      <c r="M3786">
        <v>347.19</v>
      </c>
      <c r="N3786">
        <v>4</v>
      </c>
      <c r="O3786">
        <v>0.34</v>
      </c>
      <c r="P3786">
        <v>-76.98</v>
      </c>
      <c r="Q3786" t="s">
        <v>9896</v>
      </c>
      <c r="R3786">
        <v>4</v>
      </c>
      <c r="S3786" s="5">
        <f t="shared" si="118"/>
        <v>-0.2217229758921628</v>
      </c>
      <c r="T3786">
        <v>86.797499999999999</v>
      </c>
      <c r="U3786">
        <v>4</v>
      </c>
      <c r="V3786">
        <v>2022</v>
      </c>
      <c r="W3786">
        <v>2</v>
      </c>
      <c r="X3786" t="s">
        <v>9898</v>
      </c>
      <c r="Y3786" t="s">
        <v>9902</v>
      </c>
      <c r="Z3786" t="s">
        <v>9899</v>
      </c>
      <c r="AD3786">
        <f t="shared" si="119"/>
        <v>4</v>
      </c>
    </row>
    <row r="3787" spans="1:30" x14ac:dyDescent="0.25">
      <c r="A3787" t="s">
        <v>3811</v>
      </c>
      <c r="B3787" s="2">
        <v>45312</v>
      </c>
      <c r="C3787" s="2">
        <v>45318</v>
      </c>
      <c r="D3787" t="s">
        <v>5122</v>
      </c>
      <c r="E3787" t="s">
        <v>5622</v>
      </c>
      <c r="F3787" t="s">
        <v>6028</v>
      </c>
      <c r="G3787" t="s">
        <v>6031</v>
      </c>
      <c r="H3787" t="s">
        <v>6043</v>
      </c>
      <c r="I3787" t="s">
        <v>6050</v>
      </c>
      <c r="J3787" t="s">
        <v>6053</v>
      </c>
      <c r="K3787" t="s">
        <v>6058</v>
      </c>
      <c r="L3787" t="s">
        <v>7796</v>
      </c>
      <c r="M3787">
        <v>1487.5</v>
      </c>
      <c r="N3787">
        <v>8</v>
      </c>
      <c r="O3787">
        <v>0.14000000000000001</v>
      </c>
      <c r="P3787">
        <v>59.79</v>
      </c>
      <c r="Q3787" t="s">
        <v>9894</v>
      </c>
      <c r="R3787">
        <v>6</v>
      </c>
      <c r="S3787" s="5">
        <f t="shared" si="118"/>
        <v>4.019495798319328E-2</v>
      </c>
      <c r="T3787">
        <v>185.9375</v>
      </c>
      <c r="U3787">
        <v>1</v>
      </c>
      <c r="V3787">
        <v>2024</v>
      </c>
      <c r="W3787">
        <v>1</v>
      </c>
      <c r="X3787" t="s">
        <v>9899</v>
      </c>
      <c r="Y3787" t="s">
        <v>9901</v>
      </c>
      <c r="Z3787" t="s">
        <v>9898</v>
      </c>
      <c r="AD3787">
        <f t="shared" si="119"/>
        <v>6</v>
      </c>
    </row>
    <row r="3788" spans="1:30" x14ac:dyDescent="0.25">
      <c r="A3788" t="s">
        <v>3812</v>
      </c>
      <c r="B3788" s="2">
        <v>45355</v>
      </c>
      <c r="C3788" s="2">
        <v>45361</v>
      </c>
      <c r="D3788" t="s">
        <v>5045</v>
      </c>
      <c r="E3788" t="s">
        <v>5545</v>
      </c>
      <c r="F3788" t="s">
        <v>6026</v>
      </c>
      <c r="G3788" t="s">
        <v>6030</v>
      </c>
      <c r="H3788" t="s">
        <v>6038</v>
      </c>
      <c r="I3788" t="s">
        <v>6051</v>
      </c>
      <c r="J3788" t="s">
        <v>6055</v>
      </c>
      <c r="K3788" t="s">
        <v>6061</v>
      </c>
      <c r="L3788" t="s">
        <v>9132</v>
      </c>
      <c r="M3788">
        <v>1488.92</v>
      </c>
      <c r="N3788">
        <v>4</v>
      </c>
      <c r="O3788">
        <v>0.14000000000000001</v>
      </c>
      <c r="P3788">
        <v>70.650000000000006</v>
      </c>
      <c r="Q3788" t="s">
        <v>9896</v>
      </c>
      <c r="R3788">
        <v>6</v>
      </c>
      <c r="S3788" s="5">
        <f t="shared" si="118"/>
        <v>4.7450501034306744E-2</v>
      </c>
      <c r="T3788">
        <v>372.23</v>
      </c>
      <c r="U3788">
        <v>3</v>
      </c>
      <c r="V3788">
        <v>2024</v>
      </c>
      <c r="W3788">
        <v>1</v>
      </c>
      <c r="X3788" t="s">
        <v>9899</v>
      </c>
      <c r="Y3788" t="s">
        <v>9901</v>
      </c>
      <c r="Z3788" t="s">
        <v>9898</v>
      </c>
      <c r="AD3788">
        <f t="shared" si="119"/>
        <v>6</v>
      </c>
    </row>
    <row r="3789" spans="1:30" x14ac:dyDescent="0.25">
      <c r="A3789" t="s">
        <v>3813</v>
      </c>
      <c r="B3789" s="2">
        <v>44789</v>
      </c>
      <c r="C3789" s="2">
        <v>44791</v>
      </c>
      <c r="D3789" t="s">
        <v>5505</v>
      </c>
      <c r="E3789" t="s">
        <v>6005</v>
      </c>
      <c r="F3789" t="s">
        <v>6026</v>
      </c>
      <c r="G3789" t="s">
        <v>6031</v>
      </c>
      <c r="H3789" t="s">
        <v>6034</v>
      </c>
      <c r="I3789" t="s">
        <v>6050</v>
      </c>
      <c r="J3789" t="s">
        <v>6055</v>
      </c>
      <c r="K3789" t="s">
        <v>6064</v>
      </c>
      <c r="L3789" t="s">
        <v>9133</v>
      </c>
      <c r="M3789">
        <v>722.17</v>
      </c>
      <c r="N3789">
        <v>7</v>
      </c>
      <c r="O3789">
        <v>0.06</v>
      </c>
      <c r="P3789">
        <v>163.30000000000001</v>
      </c>
      <c r="Q3789" t="s">
        <v>9897</v>
      </c>
      <c r="R3789">
        <v>2</v>
      </c>
      <c r="S3789" s="5">
        <f t="shared" si="118"/>
        <v>0.2261240428154036</v>
      </c>
      <c r="T3789">
        <v>103.16714285714281</v>
      </c>
      <c r="U3789">
        <v>8</v>
      </c>
      <c r="V3789">
        <v>2022</v>
      </c>
      <c r="W3789">
        <v>3</v>
      </c>
      <c r="X3789" t="s">
        <v>9899</v>
      </c>
      <c r="Y3789" t="s">
        <v>9901</v>
      </c>
      <c r="Z3789" t="s">
        <v>9899</v>
      </c>
      <c r="AD3789">
        <f t="shared" si="119"/>
        <v>2</v>
      </c>
    </row>
    <row r="3790" spans="1:30" x14ac:dyDescent="0.25">
      <c r="A3790" t="s">
        <v>3814</v>
      </c>
      <c r="B3790" s="2">
        <v>44968</v>
      </c>
      <c r="C3790" s="2">
        <v>44971</v>
      </c>
      <c r="D3790" t="s">
        <v>5416</v>
      </c>
      <c r="E3790" t="s">
        <v>5916</v>
      </c>
      <c r="F3790" t="s">
        <v>6026</v>
      </c>
      <c r="G3790" t="s">
        <v>6030</v>
      </c>
      <c r="H3790" t="s">
        <v>6038</v>
      </c>
      <c r="I3790" t="s">
        <v>6047</v>
      </c>
      <c r="J3790" t="s">
        <v>6054</v>
      </c>
      <c r="K3790" t="s">
        <v>6059</v>
      </c>
      <c r="L3790" t="s">
        <v>6695</v>
      </c>
      <c r="M3790">
        <v>1347.01</v>
      </c>
      <c r="N3790">
        <v>6</v>
      </c>
      <c r="O3790">
        <v>0.25</v>
      </c>
      <c r="P3790">
        <v>-32.33</v>
      </c>
      <c r="Q3790" t="s">
        <v>9894</v>
      </c>
      <c r="R3790">
        <v>3</v>
      </c>
      <c r="S3790" s="5">
        <f t="shared" si="118"/>
        <v>-2.4001306597575371E-2</v>
      </c>
      <c r="T3790">
        <v>224.50166666666669</v>
      </c>
      <c r="U3790">
        <v>2</v>
      </c>
      <c r="V3790">
        <v>2023</v>
      </c>
      <c r="W3790">
        <v>1</v>
      </c>
      <c r="X3790" t="s">
        <v>9898</v>
      </c>
      <c r="Y3790" t="s">
        <v>9900</v>
      </c>
      <c r="Z3790" t="s">
        <v>9898</v>
      </c>
      <c r="AD3790">
        <f t="shared" si="119"/>
        <v>3</v>
      </c>
    </row>
    <row r="3791" spans="1:30" x14ac:dyDescent="0.25">
      <c r="A3791" t="s">
        <v>3815</v>
      </c>
      <c r="B3791" s="2">
        <v>45262</v>
      </c>
      <c r="C3791" s="2">
        <v>45268</v>
      </c>
      <c r="D3791" t="s">
        <v>5227</v>
      </c>
      <c r="E3791" t="s">
        <v>5727</v>
      </c>
      <c r="F3791" t="s">
        <v>6028</v>
      </c>
      <c r="G3791" t="s">
        <v>6030</v>
      </c>
      <c r="H3791" t="s">
        <v>6038</v>
      </c>
      <c r="I3791" t="s">
        <v>6051</v>
      </c>
      <c r="J3791" t="s">
        <v>6053</v>
      </c>
      <c r="K3791" t="s">
        <v>6058</v>
      </c>
      <c r="L3791" t="s">
        <v>8832</v>
      </c>
      <c r="M3791">
        <v>1529.45</v>
      </c>
      <c r="N3791">
        <v>3</v>
      </c>
      <c r="O3791">
        <v>0.28999999999999998</v>
      </c>
      <c r="P3791">
        <v>-169.09</v>
      </c>
      <c r="Q3791" t="s">
        <v>9894</v>
      </c>
      <c r="R3791">
        <v>6</v>
      </c>
      <c r="S3791" s="5">
        <f t="shared" si="118"/>
        <v>-0.11055608225178985</v>
      </c>
      <c r="T3791">
        <v>509.81666666666672</v>
      </c>
      <c r="U3791">
        <v>12</v>
      </c>
      <c r="V3791">
        <v>2023</v>
      </c>
      <c r="W3791">
        <v>4</v>
      </c>
      <c r="X3791" t="s">
        <v>9898</v>
      </c>
      <c r="Y3791" t="s">
        <v>9900</v>
      </c>
      <c r="Z3791" t="s">
        <v>9898</v>
      </c>
      <c r="AD3791">
        <f t="shared" si="119"/>
        <v>6</v>
      </c>
    </row>
    <row r="3792" spans="1:30" x14ac:dyDescent="0.25">
      <c r="A3792" t="s">
        <v>3816</v>
      </c>
      <c r="B3792" s="2">
        <v>45085</v>
      </c>
      <c r="C3792" s="2">
        <v>45087</v>
      </c>
      <c r="D3792" t="s">
        <v>5198</v>
      </c>
      <c r="E3792" t="s">
        <v>5698</v>
      </c>
      <c r="F3792" t="s">
        <v>6028</v>
      </c>
      <c r="G3792" t="s">
        <v>6029</v>
      </c>
      <c r="H3792" t="s">
        <v>6032</v>
      </c>
      <c r="I3792" t="s">
        <v>6049</v>
      </c>
      <c r="J3792" t="s">
        <v>6055</v>
      </c>
      <c r="K3792" t="s">
        <v>6064</v>
      </c>
      <c r="L3792" t="s">
        <v>7194</v>
      </c>
      <c r="M3792">
        <v>294.25</v>
      </c>
      <c r="N3792">
        <v>8</v>
      </c>
      <c r="O3792">
        <v>0.28999999999999998</v>
      </c>
      <c r="P3792">
        <v>-7.79</v>
      </c>
      <c r="Q3792" t="s">
        <v>9896</v>
      </c>
      <c r="R3792">
        <v>2</v>
      </c>
      <c r="S3792" s="5">
        <f t="shared" si="118"/>
        <v>-2.6474086661002549E-2</v>
      </c>
      <c r="T3792">
        <v>36.78125</v>
      </c>
      <c r="U3792">
        <v>6</v>
      </c>
      <c r="V3792">
        <v>2023</v>
      </c>
      <c r="W3792">
        <v>2</v>
      </c>
      <c r="X3792" t="s">
        <v>9898</v>
      </c>
      <c r="Y3792" t="s">
        <v>9900</v>
      </c>
      <c r="Z3792" t="s">
        <v>9899</v>
      </c>
      <c r="AD3792">
        <f t="shared" si="119"/>
        <v>2</v>
      </c>
    </row>
    <row r="3793" spans="1:30" x14ac:dyDescent="0.25">
      <c r="A3793" t="s">
        <v>3817</v>
      </c>
      <c r="B3793" s="2">
        <v>45255</v>
      </c>
      <c r="C3793" s="2">
        <v>45262</v>
      </c>
      <c r="D3793" t="s">
        <v>5036</v>
      </c>
      <c r="E3793" t="s">
        <v>5536</v>
      </c>
      <c r="F3793" t="s">
        <v>6026</v>
      </c>
      <c r="G3793" t="s">
        <v>6030</v>
      </c>
      <c r="H3793" t="s">
        <v>6035</v>
      </c>
      <c r="I3793" t="s">
        <v>6051</v>
      </c>
      <c r="J3793" t="s">
        <v>6053</v>
      </c>
      <c r="K3793" t="s">
        <v>6057</v>
      </c>
      <c r="L3793" t="s">
        <v>9099</v>
      </c>
      <c r="M3793">
        <v>984.37</v>
      </c>
      <c r="N3793">
        <v>4</v>
      </c>
      <c r="O3793">
        <v>0.26</v>
      </c>
      <c r="P3793">
        <v>-139.33000000000001</v>
      </c>
      <c r="Q3793" t="s">
        <v>9894</v>
      </c>
      <c r="R3793">
        <v>7</v>
      </c>
      <c r="S3793" s="5">
        <f t="shared" si="118"/>
        <v>-0.14154230624663491</v>
      </c>
      <c r="T3793">
        <v>246.0925</v>
      </c>
      <c r="U3793">
        <v>11</v>
      </c>
      <c r="V3793">
        <v>2023</v>
      </c>
      <c r="W3793">
        <v>4</v>
      </c>
      <c r="X3793" t="s">
        <v>9898</v>
      </c>
      <c r="Y3793" t="s">
        <v>9900</v>
      </c>
      <c r="Z3793" t="s">
        <v>9899</v>
      </c>
      <c r="AD3793">
        <f t="shared" si="119"/>
        <v>7</v>
      </c>
    </row>
    <row r="3794" spans="1:30" x14ac:dyDescent="0.25">
      <c r="A3794" t="s">
        <v>3818</v>
      </c>
      <c r="B3794" s="2">
        <v>45094</v>
      </c>
      <c r="C3794" s="2">
        <v>45096</v>
      </c>
      <c r="D3794" t="s">
        <v>5221</v>
      </c>
      <c r="E3794" t="s">
        <v>5721</v>
      </c>
      <c r="F3794" t="s">
        <v>6026</v>
      </c>
      <c r="G3794" t="s">
        <v>6029</v>
      </c>
      <c r="H3794" t="s">
        <v>6036</v>
      </c>
      <c r="I3794" t="s">
        <v>6046</v>
      </c>
      <c r="J3794" t="s">
        <v>6055</v>
      </c>
      <c r="K3794" t="s">
        <v>6061</v>
      </c>
      <c r="L3794" t="s">
        <v>9134</v>
      </c>
      <c r="M3794">
        <v>1566.69</v>
      </c>
      <c r="N3794">
        <v>5</v>
      </c>
      <c r="O3794">
        <v>0.06</v>
      </c>
      <c r="P3794">
        <v>207.96</v>
      </c>
      <c r="Q3794" t="s">
        <v>9895</v>
      </c>
      <c r="R3794">
        <v>2</v>
      </c>
      <c r="S3794" s="5">
        <f t="shared" si="118"/>
        <v>0.1327384485762978</v>
      </c>
      <c r="T3794">
        <v>313.33800000000002</v>
      </c>
      <c r="U3794">
        <v>6</v>
      </c>
      <c r="V3794">
        <v>2023</v>
      </c>
      <c r="W3794">
        <v>2</v>
      </c>
      <c r="X3794" t="s">
        <v>9899</v>
      </c>
      <c r="Y3794" t="s">
        <v>9901</v>
      </c>
      <c r="Z3794" t="s">
        <v>9898</v>
      </c>
      <c r="AD3794">
        <f t="shared" si="119"/>
        <v>2</v>
      </c>
    </row>
    <row r="3795" spans="1:30" x14ac:dyDescent="0.25">
      <c r="A3795" t="s">
        <v>3819</v>
      </c>
      <c r="B3795" s="2">
        <v>45434</v>
      </c>
      <c r="C3795" s="2">
        <v>45435</v>
      </c>
      <c r="D3795" t="s">
        <v>5270</v>
      </c>
      <c r="E3795" t="s">
        <v>5770</v>
      </c>
      <c r="F3795" t="s">
        <v>6027</v>
      </c>
      <c r="G3795" t="s">
        <v>6031</v>
      </c>
      <c r="H3795" t="s">
        <v>6040</v>
      </c>
      <c r="I3795" t="s">
        <v>6048</v>
      </c>
      <c r="J3795" t="s">
        <v>6053</v>
      </c>
      <c r="K3795" t="s">
        <v>6056</v>
      </c>
      <c r="L3795" t="s">
        <v>6722</v>
      </c>
      <c r="M3795">
        <v>232.06</v>
      </c>
      <c r="N3795">
        <v>2</v>
      </c>
      <c r="O3795">
        <v>0.21</v>
      </c>
      <c r="P3795">
        <v>5.66</v>
      </c>
      <c r="Q3795" t="s">
        <v>9894</v>
      </c>
      <c r="R3795">
        <v>1</v>
      </c>
      <c r="S3795" s="5">
        <f t="shared" si="118"/>
        <v>2.4390243902439025E-2</v>
      </c>
      <c r="T3795">
        <v>116.03</v>
      </c>
      <c r="U3795">
        <v>5</v>
      </c>
      <c r="V3795">
        <v>2024</v>
      </c>
      <c r="W3795">
        <v>2</v>
      </c>
      <c r="X3795" t="s">
        <v>9899</v>
      </c>
      <c r="Y3795" t="s">
        <v>9900</v>
      </c>
      <c r="Z3795" t="s">
        <v>9899</v>
      </c>
      <c r="AD3795">
        <f t="shared" si="119"/>
        <v>1</v>
      </c>
    </row>
    <row r="3796" spans="1:30" x14ac:dyDescent="0.25">
      <c r="A3796" t="s">
        <v>3820</v>
      </c>
      <c r="B3796" s="2">
        <v>45395</v>
      </c>
      <c r="C3796" s="2">
        <v>45398</v>
      </c>
      <c r="D3796" t="s">
        <v>5082</v>
      </c>
      <c r="E3796" t="s">
        <v>5582</v>
      </c>
      <c r="F3796" t="s">
        <v>6028</v>
      </c>
      <c r="G3796" t="s">
        <v>6030</v>
      </c>
      <c r="H3796" t="s">
        <v>6035</v>
      </c>
      <c r="I3796" t="s">
        <v>6051</v>
      </c>
      <c r="J3796" t="s">
        <v>6053</v>
      </c>
      <c r="K3796" t="s">
        <v>6056</v>
      </c>
      <c r="L3796" t="s">
        <v>9135</v>
      </c>
      <c r="M3796">
        <v>1683.32</v>
      </c>
      <c r="N3796">
        <v>2</v>
      </c>
      <c r="O3796">
        <v>0.22</v>
      </c>
      <c r="P3796">
        <v>-80.25</v>
      </c>
      <c r="Q3796" t="s">
        <v>9894</v>
      </c>
      <c r="R3796">
        <v>3</v>
      </c>
      <c r="S3796" s="5">
        <f t="shared" si="118"/>
        <v>-4.7673644939761901E-2</v>
      </c>
      <c r="T3796">
        <v>841.66</v>
      </c>
      <c r="U3796">
        <v>4</v>
      </c>
      <c r="V3796">
        <v>2024</v>
      </c>
      <c r="W3796">
        <v>2</v>
      </c>
      <c r="X3796" t="s">
        <v>9898</v>
      </c>
      <c r="Y3796" t="s">
        <v>9900</v>
      </c>
      <c r="Z3796" t="s">
        <v>9898</v>
      </c>
      <c r="AD3796">
        <f t="shared" si="119"/>
        <v>3</v>
      </c>
    </row>
    <row r="3797" spans="1:30" x14ac:dyDescent="0.25">
      <c r="A3797" t="s">
        <v>3821</v>
      </c>
      <c r="B3797" s="2">
        <v>45162</v>
      </c>
      <c r="C3797" s="2">
        <v>45166</v>
      </c>
      <c r="D3797" t="s">
        <v>5521</v>
      </c>
      <c r="E3797" t="s">
        <v>6021</v>
      </c>
      <c r="F3797" t="s">
        <v>6028</v>
      </c>
      <c r="G3797" t="s">
        <v>6031</v>
      </c>
      <c r="H3797" t="s">
        <v>6037</v>
      </c>
      <c r="I3797" t="s">
        <v>6050</v>
      </c>
      <c r="J3797" t="s">
        <v>6053</v>
      </c>
      <c r="K3797" t="s">
        <v>6056</v>
      </c>
      <c r="L3797" t="s">
        <v>7188</v>
      </c>
      <c r="M3797">
        <v>468.47</v>
      </c>
      <c r="N3797">
        <v>1</v>
      </c>
      <c r="O3797">
        <v>0.35</v>
      </c>
      <c r="P3797">
        <v>-79.540000000000006</v>
      </c>
      <c r="Q3797" t="s">
        <v>9897</v>
      </c>
      <c r="R3797">
        <v>4</v>
      </c>
      <c r="S3797" s="5">
        <f t="shared" si="118"/>
        <v>-0.16978675262023182</v>
      </c>
      <c r="T3797">
        <v>468.47</v>
      </c>
      <c r="U3797">
        <v>8</v>
      </c>
      <c r="V3797">
        <v>2023</v>
      </c>
      <c r="W3797">
        <v>3</v>
      </c>
      <c r="X3797" t="s">
        <v>9898</v>
      </c>
      <c r="Y3797" t="s">
        <v>9902</v>
      </c>
      <c r="Z3797" t="s">
        <v>9899</v>
      </c>
      <c r="AD3797">
        <f t="shared" si="119"/>
        <v>4</v>
      </c>
    </row>
    <row r="3798" spans="1:30" x14ac:dyDescent="0.25">
      <c r="A3798" t="s">
        <v>3822</v>
      </c>
      <c r="B3798" s="2">
        <v>45148</v>
      </c>
      <c r="C3798" s="2">
        <v>45153</v>
      </c>
      <c r="D3798" t="s">
        <v>5083</v>
      </c>
      <c r="E3798" t="s">
        <v>5583</v>
      </c>
      <c r="F3798" t="s">
        <v>6027</v>
      </c>
      <c r="G3798" t="s">
        <v>6029</v>
      </c>
      <c r="H3798" t="s">
        <v>6044</v>
      </c>
      <c r="I3798" t="s">
        <v>6049</v>
      </c>
      <c r="J3798" t="s">
        <v>6055</v>
      </c>
      <c r="K3798" t="s">
        <v>6063</v>
      </c>
      <c r="L3798" t="s">
        <v>9136</v>
      </c>
      <c r="M3798">
        <v>926.73</v>
      </c>
      <c r="N3798">
        <v>3</v>
      </c>
      <c r="O3798">
        <v>7.0000000000000007E-2</v>
      </c>
      <c r="P3798">
        <v>84.76</v>
      </c>
      <c r="Q3798" t="s">
        <v>9894</v>
      </c>
      <c r="R3798">
        <v>5</v>
      </c>
      <c r="S3798" s="5">
        <f t="shared" si="118"/>
        <v>9.1461374942000365E-2</v>
      </c>
      <c r="T3798">
        <v>308.91000000000003</v>
      </c>
      <c r="U3798">
        <v>8</v>
      </c>
      <c r="V3798">
        <v>2023</v>
      </c>
      <c r="W3798">
        <v>3</v>
      </c>
      <c r="X3798" t="s">
        <v>9899</v>
      </c>
      <c r="Y3798" t="s">
        <v>9901</v>
      </c>
      <c r="Z3798" t="s">
        <v>9899</v>
      </c>
      <c r="AD3798">
        <f t="shared" si="119"/>
        <v>5</v>
      </c>
    </row>
    <row r="3799" spans="1:30" x14ac:dyDescent="0.25">
      <c r="A3799" t="s">
        <v>3823</v>
      </c>
      <c r="B3799" s="2">
        <v>44770</v>
      </c>
      <c r="C3799" s="2">
        <v>44774</v>
      </c>
      <c r="D3799" t="s">
        <v>5125</v>
      </c>
      <c r="E3799" t="s">
        <v>5625</v>
      </c>
      <c r="F3799" t="s">
        <v>6026</v>
      </c>
      <c r="G3799" t="s">
        <v>6030</v>
      </c>
      <c r="H3799" t="s">
        <v>6039</v>
      </c>
      <c r="I3799" t="s">
        <v>6051</v>
      </c>
      <c r="J3799" t="s">
        <v>6055</v>
      </c>
      <c r="K3799" t="s">
        <v>6063</v>
      </c>
      <c r="L3799" t="s">
        <v>9137</v>
      </c>
      <c r="M3799">
        <v>1594.13</v>
      </c>
      <c r="N3799">
        <v>6</v>
      </c>
      <c r="O3799">
        <v>0.28000000000000003</v>
      </c>
      <c r="P3799">
        <v>-159.55000000000001</v>
      </c>
      <c r="Q3799" t="s">
        <v>9893</v>
      </c>
      <c r="R3799">
        <v>4</v>
      </c>
      <c r="S3799" s="5">
        <f t="shared" si="118"/>
        <v>-0.10008594029345159</v>
      </c>
      <c r="T3799">
        <v>265.68833333333328</v>
      </c>
      <c r="U3799">
        <v>7</v>
      </c>
      <c r="V3799">
        <v>2022</v>
      </c>
      <c r="W3799">
        <v>3</v>
      </c>
      <c r="X3799" t="s">
        <v>9898</v>
      </c>
      <c r="Y3799" t="s">
        <v>9900</v>
      </c>
      <c r="Z3799" t="s">
        <v>9898</v>
      </c>
      <c r="AD3799">
        <f t="shared" si="119"/>
        <v>4</v>
      </c>
    </row>
    <row r="3800" spans="1:30" x14ac:dyDescent="0.25">
      <c r="A3800" t="s">
        <v>3824</v>
      </c>
      <c r="B3800" s="2">
        <v>44794</v>
      </c>
      <c r="C3800" s="2">
        <v>44798</v>
      </c>
      <c r="D3800" t="s">
        <v>5204</v>
      </c>
      <c r="E3800" t="s">
        <v>5704</v>
      </c>
      <c r="F3800" t="s">
        <v>6028</v>
      </c>
      <c r="G3800" t="s">
        <v>6031</v>
      </c>
      <c r="H3800" t="s">
        <v>6037</v>
      </c>
      <c r="I3800" t="s">
        <v>6048</v>
      </c>
      <c r="J3800" t="s">
        <v>6055</v>
      </c>
      <c r="K3800" t="s">
        <v>6063</v>
      </c>
      <c r="L3800" t="s">
        <v>9138</v>
      </c>
      <c r="M3800">
        <v>1439.8</v>
      </c>
      <c r="N3800">
        <v>1</v>
      </c>
      <c r="O3800">
        <v>0.12</v>
      </c>
      <c r="P3800">
        <v>194.72</v>
      </c>
      <c r="Q3800" t="s">
        <v>9896</v>
      </c>
      <c r="R3800">
        <v>4</v>
      </c>
      <c r="S3800" s="5">
        <f t="shared" si="118"/>
        <v>0.13524100569523545</v>
      </c>
      <c r="T3800">
        <v>1439.8</v>
      </c>
      <c r="U3800">
        <v>8</v>
      </c>
      <c r="V3800">
        <v>2022</v>
      </c>
      <c r="W3800">
        <v>3</v>
      </c>
      <c r="X3800" t="s">
        <v>9899</v>
      </c>
      <c r="Y3800" t="s">
        <v>9901</v>
      </c>
      <c r="Z3800" t="s">
        <v>9898</v>
      </c>
      <c r="AD3800">
        <f t="shared" si="119"/>
        <v>4</v>
      </c>
    </row>
    <row r="3801" spans="1:30" x14ac:dyDescent="0.25">
      <c r="A3801" t="s">
        <v>3825</v>
      </c>
      <c r="B3801" s="2">
        <v>44693</v>
      </c>
      <c r="C3801" s="2">
        <v>44698</v>
      </c>
      <c r="D3801" t="s">
        <v>5346</v>
      </c>
      <c r="E3801" t="s">
        <v>5846</v>
      </c>
      <c r="F3801" t="s">
        <v>6028</v>
      </c>
      <c r="G3801" t="s">
        <v>6029</v>
      </c>
      <c r="H3801" t="s">
        <v>6036</v>
      </c>
      <c r="I3801" t="s">
        <v>6049</v>
      </c>
      <c r="J3801" t="s">
        <v>6053</v>
      </c>
      <c r="K3801" t="s">
        <v>6056</v>
      </c>
      <c r="L3801" t="s">
        <v>9139</v>
      </c>
      <c r="M3801">
        <v>1931.25</v>
      </c>
      <c r="N3801">
        <v>3</v>
      </c>
      <c r="O3801">
        <v>0.26</v>
      </c>
      <c r="P3801">
        <v>20.7</v>
      </c>
      <c r="Q3801" t="s">
        <v>9896</v>
      </c>
      <c r="R3801">
        <v>5</v>
      </c>
      <c r="S3801" s="5">
        <f t="shared" si="118"/>
        <v>1.0718446601941748E-2</v>
      </c>
      <c r="T3801">
        <v>643.75</v>
      </c>
      <c r="U3801">
        <v>5</v>
      </c>
      <c r="V3801">
        <v>2022</v>
      </c>
      <c r="W3801">
        <v>2</v>
      </c>
      <c r="X3801" t="s">
        <v>9899</v>
      </c>
      <c r="Y3801" t="s">
        <v>9900</v>
      </c>
      <c r="Z3801" t="s">
        <v>9898</v>
      </c>
      <c r="AD3801">
        <f t="shared" si="119"/>
        <v>5</v>
      </c>
    </row>
    <row r="3802" spans="1:30" x14ac:dyDescent="0.25">
      <c r="A3802" t="s">
        <v>3826</v>
      </c>
      <c r="B3802" s="2">
        <v>44989</v>
      </c>
      <c r="C3802" s="2">
        <v>44992</v>
      </c>
      <c r="D3802" t="s">
        <v>5256</v>
      </c>
      <c r="E3802" t="s">
        <v>5756</v>
      </c>
      <c r="F3802" t="s">
        <v>6027</v>
      </c>
      <c r="G3802" t="s">
        <v>6029</v>
      </c>
      <c r="H3802" t="s">
        <v>6032</v>
      </c>
      <c r="I3802" t="s">
        <v>6046</v>
      </c>
      <c r="J3802" t="s">
        <v>6054</v>
      </c>
      <c r="K3802" t="s">
        <v>6060</v>
      </c>
      <c r="L3802" t="s">
        <v>7765</v>
      </c>
      <c r="M3802">
        <v>854.15</v>
      </c>
      <c r="N3802">
        <v>5</v>
      </c>
      <c r="O3802">
        <v>0.31</v>
      </c>
      <c r="P3802">
        <v>-62.95</v>
      </c>
      <c r="Q3802" t="s">
        <v>9896</v>
      </c>
      <c r="R3802">
        <v>3</v>
      </c>
      <c r="S3802" s="5">
        <f t="shared" si="118"/>
        <v>-7.3698999004858642E-2</v>
      </c>
      <c r="T3802">
        <v>170.83</v>
      </c>
      <c r="U3802">
        <v>3</v>
      </c>
      <c r="V3802">
        <v>2023</v>
      </c>
      <c r="W3802">
        <v>1</v>
      </c>
      <c r="X3802" t="s">
        <v>9898</v>
      </c>
      <c r="Y3802" t="s">
        <v>9902</v>
      </c>
      <c r="Z3802" t="s">
        <v>9899</v>
      </c>
      <c r="AD3802">
        <f t="shared" si="119"/>
        <v>3</v>
      </c>
    </row>
    <row r="3803" spans="1:30" x14ac:dyDescent="0.25">
      <c r="A3803" t="s">
        <v>3827</v>
      </c>
      <c r="B3803" s="2">
        <v>44989</v>
      </c>
      <c r="C3803" s="2">
        <v>44992</v>
      </c>
      <c r="D3803" t="s">
        <v>5126</v>
      </c>
      <c r="E3803" t="s">
        <v>5626</v>
      </c>
      <c r="F3803" t="s">
        <v>6028</v>
      </c>
      <c r="G3803" t="s">
        <v>6030</v>
      </c>
      <c r="H3803" t="s">
        <v>6035</v>
      </c>
      <c r="I3803" t="s">
        <v>6047</v>
      </c>
      <c r="J3803" t="s">
        <v>6055</v>
      </c>
      <c r="K3803" t="s">
        <v>6064</v>
      </c>
      <c r="L3803" t="s">
        <v>9140</v>
      </c>
      <c r="M3803">
        <v>1954.23</v>
      </c>
      <c r="N3803">
        <v>8</v>
      </c>
      <c r="O3803">
        <v>0.08</v>
      </c>
      <c r="P3803">
        <v>233.49</v>
      </c>
      <c r="Q3803" t="s">
        <v>9896</v>
      </c>
      <c r="R3803">
        <v>3</v>
      </c>
      <c r="S3803" s="5">
        <f t="shared" si="118"/>
        <v>0.11947928340062326</v>
      </c>
      <c r="T3803">
        <v>244.27875</v>
      </c>
      <c r="U3803">
        <v>3</v>
      </c>
      <c r="V3803">
        <v>2023</v>
      </c>
      <c r="W3803">
        <v>1</v>
      </c>
      <c r="X3803" t="s">
        <v>9899</v>
      </c>
      <c r="Y3803" t="s">
        <v>9901</v>
      </c>
      <c r="Z3803" t="s">
        <v>9898</v>
      </c>
      <c r="AD3803">
        <f t="shared" si="119"/>
        <v>3</v>
      </c>
    </row>
    <row r="3804" spans="1:30" x14ac:dyDescent="0.25">
      <c r="A3804" t="s">
        <v>3828</v>
      </c>
      <c r="B3804" s="2">
        <v>44922</v>
      </c>
      <c r="C3804" s="2">
        <v>44928</v>
      </c>
      <c r="D3804" t="s">
        <v>5447</v>
      </c>
      <c r="E3804" t="s">
        <v>5947</v>
      </c>
      <c r="F3804" t="s">
        <v>6027</v>
      </c>
      <c r="G3804" t="s">
        <v>6030</v>
      </c>
      <c r="H3804" t="s">
        <v>6033</v>
      </c>
      <c r="I3804" t="s">
        <v>6051</v>
      </c>
      <c r="J3804" t="s">
        <v>6055</v>
      </c>
      <c r="K3804" t="s">
        <v>6061</v>
      </c>
      <c r="L3804" t="s">
        <v>9141</v>
      </c>
      <c r="M3804">
        <v>767.82</v>
      </c>
      <c r="N3804">
        <v>8</v>
      </c>
      <c r="O3804">
        <v>0.1</v>
      </c>
      <c r="P3804">
        <v>65.08</v>
      </c>
      <c r="Q3804" t="s">
        <v>9894</v>
      </c>
      <c r="R3804">
        <v>6</v>
      </c>
      <c r="S3804" s="5">
        <f t="shared" si="118"/>
        <v>8.4759448829152664E-2</v>
      </c>
      <c r="T3804">
        <v>95.977500000000006</v>
      </c>
      <c r="U3804">
        <v>12</v>
      </c>
      <c r="V3804">
        <v>2022</v>
      </c>
      <c r="W3804">
        <v>4</v>
      </c>
      <c r="X3804" t="s">
        <v>9899</v>
      </c>
      <c r="Y3804" t="s">
        <v>9901</v>
      </c>
      <c r="Z3804" t="s">
        <v>9899</v>
      </c>
      <c r="AD3804">
        <f t="shared" si="119"/>
        <v>6</v>
      </c>
    </row>
    <row r="3805" spans="1:30" x14ac:dyDescent="0.25">
      <c r="A3805" t="s">
        <v>3829</v>
      </c>
      <c r="B3805" s="2">
        <v>44695</v>
      </c>
      <c r="C3805" s="2">
        <v>44697</v>
      </c>
      <c r="D3805" t="s">
        <v>5253</v>
      </c>
      <c r="E3805" t="s">
        <v>5753</v>
      </c>
      <c r="F3805" t="s">
        <v>6026</v>
      </c>
      <c r="G3805" t="s">
        <v>6029</v>
      </c>
      <c r="H3805" t="s">
        <v>6044</v>
      </c>
      <c r="I3805" t="s">
        <v>6049</v>
      </c>
      <c r="J3805" t="s">
        <v>6054</v>
      </c>
      <c r="K3805" t="s">
        <v>6060</v>
      </c>
      <c r="L3805" t="s">
        <v>9142</v>
      </c>
      <c r="M3805">
        <v>1908.1</v>
      </c>
      <c r="N3805">
        <v>5</v>
      </c>
      <c r="O3805">
        <v>0.01</v>
      </c>
      <c r="P3805">
        <v>553.05999999999995</v>
      </c>
      <c r="Q3805" t="s">
        <v>9895</v>
      </c>
      <c r="R3805">
        <v>2</v>
      </c>
      <c r="S3805" s="5">
        <f t="shared" si="118"/>
        <v>0.28984854043289132</v>
      </c>
      <c r="T3805">
        <v>381.62</v>
      </c>
      <c r="U3805">
        <v>5</v>
      </c>
      <c r="V3805">
        <v>2022</v>
      </c>
      <c r="W3805">
        <v>2</v>
      </c>
      <c r="X3805" t="s">
        <v>9899</v>
      </c>
      <c r="Y3805" t="s">
        <v>9901</v>
      </c>
      <c r="Z3805" t="s">
        <v>9898</v>
      </c>
      <c r="AD3805">
        <f t="shared" si="119"/>
        <v>2</v>
      </c>
    </row>
    <row r="3806" spans="1:30" x14ac:dyDescent="0.25">
      <c r="A3806" t="s">
        <v>3830</v>
      </c>
      <c r="B3806" s="2">
        <v>44721</v>
      </c>
      <c r="C3806" s="2">
        <v>44726</v>
      </c>
      <c r="D3806" t="s">
        <v>5226</v>
      </c>
      <c r="E3806" t="s">
        <v>5726</v>
      </c>
      <c r="F3806" t="s">
        <v>6027</v>
      </c>
      <c r="G3806" t="s">
        <v>6030</v>
      </c>
      <c r="H3806" t="s">
        <v>6035</v>
      </c>
      <c r="I3806" t="s">
        <v>6051</v>
      </c>
      <c r="J3806" t="s">
        <v>6054</v>
      </c>
      <c r="K3806" t="s">
        <v>6059</v>
      </c>
      <c r="L3806" t="s">
        <v>7831</v>
      </c>
      <c r="M3806">
        <v>1481.91</v>
      </c>
      <c r="N3806">
        <v>3</v>
      </c>
      <c r="O3806">
        <v>0.06</v>
      </c>
      <c r="P3806">
        <v>228.51</v>
      </c>
      <c r="Q3806" t="s">
        <v>9896</v>
      </c>
      <c r="R3806">
        <v>5</v>
      </c>
      <c r="S3806" s="5">
        <f t="shared" si="118"/>
        <v>0.15419964775188774</v>
      </c>
      <c r="T3806">
        <v>493.97</v>
      </c>
      <c r="U3806">
        <v>6</v>
      </c>
      <c r="V3806">
        <v>2022</v>
      </c>
      <c r="W3806">
        <v>2</v>
      </c>
      <c r="X3806" t="s">
        <v>9899</v>
      </c>
      <c r="Y3806" t="s">
        <v>9901</v>
      </c>
      <c r="Z3806" t="s">
        <v>9898</v>
      </c>
      <c r="AD3806">
        <f t="shared" si="119"/>
        <v>5</v>
      </c>
    </row>
    <row r="3807" spans="1:30" x14ac:dyDescent="0.25">
      <c r="A3807" t="s">
        <v>3831</v>
      </c>
      <c r="B3807" s="2">
        <v>45167</v>
      </c>
      <c r="C3807" s="2">
        <v>45168</v>
      </c>
      <c r="D3807" t="s">
        <v>5133</v>
      </c>
      <c r="E3807" t="s">
        <v>5633</v>
      </c>
      <c r="F3807" t="s">
        <v>6028</v>
      </c>
      <c r="G3807" t="s">
        <v>6030</v>
      </c>
      <c r="H3807" t="s">
        <v>6035</v>
      </c>
      <c r="I3807" t="s">
        <v>6051</v>
      </c>
      <c r="J3807" t="s">
        <v>6053</v>
      </c>
      <c r="K3807" t="s">
        <v>6057</v>
      </c>
      <c r="L3807" t="s">
        <v>9143</v>
      </c>
      <c r="M3807">
        <v>1280.6500000000001</v>
      </c>
      <c r="N3807">
        <v>4</v>
      </c>
      <c r="O3807">
        <v>0.25</v>
      </c>
      <c r="P3807">
        <v>-182.42</v>
      </c>
      <c r="Q3807" t="s">
        <v>9894</v>
      </c>
      <c r="R3807">
        <v>1</v>
      </c>
      <c r="S3807" s="5">
        <f t="shared" si="118"/>
        <v>-0.14244329051653457</v>
      </c>
      <c r="T3807">
        <v>320.16250000000002</v>
      </c>
      <c r="U3807">
        <v>8</v>
      </c>
      <c r="V3807">
        <v>2023</v>
      </c>
      <c r="W3807">
        <v>3</v>
      </c>
      <c r="X3807" t="s">
        <v>9898</v>
      </c>
      <c r="Y3807" t="s">
        <v>9900</v>
      </c>
      <c r="Z3807" t="s">
        <v>9898</v>
      </c>
      <c r="AD3807">
        <f t="shared" si="119"/>
        <v>1</v>
      </c>
    </row>
    <row r="3808" spans="1:30" x14ac:dyDescent="0.25">
      <c r="A3808" t="s">
        <v>3832</v>
      </c>
      <c r="B3808" s="2">
        <v>44778</v>
      </c>
      <c r="C3808" s="2">
        <v>44784</v>
      </c>
      <c r="D3808" t="s">
        <v>5027</v>
      </c>
      <c r="E3808" t="s">
        <v>5527</v>
      </c>
      <c r="F3808" t="s">
        <v>6028</v>
      </c>
      <c r="G3808" t="s">
        <v>6030</v>
      </c>
      <c r="H3808" t="s">
        <v>6033</v>
      </c>
      <c r="I3808" t="s">
        <v>6051</v>
      </c>
      <c r="J3808" t="s">
        <v>6054</v>
      </c>
      <c r="K3808" t="s">
        <v>6060</v>
      </c>
      <c r="L3808" t="s">
        <v>8958</v>
      </c>
      <c r="M3808">
        <v>553.92999999999995</v>
      </c>
      <c r="N3808">
        <v>6</v>
      </c>
      <c r="O3808">
        <v>0.1</v>
      </c>
      <c r="P3808">
        <v>44.32</v>
      </c>
      <c r="Q3808" t="s">
        <v>9896</v>
      </c>
      <c r="R3808">
        <v>6</v>
      </c>
      <c r="S3808" s="5">
        <f t="shared" si="118"/>
        <v>8.001010958063294E-2</v>
      </c>
      <c r="T3808">
        <v>92.321666666666658</v>
      </c>
      <c r="U3808">
        <v>8</v>
      </c>
      <c r="V3808">
        <v>2022</v>
      </c>
      <c r="W3808">
        <v>3</v>
      </c>
      <c r="X3808" t="s">
        <v>9899</v>
      </c>
      <c r="Y3808" t="s">
        <v>9901</v>
      </c>
      <c r="Z3808" t="s">
        <v>9899</v>
      </c>
      <c r="AD3808">
        <f t="shared" si="119"/>
        <v>6</v>
      </c>
    </row>
    <row r="3809" spans="1:30" x14ac:dyDescent="0.25">
      <c r="A3809" t="s">
        <v>3833</v>
      </c>
      <c r="B3809" s="2">
        <v>45334</v>
      </c>
      <c r="C3809" s="2">
        <v>45338</v>
      </c>
      <c r="D3809" t="s">
        <v>5400</v>
      </c>
      <c r="E3809" t="s">
        <v>5900</v>
      </c>
      <c r="F3809" t="s">
        <v>6028</v>
      </c>
      <c r="G3809" t="s">
        <v>6031</v>
      </c>
      <c r="H3809" t="s">
        <v>6034</v>
      </c>
      <c r="I3809" t="s">
        <v>6052</v>
      </c>
      <c r="J3809" t="s">
        <v>6055</v>
      </c>
      <c r="K3809" t="s">
        <v>6061</v>
      </c>
      <c r="L3809" t="s">
        <v>9144</v>
      </c>
      <c r="M3809">
        <v>284.7</v>
      </c>
      <c r="N3809">
        <v>7</v>
      </c>
      <c r="O3809">
        <v>0.15</v>
      </c>
      <c r="P3809">
        <v>-12.49</v>
      </c>
      <c r="Q3809" t="s">
        <v>9895</v>
      </c>
      <c r="R3809">
        <v>4</v>
      </c>
      <c r="S3809" s="5">
        <f t="shared" si="118"/>
        <v>-4.3870741131015106E-2</v>
      </c>
      <c r="T3809">
        <v>40.671428571428571</v>
      </c>
      <c r="U3809">
        <v>2</v>
      </c>
      <c r="V3809">
        <v>2024</v>
      </c>
      <c r="W3809">
        <v>1</v>
      </c>
      <c r="X3809" t="s">
        <v>9898</v>
      </c>
      <c r="Y3809" t="s">
        <v>9901</v>
      </c>
      <c r="Z3809" t="s">
        <v>9899</v>
      </c>
      <c r="AD3809">
        <f t="shared" si="119"/>
        <v>4</v>
      </c>
    </row>
    <row r="3810" spans="1:30" x14ac:dyDescent="0.25">
      <c r="A3810" t="s">
        <v>3834</v>
      </c>
      <c r="B3810" s="2">
        <v>44672</v>
      </c>
      <c r="C3810" s="2">
        <v>44675</v>
      </c>
      <c r="D3810" t="s">
        <v>5273</v>
      </c>
      <c r="E3810" t="s">
        <v>5773</v>
      </c>
      <c r="F3810" t="s">
        <v>6027</v>
      </c>
      <c r="G3810" t="s">
        <v>6030</v>
      </c>
      <c r="H3810" t="s">
        <v>6035</v>
      </c>
      <c r="I3810" t="s">
        <v>6047</v>
      </c>
      <c r="J3810" t="s">
        <v>6055</v>
      </c>
      <c r="K3810" t="s">
        <v>6063</v>
      </c>
      <c r="L3810" t="s">
        <v>9145</v>
      </c>
      <c r="M3810">
        <v>1673.46</v>
      </c>
      <c r="N3810">
        <v>8</v>
      </c>
      <c r="O3810">
        <v>0.23</v>
      </c>
      <c r="P3810">
        <v>-198.1</v>
      </c>
      <c r="Q3810" t="s">
        <v>9897</v>
      </c>
      <c r="R3810">
        <v>3</v>
      </c>
      <c r="S3810" s="5">
        <f t="shared" si="118"/>
        <v>-0.11837749333715773</v>
      </c>
      <c r="T3810">
        <v>209.1825</v>
      </c>
      <c r="U3810">
        <v>4</v>
      </c>
      <c r="V3810">
        <v>2022</v>
      </c>
      <c r="W3810">
        <v>2</v>
      </c>
      <c r="X3810" t="s">
        <v>9898</v>
      </c>
      <c r="Y3810" t="s">
        <v>9900</v>
      </c>
      <c r="Z3810" t="s">
        <v>9898</v>
      </c>
      <c r="AD3810">
        <f t="shared" si="119"/>
        <v>3</v>
      </c>
    </row>
    <row r="3811" spans="1:30" x14ac:dyDescent="0.25">
      <c r="A3811" t="s">
        <v>3835</v>
      </c>
      <c r="B3811" s="2">
        <v>44828</v>
      </c>
      <c r="C3811" s="2">
        <v>44832</v>
      </c>
      <c r="D3811" t="s">
        <v>5351</v>
      </c>
      <c r="E3811" t="s">
        <v>5851</v>
      </c>
      <c r="F3811" t="s">
        <v>6028</v>
      </c>
      <c r="G3811" t="s">
        <v>6029</v>
      </c>
      <c r="H3811" t="s">
        <v>6032</v>
      </c>
      <c r="I3811" t="s">
        <v>6049</v>
      </c>
      <c r="J3811" t="s">
        <v>6055</v>
      </c>
      <c r="K3811" t="s">
        <v>6061</v>
      </c>
      <c r="L3811" t="s">
        <v>9146</v>
      </c>
      <c r="M3811">
        <v>812.35</v>
      </c>
      <c r="N3811">
        <v>2</v>
      </c>
      <c r="O3811">
        <v>0.14000000000000001</v>
      </c>
      <c r="P3811">
        <v>16.329999999999998</v>
      </c>
      <c r="Q3811" t="s">
        <v>9896</v>
      </c>
      <c r="R3811">
        <v>4</v>
      </c>
      <c r="S3811" s="5">
        <f t="shared" si="118"/>
        <v>2.0102172708807778E-2</v>
      </c>
      <c r="T3811">
        <v>406.17500000000001</v>
      </c>
      <c r="U3811">
        <v>9</v>
      </c>
      <c r="V3811">
        <v>2022</v>
      </c>
      <c r="W3811">
        <v>3</v>
      </c>
      <c r="X3811" t="s">
        <v>9899</v>
      </c>
      <c r="Y3811" t="s">
        <v>9901</v>
      </c>
      <c r="Z3811" t="s">
        <v>9899</v>
      </c>
      <c r="AD3811">
        <f t="shared" si="119"/>
        <v>4</v>
      </c>
    </row>
    <row r="3812" spans="1:30" x14ac:dyDescent="0.25">
      <c r="A3812" t="s">
        <v>3836</v>
      </c>
      <c r="B3812" s="2">
        <v>44619</v>
      </c>
      <c r="C3812" s="2">
        <v>44624</v>
      </c>
      <c r="D3812" t="s">
        <v>5199</v>
      </c>
      <c r="E3812" t="s">
        <v>5699</v>
      </c>
      <c r="F3812" t="s">
        <v>6027</v>
      </c>
      <c r="G3812" t="s">
        <v>6030</v>
      </c>
      <c r="H3812" t="s">
        <v>6033</v>
      </c>
      <c r="I3812" t="s">
        <v>6051</v>
      </c>
      <c r="J3812" t="s">
        <v>6055</v>
      </c>
      <c r="K3812" t="s">
        <v>6064</v>
      </c>
      <c r="L3812" t="s">
        <v>9147</v>
      </c>
      <c r="M3812">
        <v>1237.93</v>
      </c>
      <c r="N3812">
        <v>1</v>
      </c>
      <c r="O3812">
        <v>0.26</v>
      </c>
      <c r="P3812">
        <v>-100.12</v>
      </c>
      <c r="Q3812" t="s">
        <v>9894</v>
      </c>
      <c r="R3812">
        <v>5</v>
      </c>
      <c r="S3812" s="5">
        <f t="shared" si="118"/>
        <v>-8.087694780803438E-2</v>
      </c>
      <c r="T3812">
        <v>1237.93</v>
      </c>
      <c r="U3812">
        <v>2</v>
      </c>
      <c r="V3812">
        <v>2022</v>
      </c>
      <c r="W3812">
        <v>1</v>
      </c>
      <c r="X3812" t="s">
        <v>9898</v>
      </c>
      <c r="Y3812" t="s">
        <v>9900</v>
      </c>
      <c r="Z3812" t="s">
        <v>9898</v>
      </c>
      <c r="AD3812">
        <f t="shared" si="119"/>
        <v>5</v>
      </c>
    </row>
    <row r="3813" spans="1:30" x14ac:dyDescent="0.25">
      <c r="A3813" t="s">
        <v>3837</v>
      </c>
      <c r="B3813" s="2">
        <v>44674</v>
      </c>
      <c r="C3813" s="2">
        <v>44681</v>
      </c>
      <c r="D3813" t="s">
        <v>5451</v>
      </c>
      <c r="E3813" t="s">
        <v>5951</v>
      </c>
      <c r="F3813" t="s">
        <v>6026</v>
      </c>
      <c r="G3813" t="s">
        <v>6030</v>
      </c>
      <c r="H3813" t="s">
        <v>6033</v>
      </c>
      <c r="I3813" t="s">
        <v>6051</v>
      </c>
      <c r="J3813" t="s">
        <v>6054</v>
      </c>
      <c r="K3813" t="s">
        <v>6059</v>
      </c>
      <c r="L3813" t="s">
        <v>9148</v>
      </c>
      <c r="M3813">
        <v>1341.32</v>
      </c>
      <c r="N3813">
        <v>7</v>
      </c>
      <c r="O3813">
        <v>0.16</v>
      </c>
      <c r="P3813">
        <v>166.65</v>
      </c>
      <c r="Q3813" t="s">
        <v>9893</v>
      </c>
      <c r="R3813">
        <v>7</v>
      </c>
      <c r="S3813" s="5">
        <f t="shared" si="118"/>
        <v>0.12424328273640892</v>
      </c>
      <c r="T3813">
        <v>191.61714285714291</v>
      </c>
      <c r="U3813">
        <v>4</v>
      </c>
      <c r="V3813">
        <v>2022</v>
      </c>
      <c r="W3813">
        <v>2</v>
      </c>
      <c r="X3813" t="s">
        <v>9899</v>
      </c>
      <c r="Y3813" t="s">
        <v>9900</v>
      </c>
      <c r="Z3813" t="s">
        <v>9898</v>
      </c>
      <c r="AD3813">
        <f t="shared" si="119"/>
        <v>7</v>
      </c>
    </row>
    <row r="3814" spans="1:30" x14ac:dyDescent="0.25">
      <c r="A3814" t="s">
        <v>3838</v>
      </c>
      <c r="B3814" s="2">
        <v>45157</v>
      </c>
      <c r="C3814" s="2">
        <v>45160</v>
      </c>
      <c r="D3814" t="s">
        <v>5183</v>
      </c>
      <c r="E3814" t="s">
        <v>5683</v>
      </c>
      <c r="F3814" t="s">
        <v>6028</v>
      </c>
      <c r="G3814" t="s">
        <v>6031</v>
      </c>
      <c r="H3814" t="s">
        <v>6037</v>
      </c>
      <c r="I3814" t="s">
        <v>6048</v>
      </c>
      <c r="J3814" t="s">
        <v>6053</v>
      </c>
      <c r="K3814" t="s">
        <v>6058</v>
      </c>
      <c r="L3814" t="s">
        <v>9109</v>
      </c>
      <c r="M3814">
        <v>1110.3800000000001</v>
      </c>
      <c r="N3814">
        <v>1</v>
      </c>
      <c r="O3814">
        <v>0.27</v>
      </c>
      <c r="P3814">
        <v>-2.89</v>
      </c>
      <c r="Q3814" t="s">
        <v>9893</v>
      </c>
      <c r="R3814">
        <v>3</v>
      </c>
      <c r="S3814" s="5">
        <f t="shared" si="118"/>
        <v>-2.6027125848808513E-3</v>
      </c>
      <c r="T3814">
        <v>1110.3800000000001</v>
      </c>
      <c r="U3814">
        <v>8</v>
      </c>
      <c r="V3814">
        <v>2023</v>
      </c>
      <c r="W3814">
        <v>3</v>
      </c>
      <c r="X3814" t="s">
        <v>9898</v>
      </c>
      <c r="Y3814" t="s">
        <v>9900</v>
      </c>
      <c r="Z3814" t="s">
        <v>9898</v>
      </c>
      <c r="AD3814">
        <f t="shared" si="119"/>
        <v>3</v>
      </c>
    </row>
    <row r="3815" spans="1:30" x14ac:dyDescent="0.25">
      <c r="A3815" t="s">
        <v>3839</v>
      </c>
      <c r="B3815" s="2">
        <v>45160</v>
      </c>
      <c r="C3815" s="2">
        <v>45166</v>
      </c>
      <c r="D3815" t="s">
        <v>5503</v>
      </c>
      <c r="E3815" t="s">
        <v>6003</v>
      </c>
      <c r="F3815" t="s">
        <v>6026</v>
      </c>
      <c r="G3815" t="s">
        <v>6029</v>
      </c>
      <c r="H3815" t="s">
        <v>6045</v>
      </c>
      <c r="I3815" t="s">
        <v>6046</v>
      </c>
      <c r="J3815" t="s">
        <v>6055</v>
      </c>
      <c r="K3815" t="s">
        <v>6061</v>
      </c>
      <c r="L3815" t="s">
        <v>6545</v>
      </c>
      <c r="M3815">
        <v>1068.46</v>
      </c>
      <c r="N3815">
        <v>1</v>
      </c>
      <c r="O3815">
        <v>0.31</v>
      </c>
      <c r="P3815">
        <v>-62.5</v>
      </c>
      <c r="Q3815" t="s">
        <v>9897</v>
      </c>
      <c r="R3815">
        <v>6</v>
      </c>
      <c r="S3815" s="5">
        <f t="shared" si="118"/>
        <v>-5.8495404601014545E-2</v>
      </c>
      <c r="T3815">
        <v>1068.46</v>
      </c>
      <c r="U3815">
        <v>8</v>
      </c>
      <c r="V3815">
        <v>2023</v>
      </c>
      <c r="W3815">
        <v>3</v>
      </c>
      <c r="X3815" t="s">
        <v>9898</v>
      </c>
      <c r="Y3815" t="s">
        <v>9902</v>
      </c>
      <c r="Z3815" t="s">
        <v>9898</v>
      </c>
      <c r="AD3815">
        <f t="shared" si="119"/>
        <v>6</v>
      </c>
    </row>
    <row r="3816" spans="1:30" x14ac:dyDescent="0.25">
      <c r="A3816" t="s">
        <v>3840</v>
      </c>
      <c r="B3816" s="2">
        <v>45017</v>
      </c>
      <c r="C3816" s="2">
        <v>45021</v>
      </c>
      <c r="D3816" t="s">
        <v>5365</v>
      </c>
      <c r="E3816" t="s">
        <v>5865</v>
      </c>
      <c r="F3816" t="s">
        <v>6026</v>
      </c>
      <c r="G3816" t="s">
        <v>6029</v>
      </c>
      <c r="H3816" t="s">
        <v>6041</v>
      </c>
      <c r="I3816" t="s">
        <v>6050</v>
      </c>
      <c r="J3816" t="s">
        <v>6055</v>
      </c>
      <c r="K3816" t="s">
        <v>6064</v>
      </c>
      <c r="L3816" t="s">
        <v>7593</v>
      </c>
      <c r="M3816">
        <v>1054.48</v>
      </c>
      <c r="N3816">
        <v>4</v>
      </c>
      <c r="O3816">
        <v>0.14000000000000001</v>
      </c>
      <c r="P3816">
        <v>80.5</v>
      </c>
      <c r="Q3816" t="s">
        <v>9897</v>
      </c>
      <c r="R3816">
        <v>4</v>
      </c>
      <c r="S3816" s="5">
        <f t="shared" si="118"/>
        <v>7.6340945300053101E-2</v>
      </c>
      <c r="T3816">
        <v>263.62</v>
      </c>
      <c r="U3816">
        <v>4</v>
      </c>
      <c r="V3816">
        <v>2023</v>
      </c>
      <c r="W3816">
        <v>2</v>
      </c>
      <c r="X3816" t="s">
        <v>9899</v>
      </c>
      <c r="Y3816" t="s">
        <v>9901</v>
      </c>
      <c r="Z3816" t="s">
        <v>9898</v>
      </c>
      <c r="AD3816">
        <f t="shared" si="119"/>
        <v>4</v>
      </c>
    </row>
    <row r="3817" spans="1:30" x14ac:dyDescent="0.25">
      <c r="A3817" t="s">
        <v>3841</v>
      </c>
      <c r="B3817" s="2">
        <v>45438</v>
      </c>
      <c r="C3817" s="2">
        <v>45444</v>
      </c>
      <c r="D3817" t="s">
        <v>5415</v>
      </c>
      <c r="E3817" t="s">
        <v>5915</v>
      </c>
      <c r="F3817" t="s">
        <v>6028</v>
      </c>
      <c r="G3817" t="s">
        <v>6031</v>
      </c>
      <c r="H3817" t="s">
        <v>6042</v>
      </c>
      <c r="I3817" t="s">
        <v>6048</v>
      </c>
      <c r="J3817" t="s">
        <v>6054</v>
      </c>
      <c r="K3817" t="s">
        <v>6062</v>
      </c>
      <c r="L3817" t="s">
        <v>9149</v>
      </c>
      <c r="M3817">
        <v>227.84</v>
      </c>
      <c r="N3817">
        <v>5</v>
      </c>
      <c r="O3817">
        <v>0.06</v>
      </c>
      <c r="P3817">
        <v>35.4</v>
      </c>
      <c r="Q3817" t="s">
        <v>9896</v>
      </c>
      <c r="R3817">
        <v>6</v>
      </c>
      <c r="S3817" s="5">
        <f t="shared" si="118"/>
        <v>0.15537219101123595</v>
      </c>
      <c r="T3817">
        <v>45.567999999999998</v>
      </c>
      <c r="U3817">
        <v>5</v>
      </c>
      <c r="V3817">
        <v>2024</v>
      </c>
      <c r="W3817">
        <v>2</v>
      </c>
      <c r="X3817" t="s">
        <v>9899</v>
      </c>
      <c r="Y3817" t="s">
        <v>9901</v>
      </c>
      <c r="Z3817" t="s">
        <v>9899</v>
      </c>
      <c r="AD3817">
        <f t="shared" si="119"/>
        <v>6</v>
      </c>
    </row>
    <row r="3818" spans="1:30" x14ac:dyDescent="0.25">
      <c r="A3818" t="s">
        <v>3842</v>
      </c>
      <c r="B3818" s="2">
        <v>45112</v>
      </c>
      <c r="C3818" s="2">
        <v>45118</v>
      </c>
      <c r="D3818" t="s">
        <v>5303</v>
      </c>
      <c r="E3818" t="s">
        <v>5803</v>
      </c>
      <c r="F3818" t="s">
        <v>6028</v>
      </c>
      <c r="G3818" t="s">
        <v>6031</v>
      </c>
      <c r="H3818" t="s">
        <v>6034</v>
      </c>
      <c r="I3818" t="s">
        <v>6050</v>
      </c>
      <c r="J3818" t="s">
        <v>6055</v>
      </c>
      <c r="K3818" t="s">
        <v>6064</v>
      </c>
      <c r="L3818" t="s">
        <v>9070</v>
      </c>
      <c r="M3818">
        <v>120.05</v>
      </c>
      <c r="N3818">
        <v>7</v>
      </c>
      <c r="O3818">
        <v>0.18</v>
      </c>
      <c r="P3818">
        <v>-7.97</v>
      </c>
      <c r="Q3818" t="s">
        <v>9894</v>
      </c>
      <c r="R3818">
        <v>6</v>
      </c>
      <c r="S3818" s="5">
        <f t="shared" si="118"/>
        <v>-6.638900458142441E-2</v>
      </c>
      <c r="T3818">
        <v>17.149999999999999</v>
      </c>
      <c r="U3818">
        <v>7</v>
      </c>
      <c r="V3818">
        <v>2023</v>
      </c>
      <c r="W3818">
        <v>3</v>
      </c>
      <c r="X3818" t="s">
        <v>9898</v>
      </c>
      <c r="Y3818" t="s">
        <v>9900</v>
      </c>
      <c r="Z3818" t="s">
        <v>9899</v>
      </c>
      <c r="AD3818">
        <f t="shared" si="119"/>
        <v>6</v>
      </c>
    </row>
    <row r="3819" spans="1:30" x14ac:dyDescent="0.25">
      <c r="A3819" t="s">
        <v>3843</v>
      </c>
      <c r="B3819" s="2">
        <v>44839</v>
      </c>
      <c r="C3819" s="2">
        <v>44846</v>
      </c>
      <c r="D3819" t="s">
        <v>5270</v>
      </c>
      <c r="E3819" t="s">
        <v>5770</v>
      </c>
      <c r="F3819" t="s">
        <v>6026</v>
      </c>
      <c r="G3819" t="s">
        <v>6031</v>
      </c>
      <c r="H3819" t="s">
        <v>6034</v>
      </c>
      <c r="I3819" t="s">
        <v>6048</v>
      </c>
      <c r="J3819" t="s">
        <v>6053</v>
      </c>
      <c r="K3819" t="s">
        <v>6058</v>
      </c>
      <c r="L3819" t="s">
        <v>6277</v>
      </c>
      <c r="M3819">
        <v>1595.29</v>
      </c>
      <c r="N3819">
        <v>4</v>
      </c>
      <c r="O3819">
        <v>0.1</v>
      </c>
      <c r="P3819">
        <v>189.43</v>
      </c>
      <c r="Q3819" t="s">
        <v>9893</v>
      </c>
      <c r="R3819">
        <v>7</v>
      </c>
      <c r="S3819" s="5">
        <f t="shared" si="118"/>
        <v>0.1187433005911151</v>
      </c>
      <c r="T3819">
        <v>398.82249999999999</v>
      </c>
      <c r="U3819">
        <v>10</v>
      </c>
      <c r="V3819">
        <v>2022</v>
      </c>
      <c r="W3819">
        <v>4</v>
      </c>
      <c r="X3819" t="s">
        <v>9899</v>
      </c>
      <c r="Y3819" t="s">
        <v>9901</v>
      </c>
      <c r="Z3819" t="s">
        <v>9898</v>
      </c>
      <c r="AD3819">
        <f t="shared" si="119"/>
        <v>7</v>
      </c>
    </row>
    <row r="3820" spans="1:30" x14ac:dyDescent="0.25">
      <c r="A3820" t="s">
        <v>3844</v>
      </c>
      <c r="B3820" s="2">
        <v>44879</v>
      </c>
      <c r="C3820" s="2">
        <v>44884</v>
      </c>
      <c r="D3820" t="s">
        <v>5430</v>
      </c>
      <c r="E3820" t="s">
        <v>5930</v>
      </c>
      <c r="F3820" t="s">
        <v>6027</v>
      </c>
      <c r="G3820" t="s">
        <v>6029</v>
      </c>
      <c r="H3820" t="s">
        <v>6045</v>
      </c>
      <c r="I3820" t="s">
        <v>6049</v>
      </c>
      <c r="J3820" t="s">
        <v>6055</v>
      </c>
      <c r="K3820" t="s">
        <v>6061</v>
      </c>
      <c r="L3820" t="s">
        <v>9150</v>
      </c>
      <c r="M3820">
        <v>910.04</v>
      </c>
      <c r="N3820">
        <v>4</v>
      </c>
      <c r="O3820">
        <v>7.0000000000000007E-2</v>
      </c>
      <c r="P3820">
        <v>113.42</v>
      </c>
      <c r="Q3820" t="s">
        <v>9896</v>
      </c>
      <c r="R3820">
        <v>5</v>
      </c>
      <c r="S3820" s="5">
        <f t="shared" si="118"/>
        <v>0.12463188431277747</v>
      </c>
      <c r="T3820">
        <v>227.51</v>
      </c>
      <c r="U3820">
        <v>11</v>
      </c>
      <c r="V3820">
        <v>2022</v>
      </c>
      <c r="W3820">
        <v>4</v>
      </c>
      <c r="X3820" t="s">
        <v>9899</v>
      </c>
      <c r="Y3820" t="s">
        <v>9901</v>
      </c>
      <c r="Z3820" t="s">
        <v>9899</v>
      </c>
      <c r="AD3820">
        <f t="shared" si="119"/>
        <v>5</v>
      </c>
    </row>
    <row r="3821" spans="1:30" x14ac:dyDescent="0.25">
      <c r="A3821" t="s">
        <v>3845</v>
      </c>
      <c r="B3821" s="2">
        <v>45349</v>
      </c>
      <c r="C3821" s="2">
        <v>45352</v>
      </c>
      <c r="D3821" t="s">
        <v>5184</v>
      </c>
      <c r="E3821" t="s">
        <v>5684</v>
      </c>
      <c r="F3821" t="s">
        <v>6027</v>
      </c>
      <c r="G3821" t="s">
        <v>6031</v>
      </c>
      <c r="H3821" t="s">
        <v>6034</v>
      </c>
      <c r="I3821" t="s">
        <v>6050</v>
      </c>
      <c r="J3821" t="s">
        <v>6054</v>
      </c>
      <c r="K3821" t="s">
        <v>6059</v>
      </c>
      <c r="L3821" t="s">
        <v>6772</v>
      </c>
      <c r="M3821">
        <v>1809.5</v>
      </c>
      <c r="N3821">
        <v>3</v>
      </c>
      <c r="O3821">
        <v>0.14000000000000001</v>
      </c>
      <c r="P3821">
        <v>261.14999999999998</v>
      </c>
      <c r="Q3821" t="s">
        <v>9894</v>
      </c>
      <c r="R3821">
        <v>3</v>
      </c>
      <c r="S3821" s="5">
        <f t="shared" si="118"/>
        <v>0.1443216358109975</v>
      </c>
      <c r="T3821">
        <v>603.16666666666663</v>
      </c>
      <c r="U3821">
        <v>2</v>
      </c>
      <c r="V3821">
        <v>2024</v>
      </c>
      <c r="W3821">
        <v>1</v>
      </c>
      <c r="X3821" t="s">
        <v>9899</v>
      </c>
      <c r="Y3821" t="s">
        <v>9901</v>
      </c>
      <c r="Z3821" t="s">
        <v>9898</v>
      </c>
      <c r="AD3821">
        <f t="shared" si="119"/>
        <v>3</v>
      </c>
    </row>
    <row r="3822" spans="1:30" x14ac:dyDescent="0.25">
      <c r="A3822" t="s">
        <v>3846</v>
      </c>
      <c r="B3822" s="2">
        <v>45298</v>
      </c>
      <c r="C3822" s="2">
        <v>45303</v>
      </c>
      <c r="D3822" t="s">
        <v>5324</v>
      </c>
      <c r="E3822" t="s">
        <v>5824</v>
      </c>
      <c r="F3822" t="s">
        <v>6028</v>
      </c>
      <c r="G3822" t="s">
        <v>6031</v>
      </c>
      <c r="H3822" t="s">
        <v>6042</v>
      </c>
      <c r="I3822" t="s">
        <v>6052</v>
      </c>
      <c r="J3822" t="s">
        <v>6055</v>
      </c>
      <c r="K3822" t="s">
        <v>6064</v>
      </c>
      <c r="L3822" t="s">
        <v>9151</v>
      </c>
      <c r="M3822">
        <v>914.77</v>
      </c>
      <c r="N3822">
        <v>8</v>
      </c>
      <c r="O3822">
        <v>0.33</v>
      </c>
      <c r="P3822">
        <v>-69.94</v>
      </c>
      <c r="Q3822" t="s">
        <v>9897</v>
      </c>
      <c r="R3822">
        <v>5</v>
      </c>
      <c r="S3822" s="5">
        <f t="shared" si="118"/>
        <v>-7.645637701280103E-2</v>
      </c>
      <c r="T3822">
        <v>114.34625</v>
      </c>
      <c r="U3822">
        <v>1</v>
      </c>
      <c r="V3822">
        <v>2024</v>
      </c>
      <c r="W3822">
        <v>1</v>
      </c>
      <c r="X3822" t="s">
        <v>9898</v>
      </c>
      <c r="Y3822" t="s">
        <v>9902</v>
      </c>
      <c r="Z3822" t="s">
        <v>9899</v>
      </c>
      <c r="AD3822">
        <f t="shared" si="119"/>
        <v>5</v>
      </c>
    </row>
    <row r="3823" spans="1:30" x14ac:dyDescent="0.25">
      <c r="A3823" t="s">
        <v>3847</v>
      </c>
      <c r="B3823" s="2">
        <v>45044</v>
      </c>
      <c r="C3823" s="2">
        <v>45047</v>
      </c>
      <c r="D3823" t="s">
        <v>5454</v>
      </c>
      <c r="E3823" t="s">
        <v>5954</v>
      </c>
      <c r="F3823" t="s">
        <v>6026</v>
      </c>
      <c r="G3823" t="s">
        <v>6030</v>
      </c>
      <c r="H3823" t="s">
        <v>6033</v>
      </c>
      <c r="I3823" t="s">
        <v>6051</v>
      </c>
      <c r="J3823" t="s">
        <v>6053</v>
      </c>
      <c r="K3823" t="s">
        <v>6057</v>
      </c>
      <c r="L3823" t="s">
        <v>9152</v>
      </c>
      <c r="M3823">
        <v>747.64</v>
      </c>
      <c r="N3823">
        <v>1</v>
      </c>
      <c r="O3823">
        <v>0.16</v>
      </c>
      <c r="P3823">
        <v>13.65</v>
      </c>
      <c r="Q3823" t="s">
        <v>9893</v>
      </c>
      <c r="R3823">
        <v>3</v>
      </c>
      <c r="S3823" s="5">
        <f t="shared" si="118"/>
        <v>1.8257450109678455E-2</v>
      </c>
      <c r="T3823">
        <v>747.64</v>
      </c>
      <c r="U3823">
        <v>4</v>
      </c>
      <c r="V3823">
        <v>2023</v>
      </c>
      <c r="W3823">
        <v>2</v>
      </c>
      <c r="X3823" t="s">
        <v>9899</v>
      </c>
      <c r="Y3823" t="s">
        <v>9900</v>
      </c>
      <c r="Z3823" t="s">
        <v>9899</v>
      </c>
      <c r="AD3823">
        <f t="shared" si="119"/>
        <v>3</v>
      </c>
    </row>
    <row r="3824" spans="1:30" x14ac:dyDescent="0.25">
      <c r="A3824" t="s">
        <v>3848</v>
      </c>
      <c r="B3824" s="2">
        <v>45440</v>
      </c>
      <c r="C3824" s="2">
        <v>45442</v>
      </c>
      <c r="D3824" t="s">
        <v>5436</v>
      </c>
      <c r="E3824" t="s">
        <v>5936</v>
      </c>
      <c r="F3824" t="s">
        <v>6026</v>
      </c>
      <c r="G3824" t="s">
        <v>6031</v>
      </c>
      <c r="H3824" t="s">
        <v>6042</v>
      </c>
      <c r="I3824" t="s">
        <v>6052</v>
      </c>
      <c r="J3824" t="s">
        <v>6055</v>
      </c>
      <c r="K3824" t="s">
        <v>6064</v>
      </c>
      <c r="L3824" t="s">
        <v>8710</v>
      </c>
      <c r="M3824">
        <v>1312.43</v>
      </c>
      <c r="N3824">
        <v>3</v>
      </c>
      <c r="O3824">
        <v>7.0000000000000007E-2</v>
      </c>
      <c r="P3824">
        <v>82.4</v>
      </c>
      <c r="Q3824" t="s">
        <v>9896</v>
      </c>
      <c r="R3824">
        <v>2</v>
      </c>
      <c r="S3824" s="5">
        <f t="shared" si="118"/>
        <v>6.2784300876999155E-2</v>
      </c>
      <c r="T3824">
        <v>437.47666666666669</v>
      </c>
      <c r="U3824">
        <v>5</v>
      </c>
      <c r="V3824">
        <v>2024</v>
      </c>
      <c r="W3824">
        <v>2</v>
      </c>
      <c r="X3824" t="s">
        <v>9899</v>
      </c>
      <c r="Y3824" t="s">
        <v>9901</v>
      </c>
      <c r="Z3824" t="s">
        <v>9898</v>
      </c>
      <c r="AD3824">
        <f t="shared" si="119"/>
        <v>2</v>
      </c>
    </row>
    <row r="3825" spans="1:30" x14ac:dyDescent="0.25">
      <c r="A3825" t="s">
        <v>3849</v>
      </c>
      <c r="B3825" s="2">
        <v>45320</v>
      </c>
      <c r="C3825" s="2">
        <v>45321</v>
      </c>
      <c r="D3825" t="s">
        <v>5033</v>
      </c>
      <c r="E3825" t="s">
        <v>5533</v>
      </c>
      <c r="F3825" t="s">
        <v>6028</v>
      </c>
      <c r="G3825" t="s">
        <v>6029</v>
      </c>
      <c r="H3825" t="s">
        <v>6032</v>
      </c>
      <c r="I3825" t="s">
        <v>6050</v>
      </c>
      <c r="J3825" t="s">
        <v>6053</v>
      </c>
      <c r="K3825" t="s">
        <v>6058</v>
      </c>
      <c r="L3825" t="s">
        <v>9153</v>
      </c>
      <c r="M3825">
        <v>637.97</v>
      </c>
      <c r="N3825">
        <v>3</v>
      </c>
      <c r="O3825">
        <v>0.17</v>
      </c>
      <c r="P3825">
        <v>-8.34</v>
      </c>
      <c r="Q3825" t="s">
        <v>9895</v>
      </c>
      <c r="R3825">
        <v>1</v>
      </c>
      <c r="S3825" s="5">
        <f t="shared" si="118"/>
        <v>-1.3072715017947552E-2</v>
      </c>
      <c r="T3825">
        <v>212.65666666666669</v>
      </c>
      <c r="U3825">
        <v>1</v>
      </c>
      <c r="V3825">
        <v>2024</v>
      </c>
      <c r="W3825">
        <v>1</v>
      </c>
      <c r="X3825" t="s">
        <v>9898</v>
      </c>
      <c r="Y3825" t="s">
        <v>9900</v>
      </c>
      <c r="Z3825" t="s">
        <v>9899</v>
      </c>
      <c r="AD3825">
        <f t="shared" si="119"/>
        <v>1</v>
      </c>
    </row>
    <row r="3826" spans="1:30" x14ac:dyDescent="0.25">
      <c r="A3826" t="s">
        <v>3850</v>
      </c>
      <c r="B3826" s="2">
        <v>45402</v>
      </c>
      <c r="C3826" s="2">
        <v>45408</v>
      </c>
      <c r="D3826" t="s">
        <v>5506</v>
      </c>
      <c r="E3826" t="s">
        <v>6006</v>
      </c>
      <c r="F3826" t="s">
        <v>6026</v>
      </c>
      <c r="G3826" t="s">
        <v>6031</v>
      </c>
      <c r="H3826" t="s">
        <v>6040</v>
      </c>
      <c r="I3826" t="s">
        <v>6048</v>
      </c>
      <c r="J3826" t="s">
        <v>6055</v>
      </c>
      <c r="K3826" t="s">
        <v>6064</v>
      </c>
      <c r="L3826" t="s">
        <v>8673</v>
      </c>
      <c r="M3826">
        <v>1128.8699999999999</v>
      </c>
      <c r="N3826">
        <v>7</v>
      </c>
      <c r="O3826">
        <v>0.14000000000000001</v>
      </c>
      <c r="P3826">
        <v>123.08</v>
      </c>
      <c r="Q3826" t="s">
        <v>9897</v>
      </c>
      <c r="R3826">
        <v>6</v>
      </c>
      <c r="S3826" s="5">
        <f t="shared" si="118"/>
        <v>0.10902938336566656</v>
      </c>
      <c r="T3826">
        <v>161.2671428571428</v>
      </c>
      <c r="U3826">
        <v>4</v>
      </c>
      <c r="V3826">
        <v>2024</v>
      </c>
      <c r="W3826">
        <v>2</v>
      </c>
      <c r="X3826" t="s">
        <v>9899</v>
      </c>
      <c r="Y3826" t="s">
        <v>9901</v>
      </c>
      <c r="Z3826" t="s">
        <v>9898</v>
      </c>
      <c r="AD3826">
        <f t="shared" si="119"/>
        <v>6</v>
      </c>
    </row>
    <row r="3827" spans="1:30" x14ac:dyDescent="0.25">
      <c r="A3827" t="s">
        <v>3851</v>
      </c>
      <c r="B3827" s="2">
        <v>45362</v>
      </c>
      <c r="C3827" s="2">
        <v>45366</v>
      </c>
      <c r="D3827" t="s">
        <v>5409</v>
      </c>
      <c r="E3827" t="s">
        <v>5909</v>
      </c>
      <c r="F3827" t="s">
        <v>6026</v>
      </c>
      <c r="G3827" t="s">
        <v>6031</v>
      </c>
      <c r="H3827" t="s">
        <v>6037</v>
      </c>
      <c r="I3827" t="s">
        <v>6048</v>
      </c>
      <c r="J3827" t="s">
        <v>6055</v>
      </c>
      <c r="K3827" t="s">
        <v>6064</v>
      </c>
      <c r="L3827" t="s">
        <v>8155</v>
      </c>
      <c r="M3827">
        <v>812.27</v>
      </c>
      <c r="N3827">
        <v>7</v>
      </c>
      <c r="O3827">
        <v>0.1</v>
      </c>
      <c r="P3827">
        <v>130.33000000000001</v>
      </c>
      <c r="Q3827" t="s">
        <v>9893</v>
      </c>
      <c r="R3827">
        <v>4</v>
      </c>
      <c r="S3827" s="5">
        <f t="shared" si="118"/>
        <v>0.1604515739840201</v>
      </c>
      <c r="T3827">
        <v>116.0385714285714</v>
      </c>
      <c r="U3827">
        <v>3</v>
      </c>
      <c r="V3827">
        <v>2024</v>
      </c>
      <c r="W3827">
        <v>1</v>
      </c>
      <c r="X3827" t="s">
        <v>9899</v>
      </c>
      <c r="Y3827" t="s">
        <v>9901</v>
      </c>
      <c r="Z3827" t="s">
        <v>9899</v>
      </c>
      <c r="AD3827">
        <f t="shared" si="119"/>
        <v>4</v>
      </c>
    </row>
    <row r="3828" spans="1:30" x14ac:dyDescent="0.25">
      <c r="A3828" t="s">
        <v>3852</v>
      </c>
      <c r="B3828" s="2">
        <v>44875</v>
      </c>
      <c r="C3828" s="2">
        <v>44877</v>
      </c>
      <c r="D3828" t="s">
        <v>5498</v>
      </c>
      <c r="E3828" t="s">
        <v>5998</v>
      </c>
      <c r="F3828" t="s">
        <v>6027</v>
      </c>
      <c r="G3828" t="s">
        <v>6029</v>
      </c>
      <c r="H3828" t="s">
        <v>6032</v>
      </c>
      <c r="I3828" t="s">
        <v>6046</v>
      </c>
      <c r="J3828" t="s">
        <v>6053</v>
      </c>
      <c r="K3828" t="s">
        <v>6057</v>
      </c>
      <c r="L3828" t="s">
        <v>9154</v>
      </c>
      <c r="M3828">
        <v>1634.23</v>
      </c>
      <c r="N3828">
        <v>3</v>
      </c>
      <c r="O3828">
        <v>0.23</v>
      </c>
      <c r="P3828">
        <v>56.5</v>
      </c>
      <c r="Q3828" t="s">
        <v>9895</v>
      </c>
      <c r="R3828">
        <v>2</v>
      </c>
      <c r="S3828" s="5">
        <f t="shared" si="118"/>
        <v>3.4572856941801337E-2</v>
      </c>
      <c r="T3828">
        <v>544.74333333333334</v>
      </c>
      <c r="U3828">
        <v>11</v>
      </c>
      <c r="V3828">
        <v>2022</v>
      </c>
      <c r="W3828">
        <v>4</v>
      </c>
      <c r="X3828" t="s">
        <v>9899</v>
      </c>
      <c r="Y3828" t="s">
        <v>9900</v>
      </c>
      <c r="Z3828" t="s">
        <v>9898</v>
      </c>
      <c r="AD3828">
        <f t="shared" si="119"/>
        <v>2</v>
      </c>
    </row>
    <row r="3829" spans="1:30" x14ac:dyDescent="0.25">
      <c r="A3829" t="s">
        <v>3853</v>
      </c>
      <c r="B3829" s="2">
        <v>44718</v>
      </c>
      <c r="C3829" s="2">
        <v>44721</v>
      </c>
      <c r="D3829" t="s">
        <v>5350</v>
      </c>
      <c r="E3829" t="s">
        <v>5850</v>
      </c>
      <c r="F3829" t="s">
        <v>6026</v>
      </c>
      <c r="G3829" t="s">
        <v>6030</v>
      </c>
      <c r="H3829" t="s">
        <v>6038</v>
      </c>
      <c r="I3829" t="s">
        <v>6047</v>
      </c>
      <c r="J3829" t="s">
        <v>6055</v>
      </c>
      <c r="K3829" t="s">
        <v>6064</v>
      </c>
      <c r="L3829" t="s">
        <v>9155</v>
      </c>
      <c r="M3829">
        <v>1379.03</v>
      </c>
      <c r="N3829">
        <v>8</v>
      </c>
      <c r="O3829">
        <v>7.0000000000000007E-2</v>
      </c>
      <c r="P3829">
        <v>99.28</v>
      </c>
      <c r="Q3829" t="s">
        <v>9895</v>
      </c>
      <c r="R3829">
        <v>3</v>
      </c>
      <c r="S3829" s="5">
        <f t="shared" si="118"/>
        <v>7.199263250255615E-2</v>
      </c>
      <c r="T3829">
        <v>172.37875</v>
      </c>
      <c r="U3829">
        <v>6</v>
      </c>
      <c r="V3829">
        <v>2022</v>
      </c>
      <c r="W3829">
        <v>2</v>
      </c>
      <c r="X3829" t="s">
        <v>9899</v>
      </c>
      <c r="Y3829" t="s">
        <v>9901</v>
      </c>
      <c r="Z3829" t="s">
        <v>9898</v>
      </c>
      <c r="AD3829">
        <f t="shared" si="119"/>
        <v>3</v>
      </c>
    </row>
    <row r="3830" spans="1:30" x14ac:dyDescent="0.25">
      <c r="A3830" t="s">
        <v>3854</v>
      </c>
      <c r="B3830" s="2">
        <v>44998</v>
      </c>
      <c r="C3830" s="2">
        <v>45005</v>
      </c>
      <c r="D3830" t="s">
        <v>5331</v>
      </c>
      <c r="E3830" t="s">
        <v>5831</v>
      </c>
      <c r="F3830" t="s">
        <v>6028</v>
      </c>
      <c r="G3830" t="s">
        <v>6030</v>
      </c>
      <c r="H3830" t="s">
        <v>6033</v>
      </c>
      <c r="I3830" t="s">
        <v>6051</v>
      </c>
      <c r="J3830" t="s">
        <v>6055</v>
      </c>
      <c r="K3830" t="s">
        <v>6063</v>
      </c>
      <c r="L3830" t="s">
        <v>7760</v>
      </c>
      <c r="M3830">
        <v>476.48</v>
      </c>
      <c r="N3830">
        <v>1</v>
      </c>
      <c r="O3830">
        <v>0.09</v>
      </c>
      <c r="P3830">
        <v>40.9</v>
      </c>
      <c r="Q3830" t="s">
        <v>9894</v>
      </c>
      <c r="R3830">
        <v>7</v>
      </c>
      <c r="S3830" s="5">
        <f t="shared" si="118"/>
        <v>8.583781061114841E-2</v>
      </c>
      <c r="T3830">
        <v>476.48</v>
      </c>
      <c r="U3830">
        <v>3</v>
      </c>
      <c r="V3830">
        <v>2023</v>
      </c>
      <c r="W3830">
        <v>1</v>
      </c>
      <c r="X3830" t="s">
        <v>9899</v>
      </c>
      <c r="Y3830" t="s">
        <v>9901</v>
      </c>
      <c r="Z3830" t="s">
        <v>9899</v>
      </c>
      <c r="AD3830">
        <f t="shared" si="119"/>
        <v>7</v>
      </c>
    </row>
    <row r="3831" spans="1:30" x14ac:dyDescent="0.25">
      <c r="A3831" t="s">
        <v>3855</v>
      </c>
      <c r="B3831" s="2">
        <v>44677</v>
      </c>
      <c r="C3831" s="2">
        <v>44680</v>
      </c>
      <c r="D3831" t="s">
        <v>5132</v>
      </c>
      <c r="E3831" t="s">
        <v>5632</v>
      </c>
      <c r="F3831" t="s">
        <v>6028</v>
      </c>
      <c r="G3831" t="s">
        <v>6029</v>
      </c>
      <c r="H3831" t="s">
        <v>6041</v>
      </c>
      <c r="I3831" t="s">
        <v>6046</v>
      </c>
      <c r="J3831" t="s">
        <v>6055</v>
      </c>
      <c r="K3831" t="s">
        <v>6064</v>
      </c>
      <c r="L3831" t="s">
        <v>9156</v>
      </c>
      <c r="M3831">
        <v>205.9</v>
      </c>
      <c r="N3831">
        <v>5</v>
      </c>
      <c r="O3831">
        <v>0.09</v>
      </c>
      <c r="P3831">
        <v>12.19</v>
      </c>
      <c r="Q3831" t="s">
        <v>9894</v>
      </c>
      <c r="R3831">
        <v>3</v>
      </c>
      <c r="S3831" s="5">
        <f t="shared" si="118"/>
        <v>5.9203496843127729E-2</v>
      </c>
      <c r="T3831">
        <v>41.18</v>
      </c>
      <c r="U3831">
        <v>4</v>
      </c>
      <c r="V3831">
        <v>2022</v>
      </c>
      <c r="W3831">
        <v>2</v>
      </c>
      <c r="X3831" t="s">
        <v>9899</v>
      </c>
      <c r="Y3831" t="s">
        <v>9901</v>
      </c>
      <c r="Z3831" t="s">
        <v>9899</v>
      </c>
      <c r="AD3831">
        <f t="shared" si="119"/>
        <v>3</v>
      </c>
    </row>
    <row r="3832" spans="1:30" x14ac:dyDescent="0.25">
      <c r="A3832" t="s">
        <v>3856</v>
      </c>
      <c r="B3832" s="2">
        <v>45457</v>
      </c>
      <c r="C3832" s="2">
        <v>45462</v>
      </c>
      <c r="D3832" t="s">
        <v>5166</v>
      </c>
      <c r="E3832" t="s">
        <v>5666</v>
      </c>
      <c r="F3832" t="s">
        <v>6028</v>
      </c>
      <c r="G3832" t="s">
        <v>6030</v>
      </c>
      <c r="H3832" t="s">
        <v>6035</v>
      </c>
      <c r="I3832" t="s">
        <v>6051</v>
      </c>
      <c r="J3832" t="s">
        <v>6055</v>
      </c>
      <c r="K3832" t="s">
        <v>6064</v>
      </c>
      <c r="L3832" t="s">
        <v>9157</v>
      </c>
      <c r="M3832">
        <v>1381.56</v>
      </c>
      <c r="N3832">
        <v>7</v>
      </c>
      <c r="O3832">
        <v>0.02</v>
      </c>
      <c r="P3832">
        <v>268.08</v>
      </c>
      <c r="Q3832" t="s">
        <v>9894</v>
      </c>
      <c r="R3832">
        <v>5</v>
      </c>
      <c r="S3832" s="5">
        <f t="shared" si="118"/>
        <v>0.19404151828367933</v>
      </c>
      <c r="T3832">
        <v>197.36571428571429</v>
      </c>
      <c r="U3832">
        <v>6</v>
      </c>
      <c r="V3832">
        <v>2024</v>
      </c>
      <c r="W3832">
        <v>2</v>
      </c>
      <c r="X3832" t="s">
        <v>9899</v>
      </c>
      <c r="Y3832" t="s">
        <v>9901</v>
      </c>
      <c r="Z3832" t="s">
        <v>9898</v>
      </c>
      <c r="AD3832">
        <f t="shared" si="119"/>
        <v>5</v>
      </c>
    </row>
    <row r="3833" spans="1:30" x14ac:dyDescent="0.25">
      <c r="A3833" t="s">
        <v>3857</v>
      </c>
      <c r="B3833" s="2">
        <v>45450</v>
      </c>
      <c r="C3833" s="2">
        <v>45457</v>
      </c>
      <c r="D3833" t="s">
        <v>5502</v>
      </c>
      <c r="E3833" t="s">
        <v>6002</v>
      </c>
      <c r="F3833" t="s">
        <v>6027</v>
      </c>
      <c r="G3833" t="s">
        <v>6030</v>
      </c>
      <c r="H3833" t="s">
        <v>6035</v>
      </c>
      <c r="I3833" t="s">
        <v>6047</v>
      </c>
      <c r="J3833" t="s">
        <v>6053</v>
      </c>
      <c r="K3833" t="s">
        <v>6057</v>
      </c>
      <c r="L3833" t="s">
        <v>9158</v>
      </c>
      <c r="M3833">
        <v>1507.9</v>
      </c>
      <c r="N3833">
        <v>3</v>
      </c>
      <c r="O3833">
        <v>0.12</v>
      </c>
      <c r="P3833">
        <v>180.09</v>
      </c>
      <c r="Q3833" t="s">
        <v>9896</v>
      </c>
      <c r="R3833">
        <v>7</v>
      </c>
      <c r="S3833" s="5">
        <f t="shared" si="118"/>
        <v>0.11943099675044763</v>
      </c>
      <c r="T3833">
        <v>502.63333333333338</v>
      </c>
      <c r="U3833">
        <v>6</v>
      </c>
      <c r="V3833">
        <v>2024</v>
      </c>
      <c r="W3833">
        <v>2</v>
      </c>
      <c r="X3833" t="s">
        <v>9899</v>
      </c>
      <c r="Y3833" t="s">
        <v>9901</v>
      </c>
      <c r="Z3833" t="s">
        <v>9898</v>
      </c>
      <c r="AD3833">
        <f t="shared" si="119"/>
        <v>7</v>
      </c>
    </row>
    <row r="3834" spans="1:30" x14ac:dyDescent="0.25">
      <c r="A3834" t="s">
        <v>3858</v>
      </c>
      <c r="B3834" s="2">
        <v>45261</v>
      </c>
      <c r="C3834" s="2">
        <v>45267</v>
      </c>
      <c r="D3834" t="s">
        <v>5052</v>
      </c>
      <c r="E3834" t="s">
        <v>5552</v>
      </c>
      <c r="F3834" t="s">
        <v>6027</v>
      </c>
      <c r="G3834" t="s">
        <v>6031</v>
      </c>
      <c r="H3834" t="s">
        <v>6037</v>
      </c>
      <c r="I3834" t="s">
        <v>6052</v>
      </c>
      <c r="J3834" t="s">
        <v>6053</v>
      </c>
      <c r="K3834" t="s">
        <v>6058</v>
      </c>
      <c r="L3834" t="s">
        <v>9159</v>
      </c>
      <c r="M3834">
        <v>285.3</v>
      </c>
      <c r="N3834">
        <v>5</v>
      </c>
      <c r="O3834">
        <v>0.21</v>
      </c>
      <c r="P3834">
        <v>-16.579999999999998</v>
      </c>
      <c r="Q3834" t="s">
        <v>9895</v>
      </c>
      <c r="R3834">
        <v>6</v>
      </c>
      <c r="S3834" s="5">
        <f t="shared" si="118"/>
        <v>-5.8114265685243596E-2</v>
      </c>
      <c r="T3834">
        <v>57.06</v>
      </c>
      <c r="U3834">
        <v>12</v>
      </c>
      <c r="V3834">
        <v>2023</v>
      </c>
      <c r="W3834">
        <v>4</v>
      </c>
      <c r="X3834" t="s">
        <v>9898</v>
      </c>
      <c r="Y3834" t="s">
        <v>9900</v>
      </c>
      <c r="Z3834" t="s">
        <v>9899</v>
      </c>
      <c r="AD3834">
        <f t="shared" si="119"/>
        <v>6</v>
      </c>
    </row>
    <row r="3835" spans="1:30" x14ac:dyDescent="0.25">
      <c r="A3835" t="s">
        <v>3859</v>
      </c>
      <c r="B3835" s="2">
        <v>44816</v>
      </c>
      <c r="C3835" s="2">
        <v>44818</v>
      </c>
      <c r="D3835" t="s">
        <v>5457</v>
      </c>
      <c r="E3835" t="s">
        <v>5957</v>
      </c>
      <c r="F3835" t="s">
        <v>6026</v>
      </c>
      <c r="G3835" t="s">
        <v>6029</v>
      </c>
      <c r="H3835" t="s">
        <v>6041</v>
      </c>
      <c r="I3835" t="s">
        <v>6046</v>
      </c>
      <c r="J3835" t="s">
        <v>6055</v>
      </c>
      <c r="K3835" t="s">
        <v>6063</v>
      </c>
      <c r="L3835" t="s">
        <v>9160</v>
      </c>
      <c r="M3835">
        <v>1082.69</v>
      </c>
      <c r="N3835">
        <v>2</v>
      </c>
      <c r="O3835">
        <v>0.21</v>
      </c>
      <c r="P3835">
        <v>60.15</v>
      </c>
      <c r="Q3835" t="s">
        <v>9895</v>
      </c>
      <c r="R3835">
        <v>2</v>
      </c>
      <c r="S3835" s="5">
        <f t="shared" si="118"/>
        <v>5.5556068680785817E-2</v>
      </c>
      <c r="T3835">
        <v>541.34500000000003</v>
      </c>
      <c r="U3835">
        <v>9</v>
      </c>
      <c r="V3835">
        <v>2022</v>
      </c>
      <c r="W3835">
        <v>3</v>
      </c>
      <c r="X3835" t="s">
        <v>9899</v>
      </c>
      <c r="Y3835" t="s">
        <v>9900</v>
      </c>
      <c r="Z3835" t="s">
        <v>9898</v>
      </c>
      <c r="AD3835">
        <f t="shared" si="119"/>
        <v>2</v>
      </c>
    </row>
    <row r="3836" spans="1:30" x14ac:dyDescent="0.25">
      <c r="A3836" t="s">
        <v>3860</v>
      </c>
      <c r="B3836" s="2">
        <v>45059</v>
      </c>
      <c r="C3836" s="2">
        <v>45063</v>
      </c>
      <c r="D3836" t="s">
        <v>5077</v>
      </c>
      <c r="E3836" t="s">
        <v>5577</v>
      </c>
      <c r="F3836" t="s">
        <v>6027</v>
      </c>
      <c r="G3836" t="s">
        <v>6030</v>
      </c>
      <c r="H3836" t="s">
        <v>6033</v>
      </c>
      <c r="I3836" t="s">
        <v>6051</v>
      </c>
      <c r="J3836" t="s">
        <v>6055</v>
      </c>
      <c r="K3836" t="s">
        <v>6064</v>
      </c>
      <c r="L3836" t="s">
        <v>6910</v>
      </c>
      <c r="M3836">
        <v>1252.8900000000001</v>
      </c>
      <c r="N3836">
        <v>7</v>
      </c>
      <c r="O3836">
        <v>0.2</v>
      </c>
      <c r="P3836">
        <v>-61.02</v>
      </c>
      <c r="Q3836" t="s">
        <v>9893</v>
      </c>
      <c r="R3836">
        <v>4</v>
      </c>
      <c r="S3836" s="5">
        <f t="shared" si="118"/>
        <v>-4.8703397744414914E-2</v>
      </c>
      <c r="T3836">
        <v>178.9842857142857</v>
      </c>
      <c r="U3836">
        <v>5</v>
      </c>
      <c r="V3836">
        <v>2023</v>
      </c>
      <c r="W3836">
        <v>2</v>
      </c>
      <c r="X3836" t="s">
        <v>9898</v>
      </c>
      <c r="Y3836" t="s">
        <v>9900</v>
      </c>
      <c r="Z3836" t="s">
        <v>9898</v>
      </c>
      <c r="AD3836">
        <f t="shared" si="119"/>
        <v>4</v>
      </c>
    </row>
    <row r="3837" spans="1:30" x14ac:dyDescent="0.25">
      <c r="A3837" t="s">
        <v>3861</v>
      </c>
      <c r="B3837" s="2">
        <v>45209</v>
      </c>
      <c r="C3837" s="2">
        <v>45213</v>
      </c>
      <c r="D3837" t="s">
        <v>5317</v>
      </c>
      <c r="E3837" t="s">
        <v>5817</v>
      </c>
      <c r="F3837" t="s">
        <v>6027</v>
      </c>
      <c r="G3837" t="s">
        <v>6030</v>
      </c>
      <c r="H3837" t="s">
        <v>6035</v>
      </c>
      <c r="I3837" t="s">
        <v>6051</v>
      </c>
      <c r="J3837" t="s">
        <v>6054</v>
      </c>
      <c r="K3837" t="s">
        <v>6062</v>
      </c>
      <c r="L3837" t="s">
        <v>8123</v>
      </c>
      <c r="M3837">
        <v>244.38</v>
      </c>
      <c r="N3837">
        <v>6</v>
      </c>
      <c r="O3837">
        <v>7.0000000000000007E-2</v>
      </c>
      <c r="P3837">
        <v>41.55</v>
      </c>
      <c r="Q3837" t="s">
        <v>9893</v>
      </c>
      <c r="R3837">
        <v>4</v>
      </c>
      <c r="S3837" s="5">
        <f t="shared" si="118"/>
        <v>0.17002209673459365</v>
      </c>
      <c r="T3837">
        <v>40.729999999999997</v>
      </c>
      <c r="U3837">
        <v>10</v>
      </c>
      <c r="V3837">
        <v>2023</v>
      </c>
      <c r="W3837">
        <v>4</v>
      </c>
      <c r="X3837" t="s">
        <v>9899</v>
      </c>
      <c r="Y3837" t="s">
        <v>9901</v>
      </c>
      <c r="Z3837" t="s">
        <v>9899</v>
      </c>
      <c r="AD3837">
        <f t="shared" si="119"/>
        <v>4</v>
      </c>
    </row>
    <row r="3838" spans="1:30" x14ac:dyDescent="0.25">
      <c r="A3838" t="s">
        <v>3862</v>
      </c>
      <c r="B3838" s="2">
        <v>44659</v>
      </c>
      <c r="C3838" s="2">
        <v>44663</v>
      </c>
      <c r="D3838" t="s">
        <v>5028</v>
      </c>
      <c r="E3838" t="s">
        <v>5528</v>
      </c>
      <c r="F3838" t="s">
        <v>6026</v>
      </c>
      <c r="G3838" t="s">
        <v>6030</v>
      </c>
      <c r="H3838" t="s">
        <v>6035</v>
      </c>
      <c r="I3838" t="s">
        <v>6051</v>
      </c>
      <c r="J3838" t="s">
        <v>6054</v>
      </c>
      <c r="K3838" t="s">
        <v>6062</v>
      </c>
      <c r="L3838" t="s">
        <v>9161</v>
      </c>
      <c r="M3838">
        <v>1337.68</v>
      </c>
      <c r="N3838">
        <v>5</v>
      </c>
      <c r="O3838">
        <v>0.28000000000000003</v>
      </c>
      <c r="P3838">
        <v>-67.25</v>
      </c>
      <c r="Q3838" t="s">
        <v>9895</v>
      </c>
      <c r="R3838">
        <v>4</v>
      </c>
      <c r="S3838" s="5">
        <f t="shared" si="118"/>
        <v>-5.0273608037796777E-2</v>
      </c>
      <c r="T3838">
        <v>267.536</v>
      </c>
      <c r="U3838">
        <v>4</v>
      </c>
      <c r="V3838">
        <v>2022</v>
      </c>
      <c r="W3838">
        <v>2</v>
      </c>
      <c r="X3838" t="s">
        <v>9898</v>
      </c>
      <c r="Y3838" t="s">
        <v>9900</v>
      </c>
      <c r="Z3838" t="s">
        <v>9898</v>
      </c>
      <c r="AD3838">
        <f t="shared" si="119"/>
        <v>4</v>
      </c>
    </row>
    <row r="3839" spans="1:30" x14ac:dyDescent="0.25">
      <c r="A3839" t="s">
        <v>3863</v>
      </c>
      <c r="B3839" s="2">
        <v>44970</v>
      </c>
      <c r="C3839" s="2">
        <v>44971</v>
      </c>
      <c r="D3839" t="s">
        <v>5492</v>
      </c>
      <c r="E3839" t="s">
        <v>5992</v>
      </c>
      <c r="F3839" t="s">
        <v>6028</v>
      </c>
      <c r="G3839" t="s">
        <v>6031</v>
      </c>
      <c r="H3839" t="s">
        <v>6042</v>
      </c>
      <c r="I3839" t="s">
        <v>6050</v>
      </c>
      <c r="J3839" t="s">
        <v>6055</v>
      </c>
      <c r="K3839" t="s">
        <v>6061</v>
      </c>
      <c r="L3839" t="s">
        <v>9162</v>
      </c>
      <c r="M3839">
        <v>243.44</v>
      </c>
      <c r="N3839">
        <v>1</v>
      </c>
      <c r="O3839">
        <v>0.11</v>
      </c>
      <c r="P3839">
        <v>33.770000000000003</v>
      </c>
      <c r="Q3839" t="s">
        <v>9896</v>
      </c>
      <c r="R3839">
        <v>1</v>
      </c>
      <c r="S3839" s="5">
        <f t="shared" si="118"/>
        <v>0.1387200131449228</v>
      </c>
      <c r="T3839">
        <v>243.44</v>
      </c>
      <c r="U3839">
        <v>2</v>
      </c>
      <c r="V3839">
        <v>2023</v>
      </c>
      <c r="W3839">
        <v>1</v>
      </c>
      <c r="X3839" t="s">
        <v>9899</v>
      </c>
      <c r="Y3839" t="s">
        <v>9901</v>
      </c>
      <c r="Z3839" t="s">
        <v>9899</v>
      </c>
      <c r="AD3839">
        <f t="shared" si="119"/>
        <v>1</v>
      </c>
    </row>
    <row r="3840" spans="1:30" x14ac:dyDescent="0.25">
      <c r="A3840" t="s">
        <v>3864</v>
      </c>
      <c r="B3840" s="2">
        <v>45410</v>
      </c>
      <c r="C3840" s="2">
        <v>45417</v>
      </c>
      <c r="D3840" t="s">
        <v>5464</v>
      </c>
      <c r="E3840" t="s">
        <v>5964</v>
      </c>
      <c r="F3840" t="s">
        <v>6026</v>
      </c>
      <c r="G3840" t="s">
        <v>6029</v>
      </c>
      <c r="H3840" t="s">
        <v>6032</v>
      </c>
      <c r="I3840" t="s">
        <v>6046</v>
      </c>
      <c r="J3840" t="s">
        <v>6055</v>
      </c>
      <c r="K3840" t="s">
        <v>6064</v>
      </c>
      <c r="L3840" t="s">
        <v>9163</v>
      </c>
      <c r="M3840">
        <v>541.91</v>
      </c>
      <c r="N3840">
        <v>6</v>
      </c>
      <c r="O3840">
        <v>0.11</v>
      </c>
      <c r="P3840">
        <v>13.74</v>
      </c>
      <c r="Q3840" t="s">
        <v>9897</v>
      </c>
      <c r="R3840">
        <v>7</v>
      </c>
      <c r="S3840" s="5">
        <f t="shared" si="118"/>
        <v>2.535476370615047E-2</v>
      </c>
      <c r="T3840">
        <v>90.318333333333328</v>
      </c>
      <c r="U3840">
        <v>4</v>
      </c>
      <c r="V3840">
        <v>2024</v>
      </c>
      <c r="W3840">
        <v>2</v>
      </c>
      <c r="X3840" t="s">
        <v>9899</v>
      </c>
      <c r="Y3840" t="s">
        <v>9901</v>
      </c>
      <c r="Z3840" t="s">
        <v>9899</v>
      </c>
      <c r="AD3840">
        <f t="shared" si="119"/>
        <v>7</v>
      </c>
    </row>
    <row r="3841" spans="1:30" x14ac:dyDescent="0.25">
      <c r="A3841" t="s">
        <v>3865</v>
      </c>
      <c r="B3841" s="2">
        <v>45234</v>
      </c>
      <c r="C3841" s="2">
        <v>45237</v>
      </c>
      <c r="D3841" t="s">
        <v>5422</v>
      </c>
      <c r="E3841" t="s">
        <v>5922</v>
      </c>
      <c r="F3841" t="s">
        <v>6028</v>
      </c>
      <c r="G3841" t="s">
        <v>6029</v>
      </c>
      <c r="H3841" t="s">
        <v>6032</v>
      </c>
      <c r="I3841" t="s">
        <v>6049</v>
      </c>
      <c r="J3841" t="s">
        <v>6055</v>
      </c>
      <c r="K3841" t="s">
        <v>6064</v>
      </c>
      <c r="L3841" t="s">
        <v>9164</v>
      </c>
      <c r="M3841">
        <v>1920.98</v>
      </c>
      <c r="N3841">
        <v>8</v>
      </c>
      <c r="O3841">
        <v>0.17</v>
      </c>
      <c r="P3841">
        <v>118</v>
      </c>
      <c r="Q3841" t="s">
        <v>9896</v>
      </c>
      <c r="R3841">
        <v>3</v>
      </c>
      <c r="S3841" s="5">
        <f t="shared" si="118"/>
        <v>6.1426979978969065E-2</v>
      </c>
      <c r="T3841">
        <v>240.1225</v>
      </c>
      <c r="U3841">
        <v>11</v>
      </c>
      <c r="V3841">
        <v>2023</v>
      </c>
      <c r="W3841">
        <v>4</v>
      </c>
      <c r="X3841" t="s">
        <v>9899</v>
      </c>
      <c r="Y3841" t="s">
        <v>9900</v>
      </c>
      <c r="Z3841" t="s">
        <v>9898</v>
      </c>
      <c r="AD3841">
        <f t="shared" si="119"/>
        <v>3</v>
      </c>
    </row>
    <row r="3842" spans="1:30" x14ac:dyDescent="0.25">
      <c r="A3842" t="s">
        <v>3866</v>
      </c>
      <c r="B3842" s="2">
        <v>44568</v>
      </c>
      <c r="C3842" s="2">
        <v>44575</v>
      </c>
      <c r="D3842" t="s">
        <v>5069</v>
      </c>
      <c r="E3842" t="s">
        <v>5569</v>
      </c>
      <c r="F3842" t="s">
        <v>6026</v>
      </c>
      <c r="G3842" t="s">
        <v>6029</v>
      </c>
      <c r="H3842" t="s">
        <v>6045</v>
      </c>
      <c r="I3842" t="s">
        <v>6049</v>
      </c>
      <c r="J3842" t="s">
        <v>6055</v>
      </c>
      <c r="K3842" t="s">
        <v>6061</v>
      </c>
      <c r="L3842" t="s">
        <v>7552</v>
      </c>
      <c r="M3842">
        <v>1862.11</v>
      </c>
      <c r="N3842">
        <v>2</v>
      </c>
      <c r="O3842">
        <v>0.09</v>
      </c>
      <c r="P3842">
        <v>86.34</v>
      </c>
      <c r="Q3842" t="s">
        <v>9894</v>
      </c>
      <c r="R3842">
        <v>7</v>
      </c>
      <c r="S3842" s="5">
        <f t="shared" si="118"/>
        <v>4.6366755991858702E-2</v>
      </c>
      <c r="T3842">
        <v>931.05499999999995</v>
      </c>
      <c r="U3842">
        <v>1</v>
      </c>
      <c r="V3842">
        <v>2022</v>
      </c>
      <c r="W3842">
        <v>1</v>
      </c>
      <c r="X3842" t="s">
        <v>9899</v>
      </c>
      <c r="Y3842" t="s">
        <v>9901</v>
      </c>
      <c r="Z3842" t="s">
        <v>9898</v>
      </c>
      <c r="AD3842">
        <f t="shared" si="119"/>
        <v>7</v>
      </c>
    </row>
    <row r="3843" spans="1:30" x14ac:dyDescent="0.25">
      <c r="A3843" t="s">
        <v>3867</v>
      </c>
      <c r="B3843" s="2">
        <v>44861</v>
      </c>
      <c r="C3843" s="2">
        <v>44862</v>
      </c>
      <c r="D3843" t="s">
        <v>5261</v>
      </c>
      <c r="E3843" t="s">
        <v>5761</v>
      </c>
      <c r="F3843" t="s">
        <v>6028</v>
      </c>
      <c r="G3843" t="s">
        <v>6029</v>
      </c>
      <c r="H3843" t="s">
        <v>6044</v>
      </c>
      <c r="I3843" t="s">
        <v>6050</v>
      </c>
      <c r="J3843" t="s">
        <v>6053</v>
      </c>
      <c r="K3843" t="s">
        <v>6056</v>
      </c>
      <c r="L3843" t="s">
        <v>9165</v>
      </c>
      <c r="M3843">
        <v>1829.21</v>
      </c>
      <c r="N3843">
        <v>3</v>
      </c>
      <c r="O3843">
        <v>0.27</v>
      </c>
      <c r="P3843">
        <v>-28.52</v>
      </c>
      <c r="Q3843" t="s">
        <v>9893</v>
      </c>
      <c r="R3843">
        <v>1</v>
      </c>
      <c r="S3843" s="5">
        <f t="shared" ref="S3843:S3906" si="120">P3843/M3843</f>
        <v>-1.5591430180241743E-2</v>
      </c>
      <c r="T3843">
        <v>609.73666666666668</v>
      </c>
      <c r="U3843">
        <v>10</v>
      </c>
      <c r="V3843">
        <v>2022</v>
      </c>
      <c r="W3843">
        <v>4</v>
      </c>
      <c r="X3843" t="s">
        <v>9898</v>
      </c>
      <c r="Y3843" t="s">
        <v>9900</v>
      </c>
      <c r="Z3843" t="s">
        <v>9898</v>
      </c>
      <c r="AD3843">
        <f t="shared" ref="AD3843:AD3906" si="121">C3843-B3843</f>
        <v>1</v>
      </c>
    </row>
    <row r="3844" spans="1:30" x14ac:dyDescent="0.25">
      <c r="A3844" t="s">
        <v>3868</v>
      </c>
      <c r="B3844" s="2">
        <v>44718</v>
      </c>
      <c r="C3844" s="2">
        <v>44722</v>
      </c>
      <c r="D3844" t="s">
        <v>5319</v>
      </c>
      <c r="E3844" t="s">
        <v>5819</v>
      </c>
      <c r="F3844" t="s">
        <v>6028</v>
      </c>
      <c r="G3844" t="s">
        <v>6031</v>
      </c>
      <c r="H3844" t="s">
        <v>6042</v>
      </c>
      <c r="I3844" t="s">
        <v>6048</v>
      </c>
      <c r="J3844" t="s">
        <v>6055</v>
      </c>
      <c r="K3844" t="s">
        <v>6063</v>
      </c>
      <c r="L3844" t="s">
        <v>9166</v>
      </c>
      <c r="M3844">
        <v>716.35</v>
      </c>
      <c r="N3844">
        <v>3</v>
      </c>
      <c r="O3844">
        <v>0.02</v>
      </c>
      <c r="P3844">
        <v>200.31</v>
      </c>
      <c r="Q3844" t="s">
        <v>9894</v>
      </c>
      <c r="R3844">
        <v>4</v>
      </c>
      <c r="S3844" s="5">
        <f t="shared" si="120"/>
        <v>0.27962588120332238</v>
      </c>
      <c r="T3844">
        <v>238.7833333333333</v>
      </c>
      <c r="U3844">
        <v>6</v>
      </c>
      <c r="V3844">
        <v>2022</v>
      </c>
      <c r="W3844">
        <v>2</v>
      </c>
      <c r="X3844" t="s">
        <v>9899</v>
      </c>
      <c r="Y3844" t="s">
        <v>9901</v>
      </c>
      <c r="Z3844" t="s">
        <v>9899</v>
      </c>
      <c r="AD3844">
        <f t="shared" si="121"/>
        <v>4</v>
      </c>
    </row>
    <row r="3845" spans="1:30" x14ac:dyDescent="0.25">
      <c r="A3845" t="s">
        <v>3869</v>
      </c>
      <c r="B3845" s="2">
        <v>45055</v>
      </c>
      <c r="C3845" s="2">
        <v>45058</v>
      </c>
      <c r="D3845" t="s">
        <v>5226</v>
      </c>
      <c r="E3845" t="s">
        <v>5726</v>
      </c>
      <c r="F3845" t="s">
        <v>6028</v>
      </c>
      <c r="G3845" t="s">
        <v>6030</v>
      </c>
      <c r="H3845" t="s">
        <v>6039</v>
      </c>
      <c r="I3845" t="s">
        <v>6047</v>
      </c>
      <c r="J3845" t="s">
        <v>6053</v>
      </c>
      <c r="K3845" t="s">
        <v>6056</v>
      </c>
      <c r="L3845" t="s">
        <v>7525</v>
      </c>
      <c r="M3845">
        <v>616.22</v>
      </c>
      <c r="N3845">
        <v>4</v>
      </c>
      <c r="O3845">
        <v>0.26</v>
      </c>
      <c r="P3845">
        <v>12.1</v>
      </c>
      <c r="Q3845" t="s">
        <v>9893</v>
      </c>
      <c r="R3845">
        <v>3</v>
      </c>
      <c r="S3845" s="5">
        <f t="shared" si="120"/>
        <v>1.9635844341306673E-2</v>
      </c>
      <c r="T3845">
        <v>154.05500000000001</v>
      </c>
      <c r="U3845">
        <v>5</v>
      </c>
      <c r="V3845">
        <v>2023</v>
      </c>
      <c r="W3845">
        <v>2</v>
      </c>
      <c r="X3845" t="s">
        <v>9899</v>
      </c>
      <c r="Y3845" t="s">
        <v>9900</v>
      </c>
      <c r="Z3845" t="s">
        <v>9899</v>
      </c>
      <c r="AD3845">
        <f t="shared" si="121"/>
        <v>3</v>
      </c>
    </row>
    <row r="3846" spans="1:30" x14ac:dyDescent="0.25">
      <c r="A3846" t="s">
        <v>3870</v>
      </c>
      <c r="B3846" s="2">
        <v>45348</v>
      </c>
      <c r="C3846" s="2">
        <v>45351</v>
      </c>
      <c r="D3846" t="s">
        <v>5126</v>
      </c>
      <c r="E3846" t="s">
        <v>5626</v>
      </c>
      <c r="F3846" t="s">
        <v>6028</v>
      </c>
      <c r="G3846" t="s">
        <v>6030</v>
      </c>
      <c r="H3846" t="s">
        <v>6039</v>
      </c>
      <c r="I3846" t="s">
        <v>6047</v>
      </c>
      <c r="J3846" t="s">
        <v>6053</v>
      </c>
      <c r="K3846" t="s">
        <v>6058</v>
      </c>
      <c r="L3846" t="s">
        <v>7225</v>
      </c>
      <c r="M3846">
        <v>882.61</v>
      </c>
      <c r="N3846">
        <v>2</v>
      </c>
      <c r="O3846">
        <v>0.34</v>
      </c>
      <c r="P3846">
        <v>-42.32</v>
      </c>
      <c r="Q3846" t="s">
        <v>9896</v>
      </c>
      <c r="R3846">
        <v>3</v>
      </c>
      <c r="S3846" s="5">
        <f t="shared" si="120"/>
        <v>-4.7948697612762145E-2</v>
      </c>
      <c r="T3846">
        <v>441.30500000000001</v>
      </c>
      <c r="U3846">
        <v>2</v>
      </c>
      <c r="V3846">
        <v>2024</v>
      </c>
      <c r="W3846">
        <v>1</v>
      </c>
      <c r="X3846" t="s">
        <v>9898</v>
      </c>
      <c r="Y3846" t="s">
        <v>9902</v>
      </c>
      <c r="Z3846" t="s">
        <v>9899</v>
      </c>
      <c r="AD3846">
        <f t="shared" si="121"/>
        <v>3</v>
      </c>
    </row>
    <row r="3847" spans="1:30" x14ac:dyDescent="0.25">
      <c r="A3847" t="s">
        <v>3871</v>
      </c>
      <c r="B3847" s="2">
        <v>45091</v>
      </c>
      <c r="C3847" s="2">
        <v>45096</v>
      </c>
      <c r="D3847" t="s">
        <v>5154</v>
      </c>
      <c r="E3847" t="s">
        <v>5654</v>
      </c>
      <c r="F3847" t="s">
        <v>6027</v>
      </c>
      <c r="G3847" t="s">
        <v>6029</v>
      </c>
      <c r="H3847" t="s">
        <v>6044</v>
      </c>
      <c r="I3847" t="s">
        <v>6046</v>
      </c>
      <c r="J3847" t="s">
        <v>6055</v>
      </c>
      <c r="K3847" t="s">
        <v>6064</v>
      </c>
      <c r="L3847" t="s">
        <v>9167</v>
      </c>
      <c r="M3847">
        <v>678.58</v>
      </c>
      <c r="N3847">
        <v>5</v>
      </c>
      <c r="O3847">
        <v>0.05</v>
      </c>
      <c r="P3847">
        <v>155.27000000000001</v>
      </c>
      <c r="Q3847" t="s">
        <v>9897</v>
      </c>
      <c r="R3847">
        <v>5</v>
      </c>
      <c r="S3847" s="5">
        <f t="shared" si="120"/>
        <v>0.22881605706033187</v>
      </c>
      <c r="T3847">
        <v>135.71600000000001</v>
      </c>
      <c r="U3847">
        <v>6</v>
      </c>
      <c r="V3847">
        <v>2023</v>
      </c>
      <c r="W3847">
        <v>2</v>
      </c>
      <c r="X3847" t="s">
        <v>9899</v>
      </c>
      <c r="Y3847" t="s">
        <v>9901</v>
      </c>
      <c r="Z3847" t="s">
        <v>9899</v>
      </c>
      <c r="AD3847">
        <f t="shared" si="121"/>
        <v>5</v>
      </c>
    </row>
    <row r="3848" spans="1:30" x14ac:dyDescent="0.25">
      <c r="A3848" t="s">
        <v>3872</v>
      </c>
      <c r="B3848" s="2">
        <v>45009</v>
      </c>
      <c r="C3848" s="2">
        <v>45012</v>
      </c>
      <c r="D3848" t="s">
        <v>5029</v>
      </c>
      <c r="E3848" t="s">
        <v>5529</v>
      </c>
      <c r="F3848" t="s">
        <v>6027</v>
      </c>
      <c r="G3848" t="s">
        <v>6031</v>
      </c>
      <c r="H3848" t="s">
        <v>6042</v>
      </c>
      <c r="I3848" t="s">
        <v>6052</v>
      </c>
      <c r="J3848" t="s">
        <v>6055</v>
      </c>
      <c r="K3848" t="s">
        <v>6063</v>
      </c>
      <c r="L3848" t="s">
        <v>9168</v>
      </c>
      <c r="M3848">
        <v>286.81</v>
      </c>
      <c r="N3848">
        <v>1</v>
      </c>
      <c r="O3848">
        <v>0.06</v>
      </c>
      <c r="P3848">
        <v>53.47</v>
      </c>
      <c r="Q3848" t="s">
        <v>9896</v>
      </c>
      <c r="R3848">
        <v>3</v>
      </c>
      <c r="S3848" s="5">
        <f t="shared" si="120"/>
        <v>0.18643004079355671</v>
      </c>
      <c r="T3848">
        <v>286.81</v>
      </c>
      <c r="U3848">
        <v>3</v>
      </c>
      <c r="V3848">
        <v>2023</v>
      </c>
      <c r="W3848">
        <v>1</v>
      </c>
      <c r="X3848" t="s">
        <v>9899</v>
      </c>
      <c r="Y3848" t="s">
        <v>9901</v>
      </c>
      <c r="Z3848" t="s">
        <v>9899</v>
      </c>
      <c r="AD3848">
        <f t="shared" si="121"/>
        <v>3</v>
      </c>
    </row>
    <row r="3849" spans="1:30" x14ac:dyDescent="0.25">
      <c r="A3849" t="s">
        <v>3873</v>
      </c>
      <c r="B3849" s="2">
        <v>45100</v>
      </c>
      <c r="C3849" s="2">
        <v>45105</v>
      </c>
      <c r="D3849" t="s">
        <v>5232</v>
      </c>
      <c r="E3849" t="s">
        <v>5732</v>
      </c>
      <c r="F3849" t="s">
        <v>6028</v>
      </c>
      <c r="G3849" t="s">
        <v>6029</v>
      </c>
      <c r="H3849" t="s">
        <v>6041</v>
      </c>
      <c r="I3849" t="s">
        <v>6049</v>
      </c>
      <c r="J3849" t="s">
        <v>6055</v>
      </c>
      <c r="K3849" t="s">
        <v>6063</v>
      </c>
      <c r="L3849" t="s">
        <v>9169</v>
      </c>
      <c r="M3849">
        <v>642.32000000000005</v>
      </c>
      <c r="N3849">
        <v>3</v>
      </c>
      <c r="O3849">
        <v>0.18</v>
      </c>
      <c r="P3849">
        <v>-36.65</v>
      </c>
      <c r="Q3849" t="s">
        <v>9895</v>
      </c>
      <c r="R3849">
        <v>5</v>
      </c>
      <c r="S3849" s="5">
        <f t="shared" si="120"/>
        <v>-5.705878689749657E-2</v>
      </c>
      <c r="T3849">
        <v>214.10666666666671</v>
      </c>
      <c r="U3849">
        <v>6</v>
      </c>
      <c r="V3849">
        <v>2023</v>
      </c>
      <c r="W3849">
        <v>2</v>
      </c>
      <c r="X3849" t="s">
        <v>9898</v>
      </c>
      <c r="Y3849" t="s">
        <v>9900</v>
      </c>
      <c r="Z3849" t="s">
        <v>9899</v>
      </c>
      <c r="AD3849">
        <f t="shared" si="121"/>
        <v>5</v>
      </c>
    </row>
    <row r="3850" spans="1:30" x14ac:dyDescent="0.25">
      <c r="A3850" t="s">
        <v>3874</v>
      </c>
      <c r="B3850" s="2">
        <v>45392</v>
      </c>
      <c r="C3850" s="2">
        <v>45396</v>
      </c>
      <c r="D3850" t="s">
        <v>5373</v>
      </c>
      <c r="E3850" t="s">
        <v>5873</v>
      </c>
      <c r="F3850" t="s">
        <v>6027</v>
      </c>
      <c r="G3850" t="s">
        <v>6031</v>
      </c>
      <c r="H3850" t="s">
        <v>6042</v>
      </c>
      <c r="I3850" t="s">
        <v>6052</v>
      </c>
      <c r="J3850" t="s">
        <v>6054</v>
      </c>
      <c r="K3850" t="s">
        <v>6062</v>
      </c>
      <c r="L3850" t="s">
        <v>9170</v>
      </c>
      <c r="M3850">
        <v>767.93</v>
      </c>
      <c r="N3850">
        <v>1</v>
      </c>
      <c r="O3850">
        <v>0.28999999999999998</v>
      </c>
      <c r="P3850">
        <v>-129.63</v>
      </c>
      <c r="Q3850" t="s">
        <v>9893</v>
      </c>
      <c r="R3850">
        <v>4</v>
      </c>
      <c r="S3850" s="5">
        <f t="shared" si="120"/>
        <v>-0.16880444832211269</v>
      </c>
      <c r="T3850">
        <v>767.93</v>
      </c>
      <c r="U3850">
        <v>4</v>
      </c>
      <c r="V3850">
        <v>2024</v>
      </c>
      <c r="W3850">
        <v>2</v>
      </c>
      <c r="X3850" t="s">
        <v>9898</v>
      </c>
      <c r="Y3850" t="s">
        <v>9900</v>
      </c>
      <c r="Z3850" t="s">
        <v>9899</v>
      </c>
      <c r="AD3850">
        <f t="shared" si="121"/>
        <v>4</v>
      </c>
    </row>
    <row r="3851" spans="1:30" x14ac:dyDescent="0.25">
      <c r="A3851" t="s">
        <v>3875</v>
      </c>
      <c r="B3851" s="2">
        <v>44669</v>
      </c>
      <c r="C3851" s="2">
        <v>44673</v>
      </c>
      <c r="D3851" t="s">
        <v>5359</v>
      </c>
      <c r="E3851" t="s">
        <v>5859</v>
      </c>
      <c r="F3851" t="s">
        <v>6028</v>
      </c>
      <c r="G3851" t="s">
        <v>6031</v>
      </c>
      <c r="H3851" t="s">
        <v>6042</v>
      </c>
      <c r="I3851" t="s">
        <v>6050</v>
      </c>
      <c r="J3851" t="s">
        <v>6053</v>
      </c>
      <c r="K3851" t="s">
        <v>6057</v>
      </c>
      <c r="L3851" t="s">
        <v>6564</v>
      </c>
      <c r="M3851">
        <v>287.93</v>
      </c>
      <c r="N3851">
        <v>7</v>
      </c>
      <c r="O3851">
        <v>0.15</v>
      </c>
      <c r="P3851">
        <v>-10.93</v>
      </c>
      <c r="Q3851" t="s">
        <v>9895</v>
      </c>
      <c r="R3851">
        <v>4</v>
      </c>
      <c r="S3851" s="5">
        <f t="shared" si="120"/>
        <v>-3.7960615427360817E-2</v>
      </c>
      <c r="T3851">
        <v>41.132857142857141</v>
      </c>
      <c r="U3851">
        <v>4</v>
      </c>
      <c r="V3851">
        <v>2022</v>
      </c>
      <c r="W3851">
        <v>2</v>
      </c>
      <c r="X3851" t="s">
        <v>9898</v>
      </c>
      <c r="Y3851" t="s">
        <v>9901</v>
      </c>
      <c r="Z3851" t="s">
        <v>9899</v>
      </c>
      <c r="AD3851">
        <f t="shared" si="121"/>
        <v>4</v>
      </c>
    </row>
    <row r="3852" spans="1:30" x14ac:dyDescent="0.25">
      <c r="A3852" t="s">
        <v>3876</v>
      </c>
      <c r="B3852" s="2">
        <v>44761</v>
      </c>
      <c r="C3852" s="2">
        <v>44766</v>
      </c>
      <c r="D3852" t="s">
        <v>5484</v>
      </c>
      <c r="E3852" t="s">
        <v>5984</v>
      </c>
      <c r="F3852" t="s">
        <v>6027</v>
      </c>
      <c r="G3852" t="s">
        <v>6029</v>
      </c>
      <c r="H3852" t="s">
        <v>6036</v>
      </c>
      <c r="I3852" t="s">
        <v>6049</v>
      </c>
      <c r="J3852" t="s">
        <v>6054</v>
      </c>
      <c r="K3852" t="s">
        <v>6062</v>
      </c>
      <c r="L3852" t="s">
        <v>9171</v>
      </c>
      <c r="M3852">
        <v>728.34</v>
      </c>
      <c r="N3852">
        <v>5</v>
      </c>
      <c r="O3852">
        <v>0.12</v>
      </c>
      <c r="P3852">
        <v>40.99</v>
      </c>
      <c r="Q3852" t="s">
        <v>9896</v>
      </c>
      <c r="R3852">
        <v>5</v>
      </c>
      <c r="S3852" s="5">
        <f t="shared" si="120"/>
        <v>5.6278661064887277E-2</v>
      </c>
      <c r="T3852">
        <v>145.66800000000001</v>
      </c>
      <c r="U3852">
        <v>7</v>
      </c>
      <c r="V3852">
        <v>2022</v>
      </c>
      <c r="W3852">
        <v>3</v>
      </c>
      <c r="X3852" t="s">
        <v>9899</v>
      </c>
      <c r="Y3852" t="s">
        <v>9901</v>
      </c>
      <c r="Z3852" t="s">
        <v>9899</v>
      </c>
      <c r="AD3852">
        <f t="shared" si="121"/>
        <v>5</v>
      </c>
    </row>
    <row r="3853" spans="1:30" x14ac:dyDescent="0.25">
      <c r="A3853" t="s">
        <v>3877</v>
      </c>
      <c r="B3853" s="2">
        <v>45200</v>
      </c>
      <c r="C3853" s="2">
        <v>45205</v>
      </c>
      <c r="D3853" t="s">
        <v>5343</v>
      </c>
      <c r="E3853" t="s">
        <v>5843</v>
      </c>
      <c r="F3853" t="s">
        <v>6026</v>
      </c>
      <c r="G3853" t="s">
        <v>6029</v>
      </c>
      <c r="H3853" t="s">
        <v>6032</v>
      </c>
      <c r="I3853" t="s">
        <v>6046</v>
      </c>
      <c r="J3853" t="s">
        <v>6053</v>
      </c>
      <c r="K3853" t="s">
        <v>6057</v>
      </c>
      <c r="L3853" t="s">
        <v>9172</v>
      </c>
      <c r="M3853">
        <v>1370.37</v>
      </c>
      <c r="N3853">
        <v>5</v>
      </c>
      <c r="O3853">
        <v>0.31</v>
      </c>
      <c r="P3853">
        <v>-104.03</v>
      </c>
      <c r="Q3853" t="s">
        <v>9897</v>
      </c>
      <c r="R3853">
        <v>5</v>
      </c>
      <c r="S3853" s="5">
        <f t="shared" si="120"/>
        <v>-7.591380430102819E-2</v>
      </c>
      <c r="T3853">
        <v>274.07400000000001</v>
      </c>
      <c r="U3853">
        <v>10</v>
      </c>
      <c r="V3853">
        <v>2023</v>
      </c>
      <c r="W3853">
        <v>4</v>
      </c>
      <c r="X3853" t="s">
        <v>9898</v>
      </c>
      <c r="Y3853" t="s">
        <v>9902</v>
      </c>
      <c r="Z3853" t="s">
        <v>9898</v>
      </c>
      <c r="AD3853">
        <f t="shared" si="121"/>
        <v>5</v>
      </c>
    </row>
    <row r="3854" spans="1:30" x14ac:dyDescent="0.25">
      <c r="A3854" t="s">
        <v>3878</v>
      </c>
      <c r="B3854" s="2">
        <v>45094</v>
      </c>
      <c r="C3854" s="2">
        <v>45096</v>
      </c>
      <c r="D3854" t="s">
        <v>5178</v>
      </c>
      <c r="E3854" t="s">
        <v>5678</v>
      </c>
      <c r="F3854" t="s">
        <v>6028</v>
      </c>
      <c r="G3854" t="s">
        <v>6031</v>
      </c>
      <c r="H3854" t="s">
        <v>6042</v>
      </c>
      <c r="I3854" t="s">
        <v>6048</v>
      </c>
      <c r="J3854" t="s">
        <v>6053</v>
      </c>
      <c r="K3854" t="s">
        <v>6058</v>
      </c>
      <c r="L3854" t="s">
        <v>9173</v>
      </c>
      <c r="M3854">
        <v>1151.1300000000001</v>
      </c>
      <c r="N3854">
        <v>2</v>
      </c>
      <c r="O3854">
        <v>0.18</v>
      </c>
      <c r="P3854">
        <v>22.45</v>
      </c>
      <c r="Q3854" t="s">
        <v>9894</v>
      </c>
      <c r="R3854">
        <v>2</v>
      </c>
      <c r="S3854" s="5">
        <f t="shared" si="120"/>
        <v>1.950257572993493E-2</v>
      </c>
      <c r="T3854">
        <v>575.56500000000005</v>
      </c>
      <c r="U3854">
        <v>6</v>
      </c>
      <c r="V3854">
        <v>2023</v>
      </c>
      <c r="W3854">
        <v>2</v>
      </c>
      <c r="X3854" t="s">
        <v>9899</v>
      </c>
      <c r="Y3854" t="s">
        <v>9900</v>
      </c>
      <c r="Z3854" t="s">
        <v>9898</v>
      </c>
      <c r="AD3854">
        <f t="shared" si="121"/>
        <v>2</v>
      </c>
    </row>
    <row r="3855" spans="1:30" x14ac:dyDescent="0.25">
      <c r="A3855" t="s">
        <v>3879</v>
      </c>
      <c r="B3855" s="2">
        <v>45098</v>
      </c>
      <c r="C3855" s="2">
        <v>45103</v>
      </c>
      <c r="D3855" t="s">
        <v>5179</v>
      </c>
      <c r="E3855" t="s">
        <v>5679</v>
      </c>
      <c r="F3855" t="s">
        <v>6028</v>
      </c>
      <c r="G3855" t="s">
        <v>6029</v>
      </c>
      <c r="H3855" t="s">
        <v>6036</v>
      </c>
      <c r="I3855" t="s">
        <v>6049</v>
      </c>
      <c r="J3855" t="s">
        <v>6054</v>
      </c>
      <c r="K3855" t="s">
        <v>6059</v>
      </c>
      <c r="L3855" t="s">
        <v>9174</v>
      </c>
      <c r="M3855">
        <v>1173.75</v>
      </c>
      <c r="N3855">
        <v>5</v>
      </c>
      <c r="O3855">
        <v>0.21</v>
      </c>
      <c r="P3855">
        <v>-106.36</v>
      </c>
      <c r="Q3855" t="s">
        <v>9894</v>
      </c>
      <c r="R3855">
        <v>5</v>
      </c>
      <c r="S3855" s="5">
        <f t="shared" si="120"/>
        <v>-9.0615548455804051E-2</v>
      </c>
      <c r="T3855">
        <v>234.75</v>
      </c>
      <c r="U3855">
        <v>6</v>
      </c>
      <c r="V3855">
        <v>2023</v>
      </c>
      <c r="W3855">
        <v>2</v>
      </c>
      <c r="X3855" t="s">
        <v>9898</v>
      </c>
      <c r="Y3855" t="s">
        <v>9900</v>
      </c>
      <c r="Z3855" t="s">
        <v>9898</v>
      </c>
      <c r="AD3855">
        <f t="shared" si="121"/>
        <v>5</v>
      </c>
    </row>
    <row r="3856" spans="1:30" x14ac:dyDescent="0.25">
      <c r="A3856" t="s">
        <v>3880</v>
      </c>
      <c r="B3856" s="2">
        <v>45300</v>
      </c>
      <c r="C3856" s="2">
        <v>45307</v>
      </c>
      <c r="D3856" t="s">
        <v>5105</v>
      </c>
      <c r="E3856" t="s">
        <v>5605</v>
      </c>
      <c r="F3856" t="s">
        <v>6028</v>
      </c>
      <c r="G3856" t="s">
        <v>6029</v>
      </c>
      <c r="H3856" t="s">
        <v>6045</v>
      </c>
      <c r="I3856" t="s">
        <v>6046</v>
      </c>
      <c r="J3856" t="s">
        <v>6054</v>
      </c>
      <c r="K3856" t="s">
        <v>6059</v>
      </c>
      <c r="L3856" t="s">
        <v>8053</v>
      </c>
      <c r="M3856">
        <v>448.84</v>
      </c>
      <c r="N3856">
        <v>5</v>
      </c>
      <c r="O3856">
        <v>0.19</v>
      </c>
      <c r="P3856">
        <v>7.96</v>
      </c>
      <c r="Q3856" t="s">
        <v>9896</v>
      </c>
      <c r="R3856">
        <v>7</v>
      </c>
      <c r="S3856" s="5">
        <f t="shared" si="120"/>
        <v>1.7734604758934142E-2</v>
      </c>
      <c r="T3856">
        <v>89.768000000000001</v>
      </c>
      <c r="U3856">
        <v>1</v>
      </c>
      <c r="V3856">
        <v>2024</v>
      </c>
      <c r="W3856">
        <v>1</v>
      </c>
      <c r="X3856" t="s">
        <v>9899</v>
      </c>
      <c r="Y3856" t="s">
        <v>9900</v>
      </c>
      <c r="Z3856" t="s">
        <v>9899</v>
      </c>
      <c r="AD3856">
        <f t="shared" si="121"/>
        <v>7</v>
      </c>
    </row>
    <row r="3857" spans="1:30" x14ac:dyDescent="0.25">
      <c r="A3857" t="s">
        <v>3881</v>
      </c>
      <c r="B3857" s="2">
        <v>45346</v>
      </c>
      <c r="C3857" s="2">
        <v>45347</v>
      </c>
      <c r="D3857" t="s">
        <v>5299</v>
      </c>
      <c r="E3857" t="s">
        <v>5799</v>
      </c>
      <c r="F3857" t="s">
        <v>6028</v>
      </c>
      <c r="G3857" t="s">
        <v>6029</v>
      </c>
      <c r="H3857" t="s">
        <v>6036</v>
      </c>
      <c r="I3857" t="s">
        <v>6046</v>
      </c>
      <c r="J3857" t="s">
        <v>6053</v>
      </c>
      <c r="K3857" t="s">
        <v>6058</v>
      </c>
      <c r="L3857" t="s">
        <v>8725</v>
      </c>
      <c r="M3857">
        <v>369.69</v>
      </c>
      <c r="N3857">
        <v>1</v>
      </c>
      <c r="O3857">
        <v>0.18</v>
      </c>
      <c r="P3857">
        <v>0.3</v>
      </c>
      <c r="Q3857" t="s">
        <v>9894</v>
      </c>
      <c r="R3857">
        <v>1</v>
      </c>
      <c r="S3857" s="5">
        <f t="shared" si="120"/>
        <v>8.1149070843138842E-4</v>
      </c>
      <c r="T3857">
        <v>369.69</v>
      </c>
      <c r="U3857">
        <v>2</v>
      </c>
      <c r="V3857">
        <v>2024</v>
      </c>
      <c r="W3857">
        <v>1</v>
      </c>
      <c r="X3857" t="s">
        <v>9899</v>
      </c>
      <c r="Y3857" t="s">
        <v>9900</v>
      </c>
      <c r="Z3857" t="s">
        <v>9899</v>
      </c>
      <c r="AD3857">
        <f t="shared" si="121"/>
        <v>1</v>
      </c>
    </row>
    <row r="3858" spans="1:30" x14ac:dyDescent="0.25">
      <c r="A3858" t="s">
        <v>3882</v>
      </c>
      <c r="B3858" s="2">
        <v>45401</v>
      </c>
      <c r="C3858" s="2">
        <v>45406</v>
      </c>
      <c r="D3858" t="s">
        <v>5038</v>
      </c>
      <c r="E3858" t="s">
        <v>5538</v>
      </c>
      <c r="F3858" t="s">
        <v>6026</v>
      </c>
      <c r="G3858" t="s">
        <v>6029</v>
      </c>
      <c r="H3858" t="s">
        <v>6036</v>
      </c>
      <c r="I3858" t="s">
        <v>6050</v>
      </c>
      <c r="J3858" t="s">
        <v>6053</v>
      </c>
      <c r="K3858" t="s">
        <v>6057</v>
      </c>
      <c r="L3858" t="s">
        <v>9175</v>
      </c>
      <c r="M3858">
        <v>444.23</v>
      </c>
      <c r="N3858">
        <v>4</v>
      </c>
      <c r="O3858">
        <v>0</v>
      </c>
      <c r="P3858">
        <v>114.65</v>
      </c>
      <c r="Q3858" t="s">
        <v>9896</v>
      </c>
      <c r="R3858">
        <v>5</v>
      </c>
      <c r="S3858" s="5">
        <f t="shared" si="120"/>
        <v>0.25808702699052294</v>
      </c>
      <c r="T3858">
        <v>111.0575</v>
      </c>
      <c r="U3858">
        <v>4</v>
      </c>
      <c r="V3858">
        <v>2024</v>
      </c>
      <c r="W3858">
        <v>2</v>
      </c>
      <c r="X3858" t="s">
        <v>9899</v>
      </c>
      <c r="Y3858" t="s">
        <v>9901</v>
      </c>
      <c r="Z3858" t="s">
        <v>9899</v>
      </c>
      <c r="AD3858">
        <f t="shared" si="121"/>
        <v>5</v>
      </c>
    </row>
    <row r="3859" spans="1:30" x14ac:dyDescent="0.25">
      <c r="A3859" t="s">
        <v>3883</v>
      </c>
      <c r="B3859" s="2">
        <v>44938</v>
      </c>
      <c r="C3859" s="2">
        <v>44941</v>
      </c>
      <c r="D3859" t="s">
        <v>5080</v>
      </c>
      <c r="E3859" t="s">
        <v>5580</v>
      </c>
      <c r="F3859" t="s">
        <v>6026</v>
      </c>
      <c r="G3859" t="s">
        <v>6031</v>
      </c>
      <c r="H3859" t="s">
        <v>6043</v>
      </c>
      <c r="I3859" t="s">
        <v>6050</v>
      </c>
      <c r="J3859" t="s">
        <v>6054</v>
      </c>
      <c r="K3859" t="s">
        <v>6060</v>
      </c>
      <c r="L3859" t="s">
        <v>9176</v>
      </c>
      <c r="M3859">
        <v>1678.81</v>
      </c>
      <c r="N3859">
        <v>4</v>
      </c>
      <c r="O3859">
        <v>0.28999999999999998</v>
      </c>
      <c r="P3859">
        <v>-73.02</v>
      </c>
      <c r="Q3859" t="s">
        <v>9894</v>
      </c>
      <c r="R3859">
        <v>3</v>
      </c>
      <c r="S3859" s="5">
        <f t="shared" si="120"/>
        <v>-4.3495094739726355E-2</v>
      </c>
      <c r="T3859">
        <v>419.70249999999999</v>
      </c>
      <c r="U3859">
        <v>1</v>
      </c>
      <c r="V3859">
        <v>2023</v>
      </c>
      <c r="W3859">
        <v>1</v>
      </c>
      <c r="X3859" t="s">
        <v>9898</v>
      </c>
      <c r="Y3859" t="s">
        <v>9900</v>
      </c>
      <c r="Z3859" t="s">
        <v>9898</v>
      </c>
      <c r="AD3859">
        <f t="shared" si="121"/>
        <v>3</v>
      </c>
    </row>
    <row r="3860" spans="1:30" x14ac:dyDescent="0.25">
      <c r="A3860" t="s">
        <v>3884</v>
      </c>
      <c r="B3860" s="2">
        <v>44620</v>
      </c>
      <c r="C3860" s="2">
        <v>44627</v>
      </c>
      <c r="D3860" t="s">
        <v>5263</v>
      </c>
      <c r="E3860" t="s">
        <v>5763</v>
      </c>
      <c r="F3860" t="s">
        <v>6027</v>
      </c>
      <c r="G3860" t="s">
        <v>6031</v>
      </c>
      <c r="H3860" t="s">
        <v>6034</v>
      </c>
      <c r="I3860" t="s">
        <v>6052</v>
      </c>
      <c r="J3860" t="s">
        <v>6055</v>
      </c>
      <c r="K3860" t="s">
        <v>6061</v>
      </c>
      <c r="L3860" t="s">
        <v>9177</v>
      </c>
      <c r="M3860">
        <v>1700.22</v>
      </c>
      <c r="N3860">
        <v>6</v>
      </c>
      <c r="O3860">
        <v>0.34</v>
      </c>
      <c r="P3860">
        <v>-311.39</v>
      </c>
      <c r="Q3860" t="s">
        <v>9895</v>
      </c>
      <c r="R3860">
        <v>7</v>
      </c>
      <c r="S3860" s="5">
        <f t="shared" si="120"/>
        <v>-0.18314688687346342</v>
      </c>
      <c r="T3860">
        <v>283.37</v>
      </c>
      <c r="U3860">
        <v>2</v>
      </c>
      <c r="V3860">
        <v>2022</v>
      </c>
      <c r="W3860">
        <v>1</v>
      </c>
      <c r="X3860" t="s">
        <v>9898</v>
      </c>
      <c r="Y3860" t="s">
        <v>9902</v>
      </c>
      <c r="Z3860" t="s">
        <v>9898</v>
      </c>
      <c r="AD3860">
        <f t="shared" si="121"/>
        <v>7</v>
      </c>
    </row>
    <row r="3861" spans="1:30" x14ac:dyDescent="0.25">
      <c r="A3861" t="s">
        <v>3885</v>
      </c>
      <c r="B3861" s="2">
        <v>44960</v>
      </c>
      <c r="C3861" s="2">
        <v>44961</v>
      </c>
      <c r="D3861" t="s">
        <v>5429</v>
      </c>
      <c r="E3861" t="s">
        <v>5929</v>
      </c>
      <c r="F3861" t="s">
        <v>6026</v>
      </c>
      <c r="G3861" t="s">
        <v>6031</v>
      </c>
      <c r="H3861" t="s">
        <v>6043</v>
      </c>
      <c r="I3861" t="s">
        <v>6050</v>
      </c>
      <c r="J3861" t="s">
        <v>6053</v>
      </c>
      <c r="K3861" t="s">
        <v>6056</v>
      </c>
      <c r="L3861" t="s">
        <v>7097</v>
      </c>
      <c r="M3861">
        <v>643.64</v>
      </c>
      <c r="N3861">
        <v>2</v>
      </c>
      <c r="O3861">
        <v>0.14000000000000001</v>
      </c>
      <c r="P3861">
        <v>87.84</v>
      </c>
      <c r="Q3861" t="s">
        <v>9895</v>
      </c>
      <c r="R3861">
        <v>1</v>
      </c>
      <c r="S3861" s="5">
        <f t="shared" si="120"/>
        <v>0.1364738052327388</v>
      </c>
      <c r="T3861">
        <v>321.82</v>
      </c>
      <c r="U3861">
        <v>2</v>
      </c>
      <c r="V3861">
        <v>2023</v>
      </c>
      <c r="W3861">
        <v>1</v>
      </c>
      <c r="X3861" t="s">
        <v>9899</v>
      </c>
      <c r="Y3861" t="s">
        <v>9901</v>
      </c>
      <c r="Z3861" t="s">
        <v>9899</v>
      </c>
      <c r="AD3861">
        <f t="shared" si="121"/>
        <v>1</v>
      </c>
    </row>
    <row r="3862" spans="1:30" x14ac:dyDescent="0.25">
      <c r="A3862" t="s">
        <v>3886</v>
      </c>
      <c r="B3862" s="2">
        <v>45355</v>
      </c>
      <c r="C3862" s="2">
        <v>45360</v>
      </c>
      <c r="D3862" t="s">
        <v>5168</v>
      </c>
      <c r="E3862" t="s">
        <v>5668</v>
      </c>
      <c r="F3862" t="s">
        <v>6028</v>
      </c>
      <c r="G3862" t="s">
        <v>6031</v>
      </c>
      <c r="H3862" t="s">
        <v>6034</v>
      </c>
      <c r="I3862" t="s">
        <v>6050</v>
      </c>
      <c r="J3862" t="s">
        <v>6054</v>
      </c>
      <c r="K3862" t="s">
        <v>6059</v>
      </c>
      <c r="L3862" t="s">
        <v>6915</v>
      </c>
      <c r="M3862">
        <v>1875.6</v>
      </c>
      <c r="N3862">
        <v>4</v>
      </c>
      <c r="O3862">
        <v>0.22</v>
      </c>
      <c r="P3862">
        <v>-149.47999999999999</v>
      </c>
      <c r="Q3862" t="s">
        <v>9895</v>
      </c>
      <c r="R3862">
        <v>5</v>
      </c>
      <c r="S3862" s="5">
        <f t="shared" si="120"/>
        <v>-7.9697163574322882E-2</v>
      </c>
      <c r="T3862">
        <v>468.9</v>
      </c>
      <c r="U3862">
        <v>3</v>
      </c>
      <c r="V3862">
        <v>2024</v>
      </c>
      <c r="W3862">
        <v>1</v>
      </c>
      <c r="X3862" t="s">
        <v>9898</v>
      </c>
      <c r="Y3862" t="s">
        <v>9900</v>
      </c>
      <c r="Z3862" t="s">
        <v>9898</v>
      </c>
      <c r="AD3862">
        <f t="shared" si="121"/>
        <v>5</v>
      </c>
    </row>
    <row r="3863" spans="1:30" x14ac:dyDescent="0.25">
      <c r="A3863" t="s">
        <v>3887</v>
      </c>
      <c r="B3863" s="2">
        <v>44751</v>
      </c>
      <c r="C3863" s="2">
        <v>44753</v>
      </c>
      <c r="D3863" t="s">
        <v>5448</v>
      </c>
      <c r="E3863" t="s">
        <v>5948</v>
      </c>
      <c r="F3863" t="s">
        <v>6027</v>
      </c>
      <c r="G3863" t="s">
        <v>6029</v>
      </c>
      <c r="H3863" t="s">
        <v>6044</v>
      </c>
      <c r="I3863" t="s">
        <v>6049</v>
      </c>
      <c r="J3863" t="s">
        <v>6054</v>
      </c>
      <c r="K3863" t="s">
        <v>6060</v>
      </c>
      <c r="L3863" t="s">
        <v>7687</v>
      </c>
      <c r="M3863">
        <v>311.04000000000002</v>
      </c>
      <c r="N3863">
        <v>4</v>
      </c>
      <c r="O3863">
        <v>0.13</v>
      </c>
      <c r="P3863">
        <v>2.46</v>
      </c>
      <c r="Q3863" t="s">
        <v>9896</v>
      </c>
      <c r="R3863">
        <v>2</v>
      </c>
      <c r="S3863" s="5">
        <f t="shared" si="120"/>
        <v>7.9089506172839493E-3</v>
      </c>
      <c r="T3863">
        <v>77.760000000000005</v>
      </c>
      <c r="U3863">
        <v>7</v>
      </c>
      <c r="V3863">
        <v>2022</v>
      </c>
      <c r="W3863">
        <v>3</v>
      </c>
      <c r="X3863" t="s">
        <v>9899</v>
      </c>
      <c r="Y3863" t="s">
        <v>9901</v>
      </c>
      <c r="Z3863" t="s">
        <v>9899</v>
      </c>
      <c r="AD3863">
        <f t="shared" si="121"/>
        <v>2</v>
      </c>
    </row>
    <row r="3864" spans="1:30" x14ac:dyDescent="0.25">
      <c r="A3864" t="s">
        <v>3888</v>
      </c>
      <c r="B3864" s="2">
        <v>44767</v>
      </c>
      <c r="C3864" s="2">
        <v>44770</v>
      </c>
      <c r="D3864" t="s">
        <v>5225</v>
      </c>
      <c r="E3864" t="s">
        <v>5725</v>
      </c>
      <c r="F3864" t="s">
        <v>6027</v>
      </c>
      <c r="G3864" t="s">
        <v>6029</v>
      </c>
      <c r="H3864" t="s">
        <v>6032</v>
      </c>
      <c r="I3864" t="s">
        <v>6050</v>
      </c>
      <c r="J3864" t="s">
        <v>6054</v>
      </c>
      <c r="K3864" t="s">
        <v>6060</v>
      </c>
      <c r="L3864" t="s">
        <v>9178</v>
      </c>
      <c r="M3864">
        <v>144.62</v>
      </c>
      <c r="N3864">
        <v>6</v>
      </c>
      <c r="O3864">
        <v>0.13</v>
      </c>
      <c r="P3864">
        <v>16.190000000000001</v>
      </c>
      <c r="Q3864" t="s">
        <v>9896</v>
      </c>
      <c r="R3864">
        <v>3</v>
      </c>
      <c r="S3864" s="5">
        <f t="shared" si="120"/>
        <v>0.11194855483335639</v>
      </c>
      <c r="T3864">
        <v>24.103333333333339</v>
      </c>
      <c r="U3864">
        <v>7</v>
      </c>
      <c r="V3864">
        <v>2022</v>
      </c>
      <c r="W3864">
        <v>3</v>
      </c>
      <c r="X3864" t="s">
        <v>9899</v>
      </c>
      <c r="Y3864" t="s">
        <v>9901</v>
      </c>
      <c r="Z3864" t="s">
        <v>9899</v>
      </c>
      <c r="AD3864">
        <f t="shared" si="121"/>
        <v>3</v>
      </c>
    </row>
    <row r="3865" spans="1:30" x14ac:dyDescent="0.25">
      <c r="A3865" t="s">
        <v>3889</v>
      </c>
      <c r="B3865" s="2">
        <v>44775</v>
      </c>
      <c r="C3865" s="2">
        <v>44782</v>
      </c>
      <c r="D3865" t="s">
        <v>5228</v>
      </c>
      <c r="E3865" t="s">
        <v>5728</v>
      </c>
      <c r="F3865" t="s">
        <v>6028</v>
      </c>
      <c r="G3865" t="s">
        <v>6030</v>
      </c>
      <c r="H3865" t="s">
        <v>6035</v>
      </c>
      <c r="I3865" t="s">
        <v>6051</v>
      </c>
      <c r="J3865" t="s">
        <v>6055</v>
      </c>
      <c r="K3865" t="s">
        <v>6064</v>
      </c>
      <c r="L3865" t="s">
        <v>9179</v>
      </c>
      <c r="M3865">
        <v>1758.87</v>
      </c>
      <c r="N3865">
        <v>7</v>
      </c>
      <c r="O3865">
        <v>0.05</v>
      </c>
      <c r="P3865">
        <v>392.81</v>
      </c>
      <c r="Q3865" t="s">
        <v>9893</v>
      </c>
      <c r="R3865">
        <v>7</v>
      </c>
      <c r="S3865" s="5">
        <f t="shared" si="120"/>
        <v>0.22333088858187361</v>
      </c>
      <c r="T3865">
        <v>251.2671428571428</v>
      </c>
      <c r="U3865">
        <v>8</v>
      </c>
      <c r="V3865">
        <v>2022</v>
      </c>
      <c r="W3865">
        <v>3</v>
      </c>
      <c r="X3865" t="s">
        <v>9899</v>
      </c>
      <c r="Y3865" t="s">
        <v>9901</v>
      </c>
      <c r="Z3865" t="s">
        <v>9898</v>
      </c>
      <c r="AD3865">
        <f t="shared" si="121"/>
        <v>7</v>
      </c>
    </row>
    <row r="3866" spans="1:30" x14ac:dyDescent="0.25">
      <c r="A3866" t="s">
        <v>3890</v>
      </c>
      <c r="B3866" s="2">
        <v>44654</v>
      </c>
      <c r="C3866" s="2">
        <v>44658</v>
      </c>
      <c r="D3866" t="s">
        <v>5458</v>
      </c>
      <c r="E3866" t="s">
        <v>5958</v>
      </c>
      <c r="F3866" t="s">
        <v>6027</v>
      </c>
      <c r="G3866" t="s">
        <v>6031</v>
      </c>
      <c r="H3866" t="s">
        <v>6043</v>
      </c>
      <c r="I3866" t="s">
        <v>6048</v>
      </c>
      <c r="J3866" t="s">
        <v>6053</v>
      </c>
      <c r="K3866" t="s">
        <v>6056</v>
      </c>
      <c r="L3866" t="s">
        <v>9180</v>
      </c>
      <c r="M3866">
        <v>109.59</v>
      </c>
      <c r="N3866">
        <v>5</v>
      </c>
      <c r="O3866">
        <v>0.3</v>
      </c>
      <c r="P3866">
        <v>-1.2</v>
      </c>
      <c r="Q3866" t="s">
        <v>9893</v>
      </c>
      <c r="R3866">
        <v>4</v>
      </c>
      <c r="S3866" s="5">
        <f t="shared" si="120"/>
        <v>-1.0949904188338352E-2</v>
      </c>
      <c r="T3866">
        <v>21.917999999999999</v>
      </c>
      <c r="U3866">
        <v>4</v>
      </c>
      <c r="V3866">
        <v>2022</v>
      </c>
      <c r="W3866">
        <v>2</v>
      </c>
      <c r="X3866" t="s">
        <v>9898</v>
      </c>
      <c r="Y3866" t="s">
        <v>9900</v>
      </c>
      <c r="Z3866" t="s">
        <v>9899</v>
      </c>
      <c r="AD3866">
        <f t="shared" si="121"/>
        <v>4</v>
      </c>
    </row>
    <row r="3867" spans="1:30" x14ac:dyDescent="0.25">
      <c r="A3867" t="s">
        <v>3891</v>
      </c>
      <c r="B3867" s="2">
        <v>44700</v>
      </c>
      <c r="C3867" s="2">
        <v>44701</v>
      </c>
      <c r="D3867" t="s">
        <v>5522</v>
      </c>
      <c r="E3867" t="s">
        <v>6022</v>
      </c>
      <c r="F3867" t="s">
        <v>6028</v>
      </c>
      <c r="G3867" t="s">
        <v>6029</v>
      </c>
      <c r="H3867" t="s">
        <v>6036</v>
      </c>
      <c r="I3867" t="s">
        <v>6046</v>
      </c>
      <c r="J3867" t="s">
        <v>6055</v>
      </c>
      <c r="K3867" t="s">
        <v>6061</v>
      </c>
      <c r="L3867" t="s">
        <v>9181</v>
      </c>
      <c r="M3867">
        <v>1204.8699999999999</v>
      </c>
      <c r="N3867">
        <v>5</v>
      </c>
      <c r="O3867">
        <v>0.06</v>
      </c>
      <c r="P3867">
        <v>228.74</v>
      </c>
      <c r="Q3867" t="s">
        <v>9894</v>
      </c>
      <c r="R3867">
        <v>1</v>
      </c>
      <c r="S3867" s="5">
        <f t="shared" si="120"/>
        <v>0.18984620747466535</v>
      </c>
      <c r="T3867">
        <v>240.97399999999999</v>
      </c>
      <c r="U3867">
        <v>5</v>
      </c>
      <c r="V3867">
        <v>2022</v>
      </c>
      <c r="W3867">
        <v>2</v>
      </c>
      <c r="X3867" t="s">
        <v>9899</v>
      </c>
      <c r="Y3867" t="s">
        <v>9901</v>
      </c>
      <c r="Z3867" t="s">
        <v>9898</v>
      </c>
      <c r="AD3867">
        <f t="shared" si="121"/>
        <v>1</v>
      </c>
    </row>
    <row r="3868" spans="1:30" x14ac:dyDescent="0.25">
      <c r="A3868" t="s">
        <v>3892</v>
      </c>
      <c r="B3868" s="2">
        <v>45381</v>
      </c>
      <c r="C3868" s="2">
        <v>45385</v>
      </c>
      <c r="D3868" t="s">
        <v>5445</v>
      </c>
      <c r="E3868" t="s">
        <v>5945</v>
      </c>
      <c r="F3868" t="s">
        <v>6026</v>
      </c>
      <c r="G3868" t="s">
        <v>6031</v>
      </c>
      <c r="H3868" t="s">
        <v>6040</v>
      </c>
      <c r="I3868" t="s">
        <v>6048</v>
      </c>
      <c r="J3868" t="s">
        <v>6054</v>
      </c>
      <c r="K3868" t="s">
        <v>6059</v>
      </c>
      <c r="L3868" t="s">
        <v>7694</v>
      </c>
      <c r="M3868">
        <v>1355.55</v>
      </c>
      <c r="N3868">
        <v>2</v>
      </c>
      <c r="O3868">
        <v>0.09</v>
      </c>
      <c r="P3868">
        <v>163.09</v>
      </c>
      <c r="Q3868" t="s">
        <v>9896</v>
      </c>
      <c r="R3868">
        <v>4</v>
      </c>
      <c r="S3868" s="5">
        <f t="shared" si="120"/>
        <v>0.12031278816716462</v>
      </c>
      <c r="T3868">
        <v>677.77499999999998</v>
      </c>
      <c r="U3868">
        <v>3</v>
      </c>
      <c r="V3868">
        <v>2024</v>
      </c>
      <c r="W3868">
        <v>1</v>
      </c>
      <c r="X3868" t="s">
        <v>9899</v>
      </c>
      <c r="Y3868" t="s">
        <v>9901</v>
      </c>
      <c r="Z3868" t="s">
        <v>9898</v>
      </c>
      <c r="AD3868">
        <f t="shared" si="121"/>
        <v>4</v>
      </c>
    </row>
    <row r="3869" spans="1:30" x14ac:dyDescent="0.25">
      <c r="A3869" t="s">
        <v>3893</v>
      </c>
      <c r="B3869" s="2">
        <v>45162</v>
      </c>
      <c r="C3869" s="2">
        <v>45168</v>
      </c>
      <c r="D3869" t="s">
        <v>5159</v>
      </c>
      <c r="E3869" t="s">
        <v>5659</v>
      </c>
      <c r="F3869" t="s">
        <v>6026</v>
      </c>
      <c r="G3869" t="s">
        <v>6030</v>
      </c>
      <c r="H3869" t="s">
        <v>6038</v>
      </c>
      <c r="I3869" t="s">
        <v>6047</v>
      </c>
      <c r="J3869" t="s">
        <v>6055</v>
      </c>
      <c r="K3869" t="s">
        <v>6063</v>
      </c>
      <c r="L3869" t="s">
        <v>9182</v>
      </c>
      <c r="M3869">
        <v>1156.22</v>
      </c>
      <c r="N3869">
        <v>8</v>
      </c>
      <c r="O3869">
        <v>0.08</v>
      </c>
      <c r="P3869">
        <v>212.68</v>
      </c>
      <c r="Q3869" t="s">
        <v>9893</v>
      </c>
      <c r="R3869">
        <v>6</v>
      </c>
      <c r="S3869" s="5">
        <f t="shared" si="120"/>
        <v>0.18394423206656174</v>
      </c>
      <c r="T3869">
        <v>144.5275</v>
      </c>
      <c r="U3869">
        <v>8</v>
      </c>
      <c r="V3869">
        <v>2023</v>
      </c>
      <c r="W3869">
        <v>3</v>
      </c>
      <c r="X3869" t="s">
        <v>9899</v>
      </c>
      <c r="Y3869" t="s">
        <v>9901</v>
      </c>
      <c r="Z3869" t="s">
        <v>9898</v>
      </c>
      <c r="AD3869">
        <f t="shared" si="121"/>
        <v>6</v>
      </c>
    </row>
    <row r="3870" spans="1:30" x14ac:dyDescent="0.25">
      <c r="A3870" t="s">
        <v>3894</v>
      </c>
      <c r="B3870" s="2">
        <v>45210</v>
      </c>
      <c r="C3870" s="2">
        <v>45216</v>
      </c>
      <c r="D3870" t="s">
        <v>5324</v>
      </c>
      <c r="E3870" t="s">
        <v>5824</v>
      </c>
      <c r="F3870" t="s">
        <v>6027</v>
      </c>
      <c r="G3870" t="s">
        <v>6030</v>
      </c>
      <c r="H3870" t="s">
        <v>6033</v>
      </c>
      <c r="I3870" t="s">
        <v>6047</v>
      </c>
      <c r="J3870" t="s">
        <v>6055</v>
      </c>
      <c r="K3870" t="s">
        <v>6064</v>
      </c>
      <c r="L3870" t="s">
        <v>6650</v>
      </c>
      <c r="M3870">
        <v>1239.32</v>
      </c>
      <c r="N3870">
        <v>3</v>
      </c>
      <c r="O3870">
        <v>0.22</v>
      </c>
      <c r="P3870">
        <v>-96.32</v>
      </c>
      <c r="Q3870" t="s">
        <v>9897</v>
      </c>
      <c r="R3870">
        <v>6</v>
      </c>
      <c r="S3870" s="5">
        <f t="shared" si="120"/>
        <v>-7.7720040021947517E-2</v>
      </c>
      <c r="T3870">
        <v>413.10666666666663</v>
      </c>
      <c r="U3870">
        <v>10</v>
      </c>
      <c r="V3870">
        <v>2023</v>
      </c>
      <c r="W3870">
        <v>4</v>
      </c>
      <c r="X3870" t="s">
        <v>9898</v>
      </c>
      <c r="Y3870" t="s">
        <v>9900</v>
      </c>
      <c r="Z3870" t="s">
        <v>9898</v>
      </c>
      <c r="AD3870">
        <f t="shared" si="121"/>
        <v>6</v>
      </c>
    </row>
    <row r="3871" spans="1:30" x14ac:dyDescent="0.25">
      <c r="A3871" t="s">
        <v>3895</v>
      </c>
      <c r="B3871" s="2">
        <v>45123</v>
      </c>
      <c r="C3871" s="2">
        <v>45130</v>
      </c>
      <c r="D3871" t="s">
        <v>5271</v>
      </c>
      <c r="E3871" t="s">
        <v>5771</v>
      </c>
      <c r="F3871" t="s">
        <v>6027</v>
      </c>
      <c r="G3871" t="s">
        <v>6031</v>
      </c>
      <c r="H3871" t="s">
        <v>6043</v>
      </c>
      <c r="I3871" t="s">
        <v>6050</v>
      </c>
      <c r="J3871" t="s">
        <v>6053</v>
      </c>
      <c r="K3871" t="s">
        <v>6056</v>
      </c>
      <c r="L3871" t="s">
        <v>9183</v>
      </c>
      <c r="M3871">
        <v>986.65</v>
      </c>
      <c r="N3871">
        <v>6</v>
      </c>
      <c r="O3871">
        <v>7.0000000000000007E-2</v>
      </c>
      <c r="P3871">
        <v>114.58</v>
      </c>
      <c r="Q3871" t="s">
        <v>9893</v>
      </c>
      <c r="R3871">
        <v>7</v>
      </c>
      <c r="S3871" s="5">
        <f t="shared" si="120"/>
        <v>0.1161303400395277</v>
      </c>
      <c r="T3871">
        <v>164.44166666666669</v>
      </c>
      <c r="U3871">
        <v>7</v>
      </c>
      <c r="V3871">
        <v>2023</v>
      </c>
      <c r="W3871">
        <v>3</v>
      </c>
      <c r="X3871" t="s">
        <v>9899</v>
      </c>
      <c r="Y3871" t="s">
        <v>9901</v>
      </c>
      <c r="Z3871" t="s">
        <v>9899</v>
      </c>
      <c r="AD3871">
        <f t="shared" si="121"/>
        <v>7</v>
      </c>
    </row>
    <row r="3872" spans="1:30" x14ac:dyDescent="0.25">
      <c r="A3872" t="s">
        <v>3896</v>
      </c>
      <c r="B3872" s="2">
        <v>45061</v>
      </c>
      <c r="C3872" s="2">
        <v>45063</v>
      </c>
      <c r="D3872" t="s">
        <v>5058</v>
      </c>
      <c r="E3872" t="s">
        <v>5558</v>
      </c>
      <c r="F3872" t="s">
        <v>6028</v>
      </c>
      <c r="G3872" t="s">
        <v>6030</v>
      </c>
      <c r="H3872" t="s">
        <v>6039</v>
      </c>
      <c r="I3872" t="s">
        <v>6051</v>
      </c>
      <c r="J3872" t="s">
        <v>6053</v>
      </c>
      <c r="K3872" t="s">
        <v>6056</v>
      </c>
      <c r="L3872" t="s">
        <v>8683</v>
      </c>
      <c r="M3872">
        <v>158.99</v>
      </c>
      <c r="N3872">
        <v>4</v>
      </c>
      <c r="O3872">
        <v>7.0000000000000007E-2</v>
      </c>
      <c r="P3872">
        <v>28.39</v>
      </c>
      <c r="Q3872" t="s">
        <v>9896</v>
      </c>
      <c r="R3872">
        <v>2</v>
      </c>
      <c r="S3872" s="5">
        <f t="shared" si="120"/>
        <v>0.17856468960311969</v>
      </c>
      <c r="T3872">
        <v>39.747500000000002</v>
      </c>
      <c r="U3872">
        <v>5</v>
      </c>
      <c r="V3872">
        <v>2023</v>
      </c>
      <c r="W3872">
        <v>2</v>
      </c>
      <c r="X3872" t="s">
        <v>9899</v>
      </c>
      <c r="Y3872" t="s">
        <v>9901</v>
      </c>
      <c r="Z3872" t="s">
        <v>9899</v>
      </c>
      <c r="AD3872">
        <f t="shared" si="121"/>
        <v>2</v>
      </c>
    </row>
    <row r="3873" spans="1:30" x14ac:dyDescent="0.25">
      <c r="A3873" t="s">
        <v>3897</v>
      </c>
      <c r="B3873" s="2">
        <v>45186</v>
      </c>
      <c r="C3873" s="2">
        <v>45190</v>
      </c>
      <c r="D3873" t="s">
        <v>5431</v>
      </c>
      <c r="E3873" t="s">
        <v>5931</v>
      </c>
      <c r="F3873" t="s">
        <v>6026</v>
      </c>
      <c r="G3873" t="s">
        <v>6031</v>
      </c>
      <c r="H3873" t="s">
        <v>6042</v>
      </c>
      <c r="I3873" t="s">
        <v>6050</v>
      </c>
      <c r="J3873" t="s">
        <v>6055</v>
      </c>
      <c r="K3873" t="s">
        <v>6063</v>
      </c>
      <c r="L3873" t="s">
        <v>9184</v>
      </c>
      <c r="M3873">
        <v>1147.21</v>
      </c>
      <c r="N3873">
        <v>6</v>
      </c>
      <c r="O3873">
        <v>0.19</v>
      </c>
      <c r="P3873">
        <v>81.3</v>
      </c>
      <c r="Q3873" t="s">
        <v>9896</v>
      </c>
      <c r="R3873">
        <v>4</v>
      </c>
      <c r="S3873" s="5">
        <f t="shared" si="120"/>
        <v>7.0867583092894926E-2</v>
      </c>
      <c r="T3873">
        <v>191.20166666666671</v>
      </c>
      <c r="U3873">
        <v>9</v>
      </c>
      <c r="V3873">
        <v>2023</v>
      </c>
      <c r="W3873">
        <v>3</v>
      </c>
      <c r="X3873" t="s">
        <v>9899</v>
      </c>
      <c r="Y3873" t="s">
        <v>9900</v>
      </c>
      <c r="Z3873" t="s">
        <v>9898</v>
      </c>
      <c r="AD3873">
        <f t="shared" si="121"/>
        <v>4</v>
      </c>
    </row>
    <row r="3874" spans="1:30" x14ac:dyDescent="0.25">
      <c r="A3874" t="s">
        <v>3898</v>
      </c>
      <c r="B3874" s="2">
        <v>44757</v>
      </c>
      <c r="C3874" s="2">
        <v>44763</v>
      </c>
      <c r="D3874" t="s">
        <v>5339</v>
      </c>
      <c r="E3874" t="s">
        <v>5839</v>
      </c>
      <c r="F3874" t="s">
        <v>6027</v>
      </c>
      <c r="G3874" t="s">
        <v>6030</v>
      </c>
      <c r="H3874" t="s">
        <v>6038</v>
      </c>
      <c r="I3874" t="s">
        <v>6051</v>
      </c>
      <c r="J3874" t="s">
        <v>6054</v>
      </c>
      <c r="K3874" t="s">
        <v>6060</v>
      </c>
      <c r="L3874" t="s">
        <v>9185</v>
      </c>
      <c r="M3874">
        <v>196.7</v>
      </c>
      <c r="N3874">
        <v>6</v>
      </c>
      <c r="O3874">
        <v>0.33</v>
      </c>
      <c r="P3874">
        <v>-29.73</v>
      </c>
      <c r="Q3874" t="s">
        <v>9896</v>
      </c>
      <c r="R3874">
        <v>6</v>
      </c>
      <c r="S3874" s="5">
        <f t="shared" si="120"/>
        <v>-0.15114387391967465</v>
      </c>
      <c r="T3874">
        <v>32.783333333333331</v>
      </c>
      <c r="U3874">
        <v>7</v>
      </c>
      <c r="V3874">
        <v>2022</v>
      </c>
      <c r="W3874">
        <v>3</v>
      </c>
      <c r="X3874" t="s">
        <v>9898</v>
      </c>
      <c r="Y3874" t="s">
        <v>9902</v>
      </c>
      <c r="Z3874" t="s">
        <v>9899</v>
      </c>
      <c r="AD3874">
        <f t="shared" si="121"/>
        <v>6</v>
      </c>
    </row>
    <row r="3875" spans="1:30" x14ac:dyDescent="0.25">
      <c r="A3875" t="s">
        <v>3899</v>
      </c>
      <c r="B3875" s="2">
        <v>45106</v>
      </c>
      <c r="C3875" s="2">
        <v>45113</v>
      </c>
      <c r="D3875" t="s">
        <v>5028</v>
      </c>
      <c r="E3875" t="s">
        <v>5528</v>
      </c>
      <c r="F3875" t="s">
        <v>6026</v>
      </c>
      <c r="G3875" t="s">
        <v>6029</v>
      </c>
      <c r="H3875" t="s">
        <v>6044</v>
      </c>
      <c r="I3875" t="s">
        <v>6050</v>
      </c>
      <c r="J3875" t="s">
        <v>6053</v>
      </c>
      <c r="K3875" t="s">
        <v>6056</v>
      </c>
      <c r="L3875" t="s">
        <v>8646</v>
      </c>
      <c r="M3875">
        <v>1579.28</v>
      </c>
      <c r="N3875">
        <v>3</v>
      </c>
      <c r="O3875">
        <v>0.24</v>
      </c>
      <c r="P3875">
        <v>-114.1</v>
      </c>
      <c r="Q3875" t="s">
        <v>9895</v>
      </c>
      <c r="R3875">
        <v>7</v>
      </c>
      <c r="S3875" s="5">
        <f t="shared" si="120"/>
        <v>-7.2248113064181149E-2</v>
      </c>
      <c r="T3875">
        <v>526.42666666666662</v>
      </c>
      <c r="U3875">
        <v>6</v>
      </c>
      <c r="V3875">
        <v>2023</v>
      </c>
      <c r="W3875">
        <v>2</v>
      </c>
      <c r="X3875" t="s">
        <v>9898</v>
      </c>
      <c r="Y3875" t="s">
        <v>9900</v>
      </c>
      <c r="Z3875" t="s">
        <v>9898</v>
      </c>
      <c r="AD3875">
        <f t="shared" si="121"/>
        <v>7</v>
      </c>
    </row>
    <row r="3876" spans="1:30" x14ac:dyDescent="0.25">
      <c r="A3876" t="s">
        <v>3900</v>
      </c>
      <c r="B3876" s="2">
        <v>44907</v>
      </c>
      <c r="C3876" s="2">
        <v>44913</v>
      </c>
      <c r="D3876" t="s">
        <v>5030</v>
      </c>
      <c r="E3876" t="s">
        <v>5530</v>
      </c>
      <c r="F3876" t="s">
        <v>6026</v>
      </c>
      <c r="G3876" t="s">
        <v>6031</v>
      </c>
      <c r="H3876" t="s">
        <v>6040</v>
      </c>
      <c r="I3876" t="s">
        <v>6048</v>
      </c>
      <c r="J3876" t="s">
        <v>6054</v>
      </c>
      <c r="K3876" t="s">
        <v>6059</v>
      </c>
      <c r="L3876" t="s">
        <v>9186</v>
      </c>
      <c r="M3876">
        <v>1446.12</v>
      </c>
      <c r="N3876">
        <v>6</v>
      </c>
      <c r="O3876">
        <v>0.18</v>
      </c>
      <c r="P3876">
        <v>-86.22</v>
      </c>
      <c r="Q3876" t="s">
        <v>9894</v>
      </c>
      <c r="R3876">
        <v>6</v>
      </c>
      <c r="S3876" s="5">
        <f t="shared" si="120"/>
        <v>-5.9621608165297491E-2</v>
      </c>
      <c r="T3876">
        <v>241.02</v>
      </c>
      <c r="U3876">
        <v>12</v>
      </c>
      <c r="V3876">
        <v>2022</v>
      </c>
      <c r="W3876">
        <v>4</v>
      </c>
      <c r="X3876" t="s">
        <v>9898</v>
      </c>
      <c r="Y3876" t="s">
        <v>9900</v>
      </c>
      <c r="Z3876" t="s">
        <v>9898</v>
      </c>
      <c r="AD3876">
        <f t="shared" si="121"/>
        <v>6</v>
      </c>
    </row>
    <row r="3877" spans="1:30" x14ac:dyDescent="0.25">
      <c r="A3877" t="s">
        <v>3901</v>
      </c>
      <c r="B3877" s="2">
        <v>44990</v>
      </c>
      <c r="C3877" s="2">
        <v>44994</v>
      </c>
      <c r="D3877" t="s">
        <v>5053</v>
      </c>
      <c r="E3877" t="s">
        <v>5553</v>
      </c>
      <c r="F3877" t="s">
        <v>6028</v>
      </c>
      <c r="G3877" t="s">
        <v>6030</v>
      </c>
      <c r="H3877" t="s">
        <v>6038</v>
      </c>
      <c r="I3877" t="s">
        <v>6047</v>
      </c>
      <c r="J3877" t="s">
        <v>6055</v>
      </c>
      <c r="K3877" t="s">
        <v>6061</v>
      </c>
      <c r="L3877" t="s">
        <v>9187</v>
      </c>
      <c r="M3877">
        <v>387.24</v>
      </c>
      <c r="N3877">
        <v>7</v>
      </c>
      <c r="O3877">
        <v>0.23</v>
      </c>
      <c r="P3877">
        <v>-48.73</v>
      </c>
      <c r="Q3877" t="s">
        <v>9896</v>
      </c>
      <c r="R3877">
        <v>4</v>
      </c>
      <c r="S3877" s="5">
        <f t="shared" si="120"/>
        <v>-0.12583927280239643</v>
      </c>
      <c r="T3877">
        <v>55.32</v>
      </c>
      <c r="U3877">
        <v>3</v>
      </c>
      <c r="V3877">
        <v>2023</v>
      </c>
      <c r="W3877">
        <v>1</v>
      </c>
      <c r="X3877" t="s">
        <v>9898</v>
      </c>
      <c r="Y3877" t="s">
        <v>9900</v>
      </c>
      <c r="Z3877" t="s">
        <v>9899</v>
      </c>
      <c r="AD3877">
        <f t="shared" si="121"/>
        <v>4</v>
      </c>
    </row>
    <row r="3878" spans="1:30" x14ac:dyDescent="0.25">
      <c r="A3878" t="s">
        <v>3902</v>
      </c>
      <c r="B3878" s="2">
        <v>44616</v>
      </c>
      <c r="C3878" s="2">
        <v>44618</v>
      </c>
      <c r="D3878" t="s">
        <v>5148</v>
      </c>
      <c r="E3878" t="s">
        <v>5648</v>
      </c>
      <c r="F3878" t="s">
        <v>6027</v>
      </c>
      <c r="G3878" t="s">
        <v>6030</v>
      </c>
      <c r="H3878" t="s">
        <v>6033</v>
      </c>
      <c r="I3878" t="s">
        <v>6051</v>
      </c>
      <c r="J3878" t="s">
        <v>6053</v>
      </c>
      <c r="K3878" t="s">
        <v>6056</v>
      </c>
      <c r="L3878" t="s">
        <v>9188</v>
      </c>
      <c r="M3878">
        <v>437.76</v>
      </c>
      <c r="N3878">
        <v>4</v>
      </c>
      <c r="O3878">
        <v>7.0000000000000007E-2</v>
      </c>
      <c r="P3878">
        <v>91.09</v>
      </c>
      <c r="Q3878" t="s">
        <v>9897</v>
      </c>
      <c r="R3878">
        <v>2</v>
      </c>
      <c r="S3878" s="5">
        <f t="shared" si="120"/>
        <v>0.20808205409356725</v>
      </c>
      <c r="T3878">
        <v>109.44</v>
      </c>
      <c r="U3878">
        <v>2</v>
      </c>
      <c r="V3878">
        <v>2022</v>
      </c>
      <c r="W3878">
        <v>1</v>
      </c>
      <c r="X3878" t="s">
        <v>9899</v>
      </c>
      <c r="Y3878" t="s">
        <v>9901</v>
      </c>
      <c r="Z3878" t="s">
        <v>9899</v>
      </c>
      <c r="AD3878">
        <f t="shared" si="121"/>
        <v>2</v>
      </c>
    </row>
    <row r="3879" spans="1:30" x14ac:dyDescent="0.25">
      <c r="A3879" t="s">
        <v>3903</v>
      </c>
      <c r="B3879" s="2">
        <v>45183</v>
      </c>
      <c r="C3879" s="2">
        <v>45186</v>
      </c>
      <c r="D3879" t="s">
        <v>5066</v>
      </c>
      <c r="E3879" t="s">
        <v>5566</v>
      </c>
      <c r="F3879" t="s">
        <v>6027</v>
      </c>
      <c r="G3879" t="s">
        <v>6031</v>
      </c>
      <c r="H3879" t="s">
        <v>6034</v>
      </c>
      <c r="I3879" t="s">
        <v>6048</v>
      </c>
      <c r="J3879" t="s">
        <v>6053</v>
      </c>
      <c r="K3879" t="s">
        <v>6058</v>
      </c>
      <c r="L3879" t="s">
        <v>9189</v>
      </c>
      <c r="M3879">
        <v>1427.87</v>
      </c>
      <c r="N3879">
        <v>7</v>
      </c>
      <c r="O3879">
        <v>0.27</v>
      </c>
      <c r="P3879">
        <v>-84.15</v>
      </c>
      <c r="Q3879" t="s">
        <v>9895</v>
      </c>
      <c r="R3879">
        <v>3</v>
      </c>
      <c r="S3879" s="5">
        <f t="shared" si="120"/>
        <v>-5.8933936562852368E-2</v>
      </c>
      <c r="T3879">
        <v>203.98142857142861</v>
      </c>
      <c r="U3879">
        <v>9</v>
      </c>
      <c r="V3879">
        <v>2023</v>
      </c>
      <c r="W3879">
        <v>3</v>
      </c>
      <c r="X3879" t="s">
        <v>9898</v>
      </c>
      <c r="Y3879" t="s">
        <v>9900</v>
      </c>
      <c r="Z3879" t="s">
        <v>9898</v>
      </c>
      <c r="AD3879">
        <f t="shared" si="121"/>
        <v>3</v>
      </c>
    </row>
    <row r="3880" spans="1:30" x14ac:dyDescent="0.25">
      <c r="A3880" t="s">
        <v>3904</v>
      </c>
      <c r="B3880" s="2">
        <v>45299</v>
      </c>
      <c r="C3880" s="2">
        <v>45304</v>
      </c>
      <c r="D3880" t="s">
        <v>5435</v>
      </c>
      <c r="E3880" t="s">
        <v>5935</v>
      </c>
      <c r="F3880" t="s">
        <v>6028</v>
      </c>
      <c r="G3880" t="s">
        <v>6030</v>
      </c>
      <c r="H3880" t="s">
        <v>6038</v>
      </c>
      <c r="I3880" t="s">
        <v>6051</v>
      </c>
      <c r="J3880" t="s">
        <v>6053</v>
      </c>
      <c r="K3880" t="s">
        <v>6056</v>
      </c>
      <c r="L3880" t="s">
        <v>9190</v>
      </c>
      <c r="M3880">
        <v>295.75</v>
      </c>
      <c r="N3880">
        <v>4</v>
      </c>
      <c r="O3880">
        <v>0.33</v>
      </c>
      <c r="P3880">
        <v>-39.36</v>
      </c>
      <c r="Q3880" t="s">
        <v>9895</v>
      </c>
      <c r="R3880">
        <v>5</v>
      </c>
      <c r="S3880" s="5">
        <f t="shared" si="120"/>
        <v>-0.13308537616229923</v>
      </c>
      <c r="T3880">
        <v>73.9375</v>
      </c>
      <c r="U3880">
        <v>1</v>
      </c>
      <c r="V3880">
        <v>2024</v>
      </c>
      <c r="W3880">
        <v>1</v>
      </c>
      <c r="X3880" t="s">
        <v>9898</v>
      </c>
      <c r="Y3880" t="s">
        <v>9902</v>
      </c>
      <c r="Z3880" t="s">
        <v>9899</v>
      </c>
      <c r="AD3880">
        <f t="shared" si="121"/>
        <v>5</v>
      </c>
    </row>
    <row r="3881" spans="1:30" x14ac:dyDescent="0.25">
      <c r="A3881" t="s">
        <v>3905</v>
      </c>
      <c r="B3881" s="2">
        <v>44589</v>
      </c>
      <c r="C3881" s="2">
        <v>44593</v>
      </c>
      <c r="D3881" t="s">
        <v>5481</v>
      </c>
      <c r="E3881" t="s">
        <v>5981</v>
      </c>
      <c r="F3881" t="s">
        <v>6028</v>
      </c>
      <c r="G3881" t="s">
        <v>6031</v>
      </c>
      <c r="H3881" t="s">
        <v>6040</v>
      </c>
      <c r="I3881" t="s">
        <v>6048</v>
      </c>
      <c r="J3881" t="s">
        <v>6054</v>
      </c>
      <c r="K3881" t="s">
        <v>6062</v>
      </c>
      <c r="L3881" t="s">
        <v>7335</v>
      </c>
      <c r="M3881">
        <v>1834.34</v>
      </c>
      <c r="N3881">
        <v>1</v>
      </c>
      <c r="O3881">
        <v>0.21</v>
      </c>
      <c r="P3881">
        <v>-48.37</v>
      </c>
      <c r="Q3881" t="s">
        <v>9893</v>
      </c>
      <c r="R3881">
        <v>4</v>
      </c>
      <c r="S3881" s="5">
        <f t="shared" si="120"/>
        <v>-2.6369157299083047E-2</v>
      </c>
      <c r="T3881">
        <v>1834.34</v>
      </c>
      <c r="U3881">
        <v>1</v>
      </c>
      <c r="V3881">
        <v>2022</v>
      </c>
      <c r="W3881">
        <v>1</v>
      </c>
      <c r="X3881" t="s">
        <v>9898</v>
      </c>
      <c r="Y3881" t="s">
        <v>9900</v>
      </c>
      <c r="Z3881" t="s">
        <v>9898</v>
      </c>
      <c r="AD3881">
        <f t="shared" si="121"/>
        <v>4</v>
      </c>
    </row>
    <row r="3882" spans="1:30" x14ac:dyDescent="0.25">
      <c r="A3882" t="s">
        <v>3906</v>
      </c>
      <c r="B3882" s="2">
        <v>44975</v>
      </c>
      <c r="C3882" s="2">
        <v>44979</v>
      </c>
      <c r="D3882" t="s">
        <v>5150</v>
      </c>
      <c r="E3882" t="s">
        <v>5650</v>
      </c>
      <c r="F3882" t="s">
        <v>6026</v>
      </c>
      <c r="G3882" t="s">
        <v>6030</v>
      </c>
      <c r="H3882" t="s">
        <v>6033</v>
      </c>
      <c r="I3882" t="s">
        <v>6051</v>
      </c>
      <c r="J3882" t="s">
        <v>6053</v>
      </c>
      <c r="K3882" t="s">
        <v>6058</v>
      </c>
      <c r="L3882" t="s">
        <v>9191</v>
      </c>
      <c r="M3882">
        <v>1113.42</v>
      </c>
      <c r="N3882">
        <v>1</v>
      </c>
      <c r="O3882">
        <v>0.2</v>
      </c>
      <c r="P3882">
        <v>38.72</v>
      </c>
      <c r="Q3882" t="s">
        <v>9896</v>
      </c>
      <c r="R3882">
        <v>4</v>
      </c>
      <c r="S3882" s="5">
        <f t="shared" si="120"/>
        <v>3.4775736020549293E-2</v>
      </c>
      <c r="T3882">
        <v>1113.42</v>
      </c>
      <c r="U3882">
        <v>2</v>
      </c>
      <c r="V3882">
        <v>2023</v>
      </c>
      <c r="W3882">
        <v>1</v>
      </c>
      <c r="X3882" t="s">
        <v>9899</v>
      </c>
      <c r="Y3882" t="s">
        <v>9900</v>
      </c>
      <c r="Z3882" t="s">
        <v>9898</v>
      </c>
      <c r="AD3882">
        <f t="shared" si="121"/>
        <v>4</v>
      </c>
    </row>
    <row r="3883" spans="1:30" x14ac:dyDescent="0.25">
      <c r="A3883" t="s">
        <v>3907</v>
      </c>
      <c r="B3883" s="2">
        <v>44762</v>
      </c>
      <c r="C3883" s="2">
        <v>44766</v>
      </c>
      <c r="D3883" t="s">
        <v>5435</v>
      </c>
      <c r="E3883" t="s">
        <v>5935</v>
      </c>
      <c r="F3883" t="s">
        <v>6026</v>
      </c>
      <c r="G3883" t="s">
        <v>6031</v>
      </c>
      <c r="H3883" t="s">
        <v>6040</v>
      </c>
      <c r="I3883" t="s">
        <v>6052</v>
      </c>
      <c r="J3883" t="s">
        <v>6054</v>
      </c>
      <c r="K3883" t="s">
        <v>6060</v>
      </c>
      <c r="L3883" t="s">
        <v>9192</v>
      </c>
      <c r="M3883">
        <v>1181.33</v>
      </c>
      <c r="N3883">
        <v>6</v>
      </c>
      <c r="O3883">
        <v>0.13</v>
      </c>
      <c r="P3883">
        <v>-13.16</v>
      </c>
      <c r="Q3883" t="s">
        <v>9893</v>
      </c>
      <c r="R3883">
        <v>4</v>
      </c>
      <c r="S3883" s="5">
        <f t="shared" si="120"/>
        <v>-1.1139986286643021E-2</v>
      </c>
      <c r="T3883">
        <v>196.88833333333329</v>
      </c>
      <c r="U3883">
        <v>7</v>
      </c>
      <c r="V3883">
        <v>2022</v>
      </c>
      <c r="W3883">
        <v>3</v>
      </c>
      <c r="X3883" t="s">
        <v>9898</v>
      </c>
      <c r="Y3883" t="s">
        <v>9901</v>
      </c>
      <c r="Z3883" t="s">
        <v>9898</v>
      </c>
      <c r="AD3883">
        <f t="shared" si="121"/>
        <v>4</v>
      </c>
    </row>
    <row r="3884" spans="1:30" x14ac:dyDescent="0.25">
      <c r="A3884" t="s">
        <v>3908</v>
      </c>
      <c r="B3884" s="2">
        <v>44762</v>
      </c>
      <c r="C3884" s="2">
        <v>44763</v>
      </c>
      <c r="D3884" t="s">
        <v>5211</v>
      </c>
      <c r="E3884" t="s">
        <v>5711</v>
      </c>
      <c r="F3884" t="s">
        <v>6027</v>
      </c>
      <c r="G3884" t="s">
        <v>6029</v>
      </c>
      <c r="H3884" t="s">
        <v>6045</v>
      </c>
      <c r="I3884" t="s">
        <v>6049</v>
      </c>
      <c r="J3884" t="s">
        <v>6055</v>
      </c>
      <c r="K3884" t="s">
        <v>6063</v>
      </c>
      <c r="L3884" t="s">
        <v>9193</v>
      </c>
      <c r="M3884">
        <v>1662.36</v>
      </c>
      <c r="N3884">
        <v>6</v>
      </c>
      <c r="O3884">
        <v>0.06</v>
      </c>
      <c r="P3884">
        <v>291.33999999999997</v>
      </c>
      <c r="Q3884" t="s">
        <v>9893</v>
      </c>
      <c r="R3884">
        <v>1</v>
      </c>
      <c r="S3884" s="5">
        <f t="shared" si="120"/>
        <v>0.17525686373589355</v>
      </c>
      <c r="T3884">
        <v>277.06</v>
      </c>
      <c r="U3884">
        <v>7</v>
      </c>
      <c r="V3884">
        <v>2022</v>
      </c>
      <c r="W3884">
        <v>3</v>
      </c>
      <c r="X3884" t="s">
        <v>9899</v>
      </c>
      <c r="Y3884" t="s">
        <v>9901</v>
      </c>
      <c r="Z3884" t="s">
        <v>9898</v>
      </c>
      <c r="AD3884">
        <f t="shared" si="121"/>
        <v>1</v>
      </c>
    </row>
    <row r="3885" spans="1:30" x14ac:dyDescent="0.25">
      <c r="A3885" t="s">
        <v>3909</v>
      </c>
      <c r="B3885" s="2">
        <v>44724</v>
      </c>
      <c r="C3885" s="2">
        <v>44725</v>
      </c>
      <c r="D3885" t="s">
        <v>5520</v>
      </c>
      <c r="E3885" t="s">
        <v>6020</v>
      </c>
      <c r="F3885" t="s">
        <v>6026</v>
      </c>
      <c r="G3885" t="s">
        <v>6031</v>
      </c>
      <c r="H3885" t="s">
        <v>6040</v>
      </c>
      <c r="I3885" t="s">
        <v>6048</v>
      </c>
      <c r="J3885" t="s">
        <v>6054</v>
      </c>
      <c r="K3885" t="s">
        <v>6059</v>
      </c>
      <c r="L3885" t="s">
        <v>9194</v>
      </c>
      <c r="M3885">
        <v>573.87</v>
      </c>
      <c r="N3885">
        <v>1</v>
      </c>
      <c r="O3885">
        <v>0.32</v>
      </c>
      <c r="P3885">
        <v>-16.64</v>
      </c>
      <c r="Q3885" t="s">
        <v>9893</v>
      </c>
      <c r="R3885">
        <v>1</v>
      </c>
      <c r="S3885" s="5">
        <f t="shared" si="120"/>
        <v>-2.8996114102497084E-2</v>
      </c>
      <c r="T3885">
        <v>573.87</v>
      </c>
      <c r="U3885">
        <v>6</v>
      </c>
      <c r="V3885">
        <v>2022</v>
      </c>
      <c r="W3885">
        <v>2</v>
      </c>
      <c r="X3885" t="s">
        <v>9898</v>
      </c>
      <c r="Y3885" t="s">
        <v>9902</v>
      </c>
      <c r="Z3885" t="s">
        <v>9899</v>
      </c>
      <c r="AD3885">
        <f t="shared" si="121"/>
        <v>1</v>
      </c>
    </row>
    <row r="3886" spans="1:30" x14ac:dyDescent="0.25">
      <c r="A3886" t="s">
        <v>3910</v>
      </c>
      <c r="B3886" s="2">
        <v>45060</v>
      </c>
      <c r="C3886" s="2">
        <v>45063</v>
      </c>
      <c r="D3886" t="s">
        <v>5202</v>
      </c>
      <c r="E3886" t="s">
        <v>5702</v>
      </c>
      <c r="F3886" t="s">
        <v>6027</v>
      </c>
      <c r="G3886" t="s">
        <v>6030</v>
      </c>
      <c r="H3886" t="s">
        <v>6035</v>
      </c>
      <c r="I3886" t="s">
        <v>6051</v>
      </c>
      <c r="J3886" t="s">
        <v>6054</v>
      </c>
      <c r="K3886" t="s">
        <v>6062</v>
      </c>
      <c r="L3886" t="s">
        <v>9195</v>
      </c>
      <c r="M3886">
        <v>1137.25</v>
      </c>
      <c r="N3886">
        <v>2</v>
      </c>
      <c r="O3886">
        <v>0.15</v>
      </c>
      <c r="P3886">
        <v>-46.49</v>
      </c>
      <c r="Q3886" t="s">
        <v>9896</v>
      </c>
      <c r="R3886">
        <v>3</v>
      </c>
      <c r="S3886" s="5">
        <f t="shared" si="120"/>
        <v>-4.0879314134974719E-2</v>
      </c>
      <c r="T3886">
        <v>568.625</v>
      </c>
      <c r="U3886">
        <v>5</v>
      </c>
      <c r="V3886">
        <v>2023</v>
      </c>
      <c r="W3886">
        <v>2</v>
      </c>
      <c r="X3886" t="s">
        <v>9898</v>
      </c>
      <c r="Y3886" t="s">
        <v>9901</v>
      </c>
      <c r="Z3886" t="s">
        <v>9898</v>
      </c>
      <c r="AD3886">
        <f t="shared" si="121"/>
        <v>3</v>
      </c>
    </row>
    <row r="3887" spans="1:30" x14ac:dyDescent="0.25">
      <c r="A3887" t="s">
        <v>3911</v>
      </c>
      <c r="B3887" s="2">
        <v>44588</v>
      </c>
      <c r="C3887" s="2">
        <v>44591</v>
      </c>
      <c r="D3887" t="s">
        <v>5494</v>
      </c>
      <c r="E3887" t="s">
        <v>5994</v>
      </c>
      <c r="F3887" t="s">
        <v>6026</v>
      </c>
      <c r="G3887" t="s">
        <v>6031</v>
      </c>
      <c r="H3887" t="s">
        <v>6043</v>
      </c>
      <c r="I3887" t="s">
        <v>6048</v>
      </c>
      <c r="J3887" t="s">
        <v>6054</v>
      </c>
      <c r="K3887" t="s">
        <v>6059</v>
      </c>
      <c r="L3887" t="s">
        <v>9196</v>
      </c>
      <c r="M3887">
        <v>1991.97</v>
      </c>
      <c r="N3887">
        <v>1</v>
      </c>
      <c r="O3887">
        <v>0.26</v>
      </c>
      <c r="P3887">
        <v>47.03</v>
      </c>
      <c r="Q3887" t="s">
        <v>9896</v>
      </c>
      <c r="R3887">
        <v>3</v>
      </c>
      <c r="S3887" s="5">
        <f t="shared" si="120"/>
        <v>2.3609793320180525E-2</v>
      </c>
      <c r="T3887">
        <v>1991.97</v>
      </c>
      <c r="U3887">
        <v>1</v>
      </c>
      <c r="V3887">
        <v>2022</v>
      </c>
      <c r="W3887">
        <v>1</v>
      </c>
      <c r="X3887" t="s">
        <v>9899</v>
      </c>
      <c r="Y3887" t="s">
        <v>9900</v>
      </c>
      <c r="Z3887" t="s">
        <v>9898</v>
      </c>
      <c r="AD3887">
        <f t="shared" si="121"/>
        <v>3</v>
      </c>
    </row>
    <row r="3888" spans="1:30" x14ac:dyDescent="0.25">
      <c r="A3888" t="s">
        <v>3912</v>
      </c>
      <c r="B3888" s="2">
        <v>44834</v>
      </c>
      <c r="C3888" s="2">
        <v>44840</v>
      </c>
      <c r="D3888" t="s">
        <v>5494</v>
      </c>
      <c r="E3888" t="s">
        <v>5994</v>
      </c>
      <c r="F3888" t="s">
        <v>6028</v>
      </c>
      <c r="G3888" t="s">
        <v>6031</v>
      </c>
      <c r="H3888" t="s">
        <v>6042</v>
      </c>
      <c r="I3888" t="s">
        <v>6048</v>
      </c>
      <c r="J3888" t="s">
        <v>6054</v>
      </c>
      <c r="K3888" t="s">
        <v>6062</v>
      </c>
      <c r="L3888" t="s">
        <v>9197</v>
      </c>
      <c r="M3888">
        <v>1129.67</v>
      </c>
      <c r="N3888">
        <v>2</v>
      </c>
      <c r="O3888">
        <v>0.15</v>
      </c>
      <c r="P3888">
        <v>98.37</v>
      </c>
      <c r="Q3888" t="s">
        <v>9894</v>
      </c>
      <c r="R3888">
        <v>6</v>
      </c>
      <c r="S3888" s="5">
        <f t="shared" si="120"/>
        <v>8.7078527357546898E-2</v>
      </c>
      <c r="T3888">
        <v>564.83500000000004</v>
      </c>
      <c r="U3888">
        <v>9</v>
      </c>
      <c r="V3888">
        <v>2022</v>
      </c>
      <c r="W3888">
        <v>3</v>
      </c>
      <c r="X3888" t="s">
        <v>9899</v>
      </c>
      <c r="Y3888" t="s">
        <v>9901</v>
      </c>
      <c r="Z3888" t="s">
        <v>9898</v>
      </c>
      <c r="AD3888">
        <f t="shared" si="121"/>
        <v>6</v>
      </c>
    </row>
    <row r="3889" spans="1:30" x14ac:dyDescent="0.25">
      <c r="A3889" t="s">
        <v>3913</v>
      </c>
      <c r="B3889" s="2">
        <v>45012</v>
      </c>
      <c r="C3889" s="2">
        <v>45014</v>
      </c>
      <c r="D3889" t="s">
        <v>5281</v>
      </c>
      <c r="E3889" t="s">
        <v>5781</v>
      </c>
      <c r="F3889" t="s">
        <v>6027</v>
      </c>
      <c r="G3889" t="s">
        <v>6031</v>
      </c>
      <c r="H3889" t="s">
        <v>6034</v>
      </c>
      <c r="I3889" t="s">
        <v>6050</v>
      </c>
      <c r="J3889" t="s">
        <v>6053</v>
      </c>
      <c r="K3889" t="s">
        <v>6056</v>
      </c>
      <c r="L3889" t="s">
        <v>7428</v>
      </c>
      <c r="M3889">
        <v>639.32000000000005</v>
      </c>
      <c r="N3889">
        <v>4</v>
      </c>
      <c r="O3889">
        <v>0.13</v>
      </c>
      <c r="P3889">
        <v>31.82</v>
      </c>
      <c r="Q3889" t="s">
        <v>9896</v>
      </c>
      <c r="R3889">
        <v>2</v>
      </c>
      <c r="S3889" s="5">
        <f t="shared" si="120"/>
        <v>4.977163235938184E-2</v>
      </c>
      <c r="T3889">
        <v>159.83000000000001</v>
      </c>
      <c r="U3889">
        <v>3</v>
      </c>
      <c r="V3889">
        <v>2023</v>
      </c>
      <c r="W3889">
        <v>1</v>
      </c>
      <c r="X3889" t="s">
        <v>9899</v>
      </c>
      <c r="Y3889" t="s">
        <v>9901</v>
      </c>
      <c r="Z3889" t="s">
        <v>9899</v>
      </c>
      <c r="AD3889">
        <f t="shared" si="121"/>
        <v>2</v>
      </c>
    </row>
    <row r="3890" spans="1:30" x14ac:dyDescent="0.25">
      <c r="A3890" t="s">
        <v>3914</v>
      </c>
      <c r="B3890" s="2">
        <v>45190</v>
      </c>
      <c r="C3890" s="2">
        <v>45194</v>
      </c>
      <c r="D3890" t="s">
        <v>5375</v>
      </c>
      <c r="E3890" t="s">
        <v>5875</v>
      </c>
      <c r="F3890" t="s">
        <v>6027</v>
      </c>
      <c r="G3890" t="s">
        <v>6030</v>
      </c>
      <c r="H3890" t="s">
        <v>6033</v>
      </c>
      <c r="I3890" t="s">
        <v>6047</v>
      </c>
      <c r="J3890" t="s">
        <v>6054</v>
      </c>
      <c r="K3890" t="s">
        <v>6062</v>
      </c>
      <c r="L3890" t="s">
        <v>9198</v>
      </c>
      <c r="M3890">
        <v>1642.18</v>
      </c>
      <c r="N3890">
        <v>6</v>
      </c>
      <c r="O3890">
        <v>0.11</v>
      </c>
      <c r="P3890">
        <v>24.27</v>
      </c>
      <c r="Q3890" t="s">
        <v>9897</v>
      </c>
      <c r="R3890">
        <v>4</v>
      </c>
      <c r="S3890" s="5">
        <f t="shared" si="120"/>
        <v>1.4779135052186726E-2</v>
      </c>
      <c r="T3890">
        <v>273.69666666666672</v>
      </c>
      <c r="U3890">
        <v>9</v>
      </c>
      <c r="V3890">
        <v>2023</v>
      </c>
      <c r="W3890">
        <v>3</v>
      </c>
      <c r="X3890" t="s">
        <v>9899</v>
      </c>
      <c r="Y3890" t="s">
        <v>9901</v>
      </c>
      <c r="Z3890" t="s">
        <v>9898</v>
      </c>
      <c r="AD3890">
        <f t="shared" si="121"/>
        <v>4</v>
      </c>
    </row>
    <row r="3891" spans="1:30" x14ac:dyDescent="0.25">
      <c r="A3891" t="s">
        <v>3915</v>
      </c>
      <c r="B3891" s="2">
        <v>45322</v>
      </c>
      <c r="C3891" s="2">
        <v>45325</v>
      </c>
      <c r="D3891" t="s">
        <v>5028</v>
      </c>
      <c r="E3891" t="s">
        <v>5528</v>
      </c>
      <c r="F3891" t="s">
        <v>6028</v>
      </c>
      <c r="G3891" t="s">
        <v>6030</v>
      </c>
      <c r="H3891" t="s">
        <v>6039</v>
      </c>
      <c r="I3891" t="s">
        <v>6047</v>
      </c>
      <c r="J3891" t="s">
        <v>6055</v>
      </c>
      <c r="K3891" t="s">
        <v>6061</v>
      </c>
      <c r="L3891" t="s">
        <v>9199</v>
      </c>
      <c r="M3891">
        <v>317.22000000000003</v>
      </c>
      <c r="N3891">
        <v>7</v>
      </c>
      <c r="O3891">
        <v>0.04</v>
      </c>
      <c r="P3891">
        <v>23.05</v>
      </c>
      <c r="Q3891" t="s">
        <v>9893</v>
      </c>
      <c r="R3891">
        <v>3</v>
      </c>
      <c r="S3891" s="5">
        <f t="shared" si="120"/>
        <v>7.2662505516676121E-2</v>
      </c>
      <c r="T3891">
        <v>45.317142857142862</v>
      </c>
      <c r="U3891">
        <v>1</v>
      </c>
      <c r="V3891">
        <v>2024</v>
      </c>
      <c r="W3891">
        <v>1</v>
      </c>
      <c r="X3891" t="s">
        <v>9899</v>
      </c>
      <c r="Y3891" t="s">
        <v>9901</v>
      </c>
      <c r="Z3891" t="s">
        <v>9899</v>
      </c>
      <c r="AD3891">
        <f t="shared" si="121"/>
        <v>3</v>
      </c>
    </row>
    <row r="3892" spans="1:30" x14ac:dyDescent="0.25">
      <c r="A3892" t="s">
        <v>3916</v>
      </c>
      <c r="B3892" s="2">
        <v>45458</v>
      </c>
      <c r="C3892" s="2">
        <v>45464</v>
      </c>
      <c r="D3892" t="s">
        <v>5261</v>
      </c>
      <c r="E3892" t="s">
        <v>5761</v>
      </c>
      <c r="F3892" t="s">
        <v>6028</v>
      </c>
      <c r="G3892" t="s">
        <v>6029</v>
      </c>
      <c r="H3892" t="s">
        <v>6044</v>
      </c>
      <c r="I3892" t="s">
        <v>6046</v>
      </c>
      <c r="J3892" t="s">
        <v>6055</v>
      </c>
      <c r="K3892" t="s">
        <v>6061</v>
      </c>
      <c r="L3892" t="s">
        <v>9200</v>
      </c>
      <c r="M3892">
        <v>230.73</v>
      </c>
      <c r="N3892">
        <v>8</v>
      </c>
      <c r="O3892">
        <v>0.13</v>
      </c>
      <c r="P3892">
        <v>29.49</v>
      </c>
      <c r="Q3892" t="s">
        <v>9895</v>
      </c>
      <c r="R3892">
        <v>6</v>
      </c>
      <c r="S3892" s="5">
        <f t="shared" si="120"/>
        <v>0.12781172799375895</v>
      </c>
      <c r="T3892">
        <v>28.841249999999999</v>
      </c>
      <c r="U3892">
        <v>6</v>
      </c>
      <c r="V3892">
        <v>2024</v>
      </c>
      <c r="W3892">
        <v>2</v>
      </c>
      <c r="X3892" t="s">
        <v>9899</v>
      </c>
      <c r="Y3892" t="s">
        <v>9901</v>
      </c>
      <c r="Z3892" t="s">
        <v>9899</v>
      </c>
      <c r="AD3892">
        <f t="shared" si="121"/>
        <v>6</v>
      </c>
    </row>
    <row r="3893" spans="1:30" x14ac:dyDescent="0.25">
      <c r="A3893" t="s">
        <v>3917</v>
      </c>
      <c r="B3893" s="2">
        <v>45107</v>
      </c>
      <c r="C3893" s="2">
        <v>45113</v>
      </c>
      <c r="D3893" t="s">
        <v>5182</v>
      </c>
      <c r="E3893" t="s">
        <v>5682</v>
      </c>
      <c r="F3893" t="s">
        <v>6026</v>
      </c>
      <c r="G3893" t="s">
        <v>6031</v>
      </c>
      <c r="H3893" t="s">
        <v>6034</v>
      </c>
      <c r="I3893" t="s">
        <v>6052</v>
      </c>
      <c r="J3893" t="s">
        <v>6053</v>
      </c>
      <c r="K3893" t="s">
        <v>6057</v>
      </c>
      <c r="L3893" t="s">
        <v>9201</v>
      </c>
      <c r="M3893">
        <v>788.79</v>
      </c>
      <c r="N3893">
        <v>3</v>
      </c>
      <c r="O3893">
        <v>0.22</v>
      </c>
      <c r="P3893">
        <v>-25.21</v>
      </c>
      <c r="Q3893" t="s">
        <v>9894</v>
      </c>
      <c r="R3893">
        <v>6</v>
      </c>
      <c r="S3893" s="5">
        <f t="shared" si="120"/>
        <v>-3.1960344324851994E-2</v>
      </c>
      <c r="T3893">
        <v>262.93</v>
      </c>
      <c r="U3893">
        <v>6</v>
      </c>
      <c r="V3893">
        <v>2023</v>
      </c>
      <c r="W3893">
        <v>2</v>
      </c>
      <c r="X3893" t="s">
        <v>9898</v>
      </c>
      <c r="Y3893" t="s">
        <v>9900</v>
      </c>
      <c r="Z3893" t="s">
        <v>9899</v>
      </c>
      <c r="AD3893">
        <f t="shared" si="121"/>
        <v>6</v>
      </c>
    </row>
    <row r="3894" spans="1:30" x14ac:dyDescent="0.25">
      <c r="A3894" t="s">
        <v>3918</v>
      </c>
      <c r="B3894" s="2">
        <v>44716</v>
      </c>
      <c r="C3894" s="2">
        <v>44721</v>
      </c>
      <c r="D3894" t="s">
        <v>5378</v>
      </c>
      <c r="E3894" t="s">
        <v>5878</v>
      </c>
      <c r="F3894" t="s">
        <v>6026</v>
      </c>
      <c r="G3894" t="s">
        <v>6030</v>
      </c>
      <c r="H3894" t="s">
        <v>6038</v>
      </c>
      <c r="I3894" t="s">
        <v>6047</v>
      </c>
      <c r="J3894" t="s">
        <v>6053</v>
      </c>
      <c r="K3894" t="s">
        <v>6057</v>
      </c>
      <c r="L3894" t="s">
        <v>9143</v>
      </c>
      <c r="M3894">
        <v>348.96</v>
      </c>
      <c r="N3894">
        <v>7</v>
      </c>
      <c r="O3894">
        <v>0.32</v>
      </c>
      <c r="P3894">
        <v>-14.38</v>
      </c>
      <c r="Q3894" t="s">
        <v>9894</v>
      </c>
      <c r="R3894">
        <v>5</v>
      </c>
      <c r="S3894" s="5">
        <f t="shared" si="120"/>
        <v>-4.1208161393856031E-2</v>
      </c>
      <c r="T3894">
        <v>49.851428571428571</v>
      </c>
      <c r="U3894">
        <v>6</v>
      </c>
      <c r="V3894">
        <v>2022</v>
      </c>
      <c r="W3894">
        <v>2</v>
      </c>
      <c r="X3894" t="s">
        <v>9898</v>
      </c>
      <c r="Y3894" t="s">
        <v>9902</v>
      </c>
      <c r="Z3894" t="s">
        <v>9899</v>
      </c>
      <c r="AD3894">
        <f t="shared" si="121"/>
        <v>5</v>
      </c>
    </row>
    <row r="3895" spans="1:30" x14ac:dyDescent="0.25">
      <c r="A3895" t="s">
        <v>3919</v>
      </c>
      <c r="B3895" s="2">
        <v>45461</v>
      </c>
      <c r="C3895" s="2">
        <v>45463</v>
      </c>
      <c r="D3895" t="s">
        <v>5090</v>
      </c>
      <c r="E3895" t="s">
        <v>5590</v>
      </c>
      <c r="F3895" t="s">
        <v>6027</v>
      </c>
      <c r="G3895" t="s">
        <v>6029</v>
      </c>
      <c r="H3895" t="s">
        <v>6032</v>
      </c>
      <c r="I3895" t="s">
        <v>6050</v>
      </c>
      <c r="J3895" t="s">
        <v>6053</v>
      </c>
      <c r="K3895" t="s">
        <v>6056</v>
      </c>
      <c r="L3895" t="s">
        <v>7871</v>
      </c>
      <c r="M3895">
        <v>820.19</v>
      </c>
      <c r="N3895">
        <v>5</v>
      </c>
      <c r="O3895">
        <v>0.27</v>
      </c>
      <c r="P3895">
        <v>-94.4</v>
      </c>
      <c r="Q3895" t="s">
        <v>9897</v>
      </c>
      <c r="R3895">
        <v>2</v>
      </c>
      <c r="S3895" s="5">
        <f t="shared" si="120"/>
        <v>-0.11509528280032676</v>
      </c>
      <c r="T3895">
        <v>164.03800000000001</v>
      </c>
      <c r="U3895">
        <v>6</v>
      </c>
      <c r="V3895">
        <v>2024</v>
      </c>
      <c r="W3895">
        <v>2</v>
      </c>
      <c r="X3895" t="s">
        <v>9898</v>
      </c>
      <c r="Y3895" t="s">
        <v>9900</v>
      </c>
      <c r="Z3895" t="s">
        <v>9899</v>
      </c>
      <c r="AD3895">
        <f t="shared" si="121"/>
        <v>2</v>
      </c>
    </row>
    <row r="3896" spans="1:30" x14ac:dyDescent="0.25">
      <c r="A3896" t="s">
        <v>3920</v>
      </c>
      <c r="B3896" s="2">
        <v>44947</v>
      </c>
      <c r="C3896" s="2">
        <v>44949</v>
      </c>
      <c r="D3896" t="s">
        <v>5394</v>
      </c>
      <c r="E3896" t="s">
        <v>5894</v>
      </c>
      <c r="F3896" t="s">
        <v>6028</v>
      </c>
      <c r="G3896" t="s">
        <v>6029</v>
      </c>
      <c r="H3896" t="s">
        <v>6036</v>
      </c>
      <c r="I3896" t="s">
        <v>6049</v>
      </c>
      <c r="J3896" t="s">
        <v>6055</v>
      </c>
      <c r="K3896" t="s">
        <v>6064</v>
      </c>
      <c r="L3896" t="s">
        <v>9202</v>
      </c>
      <c r="M3896">
        <v>875.75</v>
      </c>
      <c r="N3896">
        <v>7</v>
      </c>
      <c r="O3896">
        <v>0.04</v>
      </c>
      <c r="P3896">
        <v>153.33000000000001</v>
      </c>
      <c r="Q3896" t="s">
        <v>9896</v>
      </c>
      <c r="R3896">
        <v>2</v>
      </c>
      <c r="S3896" s="5">
        <f t="shared" si="120"/>
        <v>0.17508421353125894</v>
      </c>
      <c r="T3896">
        <v>125.1071428571429</v>
      </c>
      <c r="U3896">
        <v>1</v>
      </c>
      <c r="V3896">
        <v>2023</v>
      </c>
      <c r="W3896">
        <v>1</v>
      </c>
      <c r="X3896" t="s">
        <v>9899</v>
      </c>
      <c r="Y3896" t="s">
        <v>9901</v>
      </c>
      <c r="Z3896" t="s">
        <v>9899</v>
      </c>
      <c r="AD3896">
        <f t="shared" si="121"/>
        <v>2</v>
      </c>
    </row>
    <row r="3897" spans="1:30" x14ac:dyDescent="0.25">
      <c r="A3897" t="s">
        <v>3921</v>
      </c>
      <c r="B3897" s="2">
        <v>44828</v>
      </c>
      <c r="C3897" s="2">
        <v>44833</v>
      </c>
      <c r="D3897" t="s">
        <v>5040</v>
      </c>
      <c r="E3897" t="s">
        <v>5540</v>
      </c>
      <c r="F3897" t="s">
        <v>6027</v>
      </c>
      <c r="G3897" t="s">
        <v>6030</v>
      </c>
      <c r="H3897" t="s">
        <v>6035</v>
      </c>
      <c r="I3897" t="s">
        <v>6047</v>
      </c>
      <c r="J3897" t="s">
        <v>6053</v>
      </c>
      <c r="K3897" t="s">
        <v>6058</v>
      </c>
      <c r="L3897" t="s">
        <v>9203</v>
      </c>
      <c r="M3897">
        <v>813.55</v>
      </c>
      <c r="N3897">
        <v>7</v>
      </c>
      <c r="O3897">
        <v>0.14000000000000001</v>
      </c>
      <c r="P3897">
        <v>57.84</v>
      </c>
      <c r="Q3897" t="s">
        <v>9897</v>
      </c>
      <c r="R3897">
        <v>5</v>
      </c>
      <c r="S3897" s="5">
        <f t="shared" si="120"/>
        <v>7.1095814639542759E-2</v>
      </c>
      <c r="T3897">
        <v>116.2214285714286</v>
      </c>
      <c r="U3897">
        <v>9</v>
      </c>
      <c r="V3897">
        <v>2022</v>
      </c>
      <c r="W3897">
        <v>3</v>
      </c>
      <c r="X3897" t="s">
        <v>9899</v>
      </c>
      <c r="Y3897" t="s">
        <v>9901</v>
      </c>
      <c r="Z3897" t="s">
        <v>9899</v>
      </c>
      <c r="AD3897">
        <f t="shared" si="121"/>
        <v>5</v>
      </c>
    </row>
    <row r="3898" spans="1:30" x14ac:dyDescent="0.25">
      <c r="A3898" t="s">
        <v>3922</v>
      </c>
      <c r="B3898" s="2">
        <v>44792</v>
      </c>
      <c r="C3898" s="2">
        <v>44798</v>
      </c>
      <c r="D3898" t="s">
        <v>5110</v>
      </c>
      <c r="E3898" t="s">
        <v>5610</v>
      </c>
      <c r="F3898" t="s">
        <v>6028</v>
      </c>
      <c r="G3898" t="s">
        <v>6030</v>
      </c>
      <c r="H3898" t="s">
        <v>6035</v>
      </c>
      <c r="I3898" t="s">
        <v>6047</v>
      </c>
      <c r="J3898" t="s">
        <v>6055</v>
      </c>
      <c r="K3898" t="s">
        <v>6064</v>
      </c>
      <c r="L3898" t="s">
        <v>9204</v>
      </c>
      <c r="M3898">
        <v>995.9</v>
      </c>
      <c r="N3898">
        <v>6</v>
      </c>
      <c r="O3898">
        <v>0.09</v>
      </c>
      <c r="P3898">
        <v>183.04</v>
      </c>
      <c r="Q3898" t="s">
        <v>9894</v>
      </c>
      <c r="R3898">
        <v>6</v>
      </c>
      <c r="S3898" s="5">
        <f t="shared" si="120"/>
        <v>0.1837935535696355</v>
      </c>
      <c r="T3898">
        <v>165.98333333333329</v>
      </c>
      <c r="U3898">
        <v>8</v>
      </c>
      <c r="V3898">
        <v>2022</v>
      </c>
      <c r="W3898">
        <v>3</v>
      </c>
      <c r="X3898" t="s">
        <v>9899</v>
      </c>
      <c r="Y3898" t="s">
        <v>9901</v>
      </c>
      <c r="Z3898" t="s">
        <v>9899</v>
      </c>
      <c r="AD3898">
        <f t="shared" si="121"/>
        <v>6</v>
      </c>
    </row>
    <row r="3899" spans="1:30" x14ac:dyDescent="0.25">
      <c r="A3899" t="s">
        <v>3923</v>
      </c>
      <c r="B3899" s="2">
        <v>45339</v>
      </c>
      <c r="C3899" s="2">
        <v>45342</v>
      </c>
      <c r="D3899" t="s">
        <v>5317</v>
      </c>
      <c r="E3899" t="s">
        <v>5817</v>
      </c>
      <c r="F3899" t="s">
        <v>6028</v>
      </c>
      <c r="G3899" t="s">
        <v>6030</v>
      </c>
      <c r="H3899" t="s">
        <v>6033</v>
      </c>
      <c r="I3899" t="s">
        <v>6051</v>
      </c>
      <c r="J3899" t="s">
        <v>6055</v>
      </c>
      <c r="K3899" t="s">
        <v>6063</v>
      </c>
      <c r="L3899" t="s">
        <v>9205</v>
      </c>
      <c r="M3899">
        <v>1766.26</v>
      </c>
      <c r="N3899">
        <v>1</v>
      </c>
      <c r="O3899">
        <v>0.21</v>
      </c>
      <c r="P3899">
        <v>-189.32</v>
      </c>
      <c r="Q3899" t="s">
        <v>9893</v>
      </c>
      <c r="R3899">
        <v>3</v>
      </c>
      <c r="S3899" s="5">
        <f t="shared" si="120"/>
        <v>-0.10718693737048905</v>
      </c>
      <c r="T3899">
        <v>1766.26</v>
      </c>
      <c r="U3899">
        <v>2</v>
      </c>
      <c r="V3899">
        <v>2024</v>
      </c>
      <c r="W3899">
        <v>1</v>
      </c>
      <c r="X3899" t="s">
        <v>9898</v>
      </c>
      <c r="Y3899" t="s">
        <v>9900</v>
      </c>
      <c r="Z3899" t="s">
        <v>9898</v>
      </c>
      <c r="AD3899">
        <f t="shared" si="121"/>
        <v>3</v>
      </c>
    </row>
    <row r="3900" spans="1:30" x14ac:dyDescent="0.25">
      <c r="A3900" t="s">
        <v>3924</v>
      </c>
      <c r="B3900" s="2">
        <v>45042</v>
      </c>
      <c r="C3900" s="2">
        <v>45045</v>
      </c>
      <c r="D3900" t="s">
        <v>5342</v>
      </c>
      <c r="E3900" t="s">
        <v>5842</v>
      </c>
      <c r="F3900" t="s">
        <v>6026</v>
      </c>
      <c r="G3900" t="s">
        <v>6031</v>
      </c>
      <c r="H3900" t="s">
        <v>6040</v>
      </c>
      <c r="I3900" t="s">
        <v>6052</v>
      </c>
      <c r="J3900" t="s">
        <v>6054</v>
      </c>
      <c r="K3900" t="s">
        <v>6062</v>
      </c>
      <c r="L3900" t="s">
        <v>9206</v>
      </c>
      <c r="M3900">
        <v>665.53</v>
      </c>
      <c r="N3900">
        <v>7</v>
      </c>
      <c r="O3900">
        <v>7.0000000000000007E-2</v>
      </c>
      <c r="P3900">
        <v>44.15</v>
      </c>
      <c r="Q3900" t="s">
        <v>9893</v>
      </c>
      <c r="R3900">
        <v>3</v>
      </c>
      <c r="S3900" s="5">
        <f t="shared" si="120"/>
        <v>6.6338106471533972E-2</v>
      </c>
      <c r="T3900">
        <v>95.075714285714284</v>
      </c>
      <c r="U3900">
        <v>4</v>
      </c>
      <c r="V3900">
        <v>2023</v>
      </c>
      <c r="W3900">
        <v>2</v>
      </c>
      <c r="X3900" t="s">
        <v>9899</v>
      </c>
      <c r="Y3900" t="s">
        <v>9901</v>
      </c>
      <c r="Z3900" t="s">
        <v>9899</v>
      </c>
      <c r="AD3900">
        <f t="shared" si="121"/>
        <v>3</v>
      </c>
    </row>
    <row r="3901" spans="1:30" x14ac:dyDescent="0.25">
      <c r="A3901" t="s">
        <v>3925</v>
      </c>
      <c r="B3901" s="2">
        <v>45112</v>
      </c>
      <c r="C3901" s="2">
        <v>45114</v>
      </c>
      <c r="D3901" t="s">
        <v>5110</v>
      </c>
      <c r="E3901" t="s">
        <v>5610</v>
      </c>
      <c r="F3901" t="s">
        <v>6028</v>
      </c>
      <c r="G3901" t="s">
        <v>6031</v>
      </c>
      <c r="H3901" t="s">
        <v>6040</v>
      </c>
      <c r="I3901" t="s">
        <v>6050</v>
      </c>
      <c r="J3901" t="s">
        <v>6053</v>
      </c>
      <c r="K3901" t="s">
        <v>6056</v>
      </c>
      <c r="L3901" t="s">
        <v>9207</v>
      </c>
      <c r="M3901">
        <v>935.67</v>
      </c>
      <c r="N3901">
        <v>4</v>
      </c>
      <c r="O3901">
        <v>0.3</v>
      </c>
      <c r="P3901">
        <v>-12.66</v>
      </c>
      <c r="Q3901" t="s">
        <v>9897</v>
      </c>
      <c r="R3901">
        <v>2</v>
      </c>
      <c r="S3901" s="5">
        <f t="shared" si="120"/>
        <v>-1.3530411362980539E-2</v>
      </c>
      <c r="T3901">
        <v>233.91749999999999</v>
      </c>
      <c r="U3901">
        <v>7</v>
      </c>
      <c r="V3901">
        <v>2023</v>
      </c>
      <c r="W3901">
        <v>3</v>
      </c>
      <c r="X3901" t="s">
        <v>9898</v>
      </c>
      <c r="Y3901" t="s">
        <v>9900</v>
      </c>
      <c r="Z3901" t="s">
        <v>9899</v>
      </c>
      <c r="AD3901">
        <f t="shared" si="121"/>
        <v>2</v>
      </c>
    </row>
    <row r="3902" spans="1:30" x14ac:dyDescent="0.25">
      <c r="A3902" t="s">
        <v>3926</v>
      </c>
      <c r="B3902" s="2">
        <v>45340</v>
      </c>
      <c r="C3902" s="2">
        <v>45345</v>
      </c>
      <c r="D3902" t="s">
        <v>5234</v>
      </c>
      <c r="E3902" t="s">
        <v>5734</v>
      </c>
      <c r="F3902" t="s">
        <v>6028</v>
      </c>
      <c r="G3902" t="s">
        <v>6030</v>
      </c>
      <c r="H3902" t="s">
        <v>6038</v>
      </c>
      <c r="I3902" t="s">
        <v>6047</v>
      </c>
      <c r="J3902" t="s">
        <v>6053</v>
      </c>
      <c r="K3902" t="s">
        <v>6056</v>
      </c>
      <c r="L3902" t="s">
        <v>6329</v>
      </c>
      <c r="M3902">
        <v>203.33</v>
      </c>
      <c r="N3902">
        <v>8</v>
      </c>
      <c r="O3902">
        <v>0.22</v>
      </c>
      <c r="P3902">
        <v>3.11</v>
      </c>
      <c r="Q3902" t="s">
        <v>9895</v>
      </c>
      <c r="R3902">
        <v>5</v>
      </c>
      <c r="S3902" s="5">
        <f t="shared" si="120"/>
        <v>1.5295332710372299E-2</v>
      </c>
      <c r="T3902">
        <v>25.416250000000002</v>
      </c>
      <c r="U3902">
        <v>2</v>
      </c>
      <c r="V3902">
        <v>2024</v>
      </c>
      <c r="W3902">
        <v>1</v>
      </c>
      <c r="X3902" t="s">
        <v>9899</v>
      </c>
      <c r="Y3902" t="s">
        <v>9900</v>
      </c>
      <c r="Z3902" t="s">
        <v>9899</v>
      </c>
      <c r="AD3902">
        <f t="shared" si="121"/>
        <v>5</v>
      </c>
    </row>
    <row r="3903" spans="1:30" x14ac:dyDescent="0.25">
      <c r="A3903" t="s">
        <v>3927</v>
      </c>
      <c r="B3903" s="2">
        <v>45059</v>
      </c>
      <c r="C3903" s="2">
        <v>45060</v>
      </c>
      <c r="D3903" t="s">
        <v>5213</v>
      </c>
      <c r="E3903" t="s">
        <v>5713</v>
      </c>
      <c r="F3903" t="s">
        <v>6026</v>
      </c>
      <c r="G3903" t="s">
        <v>6030</v>
      </c>
      <c r="H3903" t="s">
        <v>6033</v>
      </c>
      <c r="I3903" t="s">
        <v>6051</v>
      </c>
      <c r="J3903" t="s">
        <v>6053</v>
      </c>
      <c r="K3903" t="s">
        <v>6058</v>
      </c>
      <c r="L3903" t="s">
        <v>9208</v>
      </c>
      <c r="M3903">
        <v>679.25</v>
      </c>
      <c r="N3903">
        <v>7</v>
      </c>
      <c r="O3903">
        <v>0.34</v>
      </c>
      <c r="P3903">
        <v>-143.62</v>
      </c>
      <c r="Q3903" t="s">
        <v>9893</v>
      </c>
      <c r="R3903">
        <v>1</v>
      </c>
      <c r="S3903" s="5">
        <f t="shared" si="120"/>
        <v>-0.21143908722856092</v>
      </c>
      <c r="T3903">
        <v>97.035714285714292</v>
      </c>
      <c r="U3903">
        <v>5</v>
      </c>
      <c r="V3903">
        <v>2023</v>
      </c>
      <c r="W3903">
        <v>2</v>
      </c>
      <c r="X3903" t="s">
        <v>9898</v>
      </c>
      <c r="Y3903" t="s">
        <v>9902</v>
      </c>
      <c r="Z3903" t="s">
        <v>9899</v>
      </c>
      <c r="AD3903">
        <f t="shared" si="121"/>
        <v>1</v>
      </c>
    </row>
    <row r="3904" spans="1:30" x14ac:dyDescent="0.25">
      <c r="A3904" t="s">
        <v>3928</v>
      </c>
      <c r="B3904" s="2">
        <v>44959</v>
      </c>
      <c r="C3904" s="2">
        <v>44964</v>
      </c>
      <c r="D3904" t="s">
        <v>5129</v>
      </c>
      <c r="E3904" t="s">
        <v>5629</v>
      </c>
      <c r="F3904" t="s">
        <v>6027</v>
      </c>
      <c r="G3904" t="s">
        <v>6031</v>
      </c>
      <c r="H3904" t="s">
        <v>6037</v>
      </c>
      <c r="I3904" t="s">
        <v>6048</v>
      </c>
      <c r="J3904" t="s">
        <v>6053</v>
      </c>
      <c r="K3904" t="s">
        <v>6057</v>
      </c>
      <c r="L3904" t="s">
        <v>7758</v>
      </c>
      <c r="M3904">
        <v>1865.63</v>
      </c>
      <c r="N3904">
        <v>5</v>
      </c>
      <c r="O3904">
        <v>0.06</v>
      </c>
      <c r="P3904">
        <v>361.79</v>
      </c>
      <c r="Q3904" t="s">
        <v>9894</v>
      </c>
      <c r="R3904">
        <v>5</v>
      </c>
      <c r="S3904" s="5">
        <f t="shared" si="120"/>
        <v>0.19392376837851022</v>
      </c>
      <c r="T3904">
        <v>373.12599999999998</v>
      </c>
      <c r="U3904">
        <v>2</v>
      </c>
      <c r="V3904">
        <v>2023</v>
      </c>
      <c r="W3904">
        <v>1</v>
      </c>
      <c r="X3904" t="s">
        <v>9899</v>
      </c>
      <c r="Y3904" t="s">
        <v>9901</v>
      </c>
      <c r="Z3904" t="s">
        <v>9898</v>
      </c>
      <c r="AD3904">
        <f t="shared" si="121"/>
        <v>5</v>
      </c>
    </row>
    <row r="3905" spans="1:30" x14ac:dyDescent="0.25">
      <c r="A3905" t="s">
        <v>3929</v>
      </c>
      <c r="B3905" s="2">
        <v>45123</v>
      </c>
      <c r="C3905" s="2">
        <v>45129</v>
      </c>
      <c r="D3905" t="s">
        <v>5330</v>
      </c>
      <c r="E3905" t="s">
        <v>5830</v>
      </c>
      <c r="F3905" t="s">
        <v>6028</v>
      </c>
      <c r="G3905" t="s">
        <v>6029</v>
      </c>
      <c r="H3905" t="s">
        <v>6032</v>
      </c>
      <c r="I3905" t="s">
        <v>6050</v>
      </c>
      <c r="J3905" t="s">
        <v>6053</v>
      </c>
      <c r="K3905" t="s">
        <v>6058</v>
      </c>
      <c r="L3905" t="s">
        <v>9209</v>
      </c>
      <c r="M3905">
        <v>825.06</v>
      </c>
      <c r="N3905">
        <v>7</v>
      </c>
      <c r="O3905">
        <v>0.21</v>
      </c>
      <c r="P3905">
        <v>1.18</v>
      </c>
      <c r="Q3905" t="s">
        <v>9893</v>
      </c>
      <c r="R3905">
        <v>6</v>
      </c>
      <c r="S3905" s="5">
        <f t="shared" si="120"/>
        <v>1.4301990158291518E-3</v>
      </c>
      <c r="T3905">
        <v>117.8657142857143</v>
      </c>
      <c r="U3905">
        <v>7</v>
      </c>
      <c r="V3905">
        <v>2023</v>
      </c>
      <c r="W3905">
        <v>3</v>
      </c>
      <c r="X3905" t="s">
        <v>9899</v>
      </c>
      <c r="Y3905" t="s">
        <v>9900</v>
      </c>
      <c r="Z3905" t="s">
        <v>9899</v>
      </c>
      <c r="AD3905">
        <f t="shared" si="121"/>
        <v>6</v>
      </c>
    </row>
    <row r="3906" spans="1:30" x14ac:dyDescent="0.25">
      <c r="A3906" t="s">
        <v>3930</v>
      </c>
      <c r="B3906" s="2">
        <v>44878</v>
      </c>
      <c r="C3906" s="2">
        <v>44881</v>
      </c>
      <c r="D3906" t="s">
        <v>5176</v>
      </c>
      <c r="E3906" t="s">
        <v>5676</v>
      </c>
      <c r="F3906" t="s">
        <v>6027</v>
      </c>
      <c r="G3906" t="s">
        <v>6031</v>
      </c>
      <c r="H3906" t="s">
        <v>6042</v>
      </c>
      <c r="I3906" t="s">
        <v>6048</v>
      </c>
      <c r="J3906" t="s">
        <v>6055</v>
      </c>
      <c r="K3906" t="s">
        <v>6064</v>
      </c>
      <c r="L3906" t="s">
        <v>9204</v>
      </c>
      <c r="M3906">
        <v>123.29</v>
      </c>
      <c r="N3906">
        <v>1</v>
      </c>
      <c r="O3906">
        <v>0.13</v>
      </c>
      <c r="P3906">
        <v>6.97</v>
      </c>
      <c r="Q3906" t="s">
        <v>9896</v>
      </c>
      <c r="R3906">
        <v>3</v>
      </c>
      <c r="S3906" s="5">
        <f t="shared" si="120"/>
        <v>5.6533376591775486E-2</v>
      </c>
      <c r="T3906">
        <v>123.29</v>
      </c>
      <c r="U3906">
        <v>11</v>
      </c>
      <c r="V3906">
        <v>2022</v>
      </c>
      <c r="W3906">
        <v>4</v>
      </c>
      <c r="X3906" t="s">
        <v>9899</v>
      </c>
      <c r="Y3906" t="s">
        <v>9901</v>
      </c>
      <c r="Z3906" t="s">
        <v>9899</v>
      </c>
      <c r="AD3906">
        <f t="shared" si="121"/>
        <v>3</v>
      </c>
    </row>
    <row r="3907" spans="1:30" x14ac:dyDescent="0.25">
      <c r="A3907" t="s">
        <v>3931</v>
      </c>
      <c r="B3907" s="2">
        <v>45058</v>
      </c>
      <c r="C3907" s="2">
        <v>45063</v>
      </c>
      <c r="D3907" t="s">
        <v>5181</v>
      </c>
      <c r="E3907" t="s">
        <v>5681</v>
      </c>
      <c r="F3907" t="s">
        <v>6027</v>
      </c>
      <c r="G3907" t="s">
        <v>6029</v>
      </c>
      <c r="H3907" t="s">
        <v>6045</v>
      </c>
      <c r="I3907" t="s">
        <v>6046</v>
      </c>
      <c r="J3907" t="s">
        <v>6054</v>
      </c>
      <c r="K3907" t="s">
        <v>6062</v>
      </c>
      <c r="L3907" t="s">
        <v>9210</v>
      </c>
      <c r="M3907">
        <v>798.92</v>
      </c>
      <c r="N3907">
        <v>6</v>
      </c>
      <c r="O3907">
        <v>0.04</v>
      </c>
      <c r="P3907">
        <v>175.43</v>
      </c>
      <c r="Q3907" t="s">
        <v>9893</v>
      </c>
      <c r="R3907">
        <v>5</v>
      </c>
      <c r="S3907" s="5">
        <f t="shared" ref="S3907:S3970" si="122">P3907/M3907</f>
        <v>0.21958393831672759</v>
      </c>
      <c r="T3907">
        <v>133.15333333333331</v>
      </c>
      <c r="U3907">
        <v>5</v>
      </c>
      <c r="V3907">
        <v>2023</v>
      </c>
      <c r="W3907">
        <v>2</v>
      </c>
      <c r="X3907" t="s">
        <v>9899</v>
      </c>
      <c r="Y3907" t="s">
        <v>9901</v>
      </c>
      <c r="Z3907" t="s">
        <v>9899</v>
      </c>
      <c r="AD3907">
        <f t="shared" ref="AD3907:AD3970" si="123">C3907-B3907</f>
        <v>5</v>
      </c>
    </row>
    <row r="3908" spans="1:30" x14ac:dyDescent="0.25">
      <c r="A3908" t="s">
        <v>3932</v>
      </c>
      <c r="B3908" s="2">
        <v>45242</v>
      </c>
      <c r="C3908" s="2">
        <v>45247</v>
      </c>
      <c r="D3908" t="s">
        <v>5148</v>
      </c>
      <c r="E3908" t="s">
        <v>5648</v>
      </c>
      <c r="F3908" t="s">
        <v>6026</v>
      </c>
      <c r="G3908" t="s">
        <v>6031</v>
      </c>
      <c r="H3908" t="s">
        <v>6042</v>
      </c>
      <c r="I3908" t="s">
        <v>6048</v>
      </c>
      <c r="J3908" t="s">
        <v>6055</v>
      </c>
      <c r="K3908" t="s">
        <v>6063</v>
      </c>
      <c r="L3908" t="s">
        <v>9211</v>
      </c>
      <c r="M3908">
        <v>1594.44</v>
      </c>
      <c r="N3908">
        <v>1</v>
      </c>
      <c r="O3908">
        <v>0.13</v>
      </c>
      <c r="P3908">
        <v>260.37</v>
      </c>
      <c r="Q3908" t="s">
        <v>9896</v>
      </c>
      <c r="R3908">
        <v>5</v>
      </c>
      <c r="S3908" s="5">
        <f t="shared" si="122"/>
        <v>0.16329871302777149</v>
      </c>
      <c r="T3908">
        <v>1594.44</v>
      </c>
      <c r="U3908">
        <v>11</v>
      </c>
      <c r="V3908">
        <v>2023</v>
      </c>
      <c r="W3908">
        <v>4</v>
      </c>
      <c r="X3908" t="s">
        <v>9899</v>
      </c>
      <c r="Y3908" t="s">
        <v>9901</v>
      </c>
      <c r="Z3908" t="s">
        <v>9898</v>
      </c>
      <c r="AD3908">
        <f t="shared" si="123"/>
        <v>5</v>
      </c>
    </row>
    <row r="3909" spans="1:30" x14ac:dyDescent="0.25">
      <c r="A3909" t="s">
        <v>3933</v>
      </c>
      <c r="B3909" s="2">
        <v>45056</v>
      </c>
      <c r="C3909" s="2">
        <v>45062</v>
      </c>
      <c r="D3909" t="s">
        <v>5148</v>
      </c>
      <c r="E3909" t="s">
        <v>5648</v>
      </c>
      <c r="F3909" t="s">
        <v>6026</v>
      </c>
      <c r="G3909" t="s">
        <v>6030</v>
      </c>
      <c r="H3909" t="s">
        <v>6033</v>
      </c>
      <c r="I3909" t="s">
        <v>6047</v>
      </c>
      <c r="J3909" t="s">
        <v>6053</v>
      </c>
      <c r="K3909" t="s">
        <v>6056</v>
      </c>
      <c r="L3909" t="s">
        <v>9212</v>
      </c>
      <c r="M3909">
        <v>1631.33</v>
      </c>
      <c r="N3909">
        <v>2</v>
      </c>
      <c r="O3909">
        <v>0.34</v>
      </c>
      <c r="P3909">
        <v>-241.23</v>
      </c>
      <c r="Q3909" t="s">
        <v>9895</v>
      </c>
      <c r="R3909">
        <v>6</v>
      </c>
      <c r="S3909" s="5">
        <f t="shared" si="122"/>
        <v>-0.14787320775073101</v>
      </c>
      <c r="T3909">
        <v>815.66499999999996</v>
      </c>
      <c r="U3909">
        <v>5</v>
      </c>
      <c r="V3909">
        <v>2023</v>
      </c>
      <c r="W3909">
        <v>2</v>
      </c>
      <c r="X3909" t="s">
        <v>9898</v>
      </c>
      <c r="Y3909" t="s">
        <v>9902</v>
      </c>
      <c r="Z3909" t="s">
        <v>9898</v>
      </c>
      <c r="AD3909">
        <f t="shared" si="123"/>
        <v>6</v>
      </c>
    </row>
    <row r="3910" spans="1:30" x14ac:dyDescent="0.25">
      <c r="A3910" t="s">
        <v>3934</v>
      </c>
      <c r="B3910" s="2">
        <v>45006</v>
      </c>
      <c r="C3910" s="2">
        <v>45008</v>
      </c>
      <c r="D3910" t="s">
        <v>5075</v>
      </c>
      <c r="E3910" t="s">
        <v>5575</v>
      </c>
      <c r="F3910" t="s">
        <v>6027</v>
      </c>
      <c r="G3910" t="s">
        <v>6029</v>
      </c>
      <c r="H3910" t="s">
        <v>6045</v>
      </c>
      <c r="I3910" t="s">
        <v>6046</v>
      </c>
      <c r="J3910" t="s">
        <v>6053</v>
      </c>
      <c r="K3910" t="s">
        <v>6056</v>
      </c>
      <c r="L3910" t="s">
        <v>9014</v>
      </c>
      <c r="M3910">
        <v>733.62</v>
      </c>
      <c r="N3910">
        <v>1</v>
      </c>
      <c r="O3910">
        <v>0.05</v>
      </c>
      <c r="P3910">
        <v>145.07</v>
      </c>
      <c r="Q3910" t="s">
        <v>9897</v>
      </c>
      <c r="R3910">
        <v>2</v>
      </c>
      <c r="S3910" s="5">
        <f t="shared" si="122"/>
        <v>0.19774542678771026</v>
      </c>
      <c r="T3910">
        <v>733.62</v>
      </c>
      <c r="U3910">
        <v>3</v>
      </c>
      <c r="V3910">
        <v>2023</v>
      </c>
      <c r="W3910">
        <v>1</v>
      </c>
      <c r="X3910" t="s">
        <v>9899</v>
      </c>
      <c r="Y3910" t="s">
        <v>9901</v>
      </c>
      <c r="Z3910" t="s">
        <v>9899</v>
      </c>
      <c r="AD3910">
        <f t="shared" si="123"/>
        <v>2</v>
      </c>
    </row>
    <row r="3911" spans="1:30" x14ac:dyDescent="0.25">
      <c r="A3911" t="s">
        <v>3935</v>
      </c>
      <c r="B3911" s="2">
        <v>45035</v>
      </c>
      <c r="C3911" s="2">
        <v>45040</v>
      </c>
      <c r="D3911" t="s">
        <v>5335</v>
      </c>
      <c r="E3911" t="s">
        <v>5835</v>
      </c>
      <c r="F3911" t="s">
        <v>6028</v>
      </c>
      <c r="G3911" t="s">
        <v>6030</v>
      </c>
      <c r="H3911" t="s">
        <v>6039</v>
      </c>
      <c r="I3911" t="s">
        <v>6051</v>
      </c>
      <c r="J3911" t="s">
        <v>6053</v>
      </c>
      <c r="K3911" t="s">
        <v>6058</v>
      </c>
      <c r="L3911" t="s">
        <v>9213</v>
      </c>
      <c r="M3911">
        <v>137.41999999999999</v>
      </c>
      <c r="N3911">
        <v>5</v>
      </c>
      <c r="O3911">
        <v>0.18</v>
      </c>
      <c r="P3911">
        <v>13.25</v>
      </c>
      <c r="Q3911" t="s">
        <v>9895</v>
      </c>
      <c r="R3911">
        <v>5</v>
      </c>
      <c r="S3911" s="5">
        <f t="shared" si="122"/>
        <v>9.6419735118614472E-2</v>
      </c>
      <c r="T3911">
        <v>27.484000000000002</v>
      </c>
      <c r="U3911">
        <v>4</v>
      </c>
      <c r="V3911">
        <v>2023</v>
      </c>
      <c r="W3911">
        <v>2</v>
      </c>
      <c r="X3911" t="s">
        <v>9899</v>
      </c>
      <c r="Y3911" t="s">
        <v>9900</v>
      </c>
      <c r="Z3911" t="s">
        <v>9899</v>
      </c>
      <c r="AD3911">
        <f t="shared" si="123"/>
        <v>5</v>
      </c>
    </row>
    <row r="3912" spans="1:30" x14ac:dyDescent="0.25">
      <c r="A3912" t="s">
        <v>3936</v>
      </c>
      <c r="B3912" s="2">
        <v>45190</v>
      </c>
      <c r="C3912" s="2">
        <v>45197</v>
      </c>
      <c r="D3912" t="s">
        <v>5246</v>
      </c>
      <c r="E3912" t="s">
        <v>5746</v>
      </c>
      <c r="F3912" t="s">
        <v>6028</v>
      </c>
      <c r="G3912" t="s">
        <v>6030</v>
      </c>
      <c r="H3912" t="s">
        <v>6039</v>
      </c>
      <c r="I3912" t="s">
        <v>6051</v>
      </c>
      <c r="J3912" t="s">
        <v>6055</v>
      </c>
      <c r="K3912" t="s">
        <v>6064</v>
      </c>
      <c r="L3912" t="s">
        <v>7476</v>
      </c>
      <c r="M3912">
        <v>606.22</v>
      </c>
      <c r="N3912">
        <v>4</v>
      </c>
      <c r="O3912">
        <v>0.19</v>
      </c>
      <c r="P3912">
        <v>7.5</v>
      </c>
      <c r="Q3912" t="s">
        <v>9897</v>
      </c>
      <c r="R3912">
        <v>7</v>
      </c>
      <c r="S3912" s="5">
        <f t="shared" si="122"/>
        <v>1.2371746230741314E-2</v>
      </c>
      <c r="T3912">
        <v>151.55500000000001</v>
      </c>
      <c r="U3912">
        <v>9</v>
      </c>
      <c r="V3912">
        <v>2023</v>
      </c>
      <c r="W3912">
        <v>3</v>
      </c>
      <c r="X3912" t="s">
        <v>9899</v>
      </c>
      <c r="Y3912" t="s">
        <v>9900</v>
      </c>
      <c r="Z3912" t="s">
        <v>9899</v>
      </c>
      <c r="AD3912">
        <f t="shared" si="123"/>
        <v>7</v>
      </c>
    </row>
    <row r="3913" spans="1:30" x14ac:dyDescent="0.25">
      <c r="A3913" t="s">
        <v>3937</v>
      </c>
      <c r="B3913" s="2">
        <v>45322</v>
      </c>
      <c r="C3913" s="2">
        <v>45323</v>
      </c>
      <c r="D3913" t="s">
        <v>5506</v>
      </c>
      <c r="E3913" t="s">
        <v>6006</v>
      </c>
      <c r="F3913" t="s">
        <v>6028</v>
      </c>
      <c r="G3913" t="s">
        <v>6030</v>
      </c>
      <c r="H3913" t="s">
        <v>6039</v>
      </c>
      <c r="I3913" t="s">
        <v>6047</v>
      </c>
      <c r="J3913" t="s">
        <v>6053</v>
      </c>
      <c r="K3913" t="s">
        <v>6056</v>
      </c>
      <c r="L3913" t="s">
        <v>9214</v>
      </c>
      <c r="M3913">
        <v>1376.43</v>
      </c>
      <c r="N3913">
        <v>6</v>
      </c>
      <c r="O3913">
        <v>0.14000000000000001</v>
      </c>
      <c r="P3913">
        <v>123.03</v>
      </c>
      <c r="Q3913" t="s">
        <v>9897</v>
      </c>
      <c r="R3913">
        <v>1</v>
      </c>
      <c r="S3913" s="5">
        <f t="shared" si="122"/>
        <v>8.938340489527255E-2</v>
      </c>
      <c r="T3913">
        <v>229.405</v>
      </c>
      <c r="U3913">
        <v>1</v>
      </c>
      <c r="V3913">
        <v>2024</v>
      </c>
      <c r="W3913">
        <v>1</v>
      </c>
      <c r="X3913" t="s">
        <v>9899</v>
      </c>
      <c r="Y3913" t="s">
        <v>9901</v>
      </c>
      <c r="Z3913" t="s">
        <v>9898</v>
      </c>
      <c r="AD3913">
        <f t="shared" si="123"/>
        <v>1</v>
      </c>
    </row>
    <row r="3914" spans="1:30" x14ac:dyDescent="0.25">
      <c r="A3914" t="s">
        <v>3938</v>
      </c>
      <c r="B3914" s="2">
        <v>44962</v>
      </c>
      <c r="C3914" s="2">
        <v>44969</v>
      </c>
      <c r="D3914" t="s">
        <v>5470</v>
      </c>
      <c r="E3914" t="s">
        <v>5970</v>
      </c>
      <c r="F3914" t="s">
        <v>6027</v>
      </c>
      <c r="G3914" t="s">
        <v>6031</v>
      </c>
      <c r="H3914" t="s">
        <v>6042</v>
      </c>
      <c r="I3914" t="s">
        <v>6052</v>
      </c>
      <c r="J3914" t="s">
        <v>6054</v>
      </c>
      <c r="K3914" t="s">
        <v>6062</v>
      </c>
      <c r="L3914" t="s">
        <v>8481</v>
      </c>
      <c r="M3914">
        <v>1785.11</v>
      </c>
      <c r="N3914">
        <v>4</v>
      </c>
      <c r="O3914">
        <v>0.23</v>
      </c>
      <c r="P3914">
        <v>-156.49</v>
      </c>
      <c r="Q3914" t="s">
        <v>9897</v>
      </c>
      <c r="R3914">
        <v>7</v>
      </c>
      <c r="S3914" s="5">
        <f t="shared" si="122"/>
        <v>-8.7664065519771905E-2</v>
      </c>
      <c r="T3914">
        <v>446.27749999999997</v>
      </c>
      <c r="U3914">
        <v>2</v>
      </c>
      <c r="V3914">
        <v>2023</v>
      </c>
      <c r="W3914">
        <v>1</v>
      </c>
      <c r="X3914" t="s">
        <v>9898</v>
      </c>
      <c r="Y3914" t="s">
        <v>9900</v>
      </c>
      <c r="Z3914" t="s">
        <v>9898</v>
      </c>
      <c r="AD3914">
        <f t="shared" si="123"/>
        <v>7</v>
      </c>
    </row>
    <row r="3915" spans="1:30" x14ac:dyDescent="0.25">
      <c r="A3915" t="s">
        <v>3939</v>
      </c>
      <c r="B3915" s="2">
        <v>45401</v>
      </c>
      <c r="C3915" s="2">
        <v>45406</v>
      </c>
      <c r="D3915" t="s">
        <v>5218</v>
      </c>
      <c r="E3915" t="s">
        <v>5718</v>
      </c>
      <c r="F3915" t="s">
        <v>6027</v>
      </c>
      <c r="G3915" t="s">
        <v>6030</v>
      </c>
      <c r="H3915" t="s">
        <v>6039</v>
      </c>
      <c r="I3915" t="s">
        <v>6051</v>
      </c>
      <c r="J3915" t="s">
        <v>6054</v>
      </c>
      <c r="K3915" t="s">
        <v>6060</v>
      </c>
      <c r="L3915" t="s">
        <v>8207</v>
      </c>
      <c r="M3915">
        <v>1653.36</v>
      </c>
      <c r="N3915">
        <v>6</v>
      </c>
      <c r="O3915">
        <v>0.03</v>
      </c>
      <c r="P3915">
        <v>248.94</v>
      </c>
      <c r="Q3915" t="s">
        <v>9896</v>
      </c>
      <c r="R3915">
        <v>5</v>
      </c>
      <c r="S3915" s="5">
        <f t="shared" si="122"/>
        <v>0.15056611990129193</v>
      </c>
      <c r="T3915">
        <v>275.56</v>
      </c>
      <c r="U3915">
        <v>4</v>
      </c>
      <c r="V3915">
        <v>2024</v>
      </c>
      <c r="W3915">
        <v>2</v>
      </c>
      <c r="X3915" t="s">
        <v>9899</v>
      </c>
      <c r="Y3915" t="s">
        <v>9901</v>
      </c>
      <c r="Z3915" t="s">
        <v>9898</v>
      </c>
      <c r="AD3915">
        <f t="shared" si="123"/>
        <v>5</v>
      </c>
    </row>
    <row r="3916" spans="1:30" x14ac:dyDescent="0.25">
      <c r="A3916" t="s">
        <v>3940</v>
      </c>
      <c r="B3916" s="2">
        <v>45012</v>
      </c>
      <c r="C3916" s="2">
        <v>45017</v>
      </c>
      <c r="D3916" t="s">
        <v>5200</v>
      </c>
      <c r="E3916" t="s">
        <v>5700</v>
      </c>
      <c r="F3916" t="s">
        <v>6028</v>
      </c>
      <c r="G3916" t="s">
        <v>6031</v>
      </c>
      <c r="H3916" t="s">
        <v>6034</v>
      </c>
      <c r="I3916" t="s">
        <v>6050</v>
      </c>
      <c r="J3916" t="s">
        <v>6055</v>
      </c>
      <c r="K3916" t="s">
        <v>6064</v>
      </c>
      <c r="L3916" t="s">
        <v>9215</v>
      </c>
      <c r="M3916">
        <v>1165.6500000000001</v>
      </c>
      <c r="N3916">
        <v>1</v>
      </c>
      <c r="O3916">
        <v>0.08</v>
      </c>
      <c r="P3916">
        <v>189.29</v>
      </c>
      <c r="Q3916" t="s">
        <v>9895</v>
      </c>
      <c r="R3916">
        <v>5</v>
      </c>
      <c r="S3916" s="5">
        <f t="shared" si="122"/>
        <v>0.16239008278642816</v>
      </c>
      <c r="T3916">
        <v>1165.6500000000001</v>
      </c>
      <c r="U3916">
        <v>3</v>
      </c>
      <c r="V3916">
        <v>2023</v>
      </c>
      <c r="W3916">
        <v>1</v>
      </c>
      <c r="X3916" t="s">
        <v>9899</v>
      </c>
      <c r="Y3916" t="s">
        <v>9901</v>
      </c>
      <c r="Z3916" t="s">
        <v>9898</v>
      </c>
      <c r="AD3916">
        <f t="shared" si="123"/>
        <v>5</v>
      </c>
    </row>
    <row r="3917" spans="1:30" x14ac:dyDescent="0.25">
      <c r="A3917" t="s">
        <v>3941</v>
      </c>
      <c r="B3917" s="2">
        <v>44949</v>
      </c>
      <c r="C3917" s="2">
        <v>44950</v>
      </c>
      <c r="D3917" t="s">
        <v>5351</v>
      </c>
      <c r="E3917" t="s">
        <v>5851</v>
      </c>
      <c r="F3917" t="s">
        <v>6026</v>
      </c>
      <c r="G3917" t="s">
        <v>6030</v>
      </c>
      <c r="H3917" t="s">
        <v>6039</v>
      </c>
      <c r="I3917" t="s">
        <v>6051</v>
      </c>
      <c r="J3917" t="s">
        <v>6053</v>
      </c>
      <c r="K3917" t="s">
        <v>6057</v>
      </c>
      <c r="L3917" t="s">
        <v>9216</v>
      </c>
      <c r="M3917">
        <v>1890.44</v>
      </c>
      <c r="N3917">
        <v>4</v>
      </c>
      <c r="O3917">
        <v>0.27</v>
      </c>
      <c r="P3917">
        <v>2.2400000000000002</v>
      </c>
      <c r="Q3917" t="s">
        <v>9897</v>
      </c>
      <c r="R3917">
        <v>1</v>
      </c>
      <c r="S3917" s="5">
        <f t="shared" si="122"/>
        <v>1.1849093332769092E-3</v>
      </c>
      <c r="T3917">
        <v>472.61</v>
      </c>
      <c r="U3917">
        <v>1</v>
      </c>
      <c r="V3917">
        <v>2023</v>
      </c>
      <c r="W3917">
        <v>1</v>
      </c>
      <c r="X3917" t="s">
        <v>9899</v>
      </c>
      <c r="Y3917" t="s">
        <v>9900</v>
      </c>
      <c r="Z3917" t="s">
        <v>9898</v>
      </c>
      <c r="AD3917">
        <f t="shared" si="123"/>
        <v>1</v>
      </c>
    </row>
    <row r="3918" spans="1:30" x14ac:dyDescent="0.25">
      <c r="A3918" t="s">
        <v>3942</v>
      </c>
      <c r="B3918" s="2">
        <v>45289</v>
      </c>
      <c r="C3918" s="2">
        <v>45292</v>
      </c>
      <c r="D3918" t="s">
        <v>5349</v>
      </c>
      <c r="E3918" t="s">
        <v>5849</v>
      </c>
      <c r="F3918" t="s">
        <v>6028</v>
      </c>
      <c r="G3918" t="s">
        <v>6029</v>
      </c>
      <c r="H3918" t="s">
        <v>6032</v>
      </c>
      <c r="I3918" t="s">
        <v>6049</v>
      </c>
      <c r="J3918" t="s">
        <v>6054</v>
      </c>
      <c r="K3918" t="s">
        <v>6059</v>
      </c>
      <c r="L3918" t="s">
        <v>8493</v>
      </c>
      <c r="M3918">
        <v>1192.3499999999999</v>
      </c>
      <c r="N3918">
        <v>4</v>
      </c>
      <c r="O3918">
        <v>0.23</v>
      </c>
      <c r="P3918">
        <v>-117.81</v>
      </c>
      <c r="Q3918" t="s">
        <v>9893</v>
      </c>
      <c r="R3918">
        <v>3</v>
      </c>
      <c r="S3918" s="5">
        <f t="shared" si="122"/>
        <v>-9.8804881117121657E-2</v>
      </c>
      <c r="T3918">
        <v>298.08749999999998</v>
      </c>
      <c r="U3918">
        <v>12</v>
      </c>
      <c r="V3918">
        <v>2023</v>
      </c>
      <c r="W3918">
        <v>4</v>
      </c>
      <c r="X3918" t="s">
        <v>9898</v>
      </c>
      <c r="Y3918" t="s">
        <v>9900</v>
      </c>
      <c r="Z3918" t="s">
        <v>9898</v>
      </c>
      <c r="AD3918">
        <f t="shared" si="123"/>
        <v>3</v>
      </c>
    </row>
    <row r="3919" spans="1:30" x14ac:dyDescent="0.25">
      <c r="A3919" t="s">
        <v>3943</v>
      </c>
      <c r="B3919" s="2">
        <v>45372</v>
      </c>
      <c r="C3919" s="2">
        <v>45373</v>
      </c>
      <c r="D3919" t="s">
        <v>5410</v>
      </c>
      <c r="E3919" t="s">
        <v>5910</v>
      </c>
      <c r="F3919" t="s">
        <v>6028</v>
      </c>
      <c r="G3919" t="s">
        <v>6031</v>
      </c>
      <c r="H3919" t="s">
        <v>6042</v>
      </c>
      <c r="I3919" t="s">
        <v>6048</v>
      </c>
      <c r="J3919" t="s">
        <v>6054</v>
      </c>
      <c r="K3919" t="s">
        <v>6060</v>
      </c>
      <c r="L3919" t="s">
        <v>9217</v>
      </c>
      <c r="M3919">
        <v>1569.64</v>
      </c>
      <c r="N3919">
        <v>2</v>
      </c>
      <c r="O3919">
        <v>0</v>
      </c>
      <c r="P3919">
        <v>451.67</v>
      </c>
      <c r="Q3919" t="s">
        <v>9894</v>
      </c>
      <c r="R3919">
        <v>1</v>
      </c>
      <c r="S3919" s="5">
        <f t="shared" si="122"/>
        <v>0.28775387987054357</v>
      </c>
      <c r="T3919">
        <v>784.82</v>
      </c>
      <c r="U3919">
        <v>3</v>
      </c>
      <c r="V3919">
        <v>2024</v>
      </c>
      <c r="W3919">
        <v>1</v>
      </c>
      <c r="X3919" t="s">
        <v>9899</v>
      </c>
      <c r="Y3919" t="s">
        <v>9901</v>
      </c>
      <c r="Z3919" t="s">
        <v>9898</v>
      </c>
      <c r="AD3919">
        <f t="shared" si="123"/>
        <v>1</v>
      </c>
    </row>
    <row r="3920" spans="1:30" x14ac:dyDescent="0.25">
      <c r="A3920" t="s">
        <v>3944</v>
      </c>
      <c r="B3920" s="2">
        <v>45259</v>
      </c>
      <c r="C3920" s="2">
        <v>45264</v>
      </c>
      <c r="D3920" t="s">
        <v>5117</v>
      </c>
      <c r="E3920" t="s">
        <v>5617</v>
      </c>
      <c r="F3920" t="s">
        <v>6027</v>
      </c>
      <c r="G3920" t="s">
        <v>6031</v>
      </c>
      <c r="H3920" t="s">
        <v>6043</v>
      </c>
      <c r="I3920" t="s">
        <v>6048</v>
      </c>
      <c r="J3920" t="s">
        <v>6055</v>
      </c>
      <c r="K3920" t="s">
        <v>6063</v>
      </c>
      <c r="L3920" t="s">
        <v>9218</v>
      </c>
      <c r="M3920">
        <v>1158.54</v>
      </c>
      <c r="N3920">
        <v>4</v>
      </c>
      <c r="O3920">
        <v>0.04</v>
      </c>
      <c r="P3920">
        <v>217.63</v>
      </c>
      <c r="Q3920" t="s">
        <v>9895</v>
      </c>
      <c r="R3920">
        <v>5</v>
      </c>
      <c r="S3920" s="5">
        <f t="shared" si="122"/>
        <v>0.18784849897284514</v>
      </c>
      <c r="T3920">
        <v>289.63499999999999</v>
      </c>
      <c r="U3920">
        <v>11</v>
      </c>
      <c r="V3920">
        <v>2023</v>
      </c>
      <c r="W3920">
        <v>4</v>
      </c>
      <c r="X3920" t="s">
        <v>9899</v>
      </c>
      <c r="Y3920" t="s">
        <v>9901</v>
      </c>
      <c r="Z3920" t="s">
        <v>9898</v>
      </c>
      <c r="AD3920">
        <f t="shared" si="123"/>
        <v>5</v>
      </c>
    </row>
    <row r="3921" spans="1:30" x14ac:dyDescent="0.25">
      <c r="A3921" t="s">
        <v>3945</v>
      </c>
      <c r="B3921" s="2">
        <v>44861</v>
      </c>
      <c r="C3921" s="2">
        <v>44862</v>
      </c>
      <c r="D3921" t="s">
        <v>5479</v>
      </c>
      <c r="E3921" t="s">
        <v>5979</v>
      </c>
      <c r="F3921" t="s">
        <v>6027</v>
      </c>
      <c r="G3921" t="s">
        <v>6030</v>
      </c>
      <c r="H3921" t="s">
        <v>6035</v>
      </c>
      <c r="I3921" t="s">
        <v>6051</v>
      </c>
      <c r="J3921" t="s">
        <v>6053</v>
      </c>
      <c r="K3921" t="s">
        <v>6058</v>
      </c>
      <c r="L3921" t="s">
        <v>9219</v>
      </c>
      <c r="M3921">
        <v>1673.81</v>
      </c>
      <c r="N3921">
        <v>4</v>
      </c>
      <c r="O3921">
        <v>0.01</v>
      </c>
      <c r="P3921">
        <v>431.61</v>
      </c>
      <c r="Q3921" t="s">
        <v>9895</v>
      </c>
      <c r="R3921">
        <v>1</v>
      </c>
      <c r="S3921" s="5">
        <f t="shared" si="122"/>
        <v>0.25786080857444993</v>
      </c>
      <c r="T3921">
        <v>418.45249999999999</v>
      </c>
      <c r="U3921">
        <v>10</v>
      </c>
      <c r="V3921">
        <v>2022</v>
      </c>
      <c r="W3921">
        <v>4</v>
      </c>
      <c r="X3921" t="s">
        <v>9899</v>
      </c>
      <c r="Y3921" t="s">
        <v>9901</v>
      </c>
      <c r="Z3921" t="s">
        <v>9898</v>
      </c>
      <c r="AD3921">
        <f t="shared" si="123"/>
        <v>1</v>
      </c>
    </row>
    <row r="3922" spans="1:30" x14ac:dyDescent="0.25">
      <c r="A3922" t="s">
        <v>3946</v>
      </c>
      <c r="B3922" s="2">
        <v>44956</v>
      </c>
      <c r="C3922" s="2">
        <v>44958</v>
      </c>
      <c r="D3922" t="s">
        <v>5264</v>
      </c>
      <c r="E3922" t="s">
        <v>5764</v>
      </c>
      <c r="F3922" t="s">
        <v>6028</v>
      </c>
      <c r="G3922" t="s">
        <v>6029</v>
      </c>
      <c r="H3922" t="s">
        <v>6032</v>
      </c>
      <c r="I3922" t="s">
        <v>6050</v>
      </c>
      <c r="J3922" t="s">
        <v>6054</v>
      </c>
      <c r="K3922" t="s">
        <v>6060</v>
      </c>
      <c r="L3922" t="s">
        <v>9220</v>
      </c>
      <c r="M3922">
        <v>1940.38</v>
      </c>
      <c r="N3922">
        <v>4</v>
      </c>
      <c r="O3922">
        <v>0.17</v>
      </c>
      <c r="P3922">
        <v>62.84</v>
      </c>
      <c r="Q3922" t="s">
        <v>9893</v>
      </c>
      <c r="R3922">
        <v>2</v>
      </c>
      <c r="S3922" s="5">
        <f t="shared" si="122"/>
        <v>3.23854090435894E-2</v>
      </c>
      <c r="T3922">
        <v>485.09500000000003</v>
      </c>
      <c r="U3922">
        <v>1</v>
      </c>
      <c r="V3922">
        <v>2023</v>
      </c>
      <c r="W3922">
        <v>1</v>
      </c>
      <c r="X3922" t="s">
        <v>9899</v>
      </c>
      <c r="Y3922" t="s">
        <v>9900</v>
      </c>
      <c r="Z3922" t="s">
        <v>9898</v>
      </c>
      <c r="AD3922">
        <f t="shared" si="123"/>
        <v>2</v>
      </c>
    </row>
    <row r="3923" spans="1:30" x14ac:dyDescent="0.25">
      <c r="A3923" t="s">
        <v>3947</v>
      </c>
      <c r="B3923" s="2">
        <v>44930</v>
      </c>
      <c r="C3923" s="2">
        <v>44937</v>
      </c>
      <c r="D3923" t="s">
        <v>5477</v>
      </c>
      <c r="E3923" t="s">
        <v>5977</v>
      </c>
      <c r="F3923" t="s">
        <v>6028</v>
      </c>
      <c r="G3923" t="s">
        <v>6031</v>
      </c>
      <c r="H3923" t="s">
        <v>6040</v>
      </c>
      <c r="I3923" t="s">
        <v>6048</v>
      </c>
      <c r="J3923" t="s">
        <v>6054</v>
      </c>
      <c r="K3923" t="s">
        <v>6060</v>
      </c>
      <c r="L3923" t="s">
        <v>8115</v>
      </c>
      <c r="M3923">
        <v>308.72000000000003</v>
      </c>
      <c r="N3923">
        <v>7</v>
      </c>
      <c r="O3923">
        <v>0.06</v>
      </c>
      <c r="P3923">
        <v>14.52</v>
      </c>
      <c r="Q3923" t="s">
        <v>9893</v>
      </c>
      <c r="R3923">
        <v>7</v>
      </c>
      <c r="S3923" s="5">
        <f t="shared" si="122"/>
        <v>4.703291008033169E-2</v>
      </c>
      <c r="T3923">
        <v>44.102857142857147</v>
      </c>
      <c r="U3923">
        <v>1</v>
      </c>
      <c r="V3923">
        <v>2023</v>
      </c>
      <c r="W3923">
        <v>1</v>
      </c>
      <c r="X3923" t="s">
        <v>9899</v>
      </c>
      <c r="Y3923" t="s">
        <v>9901</v>
      </c>
      <c r="Z3923" t="s">
        <v>9899</v>
      </c>
      <c r="AD3923">
        <f t="shared" si="123"/>
        <v>7</v>
      </c>
    </row>
    <row r="3924" spans="1:30" x14ac:dyDescent="0.25">
      <c r="A3924" t="s">
        <v>3948</v>
      </c>
      <c r="B3924" s="2">
        <v>45289</v>
      </c>
      <c r="C3924" s="2">
        <v>45292</v>
      </c>
      <c r="D3924" t="s">
        <v>5315</v>
      </c>
      <c r="E3924" t="s">
        <v>5815</v>
      </c>
      <c r="F3924" t="s">
        <v>6027</v>
      </c>
      <c r="G3924" t="s">
        <v>6031</v>
      </c>
      <c r="H3924" t="s">
        <v>6042</v>
      </c>
      <c r="I3924" t="s">
        <v>6052</v>
      </c>
      <c r="J3924" t="s">
        <v>6053</v>
      </c>
      <c r="K3924" t="s">
        <v>6057</v>
      </c>
      <c r="L3924" t="s">
        <v>8387</v>
      </c>
      <c r="M3924">
        <v>1110.0899999999999</v>
      </c>
      <c r="N3924">
        <v>1</v>
      </c>
      <c r="O3924">
        <v>0.33</v>
      </c>
      <c r="P3924">
        <v>-196.05</v>
      </c>
      <c r="Q3924" t="s">
        <v>9897</v>
      </c>
      <c r="R3924">
        <v>3</v>
      </c>
      <c r="S3924" s="5">
        <f t="shared" si="122"/>
        <v>-0.17660730211063971</v>
      </c>
      <c r="T3924">
        <v>1110.0899999999999</v>
      </c>
      <c r="U3924">
        <v>12</v>
      </c>
      <c r="V3924">
        <v>2023</v>
      </c>
      <c r="W3924">
        <v>4</v>
      </c>
      <c r="X3924" t="s">
        <v>9898</v>
      </c>
      <c r="Y3924" t="s">
        <v>9902</v>
      </c>
      <c r="Z3924" t="s">
        <v>9898</v>
      </c>
      <c r="AD3924">
        <f t="shared" si="123"/>
        <v>3</v>
      </c>
    </row>
    <row r="3925" spans="1:30" x14ac:dyDescent="0.25">
      <c r="A3925" t="s">
        <v>3949</v>
      </c>
      <c r="B3925" s="2">
        <v>44869</v>
      </c>
      <c r="C3925" s="2">
        <v>44871</v>
      </c>
      <c r="D3925" t="s">
        <v>5359</v>
      </c>
      <c r="E3925" t="s">
        <v>5859</v>
      </c>
      <c r="F3925" t="s">
        <v>6028</v>
      </c>
      <c r="G3925" t="s">
        <v>6030</v>
      </c>
      <c r="H3925" t="s">
        <v>6039</v>
      </c>
      <c r="I3925" t="s">
        <v>6051</v>
      </c>
      <c r="J3925" t="s">
        <v>6055</v>
      </c>
      <c r="K3925" t="s">
        <v>6061</v>
      </c>
      <c r="L3925" t="s">
        <v>9221</v>
      </c>
      <c r="M3925">
        <v>685.58</v>
      </c>
      <c r="N3925">
        <v>6</v>
      </c>
      <c r="O3925">
        <v>0.14000000000000001</v>
      </c>
      <c r="P3925">
        <v>-26.35</v>
      </c>
      <c r="Q3925" t="s">
        <v>9896</v>
      </c>
      <c r="R3925">
        <v>2</v>
      </c>
      <c r="S3925" s="5">
        <f t="shared" si="122"/>
        <v>-3.8434610111146766E-2</v>
      </c>
      <c r="T3925">
        <v>114.26333333333331</v>
      </c>
      <c r="U3925">
        <v>11</v>
      </c>
      <c r="V3925">
        <v>2022</v>
      </c>
      <c r="W3925">
        <v>4</v>
      </c>
      <c r="X3925" t="s">
        <v>9898</v>
      </c>
      <c r="Y3925" t="s">
        <v>9901</v>
      </c>
      <c r="Z3925" t="s">
        <v>9899</v>
      </c>
      <c r="AD3925">
        <f t="shared" si="123"/>
        <v>2</v>
      </c>
    </row>
    <row r="3926" spans="1:30" x14ac:dyDescent="0.25">
      <c r="A3926" t="s">
        <v>3950</v>
      </c>
      <c r="B3926" s="2">
        <v>45317</v>
      </c>
      <c r="C3926" s="2">
        <v>45319</v>
      </c>
      <c r="D3926" t="s">
        <v>5296</v>
      </c>
      <c r="E3926" t="s">
        <v>5796</v>
      </c>
      <c r="F3926" t="s">
        <v>6027</v>
      </c>
      <c r="G3926" t="s">
        <v>6029</v>
      </c>
      <c r="H3926" t="s">
        <v>6044</v>
      </c>
      <c r="I3926" t="s">
        <v>6050</v>
      </c>
      <c r="J3926" t="s">
        <v>6054</v>
      </c>
      <c r="K3926" t="s">
        <v>6060</v>
      </c>
      <c r="L3926" t="s">
        <v>9222</v>
      </c>
      <c r="M3926">
        <v>693.97</v>
      </c>
      <c r="N3926">
        <v>8</v>
      </c>
      <c r="O3926">
        <v>0.06</v>
      </c>
      <c r="P3926">
        <v>145.77000000000001</v>
      </c>
      <c r="Q3926" t="s">
        <v>9896</v>
      </c>
      <c r="R3926">
        <v>2</v>
      </c>
      <c r="S3926" s="5">
        <f t="shared" si="122"/>
        <v>0.21005230773664568</v>
      </c>
      <c r="T3926">
        <v>86.746250000000003</v>
      </c>
      <c r="U3926">
        <v>1</v>
      </c>
      <c r="V3926">
        <v>2024</v>
      </c>
      <c r="W3926">
        <v>1</v>
      </c>
      <c r="X3926" t="s">
        <v>9899</v>
      </c>
      <c r="Y3926" t="s">
        <v>9901</v>
      </c>
      <c r="Z3926" t="s">
        <v>9899</v>
      </c>
      <c r="AD3926">
        <f t="shared" si="123"/>
        <v>2</v>
      </c>
    </row>
    <row r="3927" spans="1:30" x14ac:dyDescent="0.25">
      <c r="A3927" t="s">
        <v>3951</v>
      </c>
      <c r="B3927" s="2">
        <v>45333</v>
      </c>
      <c r="C3927" s="2">
        <v>45334</v>
      </c>
      <c r="D3927" t="s">
        <v>5343</v>
      </c>
      <c r="E3927" t="s">
        <v>5843</v>
      </c>
      <c r="F3927" t="s">
        <v>6028</v>
      </c>
      <c r="G3927" t="s">
        <v>6029</v>
      </c>
      <c r="H3927" t="s">
        <v>6032</v>
      </c>
      <c r="I3927" t="s">
        <v>6050</v>
      </c>
      <c r="J3927" t="s">
        <v>6054</v>
      </c>
      <c r="K3927" t="s">
        <v>6059</v>
      </c>
      <c r="L3927" t="s">
        <v>9223</v>
      </c>
      <c r="M3927">
        <v>1657.53</v>
      </c>
      <c r="N3927">
        <v>5</v>
      </c>
      <c r="O3927">
        <v>0.17</v>
      </c>
      <c r="P3927">
        <v>-88.95</v>
      </c>
      <c r="Q3927" t="s">
        <v>9897</v>
      </c>
      <c r="R3927">
        <v>1</v>
      </c>
      <c r="S3927" s="5">
        <f t="shared" si="122"/>
        <v>-5.366418707353713E-2</v>
      </c>
      <c r="T3927">
        <v>331.50599999999997</v>
      </c>
      <c r="U3927">
        <v>2</v>
      </c>
      <c r="V3927">
        <v>2024</v>
      </c>
      <c r="W3927">
        <v>1</v>
      </c>
      <c r="X3927" t="s">
        <v>9898</v>
      </c>
      <c r="Y3927" t="s">
        <v>9900</v>
      </c>
      <c r="Z3927" t="s">
        <v>9898</v>
      </c>
      <c r="AD3927">
        <f t="shared" si="123"/>
        <v>1</v>
      </c>
    </row>
    <row r="3928" spans="1:30" x14ac:dyDescent="0.25">
      <c r="A3928" t="s">
        <v>3952</v>
      </c>
      <c r="B3928" s="2">
        <v>45186</v>
      </c>
      <c r="C3928" s="2">
        <v>45191</v>
      </c>
      <c r="D3928" t="s">
        <v>5509</v>
      </c>
      <c r="E3928" t="s">
        <v>6009</v>
      </c>
      <c r="F3928" t="s">
        <v>6028</v>
      </c>
      <c r="G3928" t="s">
        <v>6029</v>
      </c>
      <c r="H3928" t="s">
        <v>6044</v>
      </c>
      <c r="I3928" t="s">
        <v>6049</v>
      </c>
      <c r="J3928" t="s">
        <v>6055</v>
      </c>
      <c r="K3928" t="s">
        <v>6064</v>
      </c>
      <c r="L3928" t="s">
        <v>9224</v>
      </c>
      <c r="M3928">
        <v>1958.93</v>
      </c>
      <c r="N3928">
        <v>3</v>
      </c>
      <c r="O3928">
        <v>0.06</v>
      </c>
      <c r="P3928">
        <v>216.92</v>
      </c>
      <c r="Q3928" t="s">
        <v>9895</v>
      </c>
      <c r="R3928">
        <v>5</v>
      </c>
      <c r="S3928" s="5">
        <f t="shared" si="122"/>
        <v>0.11073392106915508</v>
      </c>
      <c r="T3928">
        <v>652.97666666666669</v>
      </c>
      <c r="U3928">
        <v>9</v>
      </c>
      <c r="V3928">
        <v>2023</v>
      </c>
      <c r="W3928">
        <v>3</v>
      </c>
      <c r="X3928" t="s">
        <v>9899</v>
      </c>
      <c r="Y3928" t="s">
        <v>9901</v>
      </c>
      <c r="Z3928" t="s">
        <v>9898</v>
      </c>
      <c r="AD3928">
        <f t="shared" si="123"/>
        <v>5</v>
      </c>
    </row>
    <row r="3929" spans="1:30" x14ac:dyDescent="0.25">
      <c r="A3929" t="s">
        <v>3953</v>
      </c>
      <c r="B3929" s="2">
        <v>44886</v>
      </c>
      <c r="C3929" s="2">
        <v>44891</v>
      </c>
      <c r="D3929" t="s">
        <v>5246</v>
      </c>
      <c r="E3929" t="s">
        <v>5746</v>
      </c>
      <c r="F3929" t="s">
        <v>6026</v>
      </c>
      <c r="G3929" t="s">
        <v>6030</v>
      </c>
      <c r="H3929" t="s">
        <v>6033</v>
      </c>
      <c r="I3929" t="s">
        <v>6051</v>
      </c>
      <c r="J3929" t="s">
        <v>6053</v>
      </c>
      <c r="K3929" t="s">
        <v>6057</v>
      </c>
      <c r="L3929" t="s">
        <v>9225</v>
      </c>
      <c r="M3929">
        <v>973.82</v>
      </c>
      <c r="N3929">
        <v>5</v>
      </c>
      <c r="O3929">
        <v>0.32</v>
      </c>
      <c r="P3929">
        <v>-61.8</v>
      </c>
      <c r="Q3929" t="s">
        <v>9897</v>
      </c>
      <c r="R3929">
        <v>5</v>
      </c>
      <c r="S3929" s="5">
        <f t="shared" si="122"/>
        <v>-6.3461419974944033E-2</v>
      </c>
      <c r="T3929">
        <v>194.76400000000001</v>
      </c>
      <c r="U3929">
        <v>11</v>
      </c>
      <c r="V3929">
        <v>2022</v>
      </c>
      <c r="W3929">
        <v>4</v>
      </c>
      <c r="X3929" t="s">
        <v>9898</v>
      </c>
      <c r="Y3929" t="s">
        <v>9902</v>
      </c>
      <c r="Z3929" t="s">
        <v>9899</v>
      </c>
      <c r="AD3929">
        <f t="shared" si="123"/>
        <v>5</v>
      </c>
    </row>
    <row r="3930" spans="1:30" x14ac:dyDescent="0.25">
      <c r="A3930" t="s">
        <v>3954</v>
      </c>
      <c r="B3930" s="2">
        <v>44897</v>
      </c>
      <c r="C3930" s="2">
        <v>44902</v>
      </c>
      <c r="D3930" t="s">
        <v>5412</v>
      </c>
      <c r="E3930" t="s">
        <v>5912</v>
      </c>
      <c r="F3930" t="s">
        <v>6027</v>
      </c>
      <c r="G3930" t="s">
        <v>6031</v>
      </c>
      <c r="H3930" t="s">
        <v>6034</v>
      </c>
      <c r="I3930" t="s">
        <v>6048</v>
      </c>
      <c r="J3930" t="s">
        <v>6054</v>
      </c>
      <c r="K3930" t="s">
        <v>6060</v>
      </c>
      <c r="L3930" t="s">
        <v>8306</v>
      </c>
      <c r="M3930">
        <v>1452.86</v>
      </c>
      <c r="N3930">
        <v>2</v>
      </c>
      <c r="O3930">
        <v>0.14000000000000001</v>
      </c>
      <c r="P3930">
        <v>209.08</v>
      </c>
      <c r="Q3930" t="s">
        <v>9897</v>
      </c>
      <c r="R3930">
        <v>5</v>
      </c>
      <c r="S3930" s="5">
        <f t="shared" si="122"/>
        <v>0.14390925484905637</v>
      </c>
      <c r="T3930">
        <v>726.43</v>
      </c>
      <c r="U3930">
        <v>12</v>
      </c>
      <c r="V3930">
        <v>2022</v>
      </c>
      <c r="W3930">
        <v>4</v>
      </c>
      <c r="X3930" t="s">
        <v>9899</v>
      </c>
      <c r="Y3930" t="s">
        <v>9901</v>
      </c>
      <c r="Z3930" t="s">
        <v>9898</v>
      </c>
      <c r="AD3930">
        <f t="shared" si="123"/>
        <v>5</v>
      </c>
    </row>
    <row r="3931" spans="1:30" x14ac:dyDescent="0.25">
      <c r="A3931" t="s">
        <v>3955</v>
      </c>
      <c r="B3931" s="2">
        <v>45059</v>
      </c>
      <c r="C3931" s="2">
        <v>45066</v>
      </c>
      <c r="D3931" t="s">
        <v>5238</v>
      </c>
      <c r="E3931" t="s">
        <v>5738</v>
      </c>
      <c r="F3931" t="s">
        <v>6028</v>
      </c>
      <c r="G3931" t="s">
        <v>6029</v>
      </c>
      <c r="H3931" t="s">
        <v>6044</v>
      </c>
      <c r="I3931" t="s">
        <v>6050</v>
      </c>
      <c r="J3931" t="s">
        <v>6054</v>
      </c>
      <c r="K3931" t="s">
        <v>6062</v>
      </c>
      <c r="L3931" t="s">
        <v>9226</v>
      </c>
      <c r="M3931">
        <v>1288.01</v>
      </c>
      <c r="N3931">
        <v>5</v>
      </c>
      <c r="O3931">
        <v>0.14000000000000001</v>
      </c>
      <c r="P3931">
        <v>-17.84</v>
      </c>
      <c r="Q3931" t="s">
        <v>9897</v>
      </c>
      <c r="R3931">
        <v>7</v>
      </c>
      <c r="S3931" s="5">
        <f t="shared" si="122"/>
        <v>-1.3850824139564134E-2</v>
      </c>
      <c r="T3931">
        <v>257.60199999999998</v>
      </c>
      <c r="U3931">
        <v>5</v>
      </c>
      <c r="V3931">
        <v>2023</v>
      </c>
      <c r="W3931">
        <v>2</v>
      </c>
      <c r="X3931" t="s">
        <v>9898</v>
      </c>
      <c r="Y3931" t="s">
        <v>9901</v>
      </c>
      <c r="Z3931" t="s">
        <v>9898</v>
      </c>
      <c r="AD3931">
        <f t="shared" si="123"/>
        <v>7</v>
      </c>
    </row>
    <row r="3932" spans="1:30" x14ac:dyDescent="0.25">
      <c r="A3932" t="s">
        <v>3956</v>
      </c>
      <c r="B3932" s="2">
        <v>45242</v>
      </c>
      <c r="C3932" s="2">
        <v>45247</v>
      </c>
      <c r="D3932" t="s">
        <v>5402</v>
      </c>
      <c r="E3932" t="s">
        <v>5902</v>
      </c>
      <c r="F3932" t="s">
        <v>6027</v>
      </c>
      <c r="G3932" t="s">
        <v>6031</v>
      </c>
      <c r="H3932" t="s">
        <v>6043</v>
      </c>
      <c r="I3932" t="s">
        <v>6052</v>
      </c>
      <c r="J3932" t="s">
        <v>6055</v>
      </c>
      <c r="K3932" t="s">
        <v>6064</v>
      </c>
      <c r="L3932" t="s">
        <v>9227</v>
      </c>
      <c r="M3932">
        <v>797.79</v>
      </c>
      <c r="N3932">
        <v>8</v>
      </c>
      <c r="O3932">
        <v>0.34</v>
      </c>
      <c r="P3932">
        <v>-91.93</v>
      </c>
      <c r="Q3932" t="s">
        <v>9897</v>
      </c>
      <c r="R3932">
        <v>5</v>
      </c>
      <c r="S3932" s="5">
        <f t="shared" si="122"/>
        <v>-0.11523082515448929</v>
      </c>
      <c r="T3932">
        <v>99.723749999999995</v>
      </c>
      <c r="U3932">
        <v>11</v>
      </c>
      <c r="V3932">
        <v>2023</v>
      </c>
      <c r="W3932">
        <v>4</v>
      </c>
      <c r="X3932" t="s">
        <v>9898</v>
      </c>
      <c r="Y3932" t="s">
        <v>9902</v>
      </c>
      <c r="Z3932" t="s">
        <v>9899</v>
      </c>
      <c r="AD3932">
        <f t="shared" si="123"/>
        <v>5</v>
      </c>
    </row>
    <row r="3933" spans="1:30" x14ac:dyDescent="0.25">
      <c r="A3933" t="s">
        <v>3957</v>
      </c>
      <c r="B3933" s="2">
        <v>44887</v>
      </c>
      <c r="C3933" s="2">
        <v>44889</v>
      </c>
      <c r="D3933" t="s">
        <v>5500</v>
      </c>
      <c r="E3933" t="s">
        <v>6000</v>
      </c>
      <c r="F3933" t="s">
        <v>6027</v>
      </c>
      <c r="G3933" t="s">
        <v>6029</v>
      </c>
      <c r="H3933" t="s">
        <v>6045</v>
      </c>
      <c r="I3933" t="s">
        <v>6050</v>
      </c>
      <c r="J3933" t="s">
        <v>6054</v>
      </c>
      <c r="K3933" t="s">
        <v>6060</v>
      </c>
      <c r="L3933" t="s">
        <v>9228</v>
      </c>
      <c r="M3933">
        <v>1535.09</v>
      </c>
      <c r="N3933">
        <v>4</v>
      </c>
      <c r="O3933">
        <v>0.04</v>
      </c>
      <c r="P3933">
        <v>260.32</v>
      </c>
      <c r="Q3933" t="s">
        <v>9894</v>
      </c>
      <c r="R3933">
        <v>2</v>
      </c>
      <c r="S3933" s="5">
        <f t="shared" si="122"/>
        <v>0.16957963376740126</v>
      </c>
      <c r="T3933">
        <v>383.77249999999998</v>
      </c>
      <c r="U3933">
        <v>11</v>
      </c>
      <c r="V3933">
        <v>2022</v>
      </c>
      <c r="W3933">
        <v>4</v>
      </c>
      <c r="X3933" t="s">
        <v>9899</v>
      </c>
      <c r="Y3933" t="s">
        <v>9901</v>
      </c>
      <c r="Z3933" t="s">
        <v>9898</v>
      </c>
      <c r="AD3933">
        <f t="shared" si="123"/>
        <v>2</v>
      </c>
    </row>
    <row r="3934" spans="1:30" x14ac:dyDescent="0.25">
      <c r="A3934" t="s">
        <v>3958</v>
      </c>
      <c r="B3934" s="2">
        <v>45297</v>
      </c>
      <c r="C3934" s="2">
        <v>45302</v>
      </c>
      <c r="D3934" t="s">
        <v>5182</v>
      </c>
      <c r="E3934" t="s">
        <v>5682</v>
      </c>
      <c r="F3934" t="s">
        <v>6027</v>
      </c>
      <c r="G3934" t="s">
        <v>6029</v>
      </c>
      <c r="H3934" t="s">
        <v>6045</v>
      </c>
      <c r="I3934" t="s">
        <v>6049</v>
      </c>
      <c r="J3934" t="s">
        <v>6054</v>
      </c>
      <c r="K3934" t="s">
        <v>6059</v>
      </c>
      <c r="L3934" t="s">
        <v>8747</v>
      </c>
      <c r="M3934">
        <v>585.4</v>
      </c>
      <c r="N3934">
        <v>7</v>
      </c>
      <c r="O3934">
        <v>0.18</v>
      </c>
      <c r="P3934">
        <v>30.65</v>
      </c>
      <c r="Q3934" t="s">
        <v>9895</v>
      </c>
      <c r="R3934">
        <v>5</v>
      </c>
      <c r="S3934" s="5">
        <f t="shared" si="122"/>
        <v>5.2357362487188246E-2</v>
      </c>
      <c r="T3934">
        <v>83.628571428571419</v>
      </c>
      <c r="U3934">
        <v>1</v>
      </c>
      <c r="V3934">
        <v>2024</v>
      </c>
      <c r="W3934">
        <v>1</v>
      </c>
      <c r="X3934" t="s">
        <v>9899</v>
      </c>
      <c r="Y3934" t="s">
        <v>9900</v>
      </c>
      <c r="Z3934" t="s">
        <v>9899</v>
      </c>
      <c r="AD3934">
        <f t="shared" si="123"/>
        <v>5</v>
      </c>
    </row>
    <row r="3935" spans="1:30" x14ac:dyDescent="0.25">
      <c r="A3935" t="s">
        <v>3959</v>
      </c>
      <c r="B3935" s="2">
        <v>44583</v>
      </c>
      <c r="C3935" s="2">
        <v>44588</v>
      </c>
      <c r="D3935" t="s">
        <v>5367</v>
      </c>
      <c r="E3935" t="s">
        <v>5867</v>
      </c>
      <c r="F3935" t="s">
        <v>6027</v>
      </c>
      <c r="G3935" t="s">
        <v>6029</v>
      </c>
      <c r="H3935" t="s">
        <v>6045</v>
      </c>
      <c r="I3935" t="s">
        <v>6046</v>
      </c>
      <c r="J3935" t="s">
        <v>6055</v>
      </c>
      <c r="K3935" t="s">
        <v>6061</v>
      </c>
      <c r="L3935" t="s">
        <v>9229</v>
      </c>
      <c r="M3935">
        <v>736.15</v>
      </c>
      <c r="N3935">
        <v>6</v>
      </c>
      <c r="O3935">
        <v>0.28000000000000003</v>
      </c>
      <c r="P3935">
        <v>-34.53</v>
      </c>
      <c r="Q3935" t="s">
        <v>9893</v>
      </c>
      <c r="R3935">
        <v>5</v>
      </c>
      <c r="S3935" s="5">
        <f t="shared" si="122"/>
        <v>-4.6906201181824363E-2</v>
      </c>
      <c r="T3935">
        <v>122.69166666666671</v>
      </c>
      <c r="U3935">
        <v>1</v>
      </c>
      <c r="V3935">
        <v>2022</v>
      </c>
      <c r="W3935">
        <v>1</v>
      </c>
      <c r="X3935" t="s">
        <v>9898</v>
      </c>
      <c r="Y3935" t="s">
        <v>9900</v>
      </c>
      <c r="Z3935" t="s">
        <v>9899</v>
      </c>
      <c r="AD3935">
        <f t="shared" si="123"/>
        <v>5</v>
      </c>
    </row>
    <row r="3936" spans="1:30" x14ac:dyDescent="0.25">
      <c r="A3936" t="s">
        <v>3960</v>
      </c>
      <c r="B3936" s="2">
        <v>45362</v>
      </c>
      <c r="C3936" s="2">
        <v>45367</v>
      </c>
      <c r="D3936" t="s">
        <v>5144</v>
      </c>
      <c r="E3936" t="s">
        <v>5644</v>
      </c>
      <c r="F3936" t="s">
        <v>6028</v>
      </c>
      <c r="G3936" t="s">
        <v>6030</v>
      </c>
      <c r="H3936" t="s">
        <v>6033</v>
      </c>
      <c r="I3936" t="s">
        <v>6047</v>
      </c>
      <c r="J3936" t="s">
        <v>6053</v>
      </c>
      <c r="K3936" t="s">
        <v>6056</v>
      </c>
      <c r="L3936" t="s">
        <v>7152</v>
      </c>
      <c r="M3936">
        <v>695.83</v>
      </c>
      <c r="N3936">
        <v>8</v>
      </c>
      <c r="O3936">
        <v>0.19</v>
      </c>
      <c r="P3936">
        <v>3.86</v>
      </c>
      <c r="Q3936" t="s">
        <v>9896</v>
      </c>
      <c r="R3936">
        <v>5</v>
      </c>
      <c r="S3936" s="5">
        <f t="shared" si="122"/>
        <v>5.5473319632668898E-3</v>
      </c>
      <c r="T3936">
        <v>86.978750000000005</v>
      </c>
      <c r="U3936">
        <v>3</v>
      </c>
      <c r="V3936">
        <v>2024</v>
      </c>
      <c r="W3936">
        <v>1</v>
      </c>
      <c r="X3936" t="s">
        <v>9899</v>
      </c>
      <c r="Y3936" t="s">
        <v>9900</v>
      </c>
      <c r="Z3936" t="s">
        <v>9899</v>
      </c>
      <c r="AD3936">
        <f t="shared" si="123"/>
        <v>5</v>
      </c>
    </row>
    <row r="3937" spans="1:30" x14ac:dyDescent="0.25">
      <c r="A3937" t="s">
        <v>3961</v>
      </c>
      <c r="B3937" s="2">
        <v>44800</v>
      </c>
      <c r="C3937" s="2">
        <v>44803</v>
      </c>
      <c r="D3937" t="s">
        <v>5144</v>
      </c>
      <c r="E3937" t="s">
        <v>5644</v>
      </c>
      <c r="F3937" t="s">
        <v>6027</v>
      </c>
      <c r="G3937" t="s">
        <v>6029</v>
      </c>
      <c r="H3937" t="s">
        <v>6032</v>
      </c>
      <c r="I3937" t="s">
        <v>6046</v>
      </c>
      <c r="J3937" t="s">
        <v>6053</v>
      </c>
      <c r="K3937" t="s">
        <v>6056</v>
      </c>
      <c r="L3937" t="s">
        <v>9230</v>
      </c>
      <c r="M3937">
        <v>1312.53</v>
      </c>
      <c r="N3937">
        <v>2</v>
      </c>
      <c r="O3937">
        <v>0.23</v>
      </c>
      <c r="P3937">
        <v>-163.9</v>
      </c>
      <c r="Q3937" t="s">
        <v>9897</v>
      </c>
      <c r="R3937">
        <v>3</v>
      </c>
      <c r="S3937" s="5">
        <f t="shared" si="122"/>
        <v>-0.12487333622850526</v>
      </c>
      <c r="T3937">
        <v>656.26499999999999</v>
      </c>
      <c r="U3937">
        <v>8</v>
      </c>
      <c r="V3937">
        <v>2022</v>
      </c>
      <c r="W3937">
        <v>3</v>
      </c>
      <c r="X3937" t="s">
        <v>9898</v>
      </c>
      <c r="Y3937" t="s">
        <v>9900</v>
      </c>
      <c r="Z3937" t="s">
        <v>9898</v>
      </c>
      <c r="AD3937">
        <f t="shared" si="123"/>
        <v>3</v>
      </c>
    </row>
    <row r="3938" spans="1:30" x14ac:dyDescent="0.25">
      <c r="A3938" t="s">
        <v>3962</v>
      </c>
      <c r="B3938" s="2">
        <v>45218</v>
      </c>
      <c r="C3938" s="2">
        <v>45224</v>
      </c>
      <c r="D3938" t="s">
        <v>5243</v>
      </c>
      <c r="E3938" t="s">
        <v>5743</v>
      </c>
      <c r="F3938" t="s">
        <v>6028</v>
      </c>
      <c r="G3938" t="s">
        <v>6030</v>
      </c>
      <c r="H3938" t="s">
        <v>6038</v>
      </c>
      <c r="I3938" t="s">
        <v>6051</v>
      </c>
      <c r="J3938" t="s">
        <v>6055</v>
      </c>
      <c r="K3938" t="s">
        <v>6061</v>
      </c>
      <c r="L3938" t="s">
        <v>9231</v>
      </c>
      <c r="M3938">
        <v>424.16</v>
      </c>
      <c r="N3938">
        <v>2</v>
      </c>
      <c r="O3938">
        <v>0.21</v>
      </c>
      <c r="P3938">
        <v>-37.74</v>
      </c>
      <c r="Q3938" t="s">
        <v>9895</v>
      </c>
      <c r="R3938">
        <v>6</v>
      </c>
      <c r="S3938" s="5">
        <f t="shared" si="122"/>
        <v>-8.8975858166729538E-2</v>
      </c>
      <c r="T3938">
        <v>212.08</v>
      </c>
      <c r="U3938">
        <v>10</v>
      </c>
      <c r="V3938">
        <v>2023</v>
      </c>
      <c r="W3938">
        <v>4</v>
      </c>
      <c r="X3938" t="s">
        <v>9898</v>
      </c>
      <c r="Y3938" t="s">
        <v>9900</v>
      </c>
      <c r="Z3938" t="s">
        <v>9899</v>
      </c>
      <c r="AD3938">
        <f t="shared" si="123"/>
        <v>6</v>
      </c>
    </row>
    <row r="3939" spans="1:30" x14ac:dyDescent="0.25">
      <c r="A3939" t="s">
        <v>3963</v>
      </c>
      <c r="B3939" s="2">
        <v>45092</v>
      </c>
      <c r="C3939" s="2">
        <v>45094</v>
      </c>
      <c r="D3939" t="s">
        <v>5325</v>
      </c>
      <c r="E3939" t="s">
        <v>5825</v>
      </c>
      <c r="F3939" t="s">
        <v>6026</v>
      </c>
      <c r="G3939" t="s">
        <v>6029</v>
      </c>
      <c r="H3939" t="s">
        <v>6044</v>
      </c>
      <c r="I3939" t="s">
        <v>6049</v>
      </c>
      <c r="J3939" t="s">
        <v>6054</v>
      </c>
      <c r="K3939" t="s">
        <v>6060</v>
      </c>
      <c r="L3939" t="s">
        <v>7649</v>
      </c>
      <c r="M3939">
        <v>876.78</v>
      </c>
      <c r="N3939">
        <v>6</v>
      </c>
      <c r="O3939">
        <v>0.15</v>
      </c>
      <c r="P3939">
        <v>-37.6</v>
      </c>
      <c r="Q3939" t="s">
        <v>9894</v>
      </c>
      <c r="R3939">
        <v>2</v>
      </c>
      <c r="S3939" s="5">
        <f t="shared" si="122"/>
        <v>-4.2884189876593905E-2</v>
      </c>
      <c r="T3939">
        <v>146.13</v>
      </c>
      <c r="U3939">
        <v>6</v>
      </c>
      <c r="V3939">
        <v>2023</v>
      </c>
      <c r="W3939">
        <v>2</v>
      </c>
      <c r="X3939" t="s">
        <v>9898</v>
      </c>
      <c r="Y3939" t="s">
        <v>9901</v>
      </c>
      <c r="Z3939" t="s">
        <v>9899</v>
      </c>
      <c r="AD3939">
        <f t="shared" si="123"/>
        <v>2</v>
      </c>
    </row>
    <row r="3940" spans="1:30" x14ac:dyDescent="0.25">
      <c r="A3940" t="s">
        <v>3964</v>
      </c>
      <c r="B3940" s="2">
        <v>45318</v>
      </c>
      <c r="C3940" s="2">
        <v>45324</v>
      </c>
      <c r="D3940" t="s">
        <v>5319</v>
      </c>
      <c r="E3940" t="s">
        <v>5819</v>
      </c>
      <c r="F3940" t="s">
        <v>6027</v>
      </c>
      <c r="G3940" t="s">
        <v>6031</v>
      </c>
      <c r="H3940" t="s">
        <v>6034</v>
      </c>
      <c r="I3940" t="s">
        <v>6050</v>
      </c>
      <c r="J3940" t="s">
        <v>6054</v>
      </c>
      <c r="K3940" t="s">
        <v>6062</v>
      </c>
      <c r="L3940" t="s">
        <v>9232</v>
      </c>
      <c r="M3940">
        <v>752.52</v>
      </c>
      <c r="N3940">
        <v>5</v>
      </c>
      <c r="O3940">
        <v>0.25</v>
      </c>
      <c r="P3940">
        <v>-73.58</v>
      </c>
      <c r="Q3940" t="s">
        <v>9896</v>
      </c>
      <c r="R3940">
        <v>6</v>
      </c>
      <c r="S3940" s="5">
        <f t="shared" si="122"/>
        <v>-9.7778132142667298E-2</v>
      </c>
      <c r="T3940">
        <v>150.50399999999999</v>
      </c>
      <c r="U3940">
        <v>1</v>
      </c>
      <c r="V3940">
        <v>2024</v>
      </c>
      <c r="W3940">
        <v>1</v>
      </c>
      <c r="X3940" t="s">
        <v>9898</v>
      </c>
      <c r="Y3940" t="s">
        <v>9900</v>
      </c>
      <c r="Z3940" t="s">
        <v>9899</v>
      </c>
      <c r="AD3940">
        <f t="shared" si="123"/>
        <v>6</v>
      </c>
    </row>
    <row r="3941" spans="1:30" x14ac:dyDescent="0.25">
      <c r="A3941" t="s">
        <v>3965</v>
      </c>
      <c r="B3941" s="2">
        <v>45402</v>
      </c>
      <c r="C3941" s="2">
        <v>45403</v>
      </c>
      <c r="D3941" t="s">
        <v>5333</v>
      </c>
      <c r="E3941" t="s">
        <v>5833</v>
      </c>
      <c r="F3941" t="s">
        <v>6028</v>
      </c>
      <c r="G3941" t="s">
        <v>6029</v>
      </c>
      <c r="H3941" t="s">
        <v>6032</v>
      </c>
      <c r="I3941" t="s">
        <v>6049</v>
      </c>
      <c r="J3941" t="s">
        <v>6054</v>
      </c>
      <c r="K3941" t="s">
        <v>6062</v>
      </c>
      <c r="L3941" t="s">
        <v>9233</v>
      </c>
      <c r="M3941">
        <v>1192.56</v>
      </c>
      <c r="N3941">
        <v>4</v>
      </c>
      <c r="O3941">
        <v>0.04</v>
      </c>
      <c r="P3941">
        <v>265.17</v>
      </c>
      <c r="Q3941" t="s">
        <v>9893</v>
      </c>
      <c r="R3941">
        <v>1</v>
      </c>
      <c r="S3941" s="5">
        <f t="shared" si="122"/>
        <v>0.22235359227208695</v>
      </c>
      <c r="T3941">
        <v>298.14</v>
      </c>
      <c r="U3941">
        <v>4</v>
      </c>
      <c r="V3941">
        <v>2024</v>
      </c>
      <c r="W3941">
        <v>2</v>
      </c>
      <c r="X3941" t="s">
        <v>9899</v>
      </c>
      <c r="Y3941" t="s">
        <v>9901</v>
      </c>
      <c r="Z3941" t="s">
        <v>9898</v>
      </c>
      <c r="AD3941">
        <f t="shared" si="123"/>
        <v>1</v>
      </c>
    </row>
    <row r="3942" spans="1:30" x14ac:dyDescent="0.25">
      <c r="A3942" t="s">
        <v>3966</v>
      </c>
      <c r="B3942" s="2">
        <v>45451</v>
      </c>
      <c r="C3942" s="2">
        <v>45453</v>
      </c>
      <c r="D3942" t="s">
        <v>5335</v>
      </c>
      <c r="E3942" t="s">
        <v>5835</v>
      </c>
      <c r="F3942" t="s">
        <v>6028</v>
      </c>
      <c r="G3942" t="s">
        <v>6030</v>
      </c>
      <c r="H3942" t="s">
        <v>6035</v>
      </c>
      <c r="I3942" t="s">
        <v>6047</v>
      </c>
      <c r="J3942" t="s">
        <v>6053</v>
      </c>
      <c r="K3942" t="s">
        <v>6056</v>
      </c>
      <c r="L3942" t="s">
        <v>7144</v>
      </c>
      <c r="M3942">
        <v>254.36</v>
      </c>
      <c r="N3942">
        <v>6</v>
      </c>
      <c r="O3942">
        <v>0.22</v>
      </c>
      <c r="P3942">
        <v>-0.42</v>
      </c>
      <c r="Q3942" t="s">
        <v>9897</v>
      </c>
      <c r="R3942">
        <v>2</v>
      </c>
      <c r="S3942" s="5">
        <f t="shared" si="122"/>
        <v>-1.6512030193426637E-3</v>
      </c>
      <c r="T3942">
        <v>42.393333333333338</v>
      </c>
      <c r="U3942">
        <v>6</v>
      </c>
      <c r="V3942">
        <v>2024</v>
      </c>
      <c r="W3942">
        <v>2</v>
      </c>
      <c r="X3942" t="s">
        <v>9898</v>
      </c>
      <c r="Y3942" t="s">
        <v>9900</v>
      </c>
      <c r="Z3942" t="s">
        <v>9899</v>
      </c>
      <c r="AD3942">
        <f t="shared" si="123"/>
        <v>2</v>
      </c>
    </row>
    <row r="3943" spans="1:30" x14ac:dyDescent="0.25">
      <c r="A3943" t="s">
        <v>3967</v>
      </c>
      <c r="B3943" s="2">
        <v>44834</v>
      </c>
      <c r="C3943" s="2">
        <v>44840</v>
      </c>
      <c r="D3943" t="s">
        <v>5276</v>
      </c>
      <c r="E3943" t="s">
        <v>5776</v>
      </c>
      <c r="F3943" t="s">
        <v>6026</v>
      </c>
      <c r="G3943" t="s">
        <v>6031</v>
      </c>
      <c r="H3943" t="s">
        <v>6043</v>
      </c>
      <c r="I3943" t="s">
        <v>6050</v>
      </c>
      <c r="J3943" t="s">
        <v>6053</v>
      </c>
      <c r="K3943" t="s">
        <v>6058</v>
      </c>
      <c r="L3943" t="s">
        <v>9234</v>
      </c>
      <c r="M3943">
        <v>973.92</v>
      </c>
      <c r="N3943">
        <v>4</v>
      </c>
      <c r="O3943">
        <v>0.05</v>
      </c>
      <c r="P3943">
        <v>219.89</v>
      </c>
      <c r="Q3943" t="s">
        <v>9893</v>
      </c>
      <c r="R3943">
        <v>6</v>
      </c>
      <c r="S3943" s="5">
        <f t="shared" si="122"/>
        <v>0.22577829801215704</v>
      </c>
      <c r="T3943">
        <v>243.48</v>
      </c>
      <c r="U3943">
        <v>9</v>
      </c>
      <c r="V3943">
        <v>2022</v>
      </c>
      <c r="W3943">
        <v>3</v>
      </c>
      <c r="X3943" t="s">
        <v>9899</v>
      </c>
      <c r="Y3943" t="s">
        <v>9901</v>
      </c>
      <c r="Z3943" t="s">
        <v>9899</v>
      </c>
      <c r="AD3943">
        <f t="shared" si="123"/>
        <v>6</v>
      </c>
    </row>
    <row r="3944" spans="1:30" x14ac:dyDescent="0.25">
      <c r="A3944" t="s">
        <v>3968</v>
      </c>
      <c r="B3944" s="2">
        <v>44919</v>
      </c>
      <c r="C3944" s="2">
        <v>44921</v>
      </c>
      <c r="D3944" t="s">
        <v>5451</v>
      </c>
      <c r="E3944" t="s">
        <v>5951</v>
      </c>
      <c r="F3944" t="s">
        <v>6026</v>
      </c>
      <c r="G3944" t="s">
        <v>6031</v>
      </c>
      <c r="H3944" t="s">
        <v>6042</v>
      </c>
      <c r="I3944" t="s">
        <v>6048</v>
      </c>
      <c r="J3944" t="s">
        <v>6055</v>
      </c>
      <c r="K3944" t="s">
        <v>6061</v>
      </c>
      <c r="L3944" t="s">
        <v>8254</v>
      </c>
      <c r="M3944">
        <v>1573.79</v>
      </c>
      <c r="N3944">
        <v>8</v>
      </c>
      <c r="O3944">
        <v>0.03</v>
      </c>
      <c r="P3944">
        <v>361.95</v>
      </c>
      <c r="Q3944" t="s">
        <v>9897</v>
      </c>
      <c r="R3944">
        <v>2</v>
      </c>
      <c r="S3944" s="5">
        <f t="shared" si="122"/>
        <v>0.22998621162925167</v>
      </c>
      <c r="T3944">
        <v>196.72375</v>
      </c>
      <c r="U3944">
        <v>12</v>
      </c>
      <c r="V3944">
        <v>2022</v>
      </c>
      <c r="W3944">
        <v>4</v>
      </c>
      <c r="X3944" t="s">
        <v>9899</v>
      </c>
      <c r="Y3944" t="s">
        <v>9901</v>
      </c>
      <c r="Z3944" t="s">
        <v>9898</v>
      </c>
      <c r="AD3944">
        <f t="shared" si="123"/>
        <v>2</v>
      </c>
    </row>
    <row r="3945" spans="1:30" x14ac:dyDescent="0.25">
      <c r="A3945" t="s">
        <v>3969</v>
      </c>
      <c r="B3945" s="2">
        <v>45113</v>
      </c>
      <c r="C3945" s="2">
        <v>45115</v>
      </c>
      <c r="D3945" t="s">
        <v>5176</v>
      </c>
      <c r="E3945" t="s">
        <v>5676</v>
      </c>
      <c r="F3945" t="s">
        <v>6028</v>
      </c>
      <c r="G3945" t="s">
        <v>6031</v>
      </c>
      <c r="H3945" t="s">
        <v>6043</v>
      </c>
      <c r="I3945" t="s">
        <v>6050</v>
      </c>
      <c r="J3945" t="s">
        <v>6054</v>
      </c>
      <c r="K3945" t="s">
        <v>6060</v>
      </c>
      <c r="L3945" t="s">
        <v>9235</v>
      </c>
      <c r="M3945">
        <v>633.61</v>
      </c>
      <c r="N3945">
        <v>8</v>
      </c>
      <c r="O3945">
        <v>0.25</v>
      </c>
      <c r="P3945">
        <v>24.96</v>
      </c>
      <c r="Q3945" t="s">
        <v>9897</v>
      </c>
      <c r="R3945">
        <v>2</v>
      </c>
      <c r="S3945" s="5">
        <f t="shared" si="122"/>
        <v>3.9393317655971337E-2</v>
      </c>
      <c r="T3945">
        <v>79.201250000000002</v>
      </c>
      <c r="U3945">
        <v>7</v>
      </c>
      <c r="V3945">
        <v>2023</v>
      </c>
      <c r="W3945">
        <v>3</v>
      </c>
      <c r="X3945" t="s">
        <v>9899</v>
      </c>
      <c r="Y3945" t="s">
        <v>9900</v>
      </c>
      <c r="Z3945" t="s">
        <v>9899</v>
      </c>
      <c r="AD3945">
        <f t="shared" si="123"/>
        <v>2</v>
      </c>
    </row>
    <row r="3946" spans="1:30" x14ac:dyDescent="0.25">
      <c r="A3946" t="s">
        <v>3970</v>
      </c>
      <c r="B3946" s="2">
        <v>45072</v>
      </c>
      <c r="C3946" s="2">
        <v>45076</v>
      </c>
      <c r="D3946" t="s">
        <v>5056</v>
      </c>
      <c r="E3946" t="s">
        <v>5556</v>
      </c>
      <c r="F3946" t="s">
        <v>6027</v>
      </c>
      <c r="G3946" t="s">
        <v>6031</v>
      </c>
      <c r="H3946" t="s">
        <v>6037</v>
      </c>
      <c r="I3946" t="s">
        <v>6050</v>
      </c>
      <c r="J3946" t="s">
        <v>6053</v>
      </c>
      <c r="K3946" t="s">
        <v>6056</v>
      </c>
      <c r="L3946" t="s">
        <v>9236</v>
      </c>
      <c r="M3946">
        <v>678.77</v>
      </c>
      <c r="N3946">
        <v>1</v>
      </c>
      <c r="O3946">
        <v>0.23</v>
      </c>
      <c r="P3946">
        <v>-70.69</v>
      </c>
      <c r="Q3946" t="s">
        <v>9896</v>
      </c>
      <c r="R3946">
        <v>4</v>
      </c>
      <c r="S3946" s="5">
        <f t="shared" si="122"/>
        <v>-0.10414426094258733</v>
      </c>
      <c r="T3946">
        <v>678.77</v>
      </c>
      <c r="U3946">
        <v>5</v>
      </c>
      <c r="V3946">
        <v>2023</v>
      </c>
      <c r="W3946">
        <v>2</v>
      </c>
      <c r="X3946" t="s">
        <v>9898</v>
      </c>
      <c r="Y3946" t="s">
        <v>9900</v>
      </c>
      <c r="Z3946" t="s">
        <v>9899</v>
      </c>
      <c r="AD3946">
        <f t="shared" si="123"/>
        <v>4</v>
      </c>
    </row>
    <row r="3947" spans="1:30" x14ac:dyDescent="0.25">
      <c r="A3947" t="s">
        <v>3971</v>
      </c>
      <c r="B3947" s="2">
        <v>44591</v>
      </c>
      <c r="C3947" s="2">
        <v>44598</v>
      </c>
      <c r="D3947" t="s">
        <v>5297</v>
      </c>
      <c r="E3947" t="s">
        <v>5797</v>
      </c>
      <c r="F3947" t="s">
        <v>6026</v>
      </c>
      <c r="G3947" t="s">
        <v>6030</v>
      </c>
      <c r="H3947" t="s">
        <v>6035</v>
      </c>
      <c r="I3947" t="s">
        <v>6047</v>
      </c>
      <c r="J3947" t="s">
        <v>6053</v>
      </c>
      <c r="K3947" t="s">
        <v>6057</v>
      </c>
      <c r="L3947" t="s">
        <v>9237</v>
      </c>
      <c r="M3947">
        <v>897.07</v>
      </c>
      <c r="N3947">
        <v>6</v>
      </c>
      <c r="O3947">
        <v>0.13</v>
      </c>
      <c r="P3947">
        <v>134.44</v>
      </c>
      <c r="Q3947" t="s">
        <v>9896</v>
      </c>
      <c r="R3947">
        <v>7</v>
      </c>
      <c r="S3947" s="5">
        <f t="shared" si="122"/>
        <v>0.1498656738047198</v>
      </c>
      <c r="T3947">
        <v>149.51166666666671</v>
      </c>
      <c r="U3947">
        <v>1</v>
      </c>
      <c r="V3947">
        <v>2022</v>
      </c>
      <c r="W3947">
        <v>1</v>
      </c>
      <c r="X3947" t="s">
        <v>9899</v>
      </c>
      <c r="Y3947" t="s">
        <v>9901</v>
      </c>
      <c r="Z3947" t="s">
        <v>9899</v>
      </c>
      <c r="AD3947">
        <f t="shared" si="123"/>
        <v>7</v>
      </c>
    </row>
    <row r="3948" spans="1:30" x14ac:dyDescent="0.25">
      <c r="A3948" t="s">
        <v>3972</v>
      </c>
      <c r="B3948" s="2">
        <v>45339</v>
      </c>
      <c r="C3948" s="2">
        <v>45343</v>
      </c>
      <c r="D3948" t="s">
        <v>5473</v>
      </c>
      <c r="E3948" t="s">
        <v>5973</v>
      </c>
      <c r="F3948" t="s">
        <v>6028</v>
      </c>
      <c r="G3948" t="s">
        <v>6031</v>
      </c>
      <c r="H3948" t="s">
        <v>6037</v>
      </c>
      <c r="I3948" t="s">
        <v>6052</v>
      </c>
      <c r="J3948" t="s">
        <v>6054</v>
      </c>
      <c r="K3948" t="s">
        <v>6062</v>
      </c>
      <c r="L3948" t="s">
        <v>9238</v>
      </c>
      <c r="M3948">
        <v>365.16</v>
      </c>
      <c r="N3948">
        <v>2</v>
      </c>
      <c r="O3948">
        <v>0.02</v>
      </c>
      <c r="P3948">
        <v>83.6</v>
      </c>
      <c r="Q3948" t="s">
        <v>9895</v>
      </c>
      <c r="R3948">
        <v>4</v>
      </c>
      <c r="S3948" s="5">
        <f t="shared" si="122"/>
        <v>0.22894073830649575</v>
      </c>
      <c r="T3948">
        <v>182.58</v>
      </c>
      <c r="U3948">
        <v>2</v>
      </c>
      <c r="V3948">
        <v>2024</v>
      </c>
      <c r="W3948">
        <v>1</v>
      </c>
      <c r="X3948" t="s">
        <v>9899</v>
      </c>
      <c r="Y3948" t="s">
        <v>9901</v>
      </c>
      <c r="Z3948" t="s">
        <v>9899</v>
      </c>
      <c r="AD3948">
        <f t="shared" si="123"/>
        <v>4</v>
      </c>
    </row>
    <row r="3949" spans="1:30" x14ac:dyDescent="0.25">
      <c r="A3949" t="s">
        <v>3973</v>
      </c>
      <c r="B3949" s="2">
        <v>45260</v>
      </c>
      <c r="C3949" s="2">
        <v>45264</v>
      </c>
      <c r="D3949" t="s">
        <v>5495</v>
      </c>
      <c r="E3949" t="s">
        <v>5995</v>
      </c>
      <c r="F3949" t="s">
        <v>6028</v>
      </c>
      <c r="G3949" t="s">
        <v>6031</v>
      </c>
      <c r="H3949" t="s">
        <v>6043</v>
      </c>
      <c r="I3949" t="s">
        <v>6050</v>
      </c>
      <c r="J3949" t="s">
        <v>6055</v>
      </c>
      <c r="K3949" t="s">
        <v>6063</v>
      </c>
      <c r="L3949" t="s">
        <v>9239</v>
      </c>
      <c r="M3949">
        <v>780.4</v>
      </c>
      <c r="N3949">
        <v>4</v>
      </c>
      <c r="O3949">
        <v>0.26</v>
      </c>
      <c r="P3949">
        <v>3.98</v>
      </c>
      <c r="Q3949" t="s">
        <v>9895</v>
      </c>
      <c r="R3949">
        <v>4</v>
      </c>
      <c r="S3949" s="5">
        <f t="shared" si="122"/>
        <v>5.0999487442337267E-3</v>
      </c>
      <c r="T3949">
        <v>195.1</v>
      </c>
      <c r="U3949">
        <v>11</v>
      </c>
      <c r="V3949">
        <v>2023</v>
      </c>
      <c r="W3949">
        <v>4</v>
      </c>
      <c r="X3949" t="s">
        <v>9899</v>
      </c>
      <c r="Y3949" t="s">
        <v>9900</v>
      </c>
      <c r="Z3949" t="s">
        <v>9899</v>
      </c>
      <c r="AD3949">
        <f t="shared" si="123"/>
        <v>4</v>
      </c>
    </row>
    <row r="3950" spans="1:30" x14ac:dyDescent="0.25">
      <c r="A3950" t="s">
        <v>3974</v>
      </c>
      <c r="B3950" s="2">
        <v>45126</v>
      </c>
      <c r="C3950" s="2">
        <v>45128</v>
      </c>
      <c r="D3950" t="s">
        <v>5099</v>
      </c>
      <c r="E3950" t="s">
        <v>5599</v>
      </c>
      <c r="F3950" t="s">
        <v>6028</v>
      </c>
      <c r="G3950" t="s">
        <v>6031</v>
      </c>
      <c r="H3950" t="s">
        <v>6037</v>
      </c>
      <c r="I3950" t="s">
        <v>6048</v>
      </c>
      <c r="J3950" t="s">
        <v>6055</v>
      </c>
      <c r="K3950" t="s">
        <v>6061</v>
      </c>
      <c r="L3950" t="s">
        <v>8369</v>
      </c>
      <c r="M3950">
        <v>1148.1099999999999</v>
      </c>
      <c r="N3950">
        <v>1</v>
      </c>
      <c r="O3950">
        <v>0.32</v>
      </c>
      <c r="P3950">
        <v>-210.13</v>
      </c>
      <c r="Q3950" t="s">
        <v>9893</v>
      </c>
      <c r="R3950">
        <v>2</v>
      </c>
      <c r="S3950" s="5">
        <f t="shared" si="122"/>
        <v>-0.18302253268415047</v>
      </c>
      <c r="T3950">
        <v>1148.1099999999999</v>
      </c>
      <c r="U3950">
        <v>7</v>
      </c>
      <c r="V3950">
        <v>2023</v>
      </c>
      <c r="W3950">
        <v>3</v>
      </c>
      <c r="X3950" t="s">
        <v>9898</v>
      </c>
      <c r="Y3950" t="s">
        <v>9902</v>
      </c>
      <c r="Z3950" t="s">
        <v>9898</v>
      </c>
      <c r="AD3950">
        <f t="shared" si="123"/>
        <v>2</v>
      </c>
    </row>
    <row r="3951" spans="1:30" x14ac:dyDescent="0.25">
      <c r="A3951" t="s">
        <v>3975</v>
      </c>
      <c r="B3951" s="2">
        <v>44811</v>
      </c>
      <c r="C3951" s="2">
        <v>44814</v>
      </c>
      <c r="D3951" t="s">
        <v>5144</v>
      </c>
      <c r="E3951" t="s">
        <v>5644</v>
      </c>
      <c r="F3951" t="s">
        <v>6027</v>
      </c>
      <c r="G3951" t="s">
        <v>6031</v>
      </c>
      <c r="H3951" t="s">
        <v>6034</v>
      </c>
      <c r="I3951" t="s">
        <v>6050</v>
      </c>
      <c r="J3951" t="s">
        <v>6054</v>
      </c>
      <c r="K3951" t="s">
        <v>6062</v>
      </c>
      <c r="L3951" t="s">
        <v>9240</v>
      </c>
      <c r="M3951">
        <v>1576.56</v>
      </c>
      <c r="N3951">
        <v>8</v>
      </c>
      <c r="O3951">
        <v>0.32</v>
      </c>
      <c r="P3951">
        <v>-330.34</v>
      </c>
      <c r="Q3951" t="s">
        <v>9895</v>
      </c>
      <c r="R3951">
        <v>3</v>
      </c>
      <c r="S3951" s="5">
        <f t="shared" si="122"/>
        <v>-0.20953214593799158</v>
      </c>
      <c r="T3951">
        <v>197.07</v>
      </c>
      <c r="U3951">
        <v>9</v>
      </c>
      <c r="V3951">
        <v>2022</v>
      </c>
      <c r="W3951">
        <v>3</v>
      </c>
      <c r="X3951" t="s">
        <v>9898</v>
      </c>
      <c r="Y3951" t="s">
        <v>9902</v>
      </c>
      <c r="Z3951" t="s">
        <v>9898</v>
      </c>
      <c r="AD3951">
        <f t="shared" si="123"/>
        <v>3</v>
      </c>
    </row>
    <row r="3952" spans="1:30" x14ac:dyDescent="0.25">
      <c r="A3952" t="s">
        <v>3976</v>
      </c>
      <c r="B3952" s="2">
        <v>44627</v>
      </c>
      <c r="C3952" s="2">
        <v>44634</v>
      </c>
      <c r="D3952" t="s">
        <v>5314</v>
      </c>
      <c r="E3952" t="s">
        <v>5814</v>
      </c>
      <c r="F3952" t="s">
        <v>6027</v>
      </c>
      <c r="G3952" t="s">
        <v>6031</v>
      </c>
      <c r="H3952" t="s">
        <v>6037</v>
      </c>
      <c r="I3952" t="s">
        <v>6052</v>
      </c>
      <c r="J3952" t="s">
        <v>6055</v>
      </c>
      <c r="K3952" t="s">
        <v>6063</v>
      </c>
      <c r="L3952" t="s">
        <v>7372</v>
      </c>
      <c r="M3952">
        <v>1874.5</v>
      </c>
      <c r="N3952">
        <v>1</v>
      </c>
      <c r="O3952">
        <v>0.2</v>
      </c>
      <c r="P3952">
        <v>69.819999999999993</v>
      </c>
      <c r="Q3952" t="s">
        <v>9893</v>
      </c>
      <c r="R3952">
        <v>7</v>
      </c>
      <c r="S3952" s="5">
        <f t="shared" si="122"/>
        <v>3.7247265937583353E-2</v>
      </c>
      <c r="T3952">
        <v>1874.5</v>
      </c>
      <c r="U3952">
        <v>3</v>
      </c>
      <c r="V3952">
        <v>2022</v>
      </c>
      <c r="W3952">
        <v>1</v>
      </c>
      <c r="X3952" t="s">
        <v>9899</v>
      </c>
      <c r="Y3952" t="s">
        <v>9900</v>
      </c>
      <c r="Z3952" t="s">
        <v>9898</v>
      </c>
      <c r="AD3952">
        <f t="shared" si="123"/>
        <v>7</v>
      </c>
    </row>
    <row r="3953" spans="1:30" x14ac:dyDescent="0.25">
      <c r="A3953" t="s">
        <v>3977</v>
      </c>
      <c r="B3953" s="2">
        <v>45080</v>
      </c>
      <c r="C3953" s="2">
        <v>45086</v>
      </c>
      <c r="D3953" t="s">
        <v>5361</v>
      </c>
      <c r="E3953" t="s">
        <v>5861</v>
      </c>
      <c r="F3953" t="s">
        <v>6026</v>
      </c>
      <c r="G3953" t="s">
        <v>6029</v>
      </c>
      <c r="H3953" t="s">
        <v>6045</v>
      </c>
      <c r="I3953" t="s">
        <v>6046</v>
      </c>
      <c r="J3953" t="s">
        <v>6054</v>
      </c>
      <c r="K3953" t="s">
        <v>6060</v>
      </c>
      <c r="L3953" t="s">
        <v>9241</v>
      </c>
      <c r="M3953">
        <v>737.24</v>
      </c>
      <c r="N3953">
        <v>7</v>
      </c>
      <c r="O3953">
        <v>0.01</v>
      </c>
      <c r="P3953">
        <v>130.24</v>
      </c>
      <c r="Q3953" t="s">
        <v>9896</v>
      </c>
      <c r="R3953">
        <v>6</v>
      </c>
      <c r="S3953" s="5">
        <f t="shared" si="122"/>
        <v>0.1766588899137323</v>
      </c>
      <c r="T3953">
        <v>105.32</v>
      </c>
      <c r="U3953">
        <v>6</v>
      </c>
      <c r="V3953">
        <v>2023</v>
      </c>
      <c r="W3953">
        <v>2</v>
      </c>
      <c r="X3953" t="s">
        <v>9899</v>
      </c>
      <c r="Y3953" t="s">
        <v>9901</v>
      </c>
      <c r="Z3953" t="s">
        <v>9899</v>
      </c>
      <c r="AD3953">
        <f t="shared" si="123"/>
        <v>6</v>
      </c>
    </row>
    <row r="3954" spans="1:30" x14ac:dyDescent="0.25">
      <c r="A3954" t="s">
        <v>3978</v>
      </c>
      <c r="B3954" s="2">
        <v>44746</v>
      </c>
      <c r="C3954" s="2">
        <v>44752</v>
      </c>
      <c r="D3954" t="s">
        <v>5054</v>
      </c>
      <c r="E3954" t="s">
        <v>5554</v>
      </c>
      <c r="F3954" t="s">
        <v>6026</v>
      </c>
      <c r="G3954" t="s">
        <v>6030</v>
      </c>
      <c r="H3954" t="s">
        <v>6039</v>
      </c>
      <c r="I3954" t="s">
        <v>6047</v>
      </c>
      <c r="J3954" t="s">
        <v>6053</v>
      </c>
      <c r="K3954" t="s">
        <v>6056</v>
      </c>
      <c r="L3954" t="s">
        <v>9242</v>
      </c>
      <c r="M3954">
        <v>1153.19</v>
      </c>
      <c r="N3954">
        <v>3</v>
      </c>
      <c r="O3954">
        <v>0.32</v>
      </c>
      <c r="P3954">
        <v>-164.42</v>
      </c>
      <c r="Q3954" t="s">
        <v>9894</v>
      </c>
      <c r="R3954">
        <v>6</v>
      </c>
      <c r="S3954" s="5">
        <f t="shared" si="122"/>
        <v>-0.14257841292414952</v>
      </c>
      <c r="T3954">
        <v>384.3966666666667</v>
      </c>
      <c r="U3954">
        <v>7</v>
      </c>
      <c r="V3954">
        <v>2022</v>
      </c>
      <c r="W3954">
        <v>3</v>
      </c>
      <c r="X3954" t="s">
        <v>9898</v>
      </c>
      <c r="Y3954" t="s">
        <v>9902</v>
      </c>
      <c r="Z3954" t="s">
        <v>9898</v>
      </c>
      <c r="AD3954">
        <f t="shared" si="123"/>
        <v>6</v>
      </c>
    </row>
    <row r="3955" spans="1:30" x14ac:dyDescent="0.25">
      <c r="A3955" t="s">
        <v>3979</v>
      </c>
      <c r="B3955" s="2">
        <v>45411</v>
      </c>
      <c r="C3955" s="2">
        <v>45413</v>
      </c>
      <c r="D3955" t="s">
        <v>5185</v>
      </c>
      <c r="E3955" t="s">
        <v>5685</v>
      </c>
      <c r="F3955" t="s">
        <v>6026</v>
      </c>
      <c r="G3955" t="s">
        <v>6031</v>
      </c>
      <c r="H3955" t="s">
        <v>6043</v>
      </c>
      <c r="I3955" t="s">
        <v>6052</v>
      </c>
      <c r="J3955" t="s">
        <v>6054</v>
      </c>
      <c r="K3955" t="s">
        <v>6060</v>
      </c>
      <c r="L3955" t="s">
        <v>9243</v>
      </c>
      <c r="M3955">
        <v>1782.87</v>
      </c>
      <c r="N3955">
        <v>3</v>
      </c>
      <c r="O3955">
        <v>0.32</v>
      </c>
      <c r="P3955">
        <v>-271.95</v>
      </c>
      <c r="Q3955" t="s">
        <v>9895</v>
      </c>
      <c r="R3955">
        <v>2</v>
      </c>
      <c r="S3955" s="5">
        <f t="shared" si="122"/>
        <v>-0.15253495768059366</v>
      </c>
      <c r="T3955">
        <v>594.29</v>
      </c>
      <c r="U3955">
        <v>4</v>
      </c>
      <c r="V3955">
        <v>2024</v>
      </c>
      <c r="W3955">
        <v>2</v>
      </c>
      <c r="X3955" t="s">
        <v>9898</v>
      </c>
      <c r="Y3955" t="s">
        <v>9902</v>
      </c>
      <c r="Z3955" t="s">
        <v>9898</v>
      </c>
      <c r="AD3955">
        <f t="shared" si="123"/>
        <v>2</v>
      </c>
    </row>
    <row r="3956" spans="1:30" x14ac:dyDescent="0.25">
      <c r="A3956" t="s">
        <v>3980</v>
      </c>
      <c r="B3956" s="2">
        <v>44758</v>
      </c>
      <c r="C3956" s="2">
        <v>44759</v>
      </c>
      <c r="D3956" t="s">
        <v>5429</v>
      </c>
      <c r="E3956" t="s">
        <v>5929</v>
      </c>
      <c r="F3956" t="s">
        <v>6028</v>
      </c>
      <c r="G3956" t="s">
        <v>6030</v>
      </c>
      <c r="H3956" t="s">
        <v>6035</v>
      </c>
      <c r="I3956" t="s">
        <v>6047</v>
      </c>
      <c r="J3956" t="s">
        <v>6053</v>
      </c>
      <c r="K3956" t="s">
        <v>6058</v>
      </c>
      <c r="L3956" t="s">
        <v>8000</v>
      </c>
      <c r="M3956">
        <v>293.33</v>
      </c>
      <c r="N3956">
        <v>6</v>
      </c>
      <c r="O3956">
        <v>0.14000000000000001</v>
      </c>
      <c r="P3956">
        <v>10.76</v>
      </c>
      <c r="Q3956" t="s">
        <v>9895</v>
      </c>
      <c r="R3956">
        <v>1</v>
      </c>
      <c r="S3956" s="5">
        <f t="shared" si="122"/>
        <v>3.6682235025398018E-2</v>
      </c>
      <c r="T3956">
        <v>48.888333333333328</v>
      </c>
      <c r="U3956">
        <v>7</v>
      </c>
      <c r="V3956">
        <v>2022</v>
      </c>
      <c r="W3956">
        <v>3</v>
      </c>
      <c r="X3956" t="s">
        <v>9899</v>
      </c>
      <c r="Y3956" t="s">
        <v>9901</v>
      </c>
      <c r="Z3956" t="s">
        <v>9899</v>
      </c>
      <c r="AD3956">
        <f t="shared" si="123"/>
        <v>1</v>
      </c>
    </row>
    <row r="3957" spans="1:30" x14ac:dyDescent="0.25">
      <c r="A3957" t="s">
        <v>3981</v>
      </c>
      <c r="B3957" s="2">
        <v>45319</v>
      </c>
      <c r="C3957" s="2">
        <v>45324</v>
      </c>
      <c r="D3957" t="s">
        <v>5431</v>
      </c>
      <c r="E3957" t="s">
        <v>5931</v>
      </c>
      <c r="F3957" t="s">
        <v>6026</v>
      </c>
      <c r="G3957" t="s">
        <v>6030</v>
      </c>
      <c r="H3957" t="s">
        <v>6038</v>
      </c>
      <c r="I3957" t="s">
        <v>6047</v>
      </c>
      <c r="J3957" t="s">
        <v>6053</v>
      </c>
      <c r="K3957" t="s">
        <v>6057</v>
      </c>
      <c r="L3957" t="s">
        <v>9244</v>
      </c>
      <c r="M3957">
        <v>834.6</v>
      </c>
      <c r="N3957">
        <v>2</v>
      </c>
      <c r="O3957">
        <v>0.21</v>
      </c>
      <c r="P3957">
        <v>72.41</v>
      </c>
      <c r="Q3957" t="s">
        <v>9896</v>
      </c>
      <c r="R3957">
        <v>5</v>
      </c>
      <c r="S3957" s="5">
        <f t="shared" si="122"/>
        <v>8.6760124610591891E-2</v>
      </c>
      <c r="T3957">
        <v>417.3</v>
      </c>
      <c r="U3957">
        <v>1</v>
      </c>
      <c r="V3957">
        <v>2024</v>
      </c>
      <c r="W3957">
        <v>1</v>
      </c>
      <c r="X3957" t="s">
        <v>9899</v>
      </c>
      <c r="Y3957" t="s">
        <v>9900</v>
      </c>
      <c r="Z3957" t="s">
        <v>9899</v>
      </c>
      <c r="AD3957">
        <f t="shared" si="123"/>
        <v>5</v>
      </c>
    </row>
    <row r="3958" spans="1:30" x14ac:dyDescent="0.25">
      <c r="A3958" t="s">
        <v>3982</v>
      </c>
      <c r="B3958" s="2">
        <v>45097</v>
      </c>
      <c r="C3958" s="2">
        <v>45102</v>
      </c>
      <c r="D3958" t="s">
        <v>5378</v>
      </c>
      <c r="E3958" t="s">
        <v>5878</v>
      </c>
      <c r="F3958" t="s">
        <v>6027</v>
      </c>
      <c r="G3958" t="s">
        <v>6031</v>
      </c>
      <c r="H3958" t="s">
        <v>6040</v>
      </c>
      <c r="I3958" t="s">
        <v>6052</v>
      </c>
      <c r="J3958" t="s">
        <v>6055</v>
      </c>
      <c r="K3958" t="s">
        <v>6063</v>
      </c>
      <c r="L3958" t="s">
        <v>8677</v>
      </c>
      <c r="M3958">
        <v>1485.84</v>
      </c>
      <c r="N3958">
        <v>4</v>
      </c>
      <c r="O3958">
        <v>0.31</v>
      </c>
      <c r="P3958">
        <v>-149.72999999999999</v>
      </c>
      <c r="Q3958" t="s">
        <v>9895</v>
      </c>
      <c r="R3958">
        <v>5</v>
      </c>
      <c r="S3958" s="5">
        <f t="shared" si="122"/>
        <v>-0.10077128089161687</v>
      </c>
      <c r="T3958">
        <v>371.46</v>
      </c>
      <c r="U3958">
        <v>6</v>
      </c>
      <c r="V3958">
        <v>2023</v>
      </c>
      <c r="W3958">
        <v>2</v>
      </c>
      <c r="X3958" t="s">
        <v>9898</v>
      </c>
      <c r="Y3958" t="s">
        <v>9902</v>
      </c>
      <c r="Z3958" t="s">
        <v>9898</v>
      </c>
      <c r="AD3958">
        <f t="shared" si="123"/>
        <v>5</v>
      </c>
    </row>
    <row r="3959" spans="1:30" x14ac:dyDescent="0.25">
      <c r="A3959" t="s">
        <v>3983</v>
      </c>
      <c r="B3959" s="2">
        <v>44717</v>
      </c>
      <c r="C3959" s="2">
        <v>44718</v>
      </c>
      <c r="D3959" t="s">
        <v>5179</v>
      </c>
      <c r="E3959" t="s">
        <v>5679</v>
      </c>
      <c r="F3959" t="s">
        <v>6027</v>
      </c>
      <c r="G3959" t="s">
        <v>6031</v>
      </c>
      <c r="H3959" t="s">
        <v>6043</v>
      </c>
      <c r="I3959" t="s">
        <v>6050</v>
      </c>
      <c r="J3959" t="s">
        <v>6053</v>
      </c>
      <c r="K3959" t="s">
        <v>6058</v>
      </c>
      <c r="L3959" t="s">
        <v>9245</v>
      </c>
      <c r="M3959">
        <v>1065.77</v>
      </c>
      <c r="N3959">
        <v>1</v>
      </c>
      <c r="O3959">
        <v>0.08</v>
      </c>
      <c r="P3959">
        <v>45.93</v>
      </c>
      <c r="Q3959" t="s">
        <v>9894</v>
      </c>
      <c r="R3959">
        <v>1</v>
      </c>
      <c r="S3959" s="5">
        <f t="shared" si="122"/>
        <v>4.3095602240633531E-2</v>
      </c>
      <c r="T3959">
        <v>1065.77</v>
      </c>
      <c r="U3959">
        <v>6</v>
      </c>
      <c r="V3959">
        <v>2022</v>
      </c>
      <c r="W3959">
        <v>2</v>
      </c>
      <c r="X3959" t="s">
        <v>9899</v>
      </c>
      <c r="Y3959" t="s">
        <v>9901</v>
      </c>
      <c r="Z3959" t="s">
        <v>9898</v>
      </c>
      <c r="AD3959">
        <f t="shared" si="123"/>
        <v>1</v>
      </c>
    </row>
    <row r="3960" spans="1:30" x14ac:dyDescent="0.25">
      <c r="A3960" t="s">
        <v>3984</v>
      </c>
      <c r="B3960" s="2">
        <v>45136</v>
      </c>
      <c r="C3960" s="2">
        <v>45138</v>
      </c>
      <c r="D3960" t="s">
        <v>5425</v>
      </c>
      <c r="E3960" t="s">
        <v>5925</v>
      </c>
      <c r="F3960" t="s">
        <v>6026</v>
      </c>
      <c r="G3960" t="s">
        <v>6031</v>
      </c>
      <c r="H3960" t="s">
        <v>6037</v>
      </c>
      <c r="I3960" t="s">
        <v>6048</v>
      </c>
      <c r="J3960" t="s">
        <v>6053</v>
      </c>
      <c r="K3960" t="s">
        <v>6058</v>
      </c>
      <c r="L3960" t="s">
        <v>9246</v>
      </c>
      <c r="M3960">
        <v>187.44</v>
      </c>
      <c r="N3960">
        <v>4</v>
      </c>
      <c r="O3960">
        <v>0.3</v>
      </c>
      <c r="P3960">
        <v>-14.99</v>
      </c>
      <c r="Q3960" t="s">
        <v>9897</v>
      </c>
      <c r="R3960">
        <v>2</v>
      </c>
      <c r="S3960" s="5">
        <f t="shared" si="122"/>
        <v>-7.9972257789159201E-2</v>
      </c>
      <c r="T3960">
        <v>46.86</v>
      </c>
      <c r="U3960">
        <v>7</v>
      </c>
      <c r="V3960">
        <v>2023</v>
      </c>
      <c r="W3960">
        <v>3</v>
      </c>
      <c r="X3960" t="s">
        <v>9898</v>
      </c>
      <c r="Y3960" t="s">
        <v>9900</v>
      </c>
      <c r="Z3960" t="s">
        <v>9899</v>
      </c>
      <c r="AD3960">
        <f t="shared" si="123"/>
        <v>2</v>
      </c>
    </row>
    <row r="3961" spans="1:30" x14ac:dyDescent="0.25">
      <c r="A3961" t="s">
        <v>3985</v>
      </c>
      <c r="B3961" s="2">
        <v>45394</v>
      </c>
      <c r="C3961" s="2">
        <v>45395</v>
      </c>
      <c r="D3961" t="s">
        <v>5442</v>
      </c>
      <c r="E3961" t="s">
        <v>5942</v>
      </c>
      <c r="F3961" t="s">
        <v>6026</v>
      </c>
      <c r="G3961" t="s">
        <v>6031</v>
      </c>
      <c r="H3961" t="s">
        <v>6037</v>
      </c>
      <c r="I3961" t="s">
        <v>6050</v>
      </c>
      <c r="J3961" t="s">
        <v>6055</v>
      </c>
      <c r="K3961" t="s">
        <v>6064</v>
      </c>
      <c r="L3961" t="s">
        <v>9247</v>
      </c>
      <c r="M3961">
        <v>458.02</v>
      </c>
      <c r="N3961">
        <v>3</v>
      </c>
      <c r="O3961">
        <v>0.15</v>
      </c>
      <c r="P3961">
        <v>4.25</v>
      </c>
      <c r="Q3961" t="s">
        <v>9896</v>
      </c>
      <c r="R3961">
        <v>1</v>
      </c>
      <c r="S3961" s="5">
        <f t="shared" si="122"/>
        <v>9.2790707829352431E-3</v>
      </c>
      <c r="T3961">
        <v>152.67333333333329</v>
      </c>
      <c r="U3961">
        <v>4</v>
      </c>
      <c r="V3961">
        <v>2024</v>
      </c>
      <c r="W3961">
        <v>2</v>
      </c>
      <c r="X3961" t="s">
        <v>9899</v>
      </c>
      <c r="Y3961" t="s">
        <v>9901</v>
      </c>
      <c r="Z3961" t="s">
        <v>9899</v>
      </c>
      <c r="AD3961">
        <f t="shared" si="123"/>
        <v>1</v>
      </c>
    </row>
    <row r="3962" spans="1:30" x14ac:dyDescent="0.25">
      <c r="A3962" t="s">
        <v>3986</v>
      </c>
      <c r="B3962" s="2">
        <v>45204</v>
      </c>
      <c r="C3962" s="2">
        <v>45209</v>
      </c>
      <c r="D3962" t="s">
        <v>5523</v>
      </c>
      <c r="E3962" t="s">
        <v>6023</v>
      </c>
      <c r="F3962" t="s">
        <v>6026</v>
      </c>
      <c r="G3962" t="s">
        <v>6031</v>
      </c>
      <c r="H3962" t="s">
        <v>6043</v>
      </c>
      <c r="I3962" t="s">
        <v>6052</v>
      </c>
      <c r="J3962" t="s">
        <v>6053</v>
      </c>
      <c r="K3962" t="s">
        <v>6056</v>
      </c>
      <c r="L3962" t="s">
        <v>9248</v>
      </c>
      <c r="M3962">
        <v>268.52999999999997</v>
      </c>
      <c r="N3962">
        <v>8</v>
      </c>
      <c r="O3962">
        <v>0</v>
      </c>
      <c r="P3962">
        <v>63.56</v>
      </c>
      <c r="Q3962" t="s">
        <v>9893</v>
      </c>
      <c r="R3962">
        <v>5</v>
      </c>
      <c r="S3962" s="5">
        <f t="shared" si="122"/>
        <v>0.23669608609838755</v>
      </c>
      <c r="T3962">
        <v>33.566249999999997</v>
      </c>
      <c r="U3962">
        <v>10</v>
      </c>
      <c r="V3962">
        <v>2023</v>
      </c>
      <c r="W3962">
        <v>4</v>
      </c>
      <c r="X3962" t="s">
        <v>9899</v>
      </c>
      <c r="Y3962" t="s">
        <v>9901</v>
      </c>
      <c r="Z3962" t="s">
        <v>9899</v>
      </c>
      <c r="AD3962">
        <f t="shared" si="123"/>
        <v>5</v>
      </c>
    </row>
    <row r="3963" spans="1:30" x14ac:dyDescent="0.25">
      <c r="A3963" t="s">
        <v>3987</v>
      </c>
      <c r="B3963" s="2">
        <v>44936</v>
      </c>
      <c r="C3963" s="2">
        <v>44938</v>
      </c>
      <c r="D3963" t="s">
        <v>5499</v>
      </c>
      <c r="E3963" t="s">
        <v>5999</v>
      </c>
      <c r="F3963" t="s">
        <v>6027</v>
      </c>
      <c r="G3963" t="s">
        <v>6029</v>
      </c>
      <c r="H3963" t="s">
        <v>6044</v>
      </c>
      <c r="I3963" t="s">
        <v>6049</v>
      </c>
      <c r="J3963" t="s">
        <v>6053</v>
      </c>
      <c r="K3963" t="s">
        <v>6057</v>
      </c>
      <c r="L3963" t="s">
        <v>6712</v>
      </c>
      <c r="M3963">
        <v>1070.33</v>
      </c>
      <c r="N3963">
        <v>4</v>
      </c>
      <c r="O3963">
        <v>7.0000000000000007E-2</v>
      </c>
      <c r="P3963">
        <v>193.93</v>
      </c>
      <c r="Q3963" t="s">
        <v>9893</v>
      </c>
      <c r="R3963">
        <v>2</v>
      </c>
      <c r="S3963" s="5">
        <f t="shared" si="122"/>
        <v>0.18118711051731712</v>
      </c>
      <c r="T3963">
        <v>267.58249999999998</v>
      </c>
      <c r="U3963">
        <v>1</v>
      </c>
      <c r="V3963">
        <v>2023</v>
      </c>
      <c r="W3963">
        <v>1</v>
      </c>
      <c r="X3963" t="s">
        <v>9899</v>
      </c>
      <c r="Y3963" t="s">
        <v>9901</v>
      </c>
      <c r="Z3963" t="s">
        <v>9898</v>
      </c>
      <c r="AD3963">
        <f t="shared" si="123"/>
        <v>2</v>
      </c>
    </row>
    <row r="3964" spans="1:30" x14ac:dyDescent="0.25">
      <c r="A3964" t="s">
        <v>3988</v>
      </c>
      <c r="B3964" s="2">
        <v>44918</v>
      </c>
      <c r="C3964" s="2">
        <v>44924</v>
      </c>
      <c r="D3964" t="s">
        <v>5219</v>
      </c>
      <c r="E3964" t="s">
        <v>5719</v>
      </c>
      <c r="F3964" t="s">
        <v>6027</v>
      </c>
      <c r="G3964" t="s">
        <v>6030</v>
      </c>
      <c r="H3964" t="s">
        <v>6033</v>
      </c>
      <c r="I3964" t="s">
        <v>6051</v>
      </c>
      <c r="J3964" t="s">
        <v>6053</v>
      </c>
      <c r="K3964" t="s">
        <v>6056</v>
      </c>
      <c r="L3964" t="s">
        <v>6754</v>
      </c>
      <c r="M3964">
        <v>636.20000000000005</v>
      </c>
      <c r="N3964">
        <v>3</v>
      </c>
      <c r="O3964">
        <v>0.1</v>
      </c>
      <c r="P3964">
        <v>102.14</v>
      </c>
      <c r="Q3964" t="s">
        <v>9894</v>
      </c>
      <c r="R3964">
        <v>6</v>
      </c>
      <c r="S3964" s="5">
        <f t="shared" si="122"/>
        <v>0.16054699779943413</v>
      </c>
      <c r="T3964">
        <v>212.06666666666669</v>
      </c>
      <c r="U3964">
        <v>12</v>
      </c>
      <c r="V3964">
        <v>2022</v>
      </c>
      <c r="W3964">
        <v>4</v>
      </c>
      <c r="X3964" t="s">
        <v>9899</v>
      </c>
      <c r="Y3964" t="s">
        <v>9901</v>
      </c>
      <c r="Z3964" t="s">
        <v>9899</v>
      </c>
      <c r="AD3964">
        <f t="shared" si="123"/>
        <v>6</v>
      </c>
    </row>
    <row r="3965" spans="1:30" x14ac:dyDescent="0.25">
      <c r="A3965" t="s">
        <v>3989</v>
      </c>
      <c r="B3965" s="2">
        <v>44739</v>
      </c>
      <c r="C3965" s="2">
        <v>44743</v>
      </c>
      <c r="D3965" t="s">
        <v>5441</v>
      </c>
      <c r="E3965" t="s">
        <v>5941</v>
      </c>
      <c r="F3965" t="s">
        <v>6026</v>
      </c>
      <c r="G3965" t="s">
        <v>6029</v>
      </c>
      <c r="H3965" t="s">
        <v>6036</v>
      </c>
      <c r="I3965" t="s">
        <v>6046</v>
      </c>
      <c r="J3965" t="s">
        <v>6053</v>
      </c>
      <c r="K3965" t="s">
        <v>6056</v>
      </c>
      <c r="L3965" t="s">
        <v>8148</v>
      </c>
      <c r="M3965">
        <v>526.46</v>
      </c>
      <c r="N3965">
        <v>6</v>
      </c>
      <c r="O3965">
        <v>0.03</v>
      </c>
      <c r="P3965">
        <v>92.97</v>
      </c>
      <c r="Q3965" t="s">
        <v>9894</v>
      </c>
      <c r="R3965">
        <v>4</v>
      </c>
      <c r="S3965" s="5">
        <f t="shared" si="122"/>
        <v>0.17659461307601715</v>
      </c>
      <c r="T3965">
        <v>87.743333333333339</v>
      </c>
      <c r="U3965">
        <v>6</v>
      </c>
      <c r="V3965">
        <v>2022</v>
      </c>
      <c r="W3965">
        <v>2</v>
      </c>
      <c r="X3965" t="s">
        <v>9899</v>
      </c>
      <c r="Y3965" t="s">
        <v>9901</v>
      </c>
      <c r="Z3965" t="s">
        <v>9899</v>
      </c>
      <c r="AD3965">
        <f t="shared" si="123"/>
        <v>4</v>
      </c>
    </row>
    <row r="3966" spans="1:30" x14ac:dyDescent="0.25">
      <c r="A3966" t="s">
        <v>3990</v>
      </c>
      <c r="B3966" s="2">
        <v>45109</v>
      </c>
      <c r="C3966" s="2">
        <v>45110</v>
      </c>
      <c r="D3966" t="s">
        <v>5375</v>
      </c>
      <c r="E3966" t="s">
        <v>5875</v>
      </c>
      <c r="F3966" t="s">
        <v>6028</v>
      </c>
      <c r="G3966" t="s">
        <v>6031</v>
      </c>
      <c r="H3966" t="s">
        <v>6040</v>
      </c>
      <c r="I3966" t="s">
        <v>6048</v>
      </c>
      <c r="J3966" t="s">
        <v>6055</v>
      </c>
      <c r="K3966" t="s">
        <v>6063</v>
      </c>
      <c r="L3966" t="s">
        <v>6295</v>
      </c>
      <c r="M3966">
        <v>211.17</v>
      </c>
      <c r="N3966">
        <v>5</v>
      </c>
      <c r="O3966">
        <v>0.3</v>
      </c>
      <c r="P3966">
        <v>-16.25</v>
      </c>
      <c r="Q3966" t="s">
        <v>9893</v>
      </c>
      <c r="R3966">
        <v>1</v>
      </c>
      <c r="S3966" s="5">
        <f t="shared" si="122"/>
        <v>-7.6952218591656019E-2</v>
      </c>
      <c r="T3966">
        <v>42.233999999999988</v>
      </c>
      <c r="U3966">
        <v>7</v>
      </c>
      <c r="V3966">
        <v>2023</v>
      </c>
      <c r="W3966">
        <v>3</v>
      </c>
      <c r="X3966" t="s">
        <v>9898</v>
      </c>
      <c r="Y3966" t="s">
        <v>9900</v>
      </c>
      <c r="Z3966" t="s">
        <v>9899</v>
      </c>
      <c r="AD3966">
        <f t="shared" si="123"/>
        <v>1</v>
      </c>
    </row>
    <row r="3967" spans="1:30" x14ac:dyDescent="0.25">
      <c r="A3967" t="s">
        <v>3991</v>
      </c>
      <c r="B3967" s="2">
        <v>45158</v>
      </c>
      <c r="C3967" s="2">
        <v>45160</v>
      </c>
      <c r="D3967" t="s">
        <v>5379</v>
      </c>
      <c r="E3967" t="s">
        <v>5879</v>
      </c>
      <c r="F3967" t="s">
        <v>6028</v>
      </c>
      <c r="G3967" t="s">
        <v>6029</v>
      </c>
      <c r="H3967" t="s">
        <v>6032</v>
      </c>
      <c r="I3967" t="s">
        <v>6049</v>
      </c>
      <c r="J3967" t="s">
        <v>6054</v>
      </c>
      <c r="K3967" t="s">
        <v>6062</v>
      </c>
      <c r="L3967" t="s">
        <v>8613</v>
      </c>
      <c r="M3967">
        <v>562.04</v>
      </c>
      <c r="N3967">
        <v>5</v>
      </c>
      <c r="O3967">
        <v>0.14000000000000001</v>
      </c>
      <c r="P3967">
        <v>-2.2599999999999998</v>
      </c>
      <c r="Q3967" t="s">
        <v>9895</v>
      </c>
      <c r="R3967">
        <v>2</v>
      </c>
      <c r="S3967" s="5">
        <f t="shared" si="122"/>
        <v>-4.0210661162906553E-3</v>
      </c>
      <c r="T3967">
        <v>112.408</v>
      </c>
      <c r="U3967">
        <v>8</v>
      </c>
      <c r="V3967">
        <v>2023</v>
      </c>
      <c r="W3967">
        <v>3</v>
      </c>
      <c r="X3967" t="s">
        <v>9898</v>
      </c>
      <c r="Y3967" t="s">
        <v>9901</v>
      </c>
      <c r="Z3967" t="s">
        <v>9899</v>
      </c>
      <c r="AD3967">
        <f t="shared" si="123"/>
        <v>2</v>
      </c>
    </row>
    <row r="3968" spans="1:30" x14ac:dyDescent="0.25">
      <c r="A3968" t="s">
        <v>3992</v>
      </c>
      <c r="B3968" s="2">
        <v>45215</v>
      </c>
      <c r="C3968" s="2">
        <v>45218</v>
      </c>
      <c r="D3968" t="s">
        <v>5160</v>
      </c>
      <c r="E3968" t="s">
        <v>5660</v>
      </c>
      <c r="F3968" t="s">
        <v>6027</v>
      </c>
      <c r="G3968" t="s">
        <v>6029</v>
      </c>
      <c r="H3968" t="s">
        <v>6045</v>
      </c>
      <c r="I3968" t="s">
        <v>6046</v>
      </c>
      <c r="J3968" t="s">
        <v>6054</v>
      </c>
      <c r="K3968" t="s">
        <v>6062</v>
      </c>
      <c r="L3968" t="s">
        <v>7798</v>
      </c>
      <c r="M3968">
        <v>1190.1400000000001</v>
      </c>
      <c r="N3968">
        <v>7</v>
      </c>
      <c r="O3968">
        <v>0.18</v>
      </c>
      <c r="P3968">
        <v>103.18</v>
      </c>
      <c r="Q3968" t="s">
        <v>9895</v>
      </c>
      <c r="R3968">
        <v>3</v>
      </c>
      <c r="S3968" s="5">
        <f t="shared" si="122"/>
        <v>8.6695682860839896E-2</v>
      </c>
      <c r="T3968">
        <v>170.02</v>
      </c>
      <c r="U3968">
        <v>10</v>
      </c>
      <c r="V3968">
        <v>2023</v>
      </c>
      <c r="W3968">
        <v>4</v>
      </c>
      <c r="X3968" t="s">
        <v>9899</v>
      </c>
      <c r="Y3968" t="s">
        <v>9900</v>
      </c>
      <c r="Z3968" t="s">
        <v>9898</v>
      </c>
      <c r="AD3968">
        <f t="shared" si="123"/>
        <v>3</v>
      </c>
    </row>
    <row r="3969" spans="1:30" x14ac:dyDescent="0.25">
      <c r="A3969" t="s">
        <v>3993</v>
      </c>
      <c r="B3969" s="2">
        <v>44724</v>
      </c>
      <c r="C3969" s="2">
        <v>44726</v>
      </c>
      <c r="D3969" t="s">
        <v>5188</v>
      </c>
      <c r="E3969" t="s">
        <v>5688</v>
      </c>
      <c r="F3969" t="s">
        <v>6026</v>
      </c>
      <c r="G3969" t="s">
        <v>6029</v>
      </c>
      <c r="H3969" t="s">
        <v>6041</v>
      </c>
      <c r="I3969" t="s">
        <v>6049</v>
      </c>
      <c r="J3969" t="s">
        <v>6054</v>
      </c>
      <c r="K3969" t="s">
        <v>6059</v>
      </c>
      <c r="L3969" t="s">
        <v>6497</v>
      </c>
      <c r="M3969">
        <v>1976.74</v>
      </c>
      <c r="N3969">
        <v>6</v>
      </c>
      <c r="O3969">
        <v>0.32</v>
      </c>
      <c r="P3969">
        <v>-73.23</v>
      </c>
      <c r="Q3969" t="s">
        <v>9896</v>
      </c>
      <c r="R3969">
        <v>2</v>
      </c>
      <c r="S3969" s="5">
        <f t="shared" si="122"/>
        <v>-3.7045843155903153E-2</v>
      </c>
      <c r="T3969">
        <v>329.45666666666659</v>
      </c>
      <c r="U3969">
        <v>6</v>
      </c>
      <c r="V3969">
        <v>2022</v>
      </c>
      <c r="W3969">
        <v>2</v>
      </c>
      <c r="X3969" t="s">
        <v>9898</v>
      </c>
      <c r="Y3969" t="s">
        <v>9902</v>
      </c>
      <c r="Z3969" t="s">
        <v>9898</v>
      </c>
      <c r="AD3969">
        <f t="shared" si="123"/>
        <v>2</v>
      </c>
    </row>
    <row r="3970" spans="1:30" x14ac:dyDescent="0.25">
      <c r="A3970" t="s">
        <v>3994</v>
      </c>
      <c r="B3970" s="2">
        <v>45006</v>
      </c>
      <c r="C3970" s="2">
        <v>45013</v>
      </c>
      <c r="D3970" t="s">
        <v>5484</v>
      </c>
      <c r="E3970" t="s">
        <v>5984</v>
      </c>
      <c r="F3970" t="s">
        <v>6026</v>
      </c>
      <c r="G3970" t="s">
        <v>6029</v>
      </c>
      <c r="H3970" t="s">
        <v>6036</v>
      </c>
      <c r="I3970" t="s">
        <v>6049</v>
      </c>
      <c r="J3970" t="s">
        <v>6055</v>
      </c>
      <c r="K3970" t="s">
        <v>6061</v>
      </c>
      <c r="L3970" t="s">
        <v>7276</v>
      </c>
      <c r="M3970">
        <v>1714.62</v>
      </c>
      <c r="N3970">
        <v>6</v>
      </c>
      <c r="O3970">
        <v>0.17</v>
      </c>
      <c r="P3970">
        <v>156.96</v>
      </c>
      <c r="Q3970" t="s">
        <v>9893</v>
      </c>
      <c r="R3970">
        <v>7</v>
      </c>
      <c r="S3970" s="5">
        <f t="shared" si="122"/>
        <v>9.1542149280890231E-2</v>
      </c>
      <c r="T3970">
        <v>285.77</v>
      </c>
      <c r="U3970">
        <v>3</v>
      </c>
      <c r="V3970">
        <v>2023</v>
      </c>
      <c r="W3970">
        <v>1</v>
      </c>
      <c r="X3970" t="s">
        <v>9899</v>
      </c>
      <c r="Y3970" t="s">
        <v>9900</v>
      </c>
      <c r="Z3970" t="s">
        <v>9898</v>
      </c>
      <c r="AD3970">
        <f t="shared" si="123"/>
        <v>7</v>
      </c>
    </row>
    <row r="3971" spans="1:30" x14ac:dyDescent="0.25">
      <c r="A3971" t="s">
        <v>3995</v>
      </c>
      <c r="B3971" s="2">
        <v>44606</v>
      </c>
      <c r="C3971" s="2">
        <v>44613</v>
      </c>
      <c r="D3971" t="s">
        <v>5181</v>
      </c>
      <c r="E3971" t="s">
        <v>5681</v>
      </c>
      <c r="F3971" t="s">
        <v>6026</v>
      </c>
      <c r="G3971" t="s">
        <v>6031</v>
      </c>
      <c r="H3971" t="s">
        <v>6042</v>
      </c>
      <c r="I3971" t="s">
        <v>6048</v>
      </c>
      <c r="J3971" t="s">
        <v>6055</v>
      </c>
      <c r="K3971" t="s">
        <v>6061</v>
      </c>
      <c r="L3971" t="s">
        <v>9249</v>
      </c>
      <c r="M3971">
        <v>273.94</v>
      </c>
      <c r="N3971">
        <v>6</v>
      </c>
      <c r="O3971">
        <v>0.08</v>
      </c>
      <c r="P3971">
        <v>44.18</v>
      </c>
      <c r="Q3971" t="s">
        <v>9895</v>
      </c>
      <c r="R3971">
        <v>7</v>
      </c>
      <c r="S3971" s="5">
        <f t="shared" ref="S3971:S4034" si="124">P3971/M3971</f>
        <v>0.16127619186683215</v>
      </c>
      <c r="T3971">
        <v>45.656666666666673</v>
      </c>
      <c r="U3971">
        <v>2</v>
      </c>
      <c r="V3971">
        <v>2022</v>
      </c>
      <c r="W3971">
        <v>1</v>
      </c>
      <c r="X3971" t="s">
        <v>9899</v>
      </c>
      <c r="Y3971" t="s">
        <v>9901</v>
      </c>
      <c r="Z3971" t="s">
        <v>9899</v>
      </c>
      <c r="AD3971">
        <f t="shared" ref="AD3971:AD4034" si="125">C3971-B3971</f>
        <v>7</v>
      </c>
    </row>
    <row r="3972" spans="1:30" x14ac:dyDescent="0.25">
      <c r="A3972" t="s">
        <v>3996</v>
      </c>
      <c r="B3972" s="2">
        <v>44955</v>
      </c>
      <c r="C3972" s="2">
        <v>44957</v>
      </c>
      <c r="D3972" t="s">
        <v>5236</v>
      </c>
      <c r="E3972" t="s">
        <v>5736</v>
      </c>
      <c r="F3972" t="s">
        <v>6026</v>
      </c>
      <c r="G3972" t="s">
        <v>6030</v>
      </c>
      <c r="H3972" t="s">
        <v>6035</v>
      </c>
      <c r="I3972" t="s">
        <v>6047</v>
      </c>
      <c r="J3972" t="s">
        <v>6055</v>
      </c>
      <c r="K3972" t="s">
        <v>6063</v>
      </c>
      <c r="L3972" t="s">
        <v>7939</v>
      </c>
      <c r="M3972">
        <v>326.7</v>
      </c>
      <c r="N3972">
        <v>8</v>
      </c>
      <c r="O3972">
        <v>0.35</v>
      </c>
      <c r="P3972">
        <v>-36.22</v>
      </c>
      <c r="Q3972" t="s">
        <v>9894</v>
      </c>
      <c r="R3972">
        <v>2</v>
      </c>
      <c r="S3972" s="5">
        <f t="shared" si="124"/>
        <v>-0.11086623813896541</v>
      </c>
      <c r="T3972">
        <v>40.837499999999999</v>
      </c>
      <c r="U3972">
        <v>1</v>
      </c>
      <c r="V3972">
        <v>2023</v>
      </c>
      <c r="W3972">
        <v>1</v>
      </c>
      <c r="X3972" t="s">
        <v>9898</v>
      </c>
      <c r="Y3972" t="s">
        <v>9902</v>
      </c>
      <c r="Z3972" t="s">
        <v>9899</v>
      </c>
      <c r="AD3972">
        <f t="shared" si="125"/>
        <v>2</v>
      </c>
    </row>
    <row r="3973" spans="1:30" x14ac:dyDescent="0.25">
      <c r="A3973" t="s">
        <v>3997</v>
      </c>
      <c r="B3973" s="2">
        <v>45274</v>
      </c>
      <c r="C3973" s="2">
        <v>45276</v>
      </c>
      <c r="D3973" t="s">
        <v>5215</v>
      </c>
      <c r="E3973" t="s">
        <v>5715</v>
      </c>
      <c r="F3973" t="s">
        <v>6028</v>
      </c>
      <c r="G3973" t="s">
        <v>6031</v>
      </c>
      <c r="H3973" t="s">
        <v>6034</v>
      </c>
      <c r="I3973" t="s">
        <v>6048</v>
      </c>
      <c r="J3973" t="s">
        <v>6055</v>
      </c>
      <c r="K3973" t="s">
        <v>6061</v>
      </c>
      <c r="L3973" t="s">
        <v>9250</v>
      </c>
      <c r="M3973">
        <v>916.54</v>
      </c>
      <c r="N3973">
        <v>8</v>
      </c>
      <c r="O3973">
        <v>0.11</v>
      </c>
      <c r="P3973">
        <v>155.99</v>
      </c>
      <c r="Q3973" t="s">
        <v>9894</v>
      </c>
      <c r="R3973">
        <v>2</v>
      </c>
      <c r="S3973" s="5">
        <f t="shared" si="124"/>
        <v>0.17019442686625791</v>
      </c>
      <c r="T3973">
        <v>114.5675</v>
      </c>
      <c r="U3973">
        <v>12</v>
      </c>
      <c r="V3973">
        <v>2023</v>
      </c>
      <c r="W3973">
        <v>4</v>
      </c>
      <c r="X3973" t="s">
        <v>9899</v>
      </c>
      <c r="Y3973" t="s">
        <v>9901</v>
      </c>
      <c r="Z3973" t="s">
        <v>9899</v>
      </c>
      <c r="AD3973">
        <f t="shared" si="125"/>
        <v>2</v>
      </c>
    </row>
    <row r="3974" spans="1:30" x14ac:dyDescent="0.25">
      <c r="A3974" t="s">
        <v>3998</v>
      </c>
      <c r="B3974" s="2">
        <v>45436</v>
      </c>
      <c r="C3974" s="2">
        <v>45438</v>
      </c>
      <c r="D3974" t="s">
        <v>5138</v>
      </c>
      <c r="E3974" t="s">
        <v>5638</v>
      </c>
      <c r="F3974" t="s">
        <v>6026</v>
      </c>
      <c r="G3974" t="s">
        <v>6031</v>
      </c>
      <c r="H3974" t="s">
        <v>6034</v>
      </c>
      <c r="I3974" t="s">
        <v>6048</v>
      </c>
      <c r="J3974" t="s">
        <v>6055</v>
      </c>
      <c r="K3974" t="s">
        <v>6063</v>
      </c>
      <c r="L3974" t="s">
        <v>7500</v>
      </c>
      <c r="M3974">
        <v>212.75</v>
      </c>
      <c r="N3974">
        <v>2</v>
      </c>
      <c r="O3974">
        <v>0.26</v>
      </c>
      <c r="P3974">
        <v>-17.34</v>
      </c>
      <c r="Q3974" t="s">
        <v>9895</v>
      </c>
      <c r="R3974">
        <v>2</v>
      </c>
      <c r="S3974" s="5">
        <f t="shared" si="124"/>
        <v>-8.1504112808460635E-2</v>
      </c>
      <c r="T3974">
        <v>106.375</v>
      </c>
      <c r="U3974">
        <v>5</v>
      </c>
      <c r="V3974">
        <v>2024</v>
      </c>
      <c r="W3974">
        <v>2</v>
      </c>
      <c r="X3974" t="s">
        <v>9898</v>
      </c>
      <c r="Y3974" t="s">
        <v>9900</v>
      </c>
      <c r="Z3974" t="s">
        <v>9899</v>
      </c>
      <c r="AD3974">
        <f t="shared" si="125"/>
        <v>2</v>
      </c>
    </row>
    <row r="3975" spans="1:30" x14ac:dyDescent="0.25">
      <c r="A3975" t="s">
        <v>3999</v>
      </c>
      <c r="B3975" s="2">
        <v>45062</v>
      </c>
      <c r="C3975" s="2">
        <v>45064</v>
      </c>
      <c r="D3975" t="s">
        <v>5134</v>
      </c>
      <c r="E3975" t="s">
        <v>5634</v>
      </c>
      <c r="F3975" t="s">
        <v>6027</v>
      </c>
      <c r="G3975" t="s">
        <v>6029</v>
      </c>
      <c r="H3975" t="s">
        <v>6044</v>
      </c>
      <c r="I3975" t="s">
        <v>6046</v>
      </c>
      <c r="J3975" t="s">
        <v>6053</v>
      </c>
      <c r="K3975" t="s">
        <v>6057</v>
      </c>
      <c r="L3975" t="s">
        <v>9251</v>
      </c>
      <c r="M3975">
        <v>909.7</v>
      </c>
      <c r="N3975">
        <v>2</v>
      </c>
      <c r="O3975">
        <v>0.33</v>
      </c>
      <c r="P3975">
        <v>-183.04</v>
      </c>
      <c r="Q3975" t="s">
        <v>9893</v>
      </c>
      <c r="R3975">
        <v>2</v>
      </c>
      <c r="S3975" s="5">
        <f t="shared" si="124"/>
        <v>-0.20120918984280531</v>
      </c>
      <c r="T3975">
        <v>454.85</v>
      </c>
      <c r="U3975">
        <v>5</v>
      </c>
      <c r="V3975">
        <v>2023</v>
      </c>
      <c r="W3975">
        <v>2</v>
      </c>
      <c r="X3975" t="s">
        <v>9898</v>
      </c>
      <c r="Y3975" t="s">
        <v>9902</v>
      </c>
      <c r="Z3975" t="s">
        <v>9899</v>
      </c>
      <c r="AD3975">
        <f t="shared" si="125"/>
        <v>2</v>
      </c>
    </row>
    <row r="3976" spans="1:30" x14ac:dyDescent="0.25">
      <c r="A3976" t="s">
        <v>4000</v>
      </c>
      <c r="B3976" s="2">
        <v>44964</v>
      </c>
      <c r="C3976" s="2">
        <v>44965</v>
      </c>
      <c r="D3976" t="s">
        <v>5271</v>
      </c>
      <c r="E3976" t="s">
        <v>5771</v>
      </c>
      <c r="F3976" t="s">
        <v>6027</v>
      </c>
      <c r="G3976" t="s">
        <v>6029</v>
      </c>
      <c r="H3976" t="s">
        <v>6032</v>
      </c>
      <c r="I3976" t="s">
        <v>6046</v>
      </c>
      <c r="J3976" t="s">
        <v>6055</v>
      </c>
      <c r="K3976" t="s">
        <v>6061</v>
      </c>
      <c r="L3976" t="s">
        <v>7301</v>
      </c>
      <c r="M3976">
        <v>794.94</v>
      </c>
      <c r="N3976">
        <v>5</v>
      </c>
      <c r="O3976">
        <v>0.18</v>
      </c>
      <c r="P3976">
        <v>-9.85</v>
      </c>
      <c r="Q3976" t="s">
        <v>9893</v>
      </c>
      <c r="R3976">
        <v>1</v>
      </c>
      <c r="S3976" s="5">
        <f t="shared" si="124"/>
        <v>-1.2390872267089339E-2</v>
      </c>
      <c r="T3976">
        <v>158.988</v>
      </c>
      <c r="U3976">
        <v>2</v>
      </c>
      <c r="V3976">
        <v>2023</v>
      </c>
      <c r="W3976">
        <v>1</v>
      </c>
      <c r="X3976" t="s">
        <v>9898</v>
      </c>
      <c r="Y3976" t="s">
        <v>9900</v>
      </c>
      <c r="Z3976" t="s">
        <v>9899</v>
      </c>
      <c r="AD3976">
        <f t="shared" si="125"/>
        <v>1</v>
      </c>
    </row>
    <row r="3977" spans="1:30" x14ac:dyDescent="0.25">
      <c r="A3977" t="s">
        <v>4001</v>
      </c>
      <c r="B3977" s="2">
        <v>45099</v>
      </c>
      <c r="C3977" s="2">
        <v>45103</v>
      </c>
      <c r="D3977" t="s">
        <v>5103</v>
      </c>
      <c r="E3977" t="s">
        <v>5603</v>
      </c>
      <c r="F3977" t="s">
        <v>6026</v>
      </c>
      <c r="G3977" t="s">
        <v>6029</v>
      </c>
      <c r="H3977" t="s">
        <v>6041</v>
      </c>
      <c r="I3977" t="s">
        <v>6050</v>
      </c>
      <c r="J3977" t="s">
        <v>6055</v>
      </c>
      <c r="K3977" t="s">
        <v>6064</v>
      </c>
      <c r="L3977" t="s">
        <v>9252</v>
      </c>
      <c r="M3977">
        <v>850.77</v>
      </c>
      <c r="N3977">
        <v>6</v>
      </c>
      <c r="O3977">
        <v>0.08</v>
      </c>
      <c r="P3977">
        <v>62.04</v>
      </c>
      <c r="Q3977" t="s">
        <v>9893</v>
      </c>
      <c r="R3977">
        <v>4</v>
      </c>
      <c r="S3977" s="5">
        <f t="shared" si="124"/>
        <v>7.2922176381395684E-2</v>
      </c>
      <c r="T3977">
        <v>141.79499999999999</v>
      </c>
      <c r="U3977">
        <v>6</v>
      </c>
      <c r="V3977">
        <v>2023</v>
      </c>
      <c r="W3977">
        <v>2</v>
      </c>
      <c r="X3977" t="s">
        <v>9899</v>
      </c>
      <c r="Y3977" t="s">
        <v>9901</v>
      </c>
      <c r="Z3977" t="s">
        <v>9899</v>
      </c>
      <c r="AD3977">
        <f t="shared" si="125"/>
        <v>4</v>
      </c>
    </row>
    <row r="3978" spans="1:30" x14ac:dyDescent="0.25">
      <c r="A3978" t="s">
        <v>4002</v>
      </c>
      <c r="B3978" s="2">
        <v>45356</v>
      </c>
      <c r="C3978" s="2">
        <v>45362</v>
      </c>
      <c r="D3978" t="s">
        <v>5354</v>
      </c>
      <c r="E3978" t="s">
        <v>5854</v>
      </c>
      <c r="F3978" t="s">
        <v>6026</v>
      </c>
      <c r="G3978" t="s">
        <v>6029</v>
      </c>
      <c r="H3978" t="s">
        <v>6036</v>
      </c>
      <c r="I3978" t="s">
        <v>6049</v>
      </c>
      <c r="J3978" t="s">
        <v>6054</v>
      </c>
      <c r="K3978" t="s">
        <v>6059</v>
      </c>
      <c r="L3978" t="s">
        <v>9253</v>
      </c>
      <c r="M3978">
        <v>1922.56</v>
      </c>
      <c r="N3978">
        <v>5</v>
      </c>
      <c r="O3978">
        <v>0.26</v>
      </c>
      <c r="P3978">
        <v>-66.44</v>
      </c>
      <c r="Q3978" t="s">
        <v>9895</v>
      </c>
      <c r="R3978">
        <v>6</v>
      </c>
      <c r="S3978" s="5">
        <f t="shared" si="124"/>
        <v>-3.4558089214380826E-2</v>
      </c>
      <c r="T3978">
        <v>384.512</v>
      </c>
      <c r="U3978">
        <v>3</v>
      </c>
      <c r="V3978">
        <v>2024</v>
      </c>
      <c r="W3978">
        <v>1</v>
      </c>
      <c r="X3978" t="s">
        <v>9898</v>
      </c>
      <c r="Y3978" t="s">
        <v>9900</v>
      </c>
      <c r="Z3978" t="s">
        <v>9898</v>
      </c>
      <c r="AD3978">
        <f t="shared" si="125"/>
        <v>6</v>
      </c>
    </row>
    <row r="3979" spans="1:30" x14ac:dyDescent="0.25">
      <c r="A3979" t="s">
        <v>4003</v>
      </c>
      <c r="B3979" s="2">
        <v>44976</v>
      </c>
      <c r="C3979" s="2">
        <v>44977</v>
      </c>
      <c r="D3979" t="s">
        <v>5230</v>
      </c>
      <c r="E3979" t="s">
        <v>5730</v>
      </c>
      <c r="F3979" t="s">
        <v>6026</v>
      </c>
      <c r="G3979" t="s">
        <v>6031</v>
      </c>
      <c r="H3979" t="s">
        <v>6034</v>
      </c>
      <c r="I3979" t="s">
        <v>6048</v>
      </c>
      <c r="J3979" t="s">
        <v>6055</v>
      </c>
      <c r="K3979" t="s">
        <v>6063</v>
      </c>
      <c r="L3979" t="s">
        <v>9254</v>
      </c>
      <c r="M3979">
        <v>1779.38</v>
      </c>
      <c r="N3979">
        <v>4</v>
      </c>
      <c r="O3979">
        <v>7.0000000000000007E-2</v>
      </c>
      <c r="P3979">
        <v>328.24</v>
      </c>
      <c r="Q3979" t="s">
        <v>9897</v>
      </c>
      <c r="R3979">
        <v>1</v>
      </c>
      <c r="S3979" s="5">
        <f t="shared" si="124"/>
        <v>0.18446874754127843</v>
      </c>
      <c r="T3979">
        <v>444.84500000000003</v>
      </c>
      <c r="U3979">
        <v>2</v>
      </c>
      <c r="V3979">
        <v>2023</v>
      </c>
      <c r="W3979">
        <v>1</v>
      </c>
      <c r="X3979" t="s">
        <v>9899</v>
      </c>
      <c r="Y3979" t="s">
        <v>9901</v>
      </c>
      <c r="Z3979" t="s">
        <v>9898</v>
      </c>
      <c r="AD3979">
        <f t="shared" si="125"/>
        <v>1</v>
      </c>
    </row>
    <row r="3980" spans="1:30" x14ac:dyDescent="0.25">
      <c r="A3980" t="s">
        <v>4004</v>
      </c>
      <c r="B3980" s="2">
        <v>45112</v>
      </c>
      <c r="C3980" s="2">
        <v>45117</v>
      </c>
      <c r="D3980" t="s">
        <v>5219</v>
      </c>
      <c r="E3980" t="s">
        <v>5719</v>
      </c>
      <c r="F3980" t="s">
        <v>6026</v>
      </c>
      <c r="G3980" t="s">
        <v>6031</v>
      </c>
      <c r="H3980" t="s">
        <v>6042</v>
      </c>
      <c r="I3980" t="s">
        <v>6048</v>
      </c>
      <c r="J3980" t="s">
        <v>6054</v>
      </c>
      <c r="K3980" t="s">
        <v>6060</v>
      </c>
      <c r="L3980" t="s">
        <v>9255</v>
      </c>
      <c r="M3980">
        <v>1874.69</v>
      </c>
      <c r="N3980">
        <v>6</v>
      </c>
      <c r="O3980">
        <v>0.19</v>
      </c>
      <c r="P3980">
        <v>10.78</v>
      </c>
      <c r="Q3980" t="s">
        <v>9895</v>
      </c>
      <c r="R3980">
        <v>5</v>
      </c>
      <c r="S3980" s="5">
        <f t="shared" si="124"/>
        <v>5.7502840469624309E-3</v>
      </c>
      <c r="T3980">
        <v>312.44833333333332</v>
      </c>
      <c r="U3980">
        <v>7</v>
      </c>
      <c r="V3980">
        <v>2023</v>
      </c>
      <c r="W3980">
        <v>3</v>
      </c>
      <c r="X3980" t="s">
        <v>9899</v>
      </c>
      <c r="Y3980" t="s">
        <v>9900</v>
      </c>
      <c r="Z3980" t="s">
        <v>9898</v>
      </c>
      <c r="AD3980">
        <f t="shared" si="125"/>
        <v>5</v>
      </c>
    </row>
    <row r="3981" spans="1:30" x14ac:dyDescent="0.25">
      <c r="A3981" t="s">
        <v>4005</v>
      </c>
      <c r="B3981" s="2">
        <v>44625</v>
      </c>
      <c r="C3981" s="2">
        <v>44631</v>
      </c>
      <c r="D3981" t="s">
        <v>5239</v>
      </c>
      <c r="E3981" t="s">
        <v>5739</v>
      </c>
      <c r="F3981" t="s">
        <v>6028</v>
      </c>
      <c r="G3981" t="s">
        <v>6031</v>
      </c>
      <c r="H3981" t="s">
        <v>6034</v>
      </c>
      <c r="I3981" t="s">
        <v>6052</v>
      </c>
      <c r="J3981" t="s">
        <v>6054</v>
      </c>
      <c r="K3981" t="s">
        <v>6059</v>
      </c>
      <c r="L3981" t="s">
        <v>9256</v>
      </c>
      <c r="M3981">
        <v>1915.11</v>
      </c>
      <c r="N3981">
        <v>8</v>
      </c>
      <c r="O3981">
        <v>0.28000000000000003</v>
      </c>
      <c r="P3981">
        <v>-235.06</v>
      </c>
      <c r="Q3981" t="s">
        <v>9894</v>
      </c>
      <c r="R3981">
        <v>6</v>
      </c>
      <c r="S3981" s="5">
        <f t="shared" si="124"/>
        <v>-0.12273968597104083</v>
      </c>
      <c r="T3981">
        <v>239.38874999999999</v>
      </c>
      <c r="U3981">
        <v>3</v>
      </c>
      <c r="V3981">
        <v>2022</v>
      </c>
      <c r="W3981">
        <v>1</v>
      </c>
      <c r="X3981" t="s">
        <v>9898</v>
      </c>
      <c r="Y3981" t="s">
        <v>9900</v>
      </c>
      <c r="Z3981" t="s">
        <v>9898</v>
      </c>
      <c r="AD3981">
        <f t="shared" si="125"/>
        <v>6</v>
      </c>
    </row>
    <row r="3982" spans="1:30" x14ac:dyDescent="0.25">
      <c r="A3982" t="s">
        <v>4006</v>
      </c>
      <c r="B3982" s="2">
        <v>45232</v>
      </c>
      <c r="C3982" s="2">
        <v>45235</v>
      </c>
      <c r="D3982" t="s">
        <v>5401</v>
      </c>
      <c r="E3982" t="s">
        <v>5901</v>
      </c>
      <c r="F3982" t="s">
        <v>6026</v>
      </c>
      <c r="G3982" t="s">
        <v>6030</v>
      </c>
      <c r="H3982" t="s">
        <v>6038</v>
      </c>
      <c r="I3982" t="s">
        <v>6047</v>
      </c>
      <c r="J3982" t="s">
        <v>6055</v>
      </c>
      <c r="K3982" t="s">
        <v>6064</v>
      </c>
      <c r="L3982" t="s">
        <v>9257</v>
      </c>
      <c r="M3982">
        <v>1299.3499999999999</v>
      </c>
      <c r="N3982">
        <v>7</v>
      </c>
      <c r="O3982">
        <v>0.16</v>
      </c>
      <c r="P3982">
        <v>152.85</v>
      </c>
      <c r="Q3982" t="s">
        <v>9894</v>
      </c>
      <c r="R3982">
        <v>3</v>
      </c>
      <c r="S3982" s="5">
        <f t="shared" si="124"/>
        <v>0.11763574094739677</v>
      </c>
      <c r="T3982">
        <v>185.62142857142859</v>
      </c>
      <c r="U3982">
        <v>11</v>
      </c>
      <c r="V3982">
        <v>2023</v>
      </c>
      <c r="W3982">
        <v>4</v>
      </c>
      <c r="X3982" t="s">
        <v>9899</v>
      </c>
      <c r="Y3982" t="s">
        <v>9900</v>
      </c>
      <c r="Z3982" t="s">
        <v>9898</v>
      </c>
      <c r="AD3982">
        <f t="shared" si="125"/>
        <v>3</v>
      </c>
    </row>
    <row r="3983" spans="1:30" x14ac:dyDescent="0.25">
      <c r="A3983" t="s">
        <v>4007</v>
      </c>
      <c r="B3983" s="2">
        <v>44749</v>
      </c>
      <c r="C3983" s="2">
        <v>44752</v>
      </c>
      <c r="D3983" t="s">
        <v>5183</v>
      </c>
      <c r="E3983" t="s">
        <v>5683</v>
      </c>
      <c r="F3983" t="s">
        <v>6027</v>
      </c>
      <c r="G3983" t="s">
        <v>6030</v>
      </c>
      <c r="H3983" t="s">
        <v>6038</v>
      </c>
      <c r="I3983" t="s">
        <v>6051</v>
      </c>
      <c r="J3983" t="s">
        <v>6053</v>
      </c>
      <c r="K3983" t="s">
        <v>6056</v>
      </c>
      <c r="L3983" t="s">
        <v>6548</v>
      </c>
      <c r="M3983">
        <v>1885.88</v>
      </c>
      <c r="N3983">
        <v>6</v>
      </c>
      <c r="O3983">
        <v>0.27</v>
      </c>
      <c r="P3983">
        <v>-285.64999999999998</v>
      </c>
      <c r="Q3983" t="s">
        <v>9894</v>
      </c>
      <c r="R3983">
        <v>3</v>
      </c>
      <c r="S3983" s="5">
        <f t="shared" si="124"/>
        <v>-0.15146774980380509</v>
      </c>
      <c r="T3983">
        <v>314.31333333333328</v>
      </c>
      <c r="U3983">
        <v>7</v>
      </c>
      <c r="V3983">
        <v>2022</v>
      </c>
      <c r="W3983">
        <v>3</v>
      </c>
      <c r="X3983" t="s">
        <v>9898</v>
      </c>
      <c r="Y3983" t="s">
        <v>9900</v>
      </c>
      <c r="Z3983" t="s">
        <v>9898</v>
      </c>
      <c r="AD3983">
        <f t="shared" si="125"/>
        <v>3</v>
      </c>
    </row>
    <row r="3984" spans="1:30" x14ac:dyDescent="0.25">
      <c r="A3984" t="s">
        <v>4008</v>
      </c>
      <c r="B3984" s="2">
        <v>44995</v>
      </c>
      <c r="C3984" s="2">
        <v>44999</v>
      </c>
      <c r="D3984" t="s">
        <v>5320</v>
      </c>
      <c r="E3984" t="s">
        <v>5820</v>
      </c>
      <c r="F3984" t="s">
        <v>6027</v>
      </c>
      <c r="G3984" t="s">
        <v>6030</v>
      </c>
      <c r="H3984" t="s">
        <v>6038</v>
      </c>
      <c r="I3984" t="s">
        <v>6047</v>
      </c>
      <c r="J3984" t="s">
        <v>6055</v>
      </c>
      <c r="K3984" t="s">
        <v>6064</v>
      </c>
      <c r="L3984" t="s">
        <v>9258</v>
      </c>
      <c r="M3984">
        <v>917.09</v>
      </c>
      <c r="N3984">
        <v>6</v>
      </c>
      <c r="O3984">
        <v>0.32</v>
      </c>
      <c r="P3984">
        <v>-55.04</v>
      </c>
      <c r="Q3984" t="s">
        <v>9894</v>
      </c>
      <c r="R3984">
        <v>4</v>
      </c>
      <c r="S3984" s="5">
        <f t="shared" si="124"/>
        <v>-6.0015919920618478E-2</v>
      </c>
      <c r="T3984">
        <v>152.8483333333333</v>
      </c>
      <c r="U3984">
        <v>3</v>
      </c>
      <c r="V3984">
        <v>2023</v>
      </c>
      <c r="W3984">
        <v>1</v>
      </c>
      <c r="X3984" t="s">
        <v>9898</v>
      </c>
      <c r="Y3984" t="s">
        <v>9902</v>
      </c>
      <c r="Z3984" t="s">
        <v>9899</v>
      </c>
      <c r="AD3984">
        <f t="shared" si="125"/>
        <v>4</v>
      </c>
    </row>
    <row r="3985" spans="1:30" x14ac:dyDescent="0.25">
      <c r="A3985" t="s">
        <v>4009</v>
      </c>
      <c r="B3985" s="2">
        <v>45267</v>
      </c>
      <c r="C3985" s="2">
        <v>45269</v>
      </c>
      <c r="D3985" t="s">
        <v>5441</v>
      </c>
      <c r="E3985" t="s">
        <v>5941</v>
      </c>
      <c r="F3985" t="s">
        <v>6027</v>
      </c>
      <c r="G3985" t="s">
        <v>6030</v>
      </c>
      <c r="H3985" t="s">
        <v>6039</v>
      </c>
      <c r="I3985" t="s">
        <v>6051</v>
      </c>
      <c r="J3985" t="s">
        <v>6053</v>
      </c>
      <c r="K3985" t="s">
        <v>6057</v>
      </c>
      <c r="L3985" t="s">
        <v>9259</v>
      </c>
      <c r="M3985">
        <v>1136.01</v>
      </c>
      <c r="N3985">
        <v>7</v>
      </c>
      <c r="O3985">
        <v>7.0000000000000007E-2</v>
      </c>
      <c r="P3985">
        <v>229.05</v>
      </c>
      <c r="Q3985" t="s">
        <v>9895</v>
      </c>
      <c r="R3985">
        <v>2</v>
      </c>
      <c r="S3985" s="5">
        <f t="shared" si="124"/>
        <v>0.20162674624343097</v>
      </c>
      <c r="T3985">
        <v>162.2871428571429</v>
      </c>
      <c r="U3985">
        <v>12</v>
      </c>
      <c r="V3985">
        <v>2023</v>
      </c>
      <c r="W3985">
        <v>4</v>
      </c>
      <c r="X3985" t="s">
        <v>9899</v>
      </c>
      <c r="Y3985" t="s">
        <v>9901</v>
      </c>
      <c r="Z3985" t="s">
        <v>9898</v>
      </c>
      <c r="AD3985">
        <f t="shared" si="125"/>
        <v>2</v>
      </c>
    </row>
    <row r="3986" spans="1:30" x14ac:dyDescent="0.25">
      <c r="A3986" t="s">
        <v>4010</v>
      </c>
      <c r="B3986" s="2">
        <v>45062</v>
      </c>
      <c r="C3986" s="2">
        <v>45069</v>
      </c>
      <c r="D3986" t="s">
        <v>5026</v>
      </c>
      <c r="E3986" t="s">
        <v>5526</v>
      </c>
      <c r="F3986" t="s">
        <v>6027</v>
      </c>
      <c r="G3986" t="s">
        <v>6031</v>
      </c>
      <c r="H3986" t="s">
        <v>6043</v>
      </c>
      <c r="I3986" t="s">
        <v>6048</v>
      </c>
      <c r="J3986" t="s">
        <v>6055</v>
      </c>
      <c r="K3986" t="s">
        <v>6063</v>
      </c>
      <c r="L3986" t="s">
        <v>9260</v>
      </c>
      <c r="M3986">
        <v>1454.45</v>
      </c>
      <c r="N3986">
        <v>6</v>
      </c>
      <c r="O3986">
        <v>0.34</v>
      </c>
      <c r="P3986">
        <v>-143.9</v>
      </c>
      <c r="Q3986" t="s">
        <v>9893</v>
      </c>
      <c r="R3986">
        <v>7</v>
      </c>
      <c r="S3986" s="5">
        <f t="shared" si="124"/>
        <v>-9.893774278937055E-2</v>
      </c>
      <c r="T3986">
        <v>242.4083333333333</v>
      </c>
      <c r="U3986">
        <v>5</v>
      </c>
      <c r="V3986">
        <v>2023</v>
      </c>
      <c r="W3986">
        <v>2</v>
      </c>
      <c r="X3986" t="s">
        <v>9898</v>
      </c>
      <c r="Y3986" t="s">
        <v>9902</v>
      </c>
      <c r="Z3986" t="s">
        <v>9898</v>
      </c>
      <c r="AD3986">
        <f t="shared" si="125"/>
        <v>7</v>
      </c>
    </row>
    <row r="3987" spans="1:30" x14ac:dyDescent="0.25">
      <c r="A3987" t="s">
        <v>4011</v>
      </c>
      <c r="B3987" s="2">
        <v>45292</v>
      </c>
      <c r="C3987" s="2">
        <v>45296</v>
      </c>
      <c r="D3987" t="s">
        <v>5156</v>
      </c>
      <c r="E3987" t="s">
        <v>5656</v>
      </c>
      <c r="F3987" t="s">
        <v>6027</v>
      </c>
      <c r="G3987" t="s">
        <v>6030</v>
      </c>
      <c r="H3987" t="s">
        <v>6039</v>
      </c>
      <c r="I3987" t="s">
        <v>6047</v>
      </c>
      <c r="J3987" t="s">
        <v>6055</v>
      </c>
      <c r="K3987" t="s">
        <v>6061</v>
      </c>
      <c r="L3987" t="s">
        <v>9261</v>
      </c>
      <c r="M3987">
        <v>357.56</v>
      </c>
      <c r="N3987">
        <v>7</v>
      </c>
      <c r="O3987">
        <v>0.33</v>
      </c>
      <c r="P3987">
        <v>-38.5</v>
      </c>
      <c r="Q3987" t="s">
        <v>9894</v>
      </c>
      <c r="R3987">
        <v>4</v>
      </c>
      <c r="S3987" s="5">
        <f t="shared" si="124"/>
        <v>-0.1076742364917776</v>
      </c>
      <c r="T3987">
        <v>51.08</v>
      </c>
      <c r="U3987">
        <v>1</v>
      </c>
      <c r="V3987">
        <v>2024</v>
      </c>
      <c r="W3987">
        <v>1</v>
      </c>
      <c r="X3987" t="s">
        <v>9898</v>
      </c>
      <c r="Y3987" t="s">
        <v>9902</v>
      </c>
      <c r="Z3987" t="s">
        <v>9899</v>
      </c>
      <c r="AD3987">
        <f t="shared" si="125"/>
        <v>4</v>
      </c>
    </row>
    <row r="3988" spans="1:30" x14ac:dyDescent="0.25">
      <c r="A3988" t="s">
        <v>4012</v>
      </c>
      <c r="B3988" s="2">
        <v>44832</v>
      </c>
      <c r="C3988" s="2">
        <v>44833</v>
      </c>
      <c r="D3988" t="s">
        <v>5484</v>
      </c>
      <c r="E3988" t="s">
        <v>5984</v>
      </c>
      <c r="F3988" t="s">
        <v>6028</v>
      </c>
      <c r="G3988" t="s">
        <v>6031</v>
      </c>
      <c r="H3988" t="s">
        <v>6037</v>
      </c>
      <c r="I3988" t="s">
        <v>6052</v>
      </c>
      <c r="J3988" t="s">
        <v>6055</v>
      </c>
      <c r="K3988" t="s">
        <v>6063</v>
      </c>
      <c r="L3988" t="s">
        <v>9262</v>
      </c>
      <c r="M3988">
        <v>203.58</v>
      </c>
      <c r="N3988">
        <v>7</v>
      </c>
      <c r="O3988">
        <v>0.22</v>
      </c>
      <c r="P3988">
        <v>-6.63</v>
      </c>
      <c r="Q3988" t="s">
        <v>9893</v>
      </c>
      <c r="R3988">
        <v>1</v>
      </c>
      <c r="S3988" s="5">
        <f t="shared" si="124"/>
        <v>-3.2567049808429116E-2</v>
      </c>
      <c r="T3988">
        <v>29.08285714285714</v>
      </c>
      <c r="U3988">
        <v>9</v>
      </c>
      <c r="V3988">
        <v>2022</v>
      </c>
      <c r="W3988">
        <v>3</v>
      </c>
      <c r="X3988" t="s">
        <v>9898</v>
      </c>
      <c r="Y3988" t="s">
        <v>9900</v>
      </c>
      <c r="Z3988" t="s">
        <v>9899</v>
      </c>
      <c r="AD3988">
        <f t="shared" si="125"/>
        <v>1</v>
      </c>
    </row>
    <row r="3989" spans="1:30" x14ac:dyDescent="0.25">
      <c r="A3989" t="s">
        <v>4013</v>
      </c>
      <c r="B3989" s="2">
        <v>45232</v>
      </c>
      <c r="C3989" s="2">
        <v>45233</v>
      </c>
      <c r="D3989" t="s">
        <v>5430</v>
      </c>
      <c r="E3989" t="s">
        <v>5930</v>
      </c>
      <c r="F3989" t="s">
        <v>6026</v>
      </c>
      <c r="G3989" t="s">
        <v>6030</v>
      </c>
      <c r="H3989" t="s">
        <v>6038</v>
      </c>
      <c r="I3989" t="s">
        <v>6051</v>
      </c>
      <c r="J3989" t="s">
        <v>6055</v>
      </c>
      <c r="K3989" t="s">
        <v>6063</v>
      </c>
      <c r="L3989" t="s">
        <v>9263</v>
      </c>
      <c r="M3989">
        <v>1735.85</v>
      </c>
      <c r="N3989">
        <v>6</v>
      </c>
      <c r="O3989">
        <v>0.01</v>
      </c>
      <c r="P3989">
        <v>424.75</v>
      </c>
      <c r="Q3989" t="s">
        <v>9894</v>
      </c>
      <c r="R3989">
        <v>1</v>
      </c>
      <c r="S3989" s="5">
        <f t="shared" si="124"/>
        <v>0.24469280179739034</v>
      </c>
      <c r="T3989">
        <v>289.30833333333328</v>
      </c>
      <c r="U3989">
        <v>11</v>
      </c>
      <c r="V3989">
        <v>2023</v>
      </c>
      <c r="W3989">
        <v>4</v>
      </c>
      <c r="X3989" t="s">
        <v>9899</v>
      </c>
      <c r="Y3989" t="s">
        <v>9901</v>
      </c>
      <c r="Z3989" t="s">
        <v>9898</v>
      </c>
      <c r="AD3989">
        <f t="shared" si="125"/>
        <v>1</v>
      </c>
    </row>
    <row r="3990" spans="1:30" x14ac:dyDescent="0.25">
      <c r="A3990" t="s">
        <v>4014</v>
      </c>
      <c r="B3990" s="2">
        <v>45121</v>
      </c>
      <c r="C3990" s="2">
        <v>45128</v>
      </c>
      <c r="D3990" t="s">
        <v>5161</v>
      </c>
      <c r="E3990" t="s">
        <v>5661</v>
      </c>
      <c r="F3990" t="s">
        <v>6027</v>
      </c>
      <c r="G3990" t="s">
        <v>6029</v>
      </c>
      <c r="H3990" t="s">
        <v>6044</v>
      </c>
      <c r="I3990" t="s">
        <v>6050</v>
      </c>
      <c r="J3990" t="s">
        <v>6055</v>
      </c>
      <c r="K3990" t="s">
        <v>6064</v>
      </c>
      <c r="L3990" t="s">
        <v>9264</v>
      </c>
      <c r="M3990">
        <v>1774.49</v>
      </c>
      <c r="N3990">
        <v>8</v>
      </c>
      <c r="O3990">
        <v>0.22</v>
      </c>
      <c r="P3990">
        <v>73.11</v>
      </c>
      <c r="Q3990" t="s">
        <v>9893</v>
      </c>
      <c r="R3990">
        <v>7</v>
      </c>
      <c r="S3990" s="5">
        <f t="shared" si="124"/>
        <v>4.1200570304707265E-2</v>
      </c>
      <c r="T3990">
        <v>221.81125</v>
      </c>
      <c r="U3990">
        <v>7</v>
      </c>
      <c r="V3990">
        <v>2023</v>
      </c>
      <c r="W3990">
        <v>3</v>
      </c>
      <c r="X3990" t="s">
        <v>9899</v>
      </c>
      <c r="Y3990" t="s">
        <v>9900</v>
      </c>
      <c r="Z3990" t="s">
        <v>9898</v>
      </c>
      <c r="AD3990">
        <f t="shared" si="125"/>
        <v>7</v>
      </c>
    </row>
    <row r="3991" spans="1:30" x14ac:dyDescent="0.25">
      <c r="A3991" t="s">
        <v>4015</v>
      </c>
      <c r="B3991" s="2">
        <v>45055</v>
      </c>
      <c r="C3991" s="2">
        <v>45056</v>
      </c>
      <c r="D3991" t="s">
        <v>5246</v>
      </c>
      <c r="E3991" t="s">
        <v>5746</v>
      </c>
      <c r="F3991" t="s">
        <v>6026</v>
      </c>
      <c r="G3991" t="s">
        <v>6029</v>
      </c>
      <c r="H3991" t="s">
        <v>6036</v>
      </c>
      <c r="I3991" t="s">
        <v>6050</v>
      </c>
      <c r="J3991" t="s">
        <v>6053</v>
      </c>
      <c r="K3991" t="s">
        <v>6058</v>
      </c>
      <c r="L3991" t="s">
        <v>9265</v>
      </c>
      <c r="M3991">
        <v>977.3</v>
      </c>
      <c r="N3991">
        <v>1</v>
      </c>
      <c r="O3991">
        <v>0.28000000000000003</v>
      </c>
      <c r="P3991">
        <v>-0.16</v>
      </c>
      <c r="Q3991" t="s">
        <v>9893</v>
      </c>
      <c r="R3991">
        <v>1</v>
      </c>
      <c r="S3991" s="5">
        <f t="shared" si="124"/>
        <v>-1.637163614038678E-4</v>
      </c>
      <c r="T3991">
        <v>977.3</v>
      </c>
      <c r="U3991">
        <v>5</v>
      </c>
      <c r="V3991">
        <v>2023</v>
      </c>
      <c r="W3991">
        <v>2</v>
      </c>
      <c r="X3991" t="s">
        <v>9898</v>
      </c>
      <c r="Y3991" t="s">
        <v>9900</v>
      </c>
      <c r="Z3991" t="s">
        <v>9899</v>
      </c>
      <c r="AD3991">
        <f t="shared" si="125"/>
        <v>1</v>
      </c>
    </row>
    <row r="3992" spans="1:30" x14ac:dyDescent="0.25">
      <c r="A3992" t="s">
        <v>4016</v>
      </c>
      <c r="B3992" s="2">
        <v>44857</v>
      </c>
      <c r="C3992" s="2">
        <v>44860</v>
      </c>
      <c r="D3992" t="s">
        <v>5449</v>
      </c>
      <c r="E3992" t="s">
        <v>5949</v>
      </c>
      <c r="F3992" t="s">
        <v>6027</v>
      </c>
      <c r="G3992" t="s">
        <v>6031</v>
      </c>
      <c r="H3992" t="s">
        <v>6042</v>
      </c>
      <c r="I3992" t="s">
        <v>6050</v>
      </c>
      <c r="J3992" t="s">
        <v>6055</v>
      </c>
      <c r="K3992" t="s">
        <v>6063</v>
      </c>
      <c r="L3992" t="s">
        <v>6508</v>
      </c>
      <c r="M3992">
        <v>1757.04</v>
      </c>
      <c r="N3992">
        <v>5</v>
      </c>
      <c r="O3992">
        <v>0</v>
      </c>
      <c r="P3992">
        <v>298.66000000000003</v>
      </c>
      <c r="Q3992" t="s">
        <v>9897</v>
      </c>
      <c r="R3992">
        <v>3</v>
      </c>
      <c r="S3992" s="5">
        <f t="shared" si="124"/>
        <v>0.16997905568456043</v>
      </c>
      <c r="T3992">
        <v>351.40800000000002</v>
      </c>
      <c r="U3992">
        <v>10</v>
      </c>
      <c r="V3992">
        <v>2022</v>
      </c>
      <c r="W3992">
        <v>4</v>
      </c>
      <c r="X3992" t="s">
        <v>9899</v>
      </c>
      <c r="Y3992" t="s">
        <v>9901</v>
      </c>
      <c r="Z3992" t="s">
        <v>9898</v>
      </c>
      <c r="AD3992">
        <f t="shared" si="125"/>
        <v>3</v>
      </c>
    </row>
    <row r="3993" spans="1:30" x14ac:dyDescent="0.25">
      <c r="A3993" t="s">
        <v>4017</v>
      </c>
      <c r="B3993" s="2">
        <v>44664</v>
      </c>
      <c r="C3993" s="2">
        <v>44665</v>
      </c>
      <c r="D3993" t="s">
        <v>5089</v>
      </c>
      <c r="E3993" t="s">
        <v>5589</v>
      </c>
      <c r="F3993" t="s">
        <v>6028</v>
      </c>
      <c r="G3993" t="s">
        <v>6029</v>
      </c>
      <c r="H3993" t="s">
        <v>6041</v>
      </c>
      <c r="I3993" t="s">
        <v>6046</v>
      </c>
      <c r="J3993" t="s">
        <v>6054</v>
      </c>
      <c r="K3993" t="s">
        <v>6060</v>
      </c>
      <c r="L3993" t="s">
        <v>9266</v>
      </c>
      <c r="M3993">
        <v>288.92</v>
      </c>
      <c r="N3993">
        <v>2</v>
      </c>
      <c r="O3993">
        <v>0.08</v>
      </c>
      <c r="P3993">
        <v>44.15</v>
      </c>
      <c r="Q3993" t="s">
        <v>9897</v>
      </c>
      <c r="R3993">
        <v>1</v>
      </c>
      <c r="S3993" s="5">
        <f t="shared" si="124"/>
        <v>0.15281046656513914</v>
      </c>
      <c r="T3993">
        <v>144.46</v>
      </c>
      <c r="U3993">
        <v>4</v>
      </c>
      <c r="V3993">
        <v>2022</v>
      </c>
      <c r="W3993">
        <v>2</v>
      </c>
      <c r="X3993" t="s">
        <v>9899</v>
      </c>
      <c r="Y3993" t="s">
        <v>9901</v>
      </c>
      <c r="Z3993" t="s">
        <v>9899</v>
      </c>
      <c r="AD3993">
        <f t="shared" si="125"/>
        <v>1</v>
      </c>
    </row>
    <row r="3994" spans="1:30" x14ac:dyDescent="0.25">
      <c r="A3994" t="s">
        <v>4018</v>
      </c>
      <c r="B3994" s="2">
        <v>45433</v>
      </c>
      <c r="C3994" s="2">
        <v>45440</v>
      </c>
      <c r="D3994" t="s">
        <v>5350</v>
      </c>
      <c r="E3994" t="s">
        <v>5850</v>
      </c>
      <c r="F3994" t="s">
        <v>6026</v>
      </c>
      <c r="G3994" t="s">
        <v>6031</v>
      </c>
      <c r="H3994" t="s">
        <v>6034</v>
      </c>
      <c r="I3994" t="s">
        <v>6048</v>
      </c>
      <c r="J3994" t="s">
        <v>6053</v>
      </c>
      <c r="K3994" t="s">
        <v>6057</v>
      </c>
      <c r="L3994" t="s">
        <v>9267</v>
      </c>
      <c r="M3994">
        <v>1543.69</v>
      </c>
      <c r="N3994">
        <v>4</v>
      </c>
      <c r="O3994">
        <v>0.13</v>
      </c>
      <c r="P3994">
        <v>256.95</v>
      </c>
      <c r="Q3994" t="s">
        <v>9894</v>
      </c>
      <c r="R3994">
        <v>7</v>
      </c>
      <c r="S3994" s="5">
        <f t="shared" si="124"/>
        <v>0.16645181351178021</v>
      </c>
      <c r="T3994">
        <v>385.92250000000001</v>
      </c>
      <c r="U3994">
        <v>5</v>
      </c>
      <c r="V3994">
        <v>2024</v>
      </c>
      <c r="W3994">
        <v>2</v>
      </c>
      <c r="X3994" t="s">
        <v>9899</v>
      </c>
      <c r="Y3994" t="s">
        <v>9901</v>
      </c>
      <c r="Z3994" t="s">
        <v>9898</v>
      </c>
      <c r="AD3994">
        <f t="shared" si="125"/>
        <v>7</v>
      </c>
    </row>
    <row r="3995" spans="1:30" x14ac:dyDescent="0.25">
      <c r="A3995" t="s">
        <v>4019</v>
      </c>
      <c r="B3995" s="2">
        <v>45184</v>
      </c>
      <c r="C3995" s="2">
        <v>45186</v>
      </c>
      <c r="D3995" t="s">
        <v>5087</v>
      </c>
      <c r="E3995" t="s">
        <v>5587</v>
      </c>
      <c r="F3995" t="s">
        <v>6026</v>
      </c>
      <c r="G3995" t="s">
        <v>6031</v>
      </c>
      <c r="H3995" t="s">
        <v>6043</v>
      </c>
      <c r="I3995" t="s">
        <v>6050</v>
      </c>
      <c r="J3995" t="s">
        <v>6053</v>
      </c>
      <c r="K3995" t="s">
        <v>6056</v>
      </c>
      <c r="L3995" t="s">
        <v>9268</v>
      </c>
      <c r="M3995">
        <v>672.52</v>
      </c>
      <c r="N3995">
        <v>7</v>
      </c>
      <c r="O3995">
        <v>0.18</v>
      </c>
      <c r="P3995">
        <v>-22.3</v>
      </c>
      <c r="Q3995" t="s">
        <v>9893</v>
      </c>
      <c r="R3995">
        <v>2</v>
      </c>
      <c r="S3995" s="5">
        <f t="shared" si="124"/>
        <v>-3.3158865163861302E-2</v>
      </c>
      <c r="T3995">
        <v>96.074285714285708</v>
      </c>
      <c r="U3995">
        <v>9</v>
      </c>
      <c r="V3995">
        <v>2023</v>
      </c>
      <c r="W3995">
        <v>3</v>
      </c>
      <c r="X3995" t="s">
        <v>9898</v>
      </c>
      <c r="Y3995" t="s">
        <v>9900</v>
      </c>
      <c r="Z3995" t="s">
        <v>9899</v>
      </c>
      <c r="AD3995">
        <f t="shared" si="125"/>
        <v>2</v>
      </c>
    </row>
    <row r="3996" spans="1:30" x14ac:dyDescent="0.25">
      <c r="A3996" t="s">
        <v>4020</v>
      </c>
      <c r="B3996" s="2">
        <v>45334</v>
      </c>
      <c r="C3996" s="2">
        <v>45336</v>
      </c>
      <c r="D3996" t="s">
        <v>5136</v>
      </c>
      <c r="E3996" t="s">
        <v>5636</v>
      </c>
      <c r="F3996" t="s">
        <v>6026</v>
      </c>
      <c r="G3996" t="s">
        <v>6029</v>
      </c>
      <c r="H3996" t="s">
        <v>6032</v>
      </c>
      <c r="I3996" t="s">
        <v>6050</v>
      </c>
      <c r="J3996" t="s">
        <v>6053</v>
      </c>
      <c r="K3996" t="s">
        <v>6058</v>
      </c>
      <c r="L3996" t="s">
        <v>6555</v>
      </c>
      <c r="M3996">
        <v>508.62</v>
      </c>
      <c r="N3996">
        <v>8</v>
      </c>
      <c r="O3996">
        <v>0.14000000000000001</v>
      </c>
      <c r="P3996">
        <v>66.13</v>
      </c>
      <c r="Q3996" t="s">
        <v>9897</v>
      </c>
      <c r="R3996">
        <v>2</v>
      </c>
      <c r="S3996" s="5">
        <f t="shared" si="124"/>
        <v>0.1300184813809917</v>
      </c>
      <c r="T3996">
        <v>63.577500000000001</v>
      </c>
      <c r="U3996">
        <v>2</v>
      </c>
      <c r="V3996">
        <v>2024</v>
      </c>
      <c r="W3996">
        <v>1</v>
      </c>
      <c r="X3996" t="s">
        <v>9899</v>
      </c>
      <c r="Y3996" t="s">
        <v>9901</v>
      </c>
      <c r="Z3996" t="s">
        <v>9899</v>
      </c>
      <c r="AD3996">
        <f t="shared" si="125"/>
        <v>2</v>
      </c>
    </row>
    <row r="3997" spans="1:30" x14ac:dyDescent="0.25">
      <c r="A3997" t="s">
        <v>4021</v>
      </c>
      <c r="B3997" s="2">
        <v>45135</v>
      </c>
      <c r="C3997" s="2">
        <v>45136</v>
      </c>
      <c r="D3997" t="s">
        <v>5497</v>
      </c>
      <c r="E3997" t="s">
        <v>5997</v>
      </c>
      <c r="F3997" t="s">
        <v>6026</v>
      </c>
      <c r="G3997" t="s">
        <v>6031</v>
      </c>
      <c r="H3997" t="s">
        <v>6040</v>
      </c>
      <c r="I3997" t="s">
        <v>6052</v>
      </c>
      <c r="J3997" t="s">
        <v>6054</v>
      </c>
      <c r="K3997" t="s">
        <v>6060</v>
      </c>
      <c r="L3997" t="s">
        <v>9269</v>
      </c>
      <c r="M3997">
        <v>1980.52</v>
      </c>
      <c r="N3997">
        <v>8</v>
      </c>
      <c r="O3997">
        <v>0.17</v>
      </c>
      <c r="P3997">
        <v>-0.61</v>
      </c>
      <c r="Q3997" t="s">
        <v>9895</v>
      </c>
      <c r="R3997">
        <v>1</v>
      </c>
      <c r="S3997" s="5">
        <f t="shared" si="124"/>
        <v>-3.0799991921313594E-4</v>
      </c>
      <c r="T3997">
        <v>247.565</v>
      </c>
      <c r="U3997">
        <v>7</v>
      </c>
      <c r="V3997">
        <v>2023</v>
      </c>
      <c r="W3997">
        <v>3</v>
      </c>
      <c r="X3997" t="s">
        <v>9898</v>
      </c>
      <c r="Y3997" t="s">
        <v>9900</v>
      </c>
      <c r="Z3997" t="s">
        <v>9898</v>
      </c>
      <c r="AD3997">
        <f t="shared" si="125"/>
        <v>1</v>
      </c>
    </row>
    <row r="3998" spans="1:30" x14ac:dyDescent="0.25">
      <c r="A3998" t="s">
        <v>4022</v>
      </c>
      <c r="B3998" s="2">
        <v>45247</v>
      </c>
      <c r="C3998" s="2">
        <v>45250</v>
      </c>
      <c r="D3998" t="s">
        <v>5397</v>
      </c>
      <c r="E3998" t="s">
        <v>5897</v>
      </c>
      <c r="F3998" t="s">
        <v>6027</v>
      </c>
      <c r="G3998" t="s">
        <v>6029</v>
      </c>
      <c r="H3998" t="s">
        <v>6036</v>
      </c>
      <c r="I3998" t="s">
        <v>6050</v>
      </c>
      <c r="J3998" t="s">
        <v>6055</v>
      </c>
      <c r="K3998" t="s">
        <v>6061</v>
      </c>
      <c r="L3998" t="s">
        <v>9270</v>
      </c>
      <c r="M3998">
        <v>1124.24</v>
      </c>
      <c r="N3998">
        <v>8</v>
      </c>
      <c r="O3998">
        <v>0.16</v>
      </c>
      <c r="P3998">
        <v>-23.04</v>
      </c>
      <c r="Q3998" t="s">
        <v>9893</v>
      </c>
      <c r="R3998">
        <v>3</v>
      </c>
      <c r="S3998" s="5">
        <f t="shared" si="124"/>
        <v>-2.0493844730662489E-2</v>
      </c>
      <c r="T3998">
        <v>140.53</v>
      </c>
      <c r="U3998">
        <v>11</v>
      </c>
      <c r="V3998">
        <v>2023</v>
      </c>
      <c r="W3998">
        <v>4</v>
      </c>
      <c r="X3998" t="s">
        <v>9898</v>
      </c>
      <c r="Y3998" t="s">
        <v>9900</v>
      </c>
      <c r="Z3998" t="s">
        <v>9898</v>
      </c>
      <c r="AD3998">
        <f t="shared" si="125"/>
        <v>3</v>
      </c>
    </row>
    <row r="3999" spans="1:30" x14ac:dyDescent="0.25">
      <c r="A3999" t="s">
        <v>4023</v>
      </c>
      <c r="B3999" s="2">
        <v>45231</v>
      </c>
      <c r="C3999" s="2">
        <v>45238</v>
      </c>
      <c r="D3999" t="s">
        <v>5366</v>
      </c>
      <c r="E3999" t="s">
        <v>5866</v>
      </c>
      <c r="F3999" t="s">
        <v>6026</v>
      </c>
      <c r="G3999" t="s">
        <v>6029</v>
      </c>
      <c r="H3999" t="s">
        <v>6041</v>
      </c>
      <c r="I3999" t="s">
        <v>6050</v>
      </c>
      <c r="J3999" t="s">
        <v>6054</v>
      </c>
      <c r="K3999" t="s">
        <v>6060</v>
      </c>
      <c r="L3999" t="s">
        <v>9271</v>
      </c>
      <c r="M3999">
        <v>1911.96</v>
      </c>
      <c r="N3999">
        <v>4</v>
      </c>
      <c r="O3999">
        <v>0.32</v>
      </c>
      <c r="P3999">
        <v>-202.69</v>
      </c>
      <c r="Q3999" t="s">
        <v>9893</v>
      </c>
      <c r="R3999">
        <v>7</v>
      </c>
      <c r="S3999" s="5">
        <f t="shared" si="124"/>
        <v>-0.10601163204251135</v>
      </c>
      <c r="T3999">
        <v>477.99</v>
      </c>
      <c r="U3999">
        <v>11</v>
      </c>
      <c r="V3999">
        <v>2023</v>
      </c>
      <c r="W3999">
        <v>4</v>
      </c>
      <c r="X3999" t="s">
        <v>9898</v>
      </c>
      <c r="Y3999" t="s">
        <v>9902</v>
      </c>
      <c r="Z3999" t="s">
        <v>9898</v>
      </c>
      <c r="AD3999">
        <f t="shared" si="125"/>
        <v>7</v>
      </c>
    </row>
    <row r="4000" spans="1:30" x14ac:dyDescent="0.25">
      <c r="A4000" t="s">
        <v>4024</v>
      </c>
      <c r="B4000" s="2">
        <v>44704</v>
      </c>
      <c r="C4000" s="2">
        <v>44709</v>
      </c>
      <c r="D4000" t="s">
        <v>5094</v>
      </c>
      <c r="E4000" t="s">
        <v>5594</v>
      </c>
      <c r="F4000" t="s">
        <v>6027</v>
      </c>
      <c r="G4000" t="s">
        <v>6031</v>
      </c>
      <c r="H4000" t="s">
        <v>6034</v>
      </c>
      <c r="I4000" t="s">
        <v>6048</v>
      </c>
      <c r="J4000" t="s">
        <v>6055</v>
      </c>
      <c r="K4000" t="s">
        <v>6061</v>
      </c>
      <c r="L4000" t="s">
        <v>6135</v>
      </c>
      <c r="M4000">
        <v>1287.8399999999999</v>
      </c>
      <c r="N4000">
        <v>2</v>
      </c>
      <c r="O4000">
        <v>7.0000000000000007E-2</v>
      </c>
      <c r="P4000">
        <v>81.14</v>
      </c>
      <c r="Q4000" t="s">
        <v>9895</v>
      </c>
      <c r="R4000">
        <v>5</v>
      </c>
      <c r="S4000" s="5">
        <f t="shared" si="124"/>
        <v>6.3004721083364398E-2</v>
      </c>
      <c r="T4000">
        <v>643.91999999999996</v>
      </c>
      <c r="U4000">
        <v>5</v>
      </c>
      <c r="V4000">
        <v>2022</v>
      </c>
      <c r="W4000">
        <v>2</v>
      </c>
      <c r="X4000" t="s">
        <v>9899</v>
      </c>
      <c r="Y4000" t="s">
        <v>9901</v>
      </c>
      <c r="Z4000" t="s">
        <v>9898</v>
      </c>
      <c r="AD4000">
        <f t="shared" si="125"/>
        <v>5</v>
      </c>
    </row>
    <row r="4001" spans="1:30" x14ac:dyDescent="0.25">
      <c r="A4001" t="s">
        <v>4025</v>
      </c>
      <c r="B4001" s="2">
        <v>45389</v>
      </c>
      <c r="C4001" s="2">
        <v>45394</v>
      </c>
      <c r="D4001" t="s">
        <v>5443</v>
      </c>
      <c r="E4001" t="s">
        <v>5943</v>
      </c>
      <c r="F4001" t="s">
        <v>6027</v>
      </c>
      <c r="G4001" t="s">
        <v>6031</v>
      </c>
      <c r="H4001" t="s">
        <v>6037</v>
      </c>
      <c r="I4001" t="s">
        <v>6048</v>
      </c>
      <c r="J4001" t="s">
        <v>6054</v>
      </c>
      <c r="K4001" t="s">
        <v>6059</v>
      </c>
      <c r="L4001" t="s">
        <v>9272</v>
      </c>
      <c r="M4001">
        <v>1745.89</v>
      </c>
      <c r="N4001">
        <v>6</v>
      </c>
      <c r="O4001">
        <v>0.25</v>
      </c>
      <c r="P4001">
        <v>-221.52</v>
      </c>
      <c r="Q4001" t="s">
        <v>9893</v>
      </c>
      <c r="R4001">
        <v>5</v>
      </c>
      <c r="S4001" s="5">
        <f t="shared" si="124"/>
        <v>-0.1268808458723058</v>
      </c>
      <c r="T4001">
        <v>290.98166666666668</v>
      </c>
      <c r="U4001">
        <v>4</v>
      </c>
      <c r="V4001">
        <v>2024</v>
      </c>
      <c r="W4001">
        <v>2</v>
      </c>
      <c r="X4001" t="s">
        <v>9898</v>
      </c>
      <c r="Y4001" t="s">
        <v>9900</v>
      </c>
      <c r="Z4001" t="s">
        <v>9898</v>
      </c>
      <c r="AD4001">
        <f t="shared" si="125"/>
        <v>5</v>
      </c>
    </row>
    <row r="4002" spans="1:30" x14ac:dyDescent="0.25">
      <c r="A4002" t="s">
        <v>4026</v>
      </c>
      <c r="B4002" s="2">
        <v>45312</v>
      </c>
      <c r="C4002" s="2">
        <v>45319</v>
      </c>
      <c r="D4002" t="s">
        <v>5381</v>
      </c>
      <c r="E4002" t="s">
        <v>5881</v>
      </c>
      <c r="F4002" t="s">
        <v>6027</v>
      </c>
      <c r="G4002" t="s">
        <v>6031</v>
      </c>
      <c r="H4002" t="s">
        <v>6040</v>
      </c>
      <c r="I4002" t="s">
        <v>6052</v>
      </c>
      <c r="J4002" t="s">
        <v>6054</v>
      </c>
      <c r="K4002" t="s">
        <v>6060</v>
      </c>
      <c r="L4002" t="s">
        <v>9273</v>
      </c>
      <c r="M4002">
        <v>1014.98</v>
      </c>
      <c r="N4002">
        <v>1</v>
      </c>
      <c r="O4002">
        <v>0.33</v>
      </c>
      <c r="P4002">
        <v>-152.94999999999999</v>
      </c>
      <c r="Q4002" t="s">
        <v>9893</v>
      </c>
      <c r="R4002">
        <v>7</v>
      </c>
      <c r="S4002" s="5">
        <f t="shared" si="124"/>
        <v>-0.15069262448521151</v>
      </c>
      <c r="T4002">
        <v>1014.98</v>
      </c>
      <c r="U4002">
        <v>1</v>
      </c>
      <c r="V4002">
        <v>2024</v>
      </c>
      <c r="W4002">
        <v>1</v>
      </c>
      <c r="X4002" t="s">
        <v>9898</v>
      </c>
      <c r="Y4002" t="s">
        <v>9902</v>
      </c>
      <c r="Z4002" t="s">
        <v>9898</v>
      </c>
      <c r="AD4002">
        <f t="shared" si="125"/>
        <v>7</v>
      </c>
    </row>
    <row r="4003" spans="1:30" x14ac:dyDescent="0.25">
      <c r="A4003" t="s">
        <v>4027</v>
      </c>
      <c r="B4003" s="2">
        <v>45225</v>
      </c>
      <c r="C4003" s="2">
        <v>45226</v>
      </c>
      <c r="D4003" t="s">
        <v>5523</v>
      </c>
      <c r="E4003" t="s">
        <v>6023</v>
      </c>
      <c r="F4003" t="s">
        <v>6027</v>
      </c>
      <c r="G4003" t="s">
        <v>6030</v>
      </c>
      <c r="H4003" t="s">
        <v>6035</v>
      </c>
      <c r="I4003" t="s">
        <v>6047</v>
      </c>
      <c r="J4003" t="s">
        <v>6055</v>
      </c>
      <c r="K4003" t="s">
        <v>6061</v>
      </c>
      <c r="L4003" t="s">
        <v>9274</v>
      </c>
      <c r="M4003">
        <v>910.14</v>
      </c>
      <c r="N4003">
        <v>2</v>
      </c>
      <c r="O4003">
        <v>0.05</v>
      </c>
      <c r="P4003">
        <v>147.44</v>
      </c>
      <c r="Q4003" t="s">
        <v>9893</v>
      </c>
      <c r="R4003">
        <v>1</v>
      </c>
      <c r="S4003" s="5">
        <f t="shared" si="124"/>
        <v>0.16199705539807063</v>
      </c>
      <c r="T4003">
        <v>455.07</v>
      </c>
      <c r="U4003">
        <v>10</v>
      </c>
      <c r="V4003">
        <v>2023</v>
      </c>
      <c r="W4003">
        <v>4</v>
      </c>
      <c r="X4003" t="s">
        <v>9899</v>
      </c>
      <c r="Y4003" t="s">
        <v>9901</v>
      </c>
      <c r="Z4003" t="s">
        <v>9899</v>
      </c>
      <c r="AD4003">
        <f t="shared" si="125"/>
        <v>1</v>
      </c>
    </row>
    <row r="4004" spans="1:30" x14ac:dyDescent="0.25">
      <c r="A4004" t="s">
        <v>4028</v>
      </c>
      <c r="B4004" s="2">
        <v>44944</v>
      </c>
      <c r="C4004" s="2">
        <v>44948</v>
      </c>
      <c r="D4004" t="s">
        <v>5363</v>
      </c>
      <c r="E4004" t="s">
        <v>5863</v>
      </c>
      <c r="F4004" t="s">
        <v>6027</v>
      </c>
      <c r="G4004" t="s">
        <v>6030</v>
      </c>
      <c r="H4004" t="s">
        <v>6039</v>
      </c>
      <c r="I4004" t="s">
        <v>6047</v>
      </c>
      <c r="J4004" t="s">
        <v>6055</v>
      </c>
      <c r="K4004" t="s">
        <v>6061</v>
      </c>
      <c r="L4004" t="s">
        <v>9275</v>
      </c>
      <c r="M4004">
        <v>871.54</v>
      </c>
      <c r="N4004">
        <v>2</v>
      </c>
      <c r="O4004">
        <v>0</v>
      </c>
      <c r="P4004">
        <v>253.86</v>
      </c>
      <c r="Q4004" t="s">
        <v>9895</v>
      </c>
      <c r="R4004">
        <v>4</v>
      </c>
      <c r="S4004" s="5">
        <f t="shared" si="124"/>
        <v>0.2912775087775662</v>
      </c>
      <c r="T4004">
        <v>435.77</v>
      </c>
      <c r="U4004">
        <v>1</v>
      </c>
      <c r="V4004">
        <v>2023</v>
      </c>
      <c r="W4004">
        <v>1</v>
      </c>
      <c r="X4004" t="s">
        <v>9899</v>
      </c>
      <c r="Y4004" t="s">
        <v>9901</v>
      </c>
      <c r="Z4004" t="s">
        <v>9899</v>
      </c>
      <c r="AD4004">
        <f t="shared" si="125"/>
        <v>4</v>
      </c>
    </row>
    <row r="4005" spans="1:30" x14ac:dyDescent="0.25">
      <c r="A4005" t="s">
        <v>4029</v>
      </c>
      <c r="B4005" s="2">
        <v>44646</v>
      </c>
      <c r="C4005" s="2">
        <v>44651</v>
      </c>
      <c r="D4005" t="s">
        <v>5090</v>
      </c>
      <c r="E4005" t="s">
        <v>5590</v>
      </c>
      <c r="F4005" t="s">
        <v>6026</v>
      </c>
      <c r="G4005" t="s">
        <v>6031</v>
      </c>
      <c r="H4005" t="s">
        <v>6037</v>
      </c>
      <c r="I4005" t="s">
        <v>6052</v>
      </c>
      <c r="J4005" t="s">
        <v>6053</v>
      </c>
      <c r="K4005" t="s">
        <v>6058</v>
      </c>
      <c r="L4005" t="s">
        <v>9276</v>
      </c>
      <c r="M4005">
        <v>1109.1199999999999</v>
      </c>
      <c r="N4005">
        <v>1</v>
      </c>
      <c r="O4005">
        <v>0.32</v>
      </c>
      <c r="P4005">
        <v>-151.11000000000001</v>
      </c>
      <c r="Q4005" t="s">
        <v>9895</v>
      </c>
      <c r="R4005">
        <v>5</v>
      </c>
      <c r="S4005" s="5">
        <f t="shared" si="124"/>
        <v>-0.13624314772071555</v>
      </c>
      <c r="T4005">
        <v>1109.1199999999999</v>
      </c>
      <c r="U4005">
        <v>3</v>
      </c>
      <c r="V4005">
        <v>2022</v>
      </c>
      <c r="W4005">
        <v>1</v>
      </c>
      <c r="X4005" t="s">
        <v>9898</v>
      </c>
      <c r="Y4005" t="s">
        <v>9902</v>
      </c>
      <c r="Z4005" t="s">
        <v>9898</v>
      </c>
      <c r="AD4005">
        <f t="shared" si="125"/>
        <v>5</v>
      </c>
    </row>
    <row r="4006" spans="1:30" x14ac:dyDescent="0.25">
      <c r="A4006" t="s">
        <v>4030</v>
      </c>
      <c r="B4006" s="2">
        <v>44994</v>
      </c>
      <c r="C4006" s="2">
        <v>45000</v>
      </c>
      <c r="D4006" t="s">
        <v>5436</v>
      </c>
      <c r="E4006" t="s">
        <v>5936</v>
      </c>
      <c r="F4006" t="s">
        <v>6028</v>
      </c>
      <c r="G4006" t="s">
        <v>6030</v>
      </c>
      <c r="H4006" t="s">
        <v>6039</v>
      </c>
      <c r="I4006" t="s">
        <v>6047</v>
      </c>
      <c r="J4006" t="s">
        <v>6054</v>
      </c>
      <c r="K4006" t="s">
        <v>6060</v>
      </c>
      <c r="L4006" t="s">
        <v>9277</v>
      </c>
      <c r="M4006">
        <v>1284.18</v>
      </c>
      <c r="N4006">
        <v>3</v>
      </c>
      <c r="O4006">
        <v>0.31</v>
      </c>
      <c r="P4006">
        <v>-47.37</v>
      </c>
      <c r="Q4006" t="s">
        <v>9896</v>
      </c>
      <c r="R4006">
        <v>6</v>
      </c>
      <c r="S4006" s="5">
        <f t="shared" si="124"/>
        <v>-3.6887352240340135E-2</v>
      </c>
      <c r="T4006">
        <v>428.06</v>
      </c>
      <c r="U4006">
        <v>3</v>
      </c>
      <c r="V4006">
        <v>2023</v>
      </c>
      <c r="W4006">
        <v>1</v>
      </c>
      <c r="X4006" t="s">
        <v>9898</v>
      </c>
      <c r="Y4006" t="s">
        <v>9902</v>
      </c>
      <c r="Z4006" t="s">
        <v>9898</v>
      </c>
      <c r="AD4006">
        <f t="shared" si="125"/>
        <v>6</v>
      </c>
    </row>
    <row r="4007" spans="1:30" x14ac:dyDescent="0.25">
      <c r="A4007" t="s">
        <v>4031</v>
      </c>
      <c r="B4007" s="2">
        <v>45194</v>
      </c>
      <c r="C4007" s="2">
        <v>45201</v>
      </c>
      <c r="D4007" t="s">
        <v>5291</v>
      </c>
      <c r="E4007" t="s">
        <v>5791</v>
      </c>
      <c r="F4007" t="s">
        <v>6028</v>
      </c>
      <c r="G4007" t="s">
        <v>6030</v>
      </c>
      <c r="H4007" t="s">
        <v>6033</v>
      </c>
      <c r="I4007" t="s">
        <v>6051</v>
      </c>
      <c r="J4007" t="s">
        <v>6053</v>
      </c>
      <c r="K4007" t="s">
        <v>6057</v>
      </c>
      <c r="L4007" t="s">
        <v>9278</v>
      </c>
      <c r="M4007">
        <v>1056.68</v>
      </c>
      <c r="N4007">
        <v>2</v>
      </c>
      <c r="O4007">
        <v>0.12</v>
      </c>
      <c r="P4007">
        <v>170.59</v>
      </c>
      <c r="Q4007" t="s">
        <v>9893</v>
      </c>
      <c r="R4007">
        <v>7</v>
      </c>
      <c r="S4007" s="5">
        <f t="shared" si="124"/>
        <v>0.16143960328576296</v>
      </c>
      <c r="T4007">
        <v>528.34</v>
      </c>
      <c r="U4007">
        <v>9</v>
      </c>
      <c r="V4007">
        <v>2023</v>
      </c>
      <c r="W4007">
        <v>3</v>
      </c>
      <c r="X4007" t="s">
        <v>9899</v>
      </c>
      <c r="Y4007" t="s">
        <v>9901</v>
      </c>
      <c r="Z4007" t="s">
        <v>9898</v>
      </c>
      <c r="AD4007">
        <f t="shared" si="125"/>
        <v>7</v>
      </c>
    </row>
    <row r="4008" spans="1:30" x14ac:dyDescent="0.25">
      <c r="A4008" t="s">
        <v>4032</v>
      </c>
      <c r="B4008" s="2">
        <v>44957</v>
      </c>
      <c r="C4008" s="2">
        <v>44960</v>
      </c>
      <c r="D4008" t="s">
        <v>5084</v>
      </c>
      <c r="E4008" t="s">
        <v>5584</v>
      </c>
      <c r="F4008" t="s">
        <v>6028</v>
      </c>
      <c r="G4008" t="s">
        <v>6031</v>
      </c>
      <c r="H4008" t="s">
        <v>6042</v>
      </c>
      <c r="I4008" t="s">
        <v>6048</v>
      </c>
      <c r="J4008" t="s">
        <v>6054</v>
      </c>
      <c r="K4008" t="s">
        <v>6062</v>
      </c>
      <c r="L4008" t="s">
        <v>9279</v>
      </c>
      <c r="M4008">
        <v>101.05</v>
      </c>
      <c r="N4008">
        <v>3</v>
      </c>
      <c r="O4008">
        <v>0.32</v>
      </c>
      <c r="P4008">
        <v>-17.22</v>
      </c>
      <c r="Q4008" t="s">
        <v>9894</v>
      </c>
      <c r="R4008">
        <v>3</v>
      </c>
      <c r="S4008" s="5">
        <f t="shared" si="124"/>
        <v>-0.17041068777832755</v>
      </c>
      <c r="T4008">
        <v>33.68333333333333</v>
      </c>
      <c r="U4008">
        <v>1</v>
      </c>
      <c r="V4008">
        <v>2023</v>
      </c>
      <c r="W4008">
        <v>1</v>
      </c>
      <c r="X4008" t="s">
        <v>9898</v>
      </c>
      <c r="Y4008" t="s">
        <v>9902</v>
      </c>
      <c r="Z4008" t="s">
        <v>9899</v>
      </c>
      <c r="AD4008">
        <f t="shared" si="125"/>
        <v>3</v>
      </c>
    </row>
    <row r="4009" spans="1:30" x14ac:dyDescent="0.25">
      <c r="A4009" t="s">
        <v>4033</v>
      </c>
      <c r="B4009" s="2">
        <v>44958</v>
      </c>
      <c r="C4009" s="2">
        <v>44961</v>
      </c>
      <c r="D4009" t="s">
        <v>5062</v>
      </c>
      <c r="E4009" t="s">
        <v>5562</v>
      </c>
      <c r="F4009" t="s">
        <v>6028</v>
      </c>
      <c r="G4009" t="s">
        <v>6031</v>
      </c>
      <c r="H4009" t="s">
        <v>6043</v>
      </c>
      <c r="I4009" t="s">
        <v>6050</v>
      </c>
      <c r="J4009" t="s">
        <v>6054</v>
      </c>
      <c r="K4009" t="s">
        <v>6059</v>
      </c>
      <c r="L4009" t="s">
        <v>9280</v>
      </c>
      <c r="M4009">
        <v>271.18</v>
      </c>
      <c r="N4009">
        <v>4</v>
      </c>
      <c r="O4009">
        <v>0.1</v>
      </c>
      <c r="P4009">
        <v>17.79</v>
      </c>
      <c r="Q4009" t="s">
        <v>9895</v>
      </c>
      <c r="R4009">
        <v>3</v>
      </c>
      <c r="S4009" s="5">
        <f t="shared" si="124"/>
        <v>6.5602183051847479E-2</v>
      </c>
      <c r="T4009">
        <v>67.795000000000002</v>
      </c>
      <c r="U4009">
        <v>2</v>
      </c>
      <c r="V4009">
        <v>2023</v>
      </c>
      <c r="W4009">
        <v>1</v>
      </c>
      <c r="X4009" t="s">
        <v>9899</v>
      </c>
      <c r="Y4009" t="s">
        <v>9901</v>
      </c>
      <c r="Z4009" t="s">
        <v>9899</v>
      </c>
      <c r="AD4009">
        <f t="shared" si="125"/>
        <v>3</v>
      </c>
    </row>
    <row r="4010" spans="1:30" x14ac:dyDescent="0.25">
      <c r="A4010" t="s">
        <v>4034</v>
      </c>
      <c r="B4010" s="2">
        <v>44849</v>
      </c>
      <c r="C4010" s="2">
        <v>44854</v>
      </c>
      <c r="D4010" t="s">
        <v>5454</v>
      </c>
      <c r="E4010" t="s">
        <v>5954</v>
      </c>
      <c r="F4010" t="s">
        <v>6028</v>
      </c>
      <c r="G4010" t="s">
        <v>6031</v>
      </c>
      <c r="H4010" t="s">
        <v>6037</v>
      </c>
      <c r="I4010" t="s">
        <v>6050</v>
      </c>
      <c r="J4010" t="s">
        <v>6053</v>
      </c>
      <c r="K4010" t="s">
        <v>6058</v>
      </c>
      <c r="L4010" t="s">
        <v>8826</v>
      </c>
      <c r="M4010">
        <v>1900.3</v>
      </c>
      <c r="N4010">
        <v>6</v>
      </c>
      <c r="O4010">
        <v>0.05</v>
      </c>
      <c r="P4010">
        <v>207.98</v>
      </c>
      <c r="Q4010" t="s">
        <v>9893</v>
      </c>
      <c r="R4010">
        <v>5</v>
      </c>
      <c r="S4010" s="5">
        <f t="shared" si="124"/>
        <v>0.10944587696679471</v>
      </c>
      <c r="T4010">
        <v>316.71666666666658</v>
      </c>
      <c r="U4010">
        <v>10</v>
      </c>
      <c r="V4010">
        <v>2022</v>
      </c>
      <c r="W4010">
        <v>4</v>
      </c>
      <c r="X4010" t="s">
        <v>9899</v>
      </c>
      <c r="Y4010" t="s">
        <v>9901</v>
      </c>
      <c r="Z4010" t="s">
        <v>9898</v>
      </c>
      <c r="AD4010">
        <f t="shared" si="125"/>
        <v>5</v>
      </c>
    </row>
    <row r="4011" spans="1:30" x14ac:dyDescent="0.25">
      <c r="A4011" t="s">
        <v>4035</v>
      </c>
      <c r="B4011" s="2">
        <v>45334</v>
      </c>
      <c r="C4011" s="2">
        <v>45338</v>
      </c>
      <c r="D4011" t="s">
        <v>5255</v>
      </c>
      <c r="E4011" t="s">
        <v>5755</v>
      </c>
      <c r="F4011" t="s">
        <v>6027</v>
      </c>
      <c r="G4011" t="s">
        <v>6031</v>
      </c>
      <c r="H4011" t="s">
        <v>6037</v>
      </c>
      <c r="I4011" t="s">
        <v>6050</v>
      </c>
      <c r="J4011" t="s">
        <v>6053</v>
      </c>
      <c r="K4011" t="s">
        <v>6058</v>
      </c>
      <c r="L4011" t="s">
        <v>9281</v>
      </c>
      <c r="M4011">
        <v>1174.19</v>
      </c>
      <c r="N4011">
        <v>3</v>
      </c>
      <c r="O4011">
        <v>0.02</v>
      </c>
      <c r="P4011">
        <v>94.94</v>
      </c>
      <c r="Q4011" t="s">
        <v>9896</v>
      </c>
      <c r="R4011">
        <v>4</v>
      </c>
      <c r="S4011" s="5">
        <f t="shared" si="124"/>
        <v>8.0855738849760259E-2</v>
      </c>
      <c r="T4011">
        <v>391.3966666666667</v>
      </c>
      <c r="U4011">
        <v>2</v>
      </c>
      <c r="V4011">
        <v>2024</v>
      </c>
      <c r="W4011">
        <v>1</v>
      </c>
      <c r="X4011" t="s">
        <v>9899</v>
      </c>
      <c r="Y4011" t="s">
        <v>9901</v>
      </c>
      <c r="Z4011" t="s">
        <v>9898</v>
      </c>
      <c r="AD4011">
        <f t="shared" si="125"/>
        <v>4</v>
      </c>
    </row>
    <row r="4012" spans="1:30" x14ac:dyDescent="0.25">
      <c r="A4012" t="s">
        <v>4036</v>
      </c>
      <c r="B4012" s="2">
        <v>44626</v>
      </c>
      <c r="C4012" s="2">
        <v>44627</v>
      </c>
      <c r="D4012" t="s">
        <v>5198</v>
      </c>
      <c r="E4012" t="s">
        <v>5698</v>
      </c>
      <c r="F4012" t="s">
        <v>6026</v>
      </c>
      <c r="G4012" t="s">
        <v>6031</v>
      </c>
      <c r="H4012" t="s">
        <v>6037</v>
      </c>
      <c r="I4012" t="s">
        <v>6048</v>
      </c>
      <c r="J4012" t="s">
        <v>6053</v>
      </c>
      <c r="K4012" t="s">
        <v>6058</v>
      </c>
      <c r="L4012" t="s">
        <v>9282</v>
      </c>
      <c r="M4012">
        <v>1235.53</v>
      </c>
      <c r="N4012">
        <v>4</v>
      </c>
      <c r="O4012">
        <v>0.19</v>
      </c>
      <c r="P4012">
        <v>8.02</v>
      </c>
      <c r="Q4012" t="s">
        <v>9897</v>
      </c>
      <c r="R4012">
        <v>1</v>
      </c>
      <c r="S4012" s="5">
        <f t="shared" si="124"/>
        <v>6.4911414534653145E-3</v>
      </c>
      <c r="T4012">
        <v>308.88249999999999</v>
      </c>
      <c r="U4012">
        <v>3</v>
      </c>
      <c r="V4012">
        <v>2022</v>
      </c>
      <c r="W4012">
        <v>1</v>
      </c>
      <c r="X4012" t="s">
        <v>9899</v>
      </c>
      <c r="Y4012" t="s">
        <v>9900</v>
      </c>
      <c r="Z4012" t="s">
        <v>9898</v>
      </c>
      <c r="AD4012">
        <f t="shared" si="125"/>
        <v>1</v>
      </c>
    </row>
    <row r="4013" spans="1:30" x14ac:dyDescent="0.25">
      <c r="A4013" t="s">
        <v>4037</v>
      </c>
      <c r="B4013" s="2">
        <v>44965</v>
      </c>
      <c r="C4013" s="2">
        <v>44968</v>
      </c>
      <c r="D4013" t="s">
        <v>5491</v>
      </c>
      <c r="E4013" t="s">
        <v>5991</v>
      </c>
      <c r="F4013" t="s">
        <v>6027</v>
      </c>
      <c r="G4013" t="s">
        <v>6031</v>
      </c>
      <c r="H4013" t="s">
        <v>6043</v>
      </c>
      <c r="I4013" t="s">
        <v>6052</v>
      </c>
      <c r="J4013" t="s">
        <v>6054</v>
      </c>
      <c r="K4013" t="s">
        <v>6059</v>
      </c>
      <c r="L4013" t="s">
        <v>9283</v>
      </c>
      <c r="M4013">
        <v>834.81</v>
      </c>
      <c r="N4013">
        <v>1</v>
      </c>
      <c r="O4013">
        <v>0.03</v>
      </c>
      <c r="P4013">
        <v>96.02</v>
      </c>
      <c r="Q4013" t="s">
        <v>9896</v>
      </c>
      <c r="R4013">
        <v>3</v>
      </c>
      <c r="S4013" s="5">
        <f t="shared" si="124"/>
        <v>0.11502018423353817</v>
      </c>
      <c r="T4013">
        <v>834.81</v>
      </c>
      <c r="U4013">
        <v>2</v>
      </c>
      <c r="V4013">
        <v>2023</v>
      </c>
      <c r="W4013">
        <v>1</v>
      </c>
      <c r="X4013" t="s">
        <v>9899</v>
      </c>
      <c r="Y4013" t="s">
        <v>9901</v>
      </c>
      <c r="Z4013" t="s">
        <v>9899</v>
      </c>
      <c r="AD4013">
        <f t="shared" si="125"/>
        <v>3</v>
      </c>
    </row>
    <row r="4014" spans="1:30" x14ac:dyDescent="0.25">
      <c r="A4014" t="s">
        <v>4038</v>
      </c>
      <c r="B4014" s="2">
        <v>44957</v>
      </c>
      <c r="C4014" s="2">
        <v>44963</v>
      </c>
      <c r="D4014" t="s">
        <v>5091</v>
      </c>
      <c r="E4014" t="s">
        <v>5591</v>
      </c>
      <c r="F4014" t="s">
        <v>6028</v>
      </c>
      <c r="G4014" t="s">
        <v>6029</v>
      </c>
      <c r="H4014" t="s">
        <v>6041</v>
      </c>
      <c r="I4014" t="s">
        <v>6049</v>
      </c>
      <c r="J4014" t="s">
        <v>6054</v>
      </c>
      <c r="K4014" t="s">
        <v>6060</v>
      </c>
      <c r="L4014" t="s">
        <v>9284</v>
      </c>
      <c r="M4014">
        <v>1800.98</v>
      </c>
      <c r="N4014">
        <v>7</v>
      </c>
      <c r="O4014">
        <v>0.04</v>
      </c>
      <c r="P4014">
        <v>335.72</v>
      </c>
      <c r="Q4014" t="s">
        <v>9895</v>
      </c>
      <c r="R4014">
        <v>6</v>
      </c>
      <c r="S4014" s="5">
        <f t="shared" si="124"/>
        <v>0.18640962142833348</v>
      </c>
      <c r="T4014">
        <v>257.28285714285721</v>
      </c>
      <c r="U4014">
        <v>1</v>
      </c>
      <c r="V4014">
        <v>2023</v>
      </c>
      <c r="W4014">
        <v>1</v>
      </c>
      <c r="X4014" t="s">
        <v>9899</v>
      </c>
      <c r="Y4014" t="s">
        <v>9901</v>
      </c>
      <c r="Z4014" t="s">
        <v>9898</v>
      </c>
      <c r="AD4014">
        <f t="shared" si="125"/>
        <v>6</v>
      </c>
    </row>
    <row r="4015" spans="1:30" x14ac:dyDescent="0.25">
      <c r="A4015" t="s">
        <v>4039</v>
      </c>
      <c r="B4015" s="2">
        <v>45242</v>
      </c>
      <c r="C4015" s="2">
        <v>45247</v>
      </c>
      <c r="D4015" t="s">
        <v>5448</v>
      </c>
      <c r="E4015" t="s">
        <v>5948</v>
      </c>
      <c r="F4015" t="s">
        <v>6028</v>
      </c>
      <c r="G4015" t="s">
        <v>6029</v>
      </c>
      <c r="H4015" t="s">
        <v>6044</v>
      </c>
      <c r="I4015" t="s">
        <v>6050</v>
      </c>
      <c r="J4015" t="s">
        <v>6054</v>
      </c>
      <c r="K4015" t="s">
        <v>6059</v>
      </c>
      <c r="L4015" t="s">
        <v>9285</v>
      </c>
      <c r="M4015">
        <v>1853.55</v>
      </c>
      <c r="N4015">
        <v>7</v>
      </c>
      <c r="O4015">
        <v>0.12</v>
      </c>
      <c r="P4015">
        <v>218.89</v>
      </c>
      <c r="Q4015" t="s">
        <v>9897</v>
      </c>
      <c r="R4015">
        <v>5</v>
      </c>
      <c r="S4015" s="5">
        <f t="shared" si="124"/>
        <v>0.11809230935232391</v>
      </c>
      <c r="T4015">
        <v>264.79285714285709</v>
      </c>
      <c r="U4015">
        <v>11</v>
      </c>
      <c r="V4015">
        <v>2023</v>
      </c>
      <c r="W4015">
        <v>4</v>
      </c>
      <c r="X4015" t="s">
        <v>9899</v>
      </c>
      <c r="Y4015" t="s">
        <v>9901</v>
      </c>
      <c r="Z4015" t="s">
        <v>9898</v>
      </c>
      <c r="AD4015">
        <f t="shared" si="125"/>
        <v>5</v>
      </c>
    </row>
    <row r="4016" spans="1:30" x14ac:dyDescent="0.25">
      <c r="A4016" t="s">
        <v>4040</v>
      </c>
      <c r="B4016" s="2">
        <v>44634</v>
      </c>
      <c r="C4016" s="2">
        <v>44638</v>
      </c>
      <c r="D4016" t="s">
        <v>5513</v>
      </c>
      <c r="E4016" t="s">
        <v>6013</v>
      </c>
      <c r="F4016" t="s">
        <v>6028</v>
      </c>
      <c r="G4016" t="s">
        <v>6030</v>
      </c>
      <c r="H4016" t="s">
        <v>6039</v>
      </c>
      <c r="I4016" t="s">
        <v>6047</v>
      </c>
      <c r="J4016" t="s">
        <v>6054</v>
      </c>
      <c r="K4016" t="s">
        <v>6060</v>
      </c>
      <c r="L4016" t="s">
        <v>9286</v>
      </c>
      <c r="M4016">
        <v>1409.9</v>
      </c>
      <c r="N4016">
        <v>8</v>
      </c>
      <c r="O4016">
        <v>0.28000000000000003</v>
      </c>
      <c r="P4016">
        <v>-29.08</v>
      </c>
      <c r="Q4016" t="s">
        <v>9897</v>
      </c>
      <c r="R4016">
        <v>4</v>
      </c>
      <c r="S4016" s="5">
        <f t="shared" si="124"/>
        <v>-2.0625576282005814E-2</v>
      </c>
      <c r="T4016">
        <v>176.23750000000001</v>
      </c>
      <c r="U4016">
        <v>3</v>
      </c>
      <c r="V4016">
        <v>2022</v>
      </c>
      <c r="W4016">
        <v>1</v>
      </c>
      <c r="X4016" t="s">
        <v>9898</v>
      </c>
      <c r="Y4016" t="s">
        <v>9900</v>
      </c>
      <c r="Z4016" t="s">
        <v>9898</v>
      </c>
      <c r="AD4016">
        <f t="shared" si="125"/>
        <v>4</v>
      </c>
    </row>
    <row r="4017" spans="1:30" x14ac:dyDescent="0.25">
      <c r="A4017" t="s">
        <v>4041</v>
      </c>
      <c r="B4017" s="2">
        <v>44896</v>
      </c>
      <c r="C4017" s="2">
        <v>44902</v>
      </c>
      <c r="D4017" t="s">
        <v>5127</v>
      </c>
      <c r="E4017" t="s">
        <v>5627</v>
      </c>
      <c r="F4017" t="s">
        <v>6026</v>
      </c>
      <c r="G4017" t="s">
        <v>6029</v>
      </c>
      <c r="H4017" t="s">
        <v>6045</v>
      </c>
      <c r="I4017" t="s">
        <v>6050</v>
      </c>
      <c r="J4017" t="s">
        <v>6054</v>
      </c>
      <c r="K4017" t="s">
        <v>6062</v>
      </c>
      <c r="L4017" t="s">
        <v>6853</v>
      </c>
      <c r="M4017">
        <v>484.49</v>
      </c>
      <c r="N4017">
        <v>7</v>
      </c>
      <c r="O4017">
        <v>0.16</v>
      </c>
      <c r="P4017">
        <v>-9.9499999999999993</v>
      </c>
      <c r="Q4017" t="s">
        <v>9895</v>
      </c>
      <c r="R4017">
        <v>6</v>
      </c>
      <c r="S4017" s="5">
        <f t="shared" si="124"/>
        <v>-2.0537059588433194E-2</v>
      </c>
      <c r="T4017">
        <v>69.212857142857146</v>
      </c>
      <c r="U4017">
        <v>12</v>
      </c>
      <c r="V4017">
        <v>2022</v>
      </c>
      <c r="W4017">
        <v>4</v>
      </c>
      <c r="X4017" t="s">
        <v>9898</v>
      </c>
      <c r="Y4017" t="s">
        <v>9900</v>
      </c>
      <c r="Z4017" t="s">
        <v>9899</v>
      </c>
      <c r="AD4017">
        <f t="shared" si="125"/>
        <v>6</v>
      </c>
    </row>
    <row r="4018" spans="1:30" x14ac:dyDescent="0.25">
      <c r="A4018" t="s">
        <v>4042</v>
      </c>
      <c r="B4018" s="2">
        <v>45384</v>
      </c>
      <c r="C4018" s="2">
        <v>45388</v>
      </c>
      <c r="D4018" t="s">
        <v>5384</v>
      </c>
      <c r="E4018" t="s">
        <v>5884</v>
      </c>
      <c r="F4018" t="s">
        <v>6027</v>
      </c>
      <c r="G4018" t="s">
        <v>6030</v>
      </c>
      <c r="H4018" t="s">
        <v>6038</v>
      </c>
      <c r="I4018" t="s">
        <v>6047</v>
      </c>
      <c r="J4018" t="s">
        <v>6054</v>
      </c>
      <c r="K4018" t="s">
        <v>6060</v>
      </c>
      <c r="L4018" t="s">
        <v>9287</v>
      </c>
      <c r="M4018">
        <v>414.25</v>
      </c>
      <c r="N4018">
        <v>1</v>
      </c>
      <c r="O4018">
        <v>0.23</v>
      </c>
      <c r="P4018">
        <v>27.79</v>
      </c>
      <c r="Q4018" t="s">
        <v>9894</v>
      </c>
      <c r="R4018">
        <v>4</v>
      </c>
      <c r="S4018" s="5">
        <f t="shared" si="124"/>
        <v>6.708509354254677E-2</v>
      </c>
      <c r="T4018">
        <v>414.25</v>
      </c>
      <c r="U4018">
        <v>4</v>
      </c>
      <c r="V4018">
        <v>2024</v>
      </c>
      <c r="W4018">
        <v>2</v>
      </c>
      <c r="X4018" t="s">
        <v>9899</v>
      </c>
      <c r="Y4018" t="s">
        <v>9900</v>
      </c>
      <c r="Z4018" t="s">
        <v>9899</v>
      </c>
      <c r="AD4018">
        <f t="shared" si="125"/>
        <v>4</v>
      </c>
    </row>
    <row r="4019" spans="1:30" x14ac:dyDescent="0.25">
      <c r="A4019" t="s">
        <v>4043</v>
      </c>
      <c r="B4019" s="2">
        <v>44613</v>
      </c>
      <c r="C4019" s="2">
        <v>44617</v>
      </c>
      <c r="D4019" t="s">
        <v>5249</v>
      </c>
      <c r="E4019" t="s">
        <v>5749</v>
      </c>
      <c r="F4019" t="s">
        <v>6028</v>
      </c>
      <c r="G4019" t="s">
        <v>6029</v>
      </c>
      <c r="H4019" t="s">
        <v>6041</v>
      </c>
      <c r="I4019" t="s">
        <v>6049</v>
      </c>
      <c r="J4019" t="s">
        <v>6053</v>
      </c>
      <c r="K4019" t="s">
        <v>6056</v>
      </c>
      <c r="L4019" t="s">
        <v>9288</v>
      </c>
      <c r="M4019">
        <v>267.18</v>
      </c>
      <c r="N4019">
        <v>4</v>
      </c>
      <c r="O4019">
        <v>0.25</v>
      </c>
      <c r="P4019">
        <v>-4.53</v>
      </c>
      <c r="Q4019" t="s">
        <v>9896</v>
      </c>
      <c r="R4019">
        <v>4</v>
      </c>
      <c r="S4019" s="5">
        <f t="shared" si="124"/>
        <v>-1.6954861890860096E-2</v>
      </c>
      <c r="T4019">
        <v>66.795000000000002</v>
      </c>
      <c r="U4019">
        <v>2</v>
      </c>
      <c r="V4019">
        <v>2022</v>
      </c>
      <c r="W4019">
        <v>1</v>
      </c>
      <c r="X4019" t="s">
        <v>9898</v>
      </c>
      <c r="Y4019" t="s">
        <v>9900</v>
      </c>
      <c r="Z4019" t="s">
        <v>9899</v>
      </c>
      <c r="AD4019">
        <f t="shared" si="125"/>
        <v>4</v>
      </c>
    </row>
    <row r="4020" spans="1:30" x14ac:dyDescent="0.25">
      <c r="A4020" t="s">
        <v>4044</v>
      </c>
      <c r="B4020" s="2">
        <v>44898</v>
      </c>
      <c r="C4020" s="2">
        <v>44899</v>
      </c>
      <c r="D4020" t="s">
        <v>5268</v>
      </c>
      <c r="E4020" t="s">
        <v>5768</v>
      </c>
      <c r="F4020" t="s">
        <v>6027</v>
      </c>
      <c r="G4020" t="s">
        <v>6029</v>
      </c>
      <c r="H4020" t="s">
        <v>6044</v>
      </c>
      <c r="I4020" t="s">
        <v>6046</v>
      </c>
      <c r="J4020" t="s">
        <v>6053</v>
      </c>
      <c r="K4020" t="s">
        <v>6058</v>
      </c>
      <c r="L4020" t="s">
        <v>9289</v>
      </c>
      <c r="M4020">
        <v>1235.47</v>
      </c>
      <c r="N4020">
        <v>6</v>
      </c>
      <c r="O4020">
        <v>7.0000000000000007E-2</v>
      </c>
      <c r="P4020">
        <v>142.82</v>
      </c>
      <c r="Q4020" t="s">
        <v>9897</v>
      </c>
      <c r="R4020">
        <v>1</v>
      </c>
      <c r="S4020" s="5">
        <f t="shared" si="124"/>
        <v>0.11559973127635635</v>
      </c>
      <c r="T4020">
        <v>205.91166666666669</v>
      </c>
      <c r="U4020">
        <v>12</v>
      </c>
      <c r="V4020">
        <v>2022</v>
      </c>
      <c r="W4020">
        <v>4</v>
      </c>
      <c r="X4020" t="s">
        <v>9899</v>
      </c>
      <c r="Y4020" t="s">
        <v>9901</v>
      </c>
      <c r="Z4020" t="s">
        <v>9898</v>
      </c>
      <c r="AD4020">
        <f t="shared" si="125"/>
        <v>1</v>
      </c>
    </row>
    <row r="4021" spans="1:30" x14ac:dyDescent="0.25">
      <c r="A4021" t="s">
        <v>4045</v>
      </c>
      <c r="B4021" s="2">
        <v>45443</v>
      </c>
      <c r="C4021" s="2">
        <v>45444</v>
      </c>
      <c r="D4021" t="s">
        <v>5460</v>
      </c>
      <c r="E4021" t="s">
        <v>5960</v>
      </c>
      <c r="F4021" t="s">
        <v>6028</v>
      </c>
      <c r="G4021" t="s">
        <v>6029</v>
      </c>
      <c r="H4021" t="s">
        <v>6045</v>
      </c>
      <c r="I4021" t="s">
        <v>6049</v>
      </c>
      <c r="J4021" t="s">
        <v>6055</v>
      </c>
      <c r="K4021" t="s">
        <v>6064</v>
      </c>
      <c r="L4021" t="s">
        <v>9290</v>
      </c>
      <c r="M4021">
        <v>848.32</v>
      </c>
      <c r="N4021">
        <v>1</v>
      </c>
      <c r="O4021">
        <v>0.32</v>
      </c>
      <c r="P4021">
        <v>-167.52</v>
      </c>
      <c r="Q4021" t="s">
        <v>9897</v>
      </c>
      <c r="R4021">
        <v>1</v>
      </c>
      <c r="S4021" s="5">
        <f t="shared" si="124"/>
        <v>-0.1974726518294983</v>
      </c>
      <c r="T4021">
        <v>848.32</v>
      </c>
      <c r="U4021">
        <v>5</v>
      </c>
      <c r="V4021">
        <v>2024</v>
      </c>
      <c r="W4021">
        <v>2</v>
      </c>
      <c r="X4021" t="s">
        <v>9898</v>
      </c>
      <c r="Y4021" t="s">
        <v>9902</v>
      </c>
      <c r="Z4021" t="s">
        <v>9899</v>
      </c>
      <c r="AD4021">
        <f t="shared" si="125"/>
        <v>1</v>
      </c>
    </row>
    <row r="4022" spans="1:30" x14ac:dyDescent="0.25">
      <c r="A4022" t="s">
        <v>4046</v>
      </c>
      <c r="B4022" s="2">
        <v>45160</v>
      </c>
      <c r="C4022" s="2">
        <v>45161</v>
      </c>
      <c r="D4022" t="s">
        <v>5217</v>
      </c>
      <c r="E4022" t="s">
        <v>5717</v>
      </c>
      <c r="F4022" t="s">
        <v>6028</v>
      </c>
      <c r="G4022" t="s">
        <v>6031</v>
      </c>
      <c r="H4022" t="s">
        <v>6042</v>
      </c>
      <c r="I4022" t="s">
        <v>6052</v>
      </c>
      <c r="J4022" t="s">
        <v>6053</v>
      </c>
      <c r="K4022" t="s">
        <v>6056</v>
      </c>
      <c r="L4022" t="s">
        <v>9291</v>
      </c>
      <c r="M4022">
        <v>602.98</v>
      </c>
      <c r="N4022">
        <v>7</v>
      </c>
      <c r="O4022">
        <v>0.11</v>
      </c>
      <c r="P4022">
        <v>80.680000000000007</v>
      </c>
      <c r="Q4022" t="s">
        <v>9894</v>
      </c>
      <c r="R4022">
        <v>1</v>
      </c>
      <c r="S4022" s="5">
        <f t="shared" si="124"/>
        <v>0.1338021161564231</v>
      </c>
      <c r="T4022">
        <v>86.14</v>
      </c>
      <c r="U4022">
        <v>8</v>
      </c>
      <c r="V4022">
        <v>2023</v>
      </c>
      <c r="W4022">
        <v>3</v>
      </c>
      <c r="X4022" t="s">
        <v>9899</v>
      </c>
      <c r="Y4022" t="s">
        <v>9901</v>
      </c>
      <c r="Z4022" t="s">
        <v>9899</v>
      </c>
      <c r="AD4022">
        <f t="shared" si="125"/>
        <v>1</v>
      </c>
    </row>
    <row r="4023" spans="1:30" x14ac:dyDescent="0.25">
      <c r="A4023" t="s">
        <v>4047</v>
      </c>
      <c r="B4023" s="2">
        <v>45396</v>
      </c>
      <c r="C4023" s="2">
        <v>45399</v>
      </c>
      <c r="D4023" t="s">
        <v>5123</v>
      </c>
      <c r="E4023" t="s">
        <v>5623</v>
      </c>
      <c r="F4023" t="s">
        <v>6026</v>
      </c>
      <c r="G4023" t="s">
        <v>6030</v>
      </c>
      <c r="H4023" t="s">
        <v>6039</v>
      </c>
      <c r="I4023" t="s">
        <v>6047</v>
      </c>
      <c r="J4023" t="s">
        <v>6054</v>
      </c>
      <c r="K4023" t="s">
        <v>6060</v>
      </c>
      <c r="L4023" t="s">
        <v>9292</v>
      </c>
      <c r="M4023">
        <v>276.05</v>
      </c>
      <c r="N4023">
        <v>7</v>
      </c>
      <c r="O4023">
        <v>0.11</v>
      </c>
      <c r="P4023">
        <v>46.68</v>
      </c>
      <c r="Q4023" t="s">
        <v>9893</v>
      </c>
      <c r="R4023">
        <v>3</v>
      </c>
      <c r="S4023" s="5">
        <f t="shared" si="124"/>
        <v>0.16909980076073175</v>
      </c>
      <c r="T4023">
        <v>39.43571428571429</v>
      </c>
      <c r="U4023">
        <v>4</v>
      </c>
      <c r="V4023">
        <v>2024</v>
      </c>
      <c r="W4023">
        <v>2</v>
      </c>
      <c r="X4023" t="s">
        <v>9899</v>
      </c>
      <c r="Y4023" t="s">
        <v>9901</v>
      </c>
      <c r="Z4023" t="s">
        <v>9899</v>
      </c>
      <c r="AD4023">
        <f t="shared" si="125"/>
        <v>3</v>
      </c>
    </row>
    <row r="4024" spans="1:30" x14ac:dyDescent="0.25">
      <c r="A4024" t="s">
        <v>4048</v>
      </c>
      <c r="B4024" s="2">
        <v>45055</v>
      </c>
      <c r="C4024" s="2">
        <v>45059</v>
      </c>
      <c r="D4024" t="s">
        <v>5107</v>
      </c>
      <c r="E4024" t="s">
        <v>5607</v>
      </c>
      <c r="F4024" t="s">
        <v>6026</v>
      </c>
      <c r="G4024" t="s">
        <v>6029</v>
      </c>
      <c r="H4024" t="s">
        <v>6036</v>
      </c>
      <c r="I4024" t="s">
        <v>6050</v>
      </c>
      <c r="J4024" t="s">
        <v>6054</v>
      </c>
      <c r="K4024" t="s">
        <v>6060</v>
      </c>
      <c r="L4024" t="s">
        <v>9293</v>
      </c>
      <c r="M4024">
        <v>1113.53</v>
      </c>
      <c r="N4024">
        <v>7</v>
      </c>
      <c r="O4024">
        <v>0.05</v>
      </c>
      <c r="P4024">
        <v>233.51</v>
      </c>
      <c r="Q4024" t="s">
        <v>9896</v>
      </c>
      <c r="R4024">
        <v>4</v>
      </c>
      <c r="S4024" s="5">
        <f t="shared" si="124"/>
        <v>0.20970247770603395</v>
      </c>
      <c r="T4024">
        <v>159.0757142857143</v>
      </c>
      <c r="U4024">
        <v>5</v>
      </c>
      <c r="V4024">
        <v>2023</v>
      </c>
      <c r="W4024">
        <v>2</v>
      </c>
      <c r="X4024" t="s">
        <v>9899</v>
      </c>
      <c r="Y4024" t="s">
        <v>9901</v>
      </c>
      <c r="Z4024" t="s">
        <v>9898</v>
      </c>
      <c r="AD4024">
        <f t="shared" si="125"/>
        <v>4</v>
      </c>
    </row>
    <row r="4025" spans="1:30" x14ac:dyDescent="0.25">
      <c r="A4025" t="s">
        <v>4049</v>
      </c>
      <c r="B4025" s="2">
        <v>45230</v>
      </c>
      <c r="C4025" s="2">
        <v>45233</v>
      </c>
      <c r="D4025" t="s">
        <v>5285</v>
      </c>
      <c r="E4025" t="s">
        <v>5785</v>
      </c>
      <c r="F4025" t="s">
        <v>6028</v>
      </c>
      <c r="G4025" t="s">
        <v>6029</v>
      </c>
      <c r="H4025" t="s">
        <v>6032</v>
      </c>
      <c r="I4025" t="s">
        <v>6050</v>
      </c>
      <c r="J4025" t="s">
        <v>6053</v>
      </c>
      <c r="K4025" t="s">
        <v>6057</v>
      </c>
      <c r="L4025" t="s">
        <v>9294</v>
      </c>
      <c r="M4025">
        <v>969.81</v>
      </c>
      <c r="N4025">
        <v>6</v>
      </c>
      <c r="O4025">
        <v>0.06</v>
      </c>
      <c r="P4025">
        <v>223.32</v>
      </c>
      <c r="Q4025" t="s">
        <v>9897</v>
      </c>
      <c r="R4025">
        <v>3</v>
      </c>
      <c r="S4025" s="5">
        <f t="shared" si="124"/>
        <v>0.23027190893061528</v>
      </c>
      <c r="T4025">
        <v>161.63499999999999</v>
      </c>
      <c r="U4025">
        <v>10</v>
      </c>
      <c r="V4025">
        <v>2023</v>
      </c>
      <c r="W4025">
        <v>4</v>
      </c>
      <c r="X4025" t="s">
        <v>9899</v>
      </c>
      <c r="Y4025" t="s">
        <v>9901</v>
      </c>
      <c r="Z4025" t="s">
        <v>9899</v>
      </c>
      <c r="AD4025">
        <f t="shared" si="125"/>
        <v>3</v>
      </c>
    </row>
    <row r="4026" spans="1:30" x14ac:dyDescent="0.25">
      <c r="A4026" t="s">
        <v>4050</v>
      </c>
      <c r="B4026" s="2">
        <v>45430</v>
      </c>
      <c r="C4026" s="2">
        <v>45432</v>
      </c>
      <c r="D4026" t="s">
        <v>5195</v>
      </c>
      <c r="E4026" t="s">
        <v>5695</v>
      </c>
      <c r="F4026" t="s">
        <v>6028</v>
      </c>
      <c r="G4026" t="s">
        <v>6029</v>
      </c>
      <c r="H4026" t="s">
        <v>6045</v>
      </c>
      <c r="I4026" t="s">
        <v>6049</v>
      </c>
      <c r="J4026" t="s">
        <v>6055</v>
      </c>
      <c r="K4026" t="s">
        <v>6063</v>
      </c>
      <c r="L4026" t="s">
        <v>9295</v>
      </c>
      <c r="M4026">
        <v>980.23</v>
      </c>
      <c r="N4026">
        <v>5</v>
      </c>
      <c r="O4026">
        <v>0.12</v>
      </c>
      <c r="P4026">
        <v>55.7</v>
      </c>
      <c r="Q4026" t="s">
        <v>9893</v>
      </c>
      <c r="R4026">
        <v>2</v>
      </c>
      <c r="S4026" s="5">
        <f t="shared" si="124"/>
        <v>5.6823398590126806E-2</v>
      </c>
      <c r="T4026">
        <v>196.04599999999999</v>
      </c>
      <c r="U4026">
        <v>5</v>
      </c>
      <c r="V4026">
        <v>2024</v>
      </c>
      <c r="W4026">
        <v>2</v>
      </c>
      <c r="X4026" t="s">
        <v>9899</v>
      </c>
      <c r="Y4026" t="s">
        <v>9901</v>
      </c>
      <c r="Z4026" t="s">
        <v>9899</v>
      </c>
      <c r="AD4026">
        <f t="shared" si="125"/>
        <v>2</v>
      </c>
    </row>
    <row r="4027" spans="1:30" x14ac:dyDescent="0.25">
      <c r="A4027" t="s">
        <v>4051</v>
      </c>
      <c r="B4027" s="2">
        <v>44620</v>
      </c>
      <c r="C4027" s="2">
        <v>44623</v>
      </c>
      <c r="D4027" t="s">
        <v>5370</v>
      </c>
      <c r="E4027" t="s">
        <v>5870</v>
      </c>
      <c r="F4027" t="s">
        <v>6027</v>
      </c>
      <c r="G4027" t="s">
        <v>6029</v>
      </c>
      <c r="H4027" t="s">
        <v>6045</v>
      </c>
      <c r="I4027" t="s">
        <v>6046</v>
      </c>
      <c r="J4027" t="s">
        <v>6053</v>
      </c>
      <c r="K4027" t="s">
        <v>6057</v>
      </c>
      <c r="L4027" t="s">
        <v>9259</v>
      </c>
      <c r="M4027">
        <v>541.91</v>
      </c>
      <c r="N4027">
        <v>1</v>
      </c>
      <c r="O4027">
        <v>0.26</v>
      </c>
      <c r="P4027">
        <v>-55.26</v>
      </c>
      <c r="Q4027" t="s">
        <v>9896</v>
      </c>
      <c r="R4027">
        <v>3</v>
      </c>
      <c r="S4027" s="5">
        <f t="shared" si="124"/>
        <v>-0.10197265228543485</v>
      </c>
      <c r="T4027">
        <v>541.91</v>
      </c>
      <c r="U4027">
        <v>2</v>
      </c>
      <c r="V4027">
        <v>2022</v>
      </c>
      <c r="W4027">
        <v>1</v>
      </c>
      <c r="X4027" t="s">
        <v>9898</v>
      </c>
      <c r="Y4027" t="s">
        <v>9900</v>
      </c>
      <c r="Z4027" t="s">
        <v>9899</v>
      </c>
      <c r="AD4027">
        <f t="shared" si="125"/>
        <v>3</v>
      </c>
    </row>
    <row r="4028" spans="1:30" x14ac:dyDescent="0.25">
      <c r="A4028" t="s">
        <v>4052</v>
      </c>
      <c r="B4028" s="2">
        <v>45089</v>
      </c>
      <c r="C4028" s="2">
        <v>45092</v>
      </c>
      <c r="D4028" t="s">
        <v>5140</v>
      </c>
      <c r="E4028" t="s">
        <v>5640</v>
      </c>
      <c r="F4028" t="s">
        <v>6027</v>
      </c>
      <c r="G4028" t="s">
        <v>6031</v>
      </c>
      <c r="H4028" t="s">
        <v>6040</v>
      </c>
      <c r="I4028" t="s">
        <v>6050</v>
      </c>
      <c r="J4028" t="s">
        <v>6053</v>
      </c>
      <c r="K4028" t="s">
        <v>6056</v>
      </c>
      <c r="L4028" t="s">
        <v>9296</v>
      </c>
      <c r="M4028">
        <v>1978.68</v>
      </c>
      <c r="N4028">
        <v>6</v>
      </c>
      <c r="O4028">
        <v>0.16</v>
      </c>
      <c r="P4028">
        <v>-72.16</v>
      </c>
      <c r="Q4028" t="s">
        <v>9893</v>
      </c>
      <c r="R4028">
        <v>3</v>
      </c>
      <c r="S4028" s="5">
        <f t="shared" si="124"/>
        <v>-3.6468756949077162E-2</v>
      </c>
      <c r="T4028">
        <v>329.78</v>
      </c>
      <c r="U4028">
        <v>6</v>
      </c>
      <c r="V4028">
        <v>2023</v>
      </c>
      <c r="W4028">
        <v>2</v>
      </c>
      <c r="X4028" t="s">
        <v>9898</v>
      </c>
      <c r="Y4028" t="s">
        <v>9900</v>
      </c>
      <c r="Z4028" t="s">
        <v>9898</v>
      </c>
      <c r="AD4028">
        <f t="shared" si="125"/>
        <v>3</v>
      </c>
    </row>
    <row r="4029" spans="1:30" x14ac:dyDescent="0.25">
      <c r="A4029" t="s">
        <v>4053</v>
      </c>
      <c r="B4029" s="2">
        <v>45235</v>
      </c>
      <c r="C4029" s="2">
        <v>45236</v>
      </c>
      <c r="D4029" t="s">
        <v>5345</v>
      </c>
      <c r="E4029" t="s">
        <v>5845</v>
      </c>
      <c r="F4029" t="s">
        <v>6027</v>
      </c>
      <c r="G4029" t="s">
        <v>6030</v>
      </c>
      <c r="H4029" t="s">
        <v>6039</v>
      </c>
      <c r="I4029" t="s">
        <v>6047</v>
      </c>
      <c r="J4029" t="s">
        <v>6055</v>
      </c>
      <c r="K4029" t="s">
        <v>6063</v>
      </c>
      <c r="L4029" t="s">
        <v>9297</v>
      </c>
      <c r="M4029">
        <v>1626.14</v>
      </c>
      <c r="N4029">
        <v>7</v>
      </c>
      <c r="O4029">
        <v>0.27</v>
      </c>
      <c r="P4029">
        <v>42</v>
      </c>
      <c r="Q4029" t="s">
        <v>9895</v>
      </c>
      <c r="R4029">
        <v>1</v>
      </c>
      <c r="S4029" s="5">
        <f t="shared" si="124"/>
        <v>2.5828034486575571E-2</v>
      </c>
      <c r="T4029">
        <v>232.30571428571429</v>
      </c>
      <c r="U4029">
        <v>11</v>
      </c>
      <c r="V4029">
        <v>2023</v>
      </c>
      <c r="W4029">
        <v>4</v>
      </c>
      <c r="X4029" t="s">
        <v>9899</v>
      </c>
      <c r="Y4029" t="s">
        <v>9900</v>
      </c>
      <c r="Z4029" t="s">
        <v>9898</v>
      </c>
      <c r="AD4029">
        <f t="shared" si="125"/>
        <v>1</v>
      </c>
    </row>
    <row r="4030" spans="1:30" x14ac:dyDescent="0.25">
      <c r="A4030" t="s">
        <v>4054</v>
      </c>
      <c r="B4030" s="2">
        <v>45322</v>
      </c>
      <c r="C4030" s="2">
        <v>45325</v>
      </c>
      <c r="D4030" t="s">
        <v>5289</v>
      </c>
      <c r="E4030" t="s">
        <v>5789</v>
      </c>
      <c r="F4030" t="s">
        <v>6027</v>
      </c>
      <c r="G4030" t="s">
        <v>6030</v>
      </c>
      <c r="H4030" t="s">
        <v>6039</v>
      </c>
      <c r="I4030" t="s">
        <v>6047</v>
      </c>
      <c r="J4030" t="s">
        <v>6053</v>
      </c>
      <c r="K4030" t="s">
        <v>6056</v>
      </c>
      <c r="L4030" t="s">
        <v>9298</v>
      </c>
      <c r="M4030">
        <v>1219.5999999999999</v>
      </c>
      <c r="N4030">
        <v>7</v>
      </c>
      <c r="O4030">
        <v>0.31</v>
      </c>
      <c r="P4030">
        <v>-254.17</v>
      </c>
      <c r="Q4030" t="s">
        <v>9894</v>
      </c>
      <c r="R4030">
        <v>3</v>
      </c>
      <c r="S4030" s="5">
        <f t="shared" si="124"/>
        <v>-0.20840439488356838</v>
      </c>
      <c r="T4030">
        <v>174.2285714285714</v>
      </c>
      <c r="U4030">
        <v>1</v>
      </c>
      <c r="V4030">
        <v>2024</v>
      </c>
      <c r="W4030">
        <v>1</v>
      </c>
      <c r="X4030" t="s">
        <v>9898</v>
      </c>
      <c r="Y4030" t="s">
        <v>9902</v>
      </c>
      <c r="Z4030" t="s">
        <v>9898</v>
      </c>
      <c r="AD4030">
        <f t="shared" si="125"/>
        <v>3</v>
      </c>
    </row>
    <row r="4031" spans="1:30" x14ac:dyDescent="0.25">
      <c r="A4031" t="s">
        <v>4055</v>
      </c>
      <c r="B4031" s="2">
        <v>45005</v>
      </c>
      <c r="C4031" s="2">
        <v>45008</v>
      </c>
      <c r="D4031" t="s">
        <v>5271</v>
      </c>
      <c r="E4031" t="s">
        <v>5771</v>
      </c>
      <c r="F4031" t="s">
        <v>6028</v>
      </c>
      <c r="G4031" t="s">
        <v>6029</v>
      </c>
      <c r="H4031" t="s">
        <v>6041</v>
      </c>
      <c r="I4031" t="s">
        <v>6046</v>
      </c>
      <c r="J4031" t="s">
        <v>6055</v>
      </c>
      <c r="K4031" t="s">
        <v>6063</v>
      </c>
      <c r="L4031" t="s">
        <v>9299</v>
      </c>
      <c r="M4031">
        <v>1125.3</v>
      </c>
      <c r="N4031">
        <v>8</v>
      </c>
      <c r="O4031">
        <v>0.16</v>
      </c>
      <c r="P4031">
        <v>5.32</v>
      </c>
      <c r="Q4031" t="s">
        <v>9895</v>
      </c>
      <c r="R4031">
        <v>3</v>
      </c>
      <c r="S4031" s="5">
        <f t="shared" si="124"/>
        <v>4.7276281880387454E-3</v>
      </c>
      <c r="T4031">
        <v>140.66249999999999</v>
      </c>
      <c r="U4031">
        <v>3</v>
      </c>
      <c r="V4031">
        <v>2023</v>
      </c>
      <c r="W4031">
        <v>1</v>
      </c>
      <c r="X4031" t="s">
        <v>9899</v>
      </c>
      <c r="Y4031" t="s">
        <v>9900</v>
      </c>
      <c r="Z4031" t="s">
        <v>9898</v>
      </c>
      <c r="AD4031">
        <f t="shared" si="125"/>
        <v>3</v>
      </c>
    </row>
    <row r="4032" spans="1:30" x14ac:dyDescent="0.25">
      <c r="A4032" t="s">
        <v>4056</v>
      </c>
      <c r="B4032" s="2">
        <v>45052</v>
      </c>
      <c r="C4032" s="2">
        <v>45054</v>
      </c>
      <c r="D4032" t="s">
        <v>5488</v>
      </c>
      <c r="E4032" t="s">
        <v>5988</v>
      </c>
      <c r="F4032" t="s">
        <v>6027</v>
      </c>
      <c r="G4032" t="s">
        <v>6030</v>
      </c>
      <c r="H4032" t="s">
        <v>6038</v>
      </c>
      <c r="I4032" t="s">
        <v>6047</v>
      </c>
      <c r="J4032" t="s">
        <v>6053</v>
      </c>
      <c r="K4032" t="s">
        <v>6058</v>
      </c>
      <c r="L4032" t="s">
        <v>9300</v>
      </c>
      <c r="M4032">
        <v>1979.02</v>
      </c>
      <c r="N4032">
        <v>8</v>
      </c>
      <c r="O4032">
        <v>0.13</v>
      </c>
      <c r="P4032">
        <v>195.34</v>
      </c>
      <c r="Q4032" t="s">
        <v>9897</v>
      </c>
      <c r="R4032">
        <v>2</v>
      </c>
      <c r="S4032" s="5">
        <f t="shared" si="124"/>
        <v>9.8705419854271309E-2</v>
      </c>
      <c r="T4032">
        <v>247.3775</v>
      </c>
      <c r="U4032">
        <v>5</v>
      </c>
      <c r="V4032">
        <v>2023</v>
      </c>
      <c r="W4032">
        <v>2</v>
      </c>
      <c r="X4032" t="s">
        <v>9899</v>
      </c>
      <c r="Y4032" t="s">
        <v>9901</v>
      </c>
      <c r="Z4032" t="s">
        <v>9898</v>
      </c>
      <c r="AD4032">
        <f t="shared" si="125"/>
        <v>2</v>
      </c>
    </row>
    <row r="4033" spans="1:30" x14ac:dyDescent="0.25">
      <c r="A4033" t="s">
        <v>4057</v>
      </c>
      <c r="B4033" s="2">
        <v>45459</v>
      </c>
      <c r="C4033" s="2">
        <v>45465</v>
      </c>
      <c r="D4033" t="s">
        <v>5128</v>
      </c>
      <c r="E4033" t="s">
        <v>5628</v>
      </c>
      <c r="F4033" t="s">
        <v>6028</v>
      </c>
      <c r="G4033" t="s">
        <v>6030</v>
      </c>
      <c r="H4033" t="s">
        <v>6039</v>
      </c>
      <c r="I4033" t="s">
        <v>6047</v>
      </c>
      <c r="J4033" t="s">
        <v>6053</v>
      </c>
      <c r="K4033" t="s">
        <v>6056</v>
      </c>
      <c r="L4033" t="s">
        <v>9301</v>
      </c>
      <c r="M4033">
        <v>1422.77</v>
      </c>
      <c r="N4033">
        <v>6</v>
      </c>
      <c r="O4033">
        <v>0.23</v>
      </c>
      <c r="P4033">
        <v>-172.06</v>
      </c>
      <c r="Q4033" t="s">
        <v>9895</v>
      </c>
      <c r="R4033">
        <v>6</v>
      </c>
      <c r="S4033" s="5">
        <f t="shared" si="124"/>
        <v>-0.12093310935709918</v>
      </c>
      <c r="T4033">
        <v>237.1283333333333</v>
      </c>
      <c r="U4033">
        <v>6</v>
      </c>
      <c r="V4033">
        <v>2024</v>
      </c>
      <c r="W4033">
        <v>2</v>
      </c>
      <c r="X4033" t="s">
        <v>9898</v>
      </c>
      <c r="Y4033" t="s">
        <v>9900</v>
      </c>
      <c r="Z4033" t="s">
        <v>9898</v>
      </c>
      <c r="AD4033">
        <f t="shared" si="125"/>
        <v>6</v>
      </c>
    </row>
    <row r="4034" spans="1:30" x14ac:dyDescent="0.25">
      <c r="A4034" t="s">
        <v>4058</v>
      </c>
      <c r="B4034" s="2">
        <v>45338</v>
      </c>
      <c r="C4034" s="2">
        <v>45344</v>
      </c>
      <c r="D4034" t="s">
        <v>5125</v>
      </c>
      <c r="E4034" t="s">
        <v>5625</v>
      </c>
      <c r="F4034" t="s">
        <v>6027</v>
      </c>
      <c r="G4034" t="s">
        <v>6030</v>
      </c>
      <c r="H4034" t="s">
        <v>6038</v>
      </c>
      <c r="I4034" t="s">
        <v>6047</v>
      </c>
      <c r="J4034" t="s">
        <v>6054</v>
      </c>
      <c r="K4034" t="s">
        <v>6062</v>
      </c>
      <c r="L4034" t="s">
        <v>6253</v>
      </c>
      <c r="M4034">
        <v>1382.17</v>
      </c>
      <c r="N4034">
        <v>1</v>
      </c>
      <c r="O4034">
        <v>0.01</v>
      </c>
      <c r="P4034">
        <v>354.08</v>
      </c>
      <c r="Q4034" t="s">
        <v>9894</v>
      </c>
      <c r="R4034">
        <v>6</v>
      </c>
      <c r="S4034" s="5">
        <f t="shared" si="124"/>
        <v>0.25617688128088439</v>
      </c>
      <c r="T4034">
        <v>1382.17</v>
      </c>
      <c r="U4034">
        <v>2</v>
      </c>
      <c r="V4034">
        <v>2024</v>
      </c>
      <c r="W4034">
        <v>1</v>
      </c>
      <c r="X4034" t="s">
        <v>9899</v>
      </c>
      <c r="Y4034" t="s">
        <v>9901</v>
      </c>
      <c r="Z4034" t="s">
        <v>9898</v>
      </c>
      <c r="AD4034">
        <f t="shared" si="125"/>
        <v>6</v>
      </c>
    </row>
    <row r="4035" spans="1:30" x14ac:dyDescent="0.25">
      <c r="A4035" t="s">
        <v>4059</v>
      </c>
      <c r="B4035" s="2">
        <v>45251</v>
      </c>
      <c r="C4035" s="2">
        <v>45256</v>
      </c>
      <c r="D4035" t="s">
        <v>5372</v>
      </c>
      <c r="E4035" t="s">
        <v>5872</v>
      </c>
      <c r="F4035" t="s">
        <v>6027</v>
      </c>
      <c r="G4035" t="s">
        <v>6031</v>
      </c>
      <c r="H4035" t="s">
        <v>6042</v>
      </c>
      <c r="I4035" t="s">
        <v>6052</v>
      </c>
      <c r="J4035" t="s">
        <v>6055</v>
      </c>
      <c r="K4035" t="s">
        <v>6063</v>
      </c>
      <c r="L4035" t="s">
        <v>6102</v>
      </c>
      <c r="M4035">
        <v>656.84</v>
      </c>
      <c r="N4035">
        <v>6</v>
      </c>
      <c r="O4035">
        <v>0.05</v>
      </c>
      <c r="P4035">
        <v>77.61</v>
      </c>
      <c r="Q4035" t="s">
        <v>9895</v>
      </c>
      <c r="R4035">
        <v>5</v>
      </c>
      <c r="S4035" s="5">
        <f t="shared" ref="S4035:S4098" si="126">P4035/M4035</f>
        <v>0.11815662870714329</v>
      </c>
      <c r="T4035">
        <v>109.4733333333333</v>
      </c>
      <c r="U4035">
        <v>11</v>
      </c>
      <c r="V4035">
        <v>2023</v>
      </c>
      <c r="W4035">
        <v>4</v>
      </c>
      <c r="X4035" t="s">
        <v>9899</v>
      </c>
      <c r="Y4035" t="s">
        <v>9901</v>
      </c>
      <c r="Z4035" t="s">
        <v>9899</v>
      </c>
      <c r="AD4035">
        <f t="shared" ref="AD4035:AD4098" si="127">C4035-B4035</f>
        <v>5</v>
      </c>
    </row>
    <row r="4036" spans="1:30" x14ac:dyDescent="0.25">
      <c r="A4036" t="s">
        <v>4060</v>
      </c>
      <c r="B4036" s="2">
        <v>45362</v>
      </c>
      <c r="C4036" s="2">
        <v>45368</v>
      </c>
      <c r="D4036" t="s">
        <v>5320</v>
      </c>
      <c r="E4036" t="s">
        <v>5820</v>
      </c>
      <c r="F4036" t="s">
        <v>6027</v>
      </c>
      <c r="G4036" t="s">
        <v>6030</v>
      </c>
      <c r="H4036" t="s">
        <v>6038</v>
      </c>
      <c r="I4036" t="s">
        <v>6047</v>
      </c>
      <c r="J4036" t="s">
        <v>6055</v>
      </c>
      <c r="K4036" t="s">
        <v>6061</v>
      </c>
      <c r="L4036" t="s">
        <v>9302</v>
      </c>
      <c r="M4036">
        <v>1459.23</v>
      </c>
      <c r="N4036">
        <v>2</v>
      </c>
      <c r="O4036">
        <v>0.12</v>
      </c>
      <c r="P4036">
        <v>127.99</v>
      </c>
      <c r="Q4036" t="s">
        <v>9896</v>
      </c>
      <c r="R4036">
        <v>6</v>
      </c>
      <c r="S4036" s="5">
        <f t="shared" si="126"/>
        <v>8.7710641913886084E-2</v>
      </c>
      <c r="T4036">
        <v>729.61500000000001</v>
      </c>
      <c r="U4036">
        <v>3</v>
      </c>
      <c r="V4036">
        <v>2024</v>
      </c>
      <c r="W4036">
        <v>1</v>
      </c>
      <c r="X4036" t="s">
        <v>9899</v>
      </c>
      <c r="Y4036" t="s">
        <v>9901</v>
      </c>
      <c r="Z4036" t="s">
        <v>9898</v>
      </c>
      <c r="AD4036">
        <f t="shared" si="127"/>
        <v>6</v>
      </c>
    </row>
    <row r="4037" spans="1:30" x14ac:dyDescent="0.25">
      <c r="A4037" t="s">
        <v>4061</v>
      </c>
      <c r="B4037" s="2">
        <v>44814</v>
      </c>
      <c r="C4037" s="2">
        <v>44818</v>
      </c>
      <c r="D4037" t="s">
        <v>5240</v>
      </c>
      <c r="E4037" t="s">
        <v>5740</v>
      </c>
      <c r="F4037" t="s">
        <v>6028</v>
      </c>
      <c r="G4037" t="s">
        <v>6031</v>
      </c>
      <c r="H4037" t="s">
        <v>6040</v>
      </c>
      <c r="I4037" t="s">
        <v>6050</v>
      </c>
      <c r="J4037" t="s">
        <v>6055</v>
      </c>
      <c r="K4037" t="s">
        <v>6061</v>
      </c>
      <c r="L4037" t="s">
        <v>7677</v>
      </c>
      <c r="M4037">
        <v>1349.39</v>
      </c>
      <c r="N4037">
        <v>4</v>
      </c>
      <c r="O4037">
        <v>0.1</v>
      </c>
      <c r="P4037">
        <v>247.54</v>
      </c>
      <c r="Q4037" t="s">
        <v>9897</v>
      </c>
      <c r="R4037">
        <v>4</v>
      </c>
      <c r="S4037" s="5">
        <f t="shared" si="126"/>
        <v>0.18344585331149629</v>
      </c>
      <c r="T4037">
        <v>337.34750000000003</v>
      </c>
      <c r="U4037">
        <v>9</v>
      </c>
      <c r="V4037">
        <v>2022</v>
      </c>
      <c r="W4037">
        <v>3</v>
      </c>
      <c r="X4037" t="s">
        <v>9899</v>
      </c>
      <c r="Y4037" t="s">
        <v>9901</v>
      </c>
      <c r="Z4037" t="s">
        <v>9898</v>
      </c>
      <c r="AD4037">
        <f t="shared" si="127"/>
        <v>4</v>
      </c>
    </row>
    <row r="4038" spans="1:30" x14ac:dyDescent="0.25">
      <c r="A4038" t="s">
        <v>4062</v>
      </c>
      <c r="B4038" s="2">
        <v>45237</v>
      </c>
      <c r="C4038" s="2">
        <v>45240</v>
      </c>
      <c r="D4038" t="s">
        <v>5430</v>
      </c>
      <c r="E4038" t="s">
        <v>5930</v>
      </c>
      <c r="F4038" t="s">
        <v>6026</v>
      </c>
      <c r="G4038" t="s">
        <v>6029</v>
      </c>
      <c r="H4038" t="s">
        <v>6036</v>
      </c>
      <c r="I4038" t="s">
        <v>6046</v>
      </c>
      <c r="J4038" t="s">
        <v>6054</v>
      </c>
      <c r="K4038" t="s">
        <v>6060</v>
      </c>
      <c r="L4038" t="s">
        <v>7586</v>
      </c>
      <c r="M4038">
        <v>1890.34</v>
      </c>
      <c r="N4038">
        <v>6</v>
      </c>
      <c r="O4038">
        <v>0.17</v>
      </c>
      <c r="P4038">
        <v>122.27</v>
      </c>
      <c r="Q4038" t="s">
        <v>9897</v>
      </c>
      <c r="R4038">
        <v>3</v>
      </c>
      <c r="S4038" s="5">
        <f t="shared" si="126"/>
        <v>6.4681485870266731E-2</v>
      </c>
      <c r="T4038">
        <v>315.05666666666667</v>
      </c>
      <c r="U4038">
        <v>11</v>
      </c>
      <c r="V4038">
        <v>2023</v>
      </c>
      <c r="W4038">
        <v>4</v>
      </c>
      <c r="X4038" t="s">
        <v>9899</v>
      </c>
      <c r="Y4038" t="s">
        <v>9900</v>
      </c>
      <c r="Z4038" t="s">
        <v>9898</v>
      </c>
      <c r="AD4038">
        <f t="shared" si="127"/>
        <v>3</v>
      </c>
    </row>
    <row r="4039" spans="1:30" x14ac:dyDescent="0.25">
      <c r="A4039" t="s">
        <v>4063</v>
      </c>
      <c r="B4039" s="2">
        <v>44665</v>
      </c>
      <c r="C4039" s="2">
        <v>44668</v>
      </c>
      <c r="D4039" t="s">
        <v>5439</v>
      </c>
      <c r="E4039" t="s">
        <v>5939</v>
      </c>
      <c r="F4039" t="s">
        <v>6027</v>
      </c>
      <c r="G4039" t="s">
        <v>6029</v>
      </c>
      <c r="H4039" t="s">
        <v>6044</v>
      </c>
      <c r="I4039" t="s">
        <v>6049</v>
      </c>
      <c r="J4039" t="s">
        <v>6054</v>
      </c>
      <c r="K4039" t="s">
        <v>6062</v>
      </c>
      <c r="L4039" t="s">
        <v>9303</v>
      </c>
      <c r="M4039">
        <v>1194.7</v>
      </c>
      <c r="N4039">
        <v>4</v>
      </c>
      <c r="O4039">
        <v>0.34</v>
      </c>
      <c r="P4039">
        <v>-104.66</v>
      </c>
      <c r="Q4039" t="s">
        <v>9893</v>
      </c>
      <c r="R4039">
        <v>3</v>
      </c>
      <c r="S4039" s="5">
        <f t="shared" si="126"/>
        <v>-8.7603582489327855E-2</v>
      </c>
      <c r="T4039">
        <v>298.67500000000001</v>
      </c>
      <c r="U4039">
        <v>4</v>
      </c>
      <c r="V4039">
        <v>2022</v>
      </c>
      <c r="W4039">
        <v>2</v>
      </c>
      <c r="X4039" t="s">
        <v>9898</v>
      </c>
      <c r="Y4039" t="s">
        <v>9902</v>
      </c>
      <c r="Z4039" t="s">
        <v>9898</v>
      </c>
      <c r="AD4039">
        <f t="shared" si="127"/>
        <v>3</v>
      </c>
    </row>
    <row r="4040" spans="1:30" x14ac:dyDescent="0.25">
      <c r="A4040" t="s">
        <v>4064</v>
      </c>
      <c r="B4040" s="2">
        <v>44922</v>
      </c>
      <c r="C4040" s="2">
        <v>44929</v>
      </c>
      <c r="D4040" t="s">
        <v>5456</v>
      </c>
      <c r="E4040" t="s">
        <v>5956</v>
      </c>
      <c r="F4040" t="s">
        <v>6026</v>
      </c>
      <c r="G4040" t="s">
        <v>6031</v>
      </c>
      <c r="H4040" t="s">
        <v>6037</v>
      </c>
      <c r="I4040" t="s">
        <v>6052</v>
      </c>
      <c r="J4040" t="s">
        <v>6054</v>
      </c>
      <c r="K4040" t="s">
        <v>6059</v>
      </c>
      <c r="L4040" t="s">
        <v>8701</v>
      </c>
      <c r="M4040">
        <v>831.98</v>
      </c>
      <c r="N4040">
        <v>3</v>
      </c>
      <c r="O4040">
        <v>0.33</v>
      </c>
      <c r="P4040">
        <v>-166.49</v>
      </c>
      <c r="Q4040" t="s">
        <v>9896</v>
      </c>
      <c r="R4040">
        <v>7</v>
      </c>
      <c r="S4040" s="5">
        <f t="shared" si="126"/>
        <v>-0.20011298348517995</v>
      </c>
      <c r="T4040">
        <v>277.32666666666671</v>
      </c>
      <c r="U4040">
        <v>12</v>
      </c>
      <c r="V4040">
        <v>2022</v>
      </c>
      <c r="W4040">
        <v>4</v>
      </c>
      <c r="X4040" t="s">
        <v>9898</v>
      </c>
      <c r="Y4040" t="s">
        <v>9902</v>
      </c>
      <c r="Z4040" t="s">
        <v>9899</v>
      </c>
      <c r="AD4040">
        <f t="shared" si="127"/>
        <v>7</v>
      </c>
    </row>
    <row r="4041" spans="1:30" x14ac:dyDescent="0.25">
      <c r="A4041" t="s">
        <v>4065</v>
      </c>
      <c r="B4041" s="2">
        <v>44706</v>
      </c>
      <c r="C4041" s="2">
        <v>44712</v>
      </c>
      <c r="D4041" t="s">
        <v>5338</v>
      </c>
      <c r="E4041" t="s">
        <v>5838</v>
      </c>
      <c r="F4041" t="s">
        <v>6026</v>
      </c>
      <c r="G4041" t="s">
        <v>6031</v>
      </c>
      <c r="H4041" t="s">
        <v>6042</v>
      </c>
      <c r="I4041" t="s">
        <v>6050</v>
      </c>
      <c r="J4041" t="s">
        <v>6055</v>
      </c>
      <c r="K4041" t="s">
        <v>6063</v>
      </c>
      <c r="L4041" t="s">
        <v>6314</v>
      </c>
      <c r="M4041">
        <v>248.1</v>
      </c>
      <c r="N4041">
        <v>3</v>
      </c>
      <c r="O4041">
        <v>0.28000000000000003</v>
      </c>
      <c r="P4041">
        <v>-10.78</v>
      </c>
      <c r="Q4041" t="s">
        <v>9895</v>
      </c>
      <c r="R4041">
        <v>6</v>
      </c>
      <c r="S4041" s="5">
        <f t="shared" si="126"/>
        <v>-4.3450221684804516E-2</v>
      </c>
      <c r="T4041">
        <v>82.7</v>
      </c>
      <c r="U4041">
        <v>5</v>
      </c>
      <c r="V4041">
        <v>2022</v>
      </c>
      <c r="W4041">
        <v>2</v>
      </c>
      <c r="X4041" t="s">
        <v>9898</v>
      </c>
      <c r="Y4041" t="s">
        <v>9900</v>
      </c>
      <c r="Z4041" t="s">
        <v>9899</v>
      </c>
      <c r="AD4041">
        <f t="shared" si="127"/>
        <v>6</v>
      </c>
    </row>
    <row r="4042" spans="1:30" x14ac:dyDescent="0.25">
      <c r="A4042" t="s">
        <v>4066</v>
      </c>
      <c r="B4042" s="2">
        <v>44587</v>
      </c>
      <c r="C4042" s="2">
        <v>44594</v>
      </c>
      <c r="D4042" t="s">
        <v>5378</v>
      </c>
      <c r="E4042" t="s">
        <v>5878</v>
      </c>
      <c r="F4042" t="s">
        <v>6028</v>
      </c>
      <c r="G4042" t="s">
        <v>6030</v>
      </c>
      <c r="H4042" t="s">
        <v>6039</v>
      </c>
      <c r="I4042" t="s">
        <v>6051</v>
      </c>
      <c r="J4042" t="s">
        <v>6054</v>
      </c>
      <c r="K4042" t="s">
        <v>6062</v>
      </c>
      <c r="L4042" t="s">
        <v>9304</v>
      </c>
      <c r="M4042">
        <v>1352.47</v>
      </c>
      <c r="N4042">
        <v>4</v>
      </c>
      <c r="O4042">
        <v>0.09</v>
      </c>
      <c r="P4042">
        <v>187.23</v>
      </c>
      <c r="Q4042" t="s">
        <v>9896</v>
      </c>
      <c r="R4042">
        <v>7</v>
      </c>
      <c r="S4042" s="5">
        <f t="shared" si="126"/>
        <v>0.13843560300783012</v>
      </c>
      <c r="T4042">
        <v>338.11750000000001</v>
      </c>
      <c r="U4042">
        <v>1</v>
      </c>
      <c r="V4042">
        <v>2022</v>
      </c>
      <c r="W4042">
        <v>1</v>
      </c>
      <c r="X4042" t="s">
        <v>9899</v>
      </c>
      <c r="Y4042" t="s">
        <v>9901</v>
      </c>
      <c r="Z4042" t="s">
        <v>9898</v>
      </c>
      <c r="AD4042">
        <f t="shared" si="127"/>
        <v>7</v>
      </c>
    </row>
    <row r="4043" spans="1:30" x14ac:dyDescent="0.25">
      <c r="A4043" t="s">
        <v>4067</v>
      </c>
      <c r="B4043" s="2">
        <v>44660</v>
      </c>
      <c r="C4043" s="2">
        <v>44667</v>
      </c>
      <c r="D4043" t="s">
        <v>5428</v>
      </c>
      <c r="E4043" t="s">
        <v>5928</v>
      </c>
      <c r="F4043" t="s">
        <v>6027</v>
      </c>
      <c r="G4043" t="s">
        <v>6029</v>
      </c>
      <c r="H4043" t="s">
        <v>6032</v>
      </c>
      <c r="I4043" t="s">
        <v>6046</v>
      </c>
      <c r="J4043" t="s">
        <v>6055</v>
      </c>
      <c r="K4043" t="s">
        <v>6063</v>
      </c>
      <c r="L4043" t="s">
        <v>6816</v>
      </c>
      <c r="M4043">
        <v>971.97</v>
      </c>
      <c r="N4043">
        <v>7</v>
      </c>
      <c r="O4043">
        <v>0.06</v>
      </c>
      <c r="P4043">
        <v>165.72</v>
      </c>
      <c r="Q4043" t="s">
        <v>9894</v>
      </c>
      <c r="R4043">
        <v>7</v>
      </c>
      <c r="S4043" s="5">
        <f t="shared" si="126"/>
        <v>0.1704990894780703</v>
      </c>
      <c r="T4043">
        <v>138.85285714285709</v>
      </c>
      <c r="U4043">
        <v>4</v>
      </c>
      <c r="V4043">
        <v>2022</v>
      </c>
      <c r="W4043">
        <v>2</v>
      </c>
      <c r="X4043" t="s">
        <v>9899</v>
      </c>
      <c r="Y4043" t="s">
        <v>9901</v>
      </c>
      <c r="Z4043" t="s">
        <v>9899</v>
      </c>
      <c r="AD4043">
        <f t="shared" si="127"/>
        <v>7</v>
      </c>
    </row>
    <row r="4044" spans="1:30" x14ac:dyDescent="0.25">
      <c r="A4044" t="s">
        <v>4068</v>
      </c>
      <c r="B4044" s="2">
        <v>44661</v>
      </c>
      <c r="C4044" s="2">
        <v>44668</v>
      </c>
      <c r="D4044" t="s">
        <v>5122</v>
      </c>
      <c r="E4044" t="s">
        <v>5622</v>
      </c>
      <c r="F4044" t="s">
        <v>6026</v>
      </c>
      <c r="G4044" t="s">
        <v>6030</v>
      </c>
      <c r="H4044" t="s">
        <v>6038</v>
      </c>
      <c r="I4044" t="s">
        <v>6047</v>
      </c>
      <c r="J4044" t="s">
        <v>6054</v>
      </c>
      <c r="K4044" t="s">
        <v>6060</v>
      </c>
      <c r="L4044" t="s">
        <v>9305</v>
      </c>
      <c r="M4044">
        <v>1054.74</v>
      </c>
      <c r="N4044">
        <v>2</v>
      </c>
      <c r="O4044">
        <v>0.27</v>
      </c>
      <c r="P4044">
        <v>-168.76</v>
      </c>
      <c r="Q4044" t="s">
        <v>9897</v>
      </c>
      <c r="R4044">
        <v>7</v>
      </c>
      <c r="S4044" s="5">
        <f t="shared" si="126"/>
        <v>-0.16000151696152606</v>
      </c>
      <c r="T4044">
        <v>527.37</v>
      </c>
      <c r="U4044">
        <v>4</v>
      </c>
      <c r="V4044">
        <v>2022</v>
      </c>
      <c r="W4044">
        <v>2</v>
      </c>
      <c r="X4044" t="s">
        <v>9898</v>
      </c>
      <c r="Y4044" t="s">
        <v>9900</v>
      </c>
      <c r="Z4044" t="s">
        <v>9898</v>
      </c>
      <c r="AD4044">
        <f t="shared" si="127"/>
        <v>7</v>
      </c>
    </row>
    <row r="4045" spans="1:30" x14ac:dyDescent="0.25">
      <c r="A4045" t="s">
        <v>4069</v>
      </c>
      <c r="B4045" s="2">
        <v>45400</v>
      </c>
      <c r="C4045" s="2">
        <v>45401</v>
      </c>
      <c r="D4045" t="s">
        <v>5167</v>
      </c>
      <c r="E4045" t="s">
        <v>5667</v>
      </c>
      <c r="F4045" t="s">
        <v>6027</v>
      </c>
      <c r="G4045" t="s">
        <v>6031</v>
      </c>
      <c r="H4045" t="s">
        <v>6043</v>
      </c>
      <c r="I4045" t="s">
        <v>6052</v>
      </c>
      <c r="J4045" t="s">
        <v>6053</v>
      </c>
      <c r="K4045" t="s">
        <v>6058</v>
      </c>
      <c r="L4045" t="s">
        <v>8252</v>
      </c>
      <c r="M4045">
        <v>1825.73</v>
      </c>
      <c r="N4045">
        <v>3</v>
      </c>
      <c r="O4045">
        <v>0.28000000000000003</v>
      </c>
      <c r="P4045">
        <v>-239.3</v>
      </c>
      <c r="Q4045" t="s">
        <v>9896</v>
      </c>
      <c r="R4045">
        <v>1</v>
      </c>
      <c r="S4045" s="5">
        <f t="shared" si="126"/>
        <v>-0.13107085932750187</v>
      </c>
      <c r="T4045">
        <v>608.57666666666671</v>
      </c>
      <c r="U4045">
        <v>4</v>
      </c>
      <c r="V4045">
        <v>2024</v>
      </c>
      <c r="W4045">
        <v>2</v>
      </c>
      <c r="X4045" t="s">
        <v>9898</v>
      </c>
      <c r="Y4045" t="s">
        <v>9900</v>
      </c>
      <c r="Z4045" t="s">
        <v>9898</v>
      </c>
      <c r="AD4045">
        <f t="shared" si="127"/>
        <v>1</v>
      </c>
    </row>
    <row r="4046" spans="1:30" x14ac:dyDescent="0.25">
      <c r="A4046" t="s">
        <v>4070</v>
      </c>
      <c r="B4046" s="2">
        <v>44847</v>
      </c>
      <c r="C4046" s="2">
        <v>44854</v>
      </c>
      <c r="D4046" t="s">
        <v>5110</v>
      </c>
      <c r="E4046" t="s">
        <v>5610</v>
      </c>
      <c r="F4046" t="s">
        <v>6027</v>
      </c>
      <c r="G4046" t="s">
        <v>6030</v>
      </c>
      <c r="H4046" t="s">
        <v>6033</v>
      </c>
      <c r="I4046" t="s">
        <v>6051</v>
      </c>
      <c r="J4046" t="s">
        <v>6054</v>
      </c>
      <c r="K4046" t="s">
        <v>6060</v>
      </c>
      <c r="L4046" t="s">
        <v>9306</v>
      </c>
      <c r="M4046">
        <v>1496.48</v>
      </c>
      <c r="N4046">
        <v>7</v>
      </c>
      <c r="O4046">
        <v>0.14000000000000001</v>
      </c>
      <c r="P4046">
        <v>115.34</v>
      </c>
      <c r="Q4046" t="s">
        <v>9895</v>
      </c>
      <c r="R4046">
        <v>7</v>
      </c>
      <c r="S4046" s="5">
        <f t="shared" si="126"/>
        <v>7.7074200791189998E-2</v>
      </c>
      <c r="T4046">
        <v>213.78285714285721</v>
      </c>
      <c r="U4046">
        <v>10</v>
      </c>
      <c r="V4046">
        <v>2022</v>
      </c>
      <c r="W4046">
        <v>4</v>
      </c>
      <c r="X4046" t="s">
        <v>9899</v>
      </c>
      <c r="Y4046" t="s">
        <v>9901</v>
      </c>
      <c r="Z4046" t="s">
        <v>9898</v>
      </c>
      <c r="AD4046">
        <f t="shared" si="127"/>
        <v>7</v>
      </c>
    </row>
    <row r="4047" spans="1:30" x14ac:dyDescent="0.25">
      <c r="A4047" t="s">
        <v>4071</v>
      </c>
      <c r="B4047" s="2">
        <v>44741</v>
      </c>
      <c r="C4047" s="2">
        <v>44745</v>
      </c>
      <c r="D4047" t="s">
        <v>5497</v>
      </c>
      <c r="E4047" t="s">
        <v>5997</v>
      </c>
      <c r="F4047" t="s">
        <v>6027</v>
      </c>
      <c r="G4047" t="s">
        <v>6029</v>
      </c>
      <c r="H4047" t="s">
        <v>6044</v>
      </c>
      <c r="I4047" t="s">
        <v>6050</v>
      </c>
      <c r="J4047" t="s">
        <v>6053</v>
      </c>
      <c r="K4047" t="s">
        <v>6058</v>
      </c>
      <c r="L4047" t="s">
        <v>9307</v>
      </c>
      <c r="M4047">
        <v>1269.68</v>
      </c>
      <c r="N4047">
        <v>3</v>
      </c>
      <c r="O4047">
        <v>0.11</v>
      </c>
      <c r="P4047">
        <v>103.48</v>
      </c>
      <c r="Q4047" t="s">
        <v>9895</v>
      </c>
      <c r="R4047">
        <v>4</v>
      </c>
      <c r="S4047" s="5">
        <f t="shared" si="126"/>
        <v>8.1500850608027212E-2</v>
      </c>
      <c r="T4047">
        <v>423.22666666666669</v>
      </c>
      <c r="U4047">
        <v>6</v>
      </c>
      <c r="V4047">
        <v>2022</v>
      </c>
      <c r="W4047">
        <v>2</v>
      </c>
      <c r="X4047" t="s">
        <v>9899</v>
      </c>
      <c r="Y4047" t="s">
        <v>9901</v>
      </c>
      <c r="Z4047" t="s">
        <v>9898</v>
      </c>
      <c r="AD4047">
        <f t="shared" si="127"/>
        <v>4</v>
      </c>
    </row>
    <row r="4048" spans="1:30" x14ac:dyDescent="0.25">
      <c r="A4048" t="s">
        <v>4072</v>
      </c>
      <c r="B4048" s="2">
        <v>45161</v>
      </c>
      <c r="C4048" s="2">
        <v>45162</v>
      </c>
      <c r="D4048" t="s">
        <v>5285</v>
      </c>
      <c r="E4048" t="s">
        <v>5785</v>
      </c>
      <c r="F4048" t="s">
        <v>6027</v>
      </c>
      <c r="G4048" t="s">
        <v>6029</v>
      </c>
      <c r="H4048" t="s">
        <v>6041</v>
      </c>
      <c r="I4048" t="s">
        <v>6050</v>
      </c>
      <c r="J4048" t="s">
        <v>6053</v>
      </c>
      <c r="K4048" t="s">
        <v>6056</v>
      </c>
      <c r="L4048" t="s">
        <v>9308</v>
      </c>
      <c r="M4048">
        <v>548.87</v>
      </c>
      <c r="N4048">
        <v>3</v>
      </c>
      <c r="O4048">
        <v>0.16</v>
      </c>
      <c r="P4048">
        <v>67.56</v>
      </c>
      <c r="Q4048" t="s">
        <v>9893</v>
      </c>
      <c r="R4048">
        <v>1</v>
      </c>
      <c r="S4048" s="5">
        <f t="shared" si="126"/>
        <v>0.12308925610800373</v>
      </c>
      <c r="T4048">
        <v>182.95666666666671</v>
      </c>
      <c r="U4048">
        <v>8</v>
      </c>
      <c r="V4048">
        <v>2023</v>
      </c>
      <c r="W4048">
        <v>3</v>
      </c>
      <c r="X4048" t="s">
        <v>9899</v>
      </c>
      <c r="Y4048" t="s">
        <v>9900</v>
      </c>
      <c r="Z4048" t="s">
        <v>9899</v>
      </c>
      <c r="AD4048">
        <f t="shared" si="127"/>
        <v>1</v>
      </c>
    </row>
    <row r="4049" spans="1:30" x14ac:dyDescent="0.25">
      <c r="A4049" t="s">
        <v>4073</v>
      </c>
      <c r="B4049" s="2">
        <v>45434</v>
      </c>
      <c r="C4049" s="2">
        <v>45441</v>
      </c>
      <c r="D4049" t="s">
        <v>5223</v>
      </c>
      <c r="E4049" t="s">
        <v>5723</v>
      </c>
      <c r="F4049" t="s">
        <v>6028</v>
      </c>
      <c r="G4049" t="s">
        <v>6030</v>
      </c>
      <c r="H4049" t="s">
        <v>6033</v>
      </c>
      <c r="I4049" t="s">
        <v>6051</v>
      </c>
      <c r="J4049" t="s">
        <v>6055</v>
      </c>
      <c r="K4049" t="s">
        <v>6061</v>
      </c>
      <c r="L4049" t="s">
        <v>9309</v>
      </c>
      <c r="M4049">
        <v>1336.84</v>
      </c>
      <c r="N4049">
        <v>2</v>
      </c>
      <c r="O4049">
        <v>0.05</v>
      </c>
      <c r="P4049">
        <v>137.22</v>
      </c>
      <c r="Q4049" t="s">
        <v>9894</v>
      </c>
      <c r="R4049">
        <v>7</v>
      </c>
      <c r="S4049" s="5">
        <f t="shared" si="126"/>
        <v>0.10264504353550163</v>
      </c>
      <c r="T4049">
        <v>668.42</v>
      </c>
      <c r="U4049">
        <v>5</v>
      </c>
      <c r="V4049">
        <v>2024</v>
      </c>
      <c r="W4049">
        <v>2</v>
      </c>
      <c r="X4049" t="s">
        <v>9899</v>
      </c>
      <c r="Y4049" t="s">
        <v>9901</v>
      </c>
      <c r="Z4049" t="s">
        <v>9898</v>
      </c>
      <c r="AD4049">
        <f t="shared" si="127"/>
        <v>7</v>
      </c>
    </row>
    <row r="4050" spans="1:30" x14ac:dyDescent="0.25">
      <c r="A4050" t="s">
        <v>4074</v>
      </c>
      <c r="B4050" s="2">
        <v>44755</v>
      </c>
      <c r="C4050" s="2">
        <v>44758</v>
      </c>
      <c r="D4050" t="s">
        <v>5372</v>
      </c>
      <c r="E4050" t="s">
        <v>5872</v>
      </c>
      <c r="F4050" t="s">
        <v>6027</v>
      </c>
      <c r="G4050" t="s">
        <v>6031</v>
      </c>
      <c r="H4050" t="s">
        <v>6040</v>
      </c>
      <c r="I4050" t="s">
        <v>6052</v>
      </c>
      <c r="J4050" t="s">
        <v>6053</v>
      </c>
      <c r="K4050" t="s">
        <v>6056</v>
      </c>
      <c r="L4050" t="s">
        <v>9310</v>
      </c>
      <c r="M4050">
        <v>269.98</v>
      </c>
      <c r="N4050">
        <v>3</v>
      </c>
      <c r="O4050">
        <v>0.02</v>
      </c>
      <c r="P4050">
        <v>33.340000000000003</v>
      </c>
      <c r="Q4050" t="s">
        <v>9894</v>
      </c>
      <c r="R4050">
        <v>3</v>
      </c>
      <c r="S4050" s="5">
        <f t="shared" si="126"/>
        <v>0.1234906289354767</v>
      </c>
      <c r="T4050">
        <v>89.993333333333339</v>
      </c>
      <c r="U4050">
        <v>7</v>
      </c>
      <c r="V4050">
        <v>2022</v>
      </c>
      <c r="W4050">
        <v>3</v>
      </c>
      <c r="X4050" t="s">
        <v>9899</v>
      </c>
      <c r="Y4050" t="s">
        <v>9901</v>
      </c>
      <c r="Z4050" t="s">
        <v>9899</v>
      </c>
      <c r="AD4050">
        <f t="shared" si="127"/>
        <v>3</v>
      </c>
    </row>
    <row r="4051" spans="1:30" x14ac:dyDescent="0.25">
      <c r="A4051" t="s">
        <v>4075</v>
      </c>
      <c r="B4051" s="2">
        <v>44985</v>
      </c>
      <c r="C4051" s="2">
        <v>44991</v>
      </c>
      <c r="D4051" t="s">
        <v>5132</v>
      </c>
      <c r="E4051" t="s">
        <v>5632</v>
      </c>
      <c r="F4051" t="s">
        <v>6027</v>
      </c>
      <c r="G4051" t="s">
        <v>6029</v>
      </c>
      <c r="H4051" t="s">
        <v>6044</v>
      </c>
      <c r="I4051" t="s">
        <v>6050</v>
      </c>
      <c r="J4051" t="s">
        <v>6053</v>
      </c>
      <c r="K4051" t="s">
        <v>6057</v>
      </c>
      <c r="L4051" t="s">
        <v>9311</v>
      </c>
      <c r="M4051">
        <v>1386.58</v>
      </c>
      <c r="N4051">
        <v>3</v>
      </c>
      <c r="O4051">
        <v>0.02</v>
      </c>
      <c r="P4051">
        <v>177.5</v>
      </c>
      <c r="Q4051" t="s">
        <v>9895</v>
      </c>
      <c r="R4051">
        <v>6</v>
      </c>
      <c r="S4051" s="5">
        <f t="shared" si="126"/>
        <v>0.1280128084928385</v>
      </c>
      <c r="T4051">
        <v>462.19333333333333</v>
      </c>
      <c r="U4051">
        <v>2</v>
      </c>
      <c r="V4051">
        <v>2023</v>
      </c>
      <c r="W4051">
        <v>1</v>
      </c>
      <c r="X4051" t="s">
        <v>9899</v>
      </c>
      <c r="Y4051" t="s">
        <v>9901</v>
      </c>
      <c r="Z4051" t="s">
        <v>9898</v>
      </c>
      <c r="AD4051">
        <f t="shared" si="127"/>
        <v>6</v>
      </c>
    </row>
    <row r="4052" spans="1:30" x14ac:dyDescent="0.25">
      <c r="A4052" t="s">
        <v>4076</v>
      </c>
      <c r="B4052" s="2">
        <v>44659</v>
      </c>
      <c r="C4052" s="2">
        <v>44665</v>
      </c>
      <c r="D4052" t="s">
        <v>5255</v>
      </c>
      <c r="E4052" t="s">
        <v>5755</v>
      </c>
      <c r="F4052" t="s">
        <v>6027</v>
      </c>
      <c r="G4052" t="s">
        <v>6030</v>
      </c>
      <c r="H4052" t="s">
        <v>6038</v>
      </c>
      <c r="I4052" t="s">
        <v>6047</v>
      </c>
      <c r="J4052" t="s">
        <v>6053</v>
      </c>
      <c r="K4052" t="s">
        <v>6058</v>
      </c>
      <c r="L4052" t="s">
        <v>9312</v>
      </c>
      <c r="M4052">
        <v>1083.21</v>
      </c>
      <c r="N4052">
        <v>5</v>
      </c>
      <c r="O4052">
        <v>0.34</v>
      </c>
      <c r="P4052">
        <v>-177.85</v>
      </c>
      <c r="Q4052" t="s">
        <v>9894</v>
      </c>
      <c r="R4052">
        <v>6</v>
      </c>
      <c r="S4052" s="5">
        <f t="shared" si="126"/>
        <v>-0.16418792293276463</v>
      </c>
      <c r="T4052">
        <v>216.642</v>
      </c>
      <c r="U4052">
        <v>4</v>
      </c>
      <c r="V4052">
        <v>2022</v>
      </c>
      <c r="W4052">
        <v>2</v>
      </c>
      <c r="X4052" t="s">
        <v>9898</v>
      </c>
      <c r="Y4052" t="s">
        <v>9902</v>
      </c>
      <c r="Z4052" t="s">
        <v>9898</v>
      </c>
      <c r="AD4052">
        <f t="shared" si="127"/>
        <v>6</v>
      </c>
    </row>
    <row r="4053" spans="1:30" x14ac:dyDescent="0.25">
      <c r="A4053" t="s">
        <v>4077</v>
      </c>
      <c r="B4053" s="2">
        <v>45213</v>
      </c>
      <c r="C4053" s="2">
        <v>45220</v>
      </c>
      <c r="D4053" t="s">
        <v>5364</v>
      </c>
      <c r="E4053" t="s">
        <v>5864</v>
      </c>
      <c r="F4053" t="s">
        <v>6026</v>
      </c>
      <c r="G4053" t="s">
        <v>6029</v>
      </c>
      <c r="H4053" t="s">
        <v>6036</v>
      </c>
      <c r="I4053" t="s">
        <v>6046</v>
      </c>
      <c r="J4053" t="s">
        <v>6054</v>
      </c>
      <c r="K4053" t="s">
        <v>6062</v>
      </c>
      <c r="L4053" t="s">
        <v>6632</v>
      </c>
      <c r="M4053">
        <v>1598.32</v>
      </c>
      <c r="N4053">
        <v>5</v>
      </c>
      <c r="O4053">
        <v>0.25</v>
      </c>
      <c r="P4053">
        <v>-176.86</v>
      </c>
      <c r="Q4053" t="s">
        <v>9894</v>
      </c>
      <c r="R4053">
        <v>7</v>
      </c>
      <c r="S4053" s="5">
        <f t="shared" si="126"/>
        <v>-0.11065368637068923</v>
      </c>
      <c r="T4053">
        <v>319.66399999999999</v>
      </c>
      <c r="U4053">
        <v>10</v>
      </c>
      <c r="V4053">
        <v>2023</v>
      </c>
      <c r="W4053">
        <v>4</v>
      </c>
      <c r="X4053" t="s">
        <v>9898</v>
      </c>
      <c r="Y4053" t="s">
        <v>9900</v>
      </c>
      <c r="Z4053" t="s">
        <v>9898</v>
      </c>
      <c r="AD4053">
        <f t="shared" si="127"/>
        <v>7</v>
      </c>
    </row>
    <row r="4054" spans="1:30" x14ac:dyDescent="0.25">
      <c r="A4054" t="s">
        <v>4078</v>
      </c>
      <c r="B4054" s="2">
        <v>45010</v>
      </c>
      <c r="C4054" s="2">
        <v>45016</v>
      </c>
      <c r="D4054" t="s">
        <v>5176</v>
      </c>
      <c r="E4054" t="s">
        <v>5676</v>
      </c>
      <c r="F4054" t="s">
        <v>6027</v>
      </c>
      <c r="G4054" t="s">
        <v>6030</v>
      </c>
      <c r="H4054" t="s">
        <v>6035</v>
      </c>
      <c r="I4054" t="s">
        <v>6051</v>
      </c>
      <c r="J4054" t="s">
        <v>6053</v>
      </c>
      <c r="K4054" t="s">
        <v>6056</v>
      </c>
      <c r="L4054" t="s">
        <v>9313</v>
      </c>
      <c r="M4054">
        <v>1420.22</v>
      </c>
      <c r="N4054">
        <v>1</v>
      </c>
      <c r="O4054">
        <v>0.04</v>
      </c>
      <c r="P4054">
        <v>252.59</v>
      </c>
      <c r="Q4054" t="s">
        <v>9895</v>
      </c>
      <c r="R4054">
        <v>6</v>
      </c>
      <c r="S4054" s="5">
        <f t="shared" si="126"/>
        <v>0.17785272704228922</v>
      </c>
      <c r="T4054">
        <v>1420.22</v>
      </c>
      <c r="U4054">
        <v>3</v>
      </c>
      <c r="V4054">
        <v>2023</v>
      </c>
      <c r="W4054">
        <v>1</v>
      </c>
      <c r="X4054" t="s">
        <v>9899</v>
      </c>
      <c r="Y4054" t="s">
        <v>9901</v>
      </c>
      <c r="Z4054" t="s">
        <v>9898</v>
      </c>
      <c r="AD4054">
        <f t="shared" si="127"/>
        <v>6</v>
      </c>
    </row>
    <row r="4055" spans="1:30" x14ac:dyDescent="0.25">
      <c r="A4055" t="s">
        <v>4079</v>
      </c>
      <c r="B4055" s="2">
        <v>45416</v>
      </c>
      <c r="C4055" s="2">
        <v>45421</v>
      </c>
      <c r="D4055" t="s">
        <v>5402</v>
      </c>
      <c r="E4055" t="s">
        <v>5902</v>
      </c>
      <c r="F4055" t="s">
        <v>6026</v>
      </c>
      <c r="G4055" t="s">
        <v>6029</v>
      </c>
      <c r="H4055" t="s">
        <v>6045</v>
      </c>
      <c r="I4055" t="s">
        <v>6049</v>
      </c>
      <c r="J4055" t="s">
        <v>6054</v>
      </c>
      <c r="K4055" t="s">
        <v>6062</v>
      </c>
      <c r="L4055" t="s">
        <v>9314</v>
      </c>
      <c r="M4055">
        <v>1287.19</v>
      </c>
      <c r="N4055">
        <v>7</v>
      </c>
      <c r="O4055">
        <v>0.28000000000000003</v>
      </c>
      <c r="P4055">
        <v>-202.31</v>
      </c>
      <c r="Q4055" t="s">
        <v>9895</v>
      </c>
      <c r="R4055">
        <v>5</v>
      </c>
      <c r="S4055" s="5">
        <f t="shared" si="126"/>
        <v>-0.15717182389546219</v>
      </c>
      <c r="T4055">
        <v>183.88428571428571</v>
      </c>
      <c r="U4055">
        <v>5</v>
      </c>
      <c r="V4055">
        <v>2024</v>
      </c>
      <c r="W4055">
        <v>2</v>
      </c>
      <c r="X4055" t="s">
        <v>9898</v>
      </c>
      <c r="Y4055" t="s">
        <v>9900</v>
      </c>
      <c r="Z4055" t="s">
        <v>9898</v>
      </c>
      <c r="AD4055">
        <f t="shared" si="127"/>
        <v>5</v>
      </c>
    </row>
    <row r="4056" spans="1:30" x14ac:dyDescent="0.25">
      <c r="A4056" t="s">
        <v>4080</v>
      </c>
      <c r="B4056" s="2">
        <v>45023</v>
      </c>
      <c r="C4056" s="2">
        <v>45027</v>
      </c>
      <c r="D4056" t="s">
        <v>5414</v>
      </c>
      <c r="E4056" t="s">
        <v>5914</v>
      </c>
      <c r="F4056" t="s">
        <v>6026</v>
      </c>
      <c r="G4056" t="s">
        <v>6029</v>
      </c>
      <c r="H4056" t="s">
        <v>6036</v>
      </c>
      <c r="I4056" t="s">
        <v>6046</v>
      </c>
      <c r="J4056" t="s">
        <v>6055</v>
      </c>
      <c r="K4056" t="s">
        <v>6064</v>
      </c>
      <c r="L4056" t="s">
        <v>9315</v>
      </c>
      <c r="M4056">
        <v>992.95</v>
      </c>
      <c r="N4056">
        <v>2</v>
      </c>
      <c r="O4056">
        <v>0.33</v>
      </c>
      <c r="P4056">
        <v>-61.12</v>
      </c>
      <c r="Q4056" t="s">
        <v>9896</v>
      </c>
      <c r="R4056">
        <v>4</v>
      </c>
      <c r="S4056" s="5">
        <f t="shared" si="126"/>
        <v>-6.155395538546754E-2</v>
      </c>
      <c r="T4056">
        <v>496.47500000000002</v>
      </c>
      <c r="U4056">
        <v>4</v>
      </c>
      <c r="V4056">
        <v>2023</v>
      </c>
      <c r="W4056">
        <v>2</v>
      </c>
      <c r="X4056" t="s">
        <v>9898</v>
      </c>
      <c r="Y4056" t="s">
        <v>9902</v>
      </c>
      <c r="Z4056" t="s">
        <v>9899</v>
      </c>
      <c r="AD4056">
        <f t="shared" si="127"/>
        <v>4</v>
      </c>
    </row>
    <row r="4057" spans="1:30" x14ac:dyDescent="0.25">
      <c r="A4057" t="s">
        <v>4081</v>
      </c>
      <c r="B4057" s="2">
        <v>44958</v>
      </c>
      <c r="C4057" s="2">
        <v>44959</v>
      </c>
      <c r="D4057" t="s">
        <v>5123</v>
      </c>
      <c r="E4057" t="s">
        <v>5623</v>
      </c>
      <c r="F4057" t="s">
        <v>6027</v>
      </c>
      <c r="G4057" t="s">
        <v>6029</v>
      </c>
      <c r="H4057" t="s">
        <v>6032</v>
      </c>
      <c r="I4057" t="s">
        <v>6049</v>
      </c>
      <c r="J4057" t="s">
        <v>6055</v>
      </c>
      <c r="K4057" t="s">
        <v>6061</v>
      </c>
      <c r="L4057" t="s">
        <v>6224</v>
      </c>
      <c r="M4057">
        <v>1832.9</v>
      </c>
      <c r="N4057">
        <v>5</v>
      </c>
      <c r="O4057">
        <v>0.1</v>
      </c>
      <c r="P4057">
        <v>345.52</v>
      </c>
      <c r="Q4057" t="s">
        <v>9893</v>
      </c>
      <c r="R4057">
        <v>1</v>
      </c>
      <c r="S4057" s="5">
        <f t="shared" si="126"/>
        <v>0.18851001145725352</v>
      </c>
      <c r="T4057">
        <v>366.58</v>
      </c>
      <c r="U4057">
        <v>2</v>
      </c>
      <c r="V4057">
        <v>2023</v>
      </c>
      <c r="W4057">
        <v>1</v>
      </c>
      <c r="X4057" t="s">
        <v>9899</v>
      </c>
      <c r="Y4057" t="s">
        <v>9901</v>
      </c>
      <c r="Z4057" t="s">
        <v>9898</v>
      </c>
      <c r="AD4057">
        <f t="shared" si="127"/>
        <v>1</v>
      </c>
    </row>
    <row r="4058" spans="1:30" x14ac:dyDescent="0.25">
      <c r="A4058" t="s">
        <v>4082</v>
      </c>
      <c r="B4058" s="2">
        <v>45063</v>
      </c>
      <c r="C4058" s="2">
        <v>45066</v>
      </c>
      <c r="D4058" t="s">
        <v>5074</v>
      </c>
      <c r="E4058" t="s">
        <v>5574</v>
      </c>
      <c r="F4058" t="s">
        <v>6028</v>
      </c>
      <c r="G4058" t="s">
        <v>6031</v>
      </c>
      <c r="H4058" t="s">
        <v>6042</v>
      </c>
      <c r="I4058" t="s">
        <v>6052</v>
      </c>
      <c r="J4058" t="s">
        <v>6055</v>
      </c>
      <c r="K4058" t="s">
        <v>6063</v>
      </c>
      <c r="L4058" t="s">
        <v>9316</v>
      </c>
      <c r="M4058">
        <v>1909.9</v>
      </c>
      <c r="N4058">
        <v>2</v>
      </c>
      <c r="O4058">
        <v>0.26</v>
      </c>
      <c r="P4058">
        <v>71.599999999999994</v>
      </c>
      <c r="Q4058" t="s">
        <v>9897</v>
      </c>
      <c r="R4058">
        <v>3</v>
      </c>
      <c r="S4058" s="5">
        <f t="shared" si="126"/>
        <v>3.748887376302424E-2</v>
      </c>
      <c r="T4058">
        <v>954.95</v>
      </c>
      <c r="U4058">
        <v>5</v>
      </c>
      <c r="V4058">
        <v>2023</v>
      </c>
      <c r="W4058">
        <v>2</v>
      </c>
      <c r="X4058" t="s">
        <v>9899</v>
      </c>
      <c r="Y4058" t="s">
        <v>9900</v>
      </c>
      <c r="Z4058" t="s">
        <v>9898</v>
      </c>
      <c r="AD4058">
        <f t="shared" si="127"/>
        <v>3</v>
      </c>
    </row>
    <row r="4059" spans="1:30" x14ac:dyDescent="0.25">
      <c r="A4059" t="s">
        <v>4083</v>
      </c>
      <c r="B4059" s="2">
        <v>44692</v>
      </c>
      <c r="C4059" s="2">
        <v>44694</v>
      </c>
      <c r="D4059" t="s">
        <v>5038</v>
      </c>
      <c r="E4059" t="s">
        <v>5538</v>
      </c>
      <c r="F4059" t="s">
        <v>6027</v>
      </c>
      <c r="G4059" t="s">
        <v>6030</v>
      </c>
      <c r="H4059" t="s">
        <v>6033</v>
      </c>
      <c r="I4059" t="s">
        <v>6047</v>
      </c>
      <c r="J4059" t="s">
        <v>6055</v>
      </c>
      <c r="K4059" t="s">
        <v>6064</v>
      </c>
      <c r="L4059" t="s">
        <v>9224</v>
      </c>
      <c r="M4059">
        <v>1791.5</v>
      </c>
      <c r="N4059">
        <v>4</v>
      </c>
      <c r="O4059">
        <v>0.1</v>
      </c>
      <c r="P4059">
        <v>63.22</v>
      </c>
      <c r="Q4059" t="s">
        <v>9895</v>
      </c>
      <c r="R4059">
        <v>2</v>
      </c>
      <c r="S4059" s="5">
        <f t="shared" si="126"/>
        <v>3.5288864080379567E-2</v>
      </c>
      <c r="T4059">
        <v>447.875</v>
      </c>
      <c r="U4059">
        <v>5</v>
      </c>
      <c r="V4059">
        <v>2022</v>
      </c>
      <c r="W4059">
        <v>2</v>
      </c>
      <c r="X4059" t="s">
        <v>9899</v>
      </c>
      <c r="Y4059" t="s">
        <v>9901</v>
      </c>
      <c r="Z4059" t="s">
        <v>9898</v>
      </c>
      <c r="AD4059">
        <f t="shared" si="127"/>
        <v>2</v>
      </c>
    </row>
    <row r="4060" spans="1:30" x14ac:dyDescent="0.25">
      <c r="A4060" t="s">
        <v>4084</v>
      </c>
      <c r="B4060" s="2">
        <v>44930</v>
      </c>
      <c r="C4060" s="2">
        <v>44936</v>
      </c>
      <c r="D4060" t="s">
        <v>5476</v>
      </c>
      <c r="E4060" t="s">
        <v>5976</v>
      </c>
      <c r="F4060" t="s">
        <v>6028</v>
      </c>
      <c r="G4060" t="s">
        <v>6029</v>
      </c>
      <c r="H4060" t="s">
        <v>6032</v>
      </c>
      <c r="I4060" t="s">
        <v>6050</v>
      </c>
      <c r="J4060" t="s">
        <v>6055</v>
      </c>
      <c r="K4060" t="s">
        <v>6064</v>
      </c>
      <c r="L4060" t="s">
        <v>9317</v>
      </c>
      <c r="M4060">
        <v>1538.79</v>
      </c>
      <c r="N4060">
        <v>6</v>
      </c>
      <c r="O4060">
        <v>0.18</v>
      </c>
      <c r="P4060">
        <v>-107.87</v>
      </c>
      <c r="Q4060" t="s">
        <v>9895</v>
      </c>
      <c r="R4060">
        <v>6</v>
      </c>
      <c r="S4060" s="5">
        <f t="shared" si="126"/>
        <v>-7.0100533536090054E-2</v>
      </c>
      <c r="T4060">
        <v>256.46499999999997</v>
      </c>
      <c r="U4060">
        <v>1</v>
      </c>
      <c r="V4060">
        <v>2023</v>
      </c>
      <c r="W4060">
        <v>1</v>
      </c>
      <c r="X4060" t="s">
        <v>9898</v>
      </c>
      <c r="Y4060" t="s">
        <v>9900</v>
      </c>
      <c r="Z4060" t="s">
        <v>9898</v>
      </c>
      <c r="AD4060">
        <f t="shared" si="127"/>
        <v>6</v>
      </c>
    </row>
    <row r="4061" spans="1:30" x14ac:dyDescent="0.25">
      <c r="A4061" t="s">
        <v>4085</v>
      </c>
      <c r="B4061" s="2">
        <v>44926</v>
      </c>
      <c r="C4061" s="2">
        <v>44933</v>
      </c>
      <c r="D4061" t="s">
        <v>5240</v>
      </c>
      <c r="E4061" t="s">
        <v>5740</v>
      </c>
      <c r="F4061" t="s">
        <v>6028</v>
      </c>
      <c r="G4061" t="s">
        <v>6031</v>
      </c>
      <c r="H4061" t="s">
        <v>6040</v>
      </c>
      <c r="I4061" t="s">
        <v>6050</v>
      </c>
      <c r="J4061" t="s">
        <v>6055</v>
      </c>
      <c r="K4061" t="s">
        <v>6061</v>
      </c>
      <c r="L4061" t="s">
        <v>7809</v>
      </c>
      <c r="M4061">
        <v>1119.06</v>
      </c>
      <c r="N4061">
        <v>3</v>
      </c>
      <c r="O4061">
        <v>0.18</v>
      </c>
      <c r="P4061">
        <v>-26.69</v>
      </c>
      <c r="Q4061" t="s">
        <v>9897</v>
      </c>
      <c r="R4061">
        <v>7</v>
      </c>
      <c r="S4061" s="5">
        <f t="shared" si="126"/>
        <v>-2.3850374421389382E-2</v>
      </c>
      <c r="T4061">
        <v>373.02</v>
      </c>
      <c r="U4061">
        <v>12</v>
      </c>
      <c r="V4061">
        <v>2022</v>
      </c>
      <c r="W4061">
        <v>4</v>
      </c>
      <c r="X4061" t="s">
        <v>9898</v>
      </c>
      <c r="Y4061" t="s">
        <v>9900</v>
      </c>
      <c r="Z4061" t="s">
        <v>9898</v>
      </c>
      <c r="AD4061">
        <f t="shared" si="127"/>
        <v>7</v>
      </c>
    </row>
    <row r="4062" spans="1:30" x14ac:dyDescent="0.25">
      <c r="A4062" t="s">
        <v>4086</v>
      </c>
      <c r="B4062" s="2">
        <v>45341</v>
      </c>
      <c r="C4062" s="2">
        <v>45343</v>
      </c>
      <c r="D4062" t="s">
        <v>5489</v>
      </c>
      <c r="E4062" t="s">
        <v>5989</v>
      </c>
      <c r="F4062" t="s">
        <v>6028</v>
      </c>
      <c r="G4062" t="s">
        <v>6031</v>
      </c>
      <c r="H4062" t="s">
        <v>6037</v>
      </c>
      <c r="I4062" t="s">
        <v>6050</v>
      </c>
      <c r="J4062" t="s">
        <v>6053</v>
      </c>
      <c r="K4062" t="s">
        <v>6056</v>
      </c>
      <c r="L4062" t="s">
        <v>9318</v>
      </c>
      <c r="M4062">
        <v>1225.49</v>
      </c>
      <c r="N4062">
        <v>1</v>
      </c>
      <c r="O4062">
        <v>0.17</v>
      </c>
      <c r="P4062">
        <v>2.06</v>
      </c>
      <c r="Q4062" t="s">
        <v>9896</v>
      </c>
      <c r="R4062">
        <v>2</v>
      </c>
      <c r="S4062" s="5">
        <f t="shared" si="126"/>
        <v>1.680960268953643E-3</v>
      </c>
      <c r="T4062">
        <v>1225.49</v>
      </c>
      <c r="U4062">
        <v>2</v>
      </c>
      <c r="V4062">
        <v>2024</v>
      </c>
      <c r="W4062">
        <v>1</v>
      </c>
      <c r="X4062" t="s">
        <v>9899</v>
      </c>
      <c r="Y4062" t="s">
        <v>9900</v>
      </c>
      <c r="Z4062" t="s">
        <v>9898</v>
      </c>
      <c r="AD4062">
        <f t="shared" si="127"/>
        <v>2</v>
      </c>
    </row>
    <row r="4063" spans="1:30" x14ac:dyDescent="0.25">
      <c r="A4063" t="s">
        <v>4087</v>
      </c>
      <c r="B4063" s="2">
        <v>44713</v>
      </c>
      <c r="C4063" s="2">
        <v>44714</v>
      </c>
      <c r="D4063" t="s">
        <v>5144</v>
      </c>
      <c r="E4063" t="s">
        <v>5644</v>
      </c>
      <c r="F4063" t="s">
        <v>6027</v>
      </c>
      <c r="G4063" t="s">
        <v>6029</v>
      </c>
      <c r="H4063" t="s">
        <v>6041</v>
      </c>
      <c r="I4063" t="s">
        <v>6046</v>
      </c>
      <c r="J4063" t="s">
        <v>6055</v>
      </c>
      <c r="K4063" t="s">
        <v>6064</v>
      </c>
      <c r="L4063" t="s">
        <v>9247</v>
      </c>
      <c r="M4063">
        <v>1394.29</v>
      </c>
      <c r="N4063">
        <v>8</v>
      </c>
      <c r="O4063">
        <v>0.28999999999999998</v>
      </c>
      <c r="P4063">
        <v>-193.95</v>
      </c>
      <c r="Q4063" t="s">
        <v>9897</v>
      </c>
      <c r="R4063">
        <v>1</v>
      </c>
      <c r="S4063" s="5">
        <f t="shared" si="126"/>
        <v>-0.1391030560356884</v>
      </c>
      <c r="T4063">
        <v>174.28625</v>
      </c>
      <c r="U4063">
        <v>6</v>
      </c>
      <c r="V4063">
        <v>2022</v>
      </c>
      <c r="W4063">
        <v>2</v>
      </c>
      <c r="X4063" t="s">
        <v>9898</v>
      </c>
      <c r="Y4063" t="s">
        <v>9900</v>
      </c>
      <c r="Z4063" t="s">
        <v>9898</v>
      </c>
      <c r="AD4063">
        <f t="shared" si="127"/>
        <v>1</v>
      </c>
    </row>
    <row r="4064" spans="1:30" x14ac:dyDescent="0.25">
      <c r="A4064" t="s">
        <v>4088</v>
      </c>
      <c r="B4064" s="2">
        <v>45125</v>
      </c>
      <c r="C4064" s="2">
        <v>45126</v>
      </c>
      <c r="D4064" t="s">
        <v>5517</v>
      </c>
      <c r="E4064" t="s">
        <v>6017</v>
      </c>
      <c r="F4064" t="s">
        <v>6028</v>
      </c>
      <c r="G4064" t="s">
        <v>6029</v>
      </c>
      <c r="H4064" t="s">
        <v>6032</v>
      </c>
      <c r="I4064" t="s">
        <v>6050</v>
      </c>
      <c r="J4064" t="s">
        <v>6055</v>
      </c>
      <c r="K4064" t="s">
        <v>6063</v>
      </c>
      <c r="L4064" t="s">
        <v>9319</v>
      </c>
      <c r="M4064">
        <v>1277.6199999999999</v>
      </c>
      <c r="N4064">
        <v>1</v>
      </c>
      <c r="O4064">
        <v>0.17</v>
      </c>
      <c r="P4064">
        <v>156.38999999999999</v>
      </c>
      <c r="Q4064" t="s">
        <v>9897</v>
      </c>
      <c r="R4064">
        <v>1</v>
      </c>
      <c r="S4064" s="5">
        <f t="shared" si="126"/>
        <v>0.12240728855215166</v>
      </c>
      <c r="T4064">
        <v>1277.6199999999999</v>
      </c>
      <c r="U4064">
        <v>7</v>
      </c>
      <c r="V4064">
        <v>2023</v>
      </c>
      <c r="W4064">
        <v>3</v>
      </c>
      <c r="X4064" t="s">
        <v>9899</v>
      </c>
      <c r="Y4064" t="s">
        <v>9900</v>
      </c>
      <c r="Z4064" t="s">
        <v>9898</v>
      </c>
      <c r="AD4064">
        <f t="shared" si="127"/>
        <v>1</v>
      </c>
    </row>
    <row r="4065" spans="1:30" x14ac:dyDescent="0.25">
      <c r="A4065" t="s">
        <v>4089</v>
      </c>
      <c r="B4065" s="2">
        <v>45333</v>
      </c>
      <c r="C4065" s="2">
        <v>45340</v>
      </c>
      <c r="D4065" t="s">
        <v>5230</v>
      </c>
      <c r="E4065" t="s">
        <v>5730</v>
      </c>
      <c r="F4065" t="s">
        <v>6026</v>
      </c>
      <c r="G4065" t="s">
        <v>6031</v>
      </c>
      <c r="H4065" t="s">
        <v>6042</v>
      </c>
      <c r="I4065" t="s">
        <v>6050</v>
      </c>
      <c r="J4065" t="s">
        <v>6053</v>
      </c>
      <c r="K4065" t="s">
        <v>6058</v>
      </c>
      <c r="L4065" t="s">
        <v>9320</v>
      </c>
      <c r="M4065">
        <v>1366.34</v>
      </c>
      <c r="N4065">
        <v>8</v>
      </c>
      <c r="O4065">
        <v>0.11</v>
      </c>
      <c r="P4065">
        <v>15.43</v>
      </c>
      <c r="Q4065" t="s">
        <v>9897</v>
      </c>
      <c r="R4065">
        <v>7</v>
      </c>
      <c r="S4065" s="5">
        <f t="shared" si="126"/>
        <v>1.1292943191299384E-2</v>
      </c>
      <c r="T4065">
        <v>170.79249999999999</v>
      </c>
      <c r="U4065">
        <v>2</v>
      </c>
      <c r="V4065">
        <v>2024</v>
      </c>
      <c r="W4065">
        <v>1</v>
      </c>
      <c r="X4065" t="s">
        <v>9899</v>
      </c>
      <c r="Y4065" t="s">
        <v>9901</v>
      </c>
      <c r="Z4065" t="s">
        <v>9898</v>
      </c>
      <c r="AD4065">
        <f t="shared" si="127"/>
        <v>7</v>
      </c>
    </row>
    <row r="4066" spans="1:30" x14ac:dyDescent="0.25">
      <c r="A4066" t="s">
        <v>4090</v>
      </c>
      <c r="B4066" s="2">
        <v>44562</v>
      </c>
      <c r="C4066" s="2">
        <v>44567</v>
      </c>
      <c r="D4066" t="s">
        <v>5125</v>
      </c>
      <c r="E4066" t="s">
        <v>5625</v>
      </c>
      <c r="F4066" t="s">
        <v>6028</v>
      </c>
      <c r="G4066" t="s">
        <v>6029</v>
      </c>
      <c r="H4066" t="s">
        <v>6032</v>
      </c>
      <c r="I4066" t="s">
        <v>6050</v>
      </c>
      <c r="J4066" t="s">
        <v>6055</v>
      </c>
      <c r="K4066" t="s">
        <v>6061</v>
      </c>
      <c r="L4066" t="s">
        <v>9321</v>
      </c>
      <c r="M4066">
        <v>403.6</v>
      </c>
      <c r="N4066">
        <v>5</v>
      </c>
      <c r="O4066">
        <v>0.13</v>
      </c>
      <c r="P4066">
        <v>41.73</v>
      </c>
      <c r="Q4066" t="s">
        <v>9896</v>
      </c>
      <c r="R4066">
        <v>5</v>
      </c>
      <c r="S4066" s="5">
        <f t="shared" si="126"/>
        <v>0.10339444995044597</v>
      </c>
      <c r="T4066">
        <v>80.72</v>
      </c>
      <c r="U4066">
        <v>1</v>
      </c>
      <c r="V4066">
        <v>2022</v>
      </c>
      <c r="W4066">
        <v>1</v>
      </c>
      <c r="X4066" t="s">
        <v>9899</v>
      </c>
      <c r="Y4066" t="s">
        <v>9901</v>
      </c>
      <c r="Z4066" t="s">
        <v>9899</v>
      </c>
      <c r="AD4066">
        <f t="shared" si="127"/>
        <v>5</v>
      </c>
    </row>
    <row r="4067" spans="1:30" x14ac:dyDescent="0.25">
      <c r="A4067" t="s">
        <v>4091</v>
      </c>
      <c r="B4067" s="2">
        <v>45417</v>
      </c>
      <c r="C4067" s="2">
        <v>45422</v>
      </c>
      <c r="D4067" t="s">
        <v>5287</v>
      </c>
      <c r="E4067" t="s">
        <v>5787</v>
      </c>
      <c r="F4067" t="s">
        <v>6027</v>
      </c>
      <c r="G4067" t="s">
        <v>6030</v>
      </c>
      <c r="H4067" t="s">
        <v>6038</v>
      </c>
      <c r="I4067" t="s">
        <v>6051</v>
      </c>
      <c r="J4067" t="s">
        <v>6054</v>
      </c>
      <c r="K4067" t="s">
        <v>6062</v>
      </c>
      <c r="L4067" t="s">
        <v>7538</v>
      </c>
      <c r="M4067">
        <v>1104.02</v>
      </c>
      <c r="N4067">
        <v>8</v>
      </c>
      <c r="O4067">
        <v>0.19</v>
      </c>
      <c r="P4067">
        <v>58.62</v>
      </c>
      <c r="Q4067" t="s">
        <v>9896</v>
      </c>
      <c r="R4067">
        <v>5</v>
      </c>
      <c r="S4067" s="5">
        <f t="shared" si="126"/>
        <v>5.3096864187242986E-2</v>
      </c>
      <c r="T4067">
        <v>138.0025</v>
      </c>
      <c r="U4067">
        <v>5</v>
      </c>
      <c r="V4067">
        <v>2024</v>
      </c>
      <c r="W4067">
        <v>2</v>
      </c>
      <c r="X4067" t="s">
        <v>9899</v>
      </c>
      <c r="Y4067" t="s">
        <v>9900</v>
      </c>
      <c r="Z4067" t="s">
        <v>9898</v>
      </c>
      <c r="AD4067">
        <f t="shared" si="127"/>
        <v>5</v>
      </c>
    </row>
    <row r="4068" spans="1:30" x14ac:dyDescent="0.25">
      <c r="A4068" t="s">
        <v>4092</v>
      </c>
      <c r="B4068" s="2">
        <v>45266</v>
      </c>
      <c r="C4068" s="2">
        <v>45269</v>
      </c>
      <c r="D4068" t="s">
        <v>5149</v>
      </c>
      <c r="E4068" t="s">
        <v>5649</v>
      </c>
      <c r="F4068" t="s">
        <v>6027</v>
      </c>
      <c r="G4068" t="s">
        <v>6031</v>
      </c>
      <c r="H4068" t="s">
        <v>6040</v>
      </c>
      <c r="I4068" t="s">
        <v>6052</v>
      </c>
      <c r="J4068" t="s">
        <v>6054</v>
      </c>
      <c r="K4068" t="s">
        <v>6060</v>
      </c>
      <c r="L4068" t="s">
        <v>9322</v>
      </c>
      <c r="M4068">
        <v>524.74</v>
      </c>
      <c r="N4068">
        <v>2</v>
      </c>
      <c r="O4068">
        <v>0.21</v>
      </c>
      <c r="P4068">
        <v>-4.21</v>
      </c>
      <c r="Q4068" t="s">
        <v>9894</v>
      </c>
      <c r="R4068">
        <v>3</v>
      </c>
      <c r="S4068" s="5">
        <f t="shared" si="126"/>
        <v>-8.0230209246483965E-3</v>
      </c>
      <c r="T4068">
        <v>262.37</v>
      </c>
      <c r="U4068">
        <v>12</v>
      </c>
      <c r="V4068">
        <v>2023</v>
      </c>
      <c r="W4068">
        <v>4</v>
      </c>
      <c r="X4068" t="s">
        <v>9898</v>
      </c>
      <c r="Y4068" t="s">
        <v>9900</v>
      </c>
      <c r="Z4068" t="s">
        <v>9899</v>
      </c>
      <c r="AD4068">
        <f t="shared" si="127"/>
        <v>3</v>
      </c>
    </row>
    <row r="4069" spans="1:30" x14ac:dyDescent="0.25">
      <c r="A4069" t="s">
        <v>4093</v>
      </c>
      <c r="B4069" s="2">
        <v>45378</v>
      </c>
      <c r="C4069" s="2">
        <v>45385</v>
      </c>
      <c r="D4069" t="s">
        <v>5202</v>
      </c>
      <c r="E4069" t="s">
        <v>5702</v>
      </c>
      <c r="F4069" t="s">
        <v>6026</v>
      </c>
      <c r="G4069" t="s">
        <v>6030</v>
      </c>
      <c r="H4069" t="s">
        <v>6038</v>
      </c>
      <c r="I4069" t="s">
        <v>6051</v>
      </c>
      <c r="J4069" t="s">
        <v>6054</v>
      </c>
      <c r="K4069" t="s">
        <v>6059</v>
      </c>
      <c r="L4069" t="s">
        <v>9323</v>
      </c>
      <c r="M4069">
        <v>1376.87</v>
      </c>
      <c r="N4069">
        <v>8</v>
      </c>
      <c r="O4069">
        <v>0.05</v>
      </c>
      <c r="P4069">
        <v>242.2</v>
      </c>
      <c r="Q4069" t="s">
        <v>9894</v>
      </c>
      <c r="R4069">
        <v>7</v>
      </c>
      <c r="S4069" s="5">
        <f t="shared" si="126"/>
        <v>0.1759062220834211</v>
      </c>
      <c r="T4069">
        <v>172.10874999999999</v>
      </c>
      <c r="U4069">
        <v>3</v>
      </c>
      <c r="V4069">
        <v>2024</v>
      </c>
      <c r="W4069">
        <v>1</v>
      </c>
      <c r="X4069" t="s">
        <v>9899</v>
      </c>
      <c r="Y4069" t="s">
        <v>9901</v>
      </c>
      <c r="Z4069" t="s">
        <v>9898</v>
      </c>
      <c r="AD4069">
        <f t="shared" si="127"/>
        <v>7</v>
      </c>
    </row>
    <row r="4070" spans="1:30" x14ac:dyDescent="0.25">
      <c r="A4070" t="s">
        <v>4094</v>
      </c>
      <c r="B4070" s="2">
        <v>45337</v>
      </c>
      <c r="C4070" s="2">
        <v>45343</v>
      </c>
      <c r="D4070" t="s">
        <v>5392</v>
      </c>
      <c r="E4070" t="s">
        <v>5892</v>
      </c>
      <c r="F4070" t="s">
        <v>6026</v>
      </c>
      <c r="G4070" t="s">
        <v>6029</v>
      </c>
      <c r="H4070" t="s">
        <v>6045</v>
      </c>
      <c r="I4070" t="s">
        <v>6050</v>
      </c>
      <c r="J4070" t="s">
        <v>6055</v>
      </c>
      <c r="K4070" t="s">
        <v>6061</v>
      </c>
      <c r="L4070" t="s">
        <v>9324</v>
      </c>
      <c r="M4070">
        <v>136.08000000000001</v>
      </c>
      <c r="N4070">
        <v>4</v>
      </c>
      <c r="O4070">
        <v>0.14000000000000001</v>
      </c>
      <c r="P4070">
        <v>-1.39</v>
      </c>
      <c r="Q4070" t="s">
        <v>9896</v>
      </c>
      <c r="R4070">
        <v>6</v>
      </c>
      <c r="S4070" s="5">
        <f t="shared" si="126"/>
        <v>-1.0214579659024102E-2</v>
      </c>
      <c r="T4070">
        <v>34.020000000000003</v>
      </c>
      <c r="U4070">
        <v>2</v>
      </c>
      <c r="V4070">
        <v>2024</v>
      </c>
      <c r="W4070">
        <v>1</v>
      </c>
      <c r="X4070" t="s">
        <v>9898</v>
      </c>
      <c r="Y4070" t="s">
        <v>9901</v>
      </c>
      <c r="Z4070" t="s">
        <v>9899</v>
      </c>
      <c r="AD4070">
        <f t="shared" si="127"/>
        <v>6</v>
      </c>
    </row>
    <row r="4071" spans="1:30" x14ac:dyDescent="0.25">
      <c r="A4071" t="s">
        <v>4095</v>
      </c>
      <c r="B4071" s="2">
        <v>44685</v>
      </c>
      <c r="C4071" s="2">
        <v>44691</v>
      </c>
      <c r="D4071" t="s">
        <v>5111</v>
      </c>
      <c r="E4071" t="s">
        <v>5611</v>
      </c>
      <c r="F4071" t="s">
        <v>6026</v>
      </c>
      <c r="G4071" t="s">
        <v>6031</v>
      </c>
      <c r="H4071" t="s">
        <v>6040</v>
      </c>
      <c r="I4071" t="s">
        <v>6048</v>
      </c>
      <c r="J4071" t="s">
        <v>6055</v>
      </c>
      <c r="K4071" t="s">
        <v>6064</v>
      </c>
      <c r="L4071" t="s">
        <v>9325</v>
      </c>
      <c r="M4071">
        <v>270.07</v>
      </c>
      <c r="N4071">
        <v>6</v>
      </c>
      <c r="O4071">
        <v>0.22</v>
      </c>
      <c r="P4071">
        <v>-6.44</v>
      </c>
      <c r="Q4071" t="s">
        <v>9893</v>
      </c>
      <c r="R4071">
        <v>6</v>
      </c>
      <c r="S4071" s="5">
        <f t="shared" si="126"/>
        <v>-2.3845669641204135E-2</v>
      </c>
      <c r="T4071">
        <v>45.011666666666663</v>
      </c>
      <c r="U4071">
        <v>5</v>
      </c>
      <c r="V4071">
        <v>2022</v>
      </c>
      <c r="W4071">
        <v>2</v>
      </c>
      <c r="X4071" t="s">
        <v>9898</v>
      </c>
      <c r="Y4071" t="s">
        <v>9900</v>
      </c>
      <c r="Z4071" t="s">
        <v>9899</v>
      </c>
      <c r="AD4071">
        <f t="shared" si="127"/>
        <v>6</v>
      </c>
    </row>
    <row r="4072" spans="1:30" x14ac:dyDescent="0.25">
      <c r="A4072" t="s">
        <v>4096</v>
      </c>
      <c r="B4072" s="2">
        <v>44957</v>
      </c>
      <c r="C4072" s="2">
        <v>44959</v>
      </c>
      <c r="D4072" t="s">
        <v>5328</v>
      </c>
      <c r="E4072" t="s">
        <v>5828</v>
      </c>
      <c r="F4072" t="s">
        <v>6026</v>
      </c>
      <c r="G4072" t="s">
        <v>6030</v>
      </c>
      <c r="H4072" t="s">
        <v>6033</v>
      </c>
      <c r="I4072" t="s">
        <v>6047</v>
      </c>
      <c r="J4072" t="s">
        <v>6055</v>
      </c>
      <c r="K4072" t="s">
        <v>6063</v>
      </c>
      <c r="L4072" t="s">
        <v>9326</v>
      </c>
      <c r="M4072">
        <v>743.03</v>
      </c>
      <c r="N4072">
        <v>4</v>
      </c>
      <c r="O4072">
        <v>0.18</v>
      </c>
      <c r="P4072">
        <v>-38.78</v>
      </c>
      <c r="Q4072" t="s">
        <v>9896</v>
      </c>
      <c r="R4072">
        <v>2</v>
      </c>
      <c r="S4072" s="5">
        <f t="shared" si="126"/>
        <v>-5.2191701546370942E-2</v>
      </c>
      <c r="T4072">
        <v>185.75749999999999</v>
      </c>
      <c r="U4072">
        <v>1</v>
      </c>
      <c r="V4072">
        <v>2023</v>
      </c>
      <c r="W4072">
        <v>1</v>
      </c>
      <c r="X4072" t="s">
        <v>9898</v>
      </c>
      <c r="Y4072" t="s">
        <v>9900</v>
      </c>
      <c r="Z4072" t="s">
        <v>9899</v>
      </c>
      <c r="AD4072">
        <f t="shared" si="127"/>
        <v>2</v>
      </c>
    </row>
    <row r="4073" spans="1:30" x14ac:dyDescent="0.25">
      <c r="A4073" t="s">
        <v>4097</v>
      </c>
      <c r="B4073" s="2">
        <v>44925</v>
      </c>
      <c r="C4073" s="2">
        <v>44931</v>
      </c>
      <c r="D4073" t="s">
        <v>5194</v>
      </c>
      <c r="E4073" t="s">
        <v>5694</v>
      </c>
      <c r="F4073" t="s">
        <v>6026</v>
      </c>
      <c r="G4073" t="s">
        <v>6030</v>
      </c>
      <c r="H4073" t="s">
        <v>6038</v>
      </c>
      <c r="I4073" t="s">
        <v>6047</v>
      </c>
      <c r="J4073" t="s">
        <v>6054</v>
      </c>
      <c r="K4073" t="s">
        <v>6060</v>
      </c>
      <c r="L4073" t="s">
        <v>9327</v>
      </c>
      <c r="M4073">
        <v>730.86</v>
      </c>
      <c r="N4073">
        <v>7</v>
      </c>
      <c r="O4073">
        <v>0.11</v>
      </c>
      <c r="P4073">
        <v>47.64</v>
      </c>
      <c r="Q4073" t="s">
        <v>9897</v>
      </c>
      <c r="R4073">
        <v>6</v>
      </c>
      <c r="S4073" s="5">
        <f t="shared" si="126"/>
        <v>6.5183482472703391E-2</v>
      </c>
      <c r="T4073">
        <v>104.40857142857141</v>
      </c>
      <c r="U4073">
        <v>12</v>
      </c>
      <c r="V4073">
        <v>2022</v>
      </c>
      <c r="W4073">
        <v>4</v>
      </c>
      <c r="X4073" t="s">
        <v>9899</v>
      </c>
      <c r="Y4073" t="s">
        <v>9901</v>
      </c>
      <c r="Z4073" t="s">
        <v>9899</v>
      </c>
      <c r="AD4073">
        <f t="shared" si="127"/>
        <v>6</v>
      </c>
    </row>
    <row r="4074" spans="1:30" x14ac:dyDescent="0.25">
      <c r="A4074" t="s">
        <v>4098</v>
      </c>
      <c r="B4074" s="2">
        <v>44945</v>
      </c>
      <c r="C4074" s="2">
        <v>44951</v>
      </c>
      <c r="D4074" t="s">
        <v>5241</v>
      </c>
      <c r="E4074" t="s">
        <v>5741</v>
      </c>
      <c r="F4074" t="s">
        <v>6026</v>
      </c>
      <c r="G4074" t="s">
        <v>6029</v>
      </c>
      <c r="H4074" t="s">
        <v>6045</v>
      </c>
      <c r="I4074" t="s">
        <v>6046</v>
      </c>
      <c r="J4074" t="s">
        <v>6055</v>
      </c>
      <c r="K4074" t="s">
        <v>6063</v>
      </c>
      <c r="L4074" t="s">
        <v>8285</v>
      </c>
      <c r="M4074">
        <v>273.22000000000003</v>
      </c>
      <c r="N4074">
        <v>2</v>
      </c>
      <c r="O4074">
        <v>0.27</v>
      </c>
      <c r="P4074">
        <v>-8.84</v>
      </c>
      <c r="Q4074" t="s">
        <v>9897</v>
      </c>
      <c r="R4074">
        <v>6</v>
      </c>
      <c r="S4074" s="5">
        <f t="shared" si="126"/>
        <v>-3.235487885220701E-2</v>
      </c>
      <c r="T4074">
        <v>136.61000000000001</v>
      </c>
      <c r="U4074">
        <v>1</v>
      </c>
      <c r="V4074">
        <v>2023</v>
      </c>
      <c r="W4074">
        <v>1</v>
      </c>
      <c r="X4074" t="s">
        <v>9898</v>
      </c>
      <c r="Y4074" t="s">
        <v>9900</v>
      </c>
      <c r="Z4074" t="s">
        <v>9899</v>
      </c>
      <c r="AD4074">
        <f t="shared" si="127"/>
        <v>6</v>
      </c>
    </row>
    <row r="4075" spans="1:30" x14ac:dyDescent="0.25">
      <c r="A4075" t="s">
        <v>4099</v>
      </c>
      <c r="B4075" s="2">
        <v>45030</v>
      </c>
      <c r="C4075" s="2">
        <v>45037</v>
      </c>
      <c r="D4075" t="s">
        <v>5115</v>
      </c>
      <c r="E4075" t="s">
        <v>5615</v>
      </c>
      <c r="F4075" t="s">
        <v>6027</v>
      </c>
      <c r="G4075" t="s">
        <v>6030</v>
      </c>
      <c r="H4075" t="s">
        <v>6038</v>
      </c>
      <c r="I4075" t="s">
        <v>6047</v>
      </c>
      <c r="J4075" t="s">
        <v>6055</v>
      </c>
      <c r="K4075" t="s">
        <v>6064</v>
      </c>
      <c r="L4075" t="s">
        <v>6488</v>
      </c>
      <c r="M4075">
        <v>234.02</v>
      </c>
      <c r="N4075">
        <v>5</v>
      </c>
      <c r="O4075">
        <v>0.1</v>
      </c>
      <c r="P4075">
        <v>1.19</v>
      </c>
      <c r="Q4075" t="s">
        <v>9896</v>
      </c>
      <c r="R4075">
        <v>7</v>
      </c>
      <c r="S4075" s="5">
        <f t="shared" si="126"/>
        <v>5.0850354670540976E-3</v>
      </c>
      <c r="T4075">
        <v>46.804000000000002</v>
      </c>
      <c r="U4075">
        <v>4</v>
      </c>
      <c r="V4075">
        <v>2023</v>
      </c>
      <c r="W4075">
        <v>2</v>
      </c>
      <c r="X4075" t="s">
        <v>9899</v>
      </c>
      <c r="Y4075" t="s">
        <v>9901</v>
      </c>
      <c r="Z4075" t="s">
        <v>9899</v>
      </c>
      <c r="AD4075">
        <f t="shared" si="127"/>
        <v>7</v>
      </c>
    </row>
    <row r="4076" spans="1:30" x14ac:dyDescent="0.25">
      <c r="A4076" t="s">
        <v>4100</v>
      </c>
      <c r="B4076" s="2">
        <v>45016</v>
      </c>
      <c r="C4076" s="2">
        <v>45023</v>
      </c>
      <c r="D4076" t="s">
        <v>5186</v>
      </c>
      <c r="E4076" t="s">
        <v>5686</v>
      </c>
      <c r="F4076" t="s">
        <v>6028</v>
      </c>
      <c r="G4076" t="s">
        <v>6031</v>
      </c>
      <c r="H4076" t="s">
        <v>6034</v>
      </c>
      <c r="I4076" t="s">
        <v>6050</v>
      </c>
      <c r="J4076" t="s">
        <v>6054</v>
      </c>
      <c r="K4076" t="s">
        <v>6059</v>
      </c>
      <c r="L4076" t="s">
        <v>7459</v>
      </c>
      <c r="M4076">
        <v>852.62</v>
      </c>
      <c r="N4076">
        <v>7</v>
      </c>
      <c r="O4076">
        <v>0.19</v>
      </c>
      <c r="P4076">
        <v>-24.34</v>
      </c>
      <c r="Q4076" t="s">
        <v>9894</v>
      </c>
      <c r="R4076">
        <v>7</v>
      </c>
      <c r="S4076" s="5">
        <f t="shared" si="126"/>
        <v>-2.8547301259646735E-2</v>
      </c>
      <c r="T4076">
        <v>121.80285714285711</v>
      </c>
      <c r="U4076">
        <v>3</v>
      </c>
      <c r="V4076">
        <v>2023</v>
      </c>
      <c r="W4076">
        <v>1</v>
      </c>
      <c r="X4076" t="s">
        <v>9898</v>
      </c>
      <c r="Y4076" t="s">
        <v>9900</v>
      </c>
      <c r="Z4076" t="s">
        <v>9899</v>
      </c>
      <c r="AD4076">
        <f t="shared" si="127"/>
        <v>7</v>
      </c>
    </row>
    <row r="4077" spans="1:30" x14ac:dyDescent="0.25">
      <c r="A4077" t="s">
        <v>4101</v>
      </c>
      <c r="B4077" s="2">
        <v>44732</v>
      </c>
      <c r="C4077" s="2">
        <v>44738</v>
      </c>
      <c r="D4077" t="s">
        <v>5106</v>
      </c>
      <c r="E4077" t="s">
        <v>5606</v>
      </c>
      <c r="F4077" t="s">
        <v>6027</v>
      </c>
      <c r="G4077" t="s">
        <v>6029</v>
      </c>
      <c r="H4077" t="s">
        <v>6036</v>
      </c>
      <c r="I4077" t="s">
        <v>6050</v>
      </c>
      <c r="J4077" t="s">
        <v>6053</v>
      </c>
      <c r="K4077" t="s">
        <v>6058</v>
      </c>
      <c r="L4077" t="s">
        <v>6945</v>
      </c>
      <c r="M4077">
        <v>519.57000000000005</v>
      </c>
      <c r="N4077">
        <v>4</v>
      </c>
      <c r="O4077">
        <v>0.02</v>
      </c>
      <c r="P4077">
        <v>111.07</v>
      </c>
      <c r="Q4077" t="s">
        <v>9893</v>
      </c>
      <c r="R4077">
        <v>6</v>
      </c>
      <c r="S4077" s="5">
        <f t="shared" si="126"/>
        <v>0.21377292761321859</v>
      </c>
      <c r="T4077">
        <v>129.89250000000001</v>
      </c>
      <c r="U4077">
        <v>6</v>
      </c>
      <c r="V4077">
        <v>2022</v>
      </c>
      <c r="W4077">
        <v>2</v>
      </c>
      <c r="X4077" t="s">
        <v>9899</v>
      </c>
      <c r="Y4077" t="s">
        <v>9901</v>
      </c>
      <c r="Z4077" t="s">
        <v>9899</v>
      </c>
      <c r="AD4077">
        <f t="shared" si="127"/>
        <v>6</v>
      </c>
    </row>
    <row r="4078" spans="1:30" x14ac:dyDescent="0.25">
      <c r="A4078" t="s">
        <v>4102</v>
      </c>
      <c r="B4078" s="2">
        <v>45383</v>
      </c>
      <c r="C4078" s="2">
        <v>45388</v>
      </c>
      <c r="D4078" t="s">
        <v>5356</v>
      </c>
      <c r="E4078" t="s">
        <v>5856</v>
      </c>
      <c r="F4078" t="s">
        <v>6028</v>
      </c>
      <c r="G4078" t="s">
        <v>6029</v>
      </c>
      <c r="H4078" t="s">
        <v>6041</v>
      </c>
      <c r="I4078" t="s">
        <v>6049</v>
      </c>
      <c r="J4078" t="s">
        <v>6055</v>
      </c>
      <c r="K4078" t="s">
        <v>6064</v>
      </c>
      <c r="L4078" t="s">
        <v>9328</v>
      </c>
      <c r="M4078">
        <v>1941.21</v>
      </c>
      <c r="N4078">
        <v>6</v>
      </c>
      <c r="O4078">
        <v>0.25</v>
      </c>
      <c r="P4078">
        <v>-6.35</v>
      </c>
      <c r="Q4078" t="s">
        <v>9897</v>
      </c>
      <c r="R4078">
        <v>5</v>
      </c>
      <c r="S4078" s="5">
        <f t="shared" si="126"/>
        <v>-3.2711556194332399E-3</v>
      </c>
      <c r="T4078">
        <v>323.53500000000003</v>
      </c>
      <c r="U4078">
        <v>4</v>
      </c>
      <c r="V4078">
        <v>2024</v>
      </c>
      <c r="W4078">
        <v>2</v>
      </c>
      <c r="X4078" t="s">
        <v>9898</v>
      </c>
      <c r="Y4078" t="s">
        <v>9900</v>
      </c>
      <c r="Z4078" t="s">
        <v>9898</v>
      </c>
      <c r="AD4078">
        <f t="shared" si="127"/>
        <v>5</v>
      </c>
    </row>
    <row r="4079" spans="1:30" x14ac:dyDescent="0.25">
      <c r="A4079" t="s">
        <v>4103</v>
      </c>
      <c r="B4079" s="2">
        <v>45192</v>
      </c>
      <c r="C4079" s="2">
        <v>45195</v>
      </c>
      <c r="D4079" t="s">
        <v>5141</v>
      </c>
      <c r="E4079" t="s">
        <v>5641</v>
      </c>
      <c r="F4079" t="s">
        <v>6027</v>
      </c>
      <c r="G4079" t="s">
        <v>6029</v>
      </c>
      <c r="H4079" t="s">
        <v>6036</v>
      </c>
      <c r="I4079" t="s">
        <v>6050</v>
      </c>
      <c r="J4079" t="s">
        <v>6055</v>
      </c>
      <c r="K4079" t="s">
        <v>6064</v>
      </c>
      <c r="L4079" t="s">
        <v>9329</v>
      </c>
      <c r="M4079">
        <v>394.51</v>
      </c>
      <c r="N4079">
        <v>7</v>
      </c>
      <c r="O4079">
        <v>0.24</v>
      </c>
      <c r="P4079">
        <v>-44.23</v>
      </c>
      <c r="Q4079" t="s">
        <v>9897</v>
      </c>
      <c r="R4079">
        <v>3</v>
      </c>
      <c r="S4079" s="5">
        <f t="shared" si="126"/>
        <v>-0.11211376137487009</v>
      </c>
      <c r="T4079">
        <v>56.35857142857143</v>
      </c>
      <c r="U4079">
        <v>9</v>
      </c>
      <c r="V4079">
        <v>2023</v>
      </c>
      <c r="W4079">
        <v>3</v>
      </c>
      <c r="X4079" t="s">
        <v>9898</v>
      </c>
      <c r="Y4079" t="s">
        <v>9900</v>
      </c>
      <c r="Z4079" t="s">
        <v>9899</v>
      </c>
      <c r="AD4079">
        <f t="shared" si="127"/>
        <v>3</v>
      </c>
    </row>
    <row r="4080" spans="1:30" x14ac:dyDescent="0.25">
      <c r="A4080" t="s">
        <v>4104</v>
      </c>
      <c r="B4080" s="2">
        <v>45179</v>
      </c>
      <c r="C4080" s="2">
        <v>45183</v>
      </c>
      <c r="D4080" t="s">
        <v>5071</v>
      </c>
      <c r="E4080" t="s">
        <v>5571</v>
      </c>
      <c r="F4080" t="s">
        <v>6026</v>
      </c>
      <c r="G4080" t="s">
        <v>6031</v>
      </c>
      <c r="H4080" t="s">
        <v>6040</v>
      </c>
      <c r="I4080" t="s">
        <v>6050</v>
      </c>
      <c r="J4080" t="s">
        <v>6055</v>
      </c>
      <c r="K4080" t="s">
        <v>6064</v>
      </c>
      <c r="L4080" t="s">
        <v>6467</v>
      </c>
      <c r="M4080">
        <v>1438.72</v>
      </c>
      <c r="N4080">
        <v>1</v>
      </c>
      <c r="O4080">
        <v>0.25</v>
      </c>
      <c r="P4080">
        <v>-144.07</v>
      </c>
      <c r="Q4080" t="s">
        <v>9893</v>
      </c>
      <c r="R4080">
        <v>4</v>
      </c>
      <c r="S4080" s="5">
        <f t="shared" si="126"/>
        <v>-0.10013762233096085</v>
      </c>
      <c r="T4080">
        <v>1438.72</v>
      </c>
      <c r="U4080">
        <v>9</v>
      </c>
      <c r="V4080">
        <v>2023</v>
      </c>
      <c r="W4080">
        <v>3</v>
      </c>
      <c r="X4080" t="s">
        <v>9898</v>
      </c>
      <c r="Y4080" t="s">
        <v>9900</v>
      </c>
      <c r="Z4080" t="s">
        <v>9898</v>
      </c>
      <c r="AD4080">
        <f t="shared" si="127"/>
        <v>4</v>
      </c>
    </row>
    <row r="4081" spans="1:30" x14ac:dyDescent="0.25">
      <c r="A4081" t="s">
        <v>4105</v>
      </c>
      <c r="B4081" s="2">
        <v>44978</v>
      </c>
      <c r="C4081" s="2">
        <v>44980</v>
      </c>
      <c r="D4081" t="s">
        <v>5185</v>
      </c>
      <c r="E4081" t="s">
        <v>5685</v>
      </c>
      <c r="F4081" t="s">
        <v>6028</v>
      </c>
      <c r="G4081" t="s">
        <v>6029</v>
      </c>
      <c r="H4081" t="s">
        <v>6044</v>
      </c>
      <c r="I4081" t="s">
        <v>6050</v>
      </c>
      <c r="J4081" t="s">
        <v>6054</v>
      </c>
      <c r="K4081" t="s">
        <v>6062</v>
      </c>
      <c r="L4081" t="s">
        <v>7060</v>
      </c>
      <c r="M4081">
        <v>315.69</v>
      </c>
      <c r="N4081">
        <v>6</v>
      </c>
      <c r="O4081">
        <v>0.08</v>
      </c>
      <c r="P4081">
        <v>67.42</v>
      </c>
      <c r="Q4081" t="s">
        <v>9893</v>
      </c>
      <c r="R4081">
        <v>2</v>
      </c>
      <c r="S4081" s="5">
        <f t="shared" si="126"/>
        <v>0.21356393930754855</v>
      </c>
      <c r="T4081">
        <v>52.615000000000002</v>
      </c>
      <c r="U4081">
        <v>2</v>
      </c>
      <c r="V4081">
        <v>2023</v>
      </c>
      <c r="W4081">
        <v>1</v>
      </c>
      <c r="X4081" t="s">
        <v>9899</v>
      </c>
      <c r="Y4081" t="s">
        <v>9901</v>
      </c>
      <c r="Z4081" t="s">
        <v>9899</v>
      </c>
      <c r="AD4081">
        <f t="shared" si="127"/>
        <v>2</v>
      </c>
    </row>
    <row r="4082" spans="1:30" x14ac:dyDescent="0.25">
      <c r="A4082" t="s">
        <v>4106</v>
      </c>
      <c r="B4082" s="2">
        <v>44740</v>
      </c>
      <c r="C4082" s="2">
        <v>44745</v>
      </c>
      <c r="D4082" t="s">
        <v>5247</v>
      </c>
      <c r="E4082" t="s">
        <v>5747</v>
      </c>
      <c r="F4082" t="s">
        <v>6026</v>
      </c>
      <c r="G4082" t="s">
        <v>6030</v>
      </c>
      <c r="H4082" t="s">
        <v>6039</v>
      </c>
      <c r="I4082" t="s">
        <v>6051</v>
      </c>
      <c r="J4082" t="s">
        <v>6053</v>
      </c>
      <c r="K4082" t="s">
        <v>6058</v>
      </c>
      <c r="L4082" t="s">
        <v>9330</v>
      </c>
      <c r="M4082">
        <v>1292.07</v>
      </c>
      <c r="N4082">
        <v>8</v>
      </c>
      <c r="O4082">
        <v>0</v>
      </c>
      <c r="P4082">
        <v>301.67</v>
      </c>
      <c r="Q4082" t="s">
        <v>9894</v>
      </c>
      <c r="R4082">
        <v>5</v>
      </c>
      <c r="S4082" s="5">
        <f t="shared" si="126"/>
        <v>0.23347806233408408</v>
      </c>
      <c r="T4082">
        <v>161.50874999999999</v>
      </c>
      <c r="U4082">
        <v>6</v>
      </c>
      <c r="V4082">
        <v>2022</v>
      </c>
      <c r="W4082">
        <v>2</v>
      </c>
      <c r="X4082" t="s">
        <v>9899</v>
      </c>
      <c r="Y4082" t="s">
        <v>9901</v>
      </c>
      <c r="Z4082" t="s">
        <v>9898</v>
      </c>
      <c r="AD4082">
        <f t="shared" si="127"/>
        <v>5</v>
      </c>
    </row>
    <row r="4083" spans="1:30" x14ac:dyDescent="0.25">
      <c r="A4083" t="s">
        <v>4107</v>
      </c>
      <c r="B4083" s="2">
        <v>44946</v>
      </c>
      <c r="C4083" s="2">
        <v>44953</v>
      </c>
      <c r="D4083" t="s">
        <v>5112</v>
      </c>
      <c r="E4083" t="s">
        <v>5612</v>
      </c>
      <c r="F4083" t="s">
        <v>6026</v>
      </c>
      <c r="G4083" t="s">
        <v>6030</v>
      </c>
      <c r="H4083" t="s">
        <v>6038</v>
      </c>
      <c r="I4083" t="s">
        <v>6051</v>
      </c>
      <c r="J4083" t="s">
        <v>6053</v>
      </c>
      <c r="K4083" t="s">
        <v>6056</v>
      </c>
      <c r="L4083" t="s">
        <v>7428</v>
      </c>
      <c r="M4083">
        <v>1788.2</v>
      </c>
      <c r="N4083">
        <v>7</v>
      </c>
      <c r="O4083">
        <v>0.04</v>
      </c>
      <c r="P4083">
        <v>368.73</v>
      </c>
      <c r="Q4083" t="s">
        <v>9897</v>
      </c>
      <c r="R4083">
        <v>7</v>
      </c>
      <c r="S4083" s="5">
        <f t="shared" si="126"/>
        <v>0.20620176714014093</v>
      </c>
      <c r="T4083">
        <v>255.45714285714291</v>
      </c>
      <c r="U4083">
        <v>1</v>
      </c>
      <c r="V4083">
        <v>2023</v>
      </c>
      <c r="W4083">
        <v>1</v>
      </c>
      <c r="X4083" t="s">
        <v>9899</v>
      </c>
      <c r="Y4083" t="s">
        <v>9901</v>
      </c>
      <c r="Z4083" t="s">
        <v>9898</v>
      </c>
      <c r="AD4083">
        <f t="shared" si="127"/>
        <v>7</v>
      </c>
    </row>
    <row r="4084" spans="1:30" x14ac:dyDescent="0.25">
      <c r="A4084" t="s">
        <v>4108</v>
      </c>
      <c r="B4084" s="2">
        <v>44653</v>
      </c>
      <c r="C4084" s="2">
        <v>44655</v>
      </c>
      <c r="D4084" t="s">
        <v>5442</v>
      </c>
      <c r="E4084" t="s">
        <v>5942</v>
      </c>
      <c r="F4084" t="s">
        <v>6028</v>
      </c>
      <c r="G4084" t="s">
        <v>6029</v>
      </c>
      <c r="H4084" t="s">
        <v>6044</v>
      </c>
      <c r="I4084" t="s">
        <v>6049</v>
      </c>
      <c r="J4084" t="s">
        <v>6053</v>
      </c>
      <c r="K4084" t="s">
        <v>6058</v>
      </c>
      <c r="L4084" t="s">
        <v>9331</v>
      </c>
      <c r="M4084">
        <v>873.98</v>
      </c>
      <c r="N4084">
        <v>3</v>
      </c>
      <c r="O4084">
        <v>0.12</v>
      </c>
      <c r="P4084">
        <v>-6.07</v>
      </c>
      <c r="Q4084" t="s">
        <v>9894</v>
      </c>
      <c r="R4084">
        <v>2</v>
      </c>
      <c r="S4084" s="5">
        <f t="shared" si="126"/>
        <v>-6.9452390214879058E-3</v>
      </c>
      <c r="T4084">
        <v>291.32666666666671</v>
      </c>
      <c r="U4084">
        <v>4</v>
      </c>
      <c r="V4084">
        <v>2022</v>
      </c>
      <c r="W4084">
        <v>2</v>
      </c>
      <c r="X4084" t="s">
        <v>9898</v>
      </c>
      <c r="Y4084" t="s">
        <v>9901</v>
      </c>
      <c r="Z4084" t="s">
        <v>9899</v>
      </c>
      <c r="AD4084">
        <f t="shared" si="127"/>
        <v>2</v>
      </c>
    </row>
    <row r="4085" spans="1:30" x14ac:dyDescent="0.25">
      <c r="A4085" t="s">
        <v>4109</v>
      </c>
      <c r="B4085" s="2">
        <v>45076</v>
      </c>
      <c r="C4085" s="2">
        <v>45082</v>
      </c>
      <c r="D4085" t="s">
        <v>5381</v>
      </c>
      <c r="E4085" t="s">
        <v>5881</v>
      </c>
      <c r="F4085" t="s">
        <v>6026</v>
      </c>
      <c r="G4085" t="s">
        <v>6031</v>
      </c>
      <c r="H4085" t="s">
        <v>6040</v>
      </c>
      <c r="I4085" t="s">
        <v>6052</v>
      </c>
      <c r="J4085" t="s">
        <v>6054</v>
      </c>
      <c r="K4085" t="s">
        <v>6059</v>
      </c>
      <c r="L4085" t="s">
        <v>8054</v>
      </c>
      <c r="M4085">
        <v>1515.2</v>
      </c>
      <c r="N4085">
        <v>1</v>
      </c>
      <c r="O4085">
        <v>0.04</v>
      </c>
      <c r="P4085">
        <v>283.8</v>
      </c>
      <c r="Q4085" t="s">
        <v>9896</v>
      </c>
      <c r="R4085">
        <v>6</v>
      </c>
      <c r="S4085" s="5">
        <f t="shared" si="126"/>
        <v>0.18730200633579724</v>
      </c>
      <c r="T4085">
        <v>1515.2</v>
      </c>
      <c r="U4085">
        <v>5</v>
      </c>
      <c r="V4085">
        <v>2023</v>
      </c>
      <c r="W4085">
        <v>2</v>
      </c>
      <c r="X4085" t="s">
        <v>9899</v>
      </c>
      <c r="Y4085" t="s">
        <v>9901</v>
      </c>
      <c r="Z4085" t="s">
        <v>9898</v>
      </c>
      <c r="AD4085">
        <f t="shared" si="127"/>
        <v>6</v>
      </c>
    </row>
    <row r="4086" spans="1:30" x14ac:dyDescent="0.25">
      <c r="A4086" t="s">
        <v>4110</v>
      </c>
      <c r="B4086" s="2">
        <v>45211</v>
      </c>
      <c r="C4086" s="2">
        <v>45217</v>
      </c>
      <c r="D4086" t="s">
        <v>5173</v>
      </c>
      <c r="E4086" t="s">
        <v>5673</v>
      </c>
      <c r="F4086" t="s">
        <v>6028</v>
      </c>
      <c r="G4086" t="s">
        <v>6029</v>
      </c>
      <c r="H4086" t="s">
        <v>6032</v>
      </c>
      <c r="I4086" t="s">
        <v>6046</v>
      </c>
      <c r="J4086" t="s">
        <v>6055</v>
      </c>
      <c r="K4086" t="s">
        <v>6063</v>
      </c>
      <c r="L4086" t="s">
        <v>9332</v>
      </c>
      <c r="M4086">
        <v>727.57</v>
      </c>
      <c r="N4086">
        <v>8</v>
      </c>
      <c r="O4086">
        <v>0.02</v>
      </c>
      <c r="P4086">
        <v>79.86</v>
      </c>
      <c r="Q4086" t="s">
        <v>9897</v>
      </c>
      <c r="R4086">
        <v>6</v>
      </c>
      <c r="S4086" s="5">
        <f t="shared" si="126"/>
        <v>0.10976263452313866</v>
      </c>
      <c r="T4086">
        <v>90.946250000000006</v>
      </c>
      <c r="U4086">
        <v>10</v>
      </c>
      <c r="V4086">
        <v>2023</v>
      </c>
      <c r="W4086">
        <v>4</v>
      </c>
      <c r="X4086" t="s">
        <v>9899</v>
      </c>
      <c r="Y4086" t="s">
        <v>9901</v>
      </c>
      <c r="Z4086" t="s">
        <v>9899</v>
      </c>
      <c r="AD4086">
        <f t="shared" si="127"/>
        <v>6</v>
      </c>
    </row>
    <row r="4087" spans="1:30" x14ac:dyDescent="0.25">
      <c r="A4087" t="s">
        <v>4111</v>
      </c>
      <c r="B4087" s="2">
        <v>45064</v>
      </c>
      <c r="C4087" s="2">
        <v>45071</v>
      </c>
      <c r="D4087" t="s">
        <v>5269</v>
      </c>
      <c r="E4087" t="s">
        <v>5769</v>
      </c>
      <c r="F4087" t="s">
        <v>6028</v>
      </c>
      <c r="G4087" t="s">
        <v>6030</v>
      </c>
      <c r="H4087" t="s">
        <v>6033</v>
      </c>
      <c r="I4087" t="s">
        <v>6051</v>
      </c>
      <c r="J4087" t="s">
        <v>6055</v>
      </c>
      <c r="K4087" t="s">
        <v>6064</v>
      </c>
      <c r="L4087" t="s">
        <v>6575</v>
      </c>
      <c r="M4087">
        <v>467.26</v>
      </c>
      <c r="N4087">
        <v>2</v>
      </c>
      <c r="O4087">
        <v>0.17</v>
      </c>
      <c r="P4087">
        <v>27.03</v>
      </c>
      <c r="Q4087" t="s">
        <v>9893</v>
      </c>
      <c r="R4087">
        <v>7</v>
      </c>
      <c r="S4087" s="5">
        <f t="shared" si="126"/>
        <v>5.7847879125112363E-2</v>
      </c>
      <c r="T4087">
        <v>233.63</v>
      </c>
      <c r="U4087">
        <v>5</v>
      </c>
      <c r="V4087">
        <v>2023</v>
      </c>
      <c r="W4087">
        <v>2</v>
      </c>
      <c r="X4087" t="s">
        <v>9899</v>
      </c>
      <c r="Y4087" t="s">
        <v>9900</v>
      </c>
      <c r="Z4087" t="s">
        <v>9899</v>
      </c>
      <c r="AD4087">
        <f t="shared" si="127"/>
        <v>7</v>
      </c>
    </row>
    <row r="4088" spans="1:30" x14ac:dyDescent="0.25">
      <c r="A4088" t="s">
        <v>4112</v>
      </c>
      <c r="B4088" s="2">
        <v>45354</v>
      </c>
      <c r="C4088" s="2">
        <v>45361</v>
      </c>
      <c r="D4088" t="s">
        <v>5506</v>
      </c>
      <c r="E4088" t="s">
        <v>6006</v>
      </c>
      <c r="F4088" t="s">
        <v>6028</v>
      </c>
      <c r="G4088" t="s">
        <v>6030</v>
      </c>
      <c r="H4088" t="s">
        <v>6039</v>
      </c>
      <c r="I4088" t="s">
        <v>6047</v>
      </c>
      <c r="J4088" t="s">
        <v>6053</v>
      </c>
      <c r="K4088" t="s">
        <v>6057</v>
      </c>
      <c r="L4088" t="s">
        <v>9333</v>
      </c>
      <c r="M4088">
        <v>977.54</v>
      </c>
      <c r="N4088">
        <v>4</v>
      </c>
      <c r="O4088">
        <v>0.21</v>
      </c>
      <c r="P4088">
        <v>-25.76</v>
      </c>
      <c r="Q4088" t="s">
        <v>9896</v>
      </c>
      <c r="R4088">
        <v>7</v>
      </c>
      <c r="S4088" s="5">
        <f t="shared" si="126"/>
        <v>-2.6351862839372305E-2</v>
      </c>
      <c r="T4088">
        <v>244.38499999999999</v>
      </c>
      <c r="U4088">
        <v>3</v>
      </c>
      <c r="V4088">
        <v>2024</v>
      </c>
      <c r="W4088">
        <v>1</v>
      </c>
      <c r="X4088" t="s">
        <v>9898</v>
      </c>
      <c r="Y4088" t="s">
        <v>9900</v>
      </c>
      <c r="Z4088" t="s">
        <v>9899</v>
      </c>
      <c r="AD4088">
        <f t="shared" si="127"/>
        <v>7</v>
      </c>
    </row>
    <row r="4089" spans="1:30" x14ac:dyDescent="0.25">
      <c r="A4089" t="s">
        <v>4113</v>
      </c>
      <c r="B4089" s="2">
        <v>44715</v>
      </c>
      <c r="C4089" s="2">
        <v>44719</v>
      </c>
      <c r="D4089" t="s">
        <v>5146</v>
      </c>
      <c r="E4089" t="s">
        <v>5646</v>
      </c>
      <c r="F4089" t="s">
        <v>6027</v>
      </c>
      <c r="G4089" t="s">
        <v>6029</v>
      </c>
      <c r="H4089" t="s">
        <v>6032</v>
      </c>
      <c r="I4089" t="s">
        <v>6046</v>
      </c>
      <c r="J4089" t="s">
        <v>6053</v>
      </c>
      <c r="K4089" t="s">
        <v>6056</v>
      </c>
      <c r="L4089" t="s">
        <v>9310</v>
      </c>
      <c r="M4089">
        <v>1740.4</v>
      </c>
      <c r="N4089">
        <v>6</v>
      </c>
      <c r="O4089">
        <v>0.04</v>
      </c>
      <c r="P4089">
        <v>185.36</v>
      </c>
      <c r="Q4089" t="s">
        <v>9894</v>
      </c>
      <c r="R4089">
        <v>4</v>
      </c>
      <c r="S4089" s="5">
        <f t="shared" si="126"/>
        <v>0.10650425189611584</v>
      </c>
      <c r="T4089">
        <v>290.06666666666672</v>
      </c>
      <c r="U4089">
        <v>6</v>
      </c>
      <c r="V4089">
        <v>2022</v>
      </c>
      <c r="W4089">
        <v>2</v>
      </c>
      <c r="X4089" t="s">
        <v>9899</v>
      </c>
      <c r="Y4089" t="s">
        <v>9901</v>
      </c>
      <c r="Z4089" t="s">
        <v>9898</v>
      </c>
      <c r="AD4089">
        <f t="shared" si="127"/>
        <v>4</v>
      </c>
    </row>
    <row r="4090" spans="1:30" x14ac:dyDescent="0.25">
      <c r="A4090" t="s">
        <v>4114</v>
      </c>
      <c r="B4090" s="2">
        <v>45398</v>
      </c>
      <c r="C4090" s="2">
        <v>45401</v>
      </c>
      <c r="D4090" t="s">
        <v>5068</v>
      </c>
      <c r="E4090" t="s">
        <v>5568</v>
      </c>
      <c r="F4090" t="s">
        <v>6028</v>
      </c>
      <c r="G4090" t="s">
        <v>6029</v>
      </c>
      <c r="H4090" t="s">
        <v>6045</v>
      </c>
      <c r="I4090" t="s">
        <v>6050</v>
      </c>
      <c r="J4090" t="s">
        <v>6053</v>
      </c>
      <c r="K4090" t="s">
        <v>6057</v>
      </c>
      <c r="L4090" t="s">
        <v>9244</v>
      </c>
      <c r="M4090">
        <v>611.48</v>
      </c>
      <c r="N4090">
        <v>2</v>
      </c>
      <c r="O4090">
        <v>0.02</v>
      </c>
      <c r="P4090">
        <v>133.62</v>
      </c>
      <c r="Q4090" t="s">
        <v>9893</v>
      </c>
      <c r="R4090">
        <v>3</v>
      </c>
      <c r="S4090" s="5">
        <f t="shared" si="126"/>
        <v>0.21851900307450775</v>
      </c>
      <c r="T4090">
        <v>305.74</v>
      </c>
      <c r="U4090">
        <v>4</v>
      </c>
      <c r="V4090">
        <v>2024</v>
      </c>
      <c r="W4090">
        <v>2</v>
      </c>
      <c r="X4090" t="s">
        <v>9899</v>
      </c>
      <c r="Y4090" t="s">
        <v>9901</v>
      </c>
      <c r="Z4090" t="s">
        <v>9899</v>
      </c>
      <c r="AD4090">
        <f t="shared" si="127"/>
        <v>3</v>
      </c>
    </row>
    <row r="4091" spans="1:30" x14ac:dyDescent="0.25">
      <c r="A4091" t="s">
        <v>4115</v>
      </c>
      <c r="B4091" s="2">
        <v>44912</v>
      </c>
      <c r="C4091" s="2">
        <v>44919</v>
      </c>
      <c r="D4091" t="s">
        <v>5503</v>
      </c>
      <c r="E4091" t="s">
        <v>6003</v>
      </c>
      <c r="F4091" t="s">
        <v>6028</v>
      </c>
      <c r="G4091" t="s">
        <v>6031</v>
      </c>
      <c r="H4091" t="s">
        <v>6040</v>
      </c>
      <c r="I4091" t="s">
        <v>6052</v>
      </c>
      <c r="J4091" t="s">
        <v>6054</v>
      </c>
      <c r="K4091" t="s">
        <v>6062</v>
      </c>
      <c r="L4091" t="s">
        <v>7948</v>
      </c>
      <c r="M4091">
        <v>1009.25</v>
      </c>
      <c r="N4091">
        <v>8</v>
      </c>
      <c r="O4091">
        <v>0.18</v>
      </c>
      <c r="P4091">
        <v>74.97</v>
      </c>
      <c r="Q4091" t="s">
        <v>9893</v>
      </c>
      <c r="R4091">
        <v>7</v>
      </c>
      <c r="S4091" s="5">
        <f t="shared" si="126"/>
        <v>7.4282883329204852E-2</v>
      </c>
      <c r="T4091">
        <v>126.15625</v>
      </c>
      <c r="U4091">
        <v>12</v>
      </c>
      <c r="V4091">
        <v>2022</v>
      </c>
      <c r="W4091">
        <v>4</v>
      </c>
      <c r="X4091" t="s">
        <v>9899</v>
      </c>
      <c r="Y4091" t="s">
        <v>9900</v>
      </c>
      <c r="Z4091" t="s">
        <v>9898</v>
      </c>
      <c r="AD4091">
        <f t="shared" si="127"/>
        <v>7</v>
      </c>
    </row>
    <row r="4092" spans="1:30" x14ac:dyDescent="0.25">
      <c r="A4092" t="s">
        <v>4116</v>
      </c>
      <c r="B4092" s="2">
        <v>44640</v>
      </c>
      <c r="C4092" s="2">
        <v>44646</v>
      </c>
      <c r="D4092" t="s">
        <v>5477</v>
      </c>
      <c r="E4092" t="s">
        <v>5977</v>
      </c>
      <c r="F4092" t="s">
        <v>6028</v>
      </c>
      <c r="G4092" t="s">
        <v>6029</v>
      </c>
      <c r="H4092" t="s">
        <v>6044</v>
      </c>
      <c r="I4092" t="s">
        <v>6050</v>
      </c>
      <c r="J4092" t="s">
        <v>6053</v>
      </c>
      <c r="K4092" t="s">
        <v>6056</v>
      </c>
      <c r="L4092" t="s">
        <v>9334</v>
      </c>
      <c r="M4092">
        <v>1389.1</v>
      </c>
      <c r="N4092">
        <v>7</v>
      </c>
      <c r="O4092">
        <v>0.3</v>
      </c>
      <c r="P4092">
        <v>-201.42</v>
      </c>
      <c r="Q4092" t="s">
        <v>9896</v>
      </c>
      <c r="R4092">
        <v>6</v>
      </c>
      <c r="S4092" s="5">
        <f t="shared" si="126"/>
        <v>-0.14500035994528832</v>
      </c>
      <c r="T4092">
        <v>198.44285714285709</v>
      </c>
      <c r="U4092">
        <v>3</v>
      </c>
      <c r="V4092">
        <v>2022</v>
      </c>
      <c r="W4092">
        <v>1</v>
      </c>
      <c r="X4092" t="s">
        <v>9898</v>
      </c>
      <c r="Y4092" t="s">
        <v>9900</v>
      </c>
      <c r="Z4092" t="s">
        <v>9898</v>
      </c>
      <c r="AD4092">
        <f t="shared" si="127"/>
        <v>6</v>
      </c>
    </row>
    <row r="4093" spans="1:30" x14ac:dyDescent="0.25">
      <c r="A4093" t="s">
        <v>4117</v>
      </c>
      <c r="B4093" s="2">
        <v>45088</v>
      </c>
      <c r="C4093" s="2">
        <v>45090</v>
      </c>
      <c r="D4093" t="s">
        <v>5098</v>
      </c>
      <c r="E4093" t="s">
        <v>5598</v>
      </c>
      <c r="F4093" t="s">
        <v>6028</v>
      </c>
      <c r="G4093" t="s">
        <v>6031</v>
      </c>
      <c r="H4093" t="s">
        <v>6042</v>
      </c>
      <c r="I4093" t="s">
        <v>6048</v>
      </c>
      <c r="J4093" t="s">
        <v>6053</v>
      </c>
      <c r="K4093" t="s">
        <v>6056</v>
      </c>
      <c r="L4093" t="s">
        <v>9335</v>
      </c>
      <c r="M4093">
        <v>1550.53</v>
      </c>
      <c r="N4093">
        <v>1</v>
      </c>
      <c r="O4093">
        <v>0.01</v>
      </c>
      <c r="P4093">
        <v>336.33</v>
      </c>
      <c r="Q4093" t="s">
        <v>9894</v>
      </c>
      <c r="R4093">
        <v>2</v>
      </c>
      <c r="S4093" s="5">
        <f t="shared" si="126"/>
        <v>0.21691292654769659</v>
      </c>
      <c r="T4093">
        <v>1550.53</v>
      </c>
      <c r="U4093">
        <v>6</v>
      </c>
      <c r="V4093">
        <v>2023</v>
      </c>
      <c r="W4093">
        <v>2</v>
      </c>
      <c r="X4093" t="s">
        <v>9899</v>
      </c>
      <c r="Y4093" t="s">
        <v>9901</v>
      </c>
      <c r="Z4093" t="s">
        <v>9898</v>
      </c>
      <c r="AD4093">
        <f t="shared" si="127"/>
        <v>2</v>
      </c>
    </row>
    <row r="4094" spans="1:30" x14ac:dyDescent="0.25">
      <c r="A4094" t="s">
        <v>4118</v>
      </c>
      <c r="B4094" s="2">
        <v>44590</v>
      </c>
      <c r="C4094" s="2">
        <v>44596</v>
      </c>
      <c r="D4094" t="s">
        <v>5321</v>
      </c>
      <c r="E4094" t="s">
        <v>5821</v>
      </c>
      <c r="F4094" t="s">
        <v>6026</v>
      </c>
      <c r="G4094" t="s">
        <v>6031</v>
      </c>
      <c r="H4094" t="s">
        <v>6043</v>
      </c>
      <c r="I4094" t="s">
        <v>6048</v>
      </c>
      <c r="J4094" t="s">
        <v>6053</v>
      </c>
      <c r="K4094" t="s">
        <v>6058</v>
      </c>
      <c r="L4094" t="s">
        <v>8218</v>
      </c>
      <c r="M4094">
        <v>634.91999999999996</v>
      </c>
      <c r="N4094">
        <v>8</v>
      </c>
      <c r="O4094">
        <v>0.16</v>
      </c>
      <c r="P4094">
        <v>63.79</v>
      </c>
      <c r="Q4094" t="s">
        <v>9895</v>
      </c>
      <c r="R4094">
        <v>6</v>
      </c>
      <c r="S4094" s="5">
        <f t="shared" si="126"/>
        <v>0.10046935046935047</v>
      </c>
      <c r="T4094">
        <v>79.364999999999995</v>
      </c>
      <c r="U4094">
        <v>1</v>
      </c>
      <c r="V4094">
        <v>2022</v>
      </c>
      <c r="W4094">
        <v>1</v>
      </c>
      <c r="X4094" t="s">
        <v>9899</v>
      </c>
      <c r="Y4094" t="s">
        <v>9900</v>
      </c>
      <c r="Z4094" t="s">
        <v>9899</v>
      </c>
      <c r="AD4094">
        <f t="shared" si="127"/>
        <v>6</v>
      </c>
    </row>
    <row r="4095" spans="1:30" x14ac:dyDescent="0.25">
      <c r="A4095" t="s">
        <v>4119</v>
      </c>
      <c r="B4095" s="2">
        <v>44908</v>
      </c>
      <c r="C4095" s="2">
        <v>44911</v>
      </c>
      <c r="D4095" t="s">
        <v>5208</v>
      </c>
      <c r="E4095" t="s">
        <v>5708</v>
      </c>
      <c r="F4095" t="s">
        <v>6027</v>
      </c>
      <c r="G4095" t="s">
        <v>6030</v>
      </c>
      <c r="H4095" t="s">
        <v>6035</v>
      </c>
      <c r="I4095" t="s">
        <v>6047</v>
      </c>
      <c r="J4095" t="s">
        <v>6054</v>
      </c>
      <c r="K4095" t="s">
        <v>6059</v>
      </c>
      <c r="L4095" t="s">
        <v>9336</v>
      </c>
      <c r="M4095">
        <v>238.25</v>
      </c>
      <c r="N4095">
        <v>1</v>
      </c>
      <c r="O4095">
        <v>0.08</v>
      </c>
      <c r="P4095">
        <v>28.34</v>
      </c>
      <c r="Q4095" t="s">
        <v>9897</v>
      </c>
      <c r="R4095">
        <v>3</v>
      </c>
      <c r="S4095" s="5">
        <f t="shared" si="126"/>
        <v>0.11895068205666316</v>
      </c>
      <c r="T4095">
        <v>238.25</v>
      </c>
      <c r="U4095">
        <v>12</v>
      </c>
      <c r="V4095">
        <v>2022</v>
      </c>
      <c r="W4095">
        <v>4</v>
      </c>
      <c r="X4095" t="s">
        <v>9899</v>
      </c>
      <c r="Y4095" t="s">
        <v>9901</v>
      </c>
      <c r="Z4095" t="s">
        <v>9899</v>
      </c>
      <c r="AD4095">
        <f t="shared" si="127"/>
        <v>3</v>
      </c>
    </row>
    <row r="4096" spans="1:30" x14ac:dyDescent="0.25">
      <c r="A4096" t="s">
        <v>4120</v>
      </c>
      <c r="B4096" s="2">
        <v>44684</v>
      </c>
      <c r="C4096" s="2">
        <v>44687</v>
      </c>
      <c r="D4096" t="s">
        <v>5460</v>
      </c>
      <c r="E4096" t="s">
        <v>5960</v>
      </c>
      <c r="F4096" t="s">
        <v>6028</v>
      </c>
      <c r="G4096" t="s">
        <v>6030</v>
      </c>
      <c r="H4096" t="s">
        <v>6035</v>
      </c>
      <c r="I4096" t="s">
        <v>6047</v>
      </c>
      <c r="J4096" t="s">
        <v>6054</v>
      </c>
      <c r="K4096" t="s">
        <v>6062</v>
      </c>
      <c r="L4096" t="s">
        <v>9337</v>
      </c>
      <c r="M4096">
        <v>1674.07</v>
      </c>
      <c r="N4096">
        <v>3</v>
      </c>
      <c r="O4096">
        <v>0.04</v>
      </c>
      <c r="P4096">
        <v>338.11</v>
      </c>
      <c r="Q4096" t="s">
        <v>9897</v>
      </c>
      <c r="R4096">
        <v>3</v>
      </c>
      <c r="S4096" s="5">
        <f t="shared" si="126"/>
        <v>0.20196885434898185</v>
      </c>
      <c r="T4096">
        <v>558.02333333333331</v>
      </c>
      <c r="U4096">
        <v>5</v>
      </c>
      <c r="V4096">
        <v>2022</v>
      </c>
      <c r="W4096">
        <v>2</v>
      </c>
      <c r="X4096" t="s">
        <v>9899</v>
      </c>
      <c r="Y4096" t="s">
        <v>9901</v>
      </c>
      <c r="Z4096" t="s">
        <v>9898</v>
      </c>
      <c r="AD4096">
        <f t="shared" si="127"/>
        <v>3</v>
      </c>
    </row>
    <row r="4097" spans="1:30" x14ac:dyDescent="0.25">
      <c r="A4097" t="s">
        <v>4121</v>
      </c>
      <c r="B4097" s="2">
        <v>45386</v>
      </c>
      <c r="C4097" s="2">
        <v>45393</v>
      </c>
      <c r="D4097" t="s">
        <v>5082</v>
      </c>
      <c r="E4097" t="s">
        <v>5582</v>
      </c>
      <c r="F4097" t="s">
        <v>6027</v>
      </c>
      <c r="G4097" t="s">
        <v>6030</v>
      </c>
      <c r="H4097" t="s">
        <v>6038</v>
      </c>
      <c r="I4097" t="s">
        <v>6047</v>
      </c>
      <c r="J4097" t="s">
        <v>6053</v>
      </c>
      <c r="K4097" t="s">
        <v>6056</v>
      </c>
      <c r="L4097" t="s">
        <v>9338</v>
      </c>
      <c r="M4097">
        <v>1309.82</v>
      </c>
      <c r="N4097">
        <v>3</v>
      </c>
      <c r="O4097">
        <v>0.21</v>
      </c>
      <c r="P4097">
        <v>-25.61</v>
      </c>
      <c r="Q4097" t="s">
        <v>9894</v>
      </c>
      <c r="R4097">
        <v>7</v>
      </c>
      <c r="S4097" s="5">
        <f t="shared" si="126"/>
        <v>-1.9552304896856058E-2</v>
      </c>
      <c r="T4097">
        <v>436.60666666666663</v>
      </c>
      <c r="U4097">
        <v>4</v>
      </c>
      <c r="V4097">
        <v>2024</v>
      </c>
      <c r="W4097">
        <v>2</v>
      </c>
      <c r="X4097" t="s">
        <v>9898</v>
      </c>
      <c r="Y4097" t="s">
        <v>9900</v>
      </c>
      <c r="Z4097" t="s">
        <v>9898</v>
      </c>
      <c r="AD4097">
        <f t="shared" si="127"/>
        <v>7</v>
      </c>
    </row>
    <row r="4098" spans="1:30" x14ac:dyDescent="0.25">
      <c r="A4098" t="s">
        <v>4122</v>
      </c>
      <c r="B4098" s="2">
        <v>45165</v>
      </c>
      <c r="C4098" s="2">
        <v>45166</v>
      </c>
      <c r="D4098" t="s">
        <v>5182</v>
      </c>
      <c r="E4098" t="s">
        <v>5682</v>
      </c>
      <c r="F4098" t="s">
        <v>6028</v>
      </c>
      <c r="G4098" t="s">
        <v>6030</v>
      </c>
      <c r="H4098" t="s">
        <v>6038</v>
      </c>
      <c r="I4098" t="s">
        <v>6051</v>
      </c>
      <c r="J4098" t="s">
        <v>6055</v>
      </c>
      <c r="K4098" t="s">
        <v>6061</v>
      </c>
      <c r="L4098" t="s">
        <v>6089</v>
      </c>
      <c r="M4098">
        <v>1585.71</v>
      </c>
      <c r="N4098">
        <v>2</v>
      </c>
      <c r="O4098">
        <v>0.04</v>
      </c>
      <c r="P4098">
        <v>302.10000000000002</v>
      </c>
      <c r="Q4098" t="s">
        <v>9897</v>
      </c>
      <c r="R4098">
        <v>1</v>
      </c>
      <c r="S4098" s="5">
        <f t="shared" si="126"/>
        <v>0.19051402841629303</v>
      </c>
      <c r="T4098">
        <v>792.85500000000002</v>
      </c>
      <c r="U4098">
        <v>8</v>
      </c>
      <c r="V4098">
        <v>2023</v>
      </c>
      <c r="W4098">
        <v>3</v>
      </c>
      <c r="X4098" t="s">
        <v>9899</v>
      </c>
      <c r="Y4098" t="s">
        <v>9901</v>
      </c>
      <c r="Z4098" t="s">
        <v>9898</v>
      </c>
      <c r="AD4098">
        <f t="shared" si="127"/>
        <v>1</v>
      </c>
    </row>
    <row r="4099" spans="1:30" x14ac:dyDescent="0.25">
      <c r="A4099" t="s">
        <v>4123</v>
      </c>
      <c r="B4099" s="2">
        <v>45324</v>
      </c>
      <c r="C4099" s="2">
        <v>45327</v>
      </c>
      <c r="D4099" t="s">
        <v>5030</v>
      </c>
      <c r="E4099" t="s">
        <v>5530</v>
      </c>
      <c r="F4099" t="s">
        <v>6027</v>
      </c>
      <c r="G4099" t="s">
        <v>6029</v>
      </c>
      <c r="H4099" t="s">
        <v>6041</v>
      </c>
      <c r="I4099" t="s">
        <v>6046</v>
      </c>
      <c r="J4099" t="s">
        <v>6053</v>
      </c>
      <c r="K4099" t="s">
        <v>6058</v>
      </c>
      <c r="L4099" t="s">
        <v>9339</v>
      </c>
      <c r="M4099">
        <v>1570.59</v>
      </c>
      <c r="N4099">
        <v>5</v>
      </c>
      <c r="O4099">
        <v>0.17</v>
      </c>
      <c r="P4099">
        <v>187.12</v>
      </c>
      <c r="Q4099" t="s">
        <v>9894</v>
      </c>
      <c r="R4099">
        <v>3</v>
      </c>
      <c r="S4099" s="5">
        <f t="shared" ref="S4099:S4162" si="128">P4099/M4099</f>
        <v>0.11913994104126475</v>
      </c>
      <c r="T4099">
        <v>314.11799999999999</v>
      </c>
      <c r="U4099">
        <v>2</v>
      </c>
      <c r="V4099">
        <v>2024</v>
      </c>
      <c r="W4099">
        <v>1</v>
      </c>
      <c r="X4099" t="s">
        <v>9899</v>
      </c>
      <c r="Y4099" t="s">
        <v>9900</v>
      </c>
      <c r="Z4099" t="s">
        <v>9898</v>
      </c>
      <c r="AD4099">
        <f t="shared" ref="AD4099:AD4162" si="129">C4099-B4099</f>
        <v>3</v>
      </c>
    </row>
    <row r="4100" spans="1:30" x14ac:dyDescent="0.25">
      <c r="A4100" t="s">
        <v>4124</v>
      </c>
      <c r="B4100" s="2">
        <v>45022</v>
      </c>
      <c r="C4100" s="2">
        <v>45025</v>
      </c>
      <c r="D4100" t="s">
        <v>5204</v>
      </c>
      <c r="E4100" t="s">
        <v>5704</v>
      </c>
      <c r="F4100" t="s">
        <v>6026</v>
      </c>
      <c r="G4100" t="s">
        <v>6031</v>
      </c>
      <c r="H4100" t="s">
        <v>6040</v>
      </c>
      <c r="I4100" t="s">
        <v>6052</v>
      </c>
      <c r="J4100" t="s">
        <v>6053</v>
      </c>
      <c r="K4100" t="s">
        <v>6057</v>
      </c>
      <c r="L4100" t="s">
        <v>9340</v>
      </c>
      <c r="M4100">
        <v>146.07</v>
      </c>
      <c r="N4100">
        <v>6</v>
      </c>
      <c r="O4100">
        <v>0.18</v>
      </c>
      <c r="P4100">
        <v>-6.81</v>
      </c>
      <c r="Q4100" t="s">
        <v>9894</v>
      </c>
      <c r="R4100">
        <v>3</v>
      </c>
      <c r="S4100" s="5">
        <f t="shared" si="128"/>
        <v>-4.6621482850688026E-2</v>
      </c>
      <c r="T4100">
        <v>24.344999999999999</v>
      </c>
      <c r="U4100">
        <v>4</v>
      </c>
      <c r="V4100">
        <v>2023</v>
      </c>
      <c r="W4100">
        <v>2</v>
      </c>
      <c r="X4100" t="s">
        <v>9898</v>
      </c>
      <c r="Y4100" t="s">
        <v>9900</v>
      </c>
      <c r="Z4100" t="s">
        <v>9899</v>
      </c>
      <c r="AD4100">
        <f t="shared" si="129"/>
        <v>3</v>
      </c>
    </row>
    <row r="4101" spans="1:30" x14ac:dyDescent="0.25">
      <c r="A4101" t="s">
        <v>4125</v>
      </c>
      <c r="B4101" s="2">
        <v>44897</v>
      </c>
      <c r="C4101" s="2">
        <v>44900</v>
      </c>
      <c r="D4101" t="s">
        <v>5430</v>
      </c>
      <c r="E4101" t="s">
        <v>5930</v>
      </c>
      <c r="F4101" t="s">
        <v>6028</v>
      </c>
      <c r="G4101" t="s">
        <v>6029</v>
      </c>
      <c r="H4101" t="s">
        <v>6036</v>
      </c>
      <c r="I4101" t="s">
        <v>6049</v>
      </c>
      <c r="J4101" t="s">
        <v>6055</v>
      </c>
      <c r="K4101" t="s">
        <v>6063</v>
      </c>
      <c r="L4101" t="s">
        <v>9341</v>
      </c>
      <c r="M4101">
        <v>679.82</v>
      </c>
      <c r="N4101">
        <v>8</v>
      </c>
      <c r="O4101">
        <v>0.19</v>
      </c>
      <c r="P4101">
        <v>-42.1</v>
      </c>
      <c r="Q4101" t="s">
        <v>9895</v>
      </c>
      <c r="R4101">
        <v>3</v>
      </c>
      <c r="S4101" s="5">
        <f t="shared" si="128"/>
        <v>-6.1928157453443558E-2</v>
      </c>
      <c r="T4101">
        <v>84.977500000000006</v>
      </c>
      <c r="U4101">
        <v>12</v>
      </c>
      <c r="V4101">
        <v>2022</v>
      </c>
      <c r="W4101">
        <v>4</v>
      </c>
      <c r="X4101" t="s">
        <v>9898</v>
      </c>
      <c r="Y4101" t="s">
        <v>9900</v>
      </c>
      <c r="Z4101" t="s">
        <v>9899</v>
      </c>
      <c r="AD4101">
        <f t="shared" si="129"/>
        <v>3</v>
      </c>
    </row>
    <row r="4102" spans="1:30" x14ac:dyDescent="0.25">
      <c r="A4102" t="s">
        <v>4126</v>
      </c>
      <c r="B4102" s="2">
        <v>45249</v>
      </c>
      <c r="C4102" s="2">
        <v>45255</v>
      </c>
      <c r="D4102" t="s">
        <v>5250</v>
      </c>
      <c r="E4102" t="s">
        <v>5750</v>
      </c>
      <c r="F4102" t="s">
        <v>6028</v>
      </c>
      <c r="G4102" t="s">
        <v>6031</v>
      </c>
      <c r="H4102" t="s">
        <v>6034</v>
      </c>
      <c r="I4102" t="s">
        <v>6052</v>
      </c>
      <c r="J4102" t="s">
        <v>6054</v>
      </c>
      <c r="K4102" t="s">
        <v>6062</v>
      </c>
      <c r="L4102" t="s">
        <v>8699</v>
      </c>
      <c r="M4102">
        <v>500.45</v>
      </c>
      <c r="N4102">
        <v>6</v>
      </c>
      <c r="O4102">
        <v>0.17</v>
      </c>
      <c r="P4102">
        <v>19.510000000000002</v>
      </c>
      <c r="Q4102" t="s">
        <v>9897</v>
      </c>
      <c r="R4102">
        <v>6</v>
      </c>
      <c r="S4102" s="5">
        <f t="shared" si="128"/>
        <v>3.898491357778E-2</v>
      </c>
      <c r="T4102">
        <v>83.408333333333331</v>
      </c>
      <c r="U4102">
        <v>11</v>
      </c>
      <c r="V4102">
        <v>2023</v>
      </c>
      <c r="W4102">
        <v>4</v>
      </c>
      <c r="X4102" t="s">
        <v>9899</v>
      </c>
      <c r="Y4102" t="s">
        <v>9900</v>
      </c>
      <c r="Z4102" t="s">
        <v>9899</v>
      </c>
      <c r="AD4102">
        <f t="shared" si="129"/>
        <v>6</v>
      </c>
    </row>
    <row r="4103" spans="1:30" x14ac:dyDescent="0.25">
      <c r="A4103" t="s">
        <v>4127</v>
      </c>
      <c r="B4103" s="2">
        <v>44944</v>
      </c>
      <c r="C4103" s="2">
        <v>44949</v>
      </c>
      <c r="D4103" t="s">
        <v>5454</v>
      </c>
      <c r="E4103" t="s">
        <v>5954</v>
      </c>
      <c r="F4103" t="s">
        <v>6026</v>
      </c>
      <c r="G4103" t="s">
        <v>6029</v>
      </c>
      <c r="H4103" t="s">
        <v>6045</v>
      </c>
      <c r="I4103" t="s">
        <v>6046</v>
      </c>
      <c r="J4103" t="s">
        <v>6054</v>
      </c>
      <c r="K4103" t="s">
        <v>6060</v>
      </c>
      <c r="L4103" t="s">
        <v>9342</v>
      </c>
      <c r="M4103">
        <v>1711.28</v>
      </c>
      <c r="N4103">
        <v>3</v>
      </c>
      <c r="O4103">
        <v>0.3</v>
      </c>
      <c r="P4103">
        <v>-116.62</v>
      </c>
      <c r="Q4103" t="s">
        <v>9897</v>
      </c>
      <c r="R4103">
        <v>5</v>
      </c>
      <c r="S4103" s="5">
        <f t="shared" si="128"/>
        <v>-6.8147819176289093E-2</v>
      </c>
      <c r="T4103">
        <v>570.42666666666662</v>
      </c>
      <c r="U4103">
        <v>1</v>
      </c>
      <c r="V4103">
        <v>2023</v>
      </c>
      <c r="W4103">
        <v>1</v>
      </c>
      <c r="X4103" t="s">
        <v>9898</v>
      </c>
      <c r="Y4103" t="s">
        <v>9900</v>
      </c>
      <c r="Z4103" t="s">
        <v>9898</v>
      </c>
      <c r="AD4103">
        <f t="shared" si="129"/>
        <v>5</v>
      </c>
    </row>
    <row r="4104" spans="1:30" x14ac:dyDescent="0.25">
      <c r="A4104" t="s">
        <v>4128</v>
      </c>
      <c r="B4104" s="2">
        <v>44866</v>
      </c>
      <c r="C4104" s="2">
        <v>44869</v>
      </c>
      <c r="D4104" t="s">
        <v>5340</v>
      </c>
      <c r="E4104" t="s">
        <v>5840</v>
      </c>
      <c r="F4104" t="s">
        <v>6026</v>
      </c>
      <c r="G4104" t="s">
        <v>6030</v>
      </c>
      <c r="H4104" t="s">
        <v>6035</v>
      </c>
      <c r="I4104" t="s">
        <v>6051</v>
      </c>
      <c r="J4104" t="s">
        <v>6055</v>
      </c>
      <c r="K4104" t="s">
        <v>6064</v>
      </c>
      <c r="L4104" t="s">
        <v>9343</v>
      </c>
      <c r="M4104">
        <v>577.46</v>
      </c>
      <c r="N4104">
        <v>1</v>
      </c>
      <c r="O4104">
        <v>0.21</v>
      </c>
      <c r="P4104">
        <v>-14.09</v>
      </c>
      <c r="Q4104" t="s">
        <v>9895</v>
      </c>
      <c r="R4104">
        <v>3</v>
      </c>
      <c r="S4104" s="5">
        <f t="shared" si="128"/>
        <v>-2.4399958438679734E-2</v>
      </c>
      <c r="T4104">
        <v>577.46</v>
      </c>
      <c r="U4104">
        <v>11</v>
      </c>
      <c r="V4104">
        <v>2022</v>
      </c>
      <c r="W4104">
        <v>4</v>
      </c>
      <c r="X4104" t="s">
        <v>9898</v>
      </c>
      <c r="Y4104" t="s">
        <v>9900</v>
      </c>
      <c r="Z4104" t="s">
        <v>9899</v>
      </c>
      <c r="AD4104">
        <f t="shared" si="129"/>
        <v>3</v>
      </c>
    </row>
    <row r="4105" spans="1:30" x14ac:dyDescent="0.25">
      <c r="A4105" t="s">
        <v>4129</v>
      </c>
      <c r="B4105" s="2">
        <v>45043</v>
      </c>
      <c r="C4105" s="2">
        <v>45046</v>
      </c>
      <c r="D4105" t="s">
        <v>5063</v>
      </c>
      <c r="E4105" t="s">
        <v>5563</v>
      </c>
      <c r="F4105" t="s">
        <v>6028</v>
      </c>
      <c r="G4105" t="s">
        <v>6029</v>
      </c>
      <c r="H4105" t="s">
        <v>6036</v>
      </c>
      <c r="I4105" t="s">
        <v>6050</v>
      </c>
      <c r="J4105" t="s">
        <v>6053</v>
      </c>
      <c r="K4105" t="s">
        <v>6056</v>
      </c>
      <c r="L4105" t="s">
        <v>9344</v>
      </c>
      <c r="M4105">
        <v>427.91</v>
      </c>
      <c r="N4105">
        <v>8</v>
      </c>
      <c r="O4105">
        <v>7.0000000000000007E-2</v>
      </c>
      <c r="P4105">
        <v>30.86</v>
      </c>
      <c r="Q4105" t="s">
        <v>9893</v>
      </c>
      <c r="R4105">
        <v>3</v>
      </c>
      <c r="S4105" s="5">
        <f t="shared" si="128"/>
        <v>7.2117968731742657E-2</v>
      </c>
      <c r="T4105">
        <v>53.488750000000003</v>
      </c>
      <c r="U4105">
        <v>4</v>
      </c>
      <c r="V4105">
        <v>2023</v>
      </c>
      <c r="W4105">
        <v>2</v>
      </c>
      <c r="X4105" t="s">
        <v>9899</v>
      </c>
      <c r="Y4105" t="s">
        <v>9901</v>
      </c>
      <c r="Z4105" t="s">
        <v>9899</v>
      </c>
      <c r="AD4105">
        <f t="shared" si="129"/>
        <v>3</v>
      </c>
    </row>
    <row r="4106" spans="1:30" x14ac:dyDescent="0.25">
      <c r="A4106" t="s">
        <v>4130</v>
      </c>
      <c r="B4106" s="2">
        <v>44736</v>
      </c>
      <c r="C4106" s="2">
        <v>44737</v>
      </c>
      <c r="D4106" t="s">
        <v>5205</v>
      </c>
      <c r="E4106" t="s">
        <v>5705</v>
      </c>
      <c r="F4106" t="s">
        <v>6028</v>
      </c>
      <c r="G4106" t="s">
        <v>6031</v>
      </c>
      <c r="H4106" t="s">
        <v>6034</v>
      </c>
      <c r="I4106" t="s">
        <v>6050</v>
      </c>
      <c r="J4106" t="s">
        <v>6053</v>
      </c>
      <c r="K4106" t="s">
        <v>6058</v>
      </c>
      <c r="L4106" t="s">
        <v>9345</v>
      </c>
      <c r="M4106">
        <v>537.96</v>
      </c>
      <c r="N4106">
        <v>8</v>
      </c>
      <c r="O4106">
        <v>0.02</v>
      </c>
      <c r="P4106">
        <v>67.06</v>
      </c>
      <c r="Q4106" t="s">
        <v>9895</v>
      </c>
      <c r="R4106">
        <v>1</v>
      </c>
      <c r="S4106" s="5">
        <f t="shared" si="128"/>
        <v>0.12465610826083723</v>
      </c>
      <c r="T4106">
        <v>67.245000000000005</v>
      </c>
      <c r="U4106">
        <v>6</v>
      </c>
      <c r="V4106">
        <v>2022</v>
      </c>
      <c r="W4106">
        <v>2</v>
      </c>
      <c r="X4106" t="s">
        <v>9899</v>
      </c>
      <c r="Y4106" t="s">
        <v>9901</v>
      </c>
      <c r="Z4106" t="s">
        <v>9899</v>
      </c>
      <c r="AD4106">
        <f t="shared" si="129"/>
        <v>1</v>
      </c>
    </row>
    <row r="4107" spans="1:30" x14ac:dyDescent="0.25">
      <c r="A4107" t="s">
        <v>4131</v>
      </c>
      <c r="B4107" s="2">
        <v>45088</v>
      </c>
      <c r="C4107" s="2">
        <v>45089</v>
      </c>
      <c r="D4107" t="s">
        <v>5510</v>
      </c>
      <c r="E4107" t="s">
        <v>6010</v>
      </c>
      <c r="F4107" t="s">
        <v>6027</v>
      </c>
      <c r="G4107" t="s">
        <v>6031</v>
      </c>
      <c r="H4107" t="s">
        <v>6037</v>
      </c>
      <c r="I4107" t="s">
        <v>6052</v>
      </c>
      <c r="J4107" t="s">
        <v>6055</v>
      </c>
      <c r="K4107" t="s">
        <v>6064</v>
      </c>
      <c r="L4107" t="s">
        <v>9346</v>
      </c>
      <c r="M4107">
        <v>1632.78</v>
      </c>
      <c r="N4107">
        <v>5</v>
      </c>
      <c r="O4107">
        <v>0.1</v>
      </c>
      <c r="P4107">
        <v>284.8</v>
      </c>
      <c r="Q4107" t="s">
        <v>9897</v>
      </c>
      <c r="R4107">
        <v>1</v>
      </c>
      <c r="S4107" s="5">
        <f t="shared" si="128"/>
        <v>0.17442643834441873</v>
      </c>
      <c r="T4107">
        <v>326.55599999999998</v>
      </c>
      <c r="U4107">
        <v>6</v>
      </c>
      <c r="V4107">
        <v>2023</v>
      </c>
      <c r="W4107">
        <v>2</v>
      </c>
      <c r="X4107" t="s">
        <v>9899</v>
      </c>
      <c r="Y4107" t="s">
        <v>9901</v>
      </c>
      <c r="Z4107" t="s">
        <v>9898</v>
      </c>
      <c r="AD4107">
        <f t="shared" si="129"/>
        <v>1</v>
      </c>
    </row>
    <row r="4108" spans="1:30" x14ac:dyDescent="0.25">
      <c r="A4108" t="s">
        <v>4132</v>
      </c>
      <c r="B4108" s="2">
        <v>44752</v>
      </c>
      <c r="C4108" s="2">
        <v>44757</v>
      </c>
      <c r="D4108" t="s">
        <v>5306</v>
      </c>
      <c r="E4108" t="s">
        <v>5806</v>
      </c>
      <c r="F4108" t="s">
        <v>6026</v>
      </c>
      <c r="G4108" t="s">
        <v>6031</v>
      </c>
      <c r="H4108" t="s">
        <v>6042</v>
      </c>
      <c r="I4108" t="s">
        <v>6052</v>
      </c>
      <c r="J4108" t="s">
        <v>6053</v>
      </c>
      <c r="K4108" t="s">
        <v>6056</v>
      </c>
      <c r="L4108" t="s">
        <v>6345</v>
      </c>
      <c r="M4108">
        <v>1179.31</v>
      </c>
      <c r="N4108">
        <v>2</v>
      </c>
      <c r="O4108">
        <v>0.05</v>
      </c>
      <c r="P4108">
        <v>116.36</v>
      </c>
      <c r="Q4108" t="s">
        <v>9894</v>
      </c>
      <c r="R4108">
        <v>5</v>
      </c>
      <c r="S4108" s="5">
        <f t="shared" si="128"/>
        <v>9.8667865107562897E-2</v>
      </c>
      <c r="T4108">
        <v>589.65499999999997</v>
      </c>
      <c r="U4108">
        <v>7</v>
      </c>
      <c r="V4108">
        <v>2022</v>
      </c>
      <c r="W4108">
        <v>3</v>
      </c>
      <c r="X4108" t="s">
        <v>9899</v>
      </c>
      <c r="Y4108" t="s">
        <v>9901</v>
      </c>
      <c r="Z4108" t="s">
        <v>9898</v>
      </c>
      <c r="AD4108">
        <f t="shared" si="129"/>
        <v>5</v>
      </c>
    </row>
    <row r="4109" spans="1:30" x14ac:dyDescent="0.25">
      <c r="A4109" t="s">
        <v>4133</v>
      </c>
      <c r="B4109" s="2">
        <v>45209</v>
      </c>
      <c r="C4109" s="2">
        <v>45216</v>
      </c>
      <c r="D4109" t="s">
        <v>5265</v>
      </c>
      <c r="E4109" t="s">
        <v>5765</v>
      </c>
      <c r="F4109" t="s">
        <v>6028</v>
      </c>
      <c r="G4109" t="s">
        <v>6030</v>
      </c>
      <c r="H4109" t="s">
        <v>6035</v>
      </c>
      <c r="I4109" t="s">
        <v>6047</v>
      </c>
      <c r="J4109" t="s">
        <v>6053</v>
      </c>
      <c r="K4109" t="s">
        <v>6058</v>
      </c>
      <c r="L4109" t="s">
        <v>6882</v>
      </c>
      <c r="M4109">
        <v>703.34</v>
      </c>
      <c r="N4109">
        <v>1</v>
      </c>
      <c r="O4109">
        <v>0.16</v>
      </c>
      <c r="P4109">
        <v>-31.01</v>
      </c>
      <c r="Q4109" t="s">
        <v>9893</v>
      </c>
      <c r="R4109">
        <v>7</v>
      </c>
      <c r="S4109" s="5">
        <f t="shared" si="128"/>
        <v>-4.4089629482185005E-2</v>
      </c>
      <c r="T4109">
        <v>703.34</v>
      </c>
      <c r="U4109">
        <v>10</v>
      </c>
      <c r="V4109">
        <v>2023</v>
      </c>
      <c r="W4109">
        <v>4</v>
      </c>
      <c r="X4109" t="s">
        <v>9898</v>
      </c>
      <c r="Y4109" t="s">
        <v>9900</v>
      </c>
      <c r="Z4109" t="s">
        <v>9899</v>
      </c>
      <c r="AD4109">
        <f t="shared" si="129"/>
        <v>7</v>
      </c>
    </row>
    <row r="4110" spans="1:30" x14ac:dyDescent="0.25">
      <c r="A4110" t="s">
        <v>4134</v>
      </c>
      <c r="B4110" s="2">
        <v>44991</v>
      </c>
      <c r="C4110" s="2">
        <v>44995</v>
      </c>
      <c r="D4110" t="s">
        <v>5268</v>
      </c>
      <c r="E4110" t="s">
        <v>5768</v>
      </c>
      <c r="F4110" t="s">
        <v>6026</v>
      </c>
      <c r="G4110" t="s">
        <v>6029</v>
      </c>
      <c r="H4110" t="s">
        <v>6041</v>
      </c>
      <c r="I4110" t="s">
        <v>6050</v>
      </c>
      <c r="J4110" t="s">
        <v>6055</v>
      </c>
      <c r="K4110" t="s">
        <v>6061</v>
      </c>
      <c r="L4110" t="s">
        <v>6694</v>
      </c>
      <c r="M4110">
        <v>513.01</v>
      </c>
      <c r="N4110">
        <v>5</v>
      </c>
      <c r="O4110">
        <v>0.22</v>
      </c>
      <c r="P4110">
        <v>-22.26</v>
      </c>
      <c r="Q4110" t="s">
        <v>9895</v>
      </c>
      <c r="R4110">
        <v>4</v>
      </c>
      <c r="S4110" s="5">
        <f t="shared" si="128"/>
        <v>-4.3390967037679584E-2</v>
      </c>
      <c r="T4110">
        <v>102.602</v>
      </c>
      <c r="U4110">
        <v>3</v>
      </c>
      <c r="V4110">
        <v>2023</v>
      </c>
      <c r="W4110">
        <v>1</v>
      </c>
      <c r="X4110" t="s">
        <v>9898</v>
      </c>
      <c r="Y4110" t="s">
        <v>9900</v>
      </c>
      <c r="Z4110" t="s">
        <v>9899</v>
      </c>
      <c r="AD4110">
        <f t="shared" si="129"/>
        <v>4</v>
      </c>
    </row>
    <row r="4111" spans="1:30" x14ac:dyDescent="0.25">
      <c r="A4111" t="s">
        <v>4135</v>
      </c>
      <c r="B4111" s="2">
        <v>44712</v>
      </c>
      <c r="C4111" s="2">
        <v>44716</v>
      </c>
      <c r="D4111" t="s">
        <v>5457</v>
      </c>
      <c r="E4111" t="s">
        <v>5957</v>
      </c>
      <c r="F4111" t="s">
        <v>6028</v>
      </c>
      <c r="G4111" t="s">
        <v>6030</v>
      </c>
      <c r="H4111" t="s">
        <v>6038</v>
      </c>
      <c r="I4111" t="s">
        <v>6051</v>
      </c>
      <c r="J4111" t="s">
        <v>6053</v>
      </c>
      <c r="K4111" t="s">
        <v>6057</v>
      </c>
      <c r="L4111" t="s">
        <v>9347</v>
      </c>
      <c r="M4111">
        <v>813.63</v>
      </c>
      <c r="N4111">
        <v>2</v>
      </c>
      <c r="O4111">
        <v>0.1</v>
      </c>
      <c r="P4111">
        <v>93.54</v>
      </c>
      <c r="Q4111" t="s">
        <v>9897</v>
      </c>
      <c r="R4111">
        <v>4</v>
      </c>
      <c r="S4111" s="5">
        <f t="shared" si="128"/>
        <v>0.11496626230596217</v>
      </c>
      <c r="T4111">
        <v>406.815</v>
      </c>
      <c r="U4111">
        <v>5</v>
      </c>
      <c r="V4111">
        <v>2022</v>
      </c>
      <c r="W4111">
        <v>2</v>
      </c>
      <c r="X4111" t="s">
        <v>9899</v>
      </c>
      <c r="Y4111" t="s">
        <v>9901</v>
      </c>
      <c r="Z4111" t="s">
        <v>9899</v>
      </c>
      <c r="AD4111">
        <f t="shared" si="129"/>
        <v>4</v>
      </c>
    </row>
    <row r="4112" spans="1:30" x14ac:dyDescent="0.25">
      <c r="A4112" t="s">
        <v>4136</v>
      </c>
      <c r="B4112" s="2">
        <v>45295</v>
      </c>
      <c r="C4112" s="2">
        <v>45297</v>
      </c>
      <c r="D4112" t="s">
        <v>5078</v>
      </c>
      <c r="E4112" t="s">
        <v>5578</v>
      </c>
      <c r="F4112" t="s">
        <v>6028</v>
      </c>
      <c r="G4112" t="s">
        <v>6031</v>
      </c>
      <c r="H4112" t="s">
        <v>6040</v>
      </c>
      <c r="I4112" t="s">
        <v>6050</v>
      </c>
      <c r="J4112" t="s">
        <v>6053</v>
      </c>
      <c r="K4112" t="s">
        <v>6056</v>
      </c>
      <c r="L4112" t="s">
        <v>9348</v>
      </c>
      <c r="M4112">
        <v>1223.3900000000001</v>
      </c>
      <c r="N4112">
        <v>4</v>
      </c>
      <c r="O4112">
        <v>0.19</v>
      </c>
      <c r="P4112">
        <v>-99.77</v>
      </c>
      <c r="Q4112" t="s">
        <v>9895</v>
      </c>
      <c r="R4112">
        <v>2</v>
      </c>
      <c r="S4112" s="5">
        <f t="shared" si="128"/>
        <v>-8.1552080693809814E-2</v>
      </c>
      <c r="T4112">
        <v>305.84750000000003</v>
      </c>
      <c r="U4112">
        <v>1</v>
      </c>
      <c r="V4112">
        <v>2024</v>
      </c>
      <c r="W4112">
        <v>1</v>
      </c>
      <c r="X4112" t="s">
        <v>9898</v>
      </c>
      <c r="Y4112" t="s">
        <v>9900</v>
      </c>
      <c r="Z4112" t="s">
        <v>9898</v>
      </c>
      <c r="AD4112">
        <f t="shared" si="129"/>
        <v>2</v>
      </c>
    </row>
    <row r="4113" spans="1:30" x14ac:dyDescent="0.25">
      <c r="A4113" t="s">
        <v>4137</v>
      </c>
      <c r="B4113" s="2">
        <v>45328</v>
      </c>
      <c r="C4113" s="2">
        <v>45334</v>
      </c>
      <c r="D4113" t="s">
        <v>5247</v>
      </c>
      <c r="E4113" t="s">
        <v>5747</v>
      </c>
      <c r="F4113" t="s">
        <v>6026</v>
      </c>
      <c r="G4113" t="s">
        <v>6031</v>
      </c>
      <c r="H4113" t="s">
        <v>6043</v>
      </c>
      <c r="I4113" t="s">
        <v>6050</v>
      </c>
      <c r="J4113" t="s">
        <v>6053</v>
      </c>
      <c r="K4113" t="s">
        <v>6058</v>
      </c>
      <c r="L4113" t="s">
        <v>9349</v>
      </c>
      <c r="M4113">
        <v>1916.11</v>
      </c>
      <c r="N4113">
        <v>1</v>
      </c>
      <c r="O4113">
        <v>0.1</v>
      </c>
      <c r="P4113">
        <v>206.98</v>
      </c>
      <c r="Q4113" t="s">
        <v>9893</v>
      </c>
      <c r="R4113">
        <v>6</v>
      </c>
      <c r="S4113" s="5">
        <f t="shared" si="128"/>
        <v>0.10802093825511061</v>
      </c>
      <c r="T4113">
        <v>1916.11</v>
      </c>
      <c r="U4113">
        <v>2</v>
      </c>
      <c r="V4113">
        <v>2024</v>
      </c>
      <c r="W4113">
        <v>1</v>
      </c>
      <c r="X4113" t="s">
        <v>9899</v>
      </c>
      <c r="Y4113" t="s">
        <v>9901</v>
      </c>
      <c r="Z4113" t="s">
        <v>9898</v>
      </c>
      <c r="AD4113">
        <f t="shared" si="129"/>
        <v>6</v>
      </c>
    </row>
    <row r="4114" spans="1:30" x14ac:dyDescent="0.25">
      <c r="A4114" t="s">
        <v>4138</v>
      </c>
      <c r="B4114" s="2">
        <v>45386</v>
      </c>
      <c r="C4114" s="2">
        <v>45388</v>
      </c>
      <c r="D4114" t="s">
        <v>5225</v>
      </c>
      <c r="E4114" t="s">
        <v>5725</v>
      </c>
      <c r="F4114" t="s">
        <v>6026</v>
      </c>
      <c r="G4114" t="s">
        <v>6029</v>
      </c>
      <c r="H4114" t="s">
        <v>6045</v>
      </c>
      <c r="I4114" t="s">
        <v>6049</v>
      </c>
      <c r="J4114" t="s">
        <v>6054</v>
      </c>
      <c r="K4114" t="s">
        <v>6062</v>
      </c>
      <c r="L4114" t="s">
        <v>7655</v>
      </c>
      <c r="M4114">
        <v>1834.76</v>
      </c>
      <c r="N4114">
        <v>3</v>
      </c>
      <c r="O4114">
        <v>0.04</v>
      </c>
      <c r="P4114">
        <v>436</v>
      </c>
      <c r="Q4114" t="s">
        <v>9897</v>
      </c>
      <c r="R4114">
        <v>2</v>
      </c>
      <c r="S4114" s="5">
        <f t="shared" si="128"/>
        <v>0.23763325993590442</v>
      </c>
      <c r="T4114">
        <v>611.5866666666667</v>
      </c>
      <c r="U4114">
        <v>4</v>
      </c>
      <c r="V4114">
        <v>2024</v>
      </c>
      <c r="W4114">
        <v>2</v>
      </c>
      <c r="X4114" t="s">
        <v>9899</v>
      </c>
      <c r="Y4114" t="s">
        <v>9901</v>
      </c>
      <c r="Z4114" t="s">
        <v>9898</v>
      </c>
      <c r="AD4114">
        <f t="shared" si="129"/>
        <v>2</v>
      </c>
    </row>
    <row r="4115" spans="1:30" x14ac:dyDescent="0.25">
      <c r="A4115" t="s">
        <v>4139</v>
      </c>
      <c r="B4115" s="2">
        <v>44664</v>
      </c>
      <c r="C4115" s="2">
        <v>44667</v>
      </c>
      <c r="D4115" t="s">
        <v>5063</v>
      </c>
      <c r="E4115" t="s">
        <v>5563</v>
      </c>
      <c r="F4115" t="s">
        <v>6028</v>
      </c>
      <c r="G4115" t="s">
        <v>6029</v>
      </c>
      <c r="H4115" t="s">
        <v>6036</v>
      </c>
      <c r="I4115" t="s">
        <v>6050</v>
      </c>
      <c r="J4115" t="s">
        <v>6055</v>
      </c>
      <c r="K4115" t="s">
        <v>6061</v>
      </c>
      <c r="L4115" t="s">
        <v>9350</v>
      </c>
      <c r="M4115">
        <v>1067.3</v>
      </c>
      <c r="N4115">
        <v>5</v>
      </c>
      <c r="O4115">
        <v>0.06</v>
      </c>
      <c r="P4115">
        <v>131.43</v>
      </c>
      <c r="Q4115" t="s">
        <v>9896</v>
      </c>
      <c r="R4115">
        <v>3</v>
      </c>
      <c r="S4115" s="5">
        <f t="shared" si="128"/>
        <v>0.12314250913520099</v>
      </c>
      <c r="T4115">
        <v>213.46</v>
      </c>
      <c r="U4115">
        <v>4</v>
      </c>
      <c r="V4115">
        <v>2022</v>
      </c>
      <c r="W4115">
        <v>2</v>
      </c>
      <c r="X4115" t="s">
        <v>9899</v>
      </c>
      <c r="Y4115" t="s">
        <v>9901</v>
      </c>
      <c r="Z4115" t="s">
        <v>9898</v>
      </c>
      <c r="AD4115">
        <f t="shared" si="129"/>
        <v>3</v>
      </c>
    </row>
    <row r="4116" spans="1:30" x14ac:dyDescent="0.25">
      <c r="A4116" t="s">
        <v>4140</v>
      </c>
      <c r="B4116" s="2">
        <v>44577</v>
      </c>
      <c r="C4116" s="2">
        <v>44582</v>
      </c>
      <c r="D4116" t="s">
        <v>5189</v>
      </c>
      <c r="E4116" t="s">
        <v>5689</v>
      </c>
      <c r="F4116" t="s">
        <v>6027</v>
      </c>
      <c r="G4116" t="s">
        <v>6030</v>
      </c>
      <c r="H4116" t="s">
        <v>6033</v>
      </c>
      <c r="I4116" t="s">
        <v>6047</v>
      </c>
      <c r="J4116" t="s">
        <v>6055</v>
      </c>
      <c r="K4116" t="s">
        <v>6064</v>
      </c>
      <c r="L4116" t="s">
        <v>9351</v>
      </c>
      <c r="M4116">
        <v>777.88</v>
      </c>
      <c r="N4116">
        <v>1</v>
      </c>
      <c r="O4116">
        <v>0.27</v>
      </c>
      <c r="P4116">
        <v>-89.53</v>
      </c>
      <c r="Q4116" t="s">
        <v>9897</v>
      </c>
      <c r="R4116">
        <v>5</v>
      </c>
      <c r="S4116" s="5">
        <f t="shared" si="128"/>
        <v>-0.11509487324523063</v>
      </c>
      <c r="T4116">
        <v>777.88</v>
      </c>
      <c r="U4116">
        <v>1</v>
      </c>
      <c r="V4116">
        <v>2022</v>
      </c>
      <c r="W4116">
        <v>1</v>
      </c>
      <c r="X4116" t="s">
        <v>9898</v>
      </c>
      <c r="Y4116" t="s">
        <v>9900</v>
      </c>
      <c r="Z4116" t="s">
        <v>9899</v>
      </c>
      <c r="AD4116">
        <f t="shared" si="129"/>
        <v>5</v>
      </c>
    </row>
    <row r="4117" spans="1:30" x14ac:dyDescent="0.25">
      <c r="A4117" t="s">
        <v>4141</v>
      </c>
      <c r="B4117" s="2">
        <v>44625</v>
      </c>
      <c r="C4117" s="2">
        <v>44632</v>
      </c>
      <c r="D4117" t="s">
        <v>5492</v>
      </c>
      <c r="E4117" t="s">
        <v>5992</v>
      </c>
      <c r="F4117" t="s">
        <v>6027</v>
      </c>
      <c r="G4117" t="s">
        <v>6029</v>
      </c>
      <c r="H4117" t="s">
        <v>6045</v>
      </c>
      <c r="I4117" t="s">
        <v>6046</v>
      </c>
      <c r="J4117" t="s">
        <v>6053</v>
      </c>
      <c r="K4117" t="s">
        <v>6058</v>
      </c>
      <c r="L4117" t="s">
        <v>9320</v>
      </c>
      <c r="M4117">
        <v>265.51</v>
      </c>
      <c r="N4117">
        <v>4</v>
      </c>
      <c r="O4117">
        <v>7.0000000000000007E-2</v>
      </c>
      <c r="P4117">
        <v>52.8</v>
      </c>
      <c r="Q4117" t="s">
        <v>9896</v>
      </c>
      <c r="R4117">
        <v>7</v>
      </c>
      <c r="S4117" s="5">
        <f t="shared" si="128"/>
        <v>0.19886256638168054</v>
      </c>
      <c r="T4117">
        <v>66.377499999999998</v>
      </c>
      <c r="U4117">
        <v>3</v>
      </c>
      <c r="V4117">
        <v>2022</v>
      </c>
      <c r="W4117">
        <v>1</v>
      </c>
      <c r="X4117" t="s">
        <v>9899</v>
      </c>
      <c r="Y4117" t="s">
        <v>9901</v>
      </c>
      <c r="Z4117" t="s">
        <v>9899</v>
      </c>
      <c r="AD4117">
        <f t="shared" si="129"/>
        <v>7</v>
      </c>
    </row>
    <row r="4118" spans="1:30" x14ac:dyDescent="0.25">
      <c r="A4118" t="s">
        <v>4142</v>
      </c>
      <c r="B4118" s="2">
        <v>44696</v>
      </c>
      <c r="C4118" s="2">
        <v>44698</v>
      </c>
      <c r="D4118" t="s">
        <v>5471</v>
      </c>
      <c r="E4118" t="s">
        <v>5971</v>
      </c>
      <c r="F4118" t="s">
        <v>6026</v>
      </c>
      <c r="G4118" t="s">
        <v>6029</v>
      </c>
      <c r="H4118" t="s">
        <v>6041</v>
      </c>
      <c r="I4118" t="s">
        <v>6050</v>
      </c>
      <c r="J4118" t="s">
        <v>6053</v>
      </c>
      <c r="K4118" t="s">
        <v>6056</v>
      </c>
      <c r="L4118" t="s">
        <v>9352</v>
      </c>
      <c r="M4118">
        <v>933.75</v>
      </c>
      <c r="N4118">
        <v>4</v>
      </c>
      <c r="O4118">
        <v>0.18</v>
      </c>
      <c r="P4118">
        <v>57.14</v>
      </c>
      <c r="Q4118" t="s">
        <v>9893</v>
      </c>
      <c r="R4118">
        <v>2</v>
      </c>
      <c r="S4118" s="5">
        <f t="shared" si="128"/>
        <v>6.1194109772423025E-2</v>
      </c>
      <c r="T4118">
        <v>233.4375</v>
      </c>
      <c r="U4118">
        <v>5</v>
      </c>
      <c r="V4118">
        <v>2022</v>
      </c>
      <c r="W4118">
        <v>2</v>
      </c>
      <c r="X4118" t="s">
        <v>9899</v>
      </c>
      <c r="Y4118" t="s">
        <v>9900</v>
      </c>
      <c r="Z4118" t="s">
        <v>9899</v>
      </c>
      <c r="AD4118">
        <f t="shared" si="129"/>
        <v>2</v>
      </c>
    </row>
    <row r="4119" spans="1:30" x14ac:dyDescent="0.25">
      <c r="A4119" t="s">
        <v>4143</v>
      </c>
      <c r="B4119" s="2">
        <v>44688</v>
      </c>
      <c r="C4119" s="2">
        <v>44689</v>
      </c>
      <c r="D4119" t="s">
        <v>5148</v>
      </c>
      <c r="E4119" t="s">
        <v>5648</v>
      </c>
      <c r="F4119" t="s">
        <v>6026</v>
      </c>
      <c r="G4119" t="s">
        <v>6030</v>
      </c>
      <c r="H4119" t="s">
        <v>6033</v>
      </c>
      <c r="I4119" t="s">
        <v>6051</v>
      </c>
      <c r="J4119" t="s">
        <v>6053</v>
      </c>
      <c r="K4119" t="s">
        <v>6057</v>
      </c>
      <c r="L4119" t="s">
        <v>8526</v>
      </c>
      <c r="M4119">
        <v>1504.16</v>
      </c>
      <c r="N4119">
        <v>1</v>
      </c>
      <c r="O4119">
        <v>0.19</v>
      </c>
      <c r="P4119">
        <v>-22.04</v>
      </c>
      <c r="Q4119" t="s">
        <v>9894</v>
      </c>
      <c r="R4119">
        <v>1</v>
      </c>
      <c r="S4119" s="5">
        <f t="shared" si="128"/>
        <v>-1.4652696521646632E-2</v>
      </c>
      <c r="T4119">
        <v>1504.16</v>
      </c>
      <c r="U4119">
        <v>5</v>
      </c>
      <c r="V4119">
        <v>2022</v>
      </c>
      <c r="W4119">
        <v>2</v>
      </c>
      <c r="X4119" t="s">
        <v>9898</v>
      </c>
      <c r="Y4119" t="s">
        <v>9900</v>
      </c>
      <c r="Z4119" t="s">
        <v>9898</v>
      </c>
      <c r="AD4119">
        <f t="shared" si="129"/>
        <v>1</v>
      </c>
    </row>
    <row r="4120" spans="1:30" x14ac:dyDescent="0.25">
      <c r="A4120" t="s">
        <v>4144</v>
      </c>
      <c r="B4120" s="2">
        <v>45267</v>
      </c>
      <c r="C4120" s="2">
        <v>45269</v>
      </c>
      <c r="D4120" t="s">
        <v>5373</v>
      </c>
      <c r="E4120" t="s">
        <v>5873</v>
      </c>
      <c r="F4120" t="s">
        <v>6028</v>
      </c>
      <c r="G4120" t="s">
        <v>6030</v>
      </c>
      <c r="H4120" t="s">
        <v>6035</v>
      </c>
      <c r="I4120" t="s">
        <v>6051</v>
      </c>
      <c r="J4120" t="s">
        <v>6054</v>
      </c>
      <c r="K4120" t="s">
        <v>6060</v>
      </c>
      <c r="L4120" t="s">
        <v>6258</v>
      </c>
      <c r="M4120">
        <v>701.57</v>
      </c>
      <c r="N4120">
        <v>3</v>
      </c>
      <c r="O4120">
        <v>0.21</v>
      </c>
      <c r="P4120">
        <v>-45.17</v>
      </c>
      <c r="Q4120" t="s">
        <v>9896</v>
      </c>
      <c r="R4120">
        <v>2</v>
      </c>
      <c r="S4120" s="5">
        <f t="shared" si="128"/>
        <v>-6.4384166939863444E-2</v>
      </c>
      <c r="T4120">
        <v>233.85666666666671</v>
      </c>
      <c r="U4120">
        <v>12</v>
      </c>
      <c r="V4120">
        <v>2023</v>
      </c>
      <c r="W4120">
        <v>4</v>
      </c>
      <c r="X4120" t="s">
        <v>9898</v>
      </c>
      <c r="Y4120" t="s">
        <v>9900</v>
      </c>
      <c r="Z4120" t="s">
        <v>9899</v>
      </c>
      <c r="AD4120">
        <f t="shared" si="129"/>
        <v>2</v>
      </c>
    </row>
    <row r="4121" spans="1:30" x14ac:dyDescent="0.25">
      <c r="A4121" t="s">
        <v>4145</v>
      </c>
      <c r="B4121" s="2">
        <v>44757</v>
      </c>
      <c r="C4121" s="2">
        <v>44761</v>
      </c>
      <c r="D4121" t="s">
        <v>5101</v>
      </c>
      <c r="E4121" t="s">
        <v>5601</v>
      </c>
      <c r="F4121" t="s">
        <v>6026</v>
      </c>
      <c r="G4121" t="s">
        <v>6031</v>
      </c>
      <c r="H4121" t="s">
        <v>6034</v>
      </c>
      <c r="I4121" t="s">
        <v>6048</v>
      </c>
      <c r="J4121" t="s">
        <v>6054</v>
      </c>
      <c r="K4121" t="s">
        <v>6060</v>
      </c>
      <c r="L4121" t="s">
        <v>9353</v>
      </c>
      <c r="M4121">
        <v>656.8</v>
      </c>
      <c r="N4121">
        <v>3</v>
      </c>
      <c r="O4121">
        <v>0.03</v>
      </c>
      <c r="P4121">
        <v>173.12</v>
      </c>
      <c r="Q4121" t="s">
        <v>9896</v>
      </c>
      <c r="R4121">
        <v>4</v>
      </c>
      <c r="S4121" s="5">
        <f t="shared" si="128"/>
        <v>0.26358099878197322</v>
      </c>
      <c r="T4121">
        <v>218.93333333333331</v>
      </c>
      <c r="U4121">
        <v>7</v>
      </c>
      <c r="V4121">
        <v>2022</v>
      </c>
      <c r="W4121">
        <v>3</v>
      </c>
      <c r="X4121" t="s">
        <v>9899</v>
      </c>
      <c r="Y4121" t="s">
        <v>9901</v>
      </c>
      <c r="Z4121" t="s">
        <v>9899</v>
      </c>
      <c r="AD4121">
        <f t="shared" si="129"/>
        <v>4</v>
      </c>
    </row>
    <row r="4122" spans="1:30" x14ac:dyDescent="0.25">
      <c r="A4122" t="s">
        <v>4146</v>
      </c>
      <c r="B4122" s="2">
        <v>44848</v>
      </c>
      <c r="C4122" s="2">
        <v>44853</v>
      </c>
      <c r="D4122" t="s">
        <v>5273</v>
      </c>
      <c r="E4122" t="s">
        <v>5773</v>
      </c>
      <c r="F4122" t="s">
        <v>6028</v>
      </c>
      <c r="G4122" t="s">
        <v>6029</v>
      </c>
      <c r="H4122" t="s">
        <v>6032</v>
      </c>
      <c r="I4122" t="s">
        <v>6049</v>
      </c>
      <c r="J4122" t="s">
        <v>6053</v>
      </c>
      <c r="K4122" t="s">
        <v>6056</v>
      </c>
      <c r="L4122" t="s">
        <v>9354</v>
      </c>
      <c r="M4122">
        <v>846.81</v>
      </c>
      <c r="N4122">
        <v>8</v>
      </c>
      <c r="O4122">
        <v>0.21</v>
      </c>
      <c r="P4122">
        <v>-31.29</v>
      </c>
      <c r="Q4122" t="s">
        <v>9893</v>
      </c>
      <c r="R4122">
        <v>5</v>
      </c>
      <c r="S4122" s="5">
        <f t="shared" si="128"/>
        <v>-3.6950437524356117E-2</v>
      </c>
      <c r="T4122">
        <v>105.85124999999999</v>
      </c>
      <c r="U4122">
        <v>10</v>
      </c>
      <c r="V4122">
        <v>2022</v>
      </c>
      <c r="W4122">
        <v>4</v>
      </c>
      <c r="X4122" t="s">
        <v>9898</v>
      </c>
      <c r="Y4122" t="s">
        <v>9900</v>
      </c>
      <c r="Z4122" t="s">
        <v>9899</v>
      </c>
      <c r="AD4122">
        <f t="shared" si="129"/>
        <v>5</v>
      </c>
    </row>
    <row r="4123" spans="1:30" x14ac:dyDescent="0.25">
      <c r="A4123" t="s">
        <v>4147</v>
      </c>
      <c r="B4123" s="2">
        <v>44638</v>
      </c>
      <c r="C4123" s="2">
        <v>44643</v>
      </c>
      <c r="D4123" t="s">
        <v>5123</v>
      </c>
      <c r="E4123" t="s">
        <v>5623</v>
      </c>
      <c r="F4123" t="s">
        <v>6026</v>
      </c>
      <c r="G4123" t="s">
        <v>6029</v>
      </c>
      <c r="H4123" t="s">
        <v>6041</v>
      </c>
      <c r="I4123" t="s">
        <v>6049</v>
      </c>
      <c r="J4123" t="s">
        <v>6053</v>
      </c>
      <c r="K4123" t="s">
        <v>6057</v>
      </c>
      <c r="L4123" t="s">
        <v>7959</v>
      </c>
      <c r="M4123">
        <v>1480.11</v>
      </c>
      <c r="N4123">
        <v>8</v>
      </c>
      <c r="O4123">
        <v>0.24</v>
      </c>
      <c r="P4123">
        <v>-10.86</v>
      </c>
      <c r="Q4123" t="s">
        <v>9895</v>
      </c>
      <c r="R4123">
        <v>5</v>
      </c>
      <c r="S4123" s="5">
        <f t="shared" si="128"/>
        <v>-7.3372924985305151E-3</v>
      </c>
      <c r="T4123">
        <v>185.01374999999999</v>
      </c>
      <c r="U4123">
        <v>3</v>
      </c>
      <c r="V4123">
        <v>2022</v>
      </c>
      <c r="W4123">
        <v>1</v>
      </c>
      <c r="X4123" t="s">
        <v>9898</v>
      </c>
      <c r="Y4123" t="s">
        <v>9900</v>
      </c>
      <c r="Z4123" t="s">
        <v>9898</v>
      </c>
      <c r="AD4123">
        <f t="shared" si="129"/>
        <v>5</v>
      </c>
    </row>
    <row r="4124" spans="1:30" x14ac:dyDescent="0.25">
      <c r="A4124" t="s">
        <v>4148</v>
      </c>
      <c r="B4124" s="2">
        <v>45267</v>
      </c>
      <c r="C4124" s="2">
        <v>45269</v>
      </c>
      <c r="D4124" t="s">
        <v>5300</v>
      </c>
      <c r="E4124" t="s">
        <v>5800</v>
      </c>
      <c r="F4124" t="s">
        <v>6027</v>
      </c>
      <c r="G4124" t="s">
        <v>6029</v>
      </c>
      <c r="H4124" t="s">
        <v>6032</v>
      </c>
      <c r="I4124" t="s">
        <v>6046</v>
      </c>
      <c r="J4124" t="s">
        <v>6055</v>
      </c>
      <c r="K4124" t="s">
        <v>6061</v>
      </c>
      <c r="L4124" t="s">
        <v>8642</v>
      </c>
      <c r="M4124">
        <v>101.42</v>
      </c>
      <c r="N4124">
        <v>4</v>
      </c>
      <c r="O4124">
        <v>0.31</v>
      </c>
      <c r="P4124">
        <v>-3.19</v>
      </c>
      <c r="Q4124" t="s">
        <v>9895</v>
      </c>
      <c r="R4124">
        <v>2</v>
      </c>
      <c r="S4124" s="5">
        <f t="shared" si="128"/>
        <v>-3.1453362255965289E-2</v>
      </c>
      <c r="T4124">
        <v>25.355</v>
      </c>
      <c r="U4124">
        <v>12</v>
      </c>
      <c r="V4124">
        <v>2023</v>
      </c>
      <c r="W4124">
        <v>4</v>
      </c>
      <c r="X4124" t="s">
        <v>9898</v>
      </c>
      <c r="Y4124" t="s">
        <v>9902</v>
      </c>
      <c r="Z4124" t="s">
        <v>9899</v>
      </c>
      <c r="AD4124">
        <f t="shared" si="129"/>
        <v>2</v>
      </c>
    </row>
    <row r="4125" spans="1:30" x14ac:dyDescent="0.25">
      <c r="A4125" t="s">
        <v>4149</v>
      </c>
      <c r="B4125" s="2">
        <v>45377</v>
      </c>
      <c r="C4125" s="2">
        <v>45379</v>
      </c>
      <c r="D4125" t="s">
        <v>5210</v>
      </c>
      <c r="E4125" t="s">
        <v>5710</v>
      </c>
      <c r="F4125" t="s">
        <v>6028</v>
      </c>
      <c r="G4125" t="s">
        <v>6029</v>
      </c>
      <c r="H4125" t="s">
        <v>6036</v>
      </c>
      <c r="I4125" t="s">
        <v>6049</v>
      </c>
      <c r="J4125" t="s">
        <v>6054</v>
      </c>
      <c r="K4125" t="s">
        <v>6060</v>
      </c>
      <c r="L4125" t="s">
        <v>9355</v>
      </c>
      <c r="M4125">
        <v>732.6</v>
      </c>
      <c r="N4125">
        <v>6</v>
      </c>
      <c r="O4125">
        <v>0.19</v>
      </c>
      <c r="P4125">
        <v>75.36</v>
      </c>
      <c r="Q4125" t="s">
        <v>9894</v>
      </c>
      <c r="R4125">
        <v>2</v>
      </c>
      <c r="S4125" s="5">
        <f t="shared" si="128"/>
        <v>0.10286650286650287</v>
      </c>
      <c r="T4125">
        <v>122.1</v>
      </c>
      <c r="U4125">
        <v>3</v>
      </c>
      <c r="V4125">
        <v>2024</v>
      </c>
      <c r="W4125">
        <v>1</v>
      </c>
      <c r="X4125" t="s">
        <v>9899</v>
      </c>
      <c r="Y4125" t="s">
        <v>9900</v>
      </c>
      <c r="Z4125" t="s">
        <v>9899</v>
      </c>
      <c r="AD4125">
        <f t="shared" si="129"/>
        <v>2</v>
      </c>
    </row>
    <row r="4126" spans="1:30" x14ac:dyDescent="0.25">
      <c r="A4126" t="s">
        <v>4150</v>
      </c>
      <c r="B4126" s="2">
        <v>44727</v>
      </c>
      <c r="C4126" s="2">
        <v>44728</v>
      </c>
      <c r="D4126" t="s">
        <v>5394</v>
      </c>
      <c r="E4126" t="s">
        <v>5894</v>
      </c>
      <c r="F4126" t="s">
        <v>6028</v>
      </c>
      <c r="G4126" t="s">
        <v>6031</v>
      </c>
      <c r="H4126" t="s">
        <v>6043</v>
      </c>
      <c r="I4126" t="s">
        <v>6052</v>
      </c>
      <c r="J4126" t="s">
        <v>6055</v>
      </c>
      <c r="K4126" t="s">
        <v>6061</v>
      </c>
      <c r="L4126" t="s">
        <v>6537</v>
      </c>
      <c r="M4126">
        <v>967.77</v>
      </c>
      <c r="N4126">
        <v>7</v>
      </c>
      <c r="O4126">
        <v>7.0000000000000007E-2</v>
      </c>
      <c r="P4126">
        <v>160.99</v>
      </c>
      <c r="Q4126" t="s">
        <v>9893</v>
      </c>
      <c r="R4126">
        <v>1</v>
      </c>
      <c r="S4126" s="5">
        <f t="shared" si="128"/>
        <v>0.16635150913956831</v>
      </c>
      <c r="T4126">
        <v>138.25285714285721</v>
      </c>
      <c r="U4126">
        <v>6</v>
      </c>
      <c r="V4126">
        <v>2022</v>
      </c>
      <c r="W4126">
        <v>2</v>
      </c>
      <c r="X4126" t="s">
        <v>9899</v>
      </c>
      <c r="Y4126" t="s">
        <v>9901</v>
      </c>
      <c r="Z4126" t="s">
        <v>9899</v>
      </c>
      <c r="AD4126">
        <f t="shared" si="129"/>
        <v>1</v>
      </c>
    </row>
    <row r="4127" spans="1:30" x14ac:dyDescent="0.25">
      <c r="A4127" t="s">
        <v>4151</v>
      </c>
      <c r="B4127" s="2">
        <v>45423</v>
      </c>
      <c r="C4127" s="2">
        <v>45429</v>
      </c>
      <c r="D4127" t="s">
        <v>5126</v>
      </c>
      <c r="E4127" t="s">
        <v>5626</v>
      </c>
      <c r="F4127" t="s">
        <v>6028</v>
      </c>
      <c r="G4127" t="s">
        <v>6030</v>
      </c>
      <c r="H4127" t="s">
        <v>6039</v>
      </c>
      <c r="I4127" t="s">
        <v>6051</v>
      </c>
      <c r="J4127" t="s">
        <v>6055</v>
      </c>
      <c r="K4127" t="s">
        <v>6061</v>
      </c>
      <c r="L4127" t="s">
        <v>9356</v>
      </c>
      <c r="M4127">
        <v>100.77</v>
      </c>
      <c r="N4127">
        <v>6</v>
      </c>
      <c r="O4127">
        <v>0.31</v>
      </c>
      <c r="P4127">
        <v>-12.26</v>
      </c>
      <c r="Q4127" t="s">
        <v>9893</v>
      </c>
      <c r="R4127">
        <v>6</v>
      </c>
      <c r="S4127" s="5">
        <f t="shared" si="128"/>
        <v>-0.12166319341073732</v>
      </c>
      <c r="T4127">
        <v>16.795000000000002</v>
      </c>
      <c r="U4127">
        <v>5</v>
      </c>
      <c r="V4127">
        <v>2024</v>
      </c>
      <c r="W4127">
        <v>2</v>
      </c>
      <c r="X4127" t="s">
        <v>9898</v>
      </c>
      <c r="Y4127" t="s">
        <v>9902</v>
      </c>
      <c r="Z4127" t="s">
        <v>9899</v>
      </c>
      <c r="AD4127">
        <f t="shared" si="129"/>
        <v>6</v>
      </c>
    </row>
    <row r="4128" spans="1:30" x14ac:dyDescent="0.25">
      <c r="A4128" t="s">
        <v>4152</v>
      </c>
      <c r="B4128" s="2">
        <v>45283</v>
      </c>
      <c r="C4128" s="2">
        <v>45287</v>
      </c>
      <c r="D4128" t="s">
        <v>5186</v>
      </c>
      <c r="E4128" t="s">
        <v>5686</v>
      </c>
      <c r="F4128" t="s">
        <v>6026</v>
      </c>
      <c r="G4128" t="s">
        <v>6029</v>
      </c>
      <c r="H4128" t="s">
        <v>6036</v>
      </c>
      <c r="I4128" t="s">
        <v>6046</v>
      </c>
      <c r="J4128" t="s">
        <v>6053</v>
      </c>
      <c r="K4128" t="s">
        <v>6057</v>
      </c>
      <c r="L4128" t="s">
        <v>9357</v>
      </c>
      <c r="M4128">
        <v>1453.99</v>
      </c>
      <c r="N4128">
        <v>7</v>
      </c>
      <c r="O4128">
        <v>0.33</v>
      </c>
      <c r="P4128">
        <v>-216.87</v>
      </c>
      <c r="Q4128" t="s">
        <v>9894</v>
      </c>
      <c r="R4128">
        <v>4</v>
      </c>
      <c r="S4128" s="5">
        <f t="shared" si="128"/>
        <v>-0.14915508359754881</v>
      </c>
      <c r="T4128">
        <v>207.7128571428571</v>
      </c>
      <c r="U4128">
        <v>12</v>
      </c>
      <c r="V4128">
        <v>2023</v>
      </c>
      <c r="W4128">
        <v>4</v>
      </c>
      <c r="X4128" t="s">
        <v>9898</v>
      </c>
      <c r="Y4128" t="s">
        <v>9902</v>
      </c>
      <c r="Z4128" t="s">
        <v>9898</v>
      </c>
      <c r="AD4128">
        <f t="shared" si="129"/>
        <v>4</v>
      </c>
    </row>
    <row r="4129" spans="1:30" x14ac:dyDescent="0.25">
      <c r="A4129" t="s">
        <v>4153</v>
      </c>
      <c r="B4129" s="2">
        <v>44965</v>
      </c>
      <c r="C4129" s="2">
        <v>44969</v>
      </c>
      <c r="D4129" t="s">
        <v>5120</v>
      </c>
      <c r="E4129" t="s">
        <v>5620</v>
      </c>
      <c r="F4129" t="s">
        <v>6026</v>
      </c>
      <c r="G4129" t="s">
        <v>6031</v>
      </c>
      <c r="H4129" t="s">
        <v>6034</v>
      </c>
      <c r="I4129" t="s">
        <v>6048</v>
      </c>
      <c r="J4129" t="s">
        <v>6053</v>
      </c>
      <c r="K4129" t="s">
        <v>6057</v>
      </c>
      <c r="L4129" t="s">
        <v>8403</v>
      </c>
      <c r="M4129">
        <v>578.73</v>
      </c>
      <c r="N4129">
        <v>8</v>
      </c>
      <c r="O4129">
        <v>0.28000000000000003</v>
      </c>
      <c r="P4129">
        <v>-47.61</v>
      </c>
      <c r="Q4129" t="s">
        <v>9896</v>
      </c>
      <c r="R4129">
        <v>4</v>
      </c>
      <c r="S4129" s="5">
        <f t="shared" si="128"/>
        <v>-8.2266341817427813E-2</v>
      </c>
      <c r="T4129">
        <v>72.341250000000002</v>
      </c>
      <c r="U4129">
        <v>2</v>
      </c>
      <c r="V4129">
        <v>2023</v>
      </c>
      <c r="W4129">
        <v>1</v>
      </c>
      <c r="X4129" t="s">
        <v>9898</v>
      </c>
      <c r="Y4129" t="s">
        <v>9900</v>
      </c>
      <c r="Z4129" t="s">
        <v>9899</v>
      </c>
      <c r="AD4129">
        <f t="shared" si="129"/>
        <v>4</v>
      </c>
    </row>
    <row r="4130" spans="1:30" x14ac:dyDescent="0.25">
      <c r="A4130" t="s">
        <v>4154</v>
      </c>
      <c r="B4130" s="2">
        <v>44579</v>
      </c>
      <c r="C4130" s="2">
        <v>44582</v>
      </c>
      <c r="D4130" t="s">
        <v>5235</v>
      </c>
      <c r="E4130" t="s">
        <v>5735</v>
      </c>
      <c r="F4130" t="s">
        <v>6027</v>
      </c>
      <c r="G4130" t="s">
        <v>6029</v>
      </c>
      <c r="H4130" t="s">
        <v>6036</v>
      </c>
      <c r="I4130" t="s">
        <v>6046</v>
      </c>
      <c r="J4130" t="s">
        <v>6054</v>
      </c>
      <c r="K4130" t="s">
        <v>6060</v>
      </c>
      <c r="L4130" t="s">
        <v>9358</v>
      </c>
      <c r="M4130">
        <v>969.43</v>
      </c>
      <c r="N4130">
        <v>8</v>
      </c>
      <c r="O4130">
        <v>0.12</v>
      </c>
      <c r="P4130">
        <v>39.630000000000003</v>
      </c>
      <c r="Q4130" t="s">
        <v>9894</v>
      </c>
      <c r="R4130">
        <v>3</v>
      </c>
      <c r="S4130" s="5">
        <f t="shared" si="128"/>
        <v>4.0879692190256132E-2</v>
      </c>
      <c r="T4130">
        <v>121.17874999999999</v>
      </c>
      <c r="U4130">
        <v>1</v>
      </c>
      <c r="V4130">
        <v>2022</v>
      </c>
      <c r="W4130">
        <v>1</v>
      </c>
      <c r="X4130" t="s">
        <v>9899</v>
      </c>
      <c r="Y4130" t="s">
        <v>9901</v>
      </c>
      <c r="Z4130" t="s">
        <v>9899</v>
      </c>
      <c r="AD4130">
        <f t="shared" si="129"/>
        <v>3</v>
      </c>
    </row>
    <row r="4131" spans="1:30" x14ac:dyDescent="0.25">
      <c r="A4131" t="s">
        <v>4155</v>
      </c>
      <c r="B4131" s="2">
        <v>45393</v>
      </c>
      <c r="C4131" s="2">
        <v>45399</v>
      </c>
      <c r="D4131" t="s">
        <v>5380</v>
      </c>
      <c r="E4131" t="s">
        <v>5880</v>
      </c>
      <c r="F4131" t="s">
        <v>6026</v>
      </c>
      <c r="G4131" t="s">
        <v>6031</v>
      </c>
      <c r="H4131" t="s">
        <v>6037</v>
      </c>
      <c r="I4131" t="s">
        <v>6048</v>
      </c>
      <c r="J4131" t="s">
        <v>6053</v>
      </c>
      <c r="K4131" t="s">
        <v>6056</v>
      </c>
      <c r="L4131" t="s">
        <v>9359</v>
      </c>
      <c r="M4131">
        <v>772.85</v>
      </c>
      <c r="N4131">
        <v>3</v>
      </c>
      <c r="O4131">
        <v>0.18</v>
      </c>
      <c r="P4131">
        <v>-60.51</v>
      </c>
      <c r="Q4131" t="s">
        <v>9894</v>
      </c>
      <c r="R4131">
        <v>6</v>
      </c>
      <c r="S4131" s="5">
        <f t="shared" si="128"/>
        <v>-7.8294623795044316E-2</v>
      </c>
      <c r="T4131">
        <v>257.61666666666667</v>
      </c>
      <c r="U4131">
        <v>4</v>
      </c>
      <c r="V4131">
        <v>2024</v>
      </c>
      <c r="W4131">
        <v>2</v>
      </c>
      <c r="X4131" t="s">
        <v>9898</v>
      </c>
      <c r="Y4131" t="s">
        <v>9900</v>
      </c>
      <c r="Z4131" t="s">
        <v>9899</v>
      </c>
      <c r="AD4131">
        <f t="shared" si="129"/>
        <v>6</v>
      </c>
    </row>
    <row r="4132" spans="1:30" x14ac:dyDescent="0.25">
      <c r="A4132" t="s">
        <v>4156</v>
      </c>
      <c r="B4132" s="2">
        <v>45217</v>
      </c>
      <c r="C4132" s="2">
        <v>45221</v>
      </c>
      <c r="D4132" t="s">
        <v>5172</v>
      </c>
      <c r="E4132" t="s">
        <v>5672</v>
      </c>
      <c r="F4132" t="s">
        <v>6028</v>
      </c>
      <c r="G4132" t="s">
        <v>6030</v>
      </c>
      <c r="H4132" t="s">
        <v>6038</v>
      </c>
      <c r="I4132" t="s">
        <v>6051</v>
      </c>
      <c r="J4132" t="s">
        <v>6055</v>
      </c>
      <c r="K4132" t="s">
        <v>6064</v>
      </c>
      <c r="L4132" t="s">
        <v>9360</v>
      </c>
      <c r="M4132">
        <v>1743.17</v>
      </c>
      <c r="N4132">
        <v>4</v>
      </c>
      <c r="O4132">
        <v>0.35</v>
      </c>
      <c r="P4132">
        <v>-373.52</v>
      </c>
      <c r="Q4132" t="s">
        <v>9893</v>
      </c>
      <c r="R4132">
        <v>4</v>
      </c>
      <c r="S4132" s="5">
        <f t="shared" si="128"/>
        <v>-0.21427628974798785</v>
      </c>
      <c r="T4132">
        <v>435.79250000000002</v>
      </c>
      <c r="U4132">
        <v>10</v>
      </c>
      <c r="V4132">
        <v>2023</v>
      </c>
      <c r="W4132">
        <v>4</v>
      </c>
      <c r="X4132" t="s">
        <v>9898</v>
      </c>
      <c r="Y4132" t="s">
        <v>9902</v>
      </c>
      <c r="Z4132" t="s">
        <v>9898</v>
      </c>
      <c r="AD4132">
        <f t="shared" si="129"/>
        <v>4</v>
      </c>
    </row>
    <row r="4133" spans="1:30" x14ac:dyDescent="0.25">
      <c r="A4133" t="s">
        <v>4157</v>
      </c>
      <c r="B4133" s="2">
        <v>44789</v>
      </c>
      <c r="C4133" s="2">
        <v>44790</v>
      </c>
      <c r="D4133" t="s">
        <v>5330</v>
      </c>
      <c r="E4133" t="s">
        <v>5830</v>
      </c>
      <c r="F4133" t="s">
        <v>6028</v>
      </c>
      <c r="G4133" t="s">
        <v>6029</v>
      </c>
      <c r="H4133" t="s">
        <v>6044</v>
      </c>
      <c r="I4133" t="s">
        <v>6046</v>
      </c>
      <c r="J4133" t="s">
        <v>6054</v>
      </c>
      <c r="K4133" t="s">
        <v>6062</v>
      </c>
      <c r="L4133" t="s">
        <v>9361</v>
      </c>
      <c r="M4133">
        <v>1432.05</v>
      </c>
      <c r="N4133">
        <v>2</v>
      </c>
      <c r="O4133">
        <v>0.24</v>
      </c>
      <c r="P4133">
        <v>25.46</v>
      </c>
      <c r="Q4133" t="s">
        <v>9897</v>
      </c>
      <c r="R4133">
        <v>1</v>
      </c>
      <c r="S4133" s="5">
        <f t="shared" si="128"/>
        <v>1.7778708843964947E-2</v>
      </c>
      <c r="T4133">
        <v>716.02499999999998</v>
      </c>
      <c r="U4133">
        <v>8</v>
      </c>
      <c r="V4133">
        <v>2022</v>
      </c>
      <c r="W4133">
        <v>3</v>
      </c>
      <c r="X4133" t="s">
        <v>9899</v>
      </c>
      <c r="Y4133" t="s">
        <v>9900</v>
      </c>
      <c r="Z4133" t="s">
        <v>9898</v>
      </c>
      <c r="AD4133">
        <f t="shared" si="129"/>
        <v>1</v>
      </c>
    </row>
    <row r="4134" spans="1:30" x14ac:dyDescent="0.25">
      <c r="A4134" t="s">
        <v>4158</v>
      </c>
      <c r="B4134" s="2">
        <v>45235</v>
      </c>
      <c r="C4134" s="2">
        <v>45241</v>
      </c>
      <c r="D4134" t="s">
        <v>5337</v>
      </c>
      <c r="E4134" t="s">
        <v>5837</v>
      </c>
      <c r="F4134" t="s">
        <v>6026</v>
      </c>
      <c r="G4134" t="s">
        <v>6031</v>
      </c>
      <c r="H4134" t="s">
        <v>6034</v>
      </c>
      <c r="I4134" t="s">
        <v>6048</v>
      </c>
      <c r="J4134" t="s">
        <v>6053</v>
      </c>
      <c r="K4134" t="s">
        <v>6058</v>
      </c>
      <c r="L4134" t="s">
        <v>9362</v>
      </c>
      <c r="M4134">
        <v>1569</v>
      </c>
      <c r="N4134">
        <v>7</v>
      </c>
      <c r="O4134">
        <v>0.11</v>
      </c>
      <c r="P4134">
        <v>114.16</v>
      </c>
      <c r="Q4134" t="s">
        <v>9893</v>
      </c>
      <c r="R4134">
        <v>6</v>
      </c>
      <c r="S4134" s="5">
        <f t="shared" si="128"/>
        <v>7.2759719566602932E-2</v>
      </c>
      <c r="T4134">
        <v>224.14285714285711</v>
      </c>
      <c r="U4134">
        <v>11</v>
      </c>
      <c r="V4134">
        <v>2023</v>
      </c>
      <c r="W4134">
        <v>4</v>
      </c>
      <c r="X4134" t="s">
        <v>9899</v>
      </c>
      <c r="Y4134" t="s">
        <v>9901</v>
      </c>
      <c r="Z4134" t="s">
        <v>9898</v>
      </c>
      <c r="AD4134">
        <f t="shared" si="129"/>
        <v>6</v>
      </c>
    </row>
    <row r="4135" spans="1:30" x14ac:dyDescent="0.25">
      <c r="A4135" t="s">
        <v>4159</v>
      </c>
      <c r="B4135" s="2">
        <v>45462</v>
      </c>
      <c r="C4135" s="2">
        <v>45469</v>
      </c>
      <c r="D4135" t="s">
        <v>5452</v>
      </c>
      <c r="E4135" t="s">
        <v>5952</v>
      </c>
      <c r="F4135" t="s">
        <v>6026</v>
      </c>
      <c r="G4135" t="s">
        <v>6029</v>
      </c>
      <c r="H4135" t="s">
        <v>6044</v>
      </c>
      <c r="I4135" t="s">
        <v>6049</v>
      </c>
      <c r="J4135" t="s">
        <v>6054</v>
      </c>
      <c r="K4135" t="s">
        <v>6059</v>
      </c>
      <c r="L4135" t="s">
        <v>9363</v>
      </c>
      <c r="M4135">
        <v>566.05999999999995</v>
      </c>
      <c r="N4135">
        <v>8</v>
      </c>
      <c r="O4135">
        <v>0.06</v>
      </c>
      <c r="P4135">
        <v>51.63</v>
      </c>
      <c r="Q4135" t="s">
        <v>9896</v>
      </c>
      <c r="R4135">
        <v>7</v>
      </c>
      <c r="S4135" s="5">
        <f t="shared" si="128"/>
        <v>9.1209412429777773E-2</v>
      </c>
      <c r="T4135">
        <v>70.757499999999993</v>
      </c>
      <c r="U4135">
        <v>6</v>
      </c>
      <c r="V4135">
        <v>2024</v>
      </c>
      <c r="W4135">
        <v>2</v>
      </c>
      <c r="X4135" t="s">
        <v>9899</v>
      </c>
      <c r="Y4135" t="s">
        <v>9901</v>
      </c>
      <c r="Z4135" t="s">
        <v>9899</v>
      </c>
      <c r="AD4135">
        <f t="shared" si="129"/>
        <v>7</v>
      </c>
    </row>
    <row r="4136" spans="1:30" x14ac:dyDescent="0.25">
      <c r="A4136" t="s">
        <v>4160</v>
      </c>
      <c r="B4136" s="2">
        <v>45367</v>
      </c>
      <c r="C4136" s="2">
        <v>45370</v>
      </c>
      <c r="D4136" t="s">
        <v>5076</v>
      </c>
      <c r="E4136" t="s">
        <v>5576</v>
      </c>
      <c r="F4136" t="s">
        <v>6027</v>
      </c>
      <c r="G4136" t="s">
        <v>6030</v>
      </c>
      <c r="H4136" t="s">
        <v>6033</v>
      </c>
      <c r="I4136" t="s">
        <v>6051</v>
      </c>
      <c r="J4136" t="s">
        <v>6054</v>
      </c>
      <c r="K4136" t="s">
        <v>6062</v>
      </c>
      <c r="L4136" t="s">
        <v>9364</v>
      </c>
      <c r="M4136">
        <v>782.65</v>
      </c>
      <c r="N4136">
        <v>8</v>
      </c>
      <c r="O4136">
        <v>0.27</v>
      </c>
      <c r="P4136">
        <v>0.22</v>
      </c>
      <c r="Q4136" t="s">
        <v>9895</v>
      </c>
      <c r="R4136">
        <v>3</v>
      </c>
      <c r="S4136" s="5">
        <f t="shared" si="128"/>
        <v>2.8109627547434998E-4</v>
      </c>
      <c r="T4136">
        <v>97.831249999999997</v>
      </c>
      <c r="U4136">
        <v>3</v>
      </c>
      <c r="V4136">
        <v>2024</v>
      </c>
      <c r="W4136">
        <v>1</v>
      </c>
      <c r="X4136" t="s">
        <v>9899</v>
      </c>
      <c r="Y4136" t="s">
        <v>9900</v>
      </c>
      <c r="Z4136" t="s">
        <v>9899</v>
      </c>
      <c r="AD4136">
        <f t="shared" si="129"/>
        <v>3</v>
      </c>
    </row>
    <row r="4137" spans="1:30" x14ac:dyDescent="0.25">
      <c r="A4137" t="s">
        <v>4161</v>
      </c>
      <c r="B4137" s="2">
        <v>45116</v>
      </c>
      <c r="C4137" s="2">
        <v>45117</v>
      </c>
      <c r="D4137" t="s">
        <v>5507</v>
      </c>
      <c r="E4137" t="s">
        <v>6007</v>
      </c>
      <c r="F4137" t="s">
        <v>6028</v>
      </c>
      <c r="G4137" t="s">
        <v>6031</v>
      </c>
      <c r="H4137" t="s">
        <v>6043</v>
      </c>
      <c r="I4137" t="s">
        <v>6052</v>
      </c>
      <c r="J4137" t="s">
        <v>6053</v>
      </c>
      <c r="K4137" t="s">
        <v>6057</v>
      </c>
      <c r="L4137" t="s">
        <v>9365</v>
      </c>
      <c r="M4137">
        <v>533.63</v>
      </c>
      <c r="N4137">
        <v>8</v>
      </c>
      <c r="O4137">
        <v>0.3</v>
      </c>
      <c r="P4137">
        <v>-87.99</v>
      </c>
      <c r="Q4137" t="s">
        <v>9893</v>
      </c>
      <c r="R4137">
        <v>1</v>
      </c>
      <c r="S4137" s="5">
        <f t="shared" si="128"/>
        <v>-0.16488953019882691</v>
      </c>
      <c r="T4137">
        <v>66.703749999999999</v>
      </c>
      <c r="U4137">
        <v>7</v>
      </c>
      <c r="V4137">
        <v>2023</v>
      </c>
      <c r="W4137">
        <v>3</v>
      </c>
      <c r="X4137" t="s">
        <v>9898</v>
      </c>
      <c r="Y4137" t="s">
        <v>9900</v>
      </c>
      <c r="Z4137" t="s">
        <v>9899</v>
      </c>
      <c r="AD4137">
        <f t="shared" si="129"/>
        <v>1</v>
      </c>
    </row>
    <row r="4138" spans="1:30" x14ac:dyDescent="0.25">
      <c r="A4138" t="s">
        <v>4162</v>
      </c>
      <c r="B4138" s="2">
        <v>45380</v>
      </c>
      <c r="C4138" s="2">
        <v>45384</v>
      </c>
      <c r="D4138" t="s">
        <v>5351</v>
      </c>
      <c r="E4138" t="s">
        <v>5851</v>
      </c>
      <c r="F4138" t="s">
        <v>6027</v>
      </c>
      <c r="G4138" t="s">
        <v>6031</v>
      </c>
      <c r="H4138" t="s">
        <v>6042</v>
      </c>
      <c r="I4138" t="s">
        <v>6052</v>
      </c>
      <c r="J4138" t="s">
        <v>6054</v>
      </c>
      <c r="K4138" t="s">
        <v>6062</v>
      </c>
      <c r="L4138" t="s">
        <v>9366</v>
      </c>
      <c r="M4138">
        <v>657.66</v>
      </c>
      <c r="N4138">
        <v>2</v>
      </c>
      <c r="O4138">
        <v>0.09</v>
      </c>
      <c r="P4138">
        <v>57.04</v>
      </c>
      <c r="Q4138" t="s">
        <v>9893</v>
      </c>
      <c r="R4138">
        <v>4</v>
      </c>
      <c r="S4138" s="5">
        <f t="shared" si="128"/>
        <v>8.6731745886932457E-2</v>
      </c>
      <c r="T4138">
        <v>328.83</v>
      </c>
      <c r="U4138">
        <v>3</v>
      </c>
      <c r="V4138">
        <v>2024</v>
      </c>
      <c r="W4138">
        <v>1</v>
      </c>
      <c r="X4138" t="s">
        <v>9899</v>
      </c>
      <c r="Y4138" t="s">
        <v>9901</v>
      </c>
      <c r="Z4138" t="s">
        <v>9899</v>
      </c>
      <c r="AD4138">
        <f t="shared" si="129"/>
        <v>4</v>
      </c>
    </row>
    <row r="4139" spans="1:30" x14ac:dyDescent="0.25">
      <c r="A4139" t="s">
        <v>4163</v>
      </c>
      <c r="B4139" s="2">
        <v>44959</v>
      </c>
      <c r="C4139" s="2">
        <v>44962</v>
      </c>
      <c r="D4139" t="s">
        <v>5050</v>
      </c>
      <c r="E4139" t="s">
        <v>5550</v>
      </c>
      <c r="F4139" t="s">
        <v>6026</v>
      </c>
      <c r="G4139" t="s">
        <v>6029</v>
      </c>
      <c r="H4139" t="s">
        <v>6041</v>
      </c>
      <c r="I4139" t="s">
        <v>6050</v>
      </c>
      <c r="J4139" t="s">
        <v>6055</v>
      </c>
      <c r="K4139" t="s">
        <v>6061</v>
      </c>
      <c r="L4139" t="s">
        <v>7987</v>
      </c>
      <c r="M4139">
        <v>918.1</v>
      </c>
      <c r="N4139">
        <v>2</v>
      </c>
      <c r="O4139">
        <v>0.16</v>
      </c>
      <c r="P4139">
        <v>44.54</v>
      </c>
      <c r="Q4139" t="s">
        <v>9896</v>
      </c>
      <c r="R4139">
        <v>3</v>
      </c>
      <c r="S4139" s="5">
        <f t="shared" si="128"/>
        <v>4.8513233852521508E-2</v>
      </c>
      <c r="T4139">
        <v>459.05</v>
      </c>
      <c r="U4139">
        <v>2</v>
      </c>
      <c r="V4139">
        <v>2023</v>
      </c>
      <c r="W4139">
        <v>1</v>
      </c>
      <c r="X4139" t="s">
        <v>9899</v>
      </c>
      <c r="Y4139" t="s">
        <v>9900</v>
      </c>
      <c r="Z4139" t="s">
        <v>9899</v>
      </c>
      <c r="AD4139">
        <f t="shared" si="129"/>
        <v>3</v>
      </c>
    </row>
    <row r="4140" spans="1:30" x14ac:dyDescent="0.25">
      <c r="A4140" t="s">
        <v>4164</v>
      </c>
      <c r="B4140" s="2">
        <v>45064</v>
      </c>
      <c r="C4140" s="2">
        <v>45069</v>
      </c>
      <c r="D4140" t="s">
        <v>5106</v>
      </c>
      <c r="E4140" t="s">
        <v>5606</v>
      </c>
      <c r="F4140" t="s">
        <v>6028</v>
      </c>
      <c r="G4140" t="s">
        <v>6031</v>
      </c>
      <c r="H4140" t="s">
        <v>6037</v>
      </c>
      <c r="I4140" t="s">
        <v>6048</v>
      </c>
      <c r="J4140" t="s">
        <v>6054</v>
      </c>
      <c r="K4140" t="s">
        <v>6062</v>
      </c>
      <c r="L4140" t="s">
        <v>9367</v>
      </c>
      <c r="M4140">
        <v>1082.1300000000001</v>
      </c>
      <c r="N4140">
        <v>4</v>
      </c>
      <c r="O4140">
        <v>0.31</v>
      </c>
      <c r="P4140">
        <v>-149.19999999999999</v>
      </c>
      <c r="Q4140" t="s">
        <v>9896</v>
      </c>
      <c r="R4140">
        <v>5</v>
      </c>
      <c r="S4140" s="5">
        <f t="shared" si="128"/>
        <v>-0.13787622559211923</v>
      </c>
      <c r="T4140">
        <v>270.53250000000003</v>
      </c>
      <c r="U4140">
        <v>5</v>
      </c>
      <c r="V4140">
        <v>2023</v>
      </c>
      <c r="W4140">
        <v>2</v>
      </c>
      <c r="X4140" t="s">
        <v>9898</v>
      </c>
      <c r="Y4140" t="s">
        <v>9902</v>
      </c>
      <c r="Z4140" t="s">
        <v>9898</v>
      </c>
      <c r="AD4140">
        <f t="shared" si="129"/>
        <v>5</v>
      </c>
    </row>
    <row r="4141" spans="1:30" x14ac:dyDescent="0.25">
      <c r="A4141" t="s">
        <v>4165</v>
      </c>
      <c r="B4141" s="2">
        <v>44870</v>
      </c>
      <c r="C4141" s="2">
        <v>44874</v>
      </c>
      <c r="D4141" t="s">
        <v>5080</v>
      </c>
      <c r="E4141" t="s">
        <v>5580</v>
      </c>
      <c r="F4141" t="s">
        <v>6026</v>
      </c>
      <c r="G4141" t="s">
        <v>6029</v>
      </c>
      <c r="H4141" t="s">
        <v>6044</v>
      </c>
      <c r="I4141" t="s">
        <v>6046</v>
      </c>
      <c r="J4141" t="s">
        <v>6053</v>
      </c>
      <c r="K4141" t="s">
        <v>6058</v>
      </c>
      <c r="L4141" t="s">
        <v>9368</v>
      </c>
      <c r="M4141">
        <v>1305.57</v>
      </c>
      <c r="N4141">
        <v>3</v>
      </c>
      <c r="O4141">
        <v>0.01</v>
      </c>
      <c r="P4141">
        <v>201.08</v>
      </c>
      <c r="Q4141" t="s">
        <v>9894</v>
      </c>
      <c r="R4141">
        <v>4</v>
      </c>
      <c r="S4141" s="5">
        <f t="shared" si="128"/>
        <v>0.15401701938616852</v>
      </c>
      <c r="T4141">
        <v>435.19</v>
      </c>
      <c r="U4141">
        <v>11</v>
      </c>
      <c r="V4141">
        <v>2022</v>
      </c>
      <c r="W4141">
        <v>4</v>
      </c>
      <c r="X4141" t="s">
        <v>9899</v>
      </c>
      <c r="Y4141" t="s">
        <v>9901</v>
      </c>
      <c r="Z4141" t="s">
        <v>9898</v>
      </c>
      <c r="AD4141">
        <f t="shared" si="129"/>
        <v>4</v>
      </c>
    </row>
    <row r="4142" spans="1:30" x14ac:dyDescent="0.25">
      <c r="A4142" t="s">
        <v>4166</v>
      </c>
      <c r="B4142" s="2">
        <v>44811</v>
      </c>
      <c r="C4142" s="2">
        <v>44818</v>
      </c>
      <c r="D4142" t="s">
        <v>5266</v>
      </c>
      <c r="E4142" t="s">
        <v>5766</v>
      </c>
      <c r="F4142" t="s">
        <v>6027</v>
      </c>
      <c r="G4142" t="s">
        <v>6029</v>
      </c>
      <c r="H4142" t="s">
        <v>6044</v>
      </c>
      <c r="I4142" t="s">
        <v>6046</v>
      </c>
      <c r="J4142" t="s">
        <v>6055</v>
      </c>
      <c r="K4142" t="s">
        <v>6061</v>
      </c>
      <c r="L4142" t="s">
        <v>7934</v>
      </c>
      <c r="M4142">
        <v>1870.72</v>
      </c>
      <c r="N4142">
        <v>3</v>
      </c>
      <c r="O4142">
        <v>0.17</v>
      </c>
      <c r="P4142">
        <v>-120.14</v>
      </c>
      <c r="Q4142" t="s">
        <v>9897</v>
      </c>
      <c r="R4142">
        <v>7</v>
      </c>
      <c r="S4142" s="5">
        <f t="shared" si="128"/>
        <v>-6.4221262401642151E-2</v>
      </c>
      <c r="T4142">
        <v>623.57333333333338</v>
      </c>
      <c r="U4142">
        <v>9</v>
      </c>
      <c r="V4142">
        <v>2022</v>
      </c>
      <c r="W4142">
        <v>3</v>
      </c>
      <c r="X4142" t="s">
        <v>9898</v>
      </c>
      <c r="Y4142" t="s">
        <v>9900</v>
      </c>
      <c r="Z4142" t="s">
        <v>9898</v>
      </c>
      <c r="AD4142">
        <f t="shared" si="129"/>
        <v>7</v>
      </c>
    </row>
    <row r="4143" spans="1:30" x14ac:dyDescent="0.25">
      <c r="A4143" t="s">
        <v>4167</v>
      </c>
      <c r="B4143" s="2">
        <v>45317</v>
      </c>
      <c r="C4143" s="2">
        <v>45320</v>
      </c>
      <c r="D4143" t="s">
        <v>5168</v>
      </c>
      <c r="E4143" t="s">
        <v>5668</v>
      </c>
      <c r="F4143" t="s">
        <v>6027</v>
      </c>
      <c r="G4143" t="s">
        <v>6029</v>
      </c>
      <c r="H4143" t="s">
        <v>6032</v>
      </c>
      <c r="I4143" t="s">
        <v>6050</v>
      </c>
      <c r="J4143" t="s">
        <v>6053</v>
      </c>
      <c r="K4143" t="s">
        <v>6056</v>
      </c>
      <c r="L4143" t="s">
        <v>9369</v>
      </c>
      <c r="M4143">
        <v>1744.85</v>
      </c>
      <c r="N4143">
        <v>2</v>
      </c>
      <c r="O4143">
        <v>0.24</v>
      </c>
      <c r="P4143">
        <v>-85.11</v>
      </c>
      <c r="Q4143" t="s">
        <v>9895</v>
      </c>
      <c r="R4143">
        <v>3</v>
      </c>
      <c r="S4143" s="5">
        <f t="shared" si="128"/>
        <v>-4.8777831905321374E-2</v>
      </c>
      <c r="T4143">
        <v>872.42499999999995</v>
      </c>
      <c r="U4143">
        <v>1</v>
      </c>
      <c r="V4143">
        <v>2024</v>
      </c>
      <c r="W4143">
        <v>1</v>
      </c>
      <c r="X4143" t="s">
        <v>9898</v>
      </c>
      <c r="Y4143" t="s">
        <v>9900</v>
      </c>
      <c r="Z4143" t="s">
        <v>9898</v>
      </c>
      <c r="AD4143">
        <f t="shared" si="129"/>
        <v>3</v>
      </c>
    </row>
    <row r="4144" spans="1:30" x14ac:dyDescent="0.25">
      <c r="A4144" t="s">
        <v>4168</v>
      </c>
      <c r="B4144" s="2">
        <v>45256</v>
      </c>
      <c r="C4144" s="2">
        <v>45259</v>
      </c>
      <c r="D4144" t="s">
        <v>5380</v>
      </c>
      <c r="E4144" t="s">
        <v>5880</v>
      </c>
      <c r="F4144" t="s">
        <v>6028</v>
      </c>
      <c r="G4144" t="s">
        <v>6030</v>
      </c>
      <c r="H4144" t="s">
        <v>6039</v>
      </c>
      <c r="I4144" t="s">
        <v>6051</v>
      </c>
      <c r="J4144" t="s">
        <v>6055</v>
      </c>
      <c r="K4144" t="s">
        <v>6061</v>
      </c>
      <c r="L4144" t="s">
        <v>9370</v>
      </c>
      <c r="M4144">
        <v>373.59</v>
      </c>
      <c r="N4144">
        <v>3</v>
      </c>
      <c r="O4144">
        <v>0.32</v>
      </c>
      <c r="P4144">
        <v>-70.34</v>
      </c>
      <c r="Q4144" t="s">
        <v>9894</v>
      </c>
      <c r="R4144">
        <v>3</v>
      </c>
      <c r="S4144" s="5">
        <f t="shared" si="128"/>
        <v>-0.18828127091196234</v>
      </c>
      <c r="T4144">
        <v>124.53</v>
      </c>
      <c r="U4144">
        <v>11</v>
      </c>
      <c r="V4144">
        <v>2023</v>
      </c>
      <c r="W4144">
        <v>4</v>
      </c>
      <c r="X4144" t="s">
        <v>9898</v>
      </c>
      <c r="Y4144" t="s">
        <v>9902</v>
      </c>
      <c r="Z4144" t="s">
        <v>9899</v>
      </c>
      <c r="AD4144">
        <f t="shared" si="129"/>
        <v>3</v>
      </c>
    </row>
    <row r="4145" spans="1:30" x14ac:dyDescent="0.25">
      <c r="A4145" t="s">
        <v>4169</v>
      </c>
      <c r="B4145" s="2">
        <v>45348</v>
      </c>
      <c r="C4145" s="2">
        <v>45349</v>
      </c>
      <c r="D4145" t="s">
        <v>5265</v>
      </c>
      <c r="E4145" t="s">
        <v>5765</v>
      </c>
      <c r="F4145" t="s">
        <v>6027</v>
      </c>
      <c r="G4145" t="s">
        <v>6031</v>
      </c>
      <c r="H4145" t="s">
        <v>6040</v>
      </c>
      <c r="I4145" t="s">
        <v>6052</v>
      </c>
      <c r="J4145" t="s">
        <v>6055</v>
      </c>
      <c r="K4145" t="s">
        <v>6064</v>
      </c>
      <c r="L4145" t="s">
        <v>9371</v>
      </c>
      <c r="M4145">
        <v>1228.73</v>
      </c>
      <c r="N4145">
        <v>4</v>
      </c>
      <c r="O4145">
        <v>0.33</v>
      </c>
      <c r="P4145">
        <v>-51.76</v>
      </c>
      <c r="Q4145" t="s">
        <v>9895</v>
      </c>
      <c r="R4145">
        <v>1</v>
      </c>
      <c r="S4145" s="5">
        <f t="shared" si="128"/>
        <v>-4.2124795520578157E-2</v>
      </c>
      <c r="T4145">
        <v>307.1825</v>
      </c>
      <c r="U4145">
        <v>2</v>
      </c>
      <c r="V4145">
        <v>2024</v>
      </c>
      <c r="W4145">
        <v>1</v>
      </c>
      <c r="X4145" t="s">
        <v>9898</v>
      </c>
      <c r="Y4145" t="s">
        <v>9902</v>
      </c>
      <c r="Z4145" t="s">
        <v>9898</v>
      </c>
      <c r="AD4145">
        <f t="shared" si="129"/>
        <v>1</v>
      </c>
    </row>
    <row r="4146" spans="1:30" x14ac:dyDescent="0.25">
      <c r="A4146" t="s">
        <v>4170</v>
      </c>
      <c r="B4146" s="2">
        <v>45281</v>
      </c>
      <c r="C4146" s="2">
        <v>45285</v>
      </c>
      <c r="D4146" t="s">
        <v>5367</v>
      </c>
      <c r="E4146" t="s">
        <v>5867</v>
      </c>
      <c r="F4146" t="s">
        <v>6027</v>
      </c>
      <c r="G4146" t="s">
        <v>6031</v>
      </c>
      <c r="H4146" t="s">
        <v>6043</v>
      </c>
      <c r="I4146" t="s">
        <v>6052</v>
      </c>
      <c r="J4146" t="s">
        <v>6053</v>
      </c>
      <c r="K4146" t="s">
        <v>6056</v>
      </c>
      <c r="L4146" t="s">
        <v>7115</v>
      </c>
      <c r="M4146">
        <v>725.72</v>
      </c>
      <c r="N4146">
        <v>4</v>
      </c>
      <c r="O4146">
        <v>0.06</v>
      </c>
      <c r="P4146">
        <v>74.02</v>
      </c>
      <c r="Q4146" t="s">
        <v>9894</v>
      </c>
      <c r="R4146">
        <v>4</v>
      </c>
      <c r="S4146" s="5">
        <f t="shared" si="128"/>
        <v>0.10199525987984345</v>
      </c>
      <c r="T4146">
        <v>181.43</v>
      </c>
      <c r="U4146">
        <v>12</v>
      </c>
      <c r="V4146">
        <v>2023</v>
      </c>
      <c r="W4146">
        <v>4</v>
      </c>
      <c r="X4146" t="s">
        <v>9899</v>
      </c>
      <c r="Y4146" t="s">
        <v>9901</v>
      </c>
      <c r="Z4146" t="s">
        <v>9899</v>
      </c>
      <c r="AD4146">
        <f t="shared" si="129"/>
        <v>4</v>
      </c>
    </row>
    <row r="4147" spans="1:30" x14ac:dyDescent="0.25">
      <c r="A4147" t="s">
        <v>4171</v>
      </c>
      <c r="B4147" s="2">
        <v>45462</v>
      </c>
      <c r="C4147" s="2">
        <v>45463</v>
      </c>
      <c r="D4147" t="s">
        <v>5364</v>
      </c>
      <c r="E4147" t="s">
        <v>5864</v>
      </c>
      <c r="F4147" t="s">
        <v>6027</v>
      </c>
      <c r="G4147" t="s">
        <v>6031</v>
      </c>
      <c r="H4147" t="s">
        <v>6034</v>
      </c>
      <c r="I4147" t="s">
        <v>6048</v>
      </c>
      <c r="J4147" t="s">
        <v>6053</v>
      </c>
      <c r="K4147" t="s">
        <v>6057</v>
      </c>
      <c r="L4147" t="s">
        <v>9372</v>
      </c>
      <c r="M4147">
        <v>1869.85</v>
      </c>
      <c r="N4147">
        <v>2</v>
      </c>
      <c r="O4147">
        <v>0.18</v>
      </c>
      <c r="P4147">
        <v>-88.58</v>
      </c>
      <c r="Q4147" t="s">
        <v>9893</v>
      </c>
      <c r="R4147">
        <v>1</v>
      </c>
      <c r="S4147" s="5">
        <f t="shared" si="128"/>
        <v>-4.7372783913148114E-2</v>
      </c>
      <c r="T4147">
        <v>934.92499999999995</v>
      </c>
      <c r="U4147">
        <v>6</v>
      </c>
      <c r="V4147">
        <v>2024</v>
      </c>
      <c r="W4147">
        <v>2</v>
      </c>
      <c r="X4147" t="s">
        <v>9898</v>
      </c>
      <c r="Y4147" t="s">
        <v>9900</v>
      </c>
      <c r="Z4147" t="s">
        <v>9898</v>
      </c>
      <c r="AD4147">
        <f t="shared" si="129"/>
        <v>1</v>
      </c>
    </row>
    <row r="4148" spans="1:30" x14ac:dyDescent="0.25">
      <c r="A4148" t="s">
        <v>4172</v>
      </c>
      <c r="B4148" s="2">
        <v>45214</v>
      </c>
      <c r="C4148" s="2">
        <v>45219</v>
      </c>
      <c r="D4148" t="s">
        <v>5496</v>
      </c>
      <c r="E4148" t="s">
        <v>5996</v>
      </c>
      <c r="F4148" t="s">
        <v>6028</v>
      </c>
      <c r="G4148" t="s">
        <v>6031</v>
      </c>
      <c r="H4148" t="s">
        <v>6037</v>
      </c>
      <c r="I4148" t="s">
        <v>6048</v>
      </c>
      <c r="J4148" t="s">
        <v>6054</v>
      </c>
      <c r="K4148" t="s">
        <v>6060</v>
      </c>
      <c r="L4148" t="s">
        <v>7834</v>
      </c>
      <c r="M4148">
        <v>1488.93</v>
      </c>
      <c r="N4148">
        <v>1</v>
      </c>
      <c r="O4148">
        <v>0.28000000000000003</v>
      </c>
      <c r="P4148">
        <v>-47.83</v>
      </c>
      <c r="Q4148" t="s">
        <v>9896</v>
      </c>
      <c r="R4148">
        <v>5</v>
      </c>
      <c r="S4148" s="5">
        <f t="shared" si="128"/>
        <v>-3.2123739866884271E-2</v>
      </c>
      <c r="T4148">
        <v>1488.93</v>
      </c>
      <c r="U4148">
        <v>10</v>
      </c>
      <c r="V4148">
        <v>2023</v>
      </c>
      <c r="W4148">
        <v>4</v>
      </c>
      <c r="X4148" t="s">
        <v>9898</v>
      </c>
      <c r="Y4148" t="s">
        <v>9900</v>
      </c>
      <c r="Z4148" t="s">
        <v>9898</v>
      </c>
      <c r="AD4148">
        <f t="shared" si="129"/>
        <v>5</v>
      </c>
    </row>
    <row r="4149" spans="1:30" x14ac:dyDescent="0.25">
      <c r="A4149" t="s">
        <v>4173</v>
      </c>
      <c r="B4149" s="2">
        <v>44917</v>
      </c>
      <c r="C4149" s="2">
        <v>44918</v>
      </c>
      <c r="D4149" t="s">
        <v>5179</v>
      </c>
      <c r="E4149" t="s">
        <v>5679</v>
      </c>
      <c r="F4149" t="s">
        <v>6028</v>
      </c>
      <c r="G4149" t="s">
        <v>6031</v>
      </c>
      <c r="H4149" t="s">
        <v>6040</v>
      </c>
      <c r="I4149" t="s">
        <v>6050</v>
      </c>
      <c r="J4149" t="s">
        <v>6054</v>
      </c>
      <c r="K4149" t="s">
        <v>6059</v>
      </c>
      <c r="L4149" t="s">
        <v>9373</v>
      </c>
      <c r="M4149">
        <v>104.98</v>
      </c>
      <c r="N4149">
        <v>8</v>
      </c>
      <c r="O4149">
        <v>0.03</v>
      </c>
      <c r="P4149">
        <v>27.02</v>
      </c>
      <c r="Q4149" t="s">
        <v>9897</v>
      </c>
      <c r="R4149">
        <v>1</v>
      </c>
      <c r="S4149" s="5">
        <f t="shared" si="128"/>
        <v>0.25738235854448466</v>
      </c>
      <c r="T4149">
        <v>13.1225</v>
      </c>
      <c r="U4149">
        <v>12</v>
      </c>
      <c r="V4149">
        <v>2022</v>
      </c>
      <c r="W4149">
        <v>4</v>
      </c>
      <c r="X4149" t="s">
        <v>9899</v>
      </c>
      <c r="Y4149" t="s">
        <v>9901</v>
      </c>
      <c r="Z4149" t="s">
        <v>9899</v>
      </c>
      <c r="AD4149">
        <f t="shared" si="129"/>
        <v>1</v>
      </c>
    </row>
    <row r="4150" spans="1:30" x14ac:dyDescent="0.25">
      <c r="A4150" t="s">
        <v>4174</v>
      </c>
      <c r="B4150" s="2">
        <v>44563</v>
      </c>
      <c r="C4150" s="2">
        <v>44570</v>
      </c>
      <c r="D4150" t="s">
        <v>5456</v>
      </c>
      <c r="E4150" t="s">
        <v>5956</v>
      </c>
      <c r="F4150" t="s">
        <v>6027</v>
      </c>
      <c r="G4150" t="s">
        <v>6030</v>
      </c>
      <c r="H4150" t="s">
        <v>6039</v>
      </c>
      <c r="I4150" t="s">
        <v>6047</v>
      </c>
      <c r="J4150" t="s">
        <v>6053</v>
      </c>
      <c r="K4150" t="s">
        <v>6056</v>
      </c>
      <c r="L4150" t="s">
        <v>9374</v>
      </c>
      <c r="M4150">
        <v>125.78</v>
      </c>
      <c r="N4150">
        <v>2</v>
      </c>
      <c r="O4150">
        <v>0.23</v>
      </c>
      <c r="P4150">
        <v>3.44</v>
      </c>
      <c r="Q4150" t="s">
        <v>9894</v>
      </c>
      <c r="R4150">
        <v>7</v>
      </c>
      <c r="S4150" s="5">
        <f t="shared" si="128"/>
        <v>2.7349340117665766E-2</v>
      </c>
      <c r="T4150">
        <v>62.89</v>
      </c>
      <c r="U4150">
        <v>1</v>
      </c>
      <c r="V4150">
        <v>2022</v>
      </c>
      <c r="W4150">
        <v>1</v>
      </c>
      <c r="X4150" t="s">
        <v>9899</v>
      </c>
      <c r="Y4150" t="s">
        <v>9900</v>
      </c>
      <c r="Z4150" t="s">
        <v>9899</v>
      </c>
      <c r="AD4150">
        <f t="shared" si="129"/>
        <v>7</v>
      </c>
    </row>
    <row r="4151" spans="1:30" x14ac:dyDescent="0.25">
      <c r="A4151" t="s">
        <v>4175</v>
      </c>
      <c r="B4151" s="2">
        <v>44755</v>
      </c>
      <c r="C4151" s="2">
        <v>44758</v>
      </c>
      <c r="D4151" t="s">
        <v>5128</v>
      </c>
      <c r="E4151" t="s">
        <v>5628</v>
      </c>
      <c r="F4151" t="s">
        <v>6027</v>
      </c>
      <c r="G4151" t="s">
        <v>6029</v>
      </c>
      <c r="H4151" t="s">
        <v>6045</v>
      </c>
      <c r="I4151" t="s">
        <v>6046</v>
      </c>
      <c r="J4151" t="s">
        <v>6053</v>
      </c>
      <c r="K4151" t="s">
        <v>6056</v>
      </c>
      <c r="L4151" t="s">
        <v>9375</v>
      </c>
      <c r="M4151">
        <v>1211.28</v>
      </c>
      <c r="N4151">
        <v>6</v>
      </c>
      <c r="O4151">
        <v>0.02</v>
      </c>
      <c r="P4151">
        <v>312.07</v>
      </c>
      <c r="Q4151" t="s">
        <v>9894</v>
      </c>
      <c r="R4151">
        <v>3</v>
      </c>
      <c r="S4151" s="5">
        <f t="shared" si="128"/>
        <v>0.25763654976553729</v>
      </c>
      <c r="T4151">
        <v>201.88</v>
      </c>
      <c r="U4151">
        <v>7</v>
      </c>
      <c r="V4151">
        <v>2022</v>
      </c>
      <c r="W4151">
        <v>3</v>
      </c>
      <c r="X4151" t="s">
        <v>9899</v>
      </c>
      <c r="Y4151" t="s">
        <v>9901</v>
      </c>
      <c r="Z4151" t="s">
        <v>9898</v>
      </c>
      <c r="AD4151">
        <f t="shared" si="129"/>
        <v>3</v>
      </c>
    </row>
    <row r="4152" spans="1:30" x14ac:dyDescent="0.25">
      <c r="A4152" t="s">
        <v>4176</v>
      </c>
      <c r="B4152" s="2">
        <v>45370</v>
      </c>
      <c r="C4152" s="2">
        <v>45377</v>
      </c>
      <c r="D4152" t="s">
        <v>5253</v>
      </c>
      <c r="E4152" t="s">
        <v>5753</v>
      </c>
      <c r="F4152" t="s">
        <v>6027</v>
      </c>
      <c r="G4152" t="s">
        <v>6031</v>
      </c>
      <c r="H4152" t="s">
        <v>6043</v>
      </c>
      <c r="I4152" t="s">
        <v>6050</v>
      </c>
      <c r="J4152" t="s">
        <v>6054</v>
      </c>
      <c r="K4152" t="s">
        <v>6060</v>
      </c>
      <c r="L4152" t="s">
        <v>9376</v>
      </c>
      <c r="M4152">
        <v>588.76</v>
      </c>
      <c r="N4152">
        <v>3</v>
      </c>
      <c r="O4152">
        <v>0.17</v>
      </c>
      <c r="P4152">
        <v>-17.12</v>
      </c>
      <c r="Q4152" t="s">
        <v>9894</v>
      </c>
      <c r="R4152">
        <v>7</v>
      </c>
      <c r="S4152" s="5">
        <f t="shared" si="128"/>
        <v>-2.9078062368367418E-2</v>
      </c>
      <c r="T4152">
        <v>196.2533333333333</v>
      </c>
      <c r="U4152">
        <v>3</v>
      </c>
      <c r="V4152">
        <v>2024</v>
      </c>
      <c r="W4152">
        <v>1</v>
      </c>
      <c r="X4152" t="s">
        <v>9898</v>
      </c>
      <c r="Y4152" t="s">
        <v>9900</v>
      </c>
      <c r="Z4152" t="s">
        <v>9899</v>
      </c>
      <c r="AD4152">
        <f t="shared" si="129"/>
        <v>7</v>
      </c>
    </row>
    <row r="4153" spans="1:30" x14ac:dyDescent="0.25">
      <c r="A4153" t="s">
        <v>4177</v>
      </c>
      <c r="B4153" s="2">
        <v>45441</v>
      </c>
      <c r="C4153" s="2">
        <v>45447</v>
      </c>
      <c r="D4153" t="s">
        <v>5306</v>
      </c>
      <c r="E4153" t="s">
        <v>5806</v>
      </c>
      <c r="F4153" t="s">
        <v>6026</v>
      </c>
      <c r="G4153" t="s">
        <v>6029</v>
      </c>
      <c r="H4153" t="s">
        <v>6044</v>
      </c>
      <c r="I4153" t="s">
        <v>6049</v>
      </c>
      <c r="J4153" t="s">
        <v>6053</v>
      </c>
      <c r="K4153" t="s">
        <v>6056</v>
      </c>
      <c r="L4153" t="s">
        <v>8202</v>
      </c>
      <c r="M4153">
        <v>1236.02</v>
      </c>
      <c r="N4153">
        <v>5</v>
      </c>
      <c r="O4153">
        <v>0.3</v>
      </c>
      <c r="P4153">
        <v>-221.52</v>
      </c>
      <c r="Q4153" t="s">
        <v>9896</v>
      </c>
      <c r="R4153">
        <v>6</v>
      </c>
      <c r="S4153" s="5">
        <f t="shared" si="128"/>
        <v>-0.17922040096438571</v>
      </c>
      <c r="T4153">
        <v>247.20400000000001</v>
      </c>
      <c r="U4153">
        <v>5</v>
      </c>
      <c r="V4153">
        <v>2024</v>
      </c>
      <c r="W4153">
        <v>2</v>
      </c>
      <c r="X4153" t="s">
        <v>9898</v>
      </c>
      <c r="Y4153" t="s">
        <v>9900</v>
      </c>
      <c r="Z4153" t="s">
        <v>9898</v>
      </c>
      <c r="AD4153">
        <f t="shared" si="129"/>
        <v>6</v>
      </c>
    </row>
    <row r="4154" spans="1:30" x14ac:dyDescent="0.25">
      <c r="A4154" t="s">
        <v>4178</v>
      </c>
      <c r="B4154" s="2">
        <v>44714</v>
      </c>
      <c r="C4154" s="2">
        <v>44721</v>
      </c>
      <c r="D4154" t="s">
        <v>5277</v>
      </c>
      <c r="E4154" t="s">
        <v>5777</v>
      </c>
      <c r="F4154" t="s">
        <v>6026</v>
      </c>
      <c r="G4154" t="s">
        <v>6030</v>
      </c>
      <c r="H4154" t="s">
        <v>6038</v>
      </c>
      <c r="I4154" t="s">
        <v>6051</v>
      </c>
      <c r="J4154" t="s">
        <v>6055</v>
      </c>
      <c r="K4154" t="s">
        <v>6061</v>
      </c>
      <c r="L4154" t="s">
        <v>9377</v>
      </c>
      <c r="M4154">
        <v>1207.1199999999999</v>
      </c>
      <c r="N4154">
        <v>1</v>
      </c>
      <c r="O4154">
        <v>0.19</v>
      </c>
      <c r="P4154">
        <v>87.49</v>
      </c>
      <c r="Q4154" t="s">
        <v>9897</v>
      </c>
      <c r="R4154">
        <v>7</v>
      </c>
      <c r="S4154" s="5">
        <f t="shared" si="128"/>
        <v>7.2478295447014382E-2</v>
      </c>
      <c r="T4154">
        <v>1207.1199999999999</v>
      </c>
      <c r="U4154">
        <v>6</v>
      </c>
      <c r="V4154">
        <v>2022</v>
      </c>
      <c r="W4154">
        <v>2</v>
      </c>
      <c r="X4154" t="s">
        <v>9899</v>
      </c>
      <c r="Y4154" t="s">
        <v>9900</v>
      </c>
      <c r="Z4154" t="s">
        <v>9898</v>
      </c>
      <c r="AD4154">
        <f t="shared" si="129"/>
        <v>7</v>
      </c>
    </row>
    <row r="4155" spans="1:30" x14ac:dyDescent="0.25">
      <c r="A4155" t="s">
        <v>4179</v>
      </c>
      <c r="B4155" s="2">
        <v>44636</v>
      </c>
      <c r="C4155" s="2">
        <v>44643</v>
      </c>
      <c r="D4155" t="s">
        <v>5366</v>
      </c>
      <c r="E4155" t="s">
        <v>5866</v>
      </c>
      <c r="F4155" t="s">
        <v>6027</v>
      </c>
      <c r="G4155" t="s">
        <v>6031</v>
      </c>
      <c r="H4155" t="s">
        <v>6040</v>
      </c>
      <c r="I4155" t="s">
        <v>6048</v>
      </c>
      <c r="J4155" t="s">
        <v>6054</v>
      </c>
      <c r="K4155" t="s">
        <v>6062</v>
      </c>
      <c r="L4155" t="s">
        <v>6727</v>
      </c>
      <c r="M4155">
        <v>1592.53</v>
      </c>
      <c r="N4155">
        <v>2</v>
      </c>
      <c r="O4155">
        <v>0.24</v>
      </c>
      <c r="P4155">
        <v>-135.72</v>
      </c>
      <c r="Q4155" t="s">
        <v>9893</v>
      </c>
      <c r="R4155">
        <v>7</v>
      </c>
      <c r="S4155" s="5">
        <f t="shared" si="128"/>
        <v>-8.5222884341268304E-2</v>
      </c>
      <c r="T4155">
        <v>796.26499999999999</v>
      </c>
      <c r="U4155">
        <v>3</v>
      </c>
      <c r="V4155">
        <v>2022</v>
      </c>
      <c r="W4155">
        <v>1</v>
      </c>
      <c r="X4155" t="s">
        <v>9898</v>
      </c>
      <c r="Y4155" t="s">
        <v>9900</v>
      </c>
      <c r="Z4155" t="s">
        <v>9898</v>
      </c>
      <c r="AD4155">
        <f t="shared" si="129"/>
        <v>7</v>
      </c>
    </row>
    <row r="4156" spans="1:30" x14ac:dyDescent="0.25">
      <c r="A4156" t="s">
        <v>4180</v>
      </c>
      <c r="B4156" s="2">
        <v>45169</v>
      </c>
      <c r="C4156" s="2">
        <v>45171</v>
      </c>
      <c r="D4156" t="s">
        <v>5410</v>
      </c>
      <c r="E4156" t="s">
        <v>5910</v>
      </c>
      <c r="F4156" t="s">
        <v>6028</v>
      </c>
      <c r="G4156" t="s">
        <v>6030</v>
      </c>
      <c r="H4156" t="s">
        <v>6033</v>
      </c>
      <c r="I4156" t="s">
        <v>6051</v>
      </c>
      <c r="J4156" t="s">
        <v>6055</v>
      </c>
      <c r="K4156" t="s">
        <v>6064</v>
      </c>
      <c r="L4156" t="s">
        <v>9215</v>
      </c>
      <c r="M4156">
        <v>541.29</v>
      </c>
      <c r="N4156">
        <v>7</v>
      </c>
      <c r="O4156">
        <v>0.28000000000000003</v>
      </c>
      <c r="P4156">
        <v>-90.53</v>
      </c>
      <c r="Q4156" t="s">
        <v>9897</v>
      </c>
      <c r="R4156">
        <v>2</v>
      </c>
      <c r="S4156" s="5">
        <f t="shared" si="128"/>
        <v>-0.16724860980250883</v>
      </c>
      <c r="T4156">
        <v>77.327142857142846</v>
      </c>
      <c r="U4156">
        <v>8</v>
      </c>
      <c r="V4156">
        <v>2023</v>
      </c>
      <c r="W4156">
        <v>3</v>
      </c>
      <c r="X4156" t="s">
        <v>9898</v>
      </c>
      <c r="Y4156" t="s">
        <v>9900</v>
      </c>
      <c r="Z4156" t="s">
        <v>9899</v>
      </c>
      <c r="AD4156">
        <f t="shared" si="129"/>
        <v>2</v>
      </c>
    </row>
    <row r="4157" spans="1:30" x14ac:dyDescent="0.25">
      <c r="A4157" t="s">
        <v>4181</v>
      </c>
      <c r="B4157" s="2">
        <v>44584</v>
      </c>
      <c r="C4157" s="2">
        <v>44591</v>
      </c>
      <c r="D4157" t="s">
        <v>5029</v>
      </c>
      <c r="E4157" t="s">
        <v>5529</v>
      </c>
      <c r="F4157" t="s">
        <v>6028</v>
      </c>
      <c r="G4157" t="s">
        <v>6031</v>
      </c>
      <c r="H4157" t="s">
        <v>6042</v>
      </c>
      <c r="I4157" t="s">
        <v>6050</v>
      </c>
      <c r="J4157" t="s">
        <v>6055</v>
      </c>
      <c r="K4157" t="s">
        <v>6061</v>
      </c>
      <c r="L4157" t="s">
        <v>8121</v>
      </c>
      <c r="M4157">
        <v>1099.72</v>
      </c>
      <c r="N4157">
        <v>8</v>
      </c>
      <c r="O4157">
        <v>0.02</v>
      </c>
      <c r="P4157">
        <v>197.52</v>
      </c>
      <c r="Q4157" t="s">
        <v>9896</v>
      </c>
      <c r="R4157">
        <v>7</v>
      </c>
      <c r="S4157" s="5">
        <f t="shared" si="128"/>
        <v>0.17960935510857309</v>
      </c>
      <c r="T4157">
        <v>137.465</v>
      </c>
      <c r="U4157">
        <v>1</v>
      </c>
      <c r="V4157">
        <v>2022</v>
      </c>
      <c r="W4157">
        <v>1</v>
      </c>
      <c r="X4157" t="s">
        <v>9899</v>
      </c>
      <c r="Y4157" t="s">
        <v>9901</v>
      </c>
      <c r="Z4157" t="s">
        <v>9898</v>
      </c>
      <c r="AD4157">
        <f t="shared" si="129"/>
        <v>7</v>
      </c>
    </row>
    <row r="4158" spans="1:30" x14ac:dyDescent="0.25">
      <c r="A4158" t="s">
        <v>4182</v>
      </c>
      <c r="B4158" s="2">
        <v>44782</v>
      </c>
      <c r="C4158" s="2">
        <v>44786</v>
      </c>
      <c r="D4158" t="s">
        <v>5486</v>
      </c>
      <c r="E4158" t="s">
        <v>5986</v>
      </c>
      <c r="F4158" t="s">
        <v>6027</v>
      </c>
      <c r="G4158" t="s">
        <v>6029</v>
      </c>
      <c r="H4158" t="s">
        <v>6045</v>
      </c>
      <c r="I4158" t="s">
        <v>6046</v>
      </c>
      <c r="J4158" t="s">
        <v>6054</v>
      </c>
      <c r="K4158" t="s">
        <v>6059</v>
      </c>
      <c r="L4158" t="s">
        <v>9378</v>
      </c>
      <c r="M4158">
        <v>240.49</v>
      </c>
      <c r="N4158">
        <v>7</v>
      </c>
      <c r="O4158">
        <v>0.24</v>
      </c>
      <c r="P4158">
        <v>-6.05</v>
      </c>
      <c r="Q4158" t="s">
        <v>9897</v>
      </c>
      <c r="R4158">
        <v>4</v>
      </c>
      <c r="S4158" s="5">
        <f t="shared" si="128"/>
        <v>-2.5156971183833005E-2</v>
      </c>
      <c r="T4158">
        <v>34.355714285714278</v>
      </c>
      <c r="U4158">
        <v>8</v>
      </c>
      <c r="V4158">
        <v>2022</v>
      </c>
      <c r="W4158">
        <v>3</v>
      </c>
      <c r="X4158" t="s">
        <v>9898</v>
      </c>
      <c r="Y4158" t="s">
        <v>9900</v>
      </c>
      <c r="Z4158" t="s">
        <v>9899</v>
      </c>
      <c r="AD4158">
        <f t="shared" si="129"/>
        <v>4</v>
      </c>
    </row>
    <row r="4159" spans="1:30" x14ac:dyDescent="0.25">
      <c r="A4159" t="s">
        <v>4183</v>
      </c>
      <c r="B4159" s="2">
        <v>44791</v>
      </c>
      <c r="C4159" s="2">
        <v>44797</v>
      </c>
      <c r="D4159" t="s">
        <v>5524</v>
      </c>
      <c r="E4159" t="s">
        <v>6024</v>
      </c>
      <c r="F4159" t="s">
        <v>6027</v>
      </c>
      <c r="G4159" t="s">
        <v>6031</v>
      </c>
      <c r="H4159" t="s">
        <v>6040</v>
      </c>
      <c r="I4159" t="s">
        <v>6048</v>
      </c>
      <c r="J4159" t="s">
        <v>6054</v>
      </c>
      <c r="K4159" t="s">
        <v>6062</v>
      </c>
      <c r="L4159" t="s">
        <v>8477</v>
      </c>
      <c r="M4159">
        <v>432.94</v>
      </c>
      <c r="N4159">
        <v>3</v>
      </c>
      <c r="O4159">
        <v>0.08</v>
      </c>
      <c r="P4159">
        <v>27.83</v>
      </c>
      <c r="Q4159" t="s">
        <v>9894</v>
      </c>
      <c r="R4159">
        <v>6</v>
      </c>
      <c r="S4159" s="5">
        <f t="shared" si="128"/>
        <v>6.4281424677784443E-2</v>
      </c>
      <c r="T4159">
        <v>144.3133333333333</v>
      </c>
      <c r="U4159">
        <v>8</v>
      </c>
      <c r="V4159">
        <v>2022</v>
      </c>
      <c r="W4159">
        <v>3</v>
      </c>
      <c r="X4159" t="s">
        <v>9899</v>
      </c>
      <c r="Y4159" t="s">
        <v>9901</v>
      </c>
      <c r="Z4159" t="s">
        <v>9899</v>
      </c>
      <c r="AD4159">
        <f t="shared" si="129"/>
        <v>6</v>
      </c>
    </row>
    <row r="4160" spans="1:30" x14ac:dyDescent="0.25">
      <c r="A4160" t="s">
        <v>4184</v>
      </c>
      <c r="B4160" s="2">
        <v>44772</v>
      </c>
      <c r="C4160" s="2">
        <v>44774</v>
      </c>
      <c r="D4160" t="s">
        <v>5392</v>
      </c>
      <c r="E4160" t="s">
        <v>5892</v>
      </c>
      <c r="F4160" t="s">
        <v>6028</v>
      </c>
      <c r="G4160" t="s">
        <v>6029</v>
      </c>
      <c r="H4160" t="s">
        <v>6044</v>
      </c>
      <c r="I4160" t="s">
        <v>6046</v>
      </c>
      <c r="J4160" t="s">
        <v>6053</v>
      </c>
      <c r="K4160" t="s">
        <v>6058</v>
      </c>
      <c r="L4160" t="s">
        <v>9281</v>
      </c>
      <c r="M4160">
        <v>402.23</v>
      </c>
      <c r="N4160">
        <v>4</v>
      </c>
      <c r="O4160">
        <v>0.24</v>
      </c>
      <c r="P4160">
        <v>8.07</v>
      </c>
      <c r="Q4160" t="s">
        <v>9894</v>
      </c>
      <c r="R4160">
        <v>2</v>
      </c>
      <c r="S4160" s="5">
        <f t="shared" si="128"/>
        <v>2.0063147950177759E-2</v>
      </c>
      <c r="T4160">
        <v>100.5575</v>
      </c>
      <c r="U4160">
        <v>7</v>
      </c>
      <c r="V4160">
        <v>2022</v>
      </c>
      <c r="W4160">
        <v>3</v>
      </c>
      <c r="X4160" t="s">
        <v>9899</v>
      </c>
      <c r="Y4160" t="s">
        <v>9900</v>
      </c>
      <c r="Z4160" t="s">
        <v>9899</v>
      </c>
      <c r="AD4160">
        <f t="shared" si="129"/>
        <v>2</v>
      </c>
    </row>
    <row r="4161" spans="1:30" x14ac:dyDescent="0.25">
      <c r="A4161" t="s">
        <v>4185</v>
      </c>
      <c r="B4161" s="2">
        <v>45381</v>
      </c>
      <c r="C4161" s="2">
        <v>45382</v>
      </c>
      <c r="D4161" t="s">
        <v>5520</v>
      </c>
      <c r="E4161" t="s">
        <v>6020</v>
      </c>
      <c r="F4161" t="s">
        <v>6028</v>
      </c>
      <c r="G4161" t="s">
        <v>6030</v>
      </c>
      <c r="H4161" t="s">
        <v>6038</v>
      </c>
      <c r="I4161" t="s">
        <v>6051</v>
      </c>
      <c r="J4161" t="s">
        <v>6053</v>
      </c>
      <c r="K4161" t="s">
        <v>6058</v>
      </c>
      <c r="L4161" t="s">
        <v>9379</v>
      </c>
      <c r="M4161">
        <v>1841.86</v>
      </c>
      <c r="N4161">
        <v>7</v>
      </c>
      <c r="O4161">
        <v>0.03</v>
      </c>
      <c r="P4161">
        <v>203.13</v>
      </c>
      <c r="Q4161" t="s">
        <v>9897</v>
      </c>
      <c r="R4161">
        <v>1</v>
      </c>
      <c r="S4161" s="5">
        <f t="shared" si="128"/>
        <v>0.11028525512253917</v>
      </c>
      <c r="T4161">
        <v>263.12285714285707</v>
      </c>
      <c r="U4161">
        <v>3</v>
      </c>
      <c r="V4161">
        <v>2024</v>
      </c>
      <c r="W4161">
        <v>1</v>
      </c>
      <c r="X4161" t="s">
        <v>9899</v>
      </c>
      <c r="Y4161" t="s">
        <v>9901</v>
      </c>
      <c r="Z4161" t="s">
        <v>9898</v>
      </c>
      <c r="AD4161">
        <f t="shared" si="129"/>
        <v>1</v>
      </c>
    </row>
    <row r="4162" spans="1:30" x14ac:dyDescent="0.25">
      <c r="A4162" t="s">
        <v>4186</v>
      </c>
      <c r="B4162" s="2">
        <v>44705</v>
      </c>
      <c r="C4162" s="2">
        <v>44712</v>
      </c>
      <c r="D4162" t="s">
        <v>5290</v>
      </c>
      <c r="E4162" t="s">
        <v>5790</v>
      </c>
      <c r="F4162" t="s">
        <v>6028</v>
      </c>
      <c r="G4162" t="s">
        <v>6031</v>
      </c>
      <c r="H4162" t="s">
        <v>6043</v>
      </c>
      <c r="I4162" t="s">
        <v>6048</v>
      </c>
      <c r="J4162" t="s">
        <v>6054</v>
      </c>
      <c r="K4162" t="s">
        <v>6062</v>
      </c>
      <c r="L4162" t="s">
        <v>9380</v>
      </c>
      <c r="M4162">
        <v>292.07</v>
      </c>
      <c r="N4162">
        <v>1</v>
      </c>
      <c r="O4162">
        <v>0.04</v>
      </c>
      <c r="P4162">
        <v>25.55</v>
      </c>
      <c r="Q4162" t="s">
        <v>9895</v>
      </c>
      <c r="R4162">
        <v>7</v>
      </c>
      <c r="S4162" s="5">
        <f t="shared" si="128"/>
        <v>8.747902899989729E-2</v>
      </c>
      <c r="T4162">
        <v>292.07</v>
      </c>
      <c r="U4162">
        <v>5</v>
      </c>
      <c r="V4162">
        <v>2022</v>
      </c>
      <c r="W4162">
        <v>2</v>
      </c>
      <c r="X4162" t="s">
        <v>9899</v>
      </c>
      <c r="Y4162" t="s">
        <v>9901</v>
      </c>
      <c r="Z4162" t="s">
        <v>9899</v>
      </c>
      <c r="AD4162">
        <f t="shared" si="129"/>
        <v>7</v>
      </c>
    </row>
    <row r="4163" spans="1:30" x14ac:dyDescent="0.25">
      <c r="A4163" t="s">
        <v>4187</v>
      </c>
      <c r="B4163" s="2">
        <v>45257</v>
      </c>
      <c r="C4163" s="2">
        <v>45263</v>
      </c>
      <c r="D4163" t="s">
        <v>5123</v>
      </c>
      <c r="E4163" t="s">
        <v>5623</v>
      </c>
      <c r="F4163" t="s">
        <v>6028</v>
      </c>
      <c r="G4163" t="s">
        <v>6030</v>
      </c>
      <c r="H4163" t="s">
        <v>6038</v>
      </c>
      <c r="I4163" t="s">
        <v>6047</v>
      </c>
      <c r="J4163" t="s">
        <v>6054</v>
      </c>
      <c r="K4163" t="s">
        <v>6060</v>
      </c>
      <c r="L4163" t="s">
        <v>6786</v>
      </c>
      <c r="M4163">
        <v>899.42</v>
      </c>
      <c r="N4163">
        <v>5</v>
      </c>
      <c r="O4163">
        <v>0.32</v>
      </c>
      <c r="P4163">
        <v>-125.75</v>
      </c>
      <c r="Q4163" t="s">
        <v>9896</v>
      </c>
      <c r="R4163">
        <v>6</v>
      </c>
      <c r="S4163" s="5">
        <f t="shared" ref="S4163:S4226" si="130">P4163/M4163</f>
        <v>-0.13981232349736497</v>
      </c>
      <c r="T4163">
        <v>179.88399999999999</v>
      </c>
      <c r="U4163">
        <v>11</v>
      </c>
      <c r="V4163">
        <v>2023</v>
      </c>
      <c r="W4163">
        <v>4</v>
      </c>
      <c r="X4163" t="s">
        <v>9898</v>
      </c>
      <c r="Y4163" t="s">
        <v>9902</v>
      </c>
      <c r="Z4163" t="s">
        <v>9899</v>
      </c>
      <c r="AD4163">
        <f t="shared" ref="AD4163:AD4226" si="131">C4163-B4163</f>
        <v>6</v>
      </c>
    </row>
    <row r="4164" spans="1:30" x14ac:dyDescent="0.25">
      <c r="A4164" t="s">
        <v>4188</v>
      </c>
      <c r="B4164" s="2">
        <v>44921</v>
      </c>
      <c r="C4164" s="2">
        <v>44927</v>
      </c>
      <c r="D4164" t="s">
        <v>5376</v>
      </c>
      <c r="E4164" t="s">
        <v>5876</v>
      </c>
      <c r="F4164" t="s">
        <v>6026</v>
      </c>
      <c r="G4164" t="s">
        <v>6029</v>
      </c>
      <c r="H4164" t="s">
        <v>6032</v>
      </c>
      <c r="I4164" t="s">
        <v>6046</v>
      </c>
      <c r="J4164" t="s">
        <v>6053</v>
      </c>
      <c r="K4164" t="s">
        <v>6058</v>
      </c>
      <c r="L4164" t="s">
        <v>9381</v>
      </c>
      <c r="M4164">
        <v>1839.87</v>
      </c>
      <c r="N4164">
        <v>3</v>
      </c>
      <c r="O4164">
        <v>0.27</v>
      </c>
      <c r="P4164">
        <v>-12.11</v>
      </c>
      <c r="Q4164" t="s">
        <v>9896</v>
      </c>
      <c r="R4164">
        <v>6</v>
      </c>
      <c r="S4164" s="5">
        <f t="shared" si="130"/>
        <v>-6.5819867708044591E-3</v>
      </c>
      <c r="T4164">
        <v>613.29</v>
      </c>
      <c r="U4164">
        <v>12</v>
      </c>
      <c r="V4164">
        <v>2022</v>
      </c>
      <c r="W4164">
        <v>4</v>
      </c>
      <c r="X4164" t="s">
        <v>9898</v>
      </c>
      <c r="Y4164" t="s">
        <v>9900</v>
      </c>
      <c r="Z4164" t="s">
        <v>9898</v>
      </c>
      <c r="AD4164">
        <f t="shared" si="131"/>
        <v>6</v>
      </c>
    </row>
    <row r="4165" spans="1:30" x14ac:dyDescent="0.25">
      <c r="A4165" t="s">
        <v>4189</v>
      </c>
      <c r="B4165" s="2">
        <v>44809</v>
      </c>
      <c r="C4165" s="2">
        <v>44810</v>
      </c>
      <c r="D4165" t="s">
        <v>5429</v>
      </c>
      <c r="E4165" t="s">
        <v>5929</v>
      </c>
      <c r="F4165" t="s">
        <v>6027</v>
      </c>
      <c r="G4165" t="s">
        <v>6029</v>
      </c>
      <c r="H4165" t="s">
        <v>6045</v>
      </c>
      <c r="I4165" t="s">
        <v>6050</v>
      </c>
      <c r="J4165" t="s">
        <v>6055</v>
      </c>
      <c r="K4165" t="s">
        <v>6064</v>
      </c>
      <c r="L4165" t="s">
        <v>9382</v>
      </c>
      <c r="M4165">
        <v>1260.1400000000001</v>
      </c>
      <c r="N4165">
        <v>5</v>
      </c>
      <c r="O4165">
        <v>0.3</v>
      </c>
      <c r="P4165">
        <v>-236.85</v>
      </c>
      <c r="Q4165" t="s">
        <v>9897</v>
      </c>
      <c r="R4165">
        <v>1</v>
      </c>
      <c r="S4165" s="5">
        <f t="shared" si="130"/>
        <v>-0.18795530655324011</v>
      </c>
      <c r="T4165">
        <v>252.02799999999999</v>
      </c>
      <c r="U4165">
        <v>9</v>
      </c>
      <c r="V4165">
        <v>2022</v>
      </c>
      <c r="W4165">
        <v>3</v>
      </c>
      <c r="X4165" t="s">
        <v>9898</v>
      </c>
      <c r="Y4165" t="s">
        <v>9900</v>
      </c>
      <c r="Z4165" t="s">
        <v>9898</v>
      </c>
      <c r="AD4165">
        <f t="shared" si="131"/>
        <v>1</v>
      </c>
    </row>
    <row r="4166" spans="1:30" x14ac:dyDescent="0.25">
      <c r="A4166" t="s">
        <v>4190</v>
      </c>
      <c r="B4166" s="2">
        <v>45355</v>
      </c>
      <c r="C4166" s="2">
        <v>45361</v>
      </c>
      <c r="D4166" t="s">
        <v>5027</v>
      </c>
      <c r="E4166" t="s">
        <v>5527</v>
      </c>
      <c r="F4166" t="s">
        <v>6027</v>
      </c>
      <c r="G4166" t="s">
        <v>6030</v>
      </c>
      <c r="H4166" t="s">
        <v>6039</v>
      </c>
      <c r="I4166" t="s">
        <v>6051</v>
      </c>
      <c r="J4166" t="s">
        <v>6055</v>
      </c>
      <c r="K4166" t="s">
        <v>6063</v>
      </c>
      <c r="L4166" t="s">
        <v>9383</v>
      </c>
      <c r="M4166">
        <v>1933.66</v>
      </c>
      <c r="N4166">
        <v>2</v>
      </c>
      <c r="O4166">
        <v>0.34</v>
      </c>
      <c r="P4166">
        <v>-343.81</v>
      </c>
      <c r="Q4166" t="s">
        <v>9897</v>
      </c>
      <c r="R4166">
        <v>6</v>
      </c>
      <c r="S4166" s="5">
        <f t="shared" si="130"/>
        <v>-0.1778027160927981</v>
      </c>
      <c r="T4166">
        <v>966.83</v>
      </c>
      <c r="U4166">
        <v>3</v>
      </c>
      <c r="V4166">
        <v>2024</v>
      </c>
      <c r="W4166">
        <v>1</v>
      </c>
      <c r="X4166" t="s">
        <v>9898</v>
      </c>
      <c r="Y4166" t="s">
        <v>9902</v>
      </c>
      <c r="Z4166" t="s">
        <v>9898</v>
      </c>
      <c r="AD4166">
        <f t="shared" si="131"/>
        <v>6</v>
      </c>
    </row>
    <row r="4167" spans="1:30" x14ac:dyDescent="0.25">
      <c r="A4167" t="s">
        <v>4191</v>
      </c>
      <c r="B4167" s="2">
        <v>45099</v>
      </c>
      <c r="C4167" s="2">
        <v>45104</v>
      </c>
      <c r="D4167" t="s">
        <v>5090</v>
      </c>
      <c r="E4167" t="s">
        <v>5590</v>
      </c>
      <c r="F4167" t="s">
        <v>6028</v>
      </c>
      <c r="G4167" t="s">
        <v>6029</v>
      </c>
      <c r="H4167" t="s">
        <v>6045</v>
      </c>
      <c r="I4167" t="s">
        <v>6049</v>
      </c>
      <c r="J4167" t="s">
        <v>6053</v>
      </c>
      <c r="K4167" t="s">
        <v>6057</v>
      </c>
      <c r="L4167" t="s">
        <v>9384</v>
      </c>
      <c r="M4167">
        <v>1841.52</v>
      </c>
      <c r="N4167">
        <v>1</v>
      </c>
      <c r="O4167">
        <v>0.27</v>
      </c>
      <c r="P4167">
        <v>17.39</v>
      </c>
      <c r="Q4167" t="s">
        <v>9897</v>
      </c>
      <c r="R4167">
        <v>5</v>
      </c>
      <c r="S4167" s="5">
        <f t="shared" si="130"/>
        <v>9.4432859811460108E-3</v>
      </c>
      <c r="T4167">
        <v>1841.52</v>
      </c>
      <c r="U4167">
        <v>6</v>
      </c>
      <c r="V4167">
        <v>2023</v>
      </c>
      <c r="W4167">
        <v>2</v>
      </c>
      <c r="X4167" t="s">
        <v>9899</v>
      </c>
      <c r="Y4167" t="s">
        <v>9900</v>
      </c>
      <c r="Z4167" t="s">
        <v>9898</v>
      </c>
      <c r="AD4167">
        <f t="shared" si="131"/>
        <v>5</v>
      </c>
    </row>
    <row r="4168" spans="1:30" x14ac:dyDescent="0.25">
      <c r="A4168" t="s">
        <v>4192</v>
      </c>
      <c r="B4168" s="2">
        <v>45445</v>
      </c>
      <c r="C4168" s="2">
        <v>45450</v>
      </c>
      <c r="D4168" t="s">
        <v>5138</v>
      </c>
      <c r="E4168" t="s">
        <v>5638</v>
      </c>
      <c r="F4168" t="s">
        <v>6027</v>
      </c>
      <c r="G4168" t="s">
        <v>6030</v>
      </c>
      <c r="H4168" t="s">
        <v>6038</v>
      </c>
      <c r="I4168" t="s">
        <v>6051</v>
      </c>
      <c r="J4168" t="s">
        <v>6055</v>
      </c>
      <c r="K4168" t="s">
        <v>6064</v>
      </c>
      <c r="L4168" t="s">
        <v>6683</v>
      </c>
      <c r="M4168">
        <v>715.4</v>
      </c>
      <c r="N4168">
        <v>5</v>
      </c>
      <c r="O4168">
        <v>0.27</v>
      </c>
      <c r="P4168">
        <v>-56.38</v>
      </c>
      <c r="Q4168" t="s">
        <v>9895</v>
      </c>
      <c r="R4168">
        <v>5</v>
      </c>
      <c r="S4168" s="5">
        <f t="shared" si="130"/>
        <v>-7.880905786972324E-2</v>
      </c>
      <c r="T4168">
        <v>143.08000000000001</v>
      </c>
      <c r="U4168">
        <v>6</v>
      </c>
      <c r="V4168">
        <v>2024</v>
      </c>
      <c r="W4168">
        <v>2</v>
      </c>
      <c r="X4168" t="s">
        <v>9898</v>
      </c>
      <c r="Y4168" t="s">
        <v>9900</v>
      </c>
      <c r="Z4168" t="s">
        <v>9899</v>
      </c>
      <c r="AD4168">
        <f t="shared" si="131"/>
        <v>5</v>
      </c>
    </row>
    <row r="4169" spans="1:30" x14ac:dyDescent="0.25">
      <c r="A4169" t="s">
        <v>4193</v>
      </c>
      <c r="B4169" s="2">
        <v>44614</v>
      </c>
      <c r="C4169" s="2">
        <v>44617</v>
      </c>
      <c r="D4169" t="s">
        <v>5349</v>
      </c>
      <c r="E4169" t="s">
        <v>5849</v>
      </c>
      <c r="F4169" t="s">
        <v>6028</v>
      </c>
      <c r="G4169" t="s">
        <v>6031</v>
      </c>
      <c r="H4169" t="s">
        <v>6037</v>
      </c>
      <c r="I4169" t="s">
        <v>6050</v>
      </c>
      <c r="J4169" t="s">
        <v>6053</v>
      </c>
      <c r="K4169" t="s">
        <v>6057</v>
      </c>
      <c r="L4169" t="s">
        <v>8499</v>
      </c>
      <c r="M4169">
        <v>1648.32</v>
      </c>
      <c r="N4169">
        <v>4</v>
      </c>
      <c r="O4169">
        <v>7.0000000000000007E-2</v>
      </c>
      <c r="P4169">
        <v>147.1</v>
      </c>
      <c r="Q4169" t="s">
        <v>9893</v>
      </c>
      <c r="R4169">
        <v>3</v>
      </c>
      <c r="S4169" s="5">
        <f t="shared" si="130"/>
        <v>8.9242380120364978E-2</v>
      </c>
      <c r="T4169">
        <v>412.08</v>
      </c>
      <c r="U4169">
        <v>2</v>
      </c>
      <c r="V4169">
        <v>2022</v>
      </c>
      <c r="W4169">
        <v>1</v>
      </c>
      <c r="X4169" t="s">
        <v>9899</v>
      </c>
      <c r="Y4169" t="s">
        <v>9901</v>
      </c>
      <c r="Z4169" t="s">
        <v>9898</v>
      </c>
      <c r="AD4169">
        <f t="shared" si="131"/>
        <v>3</v>
      </c>
    </row>
    <row r="4170" spans="1:30" x14ac:dyDescent="0.25">
      <c r="A4170" t="s">
        <v>4194</v>
      </c>
      <c r="B4170" s="2">
        <v>44877</v>
      </c>
      <c r="C4170" s="2">
        <v>44881</v>
      </c>
      <c r="D4170" t="s">
        <v>5054</v>
      </c>
      <c r="E4170" t="s">
        <v>5554</v>
      </c>
      <c r="F4170" t="s">
        <v>6027</v>
      </c>
      <c r="G4170" t="s">
        <v>6029</v>
      </c>
      <c r="H4170" t="s">
        <v>6044</v>
      </c>
      <c r="I4170" t="s">
        <v>6049</v>
      </c>
      <c r="J4170" t="s">
        <v>6053</v>
      </c>
      <c r="K4170" t="s">
        <v>6057</v>
      </c>
      <c r="L4170" t="s">
        <v>9385</v>
      </c>
      <c r="M4170">
        <v>1104.3499999999999</v>
      </c>
      <c r="N4170">
        <v>8</v>
      </c>
      <c r="O4170">
        <v>0.03</v>
      </c>
      <c r="P4170">
        <v>212.41</v>
      </c>
      <c r="Q4170" t="s">
        <v>9895</v>
      </c>
      <c r="R4170">
        <v>4</v>
      </c>
      <c r="S4170" s="5">
        <f t="shared" si="130"/>
        <v>0.19233938515869065</v>
      </c>
      <c r="T4170">
        <v>138.04374999999999</v>
      </c>
      <c r="U4170">
        <v>11</v>
      </c>
      <c r="V4170">
        <v>2022</v>
      </c>
      <c r="W4170">
        <v>4</v>
      </c>
      <c r="X4170" t="s">
        <v>9899</v>
      </c>
      <c r="Y4170" t="s">
        <v>9901</v>
      </c>
      <c r="Z4170" t="s">
        <v>9898</v>
      </c>
      <c r="AD4170">
        <f t="shared" si="131"/>
        <v>4</v>
      </c>
    </row>
    <row r="4171" spans="1:30" x14ac:dyDescent="0.25">
      <c r="A4171" t="s">
        <v>4195</v>
      </c>
      <c r="B4171" s="2">
        <v>45416</v>
      </c>
      <c r="C4171" s="2">
        <v>45419</v>
      </c>
      <c r="D4171" t="s">
        <v>5281</v>
      </c>
      <c r="E4171" t="s">
        <v>5781</v>
      </c>
      <c r="F4171" t="s">
        <v>6028</v>
      </c>
      <c r="G4171" t="s">
        <v>6031</v>
      </c>
      <c r="H4171" t="s">
        <v>6042</v>
      </c>
      <c r="I4171" t="s">
        <v>6048</v>
      </c>
      <c r="J4171" t="s">
        <v>6055</v>
      </c>
      <c r="K4171" t="s">
        <v>6063</v>
      </c>
      <c r="L4171" t="s">
        <v>9386</v>
      </c>
      <c r="M4171">
        <v>599.98</v>
      </c>
      <c r="N4171">
        <v>4</v>
      </c>
      <c r="O4171">
        <v>0.33</v>
      </c>
      <c r="P4171">
        <v>-111.62</v>
      </c>
      <c r="Q4171" t="s">
        <v>9897</v>
      </c>
      <c r="R4171">
        <v>3</v>
      </c>
      <c r="S4171" s="5">
        <f t="shared" si="130"/>
        <v>-0.18603953465115505</v>
      </c>
      <c r="T4171">
        <v>149.995</v>
      </c>
      <c r="U4171">
        <v>5</v>
      </c>
      <c r="V4171">
        <v>2024</v>
      </c>
      <c r="W4171">
        <v>2</v>
      </c>
      <c r="X4171" t="s">
        <v>9898</v>
      </c>
      <c r="Y4171" t="s">
        <v>9902</v>
      </c>
      <c r="Z4171" t="s">
        <v>9899</v>
      </c>
      <c r="AD4171">
        <f t="shared" si="131"/>
        <v>3</v>
      </c>
    </row>
    <row r="4172" spans="1:30" x14ac:dyDescent="0.25">
      <c r="A4172" t="s">
        <v>4196</v>
      </c>
      <c r="B4172" s="2">
        <v>44711</v>
      </c>
      <c r="C4172" s="2">
        <v>44716</v>
      </c>
      <c r="D4172" t="s">
        <v>5084</v>
      </c>
      <c r="E4172" t="s">
        <v>5584</v>
      </c>
      <c r="F4172" t="s">
        <v>6027</v>
      </c>
      <c r="G4172" t="s">
        <v>6031</v>
      </c>
      <c r="H4172" t="s">
        <v>6037</v>
      </c>
      <c r="I4172" t="s">
        <v>6048</v>
      </c>
      <c r="J4172" t="s">
        <v>6055</v>
      </c>
      <c r="K4172" t="s">
        <v>6061</v>
      </c>
      <c r="L4172" t="s">
        <v>9387</v>
      </c>
      <c r="M4172">
        <v>1090.8699999999999</v>
      </c>
      <c r="N4172">
        <v>2</v>
      </c>
      <c r="O4172">
        <v>0.25</v>
      </c>
      <c r="P4172">
        <v>-141.9</v>
      </c>
      <c r="Q4172" t="s">
        <v>9895</v>
      </c>
      <c r="R4172">
        <v>5</v>
      </c>
      <c r="S4172" s="5">
        <f t="shared" si="130"/>
        <v>-0.13007966118785924</v>
      </c>
      <c r="T4172">
        <v>545.43499999999995</v>
      </c>
      <c r="U4172">
        <v>5</v>
      </c>
      <c r="V4172">
        <v>2022</v>
      </c>
      <c r="W4172">
        <v>2</v>
      </c>
      <c r="X4172" t="s">
        <v>9898</v>
      </c>
      <c r="Y4172" t="s">
        <v>9900</v>
      </c>
      <c r="Z4172" t="s">
        <v>9898</v>
      </c>
      <c r="AD4172">
        <f t="shared" si="131"/>
        <v>5</v>
      </c>
    </row>
    <row r="4173" spans="1:30" x14ac:dyDescent="0.25">
      <c r="A4173" t="s">
        <v>4197</v>
      </c>
      <c r="B4173" s="2">
        <v>45181</v>
      </c>
      <c r="C4173" s="2">
        <v>45183</v>
      </c>
      <c r="D4173" t="s">
        <v>5296</v>
      </c>
      <c r="E4173" t="s">
        <v>5796</v>
      </c>
      <c r="F4173" t="s">
        <v>6028</v>
      </c>
      <c r="G4173" t="s">
        <v>6031</v>
      </c>
      <c r="H4173" t="s">
        <v>6037</v>
      </c>
      <c r="I4173" t="s">
        <v>6052</v>
      </c>
      <c r="J4173" t="s">
        <v>6054</v>
      </c>
      <c r="K4173" t="s">
        <v>6062</v>
      </c>
      <c r="L4173" t="s">
        <v>9388</v>
      </c>
      <c r="M4173">
        <v>1046.76</v>
      </c>
      <c r="N4173">
        <v>5</v>
      </c>
      <c r="O4173">
        <v>0.24</v>
      </c>
      <c r="P4173">
        <v>-56.1</v>
      </c>
      <c r="Q4173" t="s">
        <v>9897</v>
      </c>
      <c r="R4173">
        <v>2</v>
      </c>
      <c r="S4173" s="5">
        <f t="shared" si="130"/>
        <v>-5.3593947036569986E-2</v>
      </c>
      <c r="T4173">
        <v>209.352</v>
      </c>
      <c r="U4173">
        <v>9</v>
      </c>
      <c r="V4173">
        <v>2023</v>
      </c>
      <c r="W4173">
        <v>3</v>
      </c>
      <c r="X4173" t="s">
        <v>9898</v>
      </c>
      <c r="Y4173" t="s">
        <v>9900</v>
      </c>
      <c r="Z4173" t="s">
        <v>9898</v>
      </c>
      <c r="AD4173">
        <f t="shared" si="131"/>
        <v>2</v>
      </c>
    </row>
    <row r="4174" spans="1:30" x14ac:dyDescent="0.25">
      <c r="A4174" t="s">
        <v>4198</v>
      </c>
      <c r="B4174" s="2">
        <v>44749</v>
      </c>
      <c r="C4174" s="2">
        <v>44756</v>
      </c>
      <c r="D4174" t="s">
        <v>5144</v>
      </c>
      <c r="E4174" t="s">
        <v>5644</v>
      </c>
      <c r="F4174" t="s">
        <v>6026</v>
      </c>
      <c r="G4174" t="s">
        <v>6030</v>
      </c>
      <c r="H4174" t="s">
        <v>6039</v>
      </c>
      <c r="I4174" t="s">
        <v>6051</v>
      </c>
      <c r="J4174" t="s">
        <v>6053</v>
      </c>
      <c r="K4174" t="s">
        <v>6057</v>
      </c>
      <c r="L4174" t="s">
        <v>6783</v>
      </c>
      <c r="M4174">
        <v>311.57</v>
      </c>
      <c r="N4174">
        <v>7</v>
      </c>
      <c r="O4174">
        <v>0.35</v>
      </c>
      <c r="P4174">
        <v>-75.209999999999994</v>
      </c>
      <c r="Q4174" t="s">
        <v>9897</v>
      </c>
      <c r="R4174">
        <v>7</v>
      </c>
      <c r="S4174" s="5">
        <f t="shared" si="130"/>
        <v>-0.24139037776422631</v>
      </c>
      <c r="T4174">
        <v>44.51</v>
      </c>
      <c r="U4174">
        <v>7</v>
      </c>
      <c r="V4174">
        <v>2022</v>
      </c>
      <c r="W4174">
        <v>3</v>
      </c>
      <c r="X4174" t="s">
        <v>9898</v>
      </c>
      <c r="Y4174" t="s">
        <v>9902</v>
      </c>
      <c r="Z4174" t="s">
        <v>9899</v>
      </c>
      <c r="AD4174">
        <f t="shared" si="131"/>
        <v>7</v>
      </c>
    </row>
    <row r="4175" spans="1:30" x14ac:dyDescent="0.25">
      <c r="A4175" t="s">
        <v>4199</v>
      </c>
      <c r="B4175" s="2">
        <v>44582</v>
      </c>
      <c r="C4175" s="2">
        <v>44588</v>
      </c>
      <c r="D4175" t="s">
        <v>5098</v>
      </c>
      <c r="E4175" t="s">
        <v>5598</v>
      </c>
      <c r="F4175" t="s">
        <v>6026</v>
      </c>
      <c r="G4175" t="s">
        <v>6030</v>
      </c>
      <c r="H4175" t="s">
        <v>6033</v>
      </c>
      <c r="I4175" t="s">
        <v>6051</v>
      </c>
      <c r="J4175" t="s">
        <v>6053</v>
      </c>
      <c r="K4175" t="s">
        <v>6058</v>
      </c>
      <c r="L4175" t="s">
        <v>9389</v>
      </c>
      <c r="M4175">
        <v>1899.66</v>
      </c>
      <c r="N4175">
        <v>6</v>
      </c>
      <c r="O4175">
        <v>0.2</v>
      </c>
      <c r="P4175">
        <v>-98.23</v>
      </c>
      <c r="Q4175" t="s">
        <v>9897</v>
      </c>
      <c r="R4175">
        <v>6</v>
      </c>
      <c r="S4175" s="5">
        <f t="shared" si="130"/>
        <v>-5.1709253234789386E-2</v>
      </c>
      <c r="T4175">
        <v>316.61</v>
      </c>
      <c r="U4175">
        <v>1</v>
      </c>
      <c r="V4175">
        <v>2022</v>
      </c>
      <c r="W4175">
        <v>1</v>
      </c>
      <c r="X4175" t="s">
        <v>9898</v>
      </c>
      <c r="Y4175" t="s">
        <v>9900</v>
      </c>
      <c r="Z4175" t="s">
        <v>9898</v>
      </c>
      <c r="AD4175">
        <f t="shared" si="131"/>
        <v>6</v>
      </c>
    </row>
    <row r="4176" spans="1:30" x14ac:dyDescent="0.25">
      <c r="A4176" t="s">
        <v>4200</v>
      </c>
      <c r="B4176" s="2">
        <v>45292</v>
      </c>
      <c r="C4176" s="2">
        <v>45296</v>
      </c>
      <c r="D4176" t="s">
        <v>5079</v>
      </c>
      <c r="E4176" t="s">
        <v>5579</v>
      </c>
      <c r="F4176" t="s">
        <v>6028</v>
      </c>
      <c r="G4176" t="s">
        <v>6031</v>
      </c>
      <c r="H4176" t="s">
        <v>6034</v>
      </c>
      <c r="I4176" t="s">
        <v>6048</v>
      </c>
      <c r="J4176" t="s">
        <v>6055</v>
      </c>
      <c r="K4176" t="s">
        <v>6063</v>
      </c>
      <c r="L4176" t="s">
        <v>9390</v>
      </c>
      <c r="M4176">
        <v>1640.94</v>
      </c>
      <c r="N4176">
        <v>2</v>
      </c>
      <c r="O4176">
        <v>0.34</v>
      </c>
      <c r="P4176">
        <v>-268.7</v>
      </c>
      <c r="Q4176" t="s">
        <v>9896</v>
      </c>
      <c r="R4176">
        <v>4</v>
      </c>
      <c r="S4176" s="5">
        <f t="shared" si="130"/>
        <v>-0.16374760807829658</v>
      </c>
      <c r="T4176">
        <v>820.47</v>
      </c>
      <c r="U4176">
        <v>1</v>
      </c>
      <c r="V4176">
        <v>2024</v>
      </c>
      <c r="W4176">
        <v>1</v>
      </c>
      <c r="X4176" t="s">
        <v>9898</v>
      </c>
      <c r="Y4176" t="s">
        <v>9902</v>
      </c>
      <c r="Z4176" t="s">
        <v>9898</v>
      </c>
      <c r="AD4176">
        <f t="shared" si="131"/>
        <v>4</v>
      </c>
    </row>
    <row r="4177" spans="1:30" x14ac:dyDescent="0.25">
      <c r="A4177" t="s">
        <v>4201</v>
      </c>
      <c r="B4177" s="2">
        <v>44998</v>
      </c>
      <c r="C4177" s="2">
        <v>45004</v>
      </c>
      <c r="D4177" t="s">
        <v>5240</v>
      </c>
      <c r="E4177" t="s">
        <v>5740</v>
      </c>
      <c r="F4177" t="s">
        <v>6027</v>
      </c>
      <c r="G4177" t="s">
        <v>6029</v>
      </c>
      <c r="H4177" t="s">
        <v>6032</v>
      </c>
      <c r="I4177" t="s">
        <v>6046</v>
      </c>
      <c r="J4177" t="s">
        <v>6055</v>
      </c>
      <c r="K4177" t="s">
        <v>6064</v>
      </c>
      <c r="L4177" t="s">
        <v>9391</v>
      </c>
      <c r="M4177">
        <v>1345.57</v>
      </c>
      <c r="N4177">
        <v>6</v>
      </c>
      <c r="O4177">
        <v>0.18</v>
      </c>
      <c r="P4177">
        <v>-85.58</v>
      </c>
      <c r="Q4177" t="s">
        <v>9895</v>
      </c>
      <c r="R4177">
        <v>6</v>
      </c>
      <c r="S4177" s="5">
        <f t="shared" si="130"/>
        <v>-6.3601299077714279E-2</v>
      </c>
      <c r="T4177">
        <v>224.26166666666671</v>
      </c>
      <c r="U4177">
        <v>3</v>
      </c>
      <c r="V4177">
        <v>2023</v>
      </c>
      <c r="W4177">
        <v>1</v>
      </c>
      <c r="X4177" t="s">
        <v>9898</v>
      </c>
      <c r="Y4177" t="s">
        <v>9900</v>
      </c>
      <c r="Z4177" t="s">
        <v>9898</v>
      </c>
      <c r="AD4177">
        <f t="shared" si="131"/>
        <v>6</v>
      </c>
    </row>
    <row r="4178" spans="1:30" x14ac:dyDescent="0.25">
      <c r="A4178" t="s">
        <v>4202</v>
      </c>
      <c r="B4178" s="2">
        <v>44699</v>
      </c>
      <c r="C4178" s="2">
        <v>44700</v>
      </c>
      <c r="D4178" t="s">
        <v>5313</v>
      </c>
      <c r="E4178" t="s">
        <v>5813</v>
      </c>
      <c r="F4178" t="s">
        <v>6026</v>
      </c>
      <c r="G4178" t="s">
        <v>6030</v>
      </c>
      <c r="H4178" t="s">
        <v>6033</v>
      </c>
      <c r="I4178" t="s">
        <v>6047</v>
      </c>
      <c r="J4178" t="s">
        <v>6054</v>
      </c>
      <c r="K4178" t="s">
        <v>6060</v>
      </c>
      <c r="L4178" t="s">
        <v>9392</v>
      </c>
      <c r="M4178">
        <v>405.64</v>
      </c>
      <c r="N4178">
        <v>7</v>
      </c>
      <c r="O4178">
        <v>0.02</v>
      </c>
      <c r="P4178">
        <v>113.33</v>
      </c>
      <c r="Q4178" t="s">
        <v>9896</v>
      </c>
      <c r="R4178">
        <v>1</v>
      </c>
      <c r="S4178" s="5">
        <f t="shared" si="130"/>
        <v>0.27938566216349475</v>
      </c>
      <c r="T4178">
        <v>57.948571428571427</v>
      </c>
      <c r="U4178">
        <v>5</v>
      </c>
      <c r="V4178">
        <v>2022</v>
      </c>
      <c r="W4178">
        <v>2</v>
      </c>
      <c r="X4178" t="s">
        <v>9899</v>
      </c>
      <c r="Y4178" t="s">
        <v>9901</v>
      </c>
      <c r="Z4178" t="s">
        <v>9899</v>
      </c>
      <c r="AD4178">
        <f t="shared" si="131"/>
        <v>1</v>
      </c>
    </row>
    <row r="4179" spans="1:30" x14ac:dyDescent="0.25">
      <c r="A4179" t="s">
        <v>4203</v>
      </c>
      <c r="B4179" s="2">
        <v>45258</v>
      </c>
      <c r="C4179" s="2">
        <v>45260</v>
      </c>
      <c r="D4179" t="s">
        <v>5387</v>
      </c>
      <c r="E4179" t="s">
        <v>5887</v>
      </c>
      <c r="F4179" t="s">
        <v>6026</v>
      </c>
      <c r="G4179" t="s">
        <v>6030</v>
      </c>
      <c r="H4179" t="s">
        <v>6035</v>
      </c>
      <c r="I4179" t="s">
        <v>6051</v>
      </c>
      <c r="J4179" t="s">
        <v>6054</v>
      </c>
      <c r="K4179" t="s">
        <v>6062</v>
      </c>
      <c r="L4179" t="s">
        <v>6423</v>
      </c>
      <c r="M4179">
        <v>1250.79</v>
      </c>
      <c r="N4179">
        <v>5</v>
      </c>
      <c r="O4179">
        <v>0.05</v>
      </c>
      <c r="P4179">
        <v>263.77</v>
      </c>
      <c r="Q4179" t="s">
        <v>9895</v>
      </c>
      <c r="R4179">
        <v>2</v>
      </c>
      <c r="S4179" s="5">
        <f t="shared" si="130"/>
        <v>0.21088272211962039</v>
      </c>
      <c r="T4179">
        <v>250.15799999999999</v>
      </c>
      <c r="U4179">
        <v>11</v>
      </c>
      <c r="V4179">
        <v>2023</v>
      </c>
      <c r="W4179">
        <v>4</v>
      </c>
      <c r="X4179" t="s">
        <v>9899</v>
      </c>
      <c r="Y4179" t="s">
        <v>9901</v>
      </c>
      <c r="Z4179" t="s">
        <v>9898</v>
      </c>
      <c r="AD4179">
        <f t="shared" si="131"/>
        <v>2</v>
      </c>
    </row>
    <row r="4180" spans="1:30" x14ac:dyDescent="0.25">
      <c r="A4180" t="s">
        <v>4204</v>
      </c>
      <c r="B4180" s="2">
        <v>45275</v>
      </c>
      <c r="C4180" s="2">
        <v>45282</v>
      </c>
      <c r="D4180" t="s">
        <v>5033</v>
      </c>
      <c r="E4180" t="s">
        <v>5533</v>
      </c>
      <c r="F4180" t="s">
        <v>6028</v>
      </c>
      <c r="G4180" t="s">
        <v>6031</v>
      </c>
      <c r="H4180" t="s">
        <v>6037</v>
      </c>
      <c r="I4180" t="s">
        <v>6052</v>
      </c>
      <c r="J4180" t="s">
        <v>6055</v>
      </c>
      <c r="K4180" t="s">
        <v>6061</v>
      </c>
      <c r="L4180" t="s">
        <v>8174</v>
      </c>
      <c r="M4180">
        <v>1586.74</v>
      </c>
      <c r="N4180">
        <v>5</v>
      </c>
      <c r="O4180">
        <v>0.17</v>
      </c>
      <c r="P4180">
        <v>142.49</v>
      </c>
      <c r="Q4180" t="s">
        <v>9895</v>
      </c>
      <c r="R4180">
        <v>7</v>
      </c>
      <c r="S4180" s="5">
        <f t="shared" si="130"/>
        <v>8.9800471406783725E-2</v>
      </c>
      <c r="T4180">
        <v>317.34800000000001</v>
      </c>
      <c r="U4180">
        <v>12</v>
      </c>
      <c r="V4180">
        <v>2023</v>
      </c>
      <c r="W4180">
        <v>4</v>
      </c>
      <c r="X4180" t="s">
        <v>9899</v>
      </c>
      <c r="Y4180" t="s">
        <v>9900</v>
      </c>
      <c r="Z4180" t="s">
        <v>9898</v>
      </c>
      <c r="AD4180">
        <f t="shared" si="131"/>
        <v>7</v>
      </c>
    </row>
    <row r="4181" spans="1:30" x14ac:dyDescent="0.25">
      <c r="A4181" t="s">
        <v>4205</v>
      </c>
      <c r="B4181" s="2">
        <v>45045</v>
      </c>
      <c r="C4181" s="2">
        <v>45049</v>
      </c>
      <c r="D4181" t="s">
        <v>5219</v>
      </c>
      <c r="E4181" t="s">
        <v>5719</v>
      </c>
      <c r="F4181" t="s">
        <v>6028</v>
      </c>
      <c r="G4181" t="s">
        <v>6030</v>
      </c>
      <c r="H4181" t="s">
        <v>6038</v>
      </c>
      <c r="I4181" t="s">
        <v>6051</v>
      </c>
      <c r="J4181" t="s">
        <v>6055</v>
      </c>
      <c r="K4181" t="s">
        <v>6061</v>
      </c>
      <c r="L4181" t="s">
        <v>7677</v>
      </c>
      <c r="M4181">
        <v>826.28</v>
      </c>
      <c r="N4181">
        <v>2</v>
      </c>
      <c r="O4181">
        <v>0.27</v>
      </c>
      <c r="P4181">
        <v>-95.4</v>
      </c>
      <c r="Q4181" t="s">
        <v>9895</v>
      </c>
      <c r="R4181">
        <v>4</v>
      </c>
      <c r="S4181" s="5">
        <f t="shared" si="130"/>
        <v>-0.11545722999467493</v>
      </c>
      <c r="T4181">
        <v>413.14</v>
      </c>
      <c r="U4181">
        <v>4</v>
      </c>
      <c r="V4181">
        <v>2023</v>
      </c>
      <c r="W4181">
        <v>2</v>
      </c>
      <c r="X4181" t="s">
        <v>9898</v>
      </c>
      <c r="Y4181" t="s">
        <v>9900</v>
      </c>
      <c r="Z4181" t="s">
        <v>9899</v>
      </c>
      <c r="AD4181">
        <f t="shared" si="131"/>
        <v>4</v>
      </c>
    </row>
    <row r="4182" spans="1:30" x14ac:dyDescent="0.25">
      <c r="A4182" t="s">
        <v>4206</v>
      </c>
      <c r="B4182" s="2">
        <v>45305</v>
      </c>
      <c r="C4182" s="2">
        <v>45311</v>
      </c>
      <c r="D4182" t="s">
        <v>5282</v>
      </c>
      <c r="E4182" t="s">
        <v>5782</v>
      </c>
      <c r="F4182" t="s">
        <v>6028</v>
      </c>
      <c r="G4182" t="s">
        <v>6030</v>
      </c>
      <c r="H4182" t="s">
        <v>6033</v>
      </c>
      <c r="I4182" t="s">
        <v>6047</v>
      </c>
      <c r="J4182" t="s">
        <v>6055</v>
      </c>
      <c r="K4182" t="s">
        <v>6064</v>
      </c>
      <c r="L4182" t="s">
        <v>8615</v>
      </c>
      <c r="M4182">
        <v>1874.82</v>
      </c>
      <c r="N4182">
        <v>3</v>
      </c>
      <c r="O4182">
        <v>0.32</v>
      </c>
      <c r="P4182">
        <v>-397.56</v>
      </c>
      <c r="Q4182" t="s">
        <v>9893</v>
      </c>
      <c r="R4182">
        <v>6</v>
      </c>
      <c r="S4182" s="5">
        <f t="shared" si="130"/>
        <v>-0.21205235702627453</v>
      </c>
      <c r="T4182">
        <v>624.93999999999994</v>
      </c>
      <c r="U4182">
        <v>1</v>
      </c>
      <c r="V4182">
        <v>2024</v>
      </c>
      <c r="W4182">
        <v>1</v>
      </c>
      <c r="X4182" t="s">
        <v>9898</v>
      </c>
      <c r="Y4182" t="s">
        <v>9902</v>
      </c>
      <c r="Z4182" t="s">
        <v>9898</v>
      </c>
      <c r="AD4182">
        <f t="shared" si="131"/>
        <v>6</v>
      </c>
    </row>
    <row r="4183" spans="1:30" x14ac:dyDescent="0.25">
      <c r="A4183" t="s">
        <v>4207</v>
      </c>
      <c r="B4183" s="2">
        <v>45450</v>
      </c>
      <c r="C4183" s="2">
        <v>45457</v>
      </c>
      <c r="D4183" t="s">
        <v>5156</v>
      </c>
      <c r="E4183" t="s">
        <v>5656</v>
      </c>
      <c r="F4183" t="s">
        <v>6028</v>
      </c>
      <c r="G4183" t="s">
        <v>6030</v>
      </c>
      <c r="H4183" t="s">
        <v>6035</v>
      </c>
      <c r="I4183" t="s">
        <v>6047</v>
      </c>
      <c r="J4183" t="s">
        <v>6054</v>
      </c>
      <c r="K4183" t="s">
        <v>6062</v>
      </c>
      <c r="L4183" t="s">
        <v>9393</v>
      </c>
      <c r="M4183">
        <v>1629.7</v>
      </c>
      <c r="N4183">
        <v>6</v>
      </c>
      <c r="O4183">
        <v>0.18</v>
      </c>
      <c r="P4183">
        <v>22.43</v>
      </c>
      <c r="Q4183" t="s">
        <v>9896</v>
      </c>
      <c r="R4183">
        <v>7</v>
      </c>
      <c r="S4183" s="5">
        <f t="shared" si="130"/>
        <v>1.3763269313370559E-2</v>
      </c>
      <c r="T4183">
        <v>271.61666666666667</v>
      </c>
      <c r="U4183">
        <v>6</v>
      </c>
      <c r="V4183">
        <v>2024</v>
      </c>
      <c r="W4183">
        <v>2</v>
      </c>
      <c r="X4183" t="s">
        <v>9899</v>
      </c>
      <c r="Y4183" t="s">
        <v>9900</v>
      </c>
      <c r="Z4183" t="s">
        <v>9898</v>
      </c>
      <c r="AD4183">
        <f t="shared" si="131"/>
        <v>7</v>
      </c>
    </row>
    <row r="4184" spans="1:30" x14ac:dyDescent="0.25">
      <c r="A4184" t="s">
        <v>4208</v>
      </c>
      <c r="B4184" s="2">
        <v>45146</v>
      </c>
      <c r="C4184" s="2">
        <v>45148</v>
      </c>
      <c r="D4184" t="s">
        <v>5427</v>
      </c>
      <c r="E4184" t="s">
        <v>5927</v>
      </c>
      <c r="F4184" t="s">
        <v>6028</v>
      </c>
      <c r="G4184" t="s">
        <v>6029</v>
      </c>
      <c r="H4184" t="s">
        <v>6036</v>
      </c>
      <c r="I4184" t="s">
        <v>6046</v>
      </c>
      <c r="J4184" t="s">
        <v>6055</v>
      </c>
      <c r="K4184" t="s">
        <v>6063</v>
      </c>
      <c r="L4184" t="s">
        <v>7036</v>
      </c>
      <c r="M4184">
        <v>1377.47</v>
      </c>
      <c r="N4184">
        <v>6</v>
      </c>
      <c r="O4184">
        <v>0.21</v>
      </c>
      <c r="P4184">
        <v>-110.25</v>
      </c>
      <c r="Q4184" t="s">
        <v>9896</v>
      </c>
      <c r="R4184">
        <v>2</v>
      </c>
      <c r="S4184" s="5">
        <f t="shared" si="130"/>
        <v>-8.0038040755878531E-2</v>
      </c>
      <c r="T4184">
        <v>229.57833333333329</v>
      </c>
      <c r="U4184">
        <v>8</v>
      </c>
      <c r="V4184">
        <v>2023</v>
      </c>
      <c r="W4184">
        <v>3</v>
      </c>
      <c r="X4184" t="s">
        <v>9898</v>
      </c>
      <c r="Y4184" t="s">
        <v>9900</v>
      </c>
      <c r="Z4184" t="s">
        <v>9898</v>
      </c>
      <c r="AD4184">
        <f t="shared" si="131"/>
        <v>2</v>
      </c>
    </row>
    <row r="4185" spans="1:30" x14ac:dyDescent="0.25">
      <c r="A4185" t="s">
        <v>4209</v>
      </c>
      <c r="B4185" s="2">
        <v>44854</v>
      </c>
      <c r="C4185" s="2">
        <v>44859</v>
      </c>
      <c r="D4185" t="s">
        <v>5457</v>
      </c>
      <c r="E4185" t="s">
        <v>5957</v>
      </c>
      <c r="F4185" t="s">
        <v>6027</v>
      </c>
      <c r="G4185" t="s">
        <v>6031</v>
      </c>
      <c r="H4185" t="s">
        <v>6042</v>
      </c>
      <c r="I4185" t="s">
        <v>6048</v>
      </c>
      <c r="J4185" t="s">
        <v>6055</v>
      </c>
      <c r="K4185" t="s">
        <v>6061</v>
      </c>
      <c r="L4185" t="s">
        <v>9394</v>
      </c>
      <c r="M4185">
        <v>1396.86</v>
      </c>
      <c r="N4185">
        <v>4</v>
      </c>
      <c r="O4185">
        <v>0.31</v>
      </c>
      <c r="P4185">
        <v>-67.819999999999993</v>
      </c>
      <c r="Q4185" t="s">
        <v>9896</v>
      </c>
      <c r="R4185">
        <v>5</v>
      </c>
      <c r="S4185" s="5">
        <f t="shared" si="130"/>
        <v>-4.8551751786148935E-2</v>
      </c>
      <c r="T4185">
        <v>349.21499999999997</v>
      </c>
      <c r="U4185">
        <v>10</v>
      </c>
      <c r="V4185">
        <v>2022</v>
      </c>
      <c r="W4185">
        <v>4</v>
      </c>
      <c r="X4185" t="s">
        <v>9898</v>
      </c>
      <c r="Y4185" t="s">
        <v>9902</v>
      </c>
      <c r="Z4185" t="s">
        <v>9898</v>
      </c>
      <c r="AD4185">
        <f t="shared" si="131"/>
        <v>5</v>
      </c>
    </row>
    <row r="4186" spans="1:30" x14ac:dyDescent="0.25">
      <c r="A4186" t="s">
        <v>4210</v>
      </c>
      <c r="B4186" s="2">
        <v>45194</v>
      </c>
      <c r="C4186" s="2">
        <v>45201</v>
      </c>
      <c r="D4186" t="s">
        <v>5434</v>
      </c>
      <c r="E4186" t="s">
        <v>5934</v>
      </c>
      <c r="F4186" t="s">
        <v>6026</v>
      </c>
      <c r="G4186" t="s">
        <v>6029</v>
      </c>
      <c r="H4186" t="s">
        <v>6041</v>
      </c>
      <c r="I4186" t="s">
        <v>6046</v>
      </c>
      <c r="J4186" t="s">
        <v>6054</v>
      </c>
      <c r="K4186" t="s">
        <v>6059</v>
      </c>
      <c r="L4186" t="s">
        <v>9395</v>
      </c>
      <c r="M4186">
        <v>820.05</v>
      </c>
      <c r="N4186">
        <v>4</v>
      </c>
      <c r="O4186">
        <v>0.05</v>
      </c>
      <c r="P4186">
        <v>191.42</v>
      </c>
      <c r="Q4186" t="s">
        <v>9896</v>
      </c>
      <c r="R4186">
        <v>7</v>
      </c>
      <c r="S4186" s="5">
        <f t="shared" si="130"/>
        <v>0.23342479117127005</v>
      </c>
      <c r="T4186">
        <v>205.01249999999999</v>
      </c>
      <c r="U4186">
        <v>9</v>
      </c>
      <c r="V4186">
        <v>2023</v>
      </c>
      <c r="W4186">
        <v>3</v>
      </c>
      <c r="X4186" t="s">
        <v>9899</v>
      </c>
      <c r="Y4186" t="s">
        <v>9901</v>
      </c>
      <c r="Z4186" t="s">
        <v>9899</v>
      </c>
      <c r="AD4186">
        <f t="shared" si="131"/>
        <v>7</v>
      </c>
    </row>
    <row r="4187" spans="1:30" x14ac:dyDescent="0.25">
      <c r="A4187" t="s">
        <v>4211</v>
      </c>
      <c r="B4187" s="2">
        <v>44643</v>
      </c>
      <c r="C4187" s="2">
        <v>44647</v>
      </c>
      <c r="D4187" t="s">
        <v>5389</v>
      </c>
      <c r="E4187" t="s">
        <v>5889</v>
      </c>
      <c r="F4187" t="s">
        <v>6028</v>
      </c>
      <c r="G4187" t="s">
        <v>6031</v>
      </c>
      <c r="H4187" t="s">
        <v>6042</v>
      </c>
      <c r="I4187" t="s">
        <v>6050</v>
      </c>
      <c r="J4187" t="s">
        <v>6055</v>
      </c>
      <c r="K4187" t="s">
        <v>6063</v>
      </c>
      <c r="L4187" t="s">
        <v>9396</v>
      </c>
      <c r="M4187">
        <v>1174.8</v>
      </c>
      <c r="N4187">
        <v>3</v>
      </c>
      <c r="O4187">
        <v>0.22</v>
      </c>
      <c r="P4187">
        <v>76.260000000000005</v>
      </c>
      <c r="Q4187" t="s">
        <v>9895</v>
      </c>
      <c r="R4187">
        <v>4</v>
      </c>
      <c r="S4187" s="5">
        <f t="shared" si="130"/>
        <v>6.4913176710929527E-2</v>
      </c>
      <c r="T4187">
        <v>391.6</v>
      </c>
      <c r="U4187">
        <v>3</v>
      </c>
      <c r="V4187">
        <v>2022</v>
      </c>
      <c r="W4187">
        <v>1</v>
      </c>
      <c r="X4187" t="s">
        <v>9899</v>
      </c>
      <c r="Y4187" t="s">
        <v>9900</v>
      </c>
      <c r="Z4187" t="s">
        <v>9898</v>
      </c>
      <c r="AD4187">
        <f t="shared" si="131"/>
        <v>4</v>
      </c>
    </row>
    <row r="4188" spans="1:30" x14ac:dyDescent="0.25">
      <c r="A4188" t="s">
        <v>4212</v>
      </c>
      <c r="B4188" s="2">
        <v>44920</v>
      </c>
      <c r="C4188" s="2">
        <v>44921</v>
      </c>
      <c r="D4188" t="s">
        <v>5211</v>
      </c>
      <c r="E4188" t="s">
        <v>5711</v>
      </c>
      <c r="F4188" t="s">
        <v>6026</v>
      </c>
      <c r="G4188" t="s">
        <v>6031</v>
      </c>
      <c r="H4188" t="s">
        <v>6040</v>
      </c>
      <c r="I4188" t="s">
        <v>6048</v>
      </c>
      <c r="J4188" t="s">
        <v>6053</v>
      </c>
      <c r="K4188" t="s">
        <v>6057</v>
      </c>
      <c r="L4188" t="s">
        <v>9397</v>
      </c>
      <c r="M4188">
        <v>1293.3699999999999</v>
      </c>
      <c r="N4188">
        <v>4</v>
      </c>
      <c r="O4188">
        <v>0.28999999999999998</v>
      </c>
      <c r="P4188">
        <v>-4.75</v>
      </c>
      <c r="Q4188" t="s">
        <v>9896</v>
      </c>
      <c r="R4188">
        <v>1</v>
      </c>
      <c r="S4188" s="5">
        <f t="shared" si="130"/>
        <v>-3.672576292940149E-3</v>
      </c>
      <c r="T4188">
        <v>323.34249999999997</v>
      </c>
      <c r="U4188">
        <v>12</v>
      </c>
      <c r="V4188">
        <v>2022</v>
      </c>
      <c r="W4188">
        <v>4</v>
      </c>
      <c r="X4188" t="s">
        <v>9898</v>
      </c>
      <c r="Y4188" t="s">
        <v>9900</v>
      </c>
      <c r="Z4188" t="s">
        <v>9898</v>
      </c>
      <c r="AD4188">
        <f t="shared" si="131"/>
        <v>1</v>
      </c>
    </row>
    <row r="4189" spans="1:30" x14ac:dyDescent="0.25">
      <c r="A4189" t="s">
        <v>4213</v>
      </c>
      <c r="B4189" s="2">
        <v>44591</v>
      </c>
      <c r="C4189" s="2">
        <v>44596</v>
      </c>
      <c r="D4189" t="s">
        <v>5318</v>
      </c>
      <c r="E4189" t="s">
        <v>5818</v>
      </c>
      <c r="F4189" t="s">
        <v>6028</v>
      </c>
      <c r="G4189" t="s">
        <v>6030</v>
      </c>
      <c r="H4189" t="s">
        <v>6035</v>
      </c>
      <c r="I4189" t="s">
        <v>6047</v>
      </c>
      <c r="J4189" t="s">
        <v>6055</v>
      </c>
      <c r="K4189" t="s">
        <v>6061</v>
      </c>
      <c r="L4189" t="s">
        <v>9398</v>
      </c>
      <c r="M4189">
        <v>1949.58</v>
      </c>
      <c r="N4189">
        <v>3</v>
      </c>
      <c r="O4189">
        <v>0.1</v>
      </c>
      <c r="P4189">
        <v>79</v>
      </c>
      <c r="Q4189" t="s">
        <v>9896</v>
      </c>
      <c r="R4189">
        <v>5</v>
      </c>
      <c r="S4189" s="5">
        <f t="shared" si="130"/>
        <v>4.0521548230901018E-2</v>
      </c>
      <c r="T4189">
        <v>649.86</v>
      </c>
      <c r="U4189">
        <v>1</v>
      </c>
      <c r="V4189">
        <v>2022</v>
      </c>
      <c r="W4189">
        <v>1</v>
      </c>
      <c r="X4189" t="s">
        <v>9899</v>
      </c>
      <c r="Y4189" t="s">
        <v>9901</v>
      </c>
      <c r="Z4189" t="s">
        <v>9898</v>
      </c>
      <c r="AD4189">
        <f t="shared" si="131"/>
        <v>5</v>
      </c>
    </row>
    <row r="4190" spans="1:30" x14ac:dyDescent="0.25">
      <c r="A4190" t="s">
        <v>4214</v>
      </c>
      <c r="B4190" s="2">
        <v>45344</v>
      </c>
      <c r="C4190" s="2">
        <v>45346</v>
      </c>
      <c r="D4190" t="s">
        <v>5446</v>
      </c>
      <c r="E4190" t="s">
        <v>5946</v>
      </c>
      <c r="F4190" t="s">
        <v>6026</v>
      </c>
      <c r="G4190" t="s">
        <v>6031</v>
      </c>
      <c r="H4190" t="s">
        <v>6042</v>
      </c>
      <c r="I4190" t="s">
        <v>6052</v>
      </c>
      <c r="J4190" t="s">
        <v>6055</v>
      </c>
      <c r="K4190" t="s">
        <v>6064</v>
      </c>
      <c r="L4190" t="s">
        <v>7049</v>
      </c>
      <c r="M4190">
        <v>1582.41</v>
      </c>
      <c r="N4190">
        <v>8</v>
      </c>
      <c r="O4190">
        <v>0.32</v>
      </c>
      <c r="P4190">
        <v>-231.39</v>
      </c>
      <c r="Q4190" t="s">
        <v>9894</v>
      </c>
      <c r="R4190">
        <v>2</v>
      </c>
      <c r="S4190" s="5">
        <f t="shared" si="130"/>
        <v>-0.14622632566781046</v>
      </c>
      <c r="T4190">
        <v>197.80125000000001</v>
      </c>
      <c r="U4190">
        <v>2</v>
      </c>
      <c r="V4190">
        <v>2024</v>
      </c>
      <c r="W4190">
        <v>1</v>
      </c>
      <c r="X4190" t="s">
        <v>9898</v>
      </c>
      <c r="Y4190" t="s">
        <v>9902</v>
      </c>
      <c r="Z4190" t="s">
        <v>9898</v>
      </c>
      <c r="AD4190">
        <f t="shared" si="131"/>
        <v>2</v>
      </c>
    </row>
    <row r="4191" spans="1:30" x14ac:dyDescent="0.25">
      <c r="A4191" t="s">
        <v>4215</v>
      </c>
      <c r="B4191" s="2">
        <v>44624</v>
      </c>
      <c r="C4191" s="2">
        <v>44628</v>
      </c>
      <c r="D4191" t="s">
        <v>5490</v>
      </c>
      <c r="E4191" t="s">
        <v>5990</v>
      </c>
      <c r="F4191" t="s">
        <v>6028</v>
      </c>
      <c r="G4191" t="s">
        <v>6029</v>
      </c>
      <c r="H4191" t="s">
        <v>6032</v>
      </c>
      <c r="I4191" t="s">
        <v>6050</v>
      </c>
      <c r="J4191" t="s">
        <v>6055</v>
      </c>
      <c r="K4191" t="s">
        <v>6061</v>
      </c>
      <c r="L4191" t="s">
        <v>8704</v>
      </c>
      <c r="M4191">
        <v>1884.24</v>
      </c>
      <c r="N4191">
        <v>3</v>
      </c>
      <c r="O4191">
        <v>0.18</v>
      </c>
      <c r="P4191">
        <v>185.73</v>
      </c>
      <c r="Q4191" t="s">
        <v>9894</v>
      </c>
      <c r="R4191">
        <v>4</v>
      </c>
      <c r="S4191" s="5">
        <f t="shared" si="130"/>
        <v>9.8570245828556863E-2</v>
      </c>
      <c r="T4191">
        <v>628.08000000000004</v>
      </c>
      <c r="U4191">
        <v>3</v>
      </c>
      <c r="V4191">
        <v>2022</v>
      </c>
      <c r="W4191">
        <v>1</v>
      </c>
      <c r="X4191" t="s">
        <v>9899</v>
      </c>
      <c r="Y4191" t="s">
        <v>9900</v>
      </c>
      <c r="Z4191" t="s">
        <v>9898</v>
      </c>
      <c r="AD4191">
        <f t="shared" si="131"/>
        <v>4</v>
      </c>
    </row>
    <row r="4192" spans="1:30" x14ac:dyDescent="0.25">
      <c r="A4192" t="s">
        <v>4216</v>
      </c>
      <c r="B4192" s="2">
        <v>44723</v>
      </c>
      <c r="C4192" s="2">
        <v>44725</v>
      </c>
      <c r="D4192" t="s">
        <v>5260</v>
      </c>
      <c r="E4192" t="s">
        <v>5760</v>
      </c>
      <c r="F4192" t="s">
        <v>6026</v>
      </c>
      <c r="G4192" t="s">
        <v>6030</v>
      </c>
      <c r="H4192" t="s">
        <v>6033</v>
      </c>
      <c r="I4192" t="s">
        <v>6047</v>
      </c>
      <c r="J4192" t="s">
        <v>6053</v>
      </c>
      <c r="K4192" t="s">
        <v>6058</v>
      </c>
      <c r="L4192" t="s">
        <v>9399</v>
      </c>
      <c r="M4192">
        <v>973.14</v>
      </c>
      <c r="N4192">
        <v>3</v>
      </c>
      <c r="O4192">
        <v>0.16</v>
      </c>
      <c r="P4192">
        <v>31.75</v>
      </c>
      <c r="Q4192" t="s">
        <v>9896</v>
      </c>
      <c r="R4192">
        <v>2</v>
      </c>
      <c r="S4192" s="5">
        <f t="shared" si="130"/>
        <v>3.2626343588795036E-2</v>
      </c>
      <c r="T4192">
        <v>324.38</v>
      </c>
      <c r="U4192">
        <v>6</v>
      </c>
      <c r="V4192">
        <v>2022</v>
      </c>
      <c r="W4192">
        <v>2</v>
      </c>
      <c r="X4192" t="s">
        <v>9899</v>
      </c>
      <c r="Y4192" t="s">
        <v>9900</v>
      </c>
      <c r="Z4192" t="s">
        <v>9899</v>
      </c>
      <c r="AD4192">
        <f t="shared" si="131"/>
        <v>2</v>
      </c>
    </row>
    <row r="4193" spans="1:30" x14ac:dyDescent="0.25">
      <c r="A4193" t="s">
        <v>4217</v>
      </c>
      <c r="B4193" s="2">
        <v>44677</v>
      </c>
      <c r="C4193" s="2">
        <v>44678</v>
      </c>
      <c r="D4193" t="s">
        <v>5152</v>
      </c>
      <c r="E4193" t="s">
        <v>5652</v>
      </c>
      <c r="F4193" t="s">
        <v>6026</v>
      </c>
      <c r="G4193" t="s">
        <v>6030</v>
      </c>
      <c r="H4193" t="s">
        <v>6033</v>
      </c>
      <c r="I4193" t="s">
        <v>6047</v>
      </c>
      <c r="J4193" t="s">
        <v>6053</v>
      </c>
      <c r="K4193" t="s">
        <v>6056</v>
      </c>
      <c r="L4193" t="s">
        <v>9400</v>
      </c>
      <c r="M4193">
        <v>1438.87</v>
      </c>
      <c r="N4193">
        <v>7</v>
      </c>
      <c r="O4193">
        <v>0.11</v>
      </c>
      <c r="P4193">
        <v>171.69</v>
      </c>
      <c r="Q4193" t="s">
        <v>9895</v>
      </c>
      <c r="R4193">
        <v>1</v>
      </c>
      <c r="S4193" s="5">
        <f t="shared" si="130"/>
        <v>0.11932280192095186</v>
      </c>
      <c r="T4193">
        <v>205.55285714285711</v>
      </c>
      <c r="U4193">
        <v>4</v>
      </c>
      <c r="V4193">
        <v>2022</v>
      </c>
      <c r="W4193">
        <v>2</v>
      </c>
      <c r="X4193" t="s">
        <v>9899</v>
      </c>
      <c r="Y4193" t="s">
        <v>9901</v>
      </c>
      <c r="Z4193" t="s">
        <v>9898</v>
      </c>
      <c r="AD4193">
        <f t="shared" si="131"/>
        <v>1</v>
      </c>
    </row>
    <row r="4194" spans="1:30" x14ac:dyDescent="0.25">
      <c r="A4194" t="s">
        <v>4218</v>
      </c>
      <c r="B4194" s="2">
        <v>45372</v>
      </c>
      <c r="C4194" s="2">
        <v>45377</v>
      </c>
      <c r="D4194" t="s">
        <v>5279</v>
      </c>
      <c r="E4194" t="s">
        <v>5779</v>
      </c>
      <c r="F4194" t="s">
        <v>6026</v>
      </c>
      <c r="G4194" t="s">
        <v>6031</v>
      </c>
      <c r="H4194" t="s">
        <v>6043</v>
      </c>
      <c r="I4194" t="s">
        <v>6050</v>
      </c>
      <c r="J4194" t="s">
        <v>6053</v>
      </c>
      <c r="K4194" t="s">
        <v>6058</v>
      </c>
      <c r="L4194" t="s">
        <v>7326</v>
      </c>
      <c r="M4194">
        <v>1729.78</v>
      </c>
      <c r="N4194">
        <v>7</v>
      </c>
      <c r="O4194">
        <v>0.22</v>
      </c>
      <c r="P4194">
        <v>-152.19999999999999</v>
      </c>
      <c r="Q4194" t="s">
        <v>9897</v>
      </c>
      <c r="R4194">
        <v>5</v>
      </c>
      <c r="S4194" s="5">
        <f t="shared" si="130"/>
        <v>-8.7988067846778192E-2</v>
      </c>
      <c r="T4194">
        <v>247.1114285714286</v>
      </c>
      <c r="U4194">
        <v>3</v>
      </c>
      <c r="V4194">
        <v>2024</v>
      </c>
      <c r="W4194">
        <v>1</v>
      </c>
      <c r="X4194" t="s">
        <v>9898</v>
      </c>
      <c r="Y4194" t="s">
        <v>9900</v>
      </c>
      <c r="Z4194" t="s">
        <v>9898</v>
      </c>
      <c r="AD4194">
        <f t="shared" si="131"/>
        <v>5</v>
      </c>
    </row>
    <row r="4195" spans="1:30" x14ac:dyDescent="0.25">
      <c r="A4195" t="s">
        <v>4219</v>
      </c>
      <c r="B4195" s="2">
        <v>45216</v>
      </c>
      <c r="C4195" s="2">
        <v>45221</v>
      </c>
      <c r="D4195" t="s">
        <v>5522</v>
      </c>
      <c r="E4195" t="s">
        <v>6022</v>
      </c>
      <c r="F4195" t="s">
        <v>6026</v>
      </c>
      <c r="G4195" t="s">
        <v>6031</v>
      </c>
      <c r="H4195" t="s">
        <v>6042</v>
      </c>
      <c r="I4195" t="s">
        <v>6048</v>
      </c>
      <c r="J4195" t="s">
        <v>6054</v>
      </c>
      <c r="K4195" t="s">
        <v>6059</v>
      </c>
      <c r="L4195" t="s">
        <v>8394</v>
      </c>
      <c r="M4195">
        <v>1009.28</v>
      </c>
      <c r="N4195">
        <v>7</v>
      </c>
      <c r="O4195">
        <v>0.09</v>
      </c>
      <c r="P4195">
        <v>89.51</v>
      </c>
      <c r="Q4195" t="s">
        <v>9895</v>
      </c>
      <c r="R4195">
        <v>5</v>
      </c>
      <c r="S4195" s="5">
        <f t="shared" si="130"/>
        <v>8.8686984781230188E-2</v>
      </c>
      <c r="T4195">
        <v>144.1828571428571</v>
      </c>
      <c r="U4195">
        <v>10</v>
      </c>
      <c r="V4195">
        <v>2023</v>
      </c>
      <c r="W4195">
        <v>4</v>
      </c>
      <c r="X4195" t="s">
        <v>9899</v>
      </c>
      <c r="Y4195" t="s">
        <v>9901</v>
      </c>
      <c r="Z4195" t="s">
        <v>9898</v>
      </c>
      <c r="AD4195">
        <f t="shared" si="131"/>
        <v>5</v>
      </c>
    </row>
    <row r="4196" spans="1:30" x14ac:dyDescent="0.25">
      <c r="A4196" t="s">
        <v>4220</v>
      </c>
      <c r="B4196" s="2">
        <v>45154</v>
      </c>
      <c r="C4196" s="2">
        <v>45159</v>
      </c>
      <c r="D4196" t="s">
        <v>5303</v>
      </c>
      <c r="E4196" t="s">
        <v>5803</v>
      </c>
      <c r="F4196" t="s">
        <v>6028</v>
      </c>
      <c r="G4196" t="s">
        <v>6029</v>
      </c>
      <c r="H4196" t="s">
        <v>6041</v>
      </c>
      <c r="I4196" t="s">
        <v>6046</v>
      </c>
      <c r="J4196" t="s">
        <v>6053</v>
      </c>
      <c r="K4196" t="s">
        <v>6058</v>
      </c>
      <c r="L4196" t="s">
        <v>9401</v>
      </c>
      <c r="M4196">
        <v>441.93</v>
      </c>
      <c r="N4196">
        <v>5</v>
      </c>
      <c r="O4196">
        <v>0.13</v>
      </c>
      <c r="P4196">
        <v>70.61</v>
      </c>
      <c r="Q4196" t="s">
        <v>9896</v>
      </c>
      <c r="R4196">
        <v>5</v>
      </c>
      <c r="S4196" s="5">
        <f t="shared" si="130"/>
        <v>0.1597764351820424</v>
      </c>
      <c r="T4196">
        <v>88.385999999999996</v>
      </c>
      <c r="U4196">
        <v>8</v>
      </c>
      <c r="V4196">
        <v>2023</v>
      </c>
      <c r="W4196">
        <v>3</v>
      </c>
      <c r="X4196" t="s">
        <v>9899</v>
      </c>
      <c r="Y4196" t="s">
        <v>9901</v>
      </c>
      <c r="Z4196" t="s">
        <v>9899</v>
      </c>
      <c r="AD4196">
        <f t="shared" si="131"/>
        <v>5</v>
      </c>
    </row>
    <row r="4197" spans="1:30" x14ac:dyDescent="0.25">
      <c r="A4197" t="s">
        <v>4221</v>
      </c>
      <c r="B4197" s="2">
        <v>44973</v>
      </c>
      <c r="C4197" s="2">
        <v>44980</v>
      </c>
      <c r="D4197" t="s">
        <v>5312</v>
      </c>
      <c r="E4197" t="s">
        <v>5812</v>
      </c>
      <c r="F4197" t="s">
        <v>6026</v>
      </c>
      <c r="G4197" t="s">
        <v>6029</v>
      </c>
      <c r="H4197" t="s">
        <v>6036</v>
      </c>
      <c r="I4197" t="s">
        <v>6050</v>
      </c>
      <c r="J4197" t="s">
        <v>6053</v>
      </c>
      <c r="K4197" t="s">
        <v>6056</v>
      </c>
      <c r="L4197" t="s">
        <v>6117</v>
      </c>
      <c r="M4197">
        <v>846.47</v>
      </c>
      <c r="N4197">
        <v>5</v>
      </c>
      <c r="O4197">
        <v>0.27</v>
      </c>
      <c r="P4197">
        <v>-49.76</v>
      </c>
      <c r="Q4197" t="s">
        <v>9895</v>
      </c>
      <c r="R4197">
        <v>7</v>
      </c>
      <c r="S4197" s="5">
        <f t="shared" si="130"/>
        <v>-5.8785308398407503E-2</v>
      </c>
      <c r="T4197">
        <v>169.29400000000001</v>
      </c>
      <c r="U4197">
        <v>2</v>
      </c>
      <c r="V4197">
        <v>2023</v>
      </c>
      <c r="W4197">
        <v>1</v>
      </c>
      <c r="X4197" t="s">
        <v>9898</v>
      </c>
      <c r="Y4197" t="s">
        <v>9900</v>
      </c>
      <c r="Z4197" t="s">
        <v>9899</v>
      </c>
      <c r="AD4197">
        <f t="shared" si="131"/>
        <v>7</v>
      </c>
    </row>
    <row r="4198" spans="1:30" x14ac:dyDescent="0.25">
      <c r="A4198" t="s">
        <v>4222</v>
      </c>
      <c r="B4198" s="2">
        <v>44631</v>
      </c>
      <c r="C4198" s="2">
        <v>44634</v>
      </c>
      <c r="D4198" t="s">
        <v>5181</v>
      </c>
      <c r="E4198" t="s">
        <v>5681</v>
      </c>
      <c r="F4198" t="s">
        <v>6026</v>
      </c>
      <c r="G4198" t="s">
        <v>6031</v>
      </c>
      <c r="H4198" t="s">
        <v>6040</v>
      </c>
      <c r="I4198" t="s">
        <v>6050</v>
      </c>
      <c r="J4198" t="s">
        <v>6055</v>
      </c>
      <c r="K4198" t="s">
        <v>6061</v>
      </c>
      <c r="L4198" t="s">
        <v>9402</v>
      </c>
      <c r="M4198">
        <v>124.05</v>
      </c>
      <c r="N4198">
        <v>8</v>
      </c>
      <c r="O4198">
        <v>0.32</v>
      </c>
      <c r="P4198">
        <v>-14.28</v>
      </c>
      <c r="Q4198" t="s">
        <v>9896</v>
      </c>
      <c r="R4198">
        <v>3</v>
      </c>
      <c r="S4198" s="5">
        <f t="shared" si="130"/>
        <v>-0.1151148730350665</v>
      </c>
      <c r="T4198">
        <v>15.50625</v>
      </c>
      <c r="U4198">
        <v>3</v>
      </c>
      <c r="V4198">
        <v>2022</v>
      </c>
      <c r="W4198">
        <v>1</v>
      </c>
      <c r="X4198" t="s">
        <v>9898</v>
      </c>
      <c r="Y4198" t="s">
        <v>9902</v>
      </c>
      <c r="Z4198" t="s">
        <v>9899</v>
      </c>
      <c r="AD4198">
        <f t="shared" si="131"/>
        <v>3</v>
      </c>
    </row>
    <row r="4199" spans="1:30" x14ac:dyDescent="0.25">
      <c r="A4199" t="s">
        <v>4223</v>
      </c>
      <c r="B4199" s="2">
        <v>44822</v>
      </c>
      <c r="C4199" s="2">
        <v>44823</v>
      </c>
      <c r="D4199" t="s">
        <v>5305</v>
      </c>
      <c r="E4199" t="s">
        <v>5805</v>
      </c>
      <c r="F4199" t="s">
        <v>6028</v>
      </c>
      <c r="G4199" t="s">
        <v>6029</v>
      </c>
      <c r="H4199" t="s">
        <v>6036</v>
      </c>
      <c r="I4199" t="s">
        <v>6046</v>
      </c>
      <c r="J4199" t="s">
        <v>6054</v>
      </c>
      <c r="K4199" t="s">
        <v>6059</v>
      </c>
      <c r="L4199" t="s">
        <v>9403</v>
      </c>
      <c r="M4199">
        <v>610.76</v>
      </c>
      <c r="N4199">
        <v>6</v>
      </c>
      <c r="O4199">
        <v>0.15</v>
      </c>
      <c r="P4199">
        <v>87.62</v>
      </c>
      <c r="Q4199" t="s">
        <v>9897</v>
      </c>
      <c r="R4199">
        <v>1</v>
      </c>
      <c r="S4199" s="5">
        <f t="shared" si="130"/>
        <v>0.14346060645752834</v>
      </c>
      <c r="T4199">
        <v>101.79333333333329</v>
      </c>
      <c r="U4199">
        <v>9</v>
      </c>
      <c r="V4199">
        <v>2022</v>
      </c>
      <c r="W4199">
        <v>3</v>
      </c>
      <c r="X4199" t="s">
        <v>9899</v>
      </c>
      <c r="Y4199" t="s">
        <v>9901</v>
      </c>
      <c r="Z4199" t="s">
        <v>9899</v>
      </c>
      <c r="AD4199">
        <f t="shared" si="131"/>
        <v>1</v>
      </c>
    </row>
    <row r="4200" spans="1:30" x14ac:dyDescent="0.25">
      <c r="A4200" t="s">
        <v>4224</v>
      </c>
      <c r="B4200" s="2">
        <v>45260</v>
      </c>
      <c r="C4200" s="2">
        <v>45264</v>
      </c>
      <c r="D4200" t="s">
        <v>5169</v>
      </c>
      <c r="E4200" t="s">
        <v>5669</v>
      </c>
      <c r="F4200" t="s">
        <v>6026</v>
      </c>
      <c r="G4200" t="s">
        <v>6031</v>
      </c>
      <c r="H4200" t="s">
        <v>6037</v>
      </c>
      <c r="I4200" t="s">
        <v>6050</v>
      </c>
      <c r="J4200" t="s">
        <v>6055</v>
      </c>
      <c r="K4200" t="s">
        <v>6064</v>
      </c>
      <c r="L4200" t="s">
        <v>8563</v>
      </c>
      <c r="M4200">
        <v>285.08999999999997</v>
      </c>
      <c r="N4200">
        <v>2</v>
      </c>
      <c r="O4200">
        <v>0.34</v>
      </c>
      <c r="P4200">
        <v>-59.44</v>
      </c>
      <c r="Q4200" t="s">
        <v>9895</v>
      </c>
      <c r="R4200">
        <v>4</v>
      </c>
      <c r="S4200" s="5">
        <f t="shared" si="130"/>
        <v>-0.20849556280472833</v>
      </c>
      <c r="T4200">
        <v>142.54499999999999</v>
      </c>
      <c r="U4200">
        <v>11</v>
      </c>
      <c r="V4200">
        <v>2023</v>
      </c>
      <c r="W4200">
        <v>4</v>
      </c>
      <c r="X4200" t="s">
        <v>9898</v>
      </c>
      <c r="Y4200" t="s">
        <v>9902</v>
      </c>
      <c r="Z4200" t="s">
        <v>9899</v>
      </c>
      <c r="AD4200">
        <f t="shared" si="131"/>
        <v>4</v>
      </c>
    </row>
    <row r="4201" spans="1:30" x14ac:dyDescent="0.25">
      <c r="A4201" t="s">
        <v>4225</v>
      </c>
      <c r="B4201" s="2">
        <v>44606</v>
      </c>
      <c r="C4201" s="2">
        <v>44610</v>
      </c>
      <c r="D4201" t="s">
        <v>5058</v>
      </c>
      <c r="E4201" t="s">
        <v>5558</v>
      </c>
      <c r="F4201" t="s">
        <v>6028</v>
      </c>
      <c r="G4201" t="s">
        <v>6030</v>
      </c>
      <c r="H4201" t="s">
        <v>6039</v>
      </c>
      <c r="I4201" t="s">
        <v>6047</v>
      </c>
      <c r="J4201" t="s">
        <v>6054</v>
      </c>
      <c r="K4201" t="s">
        <v>6060</v>
      </c>
      <c r="L4201" t="s">
        <v>9404</v>
      </c>
      <c r="M4201">
        <v>587.26</v>
      </c>
      <c r="N4201">
        <v>5</v>
      </c>
      <c r="O4201">
        <v>0.14000000000000001</v>
      </c>
      <c r="P4201">
        <v>-11.29</v>
      </c>
      <c r="Q4201" t="s">
        <v>9895</v>
      </c>
      <c r="R4201">
        <v>4</v>
      </c>
      <c r="S4201" s="5">
        <f t="shared" si="130"/>
        <v>-1.9224874842488845E-2</v>
      </c>
      <c r="T4201">
        <v>117.452</v>
      </c>
      <c r="U4201">
        <v>2</v>
      </c>
      <c r="V4201">
        <v>2022</v>
      </c>
      <c r="W4201">
        <v>1</v>
      </c>
      <c r="X4201" t="s">
        <v>9898</v>
      </c>
      <c r="Y4201" t="s">
        <v>9901</v>
      </c>
      <c r="Z4201" t="s">
        <v>9899</v>
      </c>
      <c r="AD4201">
        <f t="shared" si="131"/>
        <v>4</v>
      </c>
    </row>
    <row r="4202" spans="1:30" x14ac:dyDescent="0.25">
      <c r="A4202" t="s">
        <v>4226</v>
      </c>
      <c r="B4202" s="2">
        <v>45353</v>
      </c>
      <c r="C4202" s="2">
        <v>45358</v>
      </c>
      <c r="D4202" t="s">
        <v>5242</v>
      </c>
      <c r="E4202" t="s">
        <v>5742</v>
      </c>
      <c r="F4202" t="s">
        <v>6026</v>
      </c>
      <c r="G4202" t="s">
        <v>6031</v>
      </c>
      <c r="H4202" t="s">
        <v>6037</v>
      </c>
      <c r="I4202" t="s">
        <v>6048</v>
      </c>
      <c r="J4202" t="s">
        <v>6053</v>
      </c>
      <c r="K4202" t="s">
        <v>6057</v>
      </c>
      <c r="L4202" t="s">
        <v>9405</v>
      </c>
      <c r="M4202">
        <v>1020.78</v>
      </c>
      <c r="N4202">
        <v>1</v>
      </c>
      <c r="O4202">
        <v>0.2</v>
      </c>
      <c r="P4202">
        <v>-88.62</v>
      </c>
      <c r="Q4202" t="s">
        <v>9893</v>
      </c>
      <c r="R4202">
        <v>5</v>
      </c>
      <c r="S4202" s="5">
        <f t="shared" si="130"/>
        <v>-8.6815964262622711E-2</v>
      </c>
      <c r="T4202">
        <v>1020.78</v>
      </c>
      <c r="U4202">
        <v>3</v>
      </c>
      <c r="V4202">
        <v>2024</v>
      </c>
      <c r="W4202">
        <v>1</v>
      </c>
      <c r="X4202" t="s">
        <v>9898</v>
      </c>
      <c r="Y4202" t="s">
        <v>9900</v>
      </c>
      <c r="Z4202" t="s">
        <v>9898</v>
      </c>
      <c r="AD4202">
        <f t="shared" si="131"/>
        <v>5</v>
      </c>
    </row>
    <row r="4203" spans="1:30" x14ac:dyDescent="0.25">
      <c r="A4203" t="s">
        <v>4227</v>
      </c>
      <c r="B4203" s="2">
        <v>45021</v>
      </c>
      <c r="C4203" s="2">
        <v>45027</v>
      </c>
      <c r="D4203" t="s">
        <v>5245</v>
      </c>
      <c r="E4203" t="s">
        <v>5745</v>
      </c>
      <c r="F4203" t="s">
        <v>6028</v>
      </c>
      <c r="G4203" t="s">
        <v>6030</v>
      </c>
      <c r="H4203" t="s">
        <v>6039</v>
      </c>
      <c r="I4203" t="s">
        <v>6047</v>
      </c>
      <c r="J4203" t="s">
        <v>6053</v>
      </c>
      <c r="K4203" t="s">
        <v>6057</v>
      </c>
      <c r="L4203" t="s">
        <v>9406</v>
      </c>
      <c r="M4203">
        <v>666.37</v>
      </c>
      <c r="N4203">
        <v>1</v>
      </c>
      <c r="O4203">
        <v>0.34</v>
      </c>
      <c r="P4203">
        <v>-156.6</v>
      </c>
      <c r="Q4203" t="s">
        <v>9895</v>
      </c>
      <c r="R4203">
        <v>6</v>
      </c>
      <c r="S4203" s="5">
        <f t="shared" si="130"/>
        <v>-0.23500457703678135</v>
      </c>
      <c r="T4203">
        <v>666.37</v>
      </c>
      <c r="U4203">
        <v>4</v>
      </c>
      <c r="V4203">
        <v>2023</v>
      </c>
      <c r="W4203">
        <v>2</v>
      </c>
      <c r="X4203" t="s">
        <v>9898</v>
      </c>
      <c r="Y4203" t="s">
        <v>9902</v>
      </c>
      <c r="Z4203" t="s">
        <v>9899</v>
      </c>
      <c r="AD4203">
        <f t="shared" si="131"/>
        <v>6</v>
      </c>
    </row>
    <row r="4204" spans="1:30" x14ac:dyDescent="0.25">
      <c r="A4204" t="s">
        <v>4228</v>
      </c>
      <c r="B4204" s="2">
        <v>45250</v>
      </c>
      <c r="C4204" s="2">
        <v>45251</v>
      </c>
      <c r="D4204" t="s">
        <v>5447</v>
      </c>
      <c r="E4204" t="s">
        <v>5947</v>
      </c>
      <c r="F4204" t="s">
        <v>6028</v>
      </c>
      <c r="G4204" t="s">
        <v>6030</v>
      </c>
      <c r="H4204" t="s">
        <v>6039</v>
      </c>
      <c r="I4204" t="s">
        <v>6047</v>
      </c>
      <c r="J4204" t="s">
        <v>6055</v>
      </c>
      <c r="K4204" t="s">
        <v>6063</v>
      </c>
      <c r="L4204" t="s">
        <v>9407</v>
      </c>
      <c r="M4204">
        <v>1929.13</v>
      </c>
      <c r="N4204">
        <v>5</v>
      </c>
      <c r="O4204">
        <v>0.13</v>
      </c>
      <c r="P4204">
        <v>235.34</v>
      </c>
      <c r="Q4204" t="s">
        <v>9894</v>
      </c>
      <c r="R4204">
        <v>1</v>
      </c>
      <c r="S4204" s="5">
        <f t="shared" si="130"/>
        <v>0.12199281541420225</v>
      </c>
      <c r="T4204">
        <v>385.82600000000002</v>
      </c>
      <c r="U4204">
        <v>11</v>
      </c>
      <c r="V4204">
        <v>2023</v>
      </c>
      <c r="W4204">
        <v>4</v>
      </c>
      <c r="X4204" t="s">
        <v>9899</v>
      </c>
      <c r="Y4204" t="s">
        <v>9901</v>
      </c>
      <c r="Z4204" t="s">
        <v>9898</v>
      </c>
      <c r="AD4204">
        <f t="shared" si="131"/>
        <v>1</v>
      </c>
    </row>
    <row r="4205" spans="1:30" x14ac:dyDescent="0.25">
      <c r="A4205" t="s">
        <v>4229</v>
      </c>
      <c r="B4205" s="2">
        <v>45171</v>
      </c>
      <c r="C4205" s="2">
        <v>45177</v>
      </c>
      <c r="D4205" t="s">
        <v>5146</v>
      </c>
      <c r="E4205" t="s">
        <v>5646</v>
      </c>
      <c r="F4205" t="s">
        <v>6028</v>
      </c>
      <c r="G4205" t="s">
        <v>6030</v>
      </c>
      <c r="H4205" t="s">
        <v>6039</v>
      </c>
      <c r="I4205" t="s">
        <v>6051</v>
      </c>
      <c r="J4205" t="s">
        <v>6053</v>
      </c>
      <c r="K4205" t="s">
        <v>6057</v>
      </c>
      <c r="L4205" t="s">
        <v>9408</v>
      </c>
      <c r="M4205">
        <v>355.23</v>
      </c>
      <c r="N4205">
        <v>5</v>
      </c>
      <c r="O4205">
        <v>0.34</v>
      </c>
      <c r="P4205">
        <v>-83.04</v>
      </c>
      <c r="Q4205" t="s">
        <v>9897</v>
      </c>
      <c r="R4205">
        <v>6</v>
      </c>
      <c r="S4205" s="5">
        <f t="shared" si="130"/>
        <v>-0.23376404019930749</v>
      </c>
      <c r="T4205">
        <v>71.046000000000006</v>
      </c>
      <c r="U4205">
        <v>9</v>
      </c>
      <c r="V4205">
        <v>2023</v>
      </c>
      <c r="W4205">
        <v>3</v>
      </c>
      <c r="X4205" t="s">
        <v>9898</v>
      </c>
      <c r="Y4205" t="s">
        <v>9902</v>
      </c>
      <c r="Z4205" t="s">
        <v>9899</v>
      </c>
      <c r="AD4205">
        <f t="shared" si="131"/>
        <v>6</v>
      </c>
    </row>
    <row r="4206" spans="1:30" x14ac:dyDescent="0.25">
      <c r="A4206" t="s">
        <v>4230</v>
      </c>
      <c r="B4206" s="2">
        <v>44729</v>
      </c>
      <c r="C4206" s="2">
        <v>44736</v>
      </c>
      <c r="D4206" t="s">
        <v>5238</v>
      </c>
      <c r="E4206" t="s">
        <v>5738</v>
      </c>
      <c r="F4206" t="s">
        <v>6026</v>
      </c>
      <c r="G4206" t="s">
        <v>6029</v>
      </c>
      <c r="H4206" t="s">
        <v>6032</v>
      </c>
      <c r="I4206" t="s">
        <v>6049</v>
      </c>
      <c r="J4206" t="s">
        <v>6053</v>
      </c>
      <c r="K4206" t="s">
        <v>6056</v>
      </c>
      <c r="L4206" t="s">
        <v>7265</v>
      </c>
      <c r="M4206">
        <v>1573.31</v>
      </c>
      <c r="N4206">
        <v>1</v>
      </c>
      <c r="O4206">
        <v>0.28000000000000003</v>
      </c>
      <c r="P4206">
        <v>-62.94</v>
      </c>
      <c r="Q4206" t="s">
        <v>9894</v>
      </c>
      <c r="R4206">
        <v>7</v>
      </c>
      <c r="S4206" s="5">
        <f t="shared" si="130"/>
        <v>-4.0004830580114538E-2</v>
      </c>
      <c r="T4206">
        <v>1573.31</v>
      </c>
      <c r="U4206">
        <v>6</v>
      </c>
      <c r="V4206">
        <v>2022</v>
      </c>
      <c r="W4206">
        <v>2</v>
      </c>
      <c r="X4206" t="s">
        <v>9898</v>
      </c>
      <c r="Y4206" t="s">
        <v>9900</v>
      </c>
      <c r="Z4206" t="s">
        <v>9898</v>
      </c>
      <c r="AD4206">
        <f t="shared" si="131"/>
        <v>7</v>
      </c>
    </row>
    <row r="4207" spans="1:30" x14ac:dyDescent="0.25">
      <c r="A4207" t="s">
        <v>4231</v>
      </c>
      <c r="B4207" s="2">
        <v>44581</v>
      </c>
      <c r="C4207" s="2">
        <v>44586</v>
      </c>
      <c r="D4207" t="s">
        <v>5061</v>
      </c>
      <c r="E4207" t="s">
        <v>5561</v>
      </c>
      <c r="F4207" t="s">
        <v>6027</v>
      </c>
      <c r="G4207" t="s">
        <v>6030</v>
      </c>
      <c r="H4207" t="s">
        <v>6038</v>
      </c>
      <c r="I4207" t="s">
        <v>6047</v>
      </c>
      <c r="J4207" t="s">
        <v>6053</v>
      </c>
      <c r="K4207" t="s">
        <v>6056</v>
      </c>
      <c r="L4207" t="s">
        <v>9087</v>
      </c>
      <c r="M4207">
        <v>1427.7</v>
      </c>
      <c r="N4207">
        <v>4</v>
      </c>
      <c r="O4207">
        <v>0.2</v>
      </c>
      <c r="P4207">
        <v>12.17</v>
      </c>
      <c r="Q4207" t="s">
        <v>9894</v>
      </c>
      <c r="R4207">
        <v>5</v>
      </c>
      <c r="S4207" s="5">
        <f t="shared" si="130"/>
        <v>8.5241997618547317E-3</v>
      </c>
      <c r="T4207">
        <v>356.92500000000001</v>
      </c>
      <c r="U4207">
        <v>1</v>
      </c>
      <c r="V4207">
        <v>2022</v>
      </c>
      <c r="W4207">
        <v>1</v>
      </c>
      <c r="X4207" t="s">
        <v>9899</v>
      </c>
      <c r="Y4207" t="s">
        <v>9900</v>
      </c>
      <c r="Z4207" t="s">
        <v>9898</v>
      </c>
      <c r="AD4207">
        <f t="shared" si="131"/>
        <v>5</v>
      </c>
    </row>
    <row r="4208" spans="1:30" x14ac:dyDescent="0.25">
      <c r="A4208" t="s">
        <v>4232</v>
      </c>
      <c r="B4208" s="2">
        <v>45260</v>
      </c>
      <c r="C4208" s="2">
        <v>45266</v>
      </c>
      <c r="D4208" t="s">
        <v>5124</v>
      </c>
      <c r="E4208" t="s">
        <v>5624</v>
      </c>
      <c r="F4208" t="s">
        <v>6027</v>
      </c>
      <c r="G4208" t="s">
        <v>6029</v>
      </c>
      <c r="H4208" t="s">
        <v>6045</v>
      </c>
      <c r="I4208" t="s">
        <v>6050</v>
      </c>
      <c r="J4208" t="s">
        <v>6054</v>
      </c>
      <c r="K4208" t="s">
        <v>6059</v>
      </c>
      <c r="L4208" t="s">
        <v>7526</v>
      </c>
      <c r="M4208">
        <v>993</v>
      </c>
      <c r="N4208">
        <v>6</v>
      </c>
      <c r="O4208">
        <v>0.19</v>
      </c>
      <c r="P4208">
        <v>-26.8</v>
      </c>
      <c r="Q4208" t="s">
        <v>9893</v>
      </c>
      <c r="R4208">
        <v>6</v>
      </c>
      <c r="S4208" s="5">
        <f t="shared" si="130"/>
        <v>-2.6988922457200405E-2</v>
      </c>
      <c r="T4208">
        <v>165.5</v>
      </c>
      <c r="U4208">
        <v>11</v>
      </c>
      <c r="V4208">
        <v>2023</v>
      </c>
      <c r="W4208">
        <v>4</v>
      </c>
      <c r="X4208" t="s">
        <v>9898</v>
      </c>
      <c r="Y4208" t="s">
        <v>9900</v>
      </c>
      <c r="Z4208" t="s">
        <v>9899</v>
      </c>
      <c r="AD4208">
        <f t="shared" si="131"/>
        <v>6</v>
      </c>
    </row>
    <row r="4209" spans="1:30" x14ac:dyDescent="0.25">
      <c r="A4209" t="s">
        <v>4233</v>
      </c>
      <c r="B4209" s="2">
        <v>44857</v>
      </c>
      <c r="C4209" s="2">
        <v>44861</v>
      </c>
      <c r="D4209" t="s">
        <v>5087</v>
      </c>
      <c r="E4209" t="s">
        <v>5587</v>
      </c>
      <c r="F4209" t="s">
        <v>6028</v>
      </c>
      <c r="G4209" t="s">
        <v>6029</v>
      </c>
      <c r="H4209" t="s">
        <v>6041</v>
      </c>
      <c r="I4209" t="s">
        <v>6046</v>
      </c>
      <c r="J4209" t="s">
        <v>6053</v>
      </c>
      <c r="K4209" t="s">
        <v>6058</v>
      </c>
      <c r="L4209" t="s">
        <v>9409</v>
      </c>
      <c r="M4209">
        <v>1470.88</v>
      </c>
      <c r="N4209">
        <v>7</v>
      </c>
      <c r="O4209">
        <v>0.1</v>
      </c>
      <c r="P4209">
        <v>26.36</v>
      </c>
      <c r="Q4209" t="s">
        <v>9897</v>
      </c>
      <c r="R4209">
        <v>4</v>
      </c>
      <c r="S4209" s="5">
        <f t="shared" si="130"/>
        <v>1.7921244425106057E-2</v>
      </c>
      <c r="T4209">
        <v>210.12571428571431</v>
      </c>
      <c r="U4209">
        <v>10</v>
      </c>
      <c r="V4209">
        <v>2022</v>
      </c>
      <c r="W4209">
        <v>4</v>
      </c>
      <c r="X4209" t="s">
        <v>9899</v>
      </c>
      <c r="Y4209" t="s">
        <v>9901</v>
      </c>
      <c r="Z4209" t="s">
        <v>9898</v>
      </c>
      <c r="AD4209">
        <f t="shared" si="131"/>
        <v>4</v>
      </c>
    </row>
    <row r="4210" spans="1:30" x14ac:dyDescent="0.25">
      <c r="A4210" t="s">
        <v>4234</v>
      </c>
      <c r="B4210" s="2">
        <v>44657</v>
      </c>
      <c r="C4210" s="2">
        <v>44659</v>
      </c>
      <c r="D4210" t="s">
        <v>5365</v>
      </c>
      <c r="E4210" t="s">
        <v>5865</v>
      </c>
      <c r="F4210" t="s">
        <v>6026</v>
      </c>
      <c r="G4210" t="s">
        <v>6029</v>
      </c>
      <c r="H4210" t="s">
        <v>6044</v>
      </c>
      <c r="I4210" t="s">
        <v>6049</v>
      </c>
      <c r="J4210" t="s">
        <v>6053</v>
      </c>
      <c r="K4210" t="s">
        <v>6056</v>
      </c>
      <c r="L4210" t="s">
        <v>9410</v>
      </c>
      <c r="M4210">
        <v>465.35</v>
      </c>
      <c r="N4210">
        <v>8</v>
      </c>
      <c r="O4210">
        <v>0.05</v>
      </c>
      <c r="P4210">
        <v>28.1</v>
      </c>
      <c r="Q4210" t="s">
        <v>9893</v>
      </c>
      <c r="R4210">
        <v>2</v>
      </c>
      <c r="S4210" s="5">
        <f t="shared" si="130"/>
        <v>6.0384656710003225E-2</v>
      </c>
      <c r="T4210">
        <v>58.168750000000003</v>
      </c>
      <c r="U4210">
        <v>4</v>
      </c>
      <c r="V4210">
        <v>2022</v>
      </c>
      <c r="W4210">
        <v>2</v>
      </c>
      <c r="X4210" t="s">
        <v>9899</v>
      </c>
      <c r="Y4210" t="s">
        <v>9901</v>
      </c>
      <c r="Z4210" t="s">
        <v>9899</v>
      </c>
      <c r="AD4210">
        <f t="shared" si="131"/>
        <v>2</v>
      </c>
    </row>
    <row r="4211" spans="1:30" x14ac:dyDescent="0.25">
      <c r="A4211" t="s">
        <v>4235</v>
      </c>
      <c r="B4211" s="2">
        <v>44768</v>
      </c>
      <c r="C4211" s="2">
        <v>44770</v>
      </c>
      <c r="D4211" t="s">
        <v>5177</v>
      </c>
      <c r="E4211" t="s">
        <v>5677</v>
      </c>
      <c r="F4211" t="s">
        <v>6028</v>
      </c>
      <c r="G4211" t="s">
        <v>6030</v>
      </c>
      <c r="H4211" t="s">
        <v>6035</v>
      </c>
      <c r="I4211" t="s">
        <v>6051</v>
      </c>
      <c r="J4211" t="s">
        <v>6055</v>
      </c>
      <c r="K4211" t="s">
        <v>6064</v>
      </c>
      <c r="L4211" t="s">
        <v>9411</v>
      </c>
      <c r="M4211">
        <v>741.63</v>
      </c>
      <c r="N4211">
        <v>1</v>
      </c>
      <c r="O4211">
        <v>0.32</v>
      </c>
      <c r="P4211">
        <v>-30.39</v>
      </c>
      <c r="Q4211" t="s">
        <v>9893</v>
      </c>
      <c r="R4211">
        <v>2</v>
      </c>
      <c r="S4211" s="5">
        <f t="shared" si="130"/>
        <v>-4.0977306743254727E-2</v>
      </c>
      <c r="T4211">
        <v>741.63</v>
      </c>
      <c r="U4211">
        <v>7</v>
      </c>
      <c r="V4211">
        <v>2022</v>
      </c>
      <c r="W4211">
        <v>3</v>
      </c>
      <c r="X4211" t="s">
        <v>9898</v>
      </c>
      <c r="Y4211" t="s">
        <v>9902</v>
      </c>
      <c r="Z4211" t="s">
        <v>9899</v>
      </c>
      <c r="AD4211">
        <f t="shared" si="131"/>
        <v>2</v>
      </c>
    </row>
    <row r="4212" spans="1:30" x14ac:dyDescent="0.25">
      <c r="A4212" t="s">
        <v>4236</v>
      </c>
      <c r="B4212" s="2">
        <v>44652</v>
      </c>
      <c r="C4212" s="2">
        <v>44653</v>
      </c>
      <c r="D4212" t="s">
        <v>5318</v>
      </c>
      <c r="E4212" t="s">
        <v>5818</v>
      </c>
      <c r="F4212" t="s">
        <v>6027</v>
      </c>
      <c r="G4212" t="s">
        <v>6029</v>
      </c>
      <c r="H4212" t="s">
        <v>6041</v>
      </c>
      <c r="I4212" t="s">
        <v>6046</v>
      </c>
      <c r="J4212" t="s">
        <v>6055</v>
      </c>
      <c r="K4212" t="s">
        <v>6063</v>
      </c>
      <c r="L4212" t="s">
        <v>9145</v>
      </c>
      <c r="M4212">
        <v>107.11</v>
      </c>
      <c r="N4212">
        <v>1</v>
      </c>
      <c r="O4212">
        <v>0.23</v>
      </c>
      <c r="P4212">
        <v>0.75</v>
      </c>
      <c r="Q4212" t="s">
        <v>9896</v>
      </c>
      <c r="R4212">
        <v>1</v>
      </c>
      <c r="S4212" s="5">
        <f t="shared" si="130"/>
        <v>7.0021473251797219E-3</v>
      </c>
      <c r="T4212">
        <v>107.11</v>
      </c>
      <c r="U4212">
        <v>4</v>
      </c>
      <c r="V4212">
        <v>2022</v>
      </c>
      <c r="W4212">
        <v>2</v>
      </c>
      <c r="X4212" t="s">
        <v>9899</v>
      </c>
      <c r="Y4212" t="s">
        <v>9900</v>
      </c>
      <c r="Z4212" t="s">
        <v>9899</v>
      </c>
      <c r="AD4212">
        <f t="shared" si="131"/>
        <v>1</v>
      </c>
    </row>
    <row r="4213" spans="1:30" x14ac:dyDescent="0.25">
      <c r="A4213" t="s">
        <v>4237</v>
      </c>
      <c r="B4213" s="2">
        <v>45336</v>
      </c>
      <c r="C4213" s="2">
        <v>45339</v>
      </c>
      <c r="D4213" t="s">
        <v>5367</v>
      </c>
      <c r="E4213" t="s">
        <v>5867</v>
      </c>
      <c r="F4213" t="s">
        <v>6026</v>
      </c>
      <c r="G4213" t="s">
        <v>6029</v>
      </c>
      <c r="H4213" t="s">
        <v>6032</v>
      </c>
      <c r="I4213" t="s">
        <v>6050</v>
      </c>
      <c r="J4213" t="s">
        <v>6053</v>
      </c>
      <c r="K4213" t="s">
        <v>6057</v>
      </c>
      <c r="L4213" t="s">
        <v>9412</v>
      </c>
      <c r="M4213">
        <v>757.11</v>
      </c>
      <c r="N4213">
        <v>2</v>
      </c>
      <c r="O4213">
        <v>0.24</v>
      </c>
      <c r="P4213">
        <v>19.690000000000001</v>
      </c>
      <c r="Q4213" t="s">
        <v>9893</v>
      </c>
      <c r="R4213">
        <v>3</v>
      </c>
      <c r="S4213" s="5">
        <f t="shared" si="130"/>
        <v>2.600678897386113E-2</v>
      </c>
      <c r="T4213">
        <v>378.55500000000001</v>
      </c>
      <c r="U4213">
        <v>2</v>
      </c>
      <c r="V4213">
        <v>2024</v>
      </c>
      <c r="W4213">
        <v>1</v>
      </c>
      <c r="X4213" t="s">
        <v>9899</v>
      </c>
      <c r="Y4213" t="s">
        <v>9900</v>
      </c>
      <c r="Z4213" t="s">
        <v>9899</v>
      </c>
      <c r="AD4213">
        <f t="shared" si="131"/>
        <v>3</v>
      </c>
    </row>
    <row r="4214" spans="1:30" x14ac:dyDescent="0.25">
      <c r="A4214" t="s">
        <v>4238</v>
      </c>
      <c r="B4214" s="2">
        <v>44983</v>
      </c>
      <c r="C4214" s="2">
        <v>44986</v>
      </c>
      <c r="D4214" t="s">
        <v>5179</v>
      </c>
      <c r="E4214" t="s">
        <v>5679</v>
      </c>
      <c r="F4214" t="s">
        <v>6026</v>
      </c>
      <c r="G4214" t="s">
        <v>6030</v>
      </c>
      <c r="H4214" t="s">
        <v>6035</v>
      </c>
      <c r="I4214" t="s">
        <v>6051</v>
      </c>
      <c r="J4214" t="s">
        <v>6055</v>
      </c>
      <c r="K4214" t="s">
        <v>6064</v>
      </c>
      <c r="L4214" t="s">
        <v>6948</v>
      </c>
      <c r="M4214">
        <v>1208.04</v>
      </c>
      <c r="N4214">
        <v>8</v>
      </c>
      <c r="O4214">
        <v>0.12</v>
      </c>
      <c r="P4214">
        <v>105.78</v>
      </c>
      <c r="Q4214" t="s">
        <v>9896</v>
      </c>
      <c r="R4214">
        <v>3</v>
      </c>
      <c r="S4214" s="5">
        <f t="shared" si="130"/>
        <v>8.7563325717691473E-2</v>
      </c>
      <c r="T4214">
        <v>151.005</v>
      </c>
      <c r="U4214">
        <v>2</v>
      </c>
      <c r="V4214">
        <v>2023</v>
      </c>
      <c r="W4214">
        <v>1</v>
      </c>
      <c r="X4214" t="s">
        <v>9899</v>
      </c>
      <c r="Y4214" t="s">
        <v>9901</v>
      </c>
      <c r="Z4214" t="s">
        <v>9898</v>
      </c>
      <c r="AD4214">
        <f t="shared" si="131"/>
        <v>3</v>
      </c>
    </row>
    <row r="4215" spans="1:30" x14ac:dyDescent="0.25">
      <c r="A4215" t="s">
        <v>4239</v>
      </c>
      <c r="B4215" s="2">
        <v>45323</v>
      </c>
      <c r="C4215" s="2">
        <v>45325</v>
      </c>
      <c r="D4215" t="s">
        <v>5085</v>
      </c>
      <c r="E4215" t="s">
        <v>5585</v>
      </c>
      <c r="F4215" t="s">
        <v>6028</v>
      </c>
      <c r="G4215" t="s">
        <v>6029</v>
      </c>
      <c r="H4215" t="s">
        <v>6032</v>
      </c>
      <c r="I4215" t="s">
        <v>6049</v>
      </c>
      <c r="J4215" t="s">
        <v>6053</v>
      </c>
      <c r="K4215" t="s">
        <v>6056</v>
      </c>
      <c r="L4215" t="s">
        <v>9413</v>
      </c>
      <c r="M4215">
        <v>1293.0999999999999</v>
      </c>
      <c r="N4215">
        <v>3</v>
      </c>
      <c r="O4215">
        <v>0.14000000000000001</v>
      </c>
      <c r="P4215">
        <v>159.22999999999999</v>
      </c>
      <c r="Q4215" t="s">
        <v>9895</v>
      </c>
      <c r="R4215">
        <v>2</v>
      </c>
      <c r="S4215" s="5">
        <f t="shared" si="130"/>
        <v>0.12313819503518676</v>
      </c>
      <c r="T4215">
        <v>431.0333333333333</v>
      </c>
      <c r="U4215">
        <v>2</v>
      </c>
      <c r="V4215">
        <v>2024</v>
      </c>
      <c r="W4215">
        <v>1</v>
      </c>
      <c r="X4215" t="s">
        <v>9899</v>
      </c>
      <c r="Y4215" t="s">
        <v>9901</v>
      </c>
      <c r="Z4215" t="s">
        <v>9898</v>
      </c>
      <c r="AD4215">
        <f t="shared" si="131"/>
        <v>2</v>
      </c>
    </row>
    <row r="4216" spans="1:30" x14ac:dyDescent="0.25">
      <c r="A4216" t="s">
        <v>4240</v>
      </c>
      <c r="B4216" s="2">
        <v>45028</v>
      </c>
      <c r="C4216" s="2">
        <v>45029</v>
      </c>
      <c r="D4216" t="s">
        <v>5515</v>
      </c>
      <c r="E4216" t="s">
        <v>6015</v>
      </c>
      <c r="F4216" t="s">
        <v>6028</v>
      </c>
      <c r="G4216" t="s">
        <v>6029</v>
      </c>
      <c r="H4216" t="s">
        <v>6036</v>
      </c>
      <c r="I4216" t="s">
        <v>6049</v>
      </c>
      <c r="J4216" t="s">
        <v>6053</v>
      </c>
      <c r="K4216" t="s">
        <v>6057</v>
      </c>
      <c r="L4216" t="s">
        <v>6256</v>
      </c>
      <c r="M4216">
        <v>1177.5</v>
      </c>
      <c r="N4216">
        <v>7</v>
      </c>
      <c r="O4216">
        <v>0.22</v>
      </c>
      <c r="P4216">
        <v>-98.61</v>
      </c>
      <c r="Q4216" t="s">
        <v>9897</v>
      </c>
      <c r="R4216">
        <v>1</v>
      </c>
      <c r="S4216" s="5">
        <f t="shared" si="130"/>
        <v>-8.3745222929936303E-2</v>
      </c>
      <c r="T4216">
        <v>168.21428571428569</v>
      </c>
      <c r="U4216">
        <v>4</v>
      </c>
      <c r="V4216">
        <v>2023</v>
      </c>
      <c r="W4216">
        <v>2</v>
      </c>
      <c r="X4216" t="s">
        <v>9898</v>
      </c>
      <c r="Y4216" t="s">
        <v>9900</v>
      </c>
      <c r="Z4216" t="s">
        <v>9898</v>
      </c>
      <c r="AD4216">
        <f t="shared" si="131"/>
        <v>1</v>
      </c>
    </row>
    <row r="4217" spans="1:30" x14ac:dyDescent="0.25">
      <c r="A4217" t="s">
        <v>4241</v>
      </c>
      <c r="B4217" s="2">
        <v>44923</v>
      </c>
      <c r="C4217" s="2">
        <v>44926</v>
      </c>
      <c r="D4217" t="s">
        <v>5067</v>
      </c>
      <c r="E4217" t="s">
        <v>5567</v>
      </c>
      <c r="F4217" t="s">
        <v>6028</v>
      </c>
      <c r="G4217" t="s">
        <v>6030</v>
      </c>
      <c r="H4217" t="s">
        <v>6038</v>
      </c>
      <c r="I4217" t="s">
        <v>6047</v>
      </c>
      <c r="J4217" t="s">
        <v>6054</v>
      </c>
      <c r="K4217" t="s">
        <v>6060</v>
      </c>
      <c r="L4217" t="s">
        <v>6868</v>
      </c>
      <c r="M4217">
        <v>1239.24</v>
      </c>
      <c r="N4217">
        <v>4</v>
      </c>
      <c r="O4217">
        <v>0</v>
      </c>
      <c r="P4217">
        <v>326.79000000000002</v>
      </c>
      <c r="Q4217" t="s">
        <v>9896</v>
      </c>
      <c r="R4217">
        <v>3</v>
      </c>
      <c r="S4217" s="5">
        <f t="shared" si="130"/>
        <v>0.26370194635421712</v>
      </c>
      <c r="T4217">
        <v>309.81</v>
      </c>
      <c r="U4217">
        <v>12</v>
      </c>
      <c r="V4217">
        <v>2022</v>
      </c>
      <c r="W4217">
        <v>4</v>
      </c>
      <c r="X4217" t="s">
        <v>9899</v>
      </c>
      <c r="Y4217" t="s">
        <v>9901</v>
      </c>
      <c r="Z4217" t="s">
        <v>9898</v>
      </c>
      <c r="AD4217">
        <f t="shared" si="131"/>
        <v>3</v>
      </c>
    </row>
    <row r="4218" spans="1:30" x14ac:dyDescent="0.25">
      <c r="A4218" t="s">
        <v>4242</v>
      </c>
      <c r="B4218" s="2">
        <v>45173</v>
      </c>
      <c r="C4218" s="2">
        <v>45180</v>
      </c>
      <c r="D4218" t="s">
        <v>5344</v>
      </c>
      <c r="E4218" t="s">
        <v>5844</v>
      </c>
      <c r="F4218" t="s">
        <v>6027</v>
      </c>
      <c r="G4218" t="s">
        <v>6031</v>
      </c>
      <c r="H4218" t="s">
        <v>6043</v>
      </c>
      <c r="I4218" t="s">
        <v>6050</v>
      </c>
      <c r="J4218" t="s">
        <v>6055</v>
      </c>
      <c r="K4218" t="s">
        <v>6064</v>
      </c>
      <c r="L4218" t="s">
        <v>9414</v>
      </c>
      <c r="M4218">
        <v>1719.35</v>
      </c>
      <c r="N4218">
        <v>6</v>
      </c>
      <c r="O4218">
        <v>7.0000000000000007E-2</v>
      </c>
      <c r="P4218">
        <v>102.5</v>
      </c>
      <c r="Q4218" t="s">
        <v>9893</v>
      </c>
      <c r="R4218">
        <v>7</v>
      </c>
      <c r="S4218" s="5">
        <f t="shared" si="130"/>
        <v>5.9615552388984215E-2</v>
      </c>
      <c r="T4218">
        <v>286.55833333333328</v>
      </c>
      <c r="U4218">
        <v>9</v>
      </c>
      <c r="V4218">
        <v>2023</v>
      </c>
      <c r="W4218">
        <v>3</v>
      </c>
      <c r="X4218" t="s">
        <v>9899</v>
      </c>
      <c r="Y4218" t="s">
        <v>9901</v>
      </c>
      <c r="Z4218" t="s">
        <v>9898</v>
      </c>
      <c r="AD4218">
        <f t="shared" si="131"/>
        <v>7</v>
      </c>
    </row>
    <row r="4219" spans="1:30" x14ac:dyDescent="0.25">
      <c r="A4219" t="s">
        <v>4243</v>
      </c>
      <c r="B4219" s="2">
        <v>45073</v>
      </c>
      <c r="C4219" s="2">
        <v>45076</v>
      </c>
      <c r="D4219" t="s">
        <v>5480</v>
      </c>
      <c r="E4219" t="s">
        <v>5980</v>
      </c>
      <c r="F4219" t="s">
        <v>6028</v>
      </c>
      <c r="G4219" t="s">
        <v>6031</v>
      </c>
      <c r="H4219" t="s">
        <v>6040</v>
      </c>
      <c r="I4219" t="s">
        <v>6050</v>
      </c>
      <c r="J4219" t="s">
        <v>6054</v>
      </c>
      <c r="K4219" t="s">
        <v>6060</v>
      </c>
      <c r="L4219" t="s">
        <v>9415</v>
      </c>
      <c r="M4219">
        <v>1013.13</v>
      </c>
      <c r="N4219">
        <v>5</v>
      </c>
      <c r="O4219">
        <v>0.18</v>
      </c>
      <c r="P4219">
        <v>55.01</v>
      </c>
      <c r="Q4219" t="s">
        <v>9897</v>
      </c>
      <c r="R4219">
        <v>3</v>
      </c>
      <c r="S4219" s="5">
        <f t="shared" si="130"/>
        <v>5.4297079348158674E-2</v>
      </c>
      <c r="T4219">
        <v>202.626</v>
      </c>
      <c r="U4219">
        <v>5</v>
      </c>
      <c r="V4219">
        <v>2023</v>
      </c>
      <c r="W4219">
        <v>2</v>
      </c>
      <c r="X4219" t="s">
        <v>9899</v>
      </c>
      <c r="Y4219" t="s">
        <v>9900</v>
      </c>
      <c r="Z4219" t="s">
        <v>9898</v>
      </c>
      <c r="AD4219">
        <f t="shared" si="131"/>
        <v>3</v>
      </c>
    </row>
    <row r="4220" spans="1:30" x14ac:dyDescent="0.25">
      <c r="A4220" t="s">
        <v>4244</v>
      </c>
      <c r="B4220" s="2">
        <v>45155</v>
      </c>
      <c r="C4220" s="2">
        <v>45159</v>
      </c>
      <c r="D4220" t="s">
        <v>5125</v>
      </c>
      <c r="E4220" t="s">
        <v>5625</v>
      </c>
      <c r="F4220" t="s">
        <v>6028</v>
      </c>
      <c r="G4220" t="s">
        <v>6031</v>
      </c>
      <c r="H4220" t="s">
        <v>6037</v>
      </c>
      <c r="I4220" t="s">
        <v>6052</v>
      </c>
      <c r="J4220" t="s">
        <v>6053</v>
      </c>
      <c r="K4220" t="s">
        <v>6057</v>
      </c>
      <c r="L4220" t="s">
        <v>9416</v>
      </c>
      <c r="M4220">
        <v>631.15</v>
      </c>
      <c r="N4220">
        <v>6</v>
      </c>
      <c r="O4220">
        <v>0.24</v>
      </c>
      <c r="P4220">
        <v>-15.38</v>
      </c>
      <c r="Q4220" t="s">
        <v>9894</v>
      </c>
      <c r="R4220">
        <v>4</v>
      </c>
      <c r="S4220" s="5">
        <f t="shared" si="130"/>
        <v>-2.4368216747207481E-2</v>
      </c>
      <c r="T4220">
        <v>105.19166666666671</v>
      </c>
      <c r="U4220">
        <v>8</v>
      </c>
      <c r="V4220">
        <v>2023</v>
      </c>
      <c r="W4220">
        <v>3</v>
      </c>
      <c r="X4220" t="s">
        <v>9898</v>
      </c>
      <c r="Y4220" t="s">
        <v>9900</v>
      </c>
      <c r="Z4220" t="s">
        <v>9899</v>
      </c>
      <c r="AD4220">
        <f t="shared" si="131"/>
        <v>4</v>
      </c>
    </row>
    <row r="4221" spans="1:30" x14ac:dyDescent="0.25">
      <c r="A4221" t="s">
        <v>4245</v>
      </c>
      <c r="B4221" s="2">
        <v>45196</v>
      </c>
      <c r="C4221" s="2">
        <v>45200</v>
      </c>
      <c r="D4221" t="s">
        <v>5232</v>
      </c>
      <c r="E4221" t="s">
        <v>5732</v>
      </c>
      <c r="F4221" t="s">
        <v>6027</v>
      </c>
      <c r="G4221" t="s">
        <v>6029</v>
      </c>
      <c r="H4221" t="s">
        <v>6044</v>
      </c>
      <c r="I4221" t="s">
        <v>6050</v>
      </c>
      <c r="J4221" t="s">
        <v>6055</v>
      </c>
      <c r="K4221" t="s">
        <v>6064</v>
      </c>
      <c r="L4221" t="s">
        <v>9417</v>
      </c>
      <c r="M4221">
        <v>937.97</v>
      </c>
      <c r="N4221">
        <v>6</v>
      </c>
      <c r="O4221">
        <v>0.01</v>
      </c>
      <c r="P4221">
        <v>94.37</v>
      </c>
      <c r="Q4221" t="s">
        <v>9893</v>
      </c>
      <c r="R4221">
        <v>4</v>
      </c>
      <c r="S4221" s="5">
        <f t="shared" si="130"/>
        <v>0.10061089373860571</v>
      </c>
      <c r="T4221">
        <v>156.32833333333329</v>
      </c>
      <c r="U4221">
        <v>9</v>
      </c>
      <c r="V4221">
        <v>2023</v>
      </c>
      <c r="W4221">
        <v>3</v>
      </c>
      <c r="X4221" t="s">
        <v>9899</v>
      </c>
      <c r="Y4221" t="s">
        <v>9901</v>
      </c>
      <c r="Z4221" t="s">
        <v>9899</v>
      </c>
      <c r="AD4221">
        <f t="shared" si="131"/>
        <v>4</v>
      </c>
    </row>
    <row r="4222" spans="1:30" x14ac:dyDescent="0.25">
      <c r="A4222" t="s">
        <v>4246</v>
      </c>
      <c r="B4222" s="2">
        <v>44686</v>
      </c>
      <c r="C4222" s="2">
        <v>44688</v>
      </c>
      <c r="D4222" t="s">
        <v>5259</v>
      </c>
      <c r="E4222" t="s">
        <v>5759</v>
      </c>
      <c r="F4222" t="s">
        <v>6028</v>
      </c>
      <c r="G4222" t="s">
        <v>6031</v>
      </c>
      <c r="H4222" t="s">
        <v>6042</v>
      </c>
      <c r="I4222" t="s">
        <v>6048</v>
      </c>
      <c r="J4222" t="s">
        <v>6053</v>
      </c>
      <c r="K4222" t="s">
        <v>6058</v>
      </c>
      <c r="L4222" t="s">
        <v>7532</v>
      </c>
      <c r="M4222">
        <v>134.07</v>
      </c>
      <c r="N4222">
        <v>3</v>
      </c>
      <c r="O4222">
        <v>0.26</v>
      </c>
      <c r="P4222">
        <v>-1.41</v>
      </c>
      <c r="Q4222" t="s">
        <v>9893</v>
      </c>
      <c r="R4222">
        <v>2</v>
      </c>
      <c r="S4222" s="5">
        <f t="shared" si="130"/>
        <v>-1.0516894159767285E-2</v>
      </c>
      <c r="T4222">
        <v>44.69</v>
      </c>
      <c r="U4222">
        <v>5</v>
      </c>
      <c r="V4222">
        <v>2022</v>
      </c>
      <c r="W4222">
        <v>2</v>
      </c>
      <c r="X4222" t="s">
        <v>9898</v>
      </c>
      <c r="Y4222" t="s">
        <v>9900</v>
      </c>
      <c r="Z4222" t="s">
        <v>9899</v>
      </c>
      <c r="AD4222">
        <f t="shared" si="131"/>
        <v>2</v>
      </c>
    </row>
    <row r="4223" spans="1:30" x14ac:dyDescent="0.25">
      <c r="A4223" t="s">
        <v>4247</v>
      </c>
      <c r="B4223" s="2">
        <v>45051</v>
      </c>
      <c r="C4223" s="2">
        <v>45058</v>
      </c>
      <c r="D4223" t="s">
        <v>5524</v>
      </c>
      <c r="E4223" t="s">
        <v>6024</v>
      </c>
      <c r="F4223" t="s">
        <v>6028</v>
      </c>
      <c r="G4223" t="s">
        <v>6029</v>
      </c>
      <c r="H4223" t="s">
        <v>6036</v>
      </c>
      <c r="I4223" t="s">
        <v>6050</v>
      </c>
      <c r="J4223" t="s">
        <v>6053</v>
      </c>
      <c r="K4223" t="s">
        <v>6056</v>
      </c>
      <c r="L4223" t="s">
        <v>7836</v>
      </c>
      <c r="M4223">
        <v>941.17</v>
      </c>
      <c r="N4223">
        <v>1</v>
      </c>
      <c r="O4223">
        <v>0.14000000000000001</v>
      </c>
      <c r="P4223">
        <v>112.85</v>
      </c>
      <c r="Q4223" t="s">
        <v>9896</v>
      </c>
      <c r="R4223">
        <v>7</v>
      </c>
      <c r="S4223" s="5">
        <f t="shared" si="130"/>
        <v>0.11990394933965171</v>
      </c>
      <c r="T4223">
        <v>941.17</v>
      </c>
      <c r="U4223">
        <v>5</v>
      </c>
      <c r="V4223">
        <v>2023</v>
      </c>
      <c r="W4223">
        <v>2</v>
      </c>
      <c r="X4223" t="s">
        <v>9899</v>
      </c>
      <c r="Y4223" t="s">
        <v>9901</v>
      </c>
      <c r="Z4223" t="s">
        <v>9899</v>
      </c>
      <c r="AD4223">
        <f t="shared" si="131"/>
        <v>7</v>
      </c>
    </row>
    <row r="4224" spans="1:30" x14ac:dyDescent="0.25">
      <c r="A4224" t="s">
        <v>4248</v>
      </c>
      <c r="B4224" s="2">
        <v>45193</v>
      </c>
      <c r="C4224" s="2">
        <v>45194</v>
      </c>
      <c r="D4224" t="s">
        <v>5163</v>
      </c>
      <c r="E4224" t="s">
        <v>5663</v>
      </c>
      <c r="F4224" t="s">
        <v>6027</v>
      </c>
      <c r="G4224" t="s">
        <v>6031</v>
      </c>
      <c r="H4224" t="s">
        <v>6042</v>
      </c>
      <c r="I4224" t="s">
        <v>6048</v>
      </c>
      <c r="J4224" t="s">
        <v>6053</v>
      </c>
      <c r="K4224" t="s">
        <v>6057</v>
      </c>
      <c r="L4224" t="s">
        <v>7770</v>
      </c>
      <c r="M4224">
        <v>461.17</v>
      </c>
      <c r="N4224">
        <v>6</v>
      </c>
      <c r="O4224">
        <v>0.16</v>
      </c>
      <c r="P4224">
        <v>-16.399999999999999</v>
      </c>
      <c r="Q4224" t="s">
        <v>9894</v>
      </c>
      <c r="R4224">
        <v>1</v>
      </c>
      <c r="S4224" s="5">
        <f t="shared" si="130"/>
        <v>-3.55617234425483E-2</v>
      </c>
      <c r="T4224">
        <v>76.861666666666665</v>
      </c>
      <c r="U4224">
        <v>9</v>
      </c>
      <c r="V4224">
        <v>2023</v>
      </c>
      <c r="W4224">
        <v>3</v>
      </c>
      <c r="X4224" t="s">
        <v>9898</v>
      </c>
      <c r="Y4224" t="s">
        <v>9900</v>
      </c>
      <c r="Z4224" t="s">
        <v>9899</v>
      </c>
      <c r="AD4224">
        <f t="shared" si="131"/>
        <v>1</v>
      </c>
    </row>
    <row r="4225" spans="1:30" x14ac:dyDescent="0.25">
      <c r="A4225" t="s">
        <v>4249</v>
      </c>
      <c r="B4225" s="2">
        <v>44827</v>
      </c>
      <c r="C4225" s="2">
        <v>44834</v>
      </c>
      <c r="D4225" t="s">
        <v>5307</v>
      </c>
      <c r="E4225" t="s">
        <v>5807</v>
      </c>
      <c r="F4225" t="s">
        <v>6028</v>
      </c>
      <c r="G4225" t="s">
        <v>6031</v>
      </c>
      <c r="H4225" t="s">
        <v>6034</v>
      </c>
      <c r="I4225" t="s">
        <v>6050</v>
      </c>
      <c r="J4225" t="s">
        <v>6054</v>
      </c>
      <c r="K4225" t="s">
        <v>6060</v>
      </c>
      <c r="L4225" t="s">
        <v>7540</v>
      </c>
      <c r="M4225">
        <v>631.46</v>
      </c>
      <c r="N4225">
        <v>7</v>
      </c>
      <c r="O4225">
        <v>0.17</v>
      </c>
      <c r="P4225">
        <v>-17.010000000000002</v>
      </c>
      <c r="Q4225" t="s">
        <v>9896</v>
      </c>
      <c r="R4225">
        <v>7</v>
      </c>
      <c r="S4225" s="5">
        <f t="shared" si="130"/>
        <v>-2.6937573242960759E-2</v>
      </c>
      <c r="T4225">
        <v>90.208571428571432</v>
      </c>
      <c r="U4225">
        <v>9</v>
      </c>
      <c r="V4225">
        <v>2022</v>
      </c>
      <c r="W4225">
        <v>3</v>
      </c>
      <c r="X4225" t="s">
        <v>9898</v>
      </c>
      <c r="Y4225" t="s">
        <v>9900</v>
      </c>
      <c r="Z4225" t="s">
        <v>9899</v>
      </c>
      <c r="AD4225">
        <f t="shared" si="131"/>
        <v>7</v>
      </c>
    </row>
    <row r="4226" spans="1:30" x14ac:dyDescent="0.25">
      <c r="A4226" t="s">
        <v>4250</v>
      </c>
      <c r="B4226" s="2">
        <v>45029</v>
      </c>
      <c r="C4226" s="2">
        <v>45033</v>
      </c>
      <c r="D4226" t="s">
        <v>5109</v>
      </c>
      <c r="E4226" t="s">
        <v>5609</v>
      </c>
      <c r="F4226" t="s">
        <v>6026</v>
      </c>
      <c r="G4226" t="s">
        <v>6029</v>
      </c>
      <c r="H4226" t="s">
        <v>6045</v>
      </c>
      <c r="I4226" t="s">
        <v>6049</v>
      </c>
      <c r="J4226" t="s">
        <v>6054</v>
      </c>
      <c r="K4226" t="s">
        <v>6060</v>
      </c>
      <c r="L4226" t="s">
        <v>9418</v>
      </c>
      <c r="M4226">
        <v>647.4</v>
      </c>
      <c r="N4226">
        <v>4</v>
      </c>
      <c r="O4226">
        <v>0.01</v>
      </c>
      <c r="P4226">
        <v>87.28</v>
      </c>
      <c r="Q4226" t="s">
        <v>9897</v>
      </c>
      <c r="R4226">
        <v>4</v>
      </c>
      <c r="S4226" s="5">
        <f t="shared" si="130"/>
        <v>0.13481618782823604</v>
      </c>
      <c r="T4226">
        <v>161.85</v>
      </c>
      <c r="U4226">
        <v>4</v>
      </c>
      <c r="V4226">
        <v>2023</v>
      </c>
      <c r="W4226">
        <v>2</v>
      </c>
      <c r="X4226" t="s">
        <v>9899</v>
      </c>
      <c r="Y4226" t="s">
        <v>9901</v>
      </c>
      <c r="Z4226" t="s">
        <v>9899</v>
      </c>
      <c r="AD4226">
        <f t="shared" si="131"/>
        <v>4</v>
      </c>
    </row>
    <row r="4227" spans="1:30" x14ac:dyDescent="0.25">
      <c r="A4227" t="s">
        <v>4251</v>
      </c>
      <c r="B4227" s="2">
        <v>44633</v>
      </c>
      <c r="C4227" s="2">
        <v>44634</v>
      </c>
      <c r="D4227" t="s">
        <v>5359</v>
      </c>
      <c r="E4227" t="s">
        <v>5859</v>
      </c>
      <c r="F4227" t="s">
        <v>6028</v>
      </c>
      <c r="G4227" t="s">
        <v>6029</v>
      </c>
      <c r="H4227" t="s">
        <v>6036</v>
      </c>
      <c r="I4227" t="s">
        <v>6046</v>
      </c>
      <c r="J4227" t="s">
        <v>6055</v>
      </c>
      <c r="K4227" t="s">
        <v>6064</v>
      </c>
      <c r="L4227" t="s">
        <v>9419</v>
      </c>
      <c r="M4227">
        <v>1461.39</v>
      </c>
      <c r="N4227">
        <v>2</v>
      </c>
      <c r="O4227">
        <v>0.3</v>
      </c>
      <c r="P4227">
        <v>-20.18</v>
      </c>
      <c r="Q4227" t="s">
        <v>9895</v>
      </c>
      <c r="R4227">
        <v>1</v>
      </c>
      <c r="S4227" s="5">
        <f t="shared" ref="S4227:S4290" si="132">P4227/M4227</f>
        <v>-1.3808771101485571E-2</v>
      </c>
      <c r="T4227">
        <v>730.69500000000005</v>
      </c>
      <c r="U4227">
        <v>3</v>
      </c>
      <c r="V4227">
        <v>2022</v>
      </c>
      <c r="W4227">
        <v>1</v>
      </c>
      <c r="X4227" t="s">
        <v>9898</v>
      </c>
      <c r="Y4227" t="s">
        <v>9900</v>
      </c>
      <c r="Z4227" t="s">
        <v>9898</v>
      </c>
      <c r="AD4227">
        <f t="shared" ref="AD4227:AD4290" si="133">C4227-B4227</f>
        <v>1</v>
      </c>
    </row>
    <row r="4228" spans="1:30" x14ac:dyDescent="0.25">
      <c r="A4228" t="s">
        <v>4252</v>
      </c>
      <c r="B4228" s="2">
        <v>45075</v>
      </c>
      <c r="C4228" s="2">
        <v>45082</v>
      </c>
      <c r="D4228" t="s">
        <v>5402</v>
      </c>
      <c r="E4228" t="s">
        <v>5902</v>
      </c>
      <c r="F4228" t="s">
        <v>6027</v>
      </c>
      <c r="G4228" t="s">
        <v>6030</v>
      </c>
      <c r="H4228" t="s">
        <v>6038</v>
      </c>
      <c r="I4228" t="s">
        <v>6047</v>
      </c>
      <c r="J4228" t="s">
        <v>6053</v>
      </c>
      <c r="K4228" t="s">
        <v>6058</v>
      </c>
      <c r="L4228" t="s">
        <v>9420</v>
      </c>
      <c r="M4228">
        <v>1983.35</v>
      </c>
      <c r="N4228">
        <v>1</v>
      </c>
      <c r="O4228">
        <v>0.2</v>
      </c>
      <c r="P4228">
        <v>7</v>
      </c>
      <c r="Q4228" t="s">
        <v>9894</v>
      </c>
      <c r="R4228">
        <v>7</v>
      </c>
      <c r="S4228" s="5">
        <f t="shared" si="132"/>
        <v>3.5293821060327227E-3</v>
      </c>
      <c r="T4228">
        <v>1983.35</v>
      </c>
      <c r="U4228">
        <v>5</v>
      </c>
      <c r="V4228">
        <v>2023</v>
      </c>
      <c r="W4228">
        <v>2</v>
      </c>
      <c r="X4228" t="s">
        <v>9899</v>
      </c>
      <c r="Y4228" t="s">
        <v>9900</v>
      </c>
      <c r="Z4228" t="s">
        <v>9898</v>
      </c>
      <c r="AD4228">
        <f t="shared" si="133"/>
        <v>7</v>
      </c>
    </row>
    <row r="4229" spans="1:30" x14ac:dyDescent="0.25">
      <c r="A4229" t="s">
        <v>4253</v>
      </c>
      <c r="B4229" s="2">
        <v>44670</v>
      </c>
      <c r="C4229" s="2">
        <v>44677</v>
      </c>
      <c r="D4229" t="s">
        <v>5177</v>
      </c>
      <c r="E4229" t="s">
        <v>5677</v>
      </c>
      <c r="F4229" t="s">
        <v>6027</v>
      </c>
      <c r="G4229" t="s">
        <v>6030</v>
      </c>
      <c r="H4229" t="s">
        <v>6035</v>
      </c>
      <c r="I4229" t="s">
        <v>6047</v>
      </c>
      <c r="J4229" t="s">
        <v>6053</v>
      </c>
      <c r="K4229" t="s">
        <v>6057</v>
      </c>
      <c r="L4229" t="s">
        <v>9421</v>
      </c>
      <c r="M4229">
        <v>367.99</v>
      </c>
      <c r="N4229">
        <v>6</v>
      </c>
      <c r="O4229">
        <v>0.26</v>
      </c>
      <c r="P4229">
        <v>9.94</v>
      </c>
      <c r="Q4229" t="s">
        <v>9896</v>
      </c>
      <c r="R4229">
        <v>7</v>
      </c>
      <c r="S4229" s="5">
        <f t="shared" si="132"/>
        <v>2.7011603576184134E-2</v>
      </c>
      <c r="T4229">
        <v>61.331666666666671</v>
      </c>
      <c r="U4229">
        <v>4</v>
      </c>
      <c r="V4229">
        <v>2022</v>
      </c>
      <c r="W4229">
        <v>2</v>
      </c>
      <c r="X4229" t="s">
        <v>9899</v>
      </c>
      <c r="Y4229" t="s">
        <v>9900</v>
      </c>
      <c r="Z4229" t="s">
        <v>9899</v>
      </c>
      <c r="AD4229">
        <f t="shared" si="133"/>
        <v>7</v>
      </c>
    </row>
    <row r="4230" spans="1:30" x14ac:dyDescent="0.25">
      <c r="A4230" t="s">
        <v>4254</v>
      </c>
      <c r="B4230" s="2">
        <v>45343</v>
      </c>
      <c r="C4230" s="2">
        <v>45345</v>
      </c>
      <c r="D4230" t="s">
        <v>5223</v>
      </c>
      <c r="E4230" t="s">
        <v>5723</v>
      </c>
      <c r="F4230" t="s">
        <v>6028</v>
      </c>
      <c r="G4230" t="s">
        <v>6031</v>
      </c>
      <c r="H4230" t="s">
        <v>6034</v>
      </c>
      <c r="I4230" t="s">
        <v>6050</v>
      </c>
      <c r="J4230" t="s">
        <v>6054</v>
      </c>
      <c r="K4230" t="s">
        <v>6062</v>
      </c>
      <c r="L4230" t="s">
        <v>9422</v>
      </c>
      <c r="M4230">
        <v>1616.53</v>
      </c>
      <c r="N4230">
        <v>8</v>
      </c>
      <c r="O4230">
        <v>0.28000000000000003</v>
      </c>
      <c r="P4230">
        <v>-190.59</v>
      </c>
      <c r="Q4230" t="s">
        <v>9897</v>
      </c>
      <c r="R4230">
        <v>2</v>
      </c>
      <c r="S4230" s="5">
        <f t="shared" si="132"/>
        <v>-0.11790068851181235</v>
      </c>
      <c r="T4230">
        <v>202.06625</v>
      </c>
      <c r="U4230">
        <v>2</v>
      </c>
      <c r="V4230">
        <v>2024</v>
      </c>
      <c r="W4230">
        <v>1</v>
      </c>
      <c r="X4230" t="s">
        <v>9898</v>
      </c>
      <c r="Y4230" t="s">
        <v>9900</v>
      </c>
      <c r="Z4230" t="s">
        <v>9898</v>
      </c>
      <c r="AD4230">
        <f t="shared" si="133"/>
        <v>2</v>
      </c>
    </row>
    <row r="4231" spans="1:30" x14ac:dyDescent="0.25">
      <c r="A4231" t="s">
        <v>4255</v>
      </c>
      <c r="B4231" s="2">
        <v>45085</v>
      </c>
      <c r="C4231" s="2">
        <v>45087</v>
      </c>
      <c r="D4231" t="s">
        <v>5255</v>
      </c>
      <c r="E4231" t="s">
        <v>5755</v>
      </c>
      <c r="F4231" t="s">
        <v>6026</v>
      </c>
      <c r="G4231" t="s">
        <v>6030</v>
      </c>
      <c r="H4231" t="s">
        <v>6038</v>
      </c>
      <c r="I4231" t="s">
        <v>6047</v>
      </c>
      <c r="J4231" t="s">
        <v>6055</v>
      </c>
      <c r="K4231" t="s">
        <v>6061</v>
      </c>
      <c r="L4231" t="s">
        <v>6810</v>
      </c>
      <c r="M4231">
        <v>626.65</v>
      </c>
      <c r="N4231">
        <v>7</v>
      </c>
      <c r="O4231">
        <v>0.25</v>
      </c>
      <c r="P4231">
        <v>-92.74</v>
      </c>
      <c r="Q4231" t="s">
        <v>9895</v>
      </c>
      <c r="R4231">
        <v>2</v>
      </c>
      <c r="S4231" s="5">
        <f t="shared" si="132"/>
        <v>-0.14799329769408762</v>
      </c>
      <c r="T4231">
        <v>89.521428571428572</v>
      </c>
      <c r="U4231">
        <v>6</v>
      </c>
      <c r="V4231">
        <v>2023</v>
      </c>
      <c r="W4231">
        <v>2</v>
      </c>
      <c r="X4231" t="s">
        <v>9898</v>
      </c>
      <c r="Y4231" t="s">
        <v>9900</v>
      </c>
      <c r="Z4231" t="s">
        <v>9899</v>
      </c>
      <c r="AD4231">
        <f t="shared" si="133"/>
        <v>2</v>
      </c>
    </row>
    <row r="4232" spans="1:30" x14ac:dyDescent="0.25">
      <c r="A4232" t="s">
        <v>4256</v>
      </c>
      <c r="B4232" s="2">
        <v>45295</v>
      </c>
      <c r="C4232" s="2">
        <v>45302</v>
      </c>
      <c r="D4232" t="s">
        <v>5376</v>
      </c>
      <c r="E4232" t="s">
        <v>5876</v>
      </c>
      <c r="F4232" t="s">
        <v>6027</v>
      </c>
      <c r="G4232" t="s">
        <v>6029</v>
      </c>
      <c r="H4232" t="s">
        <v>6032</v>
      </c>
      <c r="I4232" t="s">
        <v>6049</v>
      </c>
      <c r="J4232" t="s">
        <v>6054</v>
      </c>
      <c r="K4232" t="s">
        <v>6059</v>
      </c>
      <c r="L4232" t="s">
        <v>9423</v>
      </c>
      <c r="M4232">
        <v>1010.67</v>
      </c>
      <c r="N4232">
        <v>3</v>
      </c>
      <c r="O4232">
        <v>0.28999999999999998</v>
      </c>
      <c r="P4232">
        <v>-159.68</v>
      </c>
      <c r="Q4232" t="s">
        <v>9894</v>
      </c>
      <c r="R4232">
        <v>7</v>
      </c>
      <c r="S4232" s="5">
        <f t="shared" si="132"/>
        <v>-0.15799420186608884</v>
      </c>
      <c r="T4232">
        <v>336.89</v>
      </c>
      <c r="U4232">
        <v>1</v>
      </c>
      <c r="V4232">
        <v>2024</v>
      </c>
      <c r="W4232">
        <v>1</v>
      </c>
      <c r="X4232" t="s">
        <v>9898</v>
      </c>
      <c r="Y4232" t="s">
        <v>9900</v>
      </c>
      <c r="Z4232" t="s">
        <v>9898</v>
      </c>
      <c r="AD4232">
        <f t="shared" si="133"/>
        <v>7</v>
      </c>
    </row>
    <row r="4233" spans="1:30" x14ac:dyDescent="0.25">
      <c r="A4233" t="s">
        <v>4257</v>
      </c>
      <c r="B4233" s="2">
        <v>45003</v>
      </c>
      <c r="C4233" s="2">
        <v>45008</v>
      </c>
      <c r="D4233" t="s">
        <v>5201</v>
      </c>
      <c r="E4233" t="s">
        <v>5701</v>
      </c>
      <c r="F4233" t="s">
        <v>6027</v>
      </c>
      <c r="G4233" t="s">
        <v>6030</v>
      </c>
      <c r="H4233" t="s">
        <v>6039</v>
      </c>
      <c r="I4233" t="s">
        <v>6051</v>
      </c>
      <c r="J4233" t="s">
        <v>6055</v>
      </c>
      <c r="K4233" t="s">
        <v>6061</v>
      </c>
      <c r="L4233" t="s">
        <v>9424</v>
      </c>
      <c r="M4233">
        <v>1804.13</v>
      </c>
      <c r="N4233">
        <v>7</v>
      </c>
      <c r="O4233">
        <v>0.27</v>
      </c>
      <c r="P4233">
        <v>-188.89</v>
      </c>
      <c r="Q4233" t="s">
        <v>9896</v>
      </c>
      <c r="R4233">
        <v>5</v>
      </c>
      <c r="S4233" s="5">
        <f t="shared" si="132"/>
        <v>-0.10469866362180108</v>
      </c>
      <c r="T4233">
        <v>257.73285714285709</v>
      </c>
      <c r="U4233">
        <v>3</v>
      </c>
      <c r="V4233">
        <v>2023</v>
      </c>
      <c r="W4233">
        <v>1</v>
      </c>
      <c r="X4233" t="s">
        <v>9898</v>
      </c>
      <c r="Y4233" t="s">
        <v>9900</v>
      </c>
      <c r="Z4233" t="s">
        <v>9898</v>
      </c>
      <c r="AD4233">
        <f t="shared" si="133"/>
        <v>5</v>
      </c>
    </row>
    <row r="4234" spans="1:30" x14ac:dyDescent="0.25">
      <c r="A4234" t="s">
        <v>4258</v>
      </c>
      <c r="B4234" s="2">
        <v>45261</v>
      </c>
      <c r="C4234" s="2">
        <v>45268</v>
      </c>
      <c r="D4234" t="s">
        <v>5504</v>
      </c>
      <c r="E4234" t="s">
        <v>6004</v>
      </c>
      <c r="F4234" t="s">
        <v>6027</v>
      </c>
      <c r="G4234" t="s">
        <v>6031</v>
      </c>
      <c r="H4234" t="s">
        <v>6040</v>
      </c>
      <c r="I4234" t="s">
        <v>6050</v>
      </c>
      <c r="J4234" t="s">
        <v>6055</v>
      </c>
      <c r="K4234" t="s">
        <v>6063</v>
      </c>
      <c r="L4234" t="s">
        <v>9103</v>
      </c>
      <c r="M4234">
        <v>1969.86</v>
      </c>
      <c r="N4234">
        <v>2</v>
      </c>
      <c r="O4234">
        <v>0.1</v>
      </c>
      <c r="P4234">
        <v>49.49</v>
      </c>
      <c r="Q4234" t="s">
        <v>9893</v>
      </c>
      <c r="R4234">
        <v>7</v>
      </c>
      <c r="S4234" s="5">
        <f t="shared" si="132"/>
        <v>2.5123612845582937E-2</v>
      </c>
      <c r="T4234">
        <v>984.93</v>
      </c>
      <c r="U4234">
        <v>12</v>
      </c>
      <c r="V4234">
        <v>2023</v>
      </c>
      <c r="W4234">
        <v>4</v>
      </c>
      <c r="X4234" t="s">
        <v>9899</v>
      </c>
      <c r="Y4234" t="s">
        <v>9901</v>
      </c>
      <c r="Z4234" t="s">
        <v>9898</v>
      </c>
      <c r="AD4234">
        <f t="shared" si="133"/>
        <v>7</v>
      </c>
    </row>
    <row r="4235" spans="1:30" x14ac:dyDescent="0.25">
      <c r="A4235" t="s">
        <v>4259</v>
      </c>
      <c r="B4235" s="2">
        <v>44801</v>
      </c>
      <c r="C4235" s="2">
        <v>44808</v>
      </c>
      <c r="D4235" t="s">
        <v>5172</v>
      </c>
      <c r="E4235" t="s">
        <v>5672</v>
      </c>
      <c r="F4235" t="s">
        <v>6027</v>
      </c>
      <c r="G4235" t="s">
        <v>6031</v>
      </c>
      <c r="H4235" t="s">
        <v>6040</v>
      </c>
      <c r="I4235" t="s">
        <v>6048</v>
      </c>
      <c r="J4235" t="s">
        <v>6054</v>
      </c>
      <c r="K4235" t="s">
        <v>6059</v>
      </c>
      <c r="L4235" t="s">
        <v>9425</v>
      </c>
      <c r="M4235">
        <v>1059.6400000000001</v>
      </c>
      <c r="N4235">
        <v>8</v>
      </c>
      <c r="O4235">
        <v>0.21</v>
      </c>
      <c r="P4235">
        <v>-51.71</v>
      </c>
      <c r="Q4235" t="s">
        <v>9897</v>
      </c>
      <c r="R4235">
        <v>7</v>
      </c>
      <c r="S4235" s="5">
        <f t="shared" si="132"/>
        <v>-4.8799592314370914E-2</v>
      </c>
      <c r="T4235">
        <v>132.45500000000001</v>
      </c>
      <c r="U4235">
        <v>8</v>
      </c>
      <c r="V4235">
        <v>2022</v>
      </c>
      <c r="W4235">
        <v>3</v>
      </c>
      <c r="X4235" t="s">
        <v>9898</v>
      </c>
      <c r="Y4235" t="s">
        <v>9900</v>
      </c>
      <c r="Z4235" t="s">
        <v>9898</v>
      </c>
      <c r="AD4235">
        <f t="shared" si="133"/>
        <v>7</v>
      </c>
    </row>
    <row r="4236" spans="1:30" x14ac:dyDescent="0.25">
      <c r="A4236" t="s">
        <v>4260</v>
      </c>
      <c r="B4236" s="2">
        <v>45083</v>
      </c>
      <c r="C4236" s="2">
        <v>45084</v>
      </c>
      <c r="D4236" t="s">
        <v>5279</v>
      </c>
      <c r="E4236" t="s">
        <v>5779</v>
      </c>
      <c r="F4236" t="s">
        <v>6027</v>
      </c>
      <c r="G4236" t="s">
        <v>6029</v>
      </c>
      <c r="H4236" t="s">
        <v>6032</v>
      </c>
      <c r="I4236" t="s">
        <v>6050</v>
      </c>
      <c r="J4236" t="s">
        <v>6053</v>
      </c>
      <c r="K4236" t="s">
        <v>6057</v>
      </c>
      <c r="L4236" t="s">
        <v>9426</v>
      </c>
      <c r="M4236">
        <v>1611.55</v>
      </c>
      <c r="N4236">
        <v>2</v>
      </c>
      <c r="O4236">
        <v>0.34</v>
      </c>
      <c r="P4236">
        <v>-83.66</v>
      </c>
      <c r="Q4236" t="s">
        <v>9893</v>
      </c>
      <c r="R4236">
        <v>1</v>
      </c>
      <c r="S4236" s="5">
        <f t="shared" si="132"/>
        <v>-5.1912754801278271E-2</v>
      </c>
      <c r="T4236">
        <v>805.77499999999998</v>
      </c>
      <c r="U4236">
        <v>6</v>
      </c>
      <c r="V4236">
        <v>2023</v>
      </c>
      <c r="W4236">
        <v>2</v>
      </c>
      <c r="X4236" t="s">
        <v>9898</v>
      </c>
      <c r="Y4236" t="s">
        <v>9902</v>
      </c>
      <c r="Z4236" t="s">
        <v>9898</v>
      </c>
      <c r="AD4236">
        <f t="shared" si="133"/>
        <v>1</v>
      </c>
    </row>
    <row r="4237" spans="1:30" x14ac:dyDescent="0.25">
      <c r="A4237" t="s">
        <v>4261</v>
      </c>
      <c r="B4237" s="2">
        <v>45168</v>
      </c>
      <c r="C4237" s="2">
        <v>45173</v>
      </c>
      <c r="D4237" t="s">
        <v>5088</v>
      </c>
      <c r="E4237" t="s">
        <v>5588</v>
      </c>
      <c r="F4237" t="s">
        <v>6028</v>
      </c>
      <c r="G4237" t="s">
        <v>6030</v>
      </c>
      <c r="H4237" t="s">
        <v>6039</v>
      </c>
      <c r="I4237" t="s">
        <v>6051</v>
      </c>
      <c r="J4237" t="s">
        <v>6054</v>
      </c>
      <c r="K4237" t="s">
        <v>6060</v>
      </c>
      <c r="L4237" t="s">
        <v>9427</v>
      </c>
      <c r="M4237">
        <v>1712.25</v>
      </c>
      <c r="N4237">
        <v>2</v>
      </c>
      <c r="O4237">
        <v>0.3</v>
      </c>
      <c r="P4237">
        <v>-221.84</v>
      </c>
      <c r="Q4237" t="s">
        <v>9893</v>
      </c>
      <c r="R4237">
        <v>5</v>
      </c>
      <c r="S4237" s="5">
        <f t="shared" si="132"/>
        <v>-0.12956051978391006</v>
      </c>
      <c r="T4237">
        <v>856.125</v>
      </c>
      <c r="U4237">
        <v>8</v>
      </c>
      <c r="V4237">
        <v>2023</v>
      </c>
      <c r="W4237">
        <v>3</v>
      </c>
      <c r="X4237" t="s">
        <v>9898</v>
      </c>
      <c r="Y4237" t="s">
        <v>9900</v>
      </c>
      <c r="Z4237" t="s">
        <v>9898</v>
      </c>
      <c r="AD4237">
        <f t="shared" si="133"/>
        <v>5</v>
      </c>
    </row>
    <row r="4238" spans="1:30" x14ac:dyDescent="0.25">
      <c r="A4238" t="s">
        <v>4262</v>
      </c>
      <c r="B4238" s="2">
        <v>45354</v>
      </c>
      <c r="C4238" s="2">
        <v>45358</v>
      </c>
      <c r="D4238" t="s">
        <v>5381</v>
      </c>
      <c r="E4238" t="s">
        <v>5881</v>
      </c>
      <c r="F4238" t="s">
        <v>6026</v>
      </c>
      <c r="G4238" t="s">
        <v>6029</v>
      </c>
      <c r="H4238" t="s">
        <v>6032</v>
      </c>
      <c r="I4238" t="s">
        <v>6050</v>
      </c>
      <c r="J4238" t="s">
        <v>6055</v>
      </c>
      <c r="K4238" t="s">
        <v>6064</v>
      </c>
      <c r="L4238" t="s">
        <v>9428</v>
      </c>
      <c r="M4238">
        <v>186.8</v>
      </c>
      <c r="N4238">
        <v>1</v>
      </c>
      <c r="O4238">
        <v>0.2</v>
      </c>
      <c r="P4238">
        <v>-15.96</v>
      </c>
      <c r="Q4238" t="s">
        <v>9897</v>
      </c>
      <c r="R4238">
        <v>4</v>
      </c>
      <c r="S4238" s="5">
        <f t="shared" si="132"/>
        <v>-8.5438972162740892E-2</v>
      </c>
      <c r="T4238">
        <v>186.8</v>
      </c>
      <c r="U4238">
        <v>3</v>
      </c>
      <c r="V4238">
        <v>2024</v>
      </c>
      <c r="W4238">
        <v>1</v>
      </c>
      <c r="X4238" t="s">
        <v>9898</v>
      </c>
      <c r="Y4238" t="s">
        <v>9900</v>
      </c>
      <c r="Z4238" t="s">
        <v>9899</v>
      </c>
      <c r="AD4238">
        <f t="shared" si="133"/>
        <v>4</v>
      </c>
    </row>
    <row r="4239" spans="1:30" x14ac:dyDescent="0.25">
      <c r="A4239" t="s">
        <v>4263</v>
      </c>
      <c r="B4239" s="2">
        <v>45076</v>
      </c>
      <c r="C4239" s="2">
        <v>45083</v>
      </c>
      <c r="D4239" t="s">
        <v>5331</v>
      </c>
      <c r="E4239" t="s">
        <v>5831</v>
      </c>
      <c r="F4239" t="s">
        <v>6026</v>
      </c>
      <c r="G4239" t="s">
        <v>6029</v>
      </c>
      <c r="H4239" t="s">
        <v>6032</v>
      </c>
      <c r="I4239" t="s">
        <v>6049</v>
      </c>
      <c r="J4239" t="s">
        <v>6055</v>
      </c>
      <c r="K4239" t="s">
        <v>6063</v>
      </c>
      <c r="L4239" t="s">
        <v>7747</v>
      </c>
      <c r="M4239">
        <v>1902.12</v>
      </c>
      <c r="N4239">
        <v>8</v>
      </c>
      <c r="O4239">
        <v>0.3</v>
      </c>
      <c r="P4239">
        <v>-156.16999999999999</v>
      </c>
      <c r="Q4239" t="s">
        <v>9897</v>
      </c>
      <c r="R4239">
        <v>7</v>
      </c>
      <c r="S4239" s="5">
        <f t="shared" si="132"/>
        <v>-8.2103127037200602E-2</v>
      </c>
      <c r="T4239">
        <v>237.76499999999999</v>
      </c>
      <c r="U4239">
        <v>5</v>
      </c>
      <c r="V4239">
        <v>2023</v>
      </c>
      <c r="W4239">
        <v>2</v>
      </c>
      <c r="X4239" t="s">
        <v>9898</v>
      </c>
      <c r="Y4239" t="s">
        <v>9900</v>
      </c>
      <c r="Z4239" t="s">
        <v>9898</v>
      </c>
      <c r="AD4239">
        <f t="shared" si="133"/>
        <v>7</v>
      </c>
    </row>
    <row r="4240" spans="1:30" x14ac:dyDescent="0.25">
      <c r="A4240" t="s">
        <v>4264</v>
      </c>
      <c r="B4240" s="2">
        <v>44789</v>
      </c>
      <c r="C4240" s="2">
        <v>44795</v>
      </c>
      <c r="D4240" t="s">
        <v>5333</v>
      </c>
      <c r="E4240" t="s">
        <v>5833</v>
      </c>
      <c r="F4240" t="s">
        <v>6026</v>
      </c>
      <c r="G4240" t="s">
        <v>6030</v>
      </c>
      <c r="H4240" t="s">
        <v>6035</v>
      </c>
      <c r="I4240" t="s">
        <v>6047</v>
      </c>
      <c r="J4240" t="s">
        <v>6053</v>
      </c>
      <c r="K4240" t="s">
        <v>6057</v>
      </c>
      <c r="L4240" t="s">
        <v>9158</v>
      </c>
      <c r="M4240">
        <v>339.66</v>
      </c>
      <c r="N4240">
        <v>6</v>
      </c>
      <c r="O4240">
        <v>0.2</v>
      </c>
      <c r="P4240">
        <v>10.07</v>
      </c>
      <c r="Q4240" t="s">
        <v>9897</v>
      </c>
      <c r="R4240">
        <v>6</v>
      </c>
      <c r="S4240" s="5">
        <f t="shared" si="132"/>
        <v>2.9647294353176704E-2</v>
      </c>
      <c r="T4240">
        <v>56.610000000000007</v>
      </c>
      <c r="U4240">
        <v>8</v>
      </c>
      <c r="V4240">
        <v>2022</v>
      </c>
      <c r="W4240">
        <v>3</v>
      </c>
      <c r="X4240" t="s">
        <v>9899</v>
      </c>
      <c r="Y4240" t="s">
        <v>9900</v>
      </c>
      <c r="Z4240" t="s">
        <v>9899</v>
      </c>
      <c r="AD4240">
        <f t="shared" si="133"/>
        <v>6</v>
      </c>
    </row>
    <row r="4241" spans="1:30" x14ac:dyDescent="0.25">
      <c r="A4241" t="s">
        <v>4265</v>
      </c>
      <c r="B4241" s="2">
        <v>44666</v>
      </c>
      <c r="C4241" s="2">
        <v>44668</v>
      </c>
      <c r="D4241" t="s">
        <v>5147</v>
      </c>
      <c r="E4241" t="s">
        <v>5647</v>
      </c>
      <c r="F4241" t="s">
        <v>6028</v>
      </c>
      <c r="G4241" t="s">
        <v>6031</v>
      </c>
      <c r="H4241" t="s">
        <v>6034</v>
      </c>
      <c r="I4241" t="s">
        <v>6050</v>
      </c>
      <c r="J4241" t="s">
        <v>6053</v>
      </c>
      <c r="K4241" t="s">
        <v>6056</v>
      </c>
      <c r="L4241" t="s">
        <v>6065</v>
      </c>
      <c r="M4241">
        <v>1139.57</v>
      </c>
      <c r="N4241">
        <v>3</v>
      </c>
      <c r="O4241">
        <v>0.11</v>
      </c>
      <c r="P4241">
        <v>27.07</v>
      </c>
      <c r="Q4241" t="s">
        <v>9897</v>
      </c>
      <c r="R4241">
        <v>2</v>
      </c>
      <c r="S4241" s="5">
        <f t="shared" si="132"/>
        <v>2.3754574093737112E-2</v>
      </c>
      <c r="T4241">
        <v>379.85666666666663</v>
      </c>
      <c r="U4241">
        <v>4</v>
      </c>
      <c r="V4241">
        <v>2022</v>
      </c>
      <c r="W4241">
        <v>2</v>
      </c>
      <c r="X4241" t="s">
        <v>9899</v>
      </c>
      <c r="Y4241" t="s">
        <v>9901</v>
      </c>
      <c r="Z4241" t="s">
        <v>9898</v>
      </c>
      <c r="AD4241">
        <f t="shared" si="133"/>
        <v>2</v>
      </c>
    </row>
    <row r="4242" spans="1:30" x14ac:dyDescent="0.25">
      <c r="A4242" t="s">
        <v>4266</v>
      </c>
      <c r="B4242" s="2">
        <v>44727</v>
      </c>
      <c r="C4242" s="2">
        <v>44732</v>
      </c>
      <c r="D4242" t="s">
        <v>5171</v>
      </c>
      <c r="E4242" t="s">
        <v>5671</v>
      </c>
      <c r="F4242" t="s">
        <v>6028</v>
      </c>
      <c r="G4242" t="s">
        <v>6029</v>
      </c>
      <c r="H4242" t="s">
        <v>6044</v>
      </c>
      <c r="I4242" t="s">
        <v>6049</v>
      </c>
      <c r="J4242" t="s">
        <v>6054</v>
      </c>
      <c r="K4242" t="s">
        <v>6059</v>
      </c>
      <c r="L4242" t="s">
        <v>9429</v>
      </c>
      <c r="M4242">
        <v>722.46</v>
      </c>
      <c r="N4242">
        <v>1</v>
      </c>
      <c r="O4242">
        <v>0.03</v>
      </c>
      <c r="P4242">
        <v>129.52000000000001</v>
      </c>
      <c r="Q4242" t="s">
        <v>9896</v>
      </c>
      <c r="R4242">
        <v>5</v>
      </c>
      <c r="S4242" s="5">
        <f t="shared" si="132"/>
        <v>0.17927636132104199</v>
      </c>
      <c r="T4242">
        <v>722.46</v>
      </c>
      <c r="U4242">
        <v>6</v>
      </c>
      <c r="V4242">
        <v>2022</v>
      </c>
      <c r="W4242">
        <v>2</v>
      </c>
      <c r="X4242" t="s">
        <v>9899</v>
      </c>
      <c r="Y4242" t="s">
        <v>9901</v>
      </c>
      <c r="Z4242" t="s">
        <v>9899</v>
      </c>
      <c r="AD4242">
        <f t="shared" si="133"/>
        <v>5</v>
      </c>
    </row>
    <row r="4243" spans="1:30" x14ac:dyDescent="0.25">
      <c r="A4243" t="s">
        <v>4267</v>
      </c>
      <c r="B4243" s="2">
        <v>44697</v>
      </c>
      <c r="C4243" s="2">
        <v>44702</v>
      </c>
      <c r="D4243" t="s">
        <v>5284</v>
      </c>
      <c r="E4243" t="s">
        <v>5784</v>
      </c>
      <c r="F4243" t="s">
        <v>6028</v>
      </c>
      <c r="G4243" t="s">
        <v>6030</v>
      </c>
      <c r="H4243" t="s">
        <v>6033</v>
      </c>
      <c r="I4243" t="s">
        <v>6051</v>
      </c>
      <c r="J4243" t="s">
        <v>6054</v>
      </c>
      <c r="K4243" t="s">
        <v>6059</v>
      </c>
      <c r="L4243" t="s">
        <v>9430</v>
      </c>
      <c r="M4243">
        <v>329.32</v>
      </c>
      <c r="N4243">
        <v>1</v>
      </c>
      <c r="O4243">
        <v>0.15</v>
      </c>
      <c r="P4243">
        <v>16.04</v>
      </c>
      <c r="Q4243" t="s">
        <v>9895</v>
      </c>
      <c r="R4243">
        <v>5</v>
      </c>
      <c r="S4243" s="5">
        <f t="shared" si="132"/>
        <v>4.8706425361350662E-2</v>
      </c>
      <c r="T4243">
        <v>329.32</v>
      </c>
      <c r="U4243">
        <v>5</v>
      </c>
      <c r="V4243">
        <v>2022</v>
      </c>
      <c r="W4243">
        <v>2</v>
      </c>
      <c r="X4243" t="s">
        <v>9899</v>
      </c>
      <c r="Y4243" t="s">
        <v>9901</v>
      </c>
      <c r="Z4243" t="s">
        <v>9899</v>
      </c>
      <c r="AD4243">
        <f t="shared" si="133"/>
        <v>5</v>
      </c>
    </row>
    <row r="4244" spans="1:30" x14ac:dyDescent="0.25">
      <c r="A4244" t="s">
        <v>4268</v>
      </c>
      <c r="B4244" s="2">
        <v>44653</v>
      </c>
      <c r="C4244" s="2">
        <v>44657</v>
      </c>
      <c r="D4244" t="s">
        <v>5209</v>
      </c>
      <c r="E4244" t="s">
        <v>5709</v>
      </c>
      <c r="F4244" t="s">
        <v>6028</v>
      </c>
      <c r="G4244" t="s">
        <v>6031</v>
      </c>
      <c r="H4244" t="s">
        <v>6034</v>
      </c>
      <c r="I4244" t="s">
        <v>6050</v>
      </c>
      <c r="J4244" t="s">
        <v>6054</v>
      </c>
      <c r="K4244" t="s">
        <v>6062</v>
      </c>
      <c r="L4244" t="s">
        <v>9431</v>
      </c>
      <c r="M4244">
        <v>576.15</v>
      </c>
      <c r="N4244">
        <v>3</v>
      </c>
      <c r="O4244">
        <v>0.11</v>
      </c>
      <c r="P4244">
        <v>14.47</v>
      </c>
      <c r="Q4244" t="s">
        <v>9896</v>
      </c>
      <c r="R4244">
        <v>4</v>
      </c>
      <c r="S4244" s="5">
        <f t="shared" si="132"/>
        <v>2.5114987416471408E-2</v>
      </c>
      <c r="T4244">
        <v>192.05</v>
      </c>
      <c r="U4244">
        <v>4</v>
      </c>
      <c r="V4244">
        <v>2022</v>
      </c>
      <c r="W4244">
        <v>2</v>
      </c>
      <c r="X4244" t="s">
        <v>9899</v>
      </c>
      <c r="Y4244" t="s">
        <v>9901</v>
      </c>
      <c r="Z4244" t="s">
        <v>9899</v>
      </c>
      <c r="AD4244">
        <f t="shared" si="133"/>
        <v>4</v>
      </c>
    </row>
    <row r="4245" spans="1:30" x14ac:dyDescent="0.25">
      <c r="A4245" t="s">
        <v>4269</v>
      </c>
      <c r="B4245" s="2">
        <v>45207</v>
      </c>
      <c r="C4245" s="2">
        <v>45212</v>
      </c>
      <c r="D4245" t="s">
        <v>5183</v>
      </c>
      <c r="E4245" t="s">
        <v>5683</v>
      </c>
      <c r="F4245" t="s">
        <v>6026</v>
      </c>
      <c r="G4245" t="s">
        <v>6031</v>
      </c>
      <c r="H4245" t="s">
        <v>6043</v>
      </c>
      <c r="I4245" t="s">
        <v>6052</v>
      </c>
      <c r="J4245" t="s">
        <v>6053</v>
      </c>
      <c r="K4245" t="s">
        <v>6058</v>
      </c>
      <c r="L4245" t="s">
        <v>9432</v>
      </c>
      <c r="M4245">
        <v>456.89</v>
      </c>
      <c r="N4245">
        <v>7</v>
      </c>
      <c r="O4245">
        <v>0.32</v>
      </c>
      <c r="P4245">
        <v>-30.94</v>
      </c>
      <c r="Q4245" t="s">
        <v>9894</v>
      </c>
      <c r="R4245">
        <v>5</v>
      </c>
      <c r="S4245" s="5">
        <f t="shared" si="132"/>
        <v>-6.7718706909759466E-2</v>
      </c>
      <c r="T4245">
        <v>65.27</v>
      </c>
      <c r="U4245">
        <v>10</v>
      </c>
      <c r="V4245">
        <v>2023</v>
      </c>
      <c r="W4245">
        <v>4</v>
      </c>
      <c r="X4245" t="s">
        <v>9898</v>
      </c>
      <c r="Y4245" t="s">
        <v>9902</v>
      </c>
      <c r="Z4245" t="s">
        <v>9899</v>
      </c>
      <c r="AD4245">
        <f t="shared" si="133"/>
        <v>5</v>
      </c>
    </row>
    <row r="4246" spans="1:30" x14ac:dyDescent="0.25">
      <c r="A4246" t="s">
        <v>4270</v>
      </c>
      <c r="B4246" s="2">
        <v>44774</v>
      </c>
      <c r="C4246" s="2">
        <v>44776</v>
      </c>
      <c r="D4246" t="s">
        <v>5169</v>
      </c>
      <c r="E4246" t="s">
        <v>5669</v>
      </c>
      <c r="F4246" t="s">
        <v>6027</v>
      </c>
      <c r="G4246" t="s">
        <v>6030</v>
      </c>
      <c r="H4246" t="s">
        <v>6039</v>
      </c>
      <c r="I4246" t="s">
        <v>6047</v>
      </c>
      <c r="J4246" t="s">
        <v>6055</v>
      </c>
      <c r="K4246" t="s">
        <v>6061</v>
      </c>
      <c r="L4246" t="s">
        <v>7598</v>
      </c>
      <c r="M4246">
        <v>1267.69</v>
      </c>
      <c r="N4246">
        <v>4</v>
      </c>
      <c r="O4246">
        <v>0.05</v>
      </c>
      <c r="P4246">
        <v>233.87</v>
      </c>
      <c r="Q4246" t="s">
        <v>9893</v>
      </c>
      <c r="R4246">
        <v>2</v>
      </c>
      <c r="S4246" s="5">
        <f t="shared" si="132"/>
        <v>0.18448516593173409</v>
      </c>
      <c r="T4246">
        <v>316.92250000000001</v>
      </c>
      <c r="U4246">
        <v>8</v>
      </c>
      <c r="V4246">
        <v>2022</v>
      </c>
      <c r="W4246">
        <v>3</v>
      </c>
      <c r="X4246" t="s">
        <v>9899</v>
      </c>
      <c r="Y4246" t="s">
        <v>9901</v>
      </c>
      <c r="Z4246" t="s">
        <v>9898</v>
      </c>
      <c r="AD4246">
        <f t="shared" si="133"/>
        <v>2</v>
      </c>
    </row>
    <row r="4247" spans="1:30" x14ac:dyDescent="0.25">
      <c r="A4247" t="s">
        <v>4271</v>
      </c>
      <c r="B4247" s="2">
        <v>45074</v>
      </c>
      <c r="C4247" s="2">
        <v>45078</v>
      </c>
      <c r="D4247" t="s">
        <v>5364</v>
      </c>
      <c r="E4247" t="s">
        <v>5864</v>
      </c>
      <c r="F4247" t="s">
        <v>6026</v>
      </c>
      <c r="G4247" t="s">
        <v>6031</v>
      </c>
      <c r="H4247" t="s">
        <v>6042</v>
      </c>
      <c r="I4247" t="s">
        <v>6048</v>
      </c>
      <c r="J4247" t="s">
        <v>6054</v>
      </c>
      <c r="K4247" t="s">
        <v>6062</v>
      </c>
      <c r="L4247" t="s">
        <v>9433</v>
      </c>
      <c r="M4247">
        <v>1216.54</v>
      </c>
      <c r="N4247">
        <v>1</v>
      </c>
      <c r="O4247">
        <v>0.11</v>
      </c>
      <c r="P4247">
        <v>221.42</v>
      </c>
      <c r="Q4247" t="s">
        <v>9895</v>
      </c>
      <c r="R4247">
        <v>4</v>
      </c>
      <c r="S4247" s="5">
        <f t="shared" si="132"/>
        <v>0.18200798987291827</v>
      </c>
      <c r="T4247">
        <v>1216.54</v>
      </c>
      <c r="U4247">
        <v>5</v>
      </c>
      <c r="V4247">
        <v>2023</v>
      </c>
      <c r="W4247">
        <v>2</v>
      </c>
      <c r="X4247" t="s">
        <v>9899</v>
      </c>
      <c r="Y4247" t="s">
        <v>9901</v>
      </c>
      <c r="Z4247" t="s">
        <v>9898</v>
      </c>
      <c r="AD4247">
        <f t="shared" si="133"/>
        <v>4</v>
      </c>
    </row>
    <row r="4248" spans="1:30" x14ac:dyDescent="0.25">
      <c r="A4248" t="s">
        <v>4272</v>
      </c>
      <c r="B4248" s="2">
        <v>44882</v>
      </c>
      <c r="C4248" s="2">
        <v>44884</v>
      </c>
      <c r="D4248" t="s">
        <v>5300</v>
      </c>
      <c r="E4248" t="s">
        <v>5800</v>
      </c>
      <c r="F4248" t="s">
        <v>6027</v>
      </c>
      <c r="G4248" t="s">
        <v>6029</v>
      </c>
      <c r="H4248" t="s">
        <v>6041</v>
      </c>
      <c r="I4248" t="s">
        <v>6046</v>
      </c>
      <c r="J4248" t="s">
        <v>6055</v>
      </c>
      <c r="K4248" t="s">
        <v>6061</v>
      </c>
      <c r="L4248" t="s">
        <v>9434</v>
      </c>
      <c r="M4248">
        <v>1726.67</v>
      </c>
      <c r="N4248">
        <v>3</v>
      </c>
      <c r="O4248">
        <v>0.27</v>
      </c>
      <c r="P4248">
        <v>-166.18</v>
      </c>
      <c r="Q4248" t="s">
        <v>9896</v>
      </c>
      <c r="R4248">
        <v>2</v>
      </c>
      <c r="S4248" s="5">
        <f t="shared" si="132"/>
        <v>-9.6243057445835042E-2</v>
      </c>
      <c r="T4248">
        <v>575.55666666666673</v>
      </c>
      <c r="U4248">
        <v>11</v>
      </c>
      <c r="V4248">
        <v>2022</v>
      </c>
      <c r="W4248">
        <v>4</v>
      </c>
      <c r="X4248" t="s">
        <v>9898</v>
      </c>
      <c r="Y4248" t="s">
        <v>9900</v>
      </c>
      <c r="Z4248" t="s">
        <v>9898</v>
      </c>
      <c r="AD4248">
        <f t="shared" si="133"/>
        <v>2</v>
      </c>
    </row>
    <row r="4249" spans="1:30" x14ac:dyDescent="0.25">
      <c r="A4249" t="s">
        <v>4273</v>
      </c>
      <c r="B4249" s="2">
        <v>44596</v>
      </c>
      <c r="C4249" s="2">
        <v>44600</v>
      </c>
      <c r="D4249" t="s">
        <v>5277</v>
      </c>
      <c r="E4249" t="s">
        <v>5777</v>
      </c>
      <c r="F4249" t="s">
        <v>6028</v>
      </c>
      <c r="G4249" t="s">
        <v>6030</v>
      </c>
      <c r="H4249" t="s">
        <v>6035</v>
      </c>
      <c r="I4249" t="s">
        <v>6051</v>
      </c>
      <c r="J4249" t="s">
        <v>6055</v>
      </c>
      <c r="K4249" t="s">
        <v>6061</v>
      </c>
      <c r="L4249" t="s">
        <v>6234</v>
      </c>
      <c r="M4249">
        <v>1515.61</v>
      </c>
      <c r="N4249">
        <v>8</v>
      </c>
      <c r="O4249">
        <v>0.03</v>
      </c>
      <c r="P4249">
        <v>239.61</v>
      </c>
      <c r="Q4249" t="s">
        <v>9896</v>
      </c>
      <c r="R4249">
        <v>4</v>
      </c>
      <c r="S4249" s="5">
        <f t="shared" si="132"/>
        <v>0.15809476052546501</v>
      </c>
      <c r="T4249">
        <v>189.45124999999999</v>
      </c>
      <c r="U4249">
        <v>2</v>
      </c>
      <c r="V4249">
        <v>2022</v>
      </c>
      <c r="W4249">
        <v>1</v>
      </c>
      <c r="X4249" t="s">
        <v>9899</v>
      </c>
      <c r="Y4249" t="s">
        <v>9901</v>
      </c>
      <c r="Z4249" t="s">
        <v>9898</v>
      </c>
      <c r="AD4249">
        <f t="shared" si="133"/>
        <v>4</v>
      </c>
    </row>
    <row r="4250" spans="1:30" x14ac:dyDescent="0.25">
      <c r="A4250" t="s">
        <v>4274</v>
      </c>
      <c r="B4250" s="2">
        <v>45136</v>
      </c>
      <c r="C4250" s="2">
        <v>45139</v>
      </c>
      <c r="D4250" t="s">
        <v>5322</v>
      </c>
      <c r="E4250" t="s">
        <v>5822</v>
      </c>
      <c r="F4250" t="s">
        <v>6027</v>
      </c>
      <c r="G4250" t="s">
        <v>6030</v>
      </c>
      <c r="H4250" t="s">
        <v>6033</v>
      </c>
      <c r="I4250" t="s">
        <v>6051</v>
      </c>
      <c r="J4250" t="s">
        <v>6053</v>
      </c>
      <c r="K4250" t="s">
        <v>6056</v>
      </c>
      <c r="L4250" t="s">
        <v>9435</v>
      </c>
      <c r="M4250">
        <v>110.92</v>
      </c>
      <c r="N4250">
        <v>8</v>
      </c>
      <c r="O4250">
        <v>0.12</v>
      </c>
      <c r="P4250">
        <v>13.48</v>
      </c>
      <c r="Q4250" t="s">
        <v>9897</v>
      </c>
      <c r="R4250">
        <v>3</v>
      </c>
      <c r="S4250" s="5">
        <f t="shared" si="132"/>
        <v>0.12152902993148215</v>
      </c>
      <c r="T4250">
        <v>13.865</v>
      </c>
      <c r="U4250">
        <v>7</v>
      </c>
      <c r="V4250">
        <v>2023</v>
      </c>
      <c r="W4250">
        <v>3</v>
      </c>
      <c r="X4250" t="s">
        <v>9899</v>
      </c>
      <c r="Y4250" t="s">
        <v>9901</v>
      </c>
      <c r="Z4250" t="s">
        <v>9899</v>
      </c>
      <c r="AD4250">
        <f t="shared" si="133"/>
        <v>3</v>
      </c>
    </row>
    <row r="4251" spans="1:30" x14ac:dyDescent="0.25">
      <c r="A4251" t="s">
        <v>4275</v>
      </c>
      <c r="B4251" s="2">
        <v>45355</v>
      </c>
      <c r="C4251" s="2">
        <v>45362</v>
      </c>
      <c r="D4251" t="s">
        <v>5522</v>
      </c>
      <c r="E4251" t="s">
        <v>6022</v>
      </c>
      <c r="F4251" t="s">
        <v>6028</v>
      </c>
      <c r="G4251" t="s">
        <v>6029</v>
      </c>
      <c r="H4251" t="s">
        <v>6044</v>
      </c>
      <c r="I4251" t="s">
        <v>6049</v>
      </c>
      <c r="J4251" t="s">
        <v>6055</v>
      </c>
      <c r="K4251" t="s">
        <v>6061</v>
      </c>
      <c r="L4251" t="s">
        <v>9436</v>
      </c>
      <c r="M4251">
        <v>1658.27</v>
      </c>
      <c r="N4251">
        <v>4</v>
      </c>
      <c r="O4251">
        <v>0.28999999999999998</v>
      </c>
      <c r="P4251">
        <v>-68.05</v>
      </c>
      <c r="Q4251" t="s">
        <v>9896</v>
      </c>
      <c r="R4251">
        <v>7</v>
      </c>
      <c r="S4251" s="5">
        <f t="shared" si="132"/>
        <v>-4.1036743111797232E-2</v>
      </c>
      <c r="T4251">
        <v>414.5675</v>
      </c>
      <c r="U4251">
        <v>3</v>
      </c>
      <c r="V4251">
        <v>2024</v>
      </c>
      <c r="W4251">
        <v>1</v>
      </c>
      <c r="X4251" t="s">
        <v>9898</v>
      </c>
      <c r="Y4251" t="s">
        <v>9900</v>
      </c>
      <c r="Z4251" t="s">
        <v>9898</v>
      </c>
      <c r="AD4251">
        <f t="shared" si="133"/>
        <v>7</v>
      </c>
    </row>
    <row r="4252" spans="1:30" x14ac:dyDescent="0.25">
      <c r="A4252" t="s">
        <v>4276</v>
      </c>
      <c r="B4252" s="2">
        <v>45454</v>
      </c>
      <c r="C4252" s="2">
        <v>45459</v>
      </c>
      <c r="D4252" t="s">
        <v>5448</v>
      </c>
      <c r="E4252" t="s">
        <v>5948</v>
      </c>
      <c r="F4252" t="s">
        <v>6026</v>
      </c>
      <c r="G4252" t="s">
        <v>6031</v>
      </c>
      <c r="H4252" t="s">
        <v>6043</v>
      </c>
      <c r="I4252" t="s">
        <v>6052</v>
      </c>
      <c r="J4252" t="s">
        <v>6055</v>
      </c>
      <c r="K4252" t="s">
        <v>6063</v>
      </c>
      <c r="L4252" t="s">
        <v>6454</v>
      </c>
      <c r="M4252">
        <v>1341.57</v>
      </c>
      <c r="N4252">
        <v>3</v>
      </c>
      <c r="O4252">
        <v>0.22</v>
      </c>
      <c r="P4252">
        <v>13.97</v>
      </c>
      <c r="Q4252" t="s">
        <v>9896</v>
      </c>
      <c r="R4252">
        <v>5</v>
      </c>
      <c r="S4252" s="5">
        <f t="shared" si="132"/>
        <v>1.0413172626102255E-2</v>
      </c>
      <c r="T4252">
        <v>447.19</v>
      </c>
      <c r="U4252">
        <v>6</v>
      </c>
      <c r="V4252">
        <v>2024</v>
      </c>
      <c r="W4252">
        <v>2</v>
      </c>
      <c r="X4252" t="s">
        <v>9899</v>
      </c>
      <c r="Y4252" t="s">
        <v>9900</v>
      </c>
      <c r="Z4252" t="s">
        <v>9898</v>
      </c>
      <c r="AD4252">
        <f t="shared" si="133"/>
        <v>5</v>
      </c>
    </row>
    <row r="4253" spans="1:30" x14ac:dyDescent="0.25">
      <c r="A4253" t="s">
        <v>4277</v>
      </c>
      <c r="B4253" s="2">
        <v>44964</v>
      </c>
      <c r="C4253" s="2">
        <v>44966</v>
      </c>
      <c r="D4253" t="s">
        <v>5434</v>
      </c>
      <c r="E4253" t="s">
        <v>5934</v>
      </c>
      <c r="F4253" t="s">
        <v>6028</v>
      </c>
      <c r="G4253" t="s">
        <v>6031</v>
      </c>
      <c r="H4253" t="s">
        <v>6042</v>
      </c>
      <c r="I4253" t="s">
        <v>6050</v>
      </c>
      <c r="J4253" t="s">
        <v>6055</v>
      </c>
      <c r="K4253" t="s">
        <v>6064</v>
      </c>
      <c r="L4253" t="s">
        <v>6948</v>
      </c>
      <c r="M4253">
        <v>1895.73</v>
      </c>
      <c r="N4253">
        <v>4</v>
      </c>
      <c r="O4253">
        <v>0.32</v>
      </c>
      <c r="P4253">
        <v>-157.6</v>
      </c>
      <c r="Q4253" t="s">
        <v>9895</v>
      </c>
      <c r="R4253">
        <v>2</v>
      </c>
      <c r="S4253" s="5">
        <f t="shared" si="132"/>
        <v>-8.3134201600438884E-2</v>
      </c>
      <c r="T4253">
        <v>473.9325</v>
      </c>
      <c r="U4253">
        <v>2</v>
      </c>
      <c r="V4253">
        <v>2023</v>
      </c>
      <c r="W4253">
        <v>1</v>
      </c>
      <c r="X4253" t="s">
        <v>9898</v>
      </c>
      <c r="Y4253" t="s">
        <v>9902</v>
      </c>
      <c r="Z4253" t="s">
        <v>9898</v>
      </c>
      <c r="AD4253">
        <f t="shared" si="133"/>
        <v>2</v>
      </c>
    </row>
    <row r="4254" spans="1:30" x14ac:dyDescent="0.25">
      <c r="A4254" t="s">
        <v>4278</v>
      </c>
      <c r="B4254" s="2">
        <v>45278</v>
      </c>
      <c r="C4254" s="2">
        <v>45279</v>
      </c>
      <c r="D4254" t="s">
        <v>5137</v>
      </c>
      <c r="E4254" t="s">
        <v>5637</v>
      </c>
      <c r="F4254" t="s">
        <v>6028</v>
      </c>
      <c r="G4254" t="s">
        <v>6029</v>
      </c>
      <c r="H4254" t="s">
        <v>6041</v>
      </c>
      <c r="I4254" t="s">
        <v>6046</v>
      </c>
      <c r="J4254" t="s">
        <v>6054</v>
      </c>
      <c r="K4254" t="s">
        <v>6060</v>
      </c>
      <c r="L4254" t="s">
        <v>9437</v>
      </c>
      <c r="M4254">
        <v>518.46</v>
      </c>
      <c r="N4254">
        <v>2</v>
      </c>
      <c r="O4254">
        <v>0.11</v>
      </c>
      <c r="P4254">
        <v>13.92</v>
      </c>
      <c r="Q4254" t="s">
        <v>9894</v>
      </c>
      <c r="R4254">
        <v>1</v>
      </c>
      <c r="S4254" s="5">
        <f t="shared" si="132"/>
        <v>2.6848744358291862E-2</v>
      </c>
      <c r="T4254">
        <v>259.23</v>
      </c>
      <c r="U4254">
        <v>12</v>
      </c>
      <c r="V4254">
        <v>2023</v>
      </c>
      <c r="W4254">
        <v>4</v>
      </c>
      <c r="X4254" t="s">
        <v>9899</v>
      </c>
      <c r="Y4254" t="s">
        <v>9901</v>
      </c>
      <c r="Z4254" t="s">
        <v>9899</v>
      </c>
      <c r="AD4254">
        <f t="shared" si="133"/>
        <v>1</v>
      </c>
    </row>
    <row r="4255" spans="1:30" x14ac:dyDescent="0.25">
      <c r="A4255" t="s">
        <v>4279</v>
      </c>
      <c r="B4255" s="2">
        <v>44619</v>
      </c>
      <c r="C4255" s="2">
        <v>44626</v>
      </c>
      <c r="D4255" t="s">
        <v>5298</v>
      </c>
      <c r="E4255" t="s">
        <v>5798</v>
      </c>
      <c r="F4255" t="s">
        <v>6027</v>
      </c>
      <c r="G4255" t="s">
        <v>6031</v>
      </c>
      <c r="H4255" t="s">
        <v>6037</v>
      </c>
      <c r="I4255" t="s">
        <v>6050</v>
      </c>
      <c r="J4255" t="s">
        <v>6055</v>
      </c>
      <c r="K4255" t="s">
        <v>6064</v>
      </c>
      <c r="L4255" t="s">
        <v>6285</v>
      </c>
      <c r="M4255">
        <v>182.39</v>
      </c>
      <c r="N4255">
        <v>5</v>
      </c>
      <c r="O4255">
        <v>0.31</v>
      </c>
      <c r="P4255">
        <v>-35.29</v>
      </c>
      <c r="Q4255" t="s">
        <v>9893</v>
      </c>
      <c r="R4255">
        <v>7</v>
      </c>
      <c r="S4255" s="5">
        <f t="shared" si="132"/>
        <v>-0.19348648500466034</v>
      </c>
      <c r="T4255">
        <v>36.477999999999987</v>
      </c>
      <c r="U4255">
        <v>2</v>
      </c>
      <c r="V4255">
        <v>2022</v>
      </c>
      <c r="W4255">
        <v>1</v>
      </c>
      <c r="X4255" t="s">
        <v>9898</v>
      </c>
      <c r="Y4255" t="s">
        <v>9902</v>
      </c>
      <c r="Z4255" t="s">
        <v>9899</v>
      </c>
      <c r="AD4255">
        <f t="shared" si="133"/>
        <v>7</v>
      </c>
    </row>
    <row r="4256" spans="1:30" x14ac:dyDescent="0.25">
      <c r="A4256" t="s">
        <v>4280</v>
      </c>
      <c r="B4256" s="2">
        <v>44567</v>
      </c>
      <c r="C4256" s="2">
        <v>44570</v>
      </c>
      <c r="D4256" t="s">
        <v>5473</v>
      </c>
      <c r="E4256" t="s">
        <v>5973</v>
      </c>
      <c r="F4256" t="s">
        <v>6028</v>
      </c>
      <c r="G4256" t="s">
        <v>6029</v>
      </c>
      <c r="H4256" t="s">
        <v>6036</v>
      </c>
      <c r="I4256" t="s">
        <v>6049</v>
      </c>
      <c r="J4256" t="s">
        <v>6054</v>
      </c>
      <c r="K4256" t="s">
        <v>6059</v>
      </c>
      <c r="L4256" t="s">
        <v>9438</v>
      </c>
      <c r="M4256">
        <v>1507.51</v>
      </c>
      <c r="N4256">
        <v>1</v>
      </c>
      <c r="O4256">
        <v>0.2</v>
      </c>
      <c r="P4256">
        <v>-48.4</v>
      </c>
      <c r="Q4256" t="s">
        <v>9894</v>
      </c>
      <c r="R4256">
        <v>3</v>
      </c>
      <c r="S4256" s="5">
        <f t="shared" si="132"/>
        <v>-3.2105923012119321E-2</v>
      </c>
      <c r="T4256">
        <v>1507.51</v>
      </c>
      <c r="U4256">
        <v>1</v>
      </c>
      <c r="V4256">
        <v>2022</v>
      </c>
      <c r="W4256">
        <v>1</v>
      </c>
      <c r="X4256" t="s">
        <v>9898</v>
      </c>
      <c r="Y4256" t="s">
        <v>9900</v>
      </c>
      <c r="Z4256" t="s">
        <v>9898</v>
      </c>
      <c r="AD4256">
        <f t="shared" si="133"/>
        <v>3</v>
      </c>
    </row>
    <row r="4257" spans="1:30" x14ac:dyDescent="0.25">
      <c r="A4257" t="s">
        <v>4281</v>
      </c>
      <c r="B4257" s="2">
        <v>44755</v>
      </c>
      <c r="C4257" s="2">
        <v>44756</v>
      </c>
      <c r="D4257" t="s">
        <v>5091</v>
      </c>
      <c r="E4257" t="s">
        <v>5591</v>
      </c>
      <c r="F4257" t="s">
        <v>6026</v>
      </c>
      <c r="G4257" t="s">
        <v>6029</v>
      </c>
      <c r="H4257" t="s">
        <v>6044</v>
      </c>
      <c r="I4257" t="s">
        <v>6046</v>
      </c>
      <c r="J4257" t="s">
        <v>6054</v>
      </c>
      <c r="K4257" t="s">
        <v>6060</v>
      </c>
      <c r="L4257" t="s">
        <v>7062</v>
      </c>
      <c r="M4257">
        <v>348.06</v>
      </c>
      <c r="N4257">
        <v>1</v>
      </c>
      <c r="O4257">
        <v>0.18</v>
      </c>
      <c r="P4257">
        <v>-17.61</v>
      </c>
      <c r="Q4257" t="s">
        <v>9897</v>
      </c>
      <c r="R4257">
        <v>1</v>
      </c>
      <c r="S4257" s="5">
        <f t="shared" si="132"/>
        <v>-5.0594725047405621E-2</v>
      </c>
      <c r="T4257">
        <v>348.06</v>
      </c>
      <c r="U4257">
        <v>7</v>
      </c>
      <c r="V4257">
        <v>2022</v>
      </c>
      <c r="W4257">
        <v>3</v>
      </c>
      <c r="X4257" t="s">
        <v>9898</v>
      </c>
      <c r="Y4257" t="s">
        <v>9900</v>
      </c>
      <c r="Z4257" t="s">
        <v>9899</v>
      </c>
      <c r="AD4257">
        <f t="shared" si="133"/>
        <v>1</v>
      </c>
    </row>
    <row r="4258" spans="1:30" x14ac:dyDescent="0.25">
      <c r="A4258" t="s">
        <v>4282</v>
      </c>
      <c r="B4258" s="2">
        <v>44969</v>
      </c>
      <c r="C4258" s="2">
        <v>44970</v>
      </c>
      <c r="D4258" t="s">
        <v>5133</v>
      </c>
      <c r="E4258" t="s">
        <v>5633</v>
      </c>
      <c r="F4258" t="s">
        <v>6027</v>
      </c>
      <c r="G4258" t="s">
        <v>6031</v>
      </c>
      <c r="H4258" t="s">
        <v>6034</v>
      </c>
      <c r="I4258" t="s">
        <v>6052</v>
      </c>
      <c r="J4258" t="s">
        <v>6054</v>
      </c>
      <c r="K4258" t="s">
        <v>6059</v>
      </c>
      <c r="L4258" t="s">
        <v>9439</v>
      </c>
      <c r="M4258">
        <v>775.08</v>
      </c>
      <c r="N4258">
        <v>7</v>
      </c>
      <c r="O4258">
        <v>0.1</v>
      </c>
      <c r="P4258">
        <v>151.02000000000001</v>
      </c>
      <c r="Q4258" t="s">
        <v>9897</v>
      </c>
      <c r="R4258">
        <v>1</v>
      </c>
      <c r="S4258" s="5">
        <f t="shared" si="132"/>
        <v>0.19484440315838367</v>
      </c>
      <c r="T4258">
        <v>110.7257142857143</v>
      </c>
      <c r="U4258">
        <v>2</v>
      </c>
      <c r="V4258">
        <v>2023</v>
      </c>
      <c r="W4258">
        <v>1</v>
      </c>
      <c r="X4258" t="s">
        <v>9899</v>
      </c>
      <c r="Y4258" t="s">
        <v>9901</v>
      </c>
      <c r="Z4258" t="s">
        <v>9899</v>
      </c>
      <c r="AD4258">
        <f t="shared" si="133"/>
        <v>1</v>
      </c>
    </row>
    <row r="4259" spans="1:30" x14ac:dyDescent="0.25">
      <c r="A4259" t="s">
        <v>4283</v>
      </c>
      <c r="B4259" s="2">
        <v>45122</v>
      </c>
      <c r="C4259" s="2">
        <v>45125</v>
      </c>
      <c r="D4259" t="s">
        <v>5236</v>
      </c>
      <c r="E4259" t="s">
        <v>5736</v>
      </c>
      <c r="F4259" t="s">
        <v>6026</v>
      </c>
      <c r="G4259" t="s">
        <v>6029</v>
      </c>
      <c r="H4259" t="s">
        <v>6045</v>
      </c>
      <c r="I4259" t="s">
        <v>6050</v>
      </c>
      <c r="J4259" t="s">
        <v>6053</v>
      </c>
      <c r="K4259" t="s">
        <v>6057</v>
      </c>
      <c r="L4259" t="s">
        <v>9440</v>
      </c>
      <c r="M4259">
        <v>1990.26</v>
      </c>
      <c r="N4259">
        <v>1</v>
      </c>
      <c r="O4259">
        <v>0.19</v>
      </c>
      <c r="P4259">
        <v>-143.18</v>
      </c>
      <c r="Q4259" t="s">
        <v>9893</v>
      </c>
      <c r="R4259">
        <v>3</v>
      </c>
      <c r="S4259" s="5">
        <f t="shared" si="132"/>
        <v>-7.1940349502075104E-2</v>
      </c>
      <c r="T4259">
        <v>1990.26</v>
      </c>
      <c r="U4259">
        <v>7</v>
      </c>
      <c r="V4259">
        <v>2023</v>
      </c>
      <c r="W4259">
        <v>3</v>
      </c>
      <c r="X4259" t="s">
        <v>9898</v>
      </c>
      <c r="Y4259" t="s">
        <v>9900</v>
      </c>
      <c r="Z4259" t="s">
        <v>9898</v>
      </c>
      <c r="AD4259">
        <f t="shared" si="133"/>
        <v>3</v>
      </c>
    </row>
    <row r="4260" spans="1:30" x14ac:dyDescent="0.25">
      <c r="A4260" t="s">
        <v>4284</v>
      </c>
      <c r="B4260" s="2">
        <v>44796</v>
      </c>
      <c r="C4260" s="2">
        <v>44797</v>
      </c>
      <c r="D4260" t="s">
        <v>5152</v>
      </c>
      <c r="E4260" t="s">
        <v>5652</v>
      </c>
      <c r="F4260" t="s">
        <v>6028</v>
      </c>
      <c r="G4260" t="s">
        <v>6029</v>
      </c>
      <c r="H4260" t="s">
        <v>6041</v>
      </c>
      <c r="I4260" t="s">
        <v>6049</v>
      </c>
      <c r="J4260" t="s">
        <v>6055</v>
      </c>
      <c r="K4260" t="s">
        <v>6061</v>
      </c>
      <c r="L4260" t="s">
        <v>6414</v>
      </c>
      <c r="M4260">
        <v>892.08</v>
      </c>
      <c r="N4260">
        <v>6</v>
      </c>
      <c r="O4260">
        <v>0.2</v>
      </c>
      <c r="P4260">
        <v>73.75</v>
      </c>
      <c r="Q4260" t="s">
        <v>9896</v>
      </c>
      <c r="R4260">
        <v>1</v>
      </c>
      <c r="S4260" s="5">
        <f t="shared" si="132"/>
        <v>8.2671957671957674E-2</v>
      </c>
      <c r="T4260">
        <v>148.68</v>
      </c>
      <c r="U4260">
        <v>8</v>
      </c>
      <c r="V4260">
        <v>2022</v>
      </c>
      <c r="W4260">
        <v>3</v>
      </c>
      <c r="X4260" t="s">
        <v>9899</v>
      </c>
      <c r="Y4260" t="s">
        <v>9900</v>
      </c>
      <c r="Z4260" t="s">
        <v>9899</v>
      </c>
      <c r="AD4260">
        <f t="shared" si="133"/>
        <v>1</v>
      </c>
    </row>
    <row r="4261" spans="1:30" x14ac:dyDescent="0.25">
      <c r="A4261" t="s">
        <v>4285</v>
      </c>
      <c r="B4261" s="2">
        <v>45269</v>
      </c>
      <c r="C4261" s="2">
        <v>45276</v>
      </c>
      <c r="D4261" t="s">
        <v>5173</v>
      </c>
      <c r="E4261" t="s">
        <v>5673</v>
      </c>
      <c r="F4261" t="s">
        <v>6027</v>
      </c>
      <c r="G4261" t="s">
        <v>6029</v>
      </c>
      <c r="H4261" t="s">
        <v>6044</v>
      </c>
      <c r="I4261" t="s">
        <v>6050</v>
      </c>
      <c r="J4261" t="s">
        <v>6055</v>
      </c>
      <c r="K4261" t="s">
        <v>6063</v>
      </c>
      <c r="L4261" t="s">
        <v>9441</v>
      </c>
      <c r="M4261">
        <v>1199.78</v>
      </c>
      <c r="N4261">
        <v>6</v>
      </c>
      <c r="O4261">
        <v>0.01</v>
      </c>
      <c r="P4261">
        <v>240.62</v>
      </c>
      <c r="Q4261" t="s">
        <v>9896</v>
      </c>
      <c r="R4261">
        <v>7</v>
      </c>
      <c r="S4261" s="5">
        <f t="shared" si="132"/>
        <v>0.20055343479637935</v>
      </c>
      <c r="T4261">
        <v>199.96333333333331</v>
      </c>
      <c r="U4261">
        <v>12</v>
      </c>
      <c r="V4261">
        <v>2023</v>
      </c>
      <c r="W4261">
        <v>4</v>
      </c>
      <c r="X4261" t="s">
        <v>9899</v>
      </c>
      <c r="Y4261" t="s">
        <v>9901</v>
      </c>
      <c r="Z4261" t="s">
        <v>9898</v>
      </c>
      <c r="AD4261">
        <f t="shared" si="133"/>
        <v>7</v>
      </c>
    </row>
    <row r="4262" spans="1:30" x14ac:dyDescent="0.25">
      <c r="A4262" t="s">
        <v>4286</v>
      </c>
      <c r="B4262" s="2">
        <v>44613</v>
      </c>
      <c r="C4262" s="2">
        <v>44620</v>
      </c>
      <c r="D4262" t="s">
        <v>5515</v>
      </c>
      <c r="E4262" t="s">
        <v>6015</v>
      </c>
      <c r="F4262" t="s">
        <v>6027</v>
      </c>
      <c r="G4262" t="s">
        <v>6029</v>
      </c>
      <c r="H4262" t="s">
        <v>6044</v>
      </c>
      <c r="I4262" t="s">
        <v>6046</v>
      </c>
      <c r="J4262" t="s">
        <v>6054</v>
      </c>
      <c r="K4262" t="s">
        <v>6059</v>
      </c>
      <c r="L4262" t="s">
        <v>9442</v>
      </c>
      <c r="M4262">
        <v>1600.99</v>
      </c>
      <c r="N4262">
        <v>4</v>
      </c>
      <c r="O4262">
        <v>0.27</v>
      </c>
      <c r="P4262">
        <v>-73.52</v>
      </c>
      <c r="Q4262" t="s">
        <v>9897</v>
      </c>
      <c r="R4262">
        <v>7</v>
      </c>
      <c r="S4262" s="5">
        <f t="shared" si="132"/>
        <v>-4.5921586018650956E-2</v>
      </c>
      <c r="T4262">
        <v>400.2475</v>
      </c>
      <c r="U4262">
        <v>2</v>
      </c>
      <c r="V4262">
        <v>2022</v>
      </c>
      <c r="W4262">
        <v>1</v>
      </c>
      <c r="X4262" t="s">
        <v>9898</v>
      </c>
      <c r="Y4262" t="s">
        <v>9900</v>
      </c>
      <c r="Z4262" t="s">
        <v>9898</v>
      </c>
      <c r="AD4262">
        <f t="shared" si="133"/>
        <v>7</v>
      </c>
    </row>
    <row r="4263" spans="1:30" x14ac:dyDescent="0.25">
      <c r="A4263" t="s">
        <v>4287</v>
      </c>
      <c r="B4263" s="2">
        <v>44663</v>
      </c>
      <c r="C4263" s="2">
        <v>44665</v>
      </c>
      <c r="D4263" t="s">
        <v>5340</v>
      </c>
      <c r="E4263" t="s">
        <v>5840</v>
      </c>
      <c r="F4263" t="s">
        <v>6027</v>
      </c>
      <c r="G4263" t="s">
        <v>6029</v>
      </c>
      <c r="H4263" t="s">
        <v>6036</v>
      </c>
      <c r="I4263" t="s">
        <v>6049</v>
      </c>
      <c r="J4263" t="s">
        <v>6055</v>
      </c>
      <c r="K4263" t="s">
        <v>6064</v>
      </c>
      <c r="L4263" t="s">
        <v>9443</v>
      </c>
      <c r="M4263">
        <v>1813.01</v>
      </c>
      <c r="N4263">
        <v>5</v>
      </c>
      <c r="O4263">
        <v>0.24</v>
      </c>
      <c r="P4263">
        <v>76.56</v>
      </c>
      <c r="Q4263" t="s">
        <v>9895</v>
      </c>
      <c r="R4263">
        <v>2</v>
      </c>
      <c r="S4263" s="5">
        <f t="shared" si="132"/>
        <v>4.22281178813134E-2</v>
      </c>
      <c r="T4263">
        <v>362.60199999999998</v>
      </c>
      <c r="U4263">
        <v>4</v>
      </c>
      <c r="V4263">
        <v>2022</v>
      </c>
      <c r="W4263">
        <v>2</v>
      </c>
      <c r="X4263" t="s">
        <v>9899</v>
      </c>
      <c r="Y4263" t="s">
        <v>9900</v>
      </c>
      <c r="Z4263" t="s">
        <v>9898</v>
      </c>
      <c r="AD4263">
        <f t="shared" si="133"/>
        <v>2</v>
      </c>
    </row>
    <row r="4264" spans="1:30" x14ac:dyDescent="0.25">
      <c r="A4264" t="s">
        <v>4288</v>
      </c>
      <c r="B4264" s="2">
        <v>45152</v>
      </c>
      <c r="C4264" s="2">
        <v>45158</v>
      </c>
      <c r="D4264" t="s">
        <v>5180</v>
      </c>
      <c r="E4264" t="s">
        <v>5680</v>
      </c>
      <c r="F4264" t="s">
        <v>6026</v>
      </c>
      <c r="G4264" t="s">
        <v>6029</v>
      </c>
      <c r="H4264" t="s">
        <v>6044</v>
      </c>
      <c r="I4264" t="s">
        <v>6046</v>
      </c>
      <c r="J4264" t="s">
        <v>6055</v>
      </c>
      <c r="K4264" t="s">
        <v>6063</v>
      </c>
      <c r="L4264" t="s">
        <v>9444</v>
      </c>
      <c r="M4264">
        <v>243.26</v>
      </c>
      <c r="N4264">
        <v>3</v>
      </c>
      <c r="O4264">
        <v>0.28999999999999998</v>
      </c>
      <c r="P4264">
        <v>-3.5</v>
      </c>
      <c r="Q4264" t="s">
        <v>9893</v>
      </c>
      <c r="R4264">
        <v>6</v>
      </c>
      <c r="S4264" s="5">
        <f t="shared" si="132"/>
        <v>-1.4387897722601333E-2</v>
      </c>
      <c r="T4264">
        <v>81.086666666666659</v>
      </c>
      <c r="U4264">
        <v>8</v>
      </c>
      <c r="V4264">
        <v>2023</v>
      </c>
      <c r="W4264">
        <v>3</v>
      </c>
      <c r="X4264" t="s">
        <v>9898</v>
      </c>
      <c r="Y4264" t="s">
        <v>9900</v>
      </c>
      <c r="Z4264" t="s">
        <v>9899</v>
      </c>
      <c r="AD4264">
        <f t="shared" si="133"/>
        <v>6</v>
      </c>
    </row>
    <row r="4265" spans="1:30" x14ac:dyDescent="0.25">
      <c r="A4265" t="s">
        <v>4289</v>
      </c>
      <c r="B4265" s="2">
        <v>45099</v>
      </c>
      <c r="C4265" s="2">
        <v>45102</v>
      </c>
      <c r="D4265" t="s">
        <v>5059</v>
      </c>
      <c r="E4265" t="s">
        <v>5559</v>
      </c>
      <c r="F4265" t="s">
        <v>6028</v>
      </c>
      <c r="G4265" t="s">
        <v>6029</v>
      </c>
      <c r="H4265" t="s">
        <v>6045</v>
      </c>
      <c r="I4265" t="s">
        <v>6050</v>
      </c>
      <c r="J4265" t="s">
        <v>6053</v>
      </c>
      <c r="K4265" t="s">
        <v>6058</v>
      </c>
      <c r="L4265" t="s">
        <v>7274</v>
      </c>
      <c r="M4265">
        <v>1379.1</v>
      </c>
      <c r="N4265">
        <v>5</v>
      </c>
      <c r="O4265">
        <v>0.17</v>
      </c>
      <c r="P4265">
        <v>81.96</v>
      </c>
      <c r="Q4265" t="s">
        <v>9893</v>
      </c>
      <c r="R4265">
        <v>3</v>
      </c>
      <c r="S4265" s="5">
        <f t="shared" si="132"/>
        <v>5.9430063084620406E-2</v>
      </c>
      <c r="T4265">
        <v>275.82</v>
      </c>
      <c r="U4265">
        <v>6</v>
      </c>
      <c r="V4265">
        <v>2023</v>
      </c>
      <c r="W4265">
        <v>2</v>
      </c>
      <c r="X4265" t="s">
        <v>9899</v>
      </c>
      <c r="Y4265" t="s">
        <v>9900</v>
      </c>
      <c r="Z4265" t="s">
        <v>9898</v>
      </c>
      <c r="AD4265">
        <f t="shared" si="133"/>
        <v>3</v>
      </c>
    </row>
    <row r="4266" spans="1:30" x14ac:dyDescent="0.25">
      <c r="A4266" t="s">
        <v>4290</v>
      </c>
      <c r="B4266" s="2">
        <v>45439</v>
      </c>
      <c r="C4266" s="2">
        <v>45444</v>
      </c>
      <c r="D4266" t="s">
        <v>5385</v>
      </c>
      <c r="E4266" t="s">
        <v>5885</v>
      </c>
      <c r="F4266" t="s">
        <v>6026</v>
      </c>
      <c r="G4266" t="s">
        <v>6029</v>
      </c>
      <c r="H4266" t="s">
        <v>6032</v>
      </c>
      <c r="I4266" t="s">
        <v>6050</v>
      </c>
      <c r="J4266" t="s">
        <v>6053</v>
      </c>
      <c r="K4266" t="s">
        <v>6056</v>
      </c>
      <c r="L4266" t="s">
        <v>9445</v>
      </c>
      <c r="M4266">
        <v>1486.27</v>
      </c>
      <c r="N4266">
        <v>1</v>
      </c>
      <c r="O4266">
        <v>0.22</v>
      </c>
      <c r="P4266">
        <v>-47.84</v>
      </c>
      <c r="Q4266" t="s">
        <v>9896</v>
      </c>
      <c r="R4266">
        <v>5</v>
      </c>
      <c r="S4266" s="5">
        <f t="shared" si="132"/>
        <v>-3.2187960464787696E-2</v>
      </c>
      <c r="T4266">
        <v>1486.27</v>
      </c>
      <c r="U4266">
        <v>5</v>
      </c>
      <c r="V4266">
        <v>2024</v>
      </c>
      <c r="W4266">
        <v>2</v>
      </c>
      <c r="X4266" t="s">
        <v>9898</v>
      </c>
      <c r="Y4266" t="s">
        <v>9900</v>
      </c>
      <c r="Z4266" t="s">
        <v>9898</v>
      </c>
      <c r="AD4266">
        <f t="shared" si="133"/>
        <v>5</v>
      </c>
    </row>
    <row r="4267" spans="1:30" x14ac:dyDescent="0.25">
      <c r="A4267" t="s">
        <v>4291</v>
      </c>
      <c r="B4267" s="2">
        <v>44853</v>
      </c>
      <c r="C4267" s="2">
        <v>44860</v>
      </c>
      <c r="D4267" t="s">
        <v>5500</v>
      </c>
      <c r="E4267" t="s">
        <v>6000</v>
      </c>
      <c r="F4267" t="s">
        <v>6027</v>
      </c>
      <c r="G4267" t="s">
        <v>6031</v>
      </c>
      <c r="H4267" t="s">
        <v>6034</v>
      </c>
      <c r="I4267" t="s">
        <v>6048</v>
      </c>
      <c r="J4267" t="s">
        <v>6053</v>
      </c>
      <c r="K4267" t="s">
        <v>6058</v>
      </c>
      <c r="L4267" t="s">
        <v>8934</v>
      </c>
      <c r="M4267">
        <v>1931.97</v>
      </c>
      <c r="N4267">
        <v>6</v>
      </c>
      <c r="O4267">
        <v>0.12</v>
      </c>
      <c r="P4267">
        <v>200.25</v>
      </c>
      <c r="Q4267" t="s">
        <v>9895</v>
      </c>
      <c r="R4267">
        <v>7</v>
      </c>
      <c r="S4267" s="5">
        <f t="shared" si="132"/>
        <v>0.10365067780555598</v>
      </c>
      <c r="T4267">
        <v>321.995</v>
      </c>
      <c r="U4267">
        <v>10</v>
      </c>
      <c r="V4267">
        <v>2022</v>
      </c>
      <c r="W4267">
        <v>4</v>
      </c>
      <c r="X4267" t="s">
        <v>9899</v>
      </c>
      <c r="Y4267" t="s">
        <v>9901</v>
      </c>
      <c r="Z4267" t="s">
        <v>9898</v>
      </c>
      <c r="AD4267">
        <f t="shared" si="133"/>
        <v>7</v>
      </c>
    </row>
    <row r="4268" spans="1:30" x14ac:dyDescent="0.25">
      <c r="A4268" t="s">
        <v>4292</v>
      </c>
      <c r="B4268" s="2">
        <v>44942</v>
      </c>
      <c r="C4268" s="2">
        <v>44943</v>
      </c>
      <c r="D4268" t="s">
        <v>5511</v>
      </c>
      <c r="E4268" t="s">
        <v>6011</v>
      </c>
      <c r="F4268" t="s">
        <v>6028</v>
      </c>
      <c r="G4268" t="s">
        <v>6031</v>
      </c>
      <c r="H4268" t="s">
        <v>6043</v>
      </c>
      <c r="I4268" t="s">
        <v>6050</v>
      </c>
      <c r="J4268" t="s">
        <v>6055</v>
      </c>
      <c r="K4268" t="s">
        <v>6063</v>
      </c>
      <c r="L4268" t="s">
        <v>9446</v>
      </c>
      <c r="M4268">
        <v>968.22</v>
      </c>
      <c r="N4268">
        <v>3</v>
      </c>
      <c r="O4268">
        <v>0.21</v>
      </c>
      <c r="P4268">
        <v>-17.14</v>
      </c>
      <c r="Q4268" t="s">
        <v>9897</v>
      </c>
      <c r="R4268">
        <v>1</v>
      </c>
      <c r="S4268" s="5">
        <f t="shared" si="132"/>
        <v>-1.7702588254735495E-2</v>
      </c>
      <c r="T4268">
        <v>322.74</v>
      </c>
      <c r="U4268">
        <v>1</v>
      </c>
      <c r="V4268">
        <v>2023</v>
      </c>
      <c r="W4268">
        <v>1</v>
      </c>
      <c r="X4268" t="s">
        <v>9898</v>
      </c>
      <c r="Y4268" t="s">
        <v>9900</v>
      </c>
      <c r="Z4268" t="s">
        <v>9899</v>
      </c>
      <c r="AD4268">
        <f t="shared" si="133"/>
        <v>1</v>
      </c>
    </row>
    <row r="4269" spans="1:30" x14ac:dyDescent="0.25">
      <c r="A4269" t="s">
        <v>4293</v>
      </c>
      <c r="B4269" s="2">
        <v>45226</v>
      </c>
      <c r="C4269" s="2">
        <v>45231</v>
      </c>
      <c r="D4269" t="s">
        <v>5051</v>
      </c>
      <c r="E4269" t="s">
        <v>5551</v>
      </c>
      <c r="F4269" t="s">
        <v>6027</v>
      </c>
      <c r="G4269" t="s">
        <v>6031</v>
      </c>
      <c r="H4269" t="s">
        <v>6043</v>
      </c>
      <c r="I4269" t="s">
        <v>6050</v>
      </c>
      <c r="J4269" t="s">
        <v>6054</v>
      </c>
      <c r="K4269" t="s">
        <v>6062</v>
      </c>
      <c r="L4269" t="s">
        <v>9447</v>
      </c>
      <c r="M4269">
        <v>108.05</v>
      </c>
      <c r="N4269">
        <v>2</v>
      </c>
      <c r="O4269">
        <v>0.16</v>
      </c>
      <c r="P4269">
        <v>14.37</v>
      </c>
      <c r="Q4269" t="s">
        <v>9894</v>
      </c>
      <c r="R4269">
        <v>5</v>
      </c>
      <c r="S4269" s="5">
        <f t="shared" si="132"/>
        <v>0.13299398426654327</v>
      </c>
      <c r="T4269">
        <v>54.024999999999999</v>
      </c>
      <c r="U4269">
        <v>10</v>
      </c>
      <c r="V4269">
        <v>2023</v>
      </c>
      <c r="W4269">
        <v>4</v>
      </c>
      <c r="X4269" t="s">
        <v>9899</v>
      </c>
      <c r="Y4269" t="s">
        <v>9900</v>
      </c>
      <c r="Z4269" t="s">
        <v>9899</v>
      </c>
      <c r="AD4269">
        <f t="shared" si="133"/>
        <v>5</v>
      </c>
    </row>
    <row r="4270" spans="1:30" x14ac:dyDescent="0.25">
      <c r="A4270" t="s">
        <v>4294</v>
      </c>
      <c r="B4270" s="2">
        <v>45140</v>
      </c>
      <c r="C4270" s="2">
        <v>45142</v>
      </c>
      <c r="D4270" t="s">
        <v>5275</v>
      </c>
      <c r="E4270" t="s">
        <v>5775</v>
      </c>
      <c r="F4270" t="s">
        <v>6028</v>
      </c>
      <c r="G4270" t="s">
        <v>6031</v>
      </c>
      <c r="H4270" t="s">
        <v>6042</v>
      </c>
      <c r="I4270" t="s">
        <v>6048</v>
      </c>
      <c r="J4270" t="s">
        <v>6055</v>
      </c>
      <c r="K4270" t="s">
        <v>6063</v>
      </c>
      <c r="L4270" t="s">
        <v>6263</v>
      </c>
      <c r="M4270">
        <v>1207.29</v>
      </c>
      <c r="N4270">
        <v>6</v>
      </c>
      <c r="O4270">
        <v>0.15</v>
      </c>
      <c r="P4270">
        <v>65.040000000000006</v>
      </c>
      <c r="Q4270" t="s">
        <v>9895</v>
      </c>
      <c r="R4270">
        <v>2</v>
      </c>
      <c r="S4270" s="5">
        <f t="shared" si="132"/>
        <v>5.3872723206520395E-2</v>
      </c>
      <c r="T4270">
        <v>201.215</v>
      </c>
      <c r="U4270">
        <v>8</v>
      </c>
      <c r="V4270">
        <v>2023</v>
      </c>
      <c r="W4270">
        <v>3</v>
      </c>
      <c r="X4270" t="s">
        <v>9899</v>
      </c>
      <c r="Y4270" t="s">
        <v>9901</v>
      </c>
      <c r="Z4270" t="s">
        <v>9898</v>
      </c>
      <c r="AD4270">
        <f t="shared" si="133"/>
        <v>2</v>
      </c>
    </row>
    <row r="4271" spans="1:30" x14ac:dyDescent="0.25">
      <c r="A4271" t="s">
        <v>4295</v>
      </c>
      <c r="B4271" s="2">
        <v>44985</v>
      </c>
      <c r="C4271" s="2">
        <v>44991</v>
      </c>
      <c r="D4271" t="s">
        <v>5206</v>
      </c>
      <c r="E4271" t="s">
        <v>5706</v>
      </c>
      <c r="F4271" t="s">
        <v>6026</v>
      </c>
      <c r="G4271" t="s">
        <v>6031</v>
      </c>
      <c r="H4271" t="s">
        <v>6043</v>
      </c>
      <c r="I4271" t="s">
        <v>6050</v>
      </c>
      <c r="J4271" t="s">
        <v>6055</v>
      </c>
      <c r="K4271" t="s">
        <v>6061</v>
      </c>
      <c r="L4271" t="s">
        <v>9448</v>
      </c>
      <c r="M4271">
        <v>1595.37</v>
      </c>
      <c r="N4271">
        <v>2</v>
      </c>
      <c r="O4271">
        <v>0.28999999999999998</v>
      </c>
      <c r="P4271">
        <v>-223.97</v>
      </c>
      <c r="Q4271" t="s">
        <v>9897</v>
      </c>
      <c r="R4271">
        <v>6</v>
      </c>
      <c r="S4271" s="5">
        <f t="shared" si="132"/>
        <v>-0.14038749631746869</v>
      </c>
      <c r="T4271">
        <v>797.68499999999995</v>
      </c>
      <c r="U4271">
        <v>2</v>
      </c>
      <c r="V4271">
        <v>2023</v>
      </c>
      <c r="W4271">
        <v>1</v>
      </c>
      <c r="X4271" t="s">
        <v>9898</v>
      </c>
      <c r="Y4271" t="s">
        <v>9900</v>
      </c>
      <c r="Z4271" t="s">
        <v>9898</v>
      </c>
      <c r="AD4271">
        <f t="shared" si="133"/>
        <v>6</v>
      </c>
    </row>
    <row r="4272" spans="1:30" x14ac:dyDescent="0.25">
      <c r="A4272" t="s">
        <v>4296</v>
      </c>
      <c r="B4272" s="2">
        <v>44907</v>
      </c>
      <c r="C4272" s="2">
        <v>44914</v>
      </c>
      <c r="D4272" t="s">
        <v>5397</v>
      </c>
      <c r="E4272" t="s">
        <v>5897</v>
      </c>
      <c r="F4272" t="s">
        <v>6028</v>
      </c>
      <c r="G4272" t="s">
        <v>6030</v>
      </c>
      <c r="H4272" t="s">
        <v>6038</v>
      </c>
      <c r="I4272" t="s">
        <v>6047</v>
      </c>
      <c r="J4272" t="s">
        <v>6054</v>
      </c>
      <c r="K4272" t="s">
        <v>6059</v>
      </c>
      <c r="L4272" t="s">
        <v>9449</v>
      </c>
      <c r="M4272">
        <v>1436.03</v>
      </c>
      <c r="N4272">
        <v>8</v>
      </c>
      <c r="O4272">
        <v>0.27</v>
      </c>
      <c r="P4272">
        <v>-85.94</v>
      </c>
      <c r="Q4272" t="s">
        <v>9893</v>
      </c>
      <c r="R4272">
        <v>7</v>
      </c>
      <c r="S4272" s="5">
        <f t="shared" si="132"/>
        <v>-5.9845546402233933E-2</v>
      </c>
      <c r="T4272">
        <v>179.50375</v>
      </c>
      <c r="U4272">
        <v>12</v>
      </c>
      <c r="V4272">
        <v>2022</v>
      </c>
      <c r="W4272">
        <v>4</v>
      </c>
      <c r="X4272" t="s">
        <v>9898</v>
      </c>
      <c r="Y4272" t="s">
        <v>9900</v>
      </c>
      <c r="Z4272" t="s">
        <v>9898</v>
      </c>
      <c r="AD4272">
        <f t="shared" si="133"/>
        <v>7</v>
      </c>
    </row>
    <row r="4273" spans="1:30" x14ac:dyDescent="0.25">
      <c r="A4273" t="s">
        <v>4297</v>
      </c>
      <c r="B4273" s="2">
        <v>44872</v>
      </c>
      <c r="C4273" s="2">
        <v>44879</v>
      </c>
      <c r="D4273" t="s">
        <v>5335</v>
      </c>
      <c r="E4273" t="s">
        <v>5835</v>
      </c>
      <c r="F4273" t="s">
        <v>6028</v>
      </c>
      <c r="G4273" t="s">
        <v>6029</v>
      </c>
      <c r="H4273" t="s">
        <v>6041</v>
      </c>
      <c r="I4273" t="s">
        <v>6046</v>
      </c>
      <c r="J4273" t="s">
        <v>6055</v>
      </c>
      <c r="K4273" t="s">
        <v>6064</v>
      </c>
      <c r="L4273" t="s">
        <v>8713</v>
      </c>
      <c r="M4273">
        <v>737.07</v>
      </c>
      <c r="N4273">
        <v>7</v>
      </c>
      <c r="O4273">
        <v>0.22</v>
      </c>
      <c r="P4273">
        <v>36.200000000000003</v>
      </c>
      <c r="Q4273" t="s">
        <v>9893</v>
      </c>
      <c r="R4273">
        <v>7</v>
      </c>
      <c r="S4273" s="5">
        <f t="shared" si="132"/>
        <v>4.9113381361336104E-2</v>
      </c>
      <c r="T4273">
        <v>105.2957142857143</v>
      </c>
      <c r="U4273">
        <v>11</v>
      </c>
      <c r="V4273">
        <v>2022</v>
      </c>
      <c r="W4273">
        <v>4</v>
      </c>
      <c r="X4273" t="s">
        <v>9899</v>
      </c>
      <c r="Y4273" t="s">
        <v>9900</v>
      </c>
      <c r="Z4273" t="s">
        <v>9899</v>
      </c>
      <c r="AD4273">
        <f t="shared" si="133"/>
        <v>7</v>
      </c>
    </row>
    <row r="4274" spans="1:30" x14ac:dyDescent="0.25">
      <c r="A4274" t="s">
        <v>4298</v>
      </c>
      <c r="B4274" s="2">
        <v>44996</v>
      </c>
      <c r="C4274" s="2">
        <v>44997</v>
      </c>
      <c r="D4274" t="s">
        <v>5502</v>
      </c>
      <c r="E4274" t="s">
        <v>6002</v>
      </c>
      <c r="F4274" t="s">
        <v>6027</v>
      </c>
      <c r="G4274" t="s">
        <v>6030</v>
      </c>
      <c r="H4274" t="s">
        <v>6033</v>
      </c>
      <c r="I4274" t="s">
        <v>6051</v>
      </c>
      <c r="J4274" t="s">
        <v>6055</v>
      </c>
      <c r="K4274" t="s">
        <v>6064</v>
      </c>
      <c r="L4274" t="s">
        <v>9157</v>
      </c>
      <c r="M4274">
        <v>1498.32</v>
      </c>
      <c r="N4274">
        <v>8</v>
      </c>
      <c r="O4274">
        <v>0.28999999999999998</v>
      </c>
      <c r="P4274">
        <v>-259.02999999999997</v>
      </c>
      <c r="Q4274" t="s">
        <v>9895</v>
      </c>
      <c r="R4274">
        <v>1</v>
      </c>
      <c r="S4274" s="5">
        <f t="shared" si="132"/>
        <v>-0.17288029259437235</v>
      </c>
      <c r="T4274">
        <v>187.29</v>
      </c>
      <c r="U4274">
        <v>3</v>
      </c>
      <c r="V4274">
        <v>2023</v>
      </c>
      <c r="W4274">
        <v>1</v>
      </c>
      <c r="X4274" t="s">
        <v>9898</v>
      </c>
      <c r="Y4274" t="s">
        <v>9900</v>
      </c>
      <c r="Z4274" t="s">
        <v>9898</v>
      </c>
      <c r="AD4274">
        <f t="shared" si="133"/>
        <v>1</v>
      </c>
    </row>
    <row r="4275" spans="1:30" x14ac:dyDescent="0.25">
      <c r="A4275" t="s">
        <v>4299</v>
      </c>
      <c r="B4275" s="2">
        <v>44770</v>
      </c>
      <c r="C4275" s="2">
        <v>44773</v>
      </c>
      <c r="D4275" t="s">
        <v>5098</v>
      </c>
      <c r="E4275" t="s">
        <v>5598</v>
      </c>
      <c r="F4275" t="s">
        <v>6028</v>
      </c>
      <c r="G4275" t="s">
        <v>6029</v>
      </c>
      <c r="H4275" t="s">
        <v>6032</v>
      </c>
      <c r="I4275" t="s">
        <v>6049</v>
      </c>
      <c r="J4275" t="s">
        <v>6053</v>
      </c>
      <c r="K4275" t="s">
        <v>6058</v>
      </c>
      <c r="L4275" t="s">
        <v>7563</v>
      </c>
      <c r="M4275">
        <v>1435.43</v>
      </c>
      <c r="N4275">
        <v>7</v>
      </c>
      <c r="O4275">
        <v>0.14000000000000001</v>
      </c>
      <c r="P4275">
        <v>219.73</v>
      </c>
      <c r="Q4275" t="s">
        <v>9893</v>
      </c>
      <c r="R4275">
        <v>3</v>
      </c>
      <c r="S4275" s="5">
        <f t="shared" si="132"/>
        <v>0.15307608173160656</v>
      </c>
      <c r="T4275">
        <v>205.06142857142859</v>
      </c>
      <c r="U4275">
        <v>7</v>
      </c>
      <c r="V4275">
        <v>2022</v>
      </c>
      <c r="W4275">
        <v>3</v>
      </c>
      <c r="X4275" t="s">
        <v>9899</v>
      </c>
      <c r="Y4275" t="s">
        <v>9901</v>
      </c>
      <c r="Z4275" t="s">
        <v>9898</v>
      </c>
      <c r="AD4275">
        <f t="shared" si="133"/>
        <v>3</v>
      </c>
    </row>
    <row r="4276" spans="1:30" x14ac:dyDescent="0.25">
      <c r="A4276" t="s">
        <v>4300</v>
      </c>
      <c r="B4276" s="2">
        <v>44909</v>
      </c>
      <c r="C4276" s="2">
        <v>44911</v>
      </c>
      <c r="D4276" t="s">
        <v>5037</v>
      </c>
      <c r="E4276" t="s">
        <v>5537</v>
      </c>
      <c r="F4276" t="s">
        <v>6028</v>
      </c>
      <c r="G4276" t="s">
        <v>6030</v>
      </c>
      <c r="H4276" t="s">
        <v>6033</v>
      </c>
      <c r="I4276" t="s">
        <v>6051</v>
      </c>
      <c r="J4276" t="s">
        <v>6053</v>
      </c>
      <c r="K4276" t="s">
        <v>6058</v>
      </c>
      <c r="L4276" t="s">
        <v>9450</v>
      </c>
      <c r="M4276">
        <v>367.16</v>
      </c>
      <c r="N4276">
        <v>4</v>
      </c>
      <c r="O4276">
        <v>0.19</v>
      </c>
      <c r="P4276">
        <v>10.56</v>
      </c>
      <c r="Q4276" t="s">
        <v>9897</v>
      </c>
      <c r="R4276">
        <v>2</v>
      </c>
      <c r="S4276" s="5">
        <f t="shared" si="132"/>
        <v>2.8761302974180194E-2</v>
      </c>
      <c r="T4276">
        <v>91.79</v>
      </c>
      <c r="U4276">
        <v>12</v>
      </c>
      <c r="V4276">
        <v>2022</v>
      </c>
      <c r="W4276">
        <v>4</v>
      </c>
      <c r="X4276" t="s">
        <v>9899</v>
      </c>
      <c r="Y4276" t="s">
        <v>9900</v>
      </c>
      <c r="Z4276" t="s">
        <v>9899</v>
      </c>
      <c r="AD4276">
        <f t="shared" si="133"/>
        <v>2</v>
      </c>
    </row>
    <row r="4277" spans="1:30" x14ac:dyDescent="0.25">
      <c r="A4277" t="s">
        <v>4301</v>
      </c>
      <c r="B4277" s="2">
        <v>45158</v>
      </c>
      <c r="C4277" s="2">
        <v>45165</v>
      </c>
      <c r="D4277" t="s">
        <v>5129</v>
      </c>
      <c r="E4277" t="s">
        <v>5629</v>
      </c>
      <c r="F4277" t="s">
        <v>6027</v>
      </c>
      <c r="G4277" t="s">
        <v>6029</v>
      </c>
      <c r="H4277" t="s">
        <v>6036</v>
      </c>
      <c r="I4277" t="s">
        <v>6050</v>
      </c>
      <c r="J4277" t="s">
        <v>6054</v>
      </c>
      <c r="K4277" t="s">
        <v>6060</v>
      </c>
      <c r="L4277" t="s">
        <v>9451</v>
      </c>
      <c r="M4277">
        <v>1138.3699999999999</v>
      </c>
      <c r="N4277">
        <v>1</v>
      </c>
      <c r="O4277">
        <v>0.25</v>
      </c>
      <c r="P4277">
        <v>22.54</v>
      </c>
      <c r="Q4277" t="s">
        <v>9893</v>
      </c>
      <c r="R4277">
        <v>7</v>
      </c>
      <c r="S4277" s="5">
        <f t="shared" si="132"/>
        <v>1.9800240695028858E-2</v>
      </c>
      <c r="T4277">
        <v>1138.3699999999999</v>
      </c>
      <c r="U4277">
        <v>8</v>
      </c>
      <c r="V4277">
        <v>2023</v>
      </c>
      <c r="W4277">
        <v>3</v>
      </c>
      <c r="X4277" t="s">
        <v>9899</v>
      </c>
      <c r="Y4277" t="s">
        <v>9900</v>
      </c>
      <c r="Z4277" t="s">
        <v>9898</v>
      </c>
      <c r="AD4277">
        <f t="shared" si="133"/>
        <v>7</v>
      </c>
    </row>
    <row r="4278" spans="1:30" x14ac:dyDescent="0.25">
      <c r="A4278" t="s">
        <v>4302</v>
      </c>
      <c r="B4278" s="2">
        <v>44566</v>
      </c>
      <c r="C4278" s="2">
        <v>44572</v>
      </c>
      <c r="D4278" t="s">
        <v>5185</v>
      </c>
      <c r="E4278" t="s">
        <v>5685</v>
      </c>
      <c r="F4278" t="s">
        <v>6028</v>
      </c>
      <c r="G4278" t="s">
        <v>6029</v>
      </c>
      <c r="H4278" t="s">
        <v>6032</v>
      </c>
      <c r="I4278" t="s">
        <v>6050</v>
      </c>
      <c r="J4278" t="s">
        <v>6055</v>
      </c>
      <c r="K4278" t="s">
        <v>6063</v>
      </c>
      <c r="L4278" t="s">
        <v>9452</v>
      </c>
      <c r="M4278">
        <v>1569.05</v>
      </c>
      <c r="N4278">
        <v>8</v>
      </c>
      <c r="O4278">
        <v>7.0000000000000007E-2</v>
      </c>
      <c r="P4278">
        <v>334.3</v>
      </c>
      <c r="Q4278" t="s">
        <v>9895</v>
      </c>
      <c r="R4278">
        <v>6</v>
      </c>
      <c r="S4278" s="5">
        <f t="shared" si="132"/>
        <v>0.21305885727032281</v>
      </c>
      <c r="T4278">
        <v>196.13124999999999</v>
      </c>
      <c r="U4278">
        <v>1</v>
      </c>
      <c r="V4278">
        <v>2022</v>
      </c>
      <c r="W4278">
        <v>1</v>
      </c>
      <c r="X4278" t="s">
        <v>9899</v>
      </c>
      <c r="Y4278" t="s">
        <v>9901</v>
      </c>
      <c r="Z4278" t="s">
        <v>9898</v>
      </c>
      <c r="AD4278">
        <f t="shared" si="133"/>
        <v>6</v>
      </c>
    </row>
    <row r="4279" spans="1:30" x14ac:dyDescent="0.25">
      <c r="A4279" t="s">
        <v>4303</v>
      </c>
      <c r="B4279" s="2">
        <v>45353</v>
      </c>
      <c r="C4279" s="2">
        <v>45360</v>
      </c>
      <c r="D4279" t="s">
        <v>5170</v>
      </c>
      <c r="E4279" t="s">
        <v>5670</v>
      </c>
      <c r="F4279" t="s">
        <v>6026</v>
      </c>
      <c r="G4279" t="s">
        <v>6030</v>
      </c>
      <c r="H4279" t="s">
        <v>6033</v>
      </c>
      <c r="I4279" t="s">
        <v>6047</v>
      </c>
      <c r="J4279" t="s">
        <v>6053</v>
      </c>
      <c r="K4279" t="s">
        <v>6057</v>
      </c>
      <c r="L4279" t="s">
        <v>9453</v>
      </c>
      <c r="M4279">
        <v>1708.17</v>
      </c>
      <c r="N4279">
        <v>8</v>
      </c>
      <c r="O4279">
        <v>0.21</v>
      </c>
      <c r="P4279">
        <v>-35.35</v>
      </c>
      <c r="Q4279" t="s">
        <v>9894</v>
      </c>
      <c r="R4279">
        <v>7</v>
      </c>
      <c r="S4279" s="5">
        <f t="shared" si="132"/>
        <v>-2.0694661538371472E-2</v>
      </c>
      <c r="T4279">
        <v>213.52125000000001</v>
      </c>
      <c r="U4279">
        <v>3</v>
      </c>
      <c r="V4279">
        <v>2024</v>
      </c>
      <c r="W4279">
        <v>1</v>
      </c>
      <c r="X4279" t="s">
        <v>9898</v>
      </c>
      <c r="Y4279" t="s">
        <v>9900</v>
      </c>
      <c r="Z4279" t="s">
        <v>9898</v>
      </c>
      <c r="AD4279">
        <f t="shared" si="133"/>
        <v>7</v>
      </c>
    </row>
    <row r="4280" spans="1:30" x14ac:dyDescent="0.25">
      <c r="A4280" t="s">
        <v>4304</v>
      </c>
      <c r="B4280" s="2">
        <v>44864</v>
      </c>
      <c r="C4280" s="2">
        <v>44871</v>
      </c>
      <c r="D4280" t="s">
        <v>5236</v>
      </c>
      <c r="E4280" t="s">
        <v>5736</v>
      </c>
      <c r="F4280" t="s">
        <v>6027</v>
      </c>
      <c r="G4280" t="s">
        <v>6029</v>
      </c>
      <c r="H4280" t="s">
        <v>6041</v>
      </c>
      <c r="I4280" t="s">
        <v>6046</v>
      </c>
      <c r="J4280" t="s">
        <v>6053</v>
      </c>
      <c r="K4280" t="s">
        <v>6058</v>
      </c>
      <c r="L4280" t="s">
        <v>6516</v>
      </c>
      <c r="M4280">
        <v>1596.96</v>
      </c>
      <c r="N4280">
        <v>6</v>
      </c>
      <c r="O4280">
        <v>0.18</v>
      </c>
      <c r="P4280">
        <v>110.72</v>
      </c>
      <c r="Q4280" t="s">
        <v>9897</v>
      </c>
      <c r="R4280">
        <v>7</v>
      </c>
      <c r="S4280" s="5">
        <f t="shared" si="132"/>
        <v>6.9331730287546342E-2</v>
      </c>
      <c r="T4280">
        <v>266.16000000000003</v>
      </c>
      <c r="U4280">
        <v>10</v>
      </c>
      <c r="V4280">
        <v>2022</v>
      </c>
      <c r="W4280">
        <v>4</v>
      </c>
      <c r="X4280" t="s">
        <v>9899</v>
      </c>
      <c r="Y4280" t="s">
        <v>9900</v>
      </c>
      <c r="Z4280" t="s">
        <v>9898</v>
      </c>
      <c r="AD4280">
        <f t="shared" si="133"/>
        <v>7</v>
      </c>
    </row>
    <row r="4281" spans="1:30" x14ac:dyDescent="0.25">
      <c r="A4281" t="s">
        <v>4305</v>
      </c>
      <c r="B4281" s="2">
        <v>45343</v>
      </c>
      <c r="C4281" s="2">
        <v>45350</v>
      </c>
      <c r="D4281" t="s">
        <v>5462</v>
      </c>
      <c r="E4281" t="s">
        <v>5962</v>
      </c>
      <c r="F4281" t="s">
        <v>6027</v>
      </c>
      <c r="G4281" t="s">
        <v>6030</v>
      </c>
      <c r="H4281" t="s">
        <v>6039</v>
      </c>
      <c r="I4281" t="s">
        <v>6051</v>
      </c>
      <c r="J4281" t="s">
        <v>6054</v>
      </c>
      <c r="K4281" t="s">
        <v>6062</v>
      </c>
      <c r="L4281" t="s">
        <v>9454</v>
      </c>
      <c r="M4281">
        <v>1191.43</v>
      </c>
      <c r="N4281">
        <v>1</v>
      </c>
      <c r="O4281">
        <v>0</v>
      </c>
      <c r="P4281">
        <v>256</v>
      </c>
      <c r="Q4281" t="s">
        <v>9894</v>
      </c>
      <c r="R4281">
        <v>7</v>
      </c>
      <c r="S4281" s="5">
        <f t="shared" si="132"/>
        <v>0.21486784788027832</v>
      </c>
      <c r="T4281">
        <v>1191.43</v>
      </c>
      <c r="U4281">
        <v>2</v>
      </c>
      <c r="V4281">
        <v>2024</v>
      </c>
      <c r="W4281">
        <v>1</v>
      </c>
      <c r="X4281" t="s">
        <v>9899</v>
      </c>
      <c r="Y4281" t="s">
        <v>9901</v>
      </c>
      <c r="Z4281" t="s">
        <v>9898</v>
      </c>
      <c r="AD4281">
        <f t="shared" si="133"/>
        <v>7</v>
      </c>
    </row>
    <row r="4282" spans="1:30" x14ac:dyDescent="0.25">
      <c r="A4282" t="s">
        <v>4306</v>
      </c>
      <c r="B4282" s="2">
        <v>45138</v>
      </c>
      <c r="C4282" s="2">
        <v>45142</v>
      </c>
      <c r="D4282" t="s">
        <v>5167</v>
      </c>
      <c r="E4282" t="s">
        <v>5667</v>
      </c>
      <c r="F4282" t="s">
        <v>6026</v>
      </c>
      <c r="G4282" t="s">
        <v>6030</v>
      </c>
      <c r="H4282" t="s">
        <v>6033</v>
      </c>
      <c r="I4282" t="s">
        <v>6051</v>
      </c>
      <c r="J4282" t="s">
        <v>6055</v>
      </c>
      <c r="K4282" t="s">
        <v>6061</v>
      </c>
      <c r="L4282" t="s">
        <v>9309</v>
      </c>
      <c r="M4282">
        <v>1690.38</v>
      </c>
      <c r="N4282">
        <v>5</v>
      </c>
      <c r="O4282">
        <v>0.31</v>
      </c>
      <c r="P4282">
        <v>-241.64</v>
      </c>
      <c r="Q4282" t="s">
        <v>9896</v>
      </c>
      <c r="R4282">
        <v>4</v>
      </c>
      <c r="S4282" s="5">
        <f t="shared" si="132"/>
        <v>-0.14295010589334942</v>
      </c>
      <c r="T4282">
        <v>338.07600000000002</v>
      </c>
      <c r="U4282">
        <v>7</v>
      </c>
      <c r="V4282">
        <v>2023</v>
      </c>
      <c r="W4282">
        <v>3</v>
      </c>
      <c r="X4282" t="s">
        <v>9898</v>
      </c>
      <c r="Y4282" t="s">
        <v>9902</v>
      </c>
      <c r="Z4282" t="s">
        <v>9898</v>
      </c>
      <c r="AD4282">
        <f t="shared" si="133"/>
        <v>4</v>
      </c>
    </row>
    <row r="4283" spans="1:30" x14ac:dyDescent="0.25">
      <c r="A4283" t="s">
        <v>4307</v>
      </c>
      <c r="B4283" s="2">
        <v>44742</v>
      </c>
      <c r="C4283" s="2">
        <v>44749</v>
      </c>
      <c r="D4283" t="s">
        <v>5340</v>
      </c>
      <c r="E4283" t="s">
        <v>5840</v>
      </c>
      <c r="F4283" t="s">
        <v>6028</v>
      </c>
      <c r="G4283" t="s">
        <v>6029</v>
      </c>
      <c r="H4283" t="s">
        <v>6036</v>
      </c>
      <c r="I4283" t="s">
        <v>6050</v>
      </c>
      <c r="J4283" t="s">
        <v>6054</v>
      </c>
      <c r="K4283" t="s">
        <v>6062</v>
      </c>
      <c r="L4283" t="s">
        <v>9455</v>
      </c>
      <c r="M4283">
        <v>333.13</v>
      </c>
      <c r="N4283">
        <v>2</v>
      </c>
      <c r="O4283">
        <v>0.23</v>
      </c>
      <c r="P4283">
        <v>13.76</v>
      </c>
      <c r="Q4283" t="s">
        <v>9894</v>
      </c>
      <c r="R4283">
        <v>7</v>
      </c>
      <c r="S4283" s="5">
        <f t="shared" si="132"/>
        <v>4.1305196169663494E-2</v>
      </c>
      <c r="T4283">
        <v>166.565</v>
      </c>
      <c r="U4283">
        <v>6</v>
      </c>
      <c r="V4283">
        <v>2022</v>
      </c>
      <c r="W4283">
        <v>2</v>
      </c>
      <c r="X4283" t="s">
        <v>9899</v>
      </c>
      <c r="Y4283" t="s">
        <v>9900</v>
      </c>
      <c r="Z4283" t="s">
        <v>9899</v>
      </c>
      <c r="AD4283">
        <f t="shared" si="133"/>
        <v>7</v>
      </c>
    </row>
    <row r="4284" spans="1:30" x14ac:dyDescent="0.25">
      <c r="A4284" t="s">
        <v>4308</v>
      </c>
      <c r="B4284" s="2">
        <v>44850</v>
      </c>
      <c r="C4284" s="2">
        <v>44853</v>
      </c>
      <c r="D4284" t="s">
        <v>5361</v>
      </c>
      <c r="E4284" t="s">
        <v>5861</v>
      </c>
      <c r="F4284" t="s">
        <v>6026</v>
      </c>
      <c r="G4284" t="s">
        <v>6030</v>
      </c>
      <c r="H4284" t="s">
        <v>6033</v>
      </c>
      <c r="I4284" t="s">
        <v>6047</v>
      </c>
      <c r="J4284" t="s">
        <v>6054</v>
      </c>
      <c r="K4284" t="s">
        <v>6062</v>
      </c>
      <c r="L4284" t="s">
        <v>9456</v>
      </c>
      <c r="M4284">
        <v>430.16</v>
      </c>
      <c r="N4284">
        <v>6</v>
      </c>
      <c r="O4284">
        <v>0.17</v>
      </c>
      <c r="P4284">
        <v>-21.24</v>
      </c>
      <c r="Q4284" t="s">
        <v>9897</v>
      </c>
      <c r="R4284">
        <v>3</v>
      </c>
      <c r="S4284" s="5">
        <f t="shared" si="132"/>
        <v>-4.9376976008926904E-2</v>
      </c>
      <c r="T4284">
        <v>71.693333333333342</v>
      </c>
      <c r="U4284">
        <v>10</v>
      </c>
      <c r="V4284">
        <v>2022</v>
      </c>
      <c r="W4284">
        <v>4</v>
      </c>
      <c r="X4284" t="s">
        <v>9898</v>
      </c>
      <c r="Y4284" t="s">
        <v>9900</v>
      </c>
      <c r="Z4284" t="s">
        <v>9899</v>
      </c>
      <c r="AD4284">
        <f t="shared" si="133"/>
        <v>3</v>
      </c>
    </row>
    <row r="4285" spans="1:30" x14ac:dyDescent="0.25">
      <c r="A4285" t="s">
        <v>4309</v>
      </c>
      <c r="B4285" s="2">
        <v>45110</v>
      </c>
      <c r="C4285" s="2">
        <v>45116</v>
      </c>
      <c r="D4285" t="s">
        <v>5426</v>
      </c>
      <c r="E4285" t="s">
        <v>5926</v>
      </c>
      <c r="F4285" t="s">
        <v>6026</v>
      </c>
      <c r="G4285" t="s">
        <v>6029</v>
      </c>
      <c r="H4285" t="s">
        <v>6032</v>
      </c>
      <c r="I4285" t="s">
        <v>6046</v>
      </c>
      <c r="J4285" t="s">
        <v>6053</v>
      </c>
      <c r="K4285" t="s">
        <v>6058</v>
      </c>
      <c r="L4285" t="s">
        <v>9457</v>
      </c>
      <c r="M4285">
        <v>596.5</v>
      </c>
      <c r="N4285">
        <v>1</v>
      </c>
      <c r="O4285">
        <v>0.25</v>
      </c>
      <c r="P4285">
        <v>-12.79</v>
      </c>
      <c r="Q4285" t="s">
        <v>9896</v>
      </c>
      <c r="R4285">
        <v>6</v>
      </c>
      <c r="S4285" s="5">
        <f t="shared" si="132"/>
        <v>-2.1441743503772002E-2</v>
      </c>
      <c r="T4285">
        <v>596.5</v>
      </c>
      <c r="U4285">
        <v>7</v>
      </c>
      <c r="V4285">
        <v>2023</v>
      </c>
      <c r="W4285">
        <v>3</v>
      </c>
      <c r="X4285" t="s">
        <v>9898</v>
      </c>
      <c r="Y4285" t="s">
        <v>9900</v>
      </c>
      <c r="Z4285" t="s">
        <v>9899</v>
      </c>
      <c r="AD4285">
        <f t="shared" si="133"/>
        <v>6</v>
      </c>
    </row>
    <row r="4286" spans="1:30" x14ac:dyDescent="0.25">
      <c r="A4286" t="s">
        <v>4310</v>
      </c>
      <c r="B4286" s="2">
        <v>45191</v>
      </c>
      <c r="C4286" s="2">
        <v>45198</v>
      </c>
      <c r="D4286" t="s">
        <v>5058</v>
      </c>
      <c r="E4286" t="s">
        <v>5558</v>
      </c>
      <c r="F4286" t="s">
        <v>6026</v>
      </c>
      <c r="G4286" t="s">
        <v>6030</v>
      </c>
      <c r="H4286" t="s">
        <v>6033</v>
      </c>
      <c r="I4286" t="s">
        <v>6047</v>
      </c>
      <c r="J4286" t="s">
        <v>6055</v>
      </c>
      <c r="K4286" t="s">
        <v>6063</v>
      </c>
      <c r="L4286" t="s">
        <v>9458</v>
      </c>
      <c r="M4286">
        <v>1071.3499999999999</v>
      </c>
      <c r="N4286">
        <v>3</v>
      </c>
      <c r="O4286">
        <v>0.03</v>
      </c>
      <c r="P4286">
        <v>174.14</v>
      </c>
      <c r="Q4286" t="s">
        <v>9896</v>
      </c>
      <c r="R4286">
        <v>7</v>
      </c>
      <c r="S4286" s="5">
        <f t="shared" si="132"/>
        <v>0.16254258645634012</v>
      </c>
      <c r="T4286">
        <v>357.11666666666662</v>
      </c>
      <c r="U4286">
        <v>9</v>
      </c>
      <c r="V4286">
        <v>2023</v>
      </c>
      <c r="W4286">
        <v>3</v>
      </c>
      <c r="X4286" t="s">
        <v>9899</v>
      </c>
      <c r="Y4286" t="s">
        <v>9901</v>
      </c>
      <c r="Z4286" t="s">
        <v>9898</v>
      </c>
      <c r="AD4286">
        <f t="shared" si="133"/>
        <v>7</v>
      </c>
    </row>
    <row r="4287" spans="1:30" x14ac:dyDescent="0.25">
      <c r="A4287" t="s">
        <v>4311</v>
      </c>
      <c r="B4287" s="2">
        <v>45300</v>
      </c>
      <c r="C4287" s="2">
        <v>45307</v>
      </c>
      <c r="D4287" t="s">
        <v>5162</v>
      </c>
      <c r="E4287" t="s">
        <v>5662</v>
      </c>
      <c r="F4287" t="s">
        <v>6028</v>
      </c>
      <c r="G4287" t="s">
        <v>6029</v>
      </c>
      <c r="H4287" t="s">
        <v>6036</v>
      </c>
      <c r="I4287" t="s">
        <v>6050</v>
      </c>
      <c r="J4287" t="s">
        <v>6053</v>
      </c>
      <c r="K4287" t="s">
        <v>6056</v>
      </c>
      <c r="L4287" t="s">
        <v>9459</v>
      </c>
      <c r="M4287">
        <v>1634.9</v>
      </c>
      <c r="N4287">
        <v>7</v>
      </c>
      <c r="O4287">
        <v>0.33</v>
      </c>
      <c r="P4287">
        <v>-244.84</v>
      </c>
      <c r="Q4287" t="s">
        <v>9897</v>
      </c>
      <c r="R4287">
        <v>7</v>
      </c>
      <c r="S4287" s="5">
        <f t="shared" si="132"/>
        <v>-0.14975839500886903</v>
      </c>
      <c r="T4287">
        <v>233.55714285714291</v>
      </c>
      <c r="U4287">
        <v>1</v>
      </c>
      <c r="V4287">
        <v>2024</v>
      </c>
      <c r="W4287">
        <v>1</v>
      </c>
      <c r="X4287" t="s">
        <v>9898</v>
      </c>
      <c r="Y4287" t="s">
        <v>9902</v>
      </c>
      <c r="Z4287" t="s">
        <v>9898</v>
      </c>
      <c r="AD4287">
        <f t="shared" si="133"/>
        <v>7</v>
      </c>
    </row>
    <row r="4288" spans="1:30" x14ac:dyDescent="0.25">
      <c r="A4288" t="s">
        <v>4312</v>
      </c>
      <c r="B4288" s="2">
        <v>44892</v>
      </c>
      <c r="C4288" s="2">
        <v>44895</v>
      </c>
      <c r="D4288" t="s">
        <v>5327</v>
      </c>
      <c r="E4288" t="s">
        <v>5827</v>
      </c>
      <c r="F4288" t="s">
        <v>6027</v>
      </c>
      <c r="G4288" t="s">
        <v>6030</v>
      </c>
      <c r="H4288" t="s">
        <v>6039</v>
      </c>
      <c r="I4288" t="s">
        <v>6047</v>
      </c>
      <c r="J4288" t="s">
        <v>6053</v>
      </c>
      <c r="K4288" t="s">
        <v>6056</v>
      </c>
      <c r="L4288" t="s">
        <v>9460</v>
      </c>
      <c r="M4288">
        <v>863.79</v>
      </c>
      <c r="N4288">
        <v>7</v>
      </c>
      <c r="O4288">
        <v>0.32</v>
      </c>
      <c r="P4288">
        <v>-97.81</v>
      </c>
      <c r="Q4288" t="s">
        <v>9893</v>
      </c>
      <c r="R4288">
        <v>3</v>
      </c>
      <c r="S4288" s="5">
        <f t="shared" si="132"/>
        <v>-0.11323354055962677</v>
      </c>
      <c r="T4288">
        <v>123.3985714285714</v>
      </c>
      <c r="U4288">
        <v>11</v>
      </c>
      <c r="V4288">
        <v>2022</v>
      </c>
      <c r="W4288">
        <v>4</v>
      </c>
      <c r="X4288" t="s">
        <v>9898</v>
      </c>
      <c r="Y4288" t="s">
        <v>9902</v>
      </c>
      <c r="Z4288" t="s">
        <v>9899</v>
      </c>
      <c r="AD4288">
        <f t="shared" si="133"/>
        <v>3</v>
      </c>
    </row>
    <row r="4289" spans="1:30" x14ac:dyDescent="0.25">
      <c r="A4289" t="s">
        <v>4313</v>
      </c>
      <c r="B4289" s="2">
        <v>44735</v>
      </c>
      <c r="C4289" s="2">
        <v>44742</v>
      </c>
      <c r="D4289" t="s">
        <v>5300</v>
      </c>
      <c r="E4289" t="s">
        <v>5800</v>
      </c>
      <c r="F4289" t="s">
        <v>6027</v>
      </c>
      <c r="G4289" t="s">
        <v>6030</v>
      </c>
      <c r="H4289" t="s">
        <v>6039</v>
      </c>
      <c r="I4289" t="s">
        <v>6051</v>
      </c>
      <c r="J4289" t="s">
        <v>6054</v>
      </c>
      <c r="K4289" t="s">
        <v>6059</v>
      </c>
      <c r="L4289" t="s">
        <v>8813</v>
      </c>
      <c r="M4289">
        <v>571.89</v>
      </c>
      <c r="N4289">
        <v>5</v>
      </c>
      <c r="O4289">
        <v>0.05</v>
      </c>
      <c r="P4289">
        <v>83.91</v>
      </c>
      <c r="Q4289" t="s">
        <v>9897</v>
      </c>
      <c r="R4289">
        <v>7</v>
      </c>
      <c r="S4289" s="5">
        <f t="shared" si="132"/>
        <v>0.14672402035356449</v>
      </c>
      <c r="T4289">
        <v>114.378</v>
      </c>
      <c r="U4289">
        <v>6</v>
      </c>
      <c r="V4289">
        <v>2022</v>
      </c>
      <c r="W4289">
        <v>2</v>
      </c>
      <c r="X4289" t="s">
        <v>9899</v>
      </c>
      <c r="Y4289" t="s">
        <v>9901</v>
      </c>
      <c r="Z4289" t="s">
        <v>9899</v>
      </c>
      <c r="AD4289">
        <f t="shared" si="133"/>
        <v>7</v>
      </c>
    </row>
    <row r="4290" spans="1:30" x14ac:dyDescent="0.25">
      <c r="A4290" t="s">
        <v>4314</v>
      </c>
      <c r="B4290" s="2">
        <v>44754</v>
      </c>
      <c r="C4290" s="2">
        <v>44756</v>
      </c>
      <c r="D4290" t="s">
        <v>5507</v>
      </c>
      <c r="E4290" t="s">
        <v>6007</v>
      </c>
      <c r="F4290" t="s">
        <v>6027</v>
      </c>
      <c r="G4290" t="s">
        <v>6030</v>
      </c>
      <c r="H4290" t="s">
        <v>6039</v>
      </c>
      <c r="I4290" t="s">
        <v>6047</v>
      </c>
      <c r="J4290" t="s">
        <v>6055</v>
      </c>
      <c r="K4290" t="s">
        <v>6061</v>
      </c>
      <c r="L4290" t="s">
        <v>7709</v>
      </c>
      <c r="M4290">
        <v>1314.32</v>
      </c>
      <c r="N4290">
        <v>2</v>
      </c>
      <c r="O4290">
        <v>0.1</v>
      </c>
      <c r="P4290">
        <v>145.9</v>
      </c>
      <c r="Q4290" t="s">
        <v>9896</v>
      </c>
      <c r="R4290">
        <v>2</v>
      </c>
      <c r="S4290" s="5">
        <f t="shared" si="132"/>
        <v>0.11100797370503379</v>
      </c>
      <c r="T4290">
        <v>657.16</v>
      </c>
      <c r="U4290">
        <v>7</v>
      </c>
      <c r="V4290">
        <v>2022</v>
      </c>
      <c r="W4290">
        <v>3</v>
      </c>
      <c r="X4290" t="s">
        <v>9899</v>
      </c>
      <c r="Y4290" t="s">
        <v>9901</v>
      </c>
      <c r="Z4290" t="s">
        <v>9898</v>
      </c>
      <c r="AD4290">
        <f t="shared" si="133"/>
        <v>2</v>
      </c>
    </row>
    <row r="4291" spans="1:30" x14ac:dyDescent="0.25">
      <c r="A4291" t="s">
        <v>4315</v>
      </c>
      <c r="B4291" s="2">
        <v>45384</v>
      </c>
      <c r="C4291" s="2">
        <v>45385</v>
      </c>
      <c r="D4291" t="s">
        <v>5275</v>
      </c>
      <c r="E4291" t="s">
        <v>5775</v>
      </c>
      <c r="F4291" t="s">
        <v>6026</v>
      </c>
      <c r="G4291" t="s">
        <v>6031</v>
      </c>
      <c r="H4291" t="s">
        <v>6043</v>
      </c>
      <c r="I4291" t="s">
        <v>6052</v>
      </c>
      <c r="J4291" t="s">
        <v>6055</v>
      </c>
      <c r="K4291" t="s">
        <v>6063</v>
      </c>
      <c r="L4291" t="s">
        <v>8911</v>
      </c>
      <c r="M4291">
        <v>401.78</v>
      </c>
      <c r="N4291">
        <v>6</v>
      </c>
      <c r="O4291">
        <v>0.35</v>
      </c>
      <c r="P4291">
        <v>-79.62</v>
      </c>
      <c r="Q4291" t="s">
        <v>9897</v>
      </c>
      <c r="R4291">
        <v>1</v>
      </c>
      <c r="S4291" s="5">
        <f t="shared" ref="S4291:S4354" si="134">P4291/M4291</f>
        <v>-0.19816815172482455</v>
      </c>
      <c r="T4291">
        <v>66.963333333333324</v>
      </c>
      <c r="U4291">
        <v>4</v>
      </c>
      <c r="V4291">
        <v>2024</v>
      </c>
      <c r="W4291">
        <v>2</v>
      </c>
      <c r="X4291" t="s">
        <v>9898</v>
      </c>
      <c r="Y4291" t="s">
        <v>9902</v>
      </c>
      <c r="Z4291" t="s">
        <v>9899</v>
      </c>
      <c r="AD4291">
        <f t="shared" ref="AD4291:AD4354" si="135">C4291-B4291</f>
        <v>1</v>
      </c>
    </row>
    <row r="4292" spans="1:30" x14ac:dyDescent="0.25">
      <c r="A4292" t="s">
        <v>4316</v>
      </c>
      <c r="B4292" s="2">
        <v>45152</v>
      </c>
      <c r="C4292" s="2">
        <v>45159</v>
      </c>
      <c r="D4292" t="s">
        <v>5252</v>
      </c>
      <c r="E4292" t="s">
        <v>5752</v>
      </c>
      <c r="F4292" t="s">
        <v>6028</v>
      </c>
      <c r="G4292" t="s">
        <v>6031</v>
      </c>
      <c r="H4292" t="s">
        <v>6034</v>
      </c>
      <c r="I4292" t="s">
        <v>6050</v>
      </c>
      <c r="J4292" t="s">
        <v>6055</v>
      </c>
      <c r="K4292" t="s">
        <v>6064</v>
      </c>
      <c r="L4292" t="s">
        <v>9461</v>
      </c>
      <c r="M4292">
        <v>106.28</v>
      </c>
      <c r="N4292">
        <v>5</v>
      </c>
      <c r="O4292">
        <v>0</v>
      </c>
      <c r="P4292">
        <v>21.49</v>
      </c>
      <c r="Q4292" t="s">
        <v>9896</v>
      </c>
      <c r="R4292">
        <v>7</v>
      </c>
      <c r="S4292" s="5">
        <f t="shared" si="134"/>
        <v>0.20220173127587504</v>
      </c>
      <c r="T4292">
        <v>21.256</v>
      </c>
      <c r="U4292">
        <v>8</v>
      </c>
      <c r="V4292">
        <v>2023</v>
      </c>
      <c r="W4292">
        <v>3</v>
      </c>
      <c r="X4292" t="s">
        <v>9899</v>
      </c>
      <c r="Y4292" t="s">
        <v>9901</v>
      </c>
      <c r="Z4292" t="s">
        <v>9899</v>
      </c>
      <c r="AD4292">
        <f t="shared" si="135"/>
        <v>7</v>
      </c>
    </row>
    <row r="4293" spans="1:30" x14ac:dyDescent="0.25">
      <c r="A4293" t="s">
        <v>4317</v>
      </c>
      <c r="B4293" s="2">
        <v>45202</v>
      </c>
      <c r="C4293" s="2">
        <v>45207</v>
      </c>
      <c r="D4293" t="s">
        <v>5353</v>
      </c>
      <c r="E4293" t="s">
        <v>5853</v>
      </c>
      <c r="F4293" t="s">
        <v>6026</v>
      </c>
      <c r="G4293" t="s">
        <v>6031</v>
      </c>
      <c r="H4293" t="s">
        <v>6034</v>
      </c>
      <c r="I4293" t="s">
        <v>6052</v>
      </c>
      <c r="J4293" t="s">
        <v>6053</v>
      </c>
      <c r="K4293" t="s">
        <v>6058</v>
      </c>
      <c r="L4293" t="s">
        <v>9462</v>
      </c>
      <c r="M4293">
        <v>1535.13</v>
      </c>
      <c r="N4293">
        <v>2</v>
      </c>
      <c r="O4293">
        <v>0.11</v>
      </c>
      <c r="P4293">
        <v>69.28</v>
      </c>
      <c r="Q4293" t="s">
        <v>9893</v>
      </c>
      <c r="R4293">
        <v>5</v>
      </c>
      <c r="S4293" s="5">
        <f t="shared" si="134"/>
        <v>4.5129728426908468E-2</v>
      </c>
      <c r="T4293">
        <v>767.56500000000005</v>
      </c>
      <c r="U4293">
        <v>10</v>
      </c>
      <c r="V4293">
        <v>2023</v>
      </c>
      <c r="W4293">
        <v>4</v>
      </c>
      <c r="X4293" t="s">
        <v>9899</v>
      </c>
      <c r="Y4293" t="s">
        <v>9901</v>
      </c>
      <c r="Z4293" t="s">
        <v>9898</v>
      </c>
      <c r="AD4293">
        <f t="shared" si="135"/>
        <v>5</v>
      </c>
    </row>
    <row r="4294" spans="1:30" x14ac:dyDescent="0.25">
      <c r="A4294" t="s">
        <v>4318</v>
      </c>
      <c r="B4294" s="2">
        <v>45227</v>
      </c>
      <c r="C4294" s="2">
        <v>45228</v>
      </c>
      <c r="D4294" t="s">
        <v>5271</v>
      </c>
      <c r="E4294" t="s">
        <v>5771</v>
      </c>
      <c r="F4294" t="s">
        <v>6028</v>
      </c>
      <c r="G4294" t="s">
        <v>6029</v>
      </c>
      <c r="H4294" t="s">
        <v>6041</v>
      </c>
      <c r="I4294" t="s">
        <v>6046</v>
      </c>
      <c r="J4294" t="s">
        <v>6055</v>
      </c>
      <c r="K4294" t="s">
        <v>6063</v>
      </c>
      <c r="L4294" t="s">
        <v>7939</v>
      </c>
      <c r="M4294">
        <v>1355.76</v>
      </c>
      <c r="N4294">
        <v>2</v>
      </c>
      <c r="O4294">
        <v>0.16</v>
      </c>
      <c r="P4294">
        <v>-28.41</v>
      </c>
      <c r="Q4294" t="s">
        <v>9896</v>
      </c>
      <c r="R4294">
        <v>1</v>
      </c>
      <c r="S4294" s="5">
        <f t="shared" si="134"/>
        <v>-2.0955036289608781E-2</v>
      </c>
      <c r="T4294">
        <v>677.88</v>
      </c>
      <c r="U4294">
        <v>10</v>
      </c>
      <c r="V4294">
        <v>2023</v>
      </c>
      <c r="W4294">
        <v>4</v>
      </c>
      <c r="X4294" t="s">
        <v>9898</v>
      </c>
      <c r="Y4294" t="s">
        <v>9900</v>
      </c>
      <c r="Z4294" t="s">
        <v>9898</v>
      </c>
      <c r="AD4294">
        <f t="shared" si="135"/>
        <v>1</v>
      </c>
    </row>
    <row r="4295" spans="1:30" x14ac:dyDescent="0.25">
      <c r="A4295" t="s">
        <v>4319</v>
      </c>
      <c r="B4295" s="2">
        <v>44815</v>
      </c>
      <c r="C4295" s="2">
        <v>44818</v>
      </c>
      <c r="D4295" t="s">
        <v>5460</v>
      </c>
      <c r="E4295" t="s">
        <v>5960</v>
      </c>
      <c r="F4295" t="s">
        <v>6028</v>
      </c>
      <c r="G4295" t="s">
        <v>6030</v>
      </c>
      <c r="H4295" t="s">
        <v>6038</v>
      </c>
      <c r="I4295" t="s">
        <v>6051</v>
      </c>
      <c r="J4295" t="s">
        <v>6055</v>
      </c>
      <c r="K4295" t="s">
        <v>6061</v>
      </c>
      <c r="L4295" t="s">
        <v>9463</v>
      </c>
      <c r="M4295">
        <v>494.27</v>
      </c>
      <c r="N4295">
        <v>2</v>
      </c>
      <c r="O4295">
        <v>0.32</v>
      </c>
      <c r="P4295">
        <v>-22.8</v>
      </c>
      <c r="Q4295" t="s">
        <v>9896</v>
      </c>
      <c r="R4295">
        <v>3</v>
      </c>
      <c r="S4295" s="5">
        <f t="shared" si="134"/>
        <v>-4.6128634147328387E-2</v>
      </c>
      <c r="T4295">
        <v>247.13499999999999</v>
      </c>
      <c r="U4295">
        <v>9</v>
      </c>
      <c r="V4295">
        <v>2022</v>
      </c>
      <c r="W4295">
        <v>3</v>
      </c>
      <c r="X4295" t="s">
        <v>9898</v>
      </c>
      <c r="Y4295" t="s">
        <v>9902</v>
      </c>
      <c r="Z4295" t="s">
        <v>9899</v>
      </c>
      <c r="AD4295">
        <f t="shared" si="135"/>
        <v>3</v>
      </c>
    </row>
    <row r="4296" spans="1:30" x14ac:dyDescent="0.25">
      <c r="A4296" t="s">
        <v>4320</v>
      </c>
      <c r="B4296" s="2">
        <v>44707</v>
      </c>
      <c r="C4296" s="2">
        <v>44710</v>
      </c>
      <c r="D4296" t="s">
        <v>5467</v>
      </c>
      <c r="E4296" t="s">
        <v>5967</v>
      </c>
      <c r="F4296" t="s">
        <v>6027</v>
      </c>
      <c r="G4296" t="s">
        <v>6030</v>
      </c>
      <c r="H4296" t="s">
        <v>6038</v>
      </c>
      <c r="I4296" t="s">
        <v>6051</v>
      </c>
      <c r="J4296" t="s">
        <v>6055</v>
      </c>
      <c r="K4296" t="s">
        <v>6061</v>
      </c>
      <c r="L4296" t="s">
        <v>9464</v>
      </c>
      <c r="M4296">
        <v>1101.76</v>
      </c>
      <c r="N4296">
        <v>6</v>
      </c>
      <c r="O4296">
        <v>0.17</v>
      </c>
      <c r="P4296">
        <v>-10.29</v>
      </c>
      <c r="Q4296" t="s">
        <v>9897</v>
      </c>
      <c r="R4296">
        <v>3</v>
      </c>
      <c r="S4296" s="5">
        <f t="shared" si="134"/>
        <v>-9.3396020911995347E-3</v>
      </c>
      <c r="T4296">
        <v>183.62666666666669</v>
      </c>
      <c r="U4296">
        <v>5</v>
      </c>
      <c r="V4296">
        <v>2022</v>
      </c>
      <c r="W4296">
        <v>2</v>
      </c>
      <c r="X4296" t="s">
        <v>9898</v>
      </c>
      <c r="Y4296" t="s">
        <v>9900</v>
      </c>
      <c r="Z4296" t="s">
        <v>9898</v>
      </c>
      <c r="AD4296">
        <f t="shared" si="135"/>
        <v>3</v>
      </c>
    </row>
    <row r="4297" spans="1:30" x14ac:dyDescent="0.25">
      <c r="A4297" t="s">
        <v>4321</v>
      </c>
      <c r="B4297" s="2">
        <v>44609</v>
      </c>
      <c r="C4297" s="2">
        <v>44615</v>
      </c>
      <c r="D4297" t="s">
        <v>5120</v>
      </c>
      <c r="E4297" t="s">
        <v>5620</v>
      </c>
      <c r="F4297" t="s">
        <v>6027</v>
      </c>
      <c r="G4297" t="s">
        <v>6031</v>
      </c>
      <c r="H4297" t="s">
        <v>6043</v>
      </c>
      <c r="I4297" t="s">
        <v>6050</v>
      </c>
      <c r="J4297" t="s">
        <v>6054</v>
      </c>
      <c r="K4297" t="s">
        <v>6062</v>
      </c>
      <c r="L4297" t="s">
        <v>8753</v>
      </c>
      <c r="M4297">
        <v>1606.07</v>
      </c>
      <c r="N4297">
        <v>4</v>
      </c>
      <c r="O4297">
        <v>0.17</v>
      </c>
      <c r="P4297">
        <v>-83.34</v>
      </c>
      <c r="Q4297" t="s">
        <v>9897</v>
      </c>
      <c r="R4297">
        <v>6</v>
      </c>
      <c r="S4297" s="5">
        <f t="shared" si="134"/>
        <v>-5.1890639884936529E-2</v>
      </c>
      <c r="T4297">
        <v>401.51749999999998</v>
      </c>
      <c r="U4297">
        <v>2</v>
      </c>
      <c r="V4297">
        <v>2022</v>
      </c>
      <c r="W4297">
        <v>1</v>
      </c>
      <c r="X4297" t="s">
        <v>9898</v>
      </c>
      <c r="Y4297" t="s">
        <v>9900</v>
      </c>
      <c r="Z4297" t="s">
        <v>9898</v>
      </c>
      <c r="AD4297">
        <f t="shared" si="135"/>
        <v>6</v>
      </c>
    </row>
    <row r="4298" spans="1:30" x14ac:dyDescent="0.25">
      <c r="A4298" t="s">
        <v>4322</v>
      </c>
      <c r="B4298" s="2">
        <v>44778</v>
      </c>
      <c r="C4298" s="2">
        <v>44782</v>
      </c>
      <c r="D4298" t="s">
        <v>5211</v>
      </c>
      <c r="E4298" t="s">
        <v>5711</v>
      </c>
      <c r="F4298" t="s">
        <v>6026</v>
      </c>
      <c r="G4298" t="s">
        <v>6029</v>
      </c>
      <c r="H4298" t="s">
        <v>6041</v>
      </c>
      <c r="I4298" t="s">
        <v>6049</v>
      </c>
      <c r="J4298" t="s">
        <v>6055</v>
      </c>
      <c r="K4298" t="s">
        <v>6064</v>
      </c>
      <c r="L4298" t="s">
        <v>8587</v>
      </c>
      <c r="M4298">
        <v>1108</v>
      </c>
      <c r="N4298">
        <v>3</v>
      </c>
      <c r="O4298">
        <v>0.1</v>
      </c>
      <c r="P4298">
        <v>180.6</v>
      </c>
      <c r="Q4298" t="s">
        <v>9893</v>
      </c>
      <c r="R4298">
        <v>4</v>
      </c>
      <c r="S4298" s="5">
        <f t="shared" si="134"/>
        <v>0.16299638989169674</v>
      </c>
      <c r="T4298">
        <v>369.33333333333331</v>
      </c>
      <c r="U4298">
        <v>8</v>
      </c>
      <c r="V4298">
        <v>2022</v>
      </c>
      <c r="W4298">
        <v>3</v>
      </c>
      <c r="X4298" t="s">
        <v>9899</v>
      </c>
      <c r="Y4298" t="s">
        <v>9901</v>
      </c>
      <c r="Z4298" t="s">
        <v>9898</v>
      </c>
      <c r="AD4298">
        <f t="shared" si="135"/>
        <v>4</v>
      </c>
    </row>
    <row r="4299" spans="1:30" x14ac:dyDescent="0.25">
      <c r="A4299" t="s">
        <v>4323</v>
      </c>
      <c r="B4299" s="2">
        <v>44957</v>
      </c>
      <c r="C4299" s="2">
        <v>44961</v>
      </c>
      <c r="D4299" t="s">
        <v>5081</v>
      </c>
      <c r="E4299" t="s">
        <v>5581</v>
      </c>
      <c r="F4299" t="s">
        <v>6027</v>
      </c>
      <c r="G4299" t="s">
        <v>6030</v>
      </c>
      <c r="H4299" t="s">
        <v>6035</v>
      </c>
      <c r="I4299" t="s">
        <v>6047</v>
      </c>
      <c r="J4299" t="s">
        <v>6053</v>
      </c>
      <c r="K4299" t="s">
        <v>6057</v>
      </c>
      <c r="L4299" t="s">
        <v>9465</v>
      </c>
      <c r="M4299">
        <v>946.85</v>
      </c>
      <c r="N4299">
        <v>2</v>
      </c>
      <c r="O4299">
        <v>0.02</v>
      </c>
      <c r="P4299">
        <v>250.07</v>
      </c>
      <c r="Q4299" t="s">
        <v>9893</v>
      </c>
      <c r="R4299">
        <v>4</v>
      </c>
      <c r="S4299" s="5">
        <f t="shared" si="134"/>
        <v>0.26410730316311981</v>
      </c>
      <c r="T4299">
        <v>473.42500000000001</v>
      </c>
      <c r="U4299">
        <v>1</v>
      </c>
      <c r="V4299">
        <v>2023</v>
      </c>
      <c r="W4299">
        <v>1</v>
      </c>
      <c r="X4299" t="s">
        <v>9899</v>
      </c>
      <c r="Y4299" t="s">
        <v>9901</v>
      </c>
      <c r="Z4299" t="s">
        <v>9899</v>
      </c>
      <c r="AD4299">
        <f t="shared" si="135"/>
        <v>4</v>
      </c>
    </row>
    <row r="4300" spans="1:30" x14ac:dyDescent="0.25">
      <c r="A4300" t="s">
        <v>4324</v>
      </c>
      <c r="B4300" s="2">
        <v>45054</v>
      </c>
      <c r="C4300" s="2">
        <v>45060</v>
      </c>
      <c r="D4300" t="s">
        <v>5096</v>
      </c>
      <c r="E4300" t="s">
        <v>5596</v>
      </c>
      <c r="F4300" t="s">
        <v>6028</v>
      </c>
      <c r="G4300" t="s">
        <v>6031</v>
      </c>
      <c r="H4300" t="s">
        <v>6037</v>
      </c>
      <c r="I4300" t="s">
        <v>6048</v>
      </c>
      <c r="J4300" t="s">
        <v>6054</v>
      </c>
      <c r="K4300" t="s">
        <v>6059</v>
      </c>
      <c r="L4300" t="s">
        <v>9466</v>
      </c>
      <c r="M4300">
        <v>1179.71</v>
      </c>
      <c r="N4300">
        <v>7</v>
      </c>
      <c r="O4300">
        <v>0.31</v>
      </c>
      <c r="P4300">
        <v>-157.59</v>
      </c>
      <c r="Q4300" t="s">
        <v>9894</v>
      </c>
      <c r="R4300">
        <v>6</v>
      </c>
      <c r="S4300" s="5">
        <f t="shared" si="134"/>
        <v>-0.13358367734443211</v>
      </c>
      <c r="T4300">
        <v>168.53</v>
      </c>
      <c r="U4300">
        <v>5</v>
      </c>
      <c r="V4300">
        <v>2023</v>
      </c>
      <c r="W4300">
        <v>2</v>
      </c>
      <c r="X4300" t="s">
        <v>9898</v>
      </c>
      <c r="Y4300" t="s">
        <v>9902</v>
      </c>
      <c r="Z4300" t="s">
        <v>9898</v>
      </c>
      <c r="AD4300">
        <f t="shared" si="135"/>
        <v>6</v>
      </c>
    </row>
    <row r="4301" spans="1:30" x14ac:dyDescent="0.25">
      <c r="A4301" t="s">
        <v>4325</v>
      </c>
      <c r="B4301" s="2">
        <v>45413</v>
      </c>
      <c r="C4301" s="2">
        <v>45418</v>
      </c>
      <c r="D4301" t="s">
        <v>5207</v>
      </c>
      <c r="E4301" t="s">
        <v>5707</v>
      </c>
      <c r="F4301" t="s">
        <v>6028</v>
      </c>
      <c r="G4301" t="s">
        <v>6030</v>
      </c>
      <c r="H4301" t="s">
        <v>6035</v>
      </c>
      <c r="I4301" t="s">
        <v>6051</v>
      </c>
      <c r="J4301" t="s">
        <v>6055</v>
      </c>
      <c r="K4301" t="s">
        <v>6063</v>
      </c>
      <c r="L4301" t="s">
        <v>7772</v>
      </c>
      <c r="M4301">
        <v>1152.82</v>
      </c>
      <c r="N4301">
        <v>3</v>
      </c>
      <c r="O4301">
        <v>0.14000000000000001</v>
      </c>
      <c r="P4301">
        <v>73.040000000000006</v>
      </c>
      <c r="Q4301" t="s">
        <v>9896</v>
      </c>
      <c r="R4301">
        <v>5</v>
      </c>
      <c r="S4301" s="5">
        <f t="shared" si="134"/>
        <v>6.3357679429572711E-2</v>
      </c>
      <c r="T4301">
        <v>384.27333333333331</v>
      </c>
      <c r="U4301">
        <v>5</v>
      </c>
      <c r="V4301">
        <v>2024</v>
      </c>
      <c r="W4301">
        <v>2</v>
      </c>
      <c r="X4301" t="s">
        <v>9899</v>
      </c>
      <c r="Y4301" t="s">
        <v>9901</v>
      </c>
      <c r="Z4301" t="s">
        <v>9898</v>
      </c>
      <c r="AD4301">
        <f t="shared" si="135"/>
        <v>5</v>
      </c>
    </row>
    <row r="4302" spans="1:30" x14ac:dyDescent="0.25">
      <c r="A4302" t="s">
        <v>4326</v>
      </c>
      <c r="B4302" s="2">
        <v>45117</v>
      </c>
      <c r="C4302" s="2">
        <v>45118</v>
      </c>
      <c r="D4302" t="s">
        <v>5425</v>
      </c>
      <c r="E4302" t="s">
        <v>5925</v>
      </c>
      <c r="F4302" t="s">
        <v>6027</v>
      </c>
      <c r="G4302" t="s">
        <v>6030</v>
      </c>
      <c r="H4302" t="s">
        <v>6035</v>
      </c>
      <c r="I4302" t="s">
        <v>6051</v>
      </c>
      <c r="J4302" t="s">
        <v>6054</v>
      </c>
      <c r="K4302" t="s">
        <v>6060</v>
      </c>
      <c r="L4302" t="s">
        <v>9467</v>
      </c>
      <c r="M4302">
        <v>1098.1500000000001</v>
      </c>
      <c r="N4302">
        <v>8</v>
      </c>
      <c r="O4302">
        <v>0.27</v>
      </c>
      <c r="P4302">
        <v>-15.15</v>
      </c>
      <c r="Q4302" t="s">
        <v>9894</v>
      </c>
      <c r="R4302">
        <v>1</v>
      </c>
      <c r="S4302" s="5">
        <f t="shared" si="134"/>
        <v>-1.3795929517825432E-2</v>
      </c>
      <c r="T4302">
        <v>137.26875000000001</v>
      </c>
      <c r="U4302">
        <v>7</v>
      </c>
      <c r="V4302">
        <v>2023</v>
      </c>
      <c r="W4302">
        <v>3</v>
      </c>
      <c r="X4302" t="s">
        <v>9898</v>
      </c>
      <c r="Y4302" t="s">
        <v>9900</v>
      </c>
      <c r="Z4302" t="s">
        <v>9898</v>
      </c>
      <c r="AD4302">
        <f t="shared" si="135"/>
        <v>1</v>
      </c>
    </row>
    <row r="4303" spans="1:30" x14ac:dyDescent="0.25">
      <c r="A4303" t="s">
        <v>4327</v>
      </c>
      <c r="B4303" s="2">
        <v>44969</v>
      </c>
      <c r="C4303" s="2">
        <v>44974</v>
      </c>
      <c r="D4303" t="s">
        <v>5438</v>
      </c>
      <c r="E4303" t="s">
        <v>5938</v>
      </c>
      <c r="F4303" t="s">
        <v>6028</v>
      </c>
      <c r="G4303" t="s">
        <v>6030</v>
      </c>
      <c r="H4303" t="s">
        <v>6038</v>
      </c>
      <c r="I4303" t="s">
        <v>6047</v>
      </c>
      <c r="J4303" t="s">
        <v>6054</v>
      </c>
      <c r="K4303" t="s">
        <v>6062</v>
      </c>
      <c r="L4303" t="s">
        <v>9065</v>
      </c>
      <c r="M4303">
        <v>1580.35</v>
      </c>
      <c r="N4303">
        <v>5</v>
      </c>
      <c r="O4303">
        <v>0.26</v>
      </c>
      <c r="P4303">
        <v>-15.6</v>
      </c>
      <c r="Q4303" t="s">
        <v>9895</v>
      </c>
      <c r="R4303">
        <v>5</v>
      </c>
      <c r="S4303" s="5">
        <f t="shared" si="134"/>
        <v>-9.8712310564115554E-3</v>
      </c>
      <c r="T4303">
        <v>316.07</v>
      </c>
      <c r="U4303">
        <v>2</v>
      </c>
      <c r="V4303">
        <v>2023</v>
      </c>
      <c r="W4303">
        <v>1</v>
      </c>
      <c r="X4303" t="s">
        <v>9898</v>
      </c>
      <c r="Y4303" t="s">
        <v>9900</v>
      </c>
      <c r="Z4303" t="s">
        <v>9898</v>
      </c>
      <c r="AD4303">
        <f t="shared" si="135"/>
        <v>5</v>
      </c>
    </row>
    <row r="4304" spans="1:30" x14ac:dyDescent="0.25">
      <c r="A4304" t="s">
        <v>4328</v>
      </c>
      <c r="B4304" s="2">
        <v>45209</v>
      </c>
      <c r="C4304" s="2">
        <v>45216</v>
      </c>
      <c r="D4304" t="s">
        <v>5080</v>
      </c>
      <c r="E4304" t="s">
        <v>5580</v>
      </c>
      <c r="F4304" t="s">
        <v>6028</v>
      </c>
      <c r="G4304" t="s">
        <v>6030</v>
      </c>
      <c r="H4304" t="s">
        <v>6033</v>
      </c>
      <c r="I4304" t="s">
        <v>6051</v>
      </c>
      <c r="J4304" t="s">
        <v>6054</v>
      </c>
      <c r="K4304" t="s">
        <v>6062</v>
      </c>
      <c r="L4304" t="s">
        <v>7259</v>
      </c>
      <c r="M4304">
        <v>789.84</v>
      </c>
      <c r="N4304">
        <v>3</v>
      </c>
      <c r="O4304">
        <v>7.0000000000000007E-2</v>
      </c>
      <c r="P4304">
        <v>134.77000000000001</v>
      </c>
      <c r="Q4304" t="s">
        <v>9895</v>
      </c>
      <c r="R4304">
        <v>7</v>
      </c>
      <c r="S4304" s="5">
        <f t="shared" si="134"/>
        <v>0.17062949458118101</v>
      </c>
      <c r="T4304">
        <v>263.27999999999997</v>
      </c>
      <c r="U4304">
        <v>10</v>
      </c>
      <c r="V4304">
        <v>2023</v>
      </c>
      <c r="W4304">
        <v>4</v>
      </c>
      <c r="X4304" t="s">
        <v>9899</v>
      </c>
      <c r="Y4304" t="s">
        <v>9901</v>
      </c>
      <c r="Z4304" t="s">
        <v>9899</v>
      </c>
      <c r="AD4304">
        <f t="shared" si="135"/>
        <v>7</v>
      </c>
    </row>
    <row r="4305" spans="1:30" x14ac:dyDescent="0.25">
      <c r="A4305" t="s">
        <v>4329</v>
      </c>
      <c r="B4305" s="2">
        <v>45327</v>
      </c>
      <c r="C4305" s="2">
        <v>45330</v>
      </c>
      <c r="D4305" t="s">
        <v>5415</v>
      </c>
      <c r="E4305" t="s">
        <v>5915</v>
      </c>
      <c r="F4305" t="s">
        <v>6026</v>
      </c>
      <c r="G4305" t="s">
        <v>6029</v>
      </c>
      <c r="H4305" t="s">
        <v>6044</v>
      </c>
      <c r="I4305" t="s">
        <v>6046</v>
      </c>
      <c r="J4305" t="s">
        <v>6053</v>
      </c>
      <c r="K4305" t="s">
        <v>6056</v>
      </c>
      <c r="L4305" t="s">
        <v>9468</v>
      </c>
      <c r="M4305">
        <v>1841.8</v>
      </c>
      <c r="N4305">
        <v>6</v>
      </c>
      <c r="O4305">
        <v>0.22</v>
      </c>
      <c r="P4305">
        <v>96.48</v>
      </c>
      <c r="Q4305" t="s">
        <v>9894</v>
      </c>
      <c r="R4305">
        <v>3</v>
      </c>
      <c r="S4305" s="5">
        <f t="shared" si="134"/>
        <v>5.2383537843414055E-2</v>
      </c>
      <c r="T4305">
        <v>306.96666666666658</v>
      </c>
      <c r="U4305">
        <v>2</v>
      </c>
      <c r="V4305">
        <v>2024</v>
      </c>
      <c r="W4305">
        <v>1</v>
      </c>
      <c r="X4305" t="s">
        <v>9899</v>
      </c>
      <c r="Y4305" t="s">
        <v>9900</v>
      </c>
      <c r="Z4305" t="s">
        <v>9898</v>
      </c>
      <c r="AD4305">
        <f t="shared" si="135"/>
        <v>3</v>
      </c>
    </row>
    <row r="4306" spans="1:30" x14ac:dyDescent="0.25">
      <c r="A4306" t="s">
        <v>4330</v>
      </c>
      <c r="B4306" s="2">
        <v>44902</v>
      </c>
      <c r="C4306" s="2">
        <v>44908</v>
      </c>
      <c r="D4306" t="s">
        <v>5122</v>
      </c>
      <c r="E4306" t="s">
        <v>5622</v>
      </c>
      <c r="F4306" t="s">
        <v>6027</v>
      </c>
      <c r="G4306" t="s">
        <v>6029</v>
      </c>
      <c r="H4306" t="s">
        <v>6032</v>
      </c>
      <c r="I4306" t="s">
        <v>6046</v>
      </c>
      <c r="J4306" t="s">
        <v>6054</v>
      </c>
      <c r="K4306" t="s">
        <v>6060</v>
      </c>
      <c r="L4306" t="s">
        <v>8361</v>
      </c>
      <c r="M4306">
        <v>1450.74</v>
      </c>
      <c r="N4306">
        <v>4</v>
      </c>
      <c r="O4306">
        <v>0.24</v>
      </c>
      <c r="P4306">
        <v>55.98</v>
      </c>
      <c r="Q4306" t="s">
        <v>9896</v>
      </c>
      <c r="R4306">
        <v>6</v>
      </c>
      <c r="S4306" s="5">
        <f t="shared" si="134"/>
        <v>3.8587203771868146E-2</v>
      </c>
      <c r="T4306">
        <v>362.685</v>
      </c>
      <c r="U4306">
        <v>12</v>
      </c>
      <c r="V4306">
        <v>2022</v>
      </c>
      <c r="W4306">
        <v>4</v>
      </c>
      <c r="X4306" t="s">
        <v>9899</v>
      </c>
      <c r="Y4306" t="s">
        <v>9900</v>
      </c>
      <c r="Z4306" t="s">
        <v>9898</v>
      </c>
      <c r="AD4306">
        <f t="shared" si="135"/>
        <v>6</v>
      </c>
    </row>
    <row r="4307" spans="1:30" x14ac:dyDescent="0.25">
      <c r="A4307" t="s">
        <v>4331</v>
      </c>
      <c r="B4307" s="2">
        <v>44877</v>
      </c>
      <c r="C4307" s="2">
        <v>44880</v>
      </c>
      <c r="D4307" t="s">
        <v>5095</v>
      </c>
      <c r="E4307" t="s">
        <v>5595</v>
      </c>
      <c r="F4307" t="s">
        <v>6027</v>
      </c>
      <c r="G4307" t="s">
        <v>6030</v>
      </c>
      <c r="H4307" t="s">
        <v>6038</v>
      </c>
      <c r="I4307" t="s">
        <v>6051</v>
      </c>
      <c r="J4307" t="s">
        <v>6053</v>
      </c>
      <c r="K4307" t="s">
        <v>6058</v>
      </c>
      <c r="L4307" t="s">
        <v>9469</v>
      </c>
      <c r="M4307">
        <v>661.4</v>
      </c>
      <c r="N4307">
        <v>5</v>
      </c>
      <c r="O4307">
        <v>0.06</v>
      </c>
      <c r="P4307">
        <v>85.89</v>
      </c>
      <c r="Q4307" t="s">
        <v>9896</v>
      </c>
      <c r="R4307">
        <v>3</v>
      </c>
      <c r="S4307" s="5">
        <f t="shared" si="134"/>
        <v>0.12986090111883883</v>
      </c>
      <c r="T4307">
        <v>132.28</v>
      </c>
      <c r="U4307">
        <v>11</v>
      </c>
      <c r="V4307">
        <v>2022</v>
      </c>
      <c r="W4307">
        <v>4</v>
      </c>
      <c r="X4307" t="s">
        <v>9899</v>
      </c>
      <c r="Y4307" t="s">
        <v>9901</v>
      </c>
      <c r="Z4307" t="s">
        <v>9899</v>
      </c>
      <c r="AD4307">
        <f t="shared" si="135"/>
        <v>3</v>
      </c>
    </row>
    <row r="4308" spans="1:30" x14ac:dyDescent="0.25">
      <c r="A4308" t="s">
        <v>4332</v>
      </c>
      <c r="B4308" s="2">
        <v>44568</v>
      </c>
      <c r="C4308" s="2">
        <v>44570</v>
      </c>
      <c r="D4308" t="s">
        <v>5214</v>
      </c>
      <c r="E4308" t="s">
        <v>5714</v>
      </c>
      <c r="F4308" t="s">
        <v>6026</v>
      </c>
      <c r="G4308" t="s">
        <v>6030</v>
      </c>
      <c r="H4308" t="s">
        <v>6035</v>
      </c>
      <c r="I4308" t="s">
        <v>6047</v>
      </c>
      <c r="J4308" t="s">
        <v>6054</v>
      </c>
      <c r="K4308" t="s">
        <v>6059</v>
      </c>
      <c r="L4308" t="s">
        <v>9470</v>
      </c>
      <c r="M4308">
        <v>1506.8</v>
      </c>
      <c r="N4308">
        <v>4</v>
      </c>
      <c r="O4308">
        <v>0.1</v>
      </c>
      <c r="P4308">
        <v>94.86</v>
      </c>
      <c r="Q4308" t="s">
        <v>9896</v>
      </c>
      <c r="R4308">
        <v>2</v>
      </c>
      <c r="S4308" s="5">
        <f t="shared" si="134"/>
        <v>6.2954605787098494E-2</v>
      </c>
      <c r="T4308">
        <v>376.7</v>
      </c>
      <c r="U4308">
        <v>1</v>
      </c>
      <c r="V4308">
        <v>2022</v>
      </c>
      <c r="W4308">
        <v>1</v>
      </c>
      <c r="X4308" t="s">
        <v>9899</v>
      </c>
      <c r="Y4308" t="s">
        <v>9901</v>
      </c>
      <c r="Z4308" t="s">
        <v>9898</v>
      </c>
      <c r="AD4308">
        <f t="shared" si="135"/>
        <v>2</v>
      </c>
    </row>
    <row r="4309" spans="1:30" x14ac:dyDescent="0.25">
      <c r="A4309" t="s">
        <v>4333</v>
      </c>
      <c r="B4309" s="2">
        <v>45298</v>
      </c>
      <c r="C4309" s="2">
        <v>45301</v>
      </c>
      <c r="D4309" t="s">
        <v>5124</v>
      </c>
      <c r="E4309" t="s">
        <v>5624</v>
      </c>
      <c r="F4309" t="s">
        <v>6028</v>
      </c>
      <c r="G4309" t="s">
        <v>6030</v>
      </c>
      <c r="H4309" t="s">
        <v>6033</v>
      </c>
      <c r="I4309" t="s">
        <v>6051</v>
      </c>
      <c r="J4309" t="s">
        <v>6055</v>
      </c>
      <c r="K4309" t="s">
        <v>6063</v>
      </c>
      <c r="L4309" t="s">
        <v>6875</v>
      </c>
      <c r="M4309">
        <v>1162.08</v>
      </c>
      <c r="N4309">
        <v>5</v>
      </c>
      <c r="O4309">
        <v>0.27</v>
      </c>
      <c r="P4309">
        <v>-166.93</v>
      </c>
      <c r="Q4309" t="s">
        <v>9893</v>
      </c>
      <c r="R4309">
        <v>3</v>
      </c>
      <c r="S4309" s="5">
        <f t="shared" si="134"/>
        <v>-0.14364759741153796</v>
      </c>
      <c r="T4309">
        <v>232.416</v>
      </c>
      <c r="U4309">
        <v>1</v>
      </c>
      <c r="V4309">
        <v>2024</v>
      </c>
      <c r="W4309">
        <v>1</v>
      </c>
      <c r="X4309" t="s">
        <v>9898</v>
      </c>
      <c r="Y4309" t="s">
        <v>9900</v>
      </c>
      <c r="Z4309" t="s">
        <v>9898</v>
      </c>
      <c r="AD4309">
        <f t="shared" si="135"/>
        <v>3</v>
      </c>
    </row>
    <row r="4310" spans="1:30" x14ac:dyDescent="0.25">
      <c r="A4310" t="s">
        <v>4334</v>
      </c>
      <c r="B4310" s="2">
        <v>44707</v>
      </c>
      <c r="C4310" s="2">
        <v>44714</v>
      </c>
      <c r="D4310" t="s">
        <v>5297</v>
      </c>
      <c r="E4310" t="s">
        <v>5797</v>
      </c>
      <c r="F4310" t="s">
        <v>6027</v>
      </c>
      <c r="G4310" t="s">
        <v>6030</v>
      </c>
      <c r="H4310" t="s">
        <v>6035</v>
      </c>
      <c r="I4310" t="s">
        <v>6047</v>
      </c>
      <c r="J4310" t="s">
        <v>6053</v>
      </c>
      <c r="K4310" t="s">
        <v>6057</v>
      </c>
      <c r="L4310" t="s">
        <v>6700</v>
      </c>
      <c r="M4310">
        <v>873.93</v>
      </c>
      <c r="N4310">
        <v>6</v>
      </c>
      <c r="O4310">
        <v>0.18</v>
      </c>
      <c r="P4310">
        <v>78.17</v>
      </c>
      <c r="Q4310" t="s">
        <v>9893</v>
      </c>
      <c r="R4310">
        <v>7</v>
      </c>
      <c r="S4310" s="5">
        <f t="shared" si="134"/>
        <v>8.9446523176913484E-2</v>
      </c>
      <c r="T4310">
        <v>145.655</v>
      </c>
      <c r="U4310">
        <v>5</v>
      </c>
      <c r="V4310">
        <v>2022</v>
      </c>
      <c r="W4310">
        <v>2</v>
      </c>
      <c r="X4310" t="s">
        <v>9899</v>
      </c>
      <c r="Y4310" t="s">
        <v>9900</v>
      </c>
      <c r="Z4310" t="s">
        <v>9899</v>
      </c>
      <c r="AD4310">
        <f t="shared" si="135"/>
        <v>7</v>
      </c>
    </row>
    <row r="4311" spans="1:30" x14ac:dyDescent="0.25">
      <c r="A4311" t="s">
        <v>4335</v>
      </c>
      <c r="B4311" s="2">
        <v>45056</v>
      </c>
      <c r="C4311" s="2">
        <v>45063</v>
      </c>
      <c r="D4311" t="s">
        <v>5403</v>
      </c>
      <c r="E4311" t="s">
        <v>5903</v>
      </c>
      <c r="F4311" t="s">
        <v>6026</v>
      </c>
      <c r="G4311" t="s">
        <v>6031</v>
      </c>
      <c r="H4311" t="s">
        <v>6040</v>
      </c>
      <c r="I4311" t="s">
        <v>6048</v>
      </c>
      <c r="J4311" t="s">
        <v>6053</v>
      </c>
      <c r="K4311" t="s">
        <v>6057</v>
      </c>
      <c r="L4311" t="s">
        <v>6758</v>
      </c>
      <c r="M4311">
        <v>1655.75</v>
      </c>
      <c r="N4311">
        <v>3</v>
      </c>
      <c r="O4311">
        <v>0.18</v>
      </c>
      <c r="P4311">
        <v>58.79</v>
      </c>
      <c r="Q4311" t="s">
        <v>9894</v>
      </c>
      <c r="R4311">
        <v>7</v>
      </c>
      <c r="S4311" s="5">
        <f t="shared" si="134"/>
        <v>3.55065680205345E-2</v>
      </c>
      <c r="T4311">
        <v>551.91666666666663</v>
      </c>
      <c r="U4311">
        <v>5</v>
      </c>
      <c r="V4311">
        <v>2023</v>
      </c>
      <c r="W4311">
        <v>2</v>
      </c>
      <c r="X4311" t="s">
        <v>9899</v>
      </c>
      <c r="Y4311" t="s">
        <v>9900</v>
      </c>
      <c r="Z4311" t="s">
        <v>9898</v>
      </c>
      <c r="AD4311">
        <f t="shared" si="135"/>
        <v>7</v>
      </c>
    </row>
    <row r="4312" spans="1:30" x14ac:dyDescent="0.25">
      <c r="A4312" t="s">
        <v>4336</v>
      </c>
      <c r="B4312" s="2">
        <v>45227</v>
      </c>
      <c r="C4312" s="2">
        <v>45228</v>
      </c>
      <c r="D4312" t="s">
        <v>5495</v>
      </c>
      <c r="E4312" t="s">
        <v>5995</v>
      </c>
      <c r="F4312" t="s">
        <v>6027</v>
      </c>
      <c r="G4312" t="s">
        <v>6031</v>
      </c>
      <c r="H4312" t="s">
        <v>6042</v>
      </c>
      <c r="I4312" t="s">
        <v>6050</v>
      </c>
      <c r="J4312" t="s">
        <v>6055</v>
      </c>
      <c r="K4312" t="s">
        <v>6064</v>
      </c>
      <c r="L4312" t="s">
        <v>9471</v>
      </c>
      <c r="M4312">
        <v>262.88</v>
      </c>
      <c r="N4312">
        <v>2</v>
      </c>
      <c r="O4312">
        <v>0.3</v>
      </c>
      <c r="P4312">
        <v>-50.49</v>
      </c>
      <c r="Q4312" t="s">
        <v>9895</v>
      </c>
      <c r="R4312">
        <v>1</v>
      </c>
      <c r="S4312" s="5">
        <f t="shared" si="134"/>
        <v>-0.19206482045039563</v>
      </c>
      <c r="T4312">
        <v>131.44</v>
      </c>
      <c r="U4312">
        <v>10</v>
      </c>
      <c r="V4312">
        <v>2023</v>
      </c>
      <c r="W4312">
        <v>4</v>
      </c>
      <c r="X4312" t="s">
        <v>9898</v>
      </c>
      <c r="Y4312" t="s">
        <v>9900</v>
      </c>
      <c r="Z4312" t="s">
        <v>9899</v>
      </c>
      <c r="AD4312">
        <f t="shared" si="135"/>
        <v>1</v>
      </c>
    </row>
    <row r="4313" spans="1:30" x14ac:dyDescent="0.25">
      <c r="A4313" t="s">
        <v>4337</v>
      </c>
      <c r="B4313" s="2">
        <v>44910</v>
      </c>
      <c r="C4313" s="2">
        <v>44911</v>
      </c>
      <c r="D4313" t="s">
        <v>5165</v>
      </c>
      <c r="E4313" t="s">
        <v>5665</v>
      </c>
      <c r="F4313" t="s">
        <v>6027</v>
      </c>
      <c r="G4313" t="s">
        <v>6031</v>
      </c>
      <c r="H4313" t="s">
        <v>6042</v>
      </c>
      <c r="I4313" t="s">
        <v>6052</v>
      </c>
      <c r="J4313" t="s">
        <v>6055</v>
      </c>
      <c r="K4313" t="s">
        <v>6061</v>
      </c>
      <c r="L4313" t="s">
        <v>6903</v>
      </c>
      <c r="M4313">
        <v>1133.23</v>
      </c>
      <c r="N4313">
        <v>4</v>
      </c>
      <c r="O4313">
        <v>0.1</v>
      </c>
      <c r="P4313">
        <v>96.38</v>
      </c>
      <c r="Q4313" t="s">
        <v>9894</v>
      </c>
      <c r="R4313">
        <v>1</v>
      </c>
      <c r="S4313" s="5">
        <f t="shared" si="134"/>
        <v>8.5048930931937911E-2</v>
      </c>
      <c r="T4313">
        <v>283.3075</v>
      </c>
      <c r="U4313">
        <v>12</v>
      </c>
      <c r="V4313">
        <v>2022</v>
      </c>
      <c r="W4313">
        <v>4</v>
      </c>
      <c r="X4313" t="s">
        <v>9899</v>
      </c>
      <c r="Y4313" t="s">
        <v>9901</v>
      </c>
      <c r="Z4313" t="s">
        <v>9898</v>
      </c>
      <c r="AD4313">
        <f t="shared" si="135"/>
        <v>1</v>
      </c>
    </row>
    <row r="4314" spans="1:30" x14ac:dyDescent="0.25">
      <c r="A4314" t="s">
        <v>4338</v>
      </c>
      <c r="B4314" s="2">
        <v>45328</v>
      </c>
      <c r="C4314" s="2">
        <v>45330</v>
      </c>
      <c r="D4314" t="s">
        <v>5202</v>
      </c>
      <c r="E4314" t="s">
        <v>5702</v>
      </c>
      <c r="F4314" t="s">
        <v>6028</v>
      </c>
      <c r="G4314" t="s">
        <v>6031</v>
      </c>
      <c r="H4314" t="s">
        <v>6043</v>
      </c>
      <c r="I4314" t="s">
        <v>6052</v>
      </c>
      <c r="J4314" t="s">
        <v>6055</v>
      </c>
      <c r="K4314" t="s">
        <v>6061</v>
      </c>
      <c r="L4314" t="s">
        <v>9472</v>
      </c>
      <c r="M4314">
        <v>1464.97</v>
      </c>
      <c r="N4314">
        <v>1</v>
      </c>
      <c r="O4314">
        <v>0.28000000000000003</v>
      </c>
      <c r="P4314">
        <v>-114.54</v>
      </c>
      <c r="Q4314" t="s">
        <v>9897</v>
      </c>
      <c r="R4314">
        <v>2</v>
      </c>
      <c r="S4314" s="5">
        <f t="shared" si="134"/>
        <v>-7.8185901417776482E-2</v>
      </c>
      <c r="T4314">
        <v>1464.97</v>
      </c>
      <c r="U4314">
        <v>2</v>
      </c>
      <c r="V4314">
        <v>2024</v>
      </c>
      <c r="W4314">
        <v>1</v>
      </c>
      <c r="X4314" t="s">
        <v>9898</v>
      </c>
      <c r="Y4314" t="s">
        <v>9900</v>
      </c>
      <c r="Z4314" t="s">
        <v>9898</v>
      </c>
      <c r="AD4314">
        <f t="shared" si="135"/>
        <v>2</v>
      </c>
    </row>
    <row r="4315" spans="1:30" x14ac:dyDescent="0.25">
      <c r="A4315" t="s">
        <v>4339</v>
      </c>
      <c r="B4315" s="2">
        <v>45009</v>
      </c>
      <c r="C4315" s="2">
        <v>45010</v>
      </c>
      <c r="D4315" t="s">
        <v>5210</v>
      </c>
      <c r="E4315" t="s">
        <v>5710</v>
      </c>
      <c r="F4315" t="s">
        <v>6027</v>
      </c>
      <c r="G4315" t="s">
        <v>6030</v>
      </c>
      <c r="H4315" t="s">
        <v>6038</v>
      </c>
      <c r="I4315" t="s">
        <v>6051</v>
      </c>
      <c r="J4315" t="s">
        <v>6053</v>
      </c>
      <c r="K4315" t="s">
        <v>6057</v>
      </c>
      <c r="L4315" t="s">
        <v>9365</v>
      </c>
      <c r="M4315">
        <v>1381.41</v>
      </c>
      <c r="N4315">
        <v>5</v>
      </c>
      <c r="O4315">
        <v>0.15</v>
      </c>
      <c r="P4315">
        <v>182.41</v>
      </c>
      <c r="Q4315" t="s">
        <v>9893</v>
      </c>
      <c r="R4315">
        <v>1</v>
      </c>
      <c r="S4315" s="5">
        <f t="shared" si="134"/>
        <v>0.13204624260719119</v>
      </c>
      <c r="T4315">
        <v>276.28199999999998</v>
      </c>
      <c r="U4315">
        <v>3</v>
      </c>
      <c r="V4315">
        <v>2023</v>
      </c>
      <c r="W4315">
        <v>1</v>
      </c>
      <c r="X4315" t="s">
        <v>9899</v>
      </c>
      <c r="Y4315" t="s">
        <v>9901</v>
      </c>
      <c r="Z4315" t="s">
        <v>9898</v>
      </c>
      <c r="AD4315">
        <f t="shared" si="135"/>
        <v>1</v>
      </c>
    </row>
    <row r="4316" spans="1:30" x14ac:dyDescent="0.25">
      <c r="A4316" t="s">
        <v>4340</v>
      </c>
      <c r="B4316" s="2">
        <v>45281</v>
      </c>
      <c r="C4316" s="2">
        <v>45282</v>
      </c>
      <c r="D4316" t="s">
        <v>5200</v>
      </c>
      <c r="E4316" t="s">
        <v>5700</v>
      </c>
      <c r="F4316" t="s">
        <v>6026</v>
      </c>
      <c r="G4316" t="s">
        <v>6029</v>
      </c>
      <c r="H4316" t="s">
        <v>6041</v>
      </c>
      <c r="I4316" t="s">
        <v>6046</v>
      </c>
      <c r="J4316" t="s">
        <v>6053</v>
      </c>
      <c r="K4316" t="s">
        <v>6057</v>
      </c>
      <c r="L4316" t="s">
        <v>9216</v>
      </c>
      <c r="M4316">
        <v>370.91</v>
      </c>
      <c r="N4316">
        <v>2</v>
      </c>
      <c r="O4316">
        <v>0.26</v>
      </c>
      <c r="P4316">
        <v>6.71</v>
      </c>
      <c r="Q4316" t="s">
        <v>9893</v>
      </c>
      <c r="R4316">
        <v>1</v>
      </c>
      <c r="S4316" s="5">
        <f t="shared" si="134"/>
        <v>1.809064193470114E-2</v>
      </c>
      <c r="T4316">
        <v>185.45500000000001</v>
      </c>
      <c r="U4316">
        <v>12</v>
      </c>
      <c r="V4316">
        <v>2023</v>
      </c>
      <c r="W4316">
        <v>4</v>
      </c>
      <c r="X4316" t="s">
        <v>9899</v>
      </c>
      <c r="Y4316" t="s">
        <v>9900</v>
      </c>
      <c r="Z4316" t="s">
        <v>9899</v>
      </c>
      <c r="AD4316">
        <f t="shared" si="135"/>
        <v>1</v>
      </c>
    </row>
    <row r="4317" spans="1:30" x14ac:dyDescent="0.25">
      <c r="A4317" t="s">
        <v>4341</v>
      </c>
      <c r="B4317" s="2">
        <v>45396</v>
      </c>
      <c r="C4317" s="2">
        <v>45403</v>
      </c>
      <c r="D4317" t="s">
        <v>5203</v>
      </c>
      <c r="E4317" t="s">
        <v>5703</v>
      </c>
      <c r="F4317" t="s">
        <v>6028</v>
      </c>
      <c r="G4317" t="s">
        <v>6029</v>
      </c>
      <c r="H4317" t="s">
        <v>6032</v>
      </c>
      <c r="I4317" t="s">
        <v>6049</v>
      </c>
      <c r="J4317" t="s">
        <v>6053</v>
      </c>
      <c r="K4317" t="s">
        <v>6058</v>
      </c>
      <c r="L4317" t="s">
        <v>9473</v>
      </c>
      <c r="M4317">
        <v>1430.37</v>
      </c>
      <c r="N4317">
        <v>1</v>
      </c>
      <c r="O4317">
        <v>0.33</v>
      </c>
      <c r="P4317">
        <v>-237.46</v>
      </c>
      <c r="Q4317" t="s">
        <v>9896</v>
      </c>
      <c r="R4317">
        <v>7</v>
      </c>
      <c r="S4317" s="5">
        <f t="shared" si="134"/>
        <v>-0.16601298964603567</v>
      </c>
      <c r="T4317">
        <v>1430.37</v>
      </c>
      <c r="U4317">
        <v>4</v>
      </c>
      <c r="V4317">
        <v>2024</v>
      </c>
      <c r="W4317">
        <v>2</v>
      </c>
      <c r="X4317" t="s">
        <v>9898</v>
      </c>
      <c r="Y4317" t="s">
        <v>9902</v>
      </c>
      <c r="Z4317" t="s">
        <v>9898</v>
      </c>
      <c r="AD4317">
        <f t="shared" si="135"/>
        <v>7</v>
      </c>
    </row>
    <row r="4318" spans="1:30" x14ac:dyDescent="0.25">
      <c r="A4318" t="s">
        <v>4342</v>
      </c>
      <c r="B4318" s="2">
        <v>45382</v>
      </c>
      <c r="C4318" s="2">
        <v>45383</v>
      </c>
      <c r="D4318" t="s">
        <v>5057</v>
      </c>
      <c r="E4318" t="s">
        <v>5557</v>
      </c>
      <c r="F4318" t="s">
        <v>6027</v>
      </c>
      <c r="G4318" t="s">
        <v>6030</v>
      </c>
      <c r="H4318" t="s">
        <v>6035</v>
      </c>
      <c r="I4318" t="s">
        <v>6047</v>
      </c>
      <c r="J4318" t="s">
        <v>6054</v>
      </c>
      <c r="K4318" t="s">
        <v>6059</v>
      </c>
      <c r="L4318" t="s">
        <v>9474</v>
      </c>
      <c r="M4318">
        <v>1633.23</v>
      </c>
      <c r="N4318">
        <v>4</v>
      </c>
      <c r="O4318">
        <v>0.09</v>
      </c>
      <c r="P4318">
        <v>216.93</v>
      </c>
      <c r="Q4318" t="s">
        <v>9897</v>
      </c>
      <c r="R4318">
        <v>1</v>
      </c>
      <c r="S4318" s="5">
        <f t="shared" si="134"/>
        <v>0.13282268878235154</v>
      </c>
      <c r="T4318">
        <v>408.3075</v>
      </c>
      <c r="U4318">
        <v>3</v>
      </c>
      <c r="V4318">
        <v>2024</v>
      </c>
      <c r="W4318">
        <v>1</v>
      </c>
      <c r="X4318" t="s">
        <v>9899</v>
      </c>
      <c r="Y4318" t="s">
        <v>9901</v>
      </c>
      <c r="Z4318" t="s">
        <v>9898</v>
      </c>
      <c r="AD4318">
        <f t="shared" si="135"/>
        <v>1</v>
      </c>
    </row>
    <row r="4319" spans="1:30" x14ac:dyDescent="0.25">
      <c r="A4319" t="s">
        <v>4343</v>
      </c>
      <c r="B4319" s="2">
        <v>45306</v>
      </c>
      <c r="C4319" s="2">
        <v>45311</v>
      </c>
      <c r="D4319" t="s">
        <v>5412</v>
      </c>
      <c r="E4319" t="s">
        <v>5912</v>
      </c>
      <c r="F4319" t="s">
        <v>6026</v>
      </c>
      <c r="G4319" t="s">
        <v>6029</v>
      </c>
      <c r="H4319" t="s">
        <v>6044</v>
      </c>
      <c r="I4319" t="s">
        <v>6049</v>
      </c>
      <c r="J4319" t="s">
        <v>6054</v>
      </c>
      <c r="K4319" t="s">
        <v>6059</v>
      </c>
      <c r="L4319" t="s">
        <v>7931</v>
      </c>
      <c r="M4319">
        <v>1436.61</v>
      </c>
      <c r="N4319">
        <v>5</v>
      </c>
      <c r="O4319">
        <v>0.09</v>
      </c>
      <c r="P4319">
        <v>18.350000000000001</v>
      </c>
      <c r="Q4319" t="s">
        <v>9894</v>
      </c>
      <c r="R4319">
        <v>5</v>
      </c>
      <c r="S4319" s="5">
        <f t="shared" si="134"/>
        <v>1.2773125622124308E-2</v>
      </c>
      <c r="T4319">
        <v>287.322</v>
      </c>
      <c r="U4319">
        <v>1</v>
      </c>
      <c r="V4319">
        <v>2024</v>
      </c>
      <c r="W4319">
        <v>1</v>
      </c>
      <c r="X4319" t="s">
        <v>9899</v>
      </c>
      <c r="Y4319" t="s">
        <v>9901</v>
      </c>
      <c r="Z4319" t="s">
        <v>9898</v>
      </c>
      <c r="AD4319">
        <f t="shared" si="135"/>
        <v>5</v>
      </c>
    </row>
    <row r="4320" spans="1:30" x14ac:dyDescent="0.25">
      <c r="A4320" t="s">
        <v>4344</v>
      </c>
      <c r="B4320" s="2">
        <v>44687</v>
      </c>
      <c r="C4320" s="2">
        <v>44694</v>
      </c>
      <c r="D4320" t="s">
        <v>5222</v>
      </c>
      <c r="E4320" t="s">
        <v>5722</v>
      </c>
      <c r="F4320" t="s">
        <v>6026</v>
      </c>
      <c r="G4320" t="s">
        <v>6030</v>
      </c>
      <c r="H4320" t="s">
        <v>6033</v>
      </c>
      <c r="I4320" t="s">
        <v>6051</v>
      </c>
      <c r="J4320" t="s">
        <v>6054</v>
      </c>
      <c r="K4320" t="s">
        <v>6062</v>
      </c>
      <c r="L4320" t="s">
        <v>9475</v>
      </c>
      <c r="M4320">
        <v>1507.12</v>
      </c>
      <c r="N4320">
        <v>8</v>
      </c>
      <c r="O4320">
        <v>0.19</v>
      </c>
      <c r="P4320">
        <v>73.39</v>
      </c>
      <c r="Q4320" t="s">
        <v>9897</v>
      </c>
      <c r="R4320">
        <v>7</v>
      </c>
      <c r="S4320" s="5">
        <f t="shared" si="134"/>
        <v>4.8695525240193223E-2</v>
      </c>
      <c r="T4320">
        <v>188.39</v>
      </c>
      <c r="U4320">
        <v>5</v>
      </c>
      <c r="V4320">
        <v>2022</v>
      </c>
      <c r="W4320">
        <v>2</v>
      </c>
      <c r="X4320" t="s">
        <v>9899</v>
      </c>
      <c r="Y4320" t="s">
        <v>9900</v>
      </c>
      <c r="Z4320" t="s">
        <v>9898</v>
      </c>
      <c r="AD4320">
        <f t="shared" si="135"/>
        <v>7</v>
      </c>
    </row>
    <row r="4321" spans="1:30" x14ac:dyDescent="0.25">
      <c r="A4321" t="s">
        <v>4345</v>
      </c>
      <c r="B4321" s="2">
        <v>44795</v>
      </c>
      <c r="C4321" s="2">
        <v>44798</v>
      </c>
      <c r="D4321" t="s">
        <v>5091</v>
      </c>
      <c r="E4321" t="s">
        <v>5591</v>
      </c>
      <c r="F4321" t="s">
        <v>6027</v>
      </c>
      <c r="G4321" t="s">
        <v>6030</v>
      </c>
      <c r="H4321" t="s">
        <v>6039</v>
      </c>
      <c r="I4321" t="s">
        <v>6047</v>
      </c>
      <c r="J4321" t="s">
        <v>6054</v>
      </c>
      <c r="K4321" t="s">
        <v>6059</v>
      </c>
      <c r="L4321" t="s">
        <v>7805</v>
      </c>
      <c r="M4321">
        <v>1876.69</v>
      </c>
      <c r="N4321">
        <v>2</v>
      </c>
      <c r="O4321">
        <v>0.16</v>
      </c>
      <c r="P4321">
        <v>198.95</v>
      </c>
      <c r="Q4321" t="s">
        <v>9897</v>
      </c>
      <c r="R4321">
        <v>3</v>
      </c>
      <c r="S4321" s="5">
        <f t="shared" si="134"/>
        <v>0.10601111531472965</v>
      </c>
      <c r="T4321">
        <v>938.34500000000003</v>
      </c>
      <c r="U4321">
        <v>8</v>
      </c>
      <c r="V4321">
        <v>2022</v>
      </c>
      <c r="W4321">
        <v>3</v>
      </c>
      <c r="X4321" t="s">
        <v>9899</v>
      </c>
      <c r="Y4321" t="s">
        <v>9900</v>
      </c>
      <c r="Z4321" t="s">
        <v>9898</v>
      </c>
      <c r="AD4321">
        <f t="shared" si="135"/>
        <v>3</v>
      </c>
    </row>
    <row r="4322" spans="1:30" x14ac:dyDescent="0.25">
      <c r="A4322" t="s">
        <v>4346</v>
      </c>
      <c r="B4322" s="2">
        <v>44893</v>
      </c>
      <c r="C4322" s="2">
        <v>44895</v>
      </c>
      <c r="D4322" t="s">
        <v>5388</v>
      </c>
      <c r="E4322" t="s">
        <v>5888</v>
      </c>
      <c r="F4322" t="s">
        <v>6028</v>
      </c>
      <c r="G4322" t="s">
        <v>6030</v>
      </c>
      <c r="H4322" t="s">
        <v>6035</v>
      </c>
      <c r="I4322" t="s">
        <v>6047</v>
      </c>
      <c r="J4322" t="s">
        <v>6053</v>
      </c>
      <c r="K4322" t="s">
        <v>6058</v>
      </c>
      <c r="L4322" t="s">
        <v>6079</v>
      </c>
      <c r="M4322">
        <v>286.33999999999997</v>
      </c>
      <c r="N4322">
        <v>4</v>
      </c>
      <c r="O4322">
        <v>0.22</v>
      </c>
      <c r="P4322">
        <v>17.39</v>
      </c>
      <c r="Q4322" t="s">
        <v>9897</v>
      </c>
      <c r="R4322">
        <v>2</v>
      </c>
      <c r="S4322" s="5">
        <f t="shared" si="134"/>
        <v>6.0731996926730467E-2</v>
      </c>
      <c r="T4322">
        <v>71.584999999999994</v>
      </c>
      <c r="U4322">
        <v>11</v>
      </c>
      <c r="V4322">
        <v>2022</v>
      </c>
      <c r="W4322">
        <v>4</v>
      </c>
      <c r="X4322" t="s">
        <v>9899</v>
      </c>
      <c r="Y4322" t="s">
        <v>9900</v>
      </c>
      <c r="Z4322" t="s">
        <v>9899</v>
      </c>
      <c r="AD4322">
        <f t="shared" si="135"/>
        <v>2</v>
      </c>
    </row>
    <row r="4323" spans="1:30" x14ac:dyDescent="0.25">
      <c r="A4323" t="s">
        <v>4347</v>
      </c>
      <c r="B4323" s="2">
        <v>44704</v>
      </c>
      <c r="C4323" s="2">
        <v>44708</v>
      </c>
      <c r="D4323" t="s">
        <v>5309</v>
      </c>
      <c r="E4323" t="s">
        <v>5809</v>
      </c>
      <c r="F4323" t="s">
        <v>6026</v>
      </c>
      <c r="G4323" t="s">
        <v>6030</v>
      </c>
      <c r="H4323" t="s">
        <v>6038</v>
      </c>
      <c r="I4323" t="s">
        <v>6047</v>
      </c>
      <c r="J4323" t="s">
        <v>6053</v>
      </c>
      <c r="K4323" t="s">
        <v>6056</v>
      </c>
      <c r="L4323" t="s">
        <v>8683</v>
      </c>
      <c r="M4323">
        <v>780.17</v>
      </c>
      <c r="N4323">
        <v>2</v>
      </c>
      <c r="O4323">
        <v>7.0000000000000007E-2</v>
      </c>
      <c r="P4323">
        <v>105.58</v>
      </c>
      <c r="Q4323" t="s">
        <v>9894</v>
      </c>
      <c r="R4323">
        <v>4</v>
      </c>
      <c r="S4323" s="5">
        <f t="shared" si="134"/>
        <v>0.13532947947242269</v>
      </c>
      <c r="T4323">
        <v>390.08499999999998</v>
      </c>
      <c r="U4323">
        <v>5</v>
      </c>
      <c r="V4323">
        <v>2022</v>
      </c>
      <c r="W4323">
        <v>2</v>
      </c>
      <c r="X4323" t="s">
        <v>9899</v>
      </c>
      <c r="Y4323" t="s">
        <v>9901</v>
      </c>
      <c r="Z4323" t="s">
        <v>9899</v>
      </c>
      <c r="AD4323">
        <f t="shared" si="135"/>
        <v>4</v>
      </c>
    </row>
    <row r="4324" spans="1:30" x14ac:dyDescent="0.25">
      <c r="A4324" t="s">
        <v>4348</v>
      </c>
      <c r="B4324" s="2">
        <v>44832</v>
      </c>
      <c r="C4324" s="2">
        <v>44834</v>
      </c>
      <c r="D4324" t="s">
        <v>5091</v>
      </c>
      <c r="E4324" t="s">
        <v>5591</v>
      </c>
      <c r="F4324" t="s">
        <v>6028</v>
      </c>
      <c r="G4324" t="s">
        <v>6030</v>
      </c>
      <c r="H4324" t="s">
        <v>6035</v>
      </c>
      <c r="I4324" t="s">
        <v>6047</v>
      </c>
      <c r="J4324" t="s">
        <v>6054</v>
      </c>
      <c r="K4324" t="s">
        <v>6060</v>
      </c>
      <c r="L4324" t="s">
        <v>9476</v>
      </c>
      <c r="M4324">
        <v>302.45</v>
      </c>
      <c r="N4324">
        <v>6</v>
      </c>
      <c r="O4324">
        <v>0.22</v>
      </c>
      <c r="P4324">
        <v>2.04</v>
      </c>
      <c r="Q4324" t="s">
        <v>9896</v>
      </c>
      <c r="R4324">
        <v>2</v>
      </c>
      <c r="S4324" s="5">
        <f t="shared" si="134"/>
        <v>6.7449165151264676E-3</v>
      </c>
      <c r="T4324">
        <v>50.408333333333331</v>
      </c>
      <c r="U4324">
        <v>9</v>
      </c>
      <c r="V4324">
        <v>2022</v>
      </c>
      <c r="W4324">
        <v>3</v>
      </c>
      <c r="X4324" t="s">
        <v>9899</v>
      </c>
      <c r="Y4324" t="s">
        <v>9900</v>
      </c>
      <c r="Z4324" t="s">
        <v>9899</v>
      </c>
      <c r="AD4324">
        <f t="shared" si="135"/>
        <v>2</v>
      </c>
    </row>
    <row r="4325" spans="1:30" x14ac:dyDescent="0.25">
      <c r="A4325" t="s">
        <v>4349</v>
      </c>
      <c r="B4325" s="2">
        <v>44596</v>
      </c>
      <c r="C4325" s="2">
        <v>44602</v>
      </c>
      <c r="D4325" t="s">
        <v>5348</v>
      </c>
      <c r="E4325" t="s">
        <v>5848</v>
      </c>
      <c r="F4325" t="s">
        <v>6027</v>
      </c>
      <c r="G4325" t="s">
        <v>6031</v>
      </c>
      <c r="H4325" t="s">
        <v>6043</v>
      </c>
      <c r="I4325" t="s">
        <v>6052</v>
      </c>
      <c r="J4325" t="s">
        <v>6054</v>
      </c>
      <c r="K4325" t="s">
        <v>6060</v>
      </c>
      <c r="L4325" t="s">
        <v>9477</v>
      </c>
      <c r="M4325">
        <v>1648.69</v>
      </c>
      <c r="N4325">
        <v>3</v>
      </c>
      <c r="O4325">
        <v>0.02</v>
      </c>
      <c r="P4325">
        <v>421.27</v>
      </c>
      <c r="Q4325" t="s">
        <v>9894</v>
      </c>
      <c r="R4325">
        <v>6</v>
      </c>
      <c r="S4325" s="5">
        <f t="shared" si="134"/>
        <v>0.25551801733497503</v>
      </c>
      <c r="T4325">
        <v>549.56333333333339</v>
      </c>
      <c r="U4325">
        <v>2</v>
      </c>
      <c r="V4325">
        <v>2022</v>
      </c>
      <c r="W4325">
        <v>1</v>
      </c>
      <c r="X4325" t="s">
        <v>9899</v>
      </c>
      <c r="Y4325" t="s">
        <v>9901</v>
      </c>
      <c r="Z4325" t="s">
        <v>9898</v>
      </c>
      <c r="AD4325">
        <f t="shared" si="135"/>
        <v>6</v>
      </c>
    </row>
    <row r="4326" spans="1:30" x14ac:dyDescent="0.25">
      <c r="A4326" t="s">
        <v>4350</v>
      </c>
      <c r="B4326" s="2">
        <v>45365</v>
      </c>
      <c r="C4326" s="2">
        <v>45368</v>
      </c>
      <c r="D4326" t="s">
        <v>5117</v>
      </c>
      <c r="E4326" t="s">
        <v>5617</v>
      </c>
      <c r="F4326" t="s">
        <v>6026</v>
      </c>
      <c r="G4326" t="s">
        <v>6030</v>
      </c>
      <c r="H4326" t="s">
        <v>6039</v>
      </c>
      <c r="I4326" t="s">
        <v>6047</v>
      </c>
      <c r="J4326" t="s">
        <v>6053</v>
      </c>
      <c r="K4326" t="s">
        <v>6056</v>
      </c>
      <c r="L4326" t="s">
        <v>6410</v>
      </c>
      <c r="M4326">
        <v>1223.54</v>
      </c>
      <c r="N4326">
        <v>4</v>
      </c>
      <c r="O4326">
        <v>0.31</v>
      </c>
      <c r="P4326">
        <v>-54.76</v>
      </c>
      <c r="Q4326" t="s">
        <v>9893</v>
      </c>
      <c r="R4326">
        <v>3</v>
      </c>
      <c r="S4326" s="5">
        <f t="shared" si="134"/>
        <v>-4.47553819245795E-2</v>
      </c>
      <c r="T4326">
        <v>305.88499999999999</v>
      </c>
      <c r="U4326">
        <v>3</v>
      </c>
      <c r="V4326">
        <v>2024</v>
      </c>
      <c r="W4326">
        <v>1</v>
      </c>
      <c r="X4326" t="s">
        <v>9898</v>
      </c>
      <c r="Y4326" t="s">
        <v>9902</v>
      </c>
      <c r="Z4326" t="s">
        <v>9898</v>
      </c>
      <c r="AD4326">
        <f t="shared" si="135"/>
        <v>3</v>
      </c>
    </row>
    <row r="4327" spans="1:30" x14ac:dyDescent="0.25">
      <c r="A4327" t="s">
        <v>4351</v>
      </c>
      <c r="B4327" s="2">
        <v>45351</v>
      </c>
      <c r="C4327" s="2">
        <v>45353</v>
      </c>
      <c r="D4327" t="s">
        <v>5431</v>
      </c>
      <c r="E4327" t="s">
        <v>5931</v>
      </c>
      <c r="F4327" t="s">
        <v>6027</v>
      </c>
      <c r="G4327" t="s">
        <v>6029</v>
      </c>
      <c r="H4327" t="s">
        <v>6045</v>
      </c>
      <c r="I4327" t="s">
        <v>6046</v>
      </c>
      <c r="J4327" t="s">
        <v>6053</v>
      </c>
      <c r="K4327" t="s">
        <v>6057</v>
      </c>
      <c r="L4327" t="s">
        <v>9478</v>
      </c>
      <c r="M4327">
        <v>1395</v>
      </c>
      <c r="N4327">
        <v>1</v>
      </c>
      <c r="O4327">
        <v>0.28999999999999998</v>
      </c>
      <c r="P4327">
        <v>-197.82</v>
      </c>
      <c r="Q4327" t="s">
        <v>9896</v>
      </c>
      <c r="R4327">
        <v>2</v>
      </c>
      <c r="S4327" s="5">
        <f t="shared" si="134"/>
        <v>-0.14180645161290323</v>
      </c>
      <c r="T4327">
        <v>1395</v>
      </c>
      <c r="U4327">
        <v>2</v>
      </c>
      <c r="V4327">
        <v>2024</v>
      </c>
      <c r="W4327">
        <v>1</v>
      </c>
      <c r="X4327" t="s">
        <v>9898</v>
      </c>
      <c r="Y4327" t="s">
        <v>9900</v>
      </c>
      <c r="Z4327" t="s">
        <v>9898</v>
      </c>
      <c r="AD4327">
        <f t="shared" si="135"/>
        <v>2</v>
      </c>
    </row>
    <row r="4328" spans="1:30" x14ac:dyDescent="0.25">
      <c r="A4328" t="s">
        <v>4352</v>
      </c>
      <c r="B4328" s="2">
        <v>44799</v>
      </c>
      <c r="C4328" s="2">
        <v>44801</v>
      </c>
      <c r="D4328" t="s">
        <v>5162</v>
      </c>
      <c r="E4328" t="s">
        <v>5662</v>
      </c>
      <c r="F4328" t="s">
        <v>6026</v>
      </c>
      <c r="G4328" t="s">
        <v>6029</v>
      </c>
      <c r="H4328" t="s">
        <v>6045</v>
      </c>
      <c r="I4328" t="s">
        <v>6046</v>
      </c>
      <c r="J4328" t="s">
        <v>6053</v>
      </c>
      <c r="K4328" t="s">
        <v>6057</v>
      </c>
      <c r="L4328" t="s">
        <v>9479</v>
      </c>
      <c r="M4328">
        <v>1515.24</v>
      </c>
      <c r="N4328">
        <v>1</v>
      </c>
      <c r="O4328">
        <v>0.21</v>
      </c>
      <c r="P4328">
        <v>-117.93</v>
      </c>
      <c r="Q4328" t="s">
        <v>9895</v>
      </c>
      <c r="R4328">
        <v>2</v>
      </c>
      <c r="S4328" s="5">
        <f t="shared" si="134"/>
        <v>-7.7829254771521347E-2</v>
      </c>
      <c r="T4328">
        <v>1515.24</v>
      </c>
      <c r="U4328">
        <v>8</v>
      </c>
      <c r="V4328">
        <v>2022</v>
      </c>
      <c r="W4328">
        <v>3</v>
      </c>
      <c r="X4328" t="s">
        <v>9898</v>
      </c>
      <c r="Y4328" t="s">
        <v>9900</v>
      </c>
      <c r="Z4328" t="s">
        <v>9898</v>
      </c>
      <c r="AD4328">
        <f t="shared" si="135"/>
        <v>2</v>
      </c>
    </row>
    <row r="4329" spans="1:30" x14ac:dyDescent="0.25">
      <c r="A4329" t="s">
        <v>4353</v>
      </c>
      <c r="B4329" s="2">
        <v>45109</v>
      </c>
      <c r="C4329" s="2">
        <v>45115</v>
      </c>
      <c r="D4329" t="s">
        <v>5144</v>
      </c>
      <c r="E4329" t="s">
        <v>5644</v>
      </c>
      <c r="F4329" t="s">
        <v>6026</v>
      </c>
      <c r="G4329" t="s">
        <v>6030</v>
      </c>
      <c r="H4329" t="s">
        <v>6035</v>
      </c>
      <c r="I4329" t="s">
        <v>6051</v>
      </c>
      <c r="J4329" t="s">
        <v>6054</v>
      </c>
      <c r="K4329" t="s">
        <v>6062</v>
      </c>
      <c r="L4329" t="s">
        <v>9480</v>
      </c>
      <c r="M4329">
        <v>1909.85</v>
      </c>
      <c r="N4329">
        <v>5</v>
      </c>
      <c r="O4329">
        <v>0.04</v>
      </c>
      <c r="P4329">
        <v>491.53</v>
      </c>
      <c r="Q4329" t="s">
        <v>9893</v>
      </c>
      <c r="R4329">
        <v>6</v>
      </c>
      <c r="S4329" s="5">
        <f t="shared" si="134"/>
        <v>0.25736576170903475</v>
      </c>
      <c r="T4329">
        <v>381.97</v>
      </c>
      <c r="U4329">
        <v>7</v>
      </c>
      <c r="V4329">
        <v>2023</v>
      </c>
      <c r="W4329">
        <v>3</v>
      </c>
      <c r="X4329" t="s">
        <v>9899</v>
      </c>
      <c r="Y4329" t="s">
        <v>9901</v>
      </c>
      <c r="Z4329" t="s">
        <v>9898</v>
      </c>
      <c r="AD4329">
        <f t="shared" si="135"/>
        <v>6</v>
      </c>
    </row>
    <row r="4330" spans="1:30" x14ac:dyDescent="0.25">
      <c r="A4330" t="s">
        <v>4354</v>
      </c>
      <c r="B4330" s="2">
        <v>44843</v>
      </c>
      <c r="C4330" s="2">
        <v>44845</v>
      </c>
      <c r="D4330" t="s">
        <v>5268</v>
      </c>
      <c r="E4330" t="s">
        <v>5768</v>
      </c>
      <c r="F4330" t="s">
        <v>6027</v>
      </c>
      <c r="G4330" t="s">
        <v>6030</v>
      </c>
      <c r="H4330" t="s">
        <v>6033</v>
      </c>
      <c r="I4330" t="s">
        <v>6047</v>
      </c>
      <c r="J4330" t="s">
        <v>6055</v>
      </c>
      <c r="K4330" t="s">
        <v>6063</v>
      </c>
      <c r="L4330" t="s">
        <v>9481</v>
      </c>
      <c r="M4330">
        <v>554.09</v>
      </c>
      <c r="N4330">
        <v>2</v>
      </c>
      <c r="O4330">
        <v>7.0000000000000007E-2</v>
      </c>
      <c r="P4330">
        <v>62.78</v>
      </c>
      <c r="Q4330" t="s">
        <v>9896</v>
      </c>
      <c r="R4330">
        <v>2</v>
      </c>
      <c r="S4330" s="5">
        <f t="shared" si="134"/>
        <v>0.11330289303181793</v>
      </c>
      <c r="T4330">
        <v>277.04500000000002</v>
      </c>
      <c r="U4330">
        <v>10</v>
      </c>
      <c r="V4330">
        <v>2022</v>
      </c>
      <c r="W4330">
        <v>4</v>
      </c>
      <c r="X4330" t="s">
        <v>9899</v>
      </c>
      <c r="Y4330" t="s">
        <v>9901</v>
      </c>
      <c r="Z4330" t="s">
        <v>9899</v>
      </c>
      <c r="AD4330">
        <f t="shared" si="135"/>
        <v>2</v>
      </c>
    </row>
    <row r="4331" spans="1:30" x14ac:dyDescent="0.25">
      <c r="A4331" t="s">
        <v>4355</v>
      </c>
      <c r="B4331" s="2">
        <v>44861</v>
      </c>
      <c r="C4331" s="2">
        <v>44864</v>
      </c>
      <c r="D4331" t="s">
        <v>5161</v>
      </c>
      <c r="E4331" t="s">
        <v>5661</v>
      </c>
      <c r="F4331" t="s">
        <v>6028</v>
      </c>
      <c r="G4331" t="s">
        <v>6031</v>
      </c>
      <c r="H4331" t="s">
        <v>6043</v>
      </c>
      <c r="I4331" t="s">
        <v>6048</v>
      </c>
      <c r="J4331" t="s">
        <v>6053</v>
      </c>
      <c r="K4331" t="s">
        <v>6057</v>
      </c>
      <c r="L4331" t="s">
        <v>9482</v>
      </c>
      <c r="M4331">
        <v>1103.8900000000001</v>
      </c>
      <c r="N4331">
        <v>8</v>
      </c>
      <c r="O4331">
        <v>0.28000000000000003</v>
      </c>
      <c r="P4331">
        <v>-91.31</v>
      </c>
      <c r="Q4331" t="s">
        <v>9894</v>
      </c>
      <c r="R4331">
        <v>3</v>
      </c>
      <c r="S4331" s="5">
        <f t="shared" si="134"/>
        <v>-8.2716575021061875E-2</v>
      </c>
      <c r="T4331">
        <v>137.98625000000001</v>
      </c>
      <c r="U4331">
        <v>10</v>
      </c>
      <c r="V4331">
        <v>2022</v>
      </c>
      <c r="W4331">
        <v>4</v>
      </c>
      <c r="X4331" t="s">
        <v>9898</v>
      </c>
      <c r="Y4331" t="s">
        <v>9900</v>
      </c>
      <c r="Z4331" t="s">
        <v>9898</v>
      </c>
      <c r="AD4331">
        <f t="shared" si="135"/>
        <v>3</v>
      </c>
    </row>
    <row r="4332" spans="1:30" x14ac:dyDescent="0.25">
      <c r="A4332" t="s">
        <v>4356</v>
      </c>
      <c r="B4332" s="2">
        <v>44665</v>
      </c>
      <c r="C4332" s="2">
        <v>44666</v>
      </c>
      <c r="D4332" t="s">
        <v>5465</v>
      </c>
      <c r="E4332" t="s">
        <v>5965</v>
      </c>
      <c r="F4332" t="s">
        <v>6027</v>
      </c>
      <c r="G4332" t="s">
        <v>6030</v>
      </c>
      <c r="H4332" t="s">
        <v>6035</v>
      </c>
      <c r="I4332" t="s">
        <v>6047</v>
      </c>
      <c r="J4332" t="s">
        <v>6055</v>
      </c>
      <c r="K4332" t="s">
        <v>6064</v>
      </c>
      <c r="L4332" t="s">
        <v>9483</v>
      </c>
      <c r="M4332">
        <v>1038.9100000000001</v>
      </c>
      <c r="N4332">
        <v>4</v>
      </c>
      <c r="O4332">
        <v>0.11</v>
      </c>
      <c r="P4332">
        <v>-3.51</v>
      </c>
      <c r="Q4332" t="s">
        <v>9895</v>
      </c>
      <c r="R4332">
        <v>1</v>
      </c>
      <c r="S4332" s="5">
        <f t="shared" si="134"/>
        <v>-3.3785409708251913E-3</v>
      </c>
      <c r="T4332">
        <v>259.72750000000002</v>
      </c>
      <c r="U4332">
        <v>4</v>
      </c>
      <c r="V4332">
        <v>2022</v>
      </c>
      <c r="W4332">
        <v>2</v>
      </c>
      <c r="X4332" t="s">
        <v>9898</v>
      </c>
      <c r="Y4332" t="s">
        <v>9901</v>
      </c>
      <c r="Z4332" t="s">
        <v>9898</v>
      </c>
      <c r="AD4332">
        <f t="shared" si="135"/>
        <v>1</v>
      </c>
    </row>
    <row r="4333" spans="1:30" x14ac:dyDescent="0.25">
      <c r="A4333" t="s">
        <v>4357</v>
      </c>
      <c r="B4333" s="2">
        <v>45078</v>
      </c>
      <c r="C4333" s="2">
        <v>45085</v>
      </c>
      <c r="D4333" t="s">
        <v>5199</v>
      </c>
      <c r="E4333" t="s">
        <v>5699</v>
      </c>
      <c r="F4333" t="s">
        <v>6026</v>
      </c>
      <c r="G4333" t="s">
        <v>6029</v>
      </c>
      <c r="H4333" t="s">
        <v>6036</v>
      </c>
      <c r="I4333" t="s">
        <v>6046</v>
      </c>
      <c r="J4333" t="s">
        <v>6053</v>
      </c>
      <c r="K4333" t="s">
        <v>6058</v>
      </c>
      <c r="L4333" t="s">
        <v>9484</v>
      </c>
      <c r="M4333">
        <v>1157</v>
      </c>
      <c r="N4333">
        <v>4</v>
      </c>
      <c r="O4333">
        <v>0.32</v>
      </c>
      <c r="P4333">
        <v>-118.5</v>
      </c>
      <c r="Q4333" t="s">
        <v>9893</v>
      </c>
      <c r="R4333">
        <v>7</v>
      </c>
      <c r="S4333" s="5">
        <f t="shared" si="134"/>
        <v>-0.1024200518582541</v>
      </c>
      <c r="T4333">
        <v>289.25</v>
      </c>
      <c r="U4333">
        <v>6</v>
      </c>
      <c r="V4333">
        <v>2023</v>
      </c>
      <c r="W4333">
        <v>2</v>
      </c>
      <c r="X4333" t="s">
        <v>9898</v>
      </c>
      <c r="Y4333" t="s">
        <v>9902</v>
      </c>
      <c r="Z4333" t="s">
        <v>9898</v>
      </c>
      <c r="AD4333">
        <f t="shared" si="135"/>
        <v>7</v>
      </c>
    </row>
    <row r="4334" spans="1:30" x14ac:dyDescent="0.25">
      <c r="A4334" t="s">
        <v>4358</v>
      </c>
      <c r="B4334" s="2">
        <v>45414</v>
      </c>
      <c r="C4334" s="2">
        <v>45415</v>
      </c>
      <c r="D4334" t="s">
        <v>5097</v>
      </c>
      <c r="E4334" t="s">
        <v>5597</v>
      </c>
      <c r="F4334" t="s">
        <v>6027</v>
      </c>
      <c r="G4334" t="s">
        <v>6030</v>
      </c>
      <c r="H4334" t="s">
        <v>6035</v>
      </c>
      <c r="I4334" t="s">
        <v>6047</v>
      </c>
      <c r="J4334" t="s">
        <v>6055</v>
      </c>
      <c r="K4334" t="s">
        <v>6064</v>
      </c>
      <c r="L4334" t="s">
        <v>9485</v>
      </c>
      <c r="M4334">
        <v>811.52</v>
      </c>
      <c r="N4334">
        <v>7</v>
      </c>
      <c r="O4334">
        <v>0.15</v>
      </c>
      <c r="P4334">
        <v>-38.89</v>
      </c>
      <c r="Q4334" t="s">
        <v>9896</v>
      </c>
      <c r="R4334">
        <v>1</v>
      </c>
      <c r="S4334" s="5">
        <f t="shared" si="134"/>
        <v>-4.7922417192429026E-2</v>
      </c>
      <c r="T4334">
        <v>115.9314285714286</v>
      </c>
      <c r="U4334">
        <v>5</v>
      </c>
      <c r="V4334">
        <v>2024</v>
      </c>
      <c r="W4334">
        <v>2</v>
      </c>
      <c r="X4334" t="s">
        <v>9898</v>
      </c>
      <c r="Y4334" t="s">
        <v>9901</v>
      </c>
      <c r="Z4334" t="s">
        <v>9899</v>
      </c>
      <c r="AD4334">
        <f t="shared" si="135"/>
        <v>1</v>
      </c>
    </row>
    <row r="4335" spans="1:30" x14ac:dyDescent="0.25">
      <c r="A4335" t="s">
        <v>4359</v>
      </c>
      <c r="B4335" s="2">
        <v>44973</v>
      </c>
      <c r="C4335" s="2">
        <v>44978</v>
      </c>
      <c r="D4335" t="s">
        <v>5038</v>
      </c>
      <c r="E4335" t="s">
        <v>5538</v>
      </c>
      <c r="F4335" t="s">
        <v>6027</v>
      </c>
      <c r="G4335" t="s">
        <v>6031</v>
      </c>
      <c r="H4335" t="s">
        <v>6037</v>
      </c>
      <c r="I4335" t="s">
        <v>6048</v>
      </c>
      <c r="J4335" t="s">
        <v>6054</v>
      </c>
      <c r="K4335" t="s">
        <v>6059</v>
      </c>
      <c r="L4335" t="s">
        <v>9486</v>
      </c>
      <c r="M4335">
        <v>913.87</v>
      </c>
      <c r="N4335">
        <v>7</v>
      </c>
      <c r="O4335">
        <v>0.19</v>
      </c>
      <c r="P4335">
        <v>94.87</v>
      </c>
      <c r="Q4335" t="s">
        <v>9893</v>
      </c>
      <c r="R4335">
        <v>5</v>
      </c>
      <c r="S4335" s="5">
        <f t="shared" si="134"/>
        <v>0.10381126418418375</v>
      </c>
      <c r="T4335">
        <v>130.55285714285711</v>
      </c>
      <c r="U4335">
        <v>2</v>
      </c>
      <c r="V4335">
        <v>2023</v>
      </c>
      <c r="W4335">
        <v>1</v>
      </c>
      <c r="X4335" t="s">
        <v>9899</v>
      </c>
      <c r="Y4335" t="s">
        <v>9900</v>
      </c>
      <c r="Z4335" t="s">
        <v>9899</v>
      </c>
      <c r="AD4335">
        <f t="shared" si="135"/>
        <v>5</v>
      </c>
    </row>
    <row r="4336" spans="1:30" x14ac:dyDescent="0.25">
      <c r="A4336" t="s">
        <v>4360</v>
      </c>
      <c r="B4336" s="2">
        <v>44707</v>
      </c>
      <c r="C4336" s="2">
        <v>44712</v>
      </c>
      <c r="D4336" t="s">
        <v>5330</v>
      </c>
      <c r="E4336" t="s">
        <v>5830</v>
      </c>
      <c r="F4336" t="s">
        <v>6028</v>
      </c>
      <c r="G4336" t="s">
        <v>6031</v>
      </c>
      <c r="H4336" t="s">
        <v>6034</v>
      </c>
      <c r="I4336" t="s">
        <v>6050</v>
      </c>
      <c r="J4336" t="s">
        <v>6055</v>
      </c>
      <c r="K4336" t="s">
        <v>6064</v>
      </c>
      <c r="L4336" t="s">
        <v>7119</v>
      </c>
      <c r="M4336">
        <v>855.27</v>
      </c>
      <c r="N4336">
        <v>7</v>
      </c>
      <c r="O4336">
        <v>0.25</v>
      </c>
      <c r="P4336">
        <v>9.77</v>
      </c>
      <c r="Q4336" t="s">
        <v>9893</v>
      </c>
      <c r="R4336">
        <v>5</v>
      </c>
      <c r="S4336" s="5">
        <f t="shared" si="134"/>
        <v>1.1423293229038782E-2</v>
      </c>
      <c r="T4336">
        <v>122.1814285714286</v>
      </c>
      <c r="U4336">
        <v>5</v>
      </c>
      <c r="V4336">
        <v>2022</v>
      </c>
      <c r="W4336">
        <v>2</v>
      </c>
      <c r="X4336" t="s">
        <v>9899</v>
      </c>
      <c r="Y4336" t="s">
        <v>9900</v>
      </c>
      <c r="Z4336" t="s">
        <v>9899</v>
      </c>
      <c r="AD4336">
        <f t="shared" si="135"/>
        <v>5</v>
      </c>
    </row>
    <row r="4337" spans="1:30" x14ac:dyDescent="0.25">
      <c r="A4337" t="s">
        <v>4361</v>
      </c>
      <c r="B4337" s="2">
        <v>44661</v>
      </c>
      <c r="C4337" s="2">
        <v>44666</v>
      </c>
      <c r="D4337" t="s">
        <v>5326</v>
      </c>
      <c r="E4337" t="s">
        <v>5826</v>
      </c>
      <c r="F4337" t="s">
        <v>6028</v>
      </c>
      <c r="G4337" t="s">
        <v>6029</v>
      </c>
      <c r="H4337" t="s">
        <v>6044</v>
      </c>
      <c r="I4337" t="s">
        <v>6050</v>
      </c>
      <c r="J4337" t="s">
        <v>6055</v>
      </c>
      <c r="K4337" t="s">
        <v>6063</v>
      </c>
      <c r="L4337" t="s">
        <v>9487</v>
      </c>
      <c r="M4337">
        <v>1175.6099999999999</v>
      </c>
      <c r="N4337">
        <v>1</v>
      </c>
      <c r="O4337">
        <v>0.09</v>
      </c>
      <c r="P4337">
        <v>241.43</v>
      </c>
      <c r="Q4337" t="s">
        <v>9896</v>
      </c>
      <c r="R4337">
        <v>5</v>
      </c>
      <c r="S4337" s="5">
        <f t="shared" si="134"/>
        <v>0.20536572502785791</v>
      </c>
      <c r="T4337">
        <v>1175.6099999999999</v>
      </c>
      <c r="U4337">
        <v>4</v>
      </c>
      <c r="V4337">
        <v>2022</v>
      </c>
      <c r="W4337">
        <v>2</v>
      </c>
      <c r="X4337" t="s">
        <v>9899</v>
      </c>
      <c r="Y4337" t="s">
        <v>9901</v>
      </c>
      <c r="Z4337" t="s">
        <v>9898</v>
      </c>
      <c r="AD4337">
        <f t="shared" si="135"/>
        <v>5</v>
      </c>
    </row>
    <row r="4338" spans="1:30" x14ac:dyDescent="0.25">
      <c r="A4338" t="s">
        <v>4362</v>
      </c>
      <c r="B4338" s="2">
        <v>44929</v>
      </c>
      <c r="C4338" s="2">
        <v>44932</v>
      </c>
      <c r="D4338" t="s">
        <v>5475</v>
      </c>
      <c r="E4338" t="s">
        <v>5975</v>
      </c>
      <c r="F4338" t="s">
        <v>6027</v>
      </c>
      <c r="G4338" t="s">
        <v>6030</v>
      </c>
      <c r="H4338" t="s">
        <v>6038</v>
      </c>
      <c r="I4338" t="s">
        <v>6047</v>
      </c>
      <c r="J4338" t="s">
        <v>6053</v>
      </c>
      <c r="K4338" t="s">
        <v>6057</v>
      </c>
      <c r="L4338" t="s">
        <v>7573</v>
      </c>
      <c r="M4338">
        <v>1793.21</v>
      </c>
      <c r="N4338">
        <v>4</v>
      </c>
      <c r="O4338">
        <v>0.23</v>
      </c>
      <c r="P4338">
        <v>99.15</v>
      </c>
      <c r="Q4338" t="s">
        <v>9893</v>
      </c>
      <c r="R4338">
        <v>3</v>
      </c>
      <c r="S4338" s="5">
        <f t="shared" si="134"/>
        <v>5.5291906692467703E-2</v>
      </c>
      <c r="T4338">
        <v>448.30250000000001</v>
      </c>
      <c r="U4338">
        <v>1</v>
      </c>
      <c r="V4338">
        <v>2023</v>
      </c>
      <c r="W4338">
        <v>1</v>
      </c>
      <c r="X4338" t="s">
        <v>9899</v>
      </c>
      <c r="Y4338" t="s">
        <v>9900</v>
      </c>
      <c r="Z4338" t="s">
        <v>9898</v>
      </c>
      <c r="AD4338">
        <f t="shared" si="135"/>
        <v>3</v>
      </c>
    </row>
    <row r="4339" spans="1:30" x14ac:dyDescent="0.25">
      <c r="A4339" t="s">
        <v>4363</v>
      </c>
      <c r="B4339" s="2">
        <v>44807</v>
      </c>
      <c r="C4339" s="2">
        <v>44808</v>
      </c>
      <c r="D4339" t="s">
        <v>5306</v>
      </c>
      <c r="E4339" t="s">
        <v>5806</v>
      </c>
      <c r="F4339" t="s">
        <v>6028</v>
      </c>
      <c r="G4339" t="s">
        <v>6029</v>
      </c>
      <c r="H4339" t="s">
        <v>6044</v>
      </c>
      <c r="I4339" t="s">
        <v>6049</v>
      </c>
      <c r="J4339" t="s">
        <v>6055</v>
      </c>
      <c r="K4339" t="s">
        <v>6061</v>
      </c>
      <c r="L4339" t="s">
        <v>9488</v>
      </c>
      <c r="M4339">
        <v>845.27</v>
      </c>
      <c r="N4339">
        <v>3</v>
      </c>
      <c r="O4339">
        <v>0.23</v>
      </c>
      <c r="P4339">
        <v>-12.44</v>
      </c>
      <c r="Q4339" t="s">
        <v>9897</v>
      </c>
      <c r="R4339">
        <v>1</v>
      </c>
      <c r="S4339" s="5">
        <f t="shared" si="134"/>
        <v>-1.4717190956735716E-2</v>
      </c>
      <c r="T4339">
        <v>281.75666666666672</v>
      </c>
      <c r="U4339">
        <v>9</v>
      </c>
      <c r="V4339">
        <v>2022</v>
      </c>
      <c r="W4339">
        <v>3</v>
      </c>
      <c r="X4339" t="s">
        <v>9898</v>
      </c>
      <c r="Y4339" t="s">
        <v>9900</v>
      </c>
      <c r="Z4339" t="s">
        <v>9899</v>
      </c>
      <c r="AD4339">
        <f t="shared" si="135"/>
        <v>1</v>
      </c>
    </row>
    <row r="4340" spans="1:30" x14ac:dyDescent="0.25">
      <c r="A4340" t="s">
        <v>4364</v>
      </c>
      <c r="B4340" s="2">
        <v>44752</v>
      </c>
      <c r="C4340" s="2">
        <v>44759</v>
      </c>
      <c r="D4340" t="s">
        <v>5258</v>
      </c>
      <c r="E4340" t="s">
        <v>5758</v>
      </c>
      <c r="F4340" t="s">
        <v>6027</v>
      </c>
      <c r="G4340" t="s">
        <v>6031</v>
      </c>
      <c r="H4340" t="s">
        <v>6042</v>
      </c>
      <c r="I4340" t="s">
        <v>6050</v>
      </c>
      <c r="J4340" t="s">
        <v>6054</v>
      </c>
      <c r="K4340" t="s">
        <v>6060</v>
      </c>
      <c r="L4340" t="s">
        <v>9489</v>
      </c>
      <c r="M4340">
        <v>1971.19</v>
      </c>
      <c r="N4340">
        <v>2</v>
      </c>
      <c r="O4340">
        <v>0.25</v>
      </c>
      <c r="P4340">
        <v>62.33</v>
      </c>
      <c r="Q4340" t="s">
        <v>9894</v>
      </c>
      <c r="R4340">
        <v>7</v>
      </c>
      <c r="S4340" s="5">
        <f t="shared" si="134"/>
        <v>3.1620493204612438E-2</v>
      </c>
      <c r="T4340">
        <v>985.59500000000003</v>
      </c>
      <c r="U4340">
        <v>7</v>
      </c>
      <c r="V4340">
        <v>2022</v>
      </c>
      <c r="W4340">
        <v>3</v>
      </c>
      <c r="X4340" t="s">
        <v>9899</v>
      </c>
      <c r="Y4340" t="s">
        <v>9900</v>
      </c>
      <c r="Z4340" t="s">
        <v>9898</v>
      </c>
      <c r="AD4340">
        <f t="shared" si="135"/>
        <v>7</v>
      </c>
    </row>
    <row r="4341" spans="1:30" x14ac:dyDescent="0.25">
      <c r="A4341" t="s">
        <v>4365</v>
      </c>
      <c r="B4341" s="2">
        <v>44680</v>
      </c>
      <c r="C4341" s="2">
        <v>44684</v>
      </c>
      <c r="D4341" t="s">
        <v>5068</v>
      </c>
      <c r="E4341" t="s">
        <v>5568</v>
      </c>
      <c r="F4341" t="s">
        <v>6027</v>
      </c>
      <c r="G4341" t="s">
        <v>6029</v>
      </c>
      <c r="H4341" t="s">
        <v>6032</v>
      </c>
      <c r="I4341" t="s">
        <v>6049</v>
      </c>
      <c r="J4341" t="s">
        <v>6054</v>
      </c>
      <c r="K4341" t="s">
        <v>6062</v>
      </c>
      <c r="L4341" t="s">
        <v>9490</v>
      </c>
      <c r="M4341">
        <v>1381.85</v>
      </c>
      <c r="N4341">
        <v>3</v>
      </c>
      <c r="O4341">
        <v>0.32</v>
      </c>
      <c r="P4341">
        <v>-213.54</v>
      </c>
      <c r="Q4341" t="s">
        <v>9894</v>
      </c>
      <c r="R4341">
        <v>4</v>
      </c>
      <c r="S4341" s="5">
        <f t="shared" si="134"/>
        <v>-0.15453196801389443</v>
      </c>
      <c r="T4341">
        <v>460.61666666666662</v>
      </c>
      <c r="U4341">
        <v>4</v>
      </c>
      <c r="V4341">
        <v>2022</v>
      </c>
      <c r="W4341">
        <v>2</v>
      </c>
      <c r="X4341" t="s">
        <v>9898</v>
      </c>
      <c r="Y4341" t="s">
        <v>9902</v>
      </c>
      <c r="Z4341" t="s">
        <v>9898</v>
      </c>
      <c r="AD4341">
        <f t="shared" si="135"/>
        <v>4</v>
      </c>
    </row>
    <row r="4342" spans="1:30" x14ac:dyDescent="0.25">
      <c r="A4342" t="s">
        <v>4366</v>
      </c>
      <c r="B4342" s="2">
        <v>44749</v>
      </c>
      <c r="C4342" s="2">
        <v>44751</v>
      </c>
      <c r="D4342" t="s">
        <v>5478</v>
      </c>
      <c r="E4342" t="s">
        <v>5978</v>
      </c>
      <c r="F4342" t="s">
        <v>6028</v>
      </c>
      <c r="G4342" t="s">
        <v>6029</v>
      </c>
      <c r="H4342" t="s">
        <v>6041</v>
      </c>
      <c r="I4342" t="s">
        <v>6050</v>
      </c>
      <c r="J4342" t="s">
        <v>6053</v>
      </c>
      <c r="K4342" t="s">
        <v>6056</v>
      </c>
      <c r="L4342" t="s">
        <v>9491</v>
      </c>
      <c r="M4342">
        <v>1122.47</v>
      </c>
      <c r="N4342">
        <v>3</v>
      </c>
      <c r="O4342">
        <v>0.28999999999999998</v>
      </c>
      <c r="P4342">
        <v>-64.790000000000006</v>
      </c>
      <c r="Q4342" t="s">
        <v>9895</v>
      </c>
      <c r="R4342">
        <v>2</v>
      </c>
      <c r="S4342" s="5">
        <f t="shared" si="134"/>
        <v>-5.7720919044606987E-2</v>
      </c>
      <c r="T4342">
        <v>374.15666666666669</v>
      </c>
      <c r="U4342">
        <v>7</v>
      </c>
      <c r="V4342">
        <v>2022</v>
      </c>
      <c r="W4342">
        <v>3</v>
      </c>
      <c r="X4342" t="s">
        <v>9898</v>
      </c>
      <c r="Y4342" t="s">
        <v>9900</v>
      </c>
      <c r="Z4342" t="s">
        <v>9898</v>
      </c>
      <c r="AD4342">
        <f t="shared" si="135"/>
        <v>2</v>
      </c>
    </row>
    <row r="4343" spans="1:30" x14ac:dyDescent="0.25">
      <c r="A4343" t="s">
        <v>4367</v>
      </c>
      <c r="B4343" s="2">
        <v>44703</v>
      </c>
      <c r="C4343" s="2">
        <v>44706</v>
      </c>
      <c r="D4343" t="s">
        <v>5126</v>
      </c>
      <c r="E4343" t="s">
        <v>5626</v>
      </c>
      <c r="F4343" t="s">
        <v>6027</v>
      </c>
      <c r="G4343" t="s">
        <v>6029</v>
      </c>
      <c r="H4343" t="s">
        <v>6032</v>
      </c>
      <c r="I4343" t="s">
        <v>6050</v>
      </c>
      <c r="J4343" t="s">
        <v>6054</v>
      </c>
      <c r="K4343" t="s">
        <v>6060</v>
      </c>
      <c r="L4343" t="s">
        <v>9492</v>
      </c>
      <c r="M4343">
        <v>1371.69</v>
      </c>
      <c r="N4343">
        <v>5</v>
      </c>
      <c r="O4343">
        <v>0.3</v>
      </c>
      <c r="P4343">
        <v>-89.63</v>
      </c>
      <c r="Q4343" t="s">
        <v>9894</v>
      </c>
      <c r="R4343">
        <v>3</v>
      </c>
      <c r="S4343" s="5">
        <f t="shared" si="134"/>
        <v>-6.5342752371162577E-2</v>
      </c>
      <c r="T4343">
        <v>274.33800000000002</v>
      </c>
      <c r="U4343">
        <v>5</v>
      </c>
      <c r="V4343">
        <v>2022</v>
      </c>
      <c r="W4343">
        <v>2</v>
      </c>
      <c r="X4343" t="s">
        <v>9898</v>
      </c>
      <c r="Y4343" t="s">
        <v>9900</v>
      </c>
      <c r="Z4343" t="s">
        <v>9898</v>
      </c>
      <c r="AD4343">
        <f t="shared" si="135"/>
        <v>3</v>
      </c>
    </row>
    <row r="4344" spans="1:30" x14ac:dyDescent="0.25">
      <c r="A4344" t="s">
        <v>4368</v>
      </c>
      <c r="B4344" s="2">
        <v>45359</v>
      </c>
      <c r="C4344" s="2">
        <v>45366</v>
      </c>
      <c r="D4344" t="s">
        <v>5026</v>
      </c>
      <c r="E4344" t="s">
        <v>5526</v>
      </c>
      <c r="F4344" t="s">
        <v>6026</v>
      </c>
      <c r="G4344" t="s">
        <v>6029</v>
      </c>
      <c r="H4344" t="s">
        <v>6032</v>
      </c>
      <c r="I4344" t="s">
        <v>6046</v>
      </c>
      <c r="J4344" t="s">
        <v>6053</v>
      </c>
      <c r="K4344" t="s">
        <v>6057</v>
      </c>
      <c r="L4344" t="s">
        <v>9493</v>
      </c>
      <c r="M4344">
        <v>1339.98</v>
      </c>
      <c r="N4344">
        <v>1</v>
      </c>
      <c r="O4344">
        <v>0.23</v>
      </c>
      <c r="P4344">
        <v>-28.5</v>
      </c>
      <c r="Q4344" t="s">
        <v>9894</v>
      </c>
      <c r="R4344">
        <v>7</v>
      </c>
      <c r="S4344" s="5">
        <f t="shared" si="134"/>
        <v>-2.1268974163793489E-2</v>
      </c>
      <c r="T4344">
        <v>1339.98</v>
      </c>
      <c r="U4344">
        <v>3</v>
      </c>
      <c r="V4344">
        <v>2024</v>
      </c>
      <c r="W4344">
        <v>1</v>
      </c>
      <c r="X4344" t="s">
        <v>9898</v>
      </c>
      <c r="Y4344" t="s">
        <v>9900</v>
      </c>
      <c r="Z4344" t="s">
        <v>9898</v>
      </c>
      <c r="AD4344">
        <f t="shared" si="135"/>
        <v>7</v>
      </c>
    </row>
    <row r="4345" spans="1:30" x14ac:dyDescent="0.25">
      <c r="A4345" t="s">
        <v>4369</v>
      </c>
      <c r="B4345" s="2">
        <v>44980</v>
      </c>
      <c r="C4345" s="2">
        <v>44987</v>
      </c>
      <c r="D4345" t="s">
        <v>5057</v>
      </c>
      <c r="E4345" t="s">
        <v>5557</v>
      </c>
      <c r="F4345" t="s">
        <v>6028</v>
      </c>
      <c r="G4345" t="s">
        <v>6030</v>
      </c>
      <c r="H4345" t="s">
        <v>6033</v>
      </c>
      <c r="I4345" t="s">
        <v>6051</v>
      </c>
      <c r="J4345" t="s">
        <v>6054</v>
      </c>
      <c r="K4345" t="s">
        <v>6060</v>
      </c>
      <c r="L4345" t="s">
        <v>6969</v>
      </c>
      <c r="M4345">
        <v>1762.5</v>
      </c>
      <c r="N4345">
        <v>3</v>
      </c>
      <c r="O4345">
        <v>0.2</v>
      </c>
      <c r="P4345">
        <v>116.08</v>
      </c>
      <c r="Q4345" t="s">
        <v>9894</v>
      </c>
      <c r="R4345">
        <v>7</v>
      </c>
      <c r="S4345" s="5">
        <f t="shared" si="134"/>
        <v>6.5860992907801411E-2</v>
      </c>
      <c r="T4345">
        <v>587.5</v>
      </c>
      <c r="U4345">
        <v>2</v>
      </c>
      <c r="V4345">
        <v>2023</v>
      </c>
      <c r="W4345">
        <v>1</v>
      </c>
      <c r="X4345" t="s">
        <v>9899</v>
      </c>
      <c r="Y4345" t="s">
        <v>9900</v>
      </c>
      <c r="Z4345" t="s">
        <v>9898</v>
      </c>
      <c r="AD4345">
        <f t="shared" si="135"/>
        <v>7</v>
      </c>
    </row>
    <row r="4346" spans="1:30" x14ac:dyDescent="0.25">
      <c r="A4346" t="s">
        <v>4370</v>
      </c>
      <c r="B4346" s="2">
        <v>44607</v>
      </c>
      <c r="C4346" s="2">
        <v>44613</v>
      </c>
      <c r="D4346" t="s">
        <v>5034</v>
      </c>
      <c r="E4346" t="s">
        <v>5534</v>
      </c>
      <c r="F4346" t="s">
        <v>6028</v>
      </c>
      <c r="G4346" t="s">
        <v>6029</v>
      </c>
      <c r="H4346" t="s">
        <v>6032</v>
      </c>
      <c r="I4346" t="s">
        <v>6050</v>
      </c>
      <c r="J4346" t="s">
        <v>6053</v>
      </c>
      <c r="K4346" t="s">
        <v>6056</v>
      </c>
      <c r="L4346" t="s">
        <v>9494</v>
      </c>
      <c r="M4346">
        <v>1798.29</v>
      </c>
      <c r="N4346">
        <v>8</v>
      </c>
      <c r="O4346">
        <v>0.02</v>
      </c>
      <c r="P4346">
        <v>182.03</v>
      </c>
      <c r="Q4346" t="s">
        <v>9894</v>
      </c>
      <c r="R4346">
        <v>6</v>
      </c>
      <c r="S4346" s="5">
        <f t="shared" si="134"/>
        <v>0.101223940521273</v>
      </c>
      <c r="T4346">
        <v>224.78625</v>
      </c>
      <c r="U4346">
        <v>2</v>
      </c>
      <c r="V4346">
        <v>2022</v>
      </c>
      <c r="W4346">
        <v>1</v>
      </c>
      <c r="X4346" t="s">
        <v>9899</v>
      </c>
      <c r="Y4346" t="s">
        <v>9901</v>
      </c>
      <c r="Z4346" t="s">
        <v>9898</v>
      </c>
      <c r="AD4346">
        <f t="shared" si="135"/>
        <v>6</v>
      </c>
    </row>
    <row r="4347" spans="1:30" x14ac:dyDescent="0.25">
      <c r="A4347" t="s">
        <v>4371</v>
      </c>
      <c r="B4347" s="2">
        <v>44896</v>
      </c>
      <c r="C4347" s="2">
        <v>44899</v>
      </c>
      <c r="D4347" t="s">
        <v>5222</v>
      </c>
      <c r="E4347" t="s">
        <v>5722</v>
      </c>
      <c r="F4347" t="s">
        <v>6026</v>
      </c>
      <c r="G4347" t="s">
        <v>6030</v>
      </c>
      <c r="H4347" t="s">
        <v>6033</v>
      </c>
      <c r="I4347" t="s">
        <v>6051</v>
      </c>
      <c r="J4347" t="s">
        <v>6053</v>
      </c>
      <c r="K4347" t="s">
        <v>6058</v>
      </c>
      <c r="L4347" t="s">
        <v>9495</v>
      </c>
      <c r="M4347">
        <v>618.91</v>
      </c>
      <c r="N4347">
        <v>1</v>
      </c>
      <c r="O4347">
        <v>0.23</v>
      </c>
      <c r="P4347">
        <v>-80.22</v>
      </c>
      <c r="Q4347" t="s">
        <v>9896</v>
      </c>
      <c r="R4347">
        <v>3</v>
      </c>
      <c r="S4347" s="5">
        <f t="shared" si="134"/>
        <v>-0.12961496825063418</v>
      </c>
      <c r="T4347">
        <v>618.91</v>
      </c>
      <c r="U4347">
        <v>12</v>
      </c>
      <c r="V4347">
        <v>2022</v>
      </c>
      <c r="W4347">
        <v>4</v>
      </c>
      <c r="X4347" t="s">
        <v>9898</v>
      </c>
      <c r="Y4347" t="s">
        <v>9900</v>
      </c>
      <c r="Z4347" t="s">
        <v>9899</v>
      </c>
      <c r="AD4347">
        <f t="shared" si="135"/>
        <v>3</v>
      </c>
    </row>
    <row r="4348" spans="1:30" x14ac:dyDescent="0.25">
      <c r="A4348" t="s">
        <v>4372</v>
      </c>
      <c r="B4348" s="2">
        <v>45041</v>
      </c>
      <c r="C4348" s="2">
        <v>45042</v>
      </c>
      <c r="D4348" t="s">
        <v>5048</v>
      </c>
      <c r="E4348" t="s">
        <v>5548</v>
      </c>
      <c r="F4348" t="s">
        <v>6027</v>
      </c>
      <c r="G4348" t="s">
        <v>6030</v>
      </c>
      <c r="H4348" t="s">
        <v>6038</v>
      </c>
      <c r="I4348" t="s">
        <v>6047</v>
      </c>
      <c r="J4348" t="s">
        <v>6055</v>
      </c>
      <c r="K4348" t="s">
        <v>6061</v>
      </c>
      <c r="L4348" t="s">
        <v>9496</v>
      </c>
      <c r="M4348">
        <v>1551.75</v>
      </c>
      <c r="N4348">
        <v>4</v>
      </c>
      <c r="O4348">
        <v>0.22</v>
      </c>
      <c r="P4348">
        <v>122.87</v>
      </c>
      <c r="Q4348" t="s">
        <v>9893</v>
      </c>
      <c r="R4348">
        <v>1</v>
      </c>
      <c r="S4348" s="5">
        <f t="shared" si="134"/>
        <v>7.918156919606896E-2</v>
      </c>
      <c r="T4348">
        <v>387.9375</v>
      </c>
      <c r="U4348">
        <v>4</v>
      </c>
      <c r="V4348">
        <v>2023</v>
      </c>
      <c r="W4348">
        <v>2</v>
      </c>
      <c r="X4348" t="s">
        <v>9899</v>
      </c>
      <c r="Y4348" t="s">
        <v>9900</v>
      </c>
      <c r="Z4348" t="s">
        <v>9898</v>
      </c>
      <c r="AD4348">
        <f t="shared" si="135"/>
        <v>1</v>
      </c>
    </row>
    <row r="4349" spans="1:30" x14ac:dyDescent="0.25">
      <c r="A4349" t="s">
        <v>4373</v>
      </c>
      <c r="B4349" s="2">
        <v>44657</v>
      </c>
      <c r="C4349" s="2">
        <v>44659</v>
      </c>
      <c r="D4349" t="s">
        <v>5035</v>
      </c>
      <c r="E4349" t="s">
        <v>5535</v>
      </c>
      <c r="F4349" t="s">
        <v>6027</v>
      </c>
      <c r="G4349" t="s">
        <v>6031</v>
      </c>
      <c r="H4349" t="s">
        <v>6034</v>
      </c>
      <c r="I4349" t="s">
        <v>6048</v>
      </c>
      <c r="J4349" t="s">
        <v>6054</v>
      </c>
      <c r="K4349" t="s">
        <v>6062</v>
      </c>
      <c r="L4349" t="s">
        <v>9497</v>
      </c>
      <c r="M4349">
        <v>1063.69</v>
      </c>
      <c r="N4349">
        <v>3</v>
      </c>
      <c r="O4349">
        <v>0.27</v>
      </c>
      <c r="P4349">
        <v>-78.19</v>
      </c>
      <c r="Q4349" t="s">
        <v>9896</v>
      </c>
      <c r="R4349">
        <v>2</v>
      </c>
      <c r="S4349" s="5">
        <f t="shared" si="134"/>
        <v>-7.3508258985230654E-2</v>
      </c>
      <c r="T4349">
        <v>354.56333333333328</v>
      </c>
      <c r="U4349">
        <v>4</v>
      </c>
      <c r="V4349">
        <v>2022</v>
      </c>
      <c r="W4349">
        <v>2</v>
      </c>
      <c r="X4349" t="s">
        <v>9898</v>
      </c>
      <c r="Y4349" t="s">
        <v>9900</v>
      </c>
      <c r="Z4349" t="s">
        <v>9898</v>
      </c>
      <c r="AD4349">
        <f t="shared" si="135"/>
        <v>2</v>
      </c>
    </row>
    <row r="4350" spans="1:30" x14ac:dyDescent="0.25">
      <c r="A4350" t="s">
        <v>4374</v>
      </c>
      <c r="B4350" s="2">
        <v>45051</v>
      </c>
      <c r="C4350" s="2">
        <v>45052</v>
      </c>
      <c r="D4350" t="s">
        <v>5062</v>
      </c>
      <c r="E4350" t="s">
        <v>5562</v>
      </c>
      <c r="F4350" t="s">
        <v>6026</v>
      </c>
      <c r="G4350" t="s">
        <v>6031</v>
      </c>
      <c r="H4350" t="s">
        <v>6037</v>
      </c>
      <c r="I4350" t="s">
        <v>6048</v>
      </c>
      <c r="J4350" t="s">
        <v>6053</v>
      </c>
      <c r="K4350" t="s">
        <v>6056</v>
      </c>
      <c r="L4350" t="s">
        <v>9498</v>
      </c>
      <c r="M4350">
        <v>522.02</v>
      </c>
      <c r="N4350">
        <v>6</v>
      </c>
      <c r="O4350">
        <v>0.14000000000000001</v>
      </c>
      <c r="P4350">
        <v>42.98</v>
      </c>
      <c r="Q4350" t="s">
        <v>9893</v>
      </c>
      <c r="R4350">
        <v>1</v>
      </c>
      <c r="S4350" s="5">
        <f t="shared" si="134"/>
        <v>8.2334010191180418E-2</v>
      </c>
      <c r="T4350">
        <v>87.00333333333333</v>
      </c>
      <c r="U4350">
        <v>5</v>
      </c>
      <c r="V4350">
        <v>2023</v>
      </c>
      <c r="W4350">
        <v>2</v>
      </c>
      <c r="X4350" t="s">
        <v>9899</v>
      </c>
      <c r="Y4350" t="s">
        <v>9901</v>
      </c>
      <c r="Z4350" t="s">
        <v>9899</v>
      </c>
      <c r="AD4350">
        <f t="shared" si="135"/>
        <v>1</v>
      </c>
    </row>
    <row r="4351" spans="1:30" x14ac:dyDescent="0.25">
      <c r="A4351" t="s">
        <v>4375</v>
      </c>
      <c r="B4351" s="2">
        <v>45135</v>
      </c>
      <c r="C4351" s="2">
        <v>45136</v>
      </c>
      <c r="D4351" t="s">
        <v>5264</v>
      </c>
      <c r="E4351" t="s">
        <v>5764</v>
      </c>
      <c r="F4351" t="s">
        <v>6026</v>
      </c>
      <c r="G4351" t="s">
        <v>6030</v>
      </c>
      <c r="H4351" t="s">
        <v>6035</v>
      </c>
      <c r="I4351" t="s">
        <v>6051</v>
      </c>
      <c r="J4351" t="s">
        <v>6053</v>
      </c>
      <c r="K4351" t="s">
        <v>6058</v>
      </c>
      <c r="L4351" t="s">
        <v>9499</v>
      </c>
      <c r="M4351">
        <v>124.2</v>
      </c>
      <c r="N4351">
        <v>8</v>
      </c>
      <c r="O4351">
        <v>0.12</v>
      </c>
      <c r="P4351">
        <v>-0.96</v>
      </c>
      <c r="Q4351" t="s">
        <v>9893</v>
      </c>
      <c r="R4351">
        <v>1</v>
      </c>
      <c r="S4351" s="5">
        <f t="shared" si="134"/>
        <v>-7.7294685990338162E-3</v>
      </c>
      <c r="T4351">
        <v>15.525</v>
      </c>
      <c r="U4351">
        <v>7</v>
      </c>
      <c r="V4351">
        <v>2023</v>
      </c>
      <c r="W4351">
        <v>3</v>
      </c>
      <c r="X4351" t="s">
        <v>9898</v>
      </c>
      <c r="Y4351" t="s">
        <v>9901</v>
      </c>
      <c r="Z4351" t="s">
        <v>9899</v>
      </c>
      <c r="AD4351">
        <f t="shared" si="135"/>
        <v>1</v>
      </c>
    </row>
    <row r="4352" spans="1:30" x14ac:dyDescent="0.25">
      <c r="A4352" t="s">
        <v>4376</v>
      </c>
      <c r="B4352" s="2">
        <v>44951</v>
      </c>
      <c r="C4352" s="2">
        <v>44952</v>
      </c>
      <c r="D4352" t="s">
        <v>5380</v>
      </c>
      <c r="E4352" t="s">
        <v>5880</v>
      </c>
      <c r="F4352" t="s">
        <v>6028</v>
      </c>
      <c r="G4352" t="s">
        <v>6031</v>
      </c>
      <c r="H4352" t="s">
        <v>6043</v>
      </c>
      <c r="I4352" t="s">
        <v>6050</v>
      </c>
      <c r="J4352" t="s">
        <v>6055</v>
      </c>
      <c r="K4352" t="s">
        <v>6064</v>
      </c>
      <c r="L4352" t="s">
        <v>8592</v>
      </c>
      <c r="M4352">
        <v>744.04</v>
      </c>
      <c r="N4352">
        <v>5</v>
      </c>
      <c r="O4352">
        <v>0.18</v>
      </c>
      <c r="P4352">
        <v>64.930000000000007</v>
      </c>
      <c r="Q4352" t="s">
        <v>9895</v>
      </c>
      <c r="R4352">
        <v>1</v>
      </c>
      <c r="S4352" s="5">
        <f t="shared" si="134"/>
        <v>8.7266813612171396E-2</v>
      </c>
      <c r="T4352">
        <v>148.80799999999999</v>
      </c>
      <c r="U4352">
        <v>1</v>
      </c>
      <c r="V4352">
        <v>2023</v>
      </c>
      <c r="W4352">
        <v>1</v>
      </c>
      <c r="X4352" t="s">
        <v>9899</v>
      </c>
      <c r="Y4352" t="s">
        <v>9900</v>
      </c>
      <c r="Z4352" t="s">
        <v>9899</v>
      </c>
      <c r="AD4352">
        <f t="shared" si="135"/>
        <v>1</v>
      </c>
    </row>
    <row r="4353" spans="1:30" x14ac:dyDescent="0.25">
      <c r="A4353" t="s">
        <v>4377</v>
      </c>
      <c r="B4353" s="2">
        <v>44793</v>
      </c>
      <c r="C4353" s="2">
        <v>44798</v>
      </c>
      <c r="D4353" t="s">
        <v>5256</v>
      </c>
      <c r="E4353" t="s">
        <v>5756</v>
      </c>
      <c r="F4353" t="s">
        <v>6026</v>
      </c>
      <c r="G4353" t="s">
        <v>6029</v>
      </c>
      <c r="H4353" t="s">
        <v>6045</v>
      </c>
      <c r="I4353" t="s">
        <v>6046</v>
      </c>
      <c r="J4353" t="s">
        <v>6055</v>
      </c>
      <c r="K4353" t="s">
        <v>6064</v>
      </c>
      <c r="L4353" t="s">
        <v>9500</v>
      </c>
      <c r="M4353">
        <v>1641.54</v>
      </c>
      <c r="N4353">
        <v>6</v>
      </c>
      <c r="O4353">
        <v>0.24</v>
      </c>
      <c r="P4353">
        <v>56.34</v>
      </c>
      <c r="Q4353" t="s">
        <v>9894</v>
      </c>
      <c r="R4353">
        <v>5</v>
      </c>
      <c r="S4353" s="5">
        <f t="shared" si="134"/>
        <v>3.4321429876822983E-2</v>
      </c>
      <c r="T4353">
        <v>273.58999999999997</v>
      </c>
      <c r="U4353">
        <v>8</v>
      </c>
      <c r="V4353">
        <v>2022</v>
      </c>
      <c r="W4353">
        <v>3</v>
      </c>
      <c r="X4353" t="s">
        <v>9899</v>
      </c>
      <c r="Y4353" t="s">
        <v>9900</v>
      </c>
      <c r="Z4353" t="s">
        <v>9898</v>
      </c>
      <c r="AD4353">
        <f t="shared" si="135"/>
        <v>5</v>
      </c>
    </row>
    <row r="4354" spans="1:30" x14ac:dyDescent="0.25">
      <c r="A4354" t="s">
        <v>4378</v>
      </c>
      <c r="B4354" s="2">
        <v>44604</v>
      </c>
      <c r="C4354" s="2">
        <v>44609</v>
      </c>
      <c r="D4354" t="s">
        <v>5318</v>
      </c>
      <c r="E4354" t="s">
        <v>5818</v>
      </c>
      <c r="F4354" t="s">
        <v>6027</v>
      </c>
      <c r="G4354" t="s">
        <v>6031</v>
      </c>
      <c r="H4354" t="s">
        <v>6037</v>
      </c>
      <c r="I4354" t="s">
        <v>6048</v>
      </c>
      <c r="J4354" t="s">
        <v>6055</v>
      </c>
      <c r="K4354" t="s">
        <v>6061</v>
      </c>
      <c r="L4354" t="s">
        <v>9501</v>
      </c>
      <c r="M4354">
        <v>1637.79</v>
      </c>
      <c r="N4354">
        <v>3</v>
      </c>
      <c r="O4354">
        <v>7.0000000000000007E-2</v>
      </c>
      <c r="P4354">
        <v>102.95</v>
      </c>
      <c r="Q4354" t="s">
        <v>9895</v>
      </c>
      <c r="R4354">
        <v>5</v>
      </c>
      <c r="S4354" s="5">
        <f t="shared" si="134"/>
        <v>6.2859096709590362E-2</v>
      </c>
      <c r="T4354">
        <v>545.92999999999995</v>
      </c>
      <c r="U4354">
        <v>2</v>
      </c>
      <c r="V4354">
        <v>2022</v>
      </c>
      <c r="W4354">
        <v>1</v>
      </c>
      <c r="X4354" t="s">
        <v>9899</v>
      </c>
      <c r="Y4354" t="s">
        <v>9901</v>
      </c>
      <c r="Z4354" t="s">
        <v>9898</v>
      </c>
      <c r="AD4354">
        <f t="shared" si="135"/>
        <v>5</v>
      </c>
    </row>
    <row r="4355" spans="1:30" x14ac:dyDescent="0.25">
      <c r="A4355" t="s">
        <v>4379</v>
      </c>
      <c r="B4355" s="2">
        <v>45433</v>
      </c>
      <c r="C4355" s="2">
        <v>45440</v>
      </c>
      <c r="D4355" t="s">
        <v>5336</v>
      </c>
      <c r="E4355" t="s">
        <v>5836</v>
      </c>
      <c r="F4355" t="s">
        <v>6026</v>
      </c>
      <c r="G4355" t="s">
        <v>6031</v>
      </c>
      <c r="H4355" t="s">
        <v>6037</v>
      </c>
      <c r="I4355" t="s">
        <v>6050</v>
      </c>
      <c r="J4355" t="s">
        <v>6053</v>
      </c>
      <c r="K4355" t="s">
        <v>6057</v>
      </c>
      <c r="L4355" t="s">
        <v>9502</v>
      </c>
      <c r="M4355">
        <v>1122.9000000000001</v>
      </c>
      <c r="N4355">
        <v>8</v>
      </c>
      <c r="O4355">
        <v>0.13</v>
      </c>
      <c r="P4355">
        <v>34.18</v>
      </c>
      <c r="Q4355" t="s">
        <v>9895</v>
      </c>
      <c r="R4355">
        <v>7</v>
      </c>
      <c r="S4355" s="5">
        <f t="shared" ref="S4355:S4418" si="136">P4355/M4355</f>
        <v>3.0439041766853681E-2</v>
      </c>
      <c r="T4355">
        <v>140.36250000000001</v>
      </c>
      <c r="U4355">
        <v>5</v>
      </c>
      <c r="V4355">
        <v>2024</v>
      </c>
      <c r="W4355">
        <v>2</v>
      </c>
      <c r="X4355" t="s">
        <v>9899</v>
      </c>
      <c r="Y4355" t="s">
        <v>9901</v>
      </c>
      <c r="Z4355" t="s">
        <v>9898</v>
      </c>
      <c r="AD4355">
        <f t="shared" ref="AD4355:AD4418" si="137">C4355-B4355</f>
        <v>7</v>
      </c>
    </row>
    <row r="4356" spans="1:30" x14ac:dyDescent="0.25">
      <c r="A4356" t="s">
        <v>4380</v>
      </c>
      <c r="B4356" s="2">
        <v>45264</v>
      </c>
      <c r="C4356" s="2">
        <v>45267</v>
      </c>
      <c r="D4356" t="s">
        <v>5303</v>
      </c>
      <c r="E4356" t="s">
        <v>5803</v>
      </c>
      <c r="F4356" t="s">
        <v>6027</v>
      </c>
      <c r="G4356" t="s">
        <v>6031</v>
      </c>
      <c r="H4356" t="s">
        <v>6040</v>
      </c>
      <c r="I4356" t="s">
        <v>6052</v>
      </c>
      <c r="J4356" t="s">
        <v>6055</v>
      </c>
      <c r="K4356" t="s">
        <v>6061</v>
      </c>
      <c r="L4356" t="s">
        <v>9503</v>
      </c>
      <c r="M4356">
        <v>522.05999999999995</v>
      </c>
      <c r="N4356">
        <v>6</v>
      </c>
      <c r="O4356">
        <v>0.12</v>
      </c>
      <c r="P4356">
        <v>43.26</v>
      </c>
      <c r="Q4356" t="s">
        <v>9895</v>
      </c>
      <c r="R4356">
        <v>3</v>
      </c>
      <c r="S4356" s="5">
        <f t="shared" si="136"/>
        <v>8.286403861625101E-2</v>
      </c>
      <c r="T4356">
        <v>87.009999999999991</v>
      </c>
      <c r="U4356">
        <v>12</v>
      </c>
      <c r="V4356">
        <v>2023</v>
      </c>
      <c r="W4356">
        <v>4</v>
      </c>
      <c r="X4356" t="s">
        <v>9899</v>
      </c>
      <c r="Y4356" t="s">
        <v>9901</v>
      </c>
      <c r="Z4356" t="s">
        <v>9899</v>
      </c>
      <c r="AD4356">
        <f t="shared" si="137"/>
        <v>3</v>
      </c>
    </row>
    <row r="4357" spans="1:30" x14ac:dyDescent="0.25">
      <c r="A4357" t="s">
        <v>4381</v>
      </c>
      <c r="B4357" s="2">
        <v>44587</v>
      </c>
      <c r="C4357" s="2">
        <v>44594</v>
      </c>
      <c r="D4357" t="s">
        <v>5449</v>
      </c>
      <c r="E4357" t="s">
        <v>5949</v>
      </c>
      <c r="F4357" t="s">
        <v>6028</v>
      </c>
      <c r="G4357" t="s">
        <v>6029</v>
      </c>
      <c r="H4357" t="s">
        <v>6032</v>
      </c>
      <c r="I4357" t="s">
        <v>6049</v>
      </c>
      <c r="J4357" t="s">
        <v>6054</v>
      </c>
      <c r="K4357" t="s">
        <v>6062</v>
      </c>
      <c r="L4357" t="s">
        <v>9504</v>
      </c>
      <c r="M4357">
        <v>1491.34</v>
      </c>
      <c r="N4357">
        <v>5</v>
      </c>
      <c r="O4357">
        <v>0.17</v>
      </c>
      <c r="P4357">
        <v>8.65</v>
      </c>
      <c r="Q4357" t="s">
        <v>9895</v>
      </c>
      <c r="R4357">
        <v>7</v>
      </c>
      <c r="S4357" s="5">
        <f t="shared" si="136"/>
        <v>5.8001528826424559E-3</v>
      </c>
      <c r="T4357">
        <v>298.26799999999997</v>
      </c>
      <c r="U4357">
        <v>1</v>
      </c>
      <c r="V4357">
        <v>2022</v>
      </c>
      <c r="W4357">
        <v>1</v>
      </c>
      <c r="X4357" t="s">
        <v>9899</v>
      </c>
      <c r="Y4357" t="s">
        <v>9900</v>
      </c>
      <c r="Z4357" t="s">
        <v>9898</v>
      </c>
      <c r="AD4357">
        <f t="shared" si="137"/>
        <v>7</v>
      </c>
    </row>
    <row r="4358" spans="1:30" x14ac:dyDescent="0.25">
      <c r="A4358" t="s">
        <v>4382</v>
      </c>
      <c r="B4358" s="2">
        <v>44790</v>
      </c>
      <c r="C4358" s="2">
        <v>44795</v>
      </c>
      <c r="D4358" t="s">
        <v>5136</v>
      </c>
      <c r="E4358" t="s">
        <v>5636</v>
      </c>
      <c r="F4358" t="s">
        <v>6027</v>
      </c>
      <c r="G4358" t="s">
        <v>6030</v>
      </c>
      <c r="H4358" t="s">
        <v>6038</v>
      </c>
      <c r="I4358" t="s">
        <v>6047</v>
      </c>
      <c r="J4358" t="s">
        <v>6053</v>
      </c>
      <c r="K4358" t="s">
        <v>6057</v>
      </c>
      <c r="L4358" t="s">
        <v>9505</v>
      </c>
      <c r="M4358">
        <v>1114.25</v>
      </c>
      <c r="N4358">
        <v>6</v>
      </c>
      <c r="O4358">
        <v>0.26</v>
      </c>
      <c r="P4358">
        <v>-150.99</v>
      </c>
      <c r="Q4358" t="s">
        <v>9894</v>
      </c>
      <c r="R4358">
        <v>5</v>
      </c>
      <c r="S4358" s="5">
        <f t="shared" si="136"/>
        <v>-0.13550818936504375</v>
      </c>
      <c r="T4358">
        <v>185.70833333333329</v>
      </c>
      <c r="U4358">
        <v>8</v>
      </c>
      <c r="V4358">
        <v>2022</v>
      </c>
      <c r="W4358">
        <v>3</v>
      </c>
      <c r="X4358" t="s">
        <v>9898</v>
      </c>
      <c r="Y4358" t="s">
        <v>9900</v>
      </c>
      <c r="Z4358" t="s">
        <v>9898</v>
      </c>
      <c r="AD4358">
        <f t="shared" si="137"/>
        <v>5</v>
      </c>
    </row>
    <row r="4359" spans="1:30" x14ac:dyDescent="0.25">
      <c r="A4359" t="s">
        <v>4383</v>
      </c>
      <c r="B4359" s="2">
        <v>45246</v>
      </c>
      <c r="C4359" s="2">
        <v>45250</v>
      </c>
      <c r="D4359" t="s">
        <v>5450</v>
      </c>
      <c r="E4359" t="s">
        <v>5950</v>
      </c>
      <c r="F4359" t="s">
        <v>6027</v>
      </c>
      <c r="G4359" t="s">
        <v>6031</v>
      </c>
      <c r="H4359" t="s">
        <v>6034</v>
      </c>
      <c r="I4359" t="s">
        <v>6050</v>
      </c>
      <c r="J4359" t="s">
        <v>6053</v>
      </c>
      <c r="K4359" t="s">
        <v>6058</v>
      </c>
      <c r="L4359" t="s">
        <v>9506</v>
      </c>
      <c r="M4359">
        <v>1847.52</v>
      </c>
      <c r="N4359">
        <v>8</v>
      </c>
      <c r="O4359">
        <v>0.32</v>
      </c>
      <c r="P4359">
        <v>-105.16</v>
      </c>
      <c r="Q4359" t="s">
        <v>9895</v>
      </c>
      <c r="R4359">
        <v>4</v>
      </c>
      <c r="S4359" s="5">
        <f t="shared" si="136"/>
        <v>-5.6919546202476835E-2</v>
      </c>
      <c r="T4359">
        <v>230.94</v>
      </c>
      <c r="U4359">
        <v>11</v>
      </c>
      <c r="V4359">
        <v>2023</v>
      </c>
      <c r="W4359">
        <v>4</v>
      </c>
      <c r="X4359" t="s">
        <v>9898</v>
      </c>
      <c r="Y4359" t="s">
        <v>9902</v>
      </c>
      <c r="Z4359" t="s">
        <v>9898</v>
      </c>
      <c r="AD4359">
        <f t="shared" si="137"/>
        <v>4</v>
      </c>
    </row>
    <row r="4360" spans="1:30" x14ac:dyDescent="0.25">
      <c r="A4360" t="s">
        <v>4384</v>
      </c>
      <c r="B4360" s="2">
        <v>45091</v>
      </c>
      <c r="C4360" s="2">
        <v>45092</v>
      </c>
      <c r="D4360" t="s">
        <v>5297</v>
      </c>
      <c r="E4360" t="s">
        <v>5797</v>
      </c>
      <c r="F4360" t="s">
        <v>6026</v>
      </c>
      <c r="G4360" t="s">
        <v>6030</v>
      </c>
      <c r="H4360" t="s">
        <v>6039</v>
      </c>
      <c r="I4360" t="s">
        <v>6047</v>
      </c>
      <c r="J4360" t="s">
        <v>6054</v>
      </c>
      <c r="K4360" t="s">
        <v>6059</v>
      </c>
      <c r="L4360" t="s">
        <v>8076</v>
      </c>
      <c r="M4360">
        <v>1642.42</v>
      </c>
      <c r="N4360">
        <v>5</v>
      </c>
      <c r="O4360">
        <v>0.19</v>
      </c>
      <c r="P4360">
        <v>-0.6</v>
      </c>
      <c r="Q4360" t="s">
        <v>9893</v>
      </c>
      <c r="R4360">
        <v>1</v>
      </c>
      <c r="S4360" s="5">
        <f t="shared" si="136"/>
        <v>-3.6531459675357092E-4</v>
      </c>
      <c r="T4360">
        <v>328.48399999999998</v>
      </c>
      <c r="U4360">
        <v>6</v>
      </c>
      <c r="V4360">
        <v>2023</v>
      </c>
      <c r="W4360">
        <v>2</v>
      </c>
      <c r="X4360" t="s">
        <v>9898</v>
      </c>
      <c r="Y4360" t="s">
        <v>9900</v>
      </c>
      <c r="Z4360" t="s">
        <v>9898</v>
      </c>
      <c r="AD4360">
        <f t="shared" si="137"/>
        <v>1</v>
      </c>
    </row>
    <row r="4361" spans="1:30" x14ac:dyDescent="0.25">
      <c r="A4361" t="s">
        <v>4385</v>
      </c>
      <c r="B4361" s="2">
        <v>45445</v>
      </c>
      <c r="C4361" s="2">
        <v>45446</v>
      </c>
      <c r="D4361" t="s">
        <v>5075</v>
      </c>
      <c r="E4361" t="s">
        <v>5575</v>
      </c>
      <c r="F4361" t="s">
        <v>6027</v>
      </c>
      <c r="G4361" t="s">
        <v>6030</v>
      </c>
      <c r="H4361" t="s">
        <v>6033</v>
      </c>
      <c r="I4361" t="s">
        <v>6051</v>
      </c>
      <c r="J4361" t="s">
        <v>6053</v>
      </c>
      <c r="K4361" t="s">
        <v>6056</v>
      </c>
      <c r="L4361" t="s">
        <v>9507</v>
      </c>
      <c r="M4361">
        <v>927.43</v>
      </c>
      <c r="N4361">
        <v>3</v>
      </c>
      <c r="O4361">
        <v>0.28999999999999998</v>
      </c>
      <c r="P4361">
        <v>-29.62</v>
      </c>
      <c r="Q4361" t="s">
        <v>9893</v>
      </c>
      <c r="R4361">
        <v>1</v>
      </c>
      <c r="S4361" s="5">
        <f t="shared" si="136"/>
        <v>-3.1937720367035786E-2</v>
      </c>
      <c r="T4361">
        <v>309.14333333333332</v>
      </c>
      <c r="U4361">
        <v>6</v>
      </c>
      <c r="V4361">
        <v>2024</v>
      </c>
      <c r="W4361">
        <v>2</v>
      </c>
      <c r="X4361" t="s">
        <v>9898</v>
      </c>
      <c r="Y4361" t="s">
        <v>9900</v>
      </c>
      <c r="Z4361" t="s">
        <v>9899</v>
      </c>
      <c r="AD4361">
        <f t="shared" si="137"/>
        <v>1</v>
      </c>
    </row>
    <row r="4362" spans="1:30" x14ac:dyDescent="0.25">
      <c r="A4362" t="s">
        <v>4386</v>
      </c>
      <c r="B4362" s="2">
        <v>44625</v>
      </c>
      <c r="C4362" s="2">
        <v>44630</v>
      </c>
      <c r="D4362" t="s">
        <v>5346</v>
      </c>
      <c r="E4362" t="s">
        <v>5846</v>
      </c>
      <c r="F4362" t="s">
        <v>6028</v>
      </c>
      <c r="G4362" t="s">
        <v>6029</v>
      </c>
      <c r="H4362" t="s">
        <v>6036</v>
      </c>
      <c r="I4362" t="s">
        <v>6046</v>
      </c>
      <c r="J4362" t="s">
        <v>6055</v>
      </c>
      <c r="K4362" t="s">
        <v>6061</v>
      </c>
      <c r="L4362" t="s">
        <v>8243</v>
      </c>
      <c r="M4362">
        <v>957.22</v>
      </c>
      <c r="N4362">
        <v>8</v>
      </c>
      <c r="O4362">
        <v>0.12</v>
      </c>
      <c r="P4362">
        <v>81.53</v>
      </c>
      <c r="Q4362" t="s">
        <v>9897</v>
      </c>
      <c r="R4362">
        <v>5</v>
      </c>
      <c r="S4362" s="5">
        <f t="shared" si="136"/>
        <v>8.5173732266354649E-2</v>
      </c>
      <c r="T4362">
        <v>119.6525</v>
      </c>
      <c r="U4362">
        <v>3</v>
      </c>
      <c r="V4362">
        <v>2022</v>
      </c>
      <c r="W4362">
        <v>1</v>
      </c>
      <c r="X4362" t="s">
        <v>9899</v>
      </c>
      <c r="Y4362" t="s">
        <v>9901</v>
      </c>
      <c r="Z4362" t="s">
        <v>9899</v>
      </c>
      <c r="AD4362">
        <f t="shared" si="137"/>
        <v>5</v>
      </c>
    </row>
    <row r="4363" spans="1:30" x14ac:dyDescent="0.25">
      <c r="A4363" t="s">
        <v>4387</v>
      </c>
      <c r="B4363" s="2">
        <v>45170</v>
      </c>
      <c r="C4363" s="2">
        <v>45174</v>
      </c>
      <c r="D4363" t="s">
        <v>5054</v>
      </c>
      <c r="E4363" t="s">
        <v>5554</v>
      </c>
      <c r="F4363" t="s">
        <v>6026</v>
      </c>
      <c r="G4363" t="s">
        <v>6030</v>
      </c>
      <c r="H4363" t="s">
        <v>6039</v>
      </c>
      <c r="I4363" t="s">
        <v>6051</v>
      </c>
      <c r="J4363" t="s">
        <v>6055</v>
      </c>
      <c r="K4363" t="s">
        <v>6063</v>
      </c>
      <c r="L4363" t="s">
        <v>9508</v>
      </c>
      <c r="M4363">
        <v>1894.06</v>
      </c>
      <c r="N4363">
        <v>6</v>
      </c>
      <c r="O4363">
        <v>0.03</v>
      </c>
      <c r="P4363">
        <v>492.11</v>
      </c>
      <c r="Q4363" t="s">
        <v>9894</v>
      </c>
      <c r="R4363">
        <v>4</v>
      </c>
      <c r="S4363" s="5">
        <f t="shared" si="136"/>
        <v>0.25981753481938269</v>
      </c>
      <c r="T4363">
        <v>315.67666666666668</v>
      </c>
      <c r="U4363">
        <v>9</v>
      </c>
      <c r="V4363">
        <v>2023</v>
      </c>
      <c r="W4363">
        <v>3</v>
      </c>
      <c r="X4363" t="s">
        <v>9899</v>
      </c>
      <c r="Y4363" t="s">
        <v>9901</v>
      </c>
      <c r="Z4363" t="s">
        <v>9898</v>
      </c>
      <c r="AD4363">
        <f t="shared" si="137"/>
        <v>4</v>
      </c>
    </row>
    <row r="4364" spans="1:30" x14ac:dyDescent="0.25">
      <c r="A4364" t="s">
        <v>4388</v>
      </c>
      <c r="B4364" s="2">
        <v>44598</v>
      </c>
      <c r="C4364" s="2">
        <v>44599</v>
      </c>
      <c r="D4364" t="s">
        <v>5215</v>
      </c>
      <c r="E4364" t="s">
        <v>5715</v>
      </c>
      <c r="F4364" t="s">
        <v>6028</v>
      </c>
      <c r="G4364" t="s">
        <v>6031</v>
      </c>
      <c r="H4364" t="s">
        <v>6043</v>
      </c>
      <c r="I4364" t="s">
        <v>6048</v>
      </c>
      <c r="J4364" t="s">
        <v>6055</v>
      </c>
      <c r="K4364" t="s">
        <v>6063</v>
      </c>
      <c r="L4364" t="s">
        <v>9509</v>
      </c>
      <c r="M4364">
        <v>1830.83</v>
      </c>
      <c r="N4364">
        <v>7</v>
      </c>
      <c r="O4364">
        <v>0.21</v>
      </c>
      <c r="P4364">
        <v>140.53</v>
      </c>
      <c r="Q4364" t="s">
        <v>9895</v>
      </c>
      <c r="R4364">
        <v>1</v>
      </c>
      <c r="S4364" s="5">
        <f t="shared" si="136"/>
        <v>7.6757536199428683E-2</v>
      </c>
      <c r="T4364">
        <v>261.54714285714277</v>
      </c>
      <c r="U4364">
        <v>2</v>
      </c>
      <c r="V4364">
        <v>2022</v>
      </c>
      <c r="W4364">
        <v>1</v>
      </c>
      <c r="X4364" t="s">
        <v>9899</v>
      </c>
      <c r="Y4364" t="s">
        <v>9900</v>
      </c>
      <c r="Z4364" t="s">
        <v>9898</v>
      </c>
      <c r="AD4364">
        <f t="shared" si="137"/>
        <v>1</v>
      </c>
    </row>
    <row r="4365" spans="1:30" x14ac:dyDescent="0.25">
      <c r="A4365" t="s">
        <v>4389</v>
      </c>
      <c r="B4365" s="2">
        <v>44625</v>
      </c>
      <c r="C4365" s="2">
        <v>44628</v>
      </c>
      <c r="D4365" t="s">
        <v>5110</v>
      </c>
      <c r="E4365" t="s">
        <v>5610</v>
      </c>
      <c r="F4365" t="s">
        <v>6027</v>
      </c>
      <c r="G4365" t="s">
        <v>6030</v>
      </c>
      <c r="H4365" t="s">
        <v>6038</v>
      </c>
      <c r="I4365" t="s">
        <v>6047</v>
      </c>
      <c r="J4365" t="s">
        <v>6055</v>
      </c>
      <c r="K4365" t="s">
        <v>6063</v>
      </c>
      <c r="L4365" t="s">
        <v>7206</v>
      </c>
      <c r="M4365">
        <v>1040.99</v>
      </c>
      <c r="N4365">
        <v>2</v>
      </c>
      <c r="O4365">
        <v>0.09</v>
      </c>
      <c r="P4365">
        <v>71.989999999999995</v>
      </c>
      <c r="Q4365" t="s">
        <v>9894</v>
      </c>
      <c r="R4365">
        <v>3</v>
      </c>
      <c r="S4365" s="5">
        <f t="shared" si="136"/>
        <v>6.9155323298014382E-2</v>
      </c>
      <c r="T4365">
        <v>520.495</v>
      </c>
      <c r="U4365">
        <v>3</v>
      </c>
      <c r="V4365">
        <v>2022</v>
      </c>
      <c r="W4365">
        <v>1</v>
      </c>
      <c r="X4365" t="s">
        <v>9899</v>
      </c>
      <c r="Y4365" t="s">
        <v>9901</v>
      </c>
      <c r="Z4365" t="s">
        <v>9898</v>
      </c>
      <c r="AD4365">
        <f t="shared" si="137"/>
        <v>3</v>
      </c>
    </row>
    <row r="4366" spans="1:30" x14ac:dyDescent="0.25">
      <c r="A4366" t="s">
        <v>4390</v>
      </c>
      <c r="B4366" s="2">
        <v>45420</v>
      </c>
      <c r="C4366" s="2">
        <v>45425</v>
      </c>
      <c r="D4366" t="s">
        <v>5405</v>
      </c>
      <c r="E4366" t="s">
        <v>5905</v>
      </c>
      <c r="F4366" t="s">
        <v>6026</v>
      </c>
      <c r="G4366" t="s">
        <v>6030</v>
      </c>
      <c r="H4366" t="s">
        <v>6039</v>
      </c>
      <c r="I4366" t="s">
        <v>6051</v>
      </c>
      <c r="J4366" t="s">
        <v>6053</v>
      </c>
      <c r="K4366" t="s">
        <v>6058</v>
      </c>
      <c r="L4366" t="s">
        <v>9331</v>
      </c>
      <c r="M4366">
        <v>1920.31</v>
      </c>
      <c r="N4366">
        <v>1</v>
      </c>
      <c r="O4366">
        <v>0.02</v>
      </c>
      <c r="P4366">
        <v>477.62</v>
      </c>
      <c r="Q4366" t="s">
        <v>9897</v>
      </c>
      <c r="R4366">
        <v>5</v>
      </c>
      <c r="S4366" s="5">
        <f t="shared" si="136"/>
        <v>0.24872025870822942</v>
      </c>
      <c r="T4366">
        <v>1920.31</v>
      </c>
      <c r="U4366">
        <v>5</v>
      </c>
      <c r="V4366">
        <v>2024</v>
      </c>
      <c r="W4366">
        <v>2</v>
      </c>
      <c r="X4366" t="s">
        <v>9899</v>
      </c>
      <c r="Y4366" t="s">
        <v>9901</v>
      </c>
      <c r="Z4366" t="s">
        <v>9898</v>
      </c>
      <c r="AD4366">
        <f t="shared" si="137"/>
        <v>5</v>
      </c>
    </row>
    <row r="4367" spans="1:30" x14ac:dyDescent="0.25">
      <c r="A4367" t="s">
        <v>4391</v>
      </c>
      <c r="B4367" s="2">
        <v>45063</v>
      </c>
      <c r="C4367" s="2">
        <v>45065</v>
      </c>
      <c r="D4367" t="s">
        <v>5045</v>
      </c>
      <c r="E4367" t="s">
        <v>5545</v>
      </c>
      <c r="F4367" t="s">
        <v>6028</v>
      </c>
      <c r="G4367" t="s">
        <v>6031</v>
      </c>
      <c r="H4367" t="s">
        <v>6043</v>
      </c>
      <c r="I4367" t="s">
        <v>6050</v>
      </c>
      <c r="J4367" t="s">
        <v>6053</v>
      </c>
      <c r="K4367" t="s">
        <v>6058</v>
      </c>
      <c r="L4367" t="s">
        <v>7208</v>
      </c>
      <c r="M4367">
        <v>570.76</v>
      </c>
      <c r="N4367">
        <v>8</v>
      </c>
      <c r="O4367">
        <v>0.06</v>
      </c>
      <c r="P4367">
        <v>91.29</v>
      </c>
      <c r="Q4367" t="s">
        <v>9896</v>
      </c>
      <c r="R4367">
        <v>2</v>
      </c>
      <c r="S4367" s="5">
        <f t="shared" si="136"/>
        <v>0.15994463522321117</v>
      </c>
      <c r="T4367">
        <v>71.344999999999999</v>
      </c>
      <c r="U4367">
        <v>5</v>
      </c>
      <c r="V4367">
        <v>2023</v>
      </c>
      <c r="W4367">
        <v>2</v>
      </c>
      <c r="X4367" t="s">
        <v>9899</v>
      </c>
      <c r="Y4367" t="s">
        <v>9901</v>
      </c>
      <c r="Z4367" t="s">
        <v>9899</v>
      </c>
      <c r="AD4367">
        <f t="shared" si="137"/>
        <v>2</v>
      </c>
    </row>
    <row r="4368" spans="1:30" x14ac:dyDescent="0.25">
      <c r="A4368" t="s">
        <v>4392</v>
      </c>
      <c r="B4368" s="2">
        <v>44793</v>
      </c>
      <c r="C4368" s="2">
        <v>44795</v>
      </c>
      <c r="D4368" t="s">
        <v>5197</v>
      </c>
      <c r="E4368" t="s">
        <v>5697</v>
      </c>
      <c r="F4368" t="s">
        <v>6028</v>
      </c>
      <c r="G4368" t="s">
        <v>6031</v>
      </c>
      <c r="H4368" t="s">
        <v>6043</v>
      </c>
      <c r="I4368" t="s">
        <v>6048</v>
      </c>
      <c r="J4368" t="s">
        <v>6055</v>
      </c>
      <c r="K4368" t="s">
        <v>6064</v>
      </c>
      <c r="L4368" t="s">
        <v>9510</v>
      </c>
      <c r="M4368">
        <v>1252.02</v>
      </c>
      <c r="N4368">
        <v>5</v>
      </c>
      <c r="O4368">
        <v>0.04</v>
      </c>
      <c r="P4368">
        <v>312.16000000000003</v>
      </c>
      <c r="Q4368" t="s">
        <v>9895</v>
      </c>
      <c r="R4368">
        <v>2</v>
      </c>
      <c r="S4368" s="5">
        <f t="shared" si="136"/>
        <v>0.24932509065350397</v>
      </c>
      <c r="T4368">
        <v>250.404</v>
      </c>
      <c r="U4368">
        <v>8</v>
      </c>
      <c r="V4368">
        <v>2022</v>
      </c>
      <c r="W4368">
        <v>3</v>
      </c>
      <c r="X4368" t="s">
        <v>9899</v>
      </c>
      <c r="Y4368" t="s">
        <v>9901</v>
      </c>
      <c r="Z4368" t="s">
        <v>9898</v>
      </c>
      <c r="AD4368">
        <f t="shared" si="137"/>
        <v>2</v>
      </c>
    </row>
    <row r="4369" spans="1:30" x14ac:dyDescent="0.25">
      <c r="A4369" t="s">
        <v>4393</v>
      </c>
      <c r="B4369" s="2">
        <v>45412</v>
      </c>
      <c r="C4369" s="2">
        <v>45415</v>
      </c>
      <c r="D4369" t="s">
        <v>5379</v>
      </c>
      <c r="E4369" t="s">
        <v>5879</v>
      </c>
      <c r="F4369" t="s">
        <v>6026</v>
      </c>
      <c r="G4369" t="s">
        <v>6030</v>
      </c>
      <c r="H4369" t="s">
        <v>6039</v>
      </c>
      <c r="I4369" t="s">
        <v>6047</v>
      </c>
      <c r="J4369" t="s">
        <v>6053</v>
      </c>
      <c r="K4369" t="s">
        <v>6058</v>
      </c>
      <c r="L4369" t="s">
        <v>6291</v>
      </c>
      <c r="M4369">
        <v>180.24</v>
      </c>
      <c r="N4369">
        <v>8</v>
      </c>
      <c r="O4369">
        <v>0.31</v>
      </c>
      <c r="P4369">
        <v>-8.3800000000000008</v>
      </c>
      <c r="Q4369" t="s">
        <v>9897</v>
      </c>
      <c r="R4369">
        <v>3</v>
      </c>
      <c r="S4369" s="5">
        <f t="shared" si="136"/>
        <v>-4.6493564136706612E-2</v>
      </c>
      <c r="T4369">
        <v>22.53</v>
      </c>
      <c r="U4369">
        <v>4</v>
      </c>
      <c r="V4369">
        <v>2024</v>
      </c>
      <c r="W4369">
        <v>2</v>
      </c>
      <c r="X4369" t="s">
        <v>9898</v>
      </c>
      <c r="Y4369" t="s">
        <v>9902</v>
      </c>
      <c r="Z4369" t="s">
        <v>9899</v>
      </c>
      <c r="AD4369">
        <f t="shared" si="137"/>
        <v>3</v>
      </c>
    </row>
    <row r="4370" spans="1:30" x14ac:dyDescent="0.25">
      <c r="A4370" t="s">
        <v>4394</v>
      </c>
      <c r="B4370" s="2">
        <v>44662</v>
      </c>
      <c r="C4370" s="2">
        <v>44667</v>
      </c>
      <c r="D4370" t="s">
        <v>5268</v>
      </c>
      <c r="E4370" t="s">
        <v>5768</v>
      </c>
      <c r="F4370" t="s">
        <v>6027</v>
      </c>
      <c r="G4370" t="s">
        <v>6030</v>
      </c>
      <c r="H4370" t="s">
        <v>6033</v>
      </c>
      <c r="I4370" t="s">
        <v>6047</v>
      </c>
      <c r="J4370" t="s">
        <v>6055</v>
      </c>
      <c r="K4370" t="s">
        <v>6063</v>
      </c>
      <c r="L4370" t="s">
        <v>8484</v>
      </c>
      <c r="M4370">
        <v>742.51</v>
      </c>
      <c r="N4370">
        <v>4</v>
      </c>
      <c r="O4370">
        <v>0.2</v>
      </c>
      <c r="P4370">
        <v>39.840000000000003</v>
      </c>
      <c r="Q4370" t="s">
        <v>9893</v>
      </c>
      <c r="R4370">
        <v>5</v>
      </c>
      <c r="S4370" s="5">
        <f t="shared" si="136"/>
        <v>5.3655843018949247E-2</v>
      </c>
      <c r="T4370">
        <v>185.6275</v>
      </c>
      <c r="U4370">
        <v>4</v>
      </c>
      <c r="V4370">
        <v>2022</v>
      </c>
      <c r="W4370">
        <v>2</v>
      </c>
      <c r="X4370" t="s">
        <v>9899</v>
      </c>
      <c r="Y4370" t="s">
        <v>9900</v>
      </c>
      <c r="Z4370" t="s">
        <v>9899</v>
      </c>
      <c r="AD4370">
        <f t="shared" si="137"/>
        <v>5</v>
      </c>
    </row>
    <row r="4371" spans="1:30" x14ac:dyDescent="0.25">
      <c r="A4371" t="s">
        <v>4395</v>
      </c>
      <c r="B4371" s="2">
        <v>45105</v>
      </c>
      <c r="C4371" s="2">
        <v>45112</v>
      </c>
      <c r="D4371" t="s">
        <v>5484</v>
      </c>
      <c r="E4371" t="s">
        <v>5984</v>
      </c>
      <c r="F4371" t="s">
        <v>6026</v>
      </c>
      <c r="G4371" t="s">
        <v>6030</v>
      </c>
      <c r="H4371" t="s">
        <v>6039</v>
      </c>
      <c r="I4371" t="s">
        <v>6047</v>
      </c>
      <c r="J4371" t="s">
        <v>6054</v>
      </c>
      <c r="K4371" t="s">
        <v>6062</v>
      </c>
      <c r="L4371" t="s">
        <v>9055</v>
      </c>
      <c r="M4371">
        <v>1318.95</v>
      </c>
      <c r="N4371">
        <v>7</v>
      </c>
      <c r="O4371">
        <v>0.32</v>
      </c>
      <c r="P4371">
        <v>-160.25</v>
      </c>
      <c r="Q4371" t="s">
        <v>9893</v>
      </c>
      <c r="R4371">
        <v>7</v>
      </c>
      <c r="S4371" s="5">
        <f t="shared" si="136"/>
        <v>-0.1214981614162781</v>
      </c>
      <c r="T4371">
        <v>188.42142857142861</v>
      </c>
      <c r="U4371">
        <v>6</v>
      </c>
      <c r="V4371">
        <v>2023</v>
      </c>
      <c r="W4371">
        <v>2</v>
      </c>
      <c r="X4371" t="s">
        <v>9898</v>
      </c>
      <c r="Y4371" t="s">
        <v>9902</v>
      </c>
      <c r="Z4371" t="s">
        <v>9898</v>
      </c>
      <c r="AD4371">
        <f t="shared" si="137"/>
        <v>7</v>
      </c>
    </row>
    <row r="4372" spans="1:30" x14ac:dyDescent="0.25">
      <c r="A4372" t="s">
        <v>4396</v>
      </c>
      <c r="B4372" s="2">
        <v>44671</v>
      </c>
      <c r="C4372" s="2">
        <v>44678</v>
      </c>
      <c r="D4372" t="s">
        <v>5440</v>
      </c>
      <c r="E4372" t="s">
        <v>5940</v>
      </c>
      <c r="F4372" t="s">
        <v>6026</v>
      </c>
      <c r="G4372" t="s">
        <v>6030</v>
      </c>
      <c r="H4372" t="s">
        <v>6033</v>
      </c>
      <c r="I4372" t="s">
        <v>6051</v>
      </c>
      <c r="J4372" t="s">
        <v>6054</v>
      </c>
      <c r="K4372" t="s">
        <v>6059</v>
      </c>
      <c r="L4372" t="s">
        <v>8714</v>
      </c>
      <c r="M4372">
        <v>1123.75</v>
      </c>
      <c r="N4372">
        <v>4</v>
      </c>
      <c r="O4372">
        <v>0.05</v>
      </c>
      <c r="P4372">
        <v>75.400000000000006</v>
      </c>
      <c r="Q4372" t="s">
        <v>9897</v>
      </c>
      <c r="R4372">
        <v>7</v>
      </c>
      <c r="S4372" s="5">
        <f t="shared" si="136"/>
        <v>6.7096774193548397E-2</v>
      </c>
      <c r="T4372">
        <v>280.9375</v>
      </c>
      <c r="U4372">
        <v>4</v>
      </c>
      <c r="V4372">
        <v>2022</v>
      </c>
      <c r="W4372">
        <v>2</v>
      </c>
      <c r="X4372" t="s">
        <v>9899</v>
      </c>
      <c r="Y4372" t="s">
        <v>9901</v>
      </c>
      <c r="Z4372" t="s">
        <v>9898</v>
      </c>
      <c r="AD4372">
        <f t="shared" si="137"/>
        <v>7</v>
      </c>
    </row>
    <row r="4373" spans="1:30" x14ac:dyDescent="0.25">
      <c r="A4373" t="s">
        <v>4397</v>
      </c>
      <c r="B4373" s="2">
        <v>45361</v>
      </c>
      <c r="C4373" s="2">
        <v>45367</v>
      </c>
      <c r="D4373" t="s">
        <v>5300</v>
      </c>
      <c r="E4373" t="s">
        <v>5800</v>
      </c>
      <c r="F4373" t="s">
        <v>6026</v>
      </c>
      <c r="G4373" t="s">
        <v>6031</v>
      </c>
      <c r="H4373" t="s">
        <v>6037</v>
      </c>
      <c r="I4373" t="s">
        <v>6048</v>
      </c>
      <c r="J4373" t="s">
        <v>6054</v>
      </c>
      <c r="K4373" t="s">
        <v>6059</v>
      </c>
      <c r="L4373" t="s">
        <v>7250</v>
      </c>
      <c r="M4373">
        <v>334.68</v>
      </c>
      <c r="N4373">
        <v>1</v>
      </c>
      <c r="O4373">
        <v>0.04</v>
      </c>
      <c r="P4373">
        <v>34.24</v>
      </c>
      <c r="Q4373" t="s">
        <v>9895</v>
      </c>
      <c r="R4373">
        <v>6</v>
      </c>
      <c r="S4373" s="5">
        <f t="shared" si="136"/>
        <v>0.10230668100872475</v>
      </c>
      <c r="T4373">
        <v>334.68</v>
      </c>
      <c r="U4373">
        <v>3</v>
      </c>
      <c r="V4373">
        <v>2024</v>
      </c>
      <c r="W4373">
        <v>1</v>
      </c>
      <c r="X4373" t="s">
        <v>9899</v>
      </c>
      <c r="Y4373" t="s">
        <v>9901</v>
      </c>
      <c r="Z4373" t="s">
        <v>9899</v>
      </c>
      <c r="AD4373">
        <f t="shared" si="137"/>
        <v>6</v>
      </c>
    </row>
    <row r="4374" spans="1:30" x14ac:dyDescent="0.25">
      <c r="A4374" t="s">
        <v>4398</v>
      </c>
      <c r="B4374" s="2">
        <v>45278</v>
      </c>
      <c r="C4374" s="2">
        <v>45282</v>
      </c>
      <c r="D4374" t="s">
        <v>5251</v>
      </c>
      <c r="E4374" t="s">
        <v>5751</v>
      </c>
      <c r="F4374" t="s">
        <v>6028</v>
      </c>
      <c r="G4374" t="s">
        <v>6029</v>
      </c>
      <c r="H4374" t="s">
        <v>6036</v>
      </c>
      <c r="I4374" t="s">
        <v>6049</v>
      </c>
      <c r="J4374" t="s">
        <v>6053</v>
      </c>
      <c r="K4374" t="s">
        <v>6057</v>
      </c>
      <c r="L4374" t="s">
        <v>8718</v>
      </c>
      <c r="M4374">
        <v>1873.56</v>
      </c>
      <c r="N4374">
        <v>7</v>
      </c>
      <c r="O4374">
        <v>0.33</v>
      </c>
      <c r="P4374">
        <v>-369.11</v>
      </c>
      <c r="Q4374" t="s">
        <v>9895</v>
      </c>
      <c r="R4374">
        <v>4</v>
      </c>
      <c r="S4374" s="5">
        <f t="shared" si="136"/>
        <v>-0.19700997032387541</v>
      </c>
      <c r="T4374">
        <v>267.65142857142848</v>
      </c>
      <c r="U4374">
        <v>12</v>
      </c>
      <c r="V4374">
        <v>2023</v>
      </c>
      <c r="W4374">
        <v>4</v>
      </c>
      <c r="X4374" t="s">
        <v>9898</v>
      </c>
      <c r="Y4374" t="s">
        <v>9902</v>
      </c>
      <c r="Z4374" t="s">
        <v>9898</v>
      </c>
      <c r="AD4374">
        <f t="shared" si="137"/>
        <v>4</v>
      </c>
    </row>
    <row r="4375" spans="1:30" x14ac:dyDescent="0.25">
      <c r="A4375" t="s">
        <v>4399</v>
      </c>
      <c r="B4375" s="2">
        <v>44577</v>
      </c>
      <c r="C4375" s="2">
        <v>44582</v>
      </c>
      <c r="D4375" t="s">
        <v>5334</v>
      </c>
      <c r="E4375" t="s">
        <v>5834</v>
      </c>
      <c r="F4375" t="s">
        <v>6026</v>
      </c>
      <c r="G4375" t="s">
        <v>6031</v>
      </c>
      <c r="H4375" t="s">
        <v>6034</v>
      </c>
      <c r="I4375" t="s">
        <v>6052</v>
      </c>
      <c r="J4375" t="s">
        <v>6053</v>
      </c>
      <c r="K4375" t="s">
        <v>6058</v>
      </c>
      <c r="L4375" t="s">
        <v>9511</v>
      </c>
      <c r="M4375">
        <v>112.93</v>
      </c>
      <c r="N4375">
        <v>7</v>
      </c>
      <c r="O4375">
        <v>0.01</v>
      </c>
      <c r="P4375">
        <v>18.170000000000002</v>
      </c>
      <c r="Q4375" t="s">
        <v>9894</v>
      </c>
      <c r="R4375">
        <v>5</v>
      </c>
      <c r="S4375" s="5">
        <f t="shared" si="136"/>
        <v>0.16089613034623218</v>
      </c>
      <c r="T4375">
        <v>16.132857142857141</v>
      </c>
      <c r="U4375">
        <v>1</v>
      </c>
      <c r="V4375">
        <v>2022</v>
      </c>
      <c r="W4375">
        <v>1</v>
      </c>
      <c r="X4375" t="s">
        <v>9899</v>
      </c>
      <c r="Y4375" t="s">
        <v>9901</v>
      </c>
      <c r="Z4375" t="s">
        <v>9899</v>
      </c>
      <c r="AD4375">
        <f t="shared" si="137"/>
        <v>5</v>
      </c>
    </row>
    <row r="4376" spans="1:30" x14ac:dyDescent="0.25">
      <c r="A4376" t="s">
        <v>4400</v>
      </c>
      <c r="B4376" s="2">
        <v>44754</v>
      </c>
      <c r="C4376" s="2">
        <v>44760</v>
      </c>
      <c r="D4376" t="s">
        <v>5320</v>
      </c>
      <c r="E4376" t="s">
        <v>5820</v>
      </c>
      <c r="F4376" t="s">
        <v>6028</v>
      </c>
      <c r="G4376" t="s">
        <v>6029</v>
      </c>
      <c r="H4376" t="s">
        <v>6041</v>
      </c>
      <c r="I4376" t="s">
        <v>6046</v>
      </c>
      <c r="J4376" t="s">
        <v>6054</v>
      </c>
      <c r="K4376" t="s">
        <v>6062</v>
      </c>
      <c r="L4376" t="s">
        <v>9512</v>
      </c>
      <c r="M4376">
        <v>957.22</v>
      </c>
      <c r="N4376">
        <v>1</v>
      </c>
      <c r="O4376">
        <v>0.28000000000000003</v>
      </c>
      <c r="P4376">
        <v>-95.08</v>
      </c>
      <c r="Q4376" t="s">
        <v>9896</v>
      </c>
      <c r="R4376">
        <v>6</v>
      </c>
      <c r="S4376" s="5">
        <f t="shared" si="136"/>
        <v>-9.9329307787133572E-2</v>
      </c>
      <c r="T4376">
        <v>957.22</v>
      </c>
      <c r="U4376">
        <v>7</v>
      </c>
      <c r="V4376">
        <v>2022</v>
      </c>
      <c r="W4376">
        <v>3</v>
      </c>
      <c r="X4376" t="s">
        <v>9898</v>
      </c>
      <c r="Y4376" t="s">
        <v>9900</v>
      </c>
      <c r="Z4376" t="s">
        <v>9899</v>
      </c>
      <c r="AD4376">
        <f t="shared" si="137"/>
        <v>6</v>
      </c>
    </row>
    <row r="4377" spans="1:30" x14ac:dyDescent="0.25">
      <c r="A4377" t="s">
        <v>4401</v>
      </c>
      <c r="B4377" s="2">
        <v>44662</v>
      </c>
      <c r="C4377" s="2">
        <v>44665</v>
      </c>
      <c r="D4377" t="s">
        <v>5314</v>
      </c>
      <c r="E4377" t="s">
        <v>5814</v>
      </c>
      <c r="F4377" t="s">
        <v>6027</v>
      </c>
      <c r="G4377" t="s">
        <v>6031</v>
      </c>
      <c r="H4377" t="s">
        <v>6034</v>
      </c>
      <c r="I4377" t="s">
        <v>6052</v>
      </c>
      <c r="J4377" t="s">
        <v>6055</v>
      </c>
      <c r="K4377" t="s">
        <v>6061</v>
      </c>
      <c r="L4377" t="s">
        <v>9513</v>
      </c>
      <c r="M4377">
        <v>1079.07</v>
      </c>
      <c r="N4377">
        <v>7</v>
      </c>
      <c r="O4377">
        <v>0.16</v>
      </c>
      <c r="P4377">
        <v>-29.9</v>
      </c>
      <c r="Q4377" t="s">
        <v>9895</v>
      </c>
      <c r="R4377">
        <v>3</v>
      </c>
      <c r="S4377" s="5">
        <f t="shared" si="136"/>
        <v>-2.7709045752360828E-2</v>
      </c>
      <c r="T4377">
        <v>154.1528571428571</v>
      </c>
      <c r="U4377">
        <v>4</v>
      </c>
      <c r="V4377">
        <v>2022</v>
      </c>
      <c r="W4377">
        <v>2</v>
      </c>
      <c r="X4377" t="s">
        <v>9898</v>
      </c>
      <c r="Y4377" t="s">
        <v>9900</v>
      </c>
      <c r="Z4377" t="s">
        <v>9898</v>
      </c>
      <c r="AD4377">
        <f t="shared" si="137"/>
        <v>3</v>
      </c>
    </row>
    <row r="4378" spans="1:30" x14ac:dyDescent="0.25">
      <c r="A4378" t="s">
        <v>4402</v>
      </c>
      <c r="B4378" s="2">
        <v>45077</v>
      </c>
      <c r="C4378" s="2">
        <v>45081</v>
      </c>
      <c r="D4378" t="s">
        <v>5419</v>
      </c>
      <c r="E4378" t="s">
        <v>5919</v>
      </c>
      <c r="F4378" t="s">
        <v>6028</v>
      </c>
      <c r="G4378" t="s">
        <v>6029</v>
      </c>
      <c r="H4378" t="s">
        <v>6045</v>
      </c>
      <c r="I4378" t="s">
        <v>6050</v>
      </c>
      <c r="J4378" t="s">
        <v>6055</v>
      </c>
      <c r="K4378" t="s">
        <v>6064</v>
      </c>
      <c r="L4378" t="s">
        <v>8451</v>
      </c>
      <c r="M4378">
        <v>1261.3699999999999</v>
      </c>
      <c r="N4378">
        <v>7</v>
      </c>
      <c r="O4378">
        <v>0.17</v>
      </c>
      <c r="P4378">
        <v>105.91</v>
      </c>
      <c r="Q4378" t="s">
        <v>9893</v>
      </c>
      <c r="R4378">
        <v>4</v>
      </c>
      <c r="S4378" s="5">
        <f t="shared" si="136"/>
        <v>8.396426108120536E-2</v>
      </c>
      <c r="T4378">
        <v>180.1957142857143</v>
      </c>
      <c r="U4378">
        <v>5</v>
      </c>
      <c r="V4378">
        <v>2023</v>
      </c>
      <c r="W4378">
        <v>2</v>
      </c>
      <c r="X4378" t="s">
        <v>9899</v>
      </c>
      <c r="Y4378" t="s">
        <v>9900</v>
      </c>
      <c r="Z4378" t="s">
        <v>9898</v>
      </c>
      <c r="AD4378">
        <f t="shared" si="137"/>
        <v>4</v>
      </c>
    </row>
    <row r="4379" spans="1:30" x14ac:dyDescent="0.25">
      <c r="A4379" t="s">
        <v>4403</v>
      </c>
      <c r="B4379" s="2">
        <v>44958</v>
      </c>
      <c r="C4379" s="2">
        <v>44960</v>
      </c>
      <c r="D4379" t="s">
        <v>5260</v>
      </c>
      <c r="E4379" t="s">
        <v>5760</v>
      </c>
      <c r="F4379" t="s">
        <v>6028</v>
      </c>
      <c r="G4379" t="s">
        <v>6030</v>
      </c>
      <c r="H4379" t="s">
        <v>6035</v>
      </c>
      <c r="I4379" t="s">
        <v>6051</v>
      </c>
      <c r="J4379" t="s">
        <v>6054</v>
      </c>
      <c r="K4379" t="s">
        <v>6062</v>
      </c>
      <c r="L4379" t="s">
        <v>8168</v>
      </c>
      <c r="M4379">
        <v>650.49</v>
      </c>
      <c r="N4379">
        <v>2</v>
      </c>
      <c r="O4379">
        <v>0.15</v>
      </c>
      <c r="P4379">
        <v>21.45</v>
      </c>
      <c r="Q4379" t="s">
        <v>9894</v>
      </c>
      <c r="R4379">
        <v>2</v>
      </c>
      <c r="S4379" s="5">
        <f t="shared" si="136"/>
        <v>3.2975141816169347E-2</v>
      </c>
      <c r="T4379">
        <v>325.245</v>
      </c>
      <c r="U4379">
        <v>2</v>
      </c>
      <c r="V4379">
        <v>2023</v>
      </c>
      <c r="W4379">
        <v>1</v>
      </c>
      <c r="X4379" t="s">
        <v>9899</v>
      </c>
      <c r="Y4379" t="s">
        <v>9901</v>
      </c>
      <c r="Z4379" t="s">
        <v>9899</v>
      </c>
      <c r="AD4379">
        <f t="shared" si="137"/>
        <v>2</v>
      </c>
    </row>
    <row r="4380" spans="1:30" x14ac:dyDescent="0.25">
      <c r="A4380" t="s">
        <v>4404</v>
      </c>
      <c r="B4380" s="2">
        <v>45368</v>
      </c>
      <c r="C4380" s="2">
        <v>45370</v>
      </c>
      <c r="D4380" t="s">
        <v>5507</v>
      </c>
      <c r="E4380" t="s">
        <v>6007</v>
      </c>
      <c r="F4380" t="s">
        <v>6026</v>
      </c>
      <c r="G4380" t="s">
        <v>6031</v>
      </c>
      <c r="H4380" t="s">
        <v>6043</v>
      </c>
      <c r="I4380" t="s">
        <v>6050</v>
      </c>
      <c r="J4380" t="s">
        <v>6053</v>
      </c>
      <c r="K4380" t="s">
        <v>6057</v>
      </c>
      <c r="L4380" t="s">
        <v>9514</v>
      </c>
      <c r="M4380">
        <v>127.23</v>
      </c>
      <c r="N4380">
        <v>5</v>
      </c>
      <c r="O4380">
        <v>0.08</v>
      </c>
      <c r="P4380">
        <v>24.79</v>
      </c>
      <c r="Q4380" t="s">
        <v>9895</v>
      </c>
      <c r="R4380">
        <v>2</v>
      </c>
      <c r="S4380" s="5">
        <f t="shared" si="136"/>
        <v>0.19484398333726322</v>
      </c>
      <c r="T4380">
        <v>25.446000000000002</v>
      </c>
      <c r="U4380">
        <v>3</v>
      </c>
      <c r="V4380">
        <v>2024</v>
      </c>
      <c r="W4380">
        <v>1</v>
      </c>
      <c r="X4380" t="s">
        <v>9899</v>
      </c>
      <c r="Y4380" t="s">
        <v>9901</v>
      </c>
      <c r="Z4380" t="s">
        <v>9899</v>
      </c>
      <c r="AD4380">
        <f t="shared" si="137"/>
        <v>2</v>
      </c>
    </row>
    <row r="4381" spans="1:30" x14ac:dyDescent="0.25">
      <c r="A4381" t="s">
        <v>4405</v>
      </c>
      <c r="B4381" s="2">
        <v>44637</v>
      </c>
      <c r="C4381" s="2">
        <v>44642</v>
      </c>
      <c r="D4381" t="s">
        <v>5068</v>
      </c>
      <c r="E4381" t="s">
        <v>5568</v>
      </c>
      <c r="F4381" t="s">
        <v>6028</v>
      </c>
      <c r="G4381" t="s">
        <v>6029</v>
      </c>
      <c r="H4381" t="s">
        <v>6045</v>
      </c>
      <c r="I4381" t="s">
        <v>6050</v>
      </c>
      <c r="J4381" t="s">
        <v>6055</v>
      </c>
      <c r="K4381" t="s">
        <v>6064</v>
      </c>
      <c r="L4381" t="s">
        <v>9515</v>
      </c>
      <c r="M4381">
        <v>1481.86</v>
      </c>
      <c r="N4381">
        <v>6</v>
      </c>
      <c r="O4381">
        <v>0.03</v>
      </c>
      <c r="P4381">
        <v>197.22</v>
      </c>
      <c r="Q4381" t="s">
        <v>9895</v>
      </c>
      <c r="R4381">
        <v>5</v>
      </c>
      <c r="S4381" s="5">
        <f t="shared" si="136"/>
        <v>0.13308949563386555</v>
      </c>
      <c r="T4381">
        <v>246.97666666666669</v>
      </c>
      <c r="U4381">
        <v>3</v>
      </c>
      <c r="V4381">
        <v>2022</v>
      </c>
      <c r="W4381">
        <v>1</v>
      </c>
      <c r="X4381" t="s">
        <v>9899</v>
      </c>
      <c r="Y4381" t="s">
        <v>9901</v>
      </c>
      <c r="Z4381" t="s">
        <v>9898</v>
      </c>
      <c r="AD4381">
        <f t="shared" si="137"/>
        <v>5</v>
      </c>
    </row>
    <row r="4382" spans="1:30" x14ac:dyDescent="0.25">
      <c r="A4382" t="s">
        <v>4406</v>
      </c>
      <c r="B4382" s="2">
        <v>45228</v>
      </c>
      <c r="C4382" s="2">
        <v>45229</v>
      </c>
      <c r="D4382" t="s">
        <v>5142</v>
      </c>
      <c r="E4382" t="s">
        <v>5642</v>
      </c>
      <c r="F4382" t="s">
        <v>6026</v>
      </c>
      <c r="G4382" t="s">
        <v>6029</v>
      </c>
      <c r="H4382" t="s">
        <v>6041</v>
      </c>
      <c r="I4382" t="s">
        <v>6049</v>
      </c>
      <c r="J4382" t="s">
        <v>6054</v>
      </c>
      <c r="K4382" t="s">
        <v>6059</v>
      </c>
      <c r="L4382" t="s">
        <v>9516</v>
      </c>
      <c r="M4382">
        <v>1141.1500000000001</v>
      </c>
      <c r="N4382">
        <v>5</v>
      </c>
      <c r="O4382">
        <v>0.14000000000000001</v>
      </c>
      <c r="P4382">
        <v>80.19</v>
      </c>
      <c r="Q4382" t="s">
        <v>9894</v>
      </c>
      <c r="R4382">
        <v>1</v>
      </c>
      <c r="S4382" s="5">
        <f t="shared" si="136"/>
        <v>7.0271217631336799E-2</v>
      </c>
      <c r="T4382">
        <v>228.23</v>
      </c>
      <c r="U4382">
        <v>10</v>
      </c>
      <c r="V4382">
        <v>2023</v>
      </c>
      <c r="W4382">
        <v>4</v>
      </c>
      <c r="X4382" t="s">
        <v>9899</v>
      </c>
      <c r="Y4382" t="s">
        <v>9901</v>
      </c>
      <c r="Z4382" t="s">
        <v>9898</v>
      </c>
      <c r="AD4382">
        <f t="shared" si="137"/>
        <v>1</v>
      </c>
    </row>
    <row r="4383" spans="1:30" x14ac:dyDescent="0.25">
      <c r="A4383" t="s">
        <v>4407</v>
      </c>
      <c r="B4383" s="2">
        <v>45411</v>
      </c>
      <c r="C4383" s="2">
        <v>45418</v>
      </c>
      <c r="D4383" t="s">
        <v>5494</v>
      </c>
      <c r="E4383" t="s">
        <v>5994</v>
      </c>
      <c r="F4383" t="s">
        <v>6026</v>
      </c>
      <c r="G4383" t="s">
        <v>6030</v>
      </c>
      <c r="H4383" t="s">
        <v>6038</v>
      </c>
      <c r="I4383" t="s">
        <v>6051</v>
      </c>
      <c r="J4383" t="s">
        <v>6055</v>
      </c>
      <c r="K4383" t="s">
        <v>6064</v>
      </c>
      <c r="L4383" t="s">
        <v>9517</v>
      </c>
      <c r="M4383">
        <v>205</v>
      </c>
      <c r="N4383">
        <v>4</v>
      </c>
      <c r="O4383">
        <v>0.34</v>
      </c>
      <c r="P4383">
        <v>-49.13</v>
      </c>
      <c r="Q4383" t="s">
        <v>9897</v>
      </c>
      <c r="R4383">
        <v>7</v>
      </c>
      <c r="S4383" s="5">
        <f t="shared" si="136"/>
        <v>-0.23965853658536587</v>
      </c>
      <c r="T4383">
        <v>51.25</v>
      </c>
      <c r="U4383">
        <v>4</v>
      </c>
      <c r="V4383">
        <v>2024</v>
      </c>
      <c r="W4383">
        <v>2</v>
      </c>
      <c r="X4383" t="s">
        <v>9898</v>
      </c>
      <c r="Y4383" t="s">
        <v>9902</v>
      </c>
      <c r="Z4383" t="s">
        <v>9899</v>
      </c>
      <c r="AD4383">
        <f t="shared" si="137"/>
        <v>7</v>
      </c>
    </row>
    <row r="4384" spans="1:30" x14ac:dyDescent="0.25">
      <c r="A4384" t="s">
        <v>4408</v>
      </c>
      <c r="B4384" s="2">
        <v>44842</v>
      </c>
      <c r="C4384" s="2">
        <v>44846</v>
      </c>
      <c r="D4384" t="s">
        <v>5414</v>
      </c>
      <c r="E4384" t="s">
        <v>5914</v>
      </c>
      <c r="F4384" t="s">
        <v>6026</v>
      </c>
      <c r="G4384" t="s">
        <v>6031</v>
      </c>
      <c r="H4384" t="s">
        <v>6034</v>
      </c>
      <c r="I4384" t="s">
        <v>6048</v>
      </c>
      <c r="J4384" t="s">
        <v>6054</v>
      </c>
      <c r="K4384" t="s">
        <v>6062</v>
      </c>
      <c r="L4384" t="s">
        <v>9518</v>
      </c>
      <c r="M4384">
        <v>210.78</v>
      </c>
      <c r="N4384">
        <v>3</v>
      </c>
      <c r="O4384">
        <v>0.17</v>
      </c>
      <c r="P4384">
        <v>14.72</v>
      </c>
      <c r="Q4384" t="s">
        <v>9893</v>
      </c>
      <c r="R4384">
        <v>4</v>
      </c>
      <c r="S4384" s="5">
        <f t="shared" si="136"/>
        <v>6.9835847803396911E-2</v>
      </c>
      <c r="T4384">
        <v>70.260000000000005</v>
      </c>
      <c r="U4384">
        <v>10</v>
      </c>
      <c r="V4384">
        <v>2022</v>
      </c>
      <c r="W4384">
        <v>4</v>
      </c>
      <c r="X4384" t="s">
        <v>9899</v>
      </c>
      <c r="Y4384" t="s">
        <v>9900</v>
      </c>
      <c r="Z4384" t="s">
        <v>9899</v>
      </c>
      <c r="AD4384">
        <f t="shared" si="137"/>
        <v>4</v>
      </c>
    </row>
    <row r="4385" spans="1:30" x14ac:dyDescent="0.25">
      <c r="A4385" t="s">
        <v>4409</v>
      </c>
      <c r="B4385" s="2">
        <v>45060</v>
      </c>
      <c r="C4385" s="2">
        <v>45062</v>
      </c>
      <c r="D4385" t="s">
        <v>5352</v>
      </c>
      <c r="E4385" t="s">
        <v>5852</v>
      </c>
      <c r="F4385" t="s">
        <v>6028</v>
      </c>
      <c r="G4385" t="s">
        <v>6030</v>
      </c>
      <c r="H4385" t="s">
        <v>6033</v>
      </c>
      <c r="I4385" t="s">
        <v>6051</v>
      </c>
      <c r="J4385" t="s">
        <v>6055</v>
      </c>
      <c r="K4385" t="s">
        <v>6063</v>
      </c>
      <c r="L4385" t="s">
        <v>9519</v>
      </c>
      <c r="M4385">
        <v>1916.81</v>
      </c>
      <c r="N4385">
        <v>8</v>
      </c>
      <c r="O4385">
        <v>0.06</v>
      </c>
      <c r="P4385">
        <v>225.68</v>
      </c>
      <c r="Q4385" t="s">
        <v>9894</v>
      </c>
      <c r="R4385">
        <v>2</v>
      </c>
      <c r="S4385" s="5">
        <f t="shared" si="136"/>
        <v>0.11773728225541395</v>
      </c>
      <c r="T4385">
        <v>239.60124999999999</v>
      </c>
      <c r="U4385">
        <v>5</v>
      </c>
      <c r="V4385">
        <v>2023</v>
      </c>
      <c r="W4385">
        <v>2</v>
      </c>
      <c r="X4385" t="s">
        <v>9899</v>
      </c>
      <c r="Y4385" t="s">
        <v>9901</v>
      </c>
      <c r="Z4385" t="s">
        <v>9898</v>
      </c>
      <c r="AD4385">
        <f t="shared" si="137"/>
        <v>2</v>
      </c>
    </row>
    <row r="4386" spans="1:30" x14ac:dyDescent="0.25">
      <c r="A4386" t="s">
        <v>4410</v>
      </c>
      <c r="B4386" s="2">
        <v>44685</v>
      </c>
      <c r="C4386" s="2">
        <v>44692</v>
      </c>
      <c r="D4386" t="s">
        <v>5117</v>
      </c>
      <c r="E4386" t="s">
        <v>5617</v>
      </c>
      <c r="F4386" t="s">
        <v>6028</v>
      </c>
      <c r="G4386" t="s">
        <v>6030</v>
      </c>
      <c r="H4386" t="s">
        <v>6033</v>
      </c>
      <c r="I4386" t="s">
        <v>6051</v>
      </c>
      <c r="J4386" t="s">
        <v>6054</v>
      </c>
      <c r="K4386" t="s">
        <v>6062</v>
      </c>
      <c r="L4386" t="s">
        <v>9520</v>
      </c>
      <c r="M4386">
        <v>180.39</v>
      </c>
      <c r="N4386">
        <v>3</v>
      </c>
      <c r="O4386">
        <v>0.11</v>
      </c>
      <c r="P4386">
        <v>27.66</v>
      </c>
      <c r="Q4386" t="s">
        <v>9897</v>
      </c>
      <c r="R4386">
        <v>7</v>
      </c>
      <c r="S4386" s="5">
        <f t="shared" si="136"/>
        <v>0.15333444204224181</v>
      </c>
      <c r="T4386">
        <v>60.13</v>
      </c>
      <c r="U4386">
        <v>5</v>
      </c>
      <c r="V4386">
        <v>2022</v>
      </c>
      <c r="W4386">
        <v>2</v>
      </c>
      <c r="X4386" t="s">
        <v>9899</v>
      </c>
      <c r="Y4386" t="s">
        <v>9901</v>
      </c>
      <c r="Z4386" t="s">
        <v>9899</v>
      </c>
      <c r="AD4386">
        <f t="shared" si="137"/>
        <v>7</v>
      </c>
    </row>
    <row r="4387" spans="1:30" x14ac:dyDescent="0.25">
      <c r="A4387" t="s">
        <v>4411</v>
      </c>
      <c r="B4387" s="2">
        <v>44622</v>
      </c>
      <c r="C4387" s="2">
        <v>44629</v>
      </c>
      <c r="D4387" t="s">
        <v>5156</v>
      </c>
      <c r="E4387" t="s">
        <v>5656</v>
      </c>
      <c r="F4387" t="s">
        <v>6026</v>
      </c>
      <c r="G4387" t="s">
        <v>6031</v>
      </c>
      <c r="H4387" t="s">
        <v>6043</v>
      </c>
      <c r="I4387" t="s">
        <v>6050</v>
      </c>
      <c r="J4387" t="s">
        <v>6054</v>
      </c>
      <c r="K4387" t="s">
        <v>6059</v>
      </c>
      <c r="L4387" t="s">
        <v>7373</v>
      </c>
      <c r="M4387">
        <v>1781.74</v>
      </c>
      <c r="N4387">
        <v>7</v>
      </c>
      <c r="O4387">
        <v>0.1</v>
      </c>
      <c r="P4387">
        <v>99.09</v>
      </c>
      <c r="Q4387" t="s">
        <v>9896</v>
      </c>
      <c r="R4387">
        <v>7</v>
      </c>
      <c r="S4387" s="5">
        <f t="shared" si="136"/>
        <v>5.5614174907674521E-2</v>
      </c>
      <c r="T4387">
        <v>254.53428571428569</v>
      </c>
      <c r="U4387">
        <v>3</v>
      </c>
      <c r="V4387">
        <v>2022</v>
      </c>
      <c r="W4387">
        <v>1</v>
      </c>
      <c r="X4387" t="s">
        <v>9899</v>
      </c>
      <c r="Y4387" t="s">
        <v>9901</v>
      </c>
      <c r="Z4387" t="s">
        <v>9898</v>
      </c>
      <c r="AD4387">
        <f t="shared" si="137"/>
        <v>7</v>
      </c>
    </row>
    <row r="4388" spans="1:30" x14ac:dyDescent="0.25">
      <c r="A4388" t="s">
        <v>4412</v>
      </c>
      <c r="B4388" s="2">
        <v>44632</v>
      </c>
      <c r="C4388" s="2">
        <v>44633</v>
      </c>
      <c r="D4388" t="s">
        <v>5034</v>
      </c>
      <c r="E4388" t="s">
        <v>5534</v>
      </c>
      <c r="F4388" t="s">
        <v>6028</v>
      </c>
      <c r="G4388" t="s">
        <v>6031</v>
      </c>
      <c r="H4388" t="s">
        <v>6034</v>
      </c>
      <c r="I4388" t="s">
        <v>6048</v>
      </c>
      <c r="J4388" t="s">
        <v>6055</v>
      </c>
      <c r="K4388" t="s">
        <v>6061</v>
      </c>
      <c r="L4388" t="s">
        <v>9521</v>
      </c>
      <c r="M4388">
        <v>1353.7</v>
      </c>
      <c r="N4388">
        <v>5</v>
      </c>
      <c r="O4388">
        <v>0.17</v>
      </c>
      <c r="P4388">
        <v>133.99</v>
      </c>
      <c r="Q4388" t="s">
        <v>9895</v>
      </c>
      <c r="R4388">
        <v>1</v>
      </c>
      <c r="S4388" s="5">
        <f t="shared" si="136"/>
        <v>9.8980571766270231E-2</v>
      </c>
      <c r="T4388">
        <v>270.74</v>
      </c>
      <c r="U4388">
        <v>3</v>
      </c>
      <c r="V4388">
        <v>2022</v>
      </c>
      <c r="W4388">
        <v>1</v>
      </c>
      <c r="X4388" t="s">
        <v>9899</v>
      </c>
      <c r="Y4388" t="s">
        <v>9900</v>
      </c>
      <c r="Z4388" t="s">
        <v>9898</v>
      </c>
      <c r="AD4388">
        <f t="shared" si="137"/>
        <v>1</v>
      </c>
    </row>
    <row r="4389" spans="1:30" x14ac:dyDescent="0.25">
      <c r="A4389" t="s">
        <v>4413</v>
      </c>
      <c r="B4389" s="2">
        <v>45308</v>
      </c>
      <c r="C4389" s="2">
        <v>45312</v>
      </c>
      <c r="D4389" t="s">
        <v>5086</v>
      </c>
      <c r="E4389" t="s">
        <v>5586</v>
      </c>
      <c r="F4389" t="s">
        <v>6028</v>
      </c>
      <c r="G4389" t="s">
        <v>6031</v>
      </c>
      <c r="H4389" t="s">
        <v>6040</v>
      </c>
      <c r="I4389" t="s">
        <v>6050</v>
      </c>
      <c r="J4389" t="s">
        <v>6054</v>
      </c>
      <c r="K4389" t="s">
        <v>6059</v>
      </c>
      <c r="L4389" t="s">
        <v>9522</v>
      </c>
      <c r="M4389">
        <v>651.66</v>
      </c>
      <c r="N4389">
        <v>7</v>
      </c>
      <c r="O4389">
        <v>0.14000000000000001</v>
      </c>
      <c r="P4389">
        <v>97.16</v>
      </c>
      <c r="Q4389" t="s">
        <v>9896</v>
      </c>
      <c r="R4389">
        <v>4</v>
      </c>
      <c r="S4389" s="5">
        <f t="shared" si="136"/>
        <v>0.14909615443636251</v>
      </c>
      <c r="T4389">
        <v>93.094285714285704</v>
      </c>
      <c r="U4389">
        <v>1</v>
      </c>
      <c r="V4389">
        <v>2024</v>
      </c>
      <c r="W4389">
        <v>1</v>
      </c>
      <c r="X4389" t="s">
        <v>9899</v>
      </c>
      <c r="Y4389" t="s">
        <v>9901</v>
      </c>
      <c r="Z4389" t="s">
        <v>9899</v>
      </c>
      <c r="AD4389">
        <f t="shared" si="137"/>
        <v>4</v>
      </c>
    </row>
    <row r="4390" spans="1:30" x14ac:dyDescent="0.25">
      <c r="A4390" t="s">
        <v>4414</v>
      </c>
      <c r="B4390" s="2">
        <v>44682</v>
      </c>
      <c r="C4390" s="2">
        <v>44689</v>
      </c>
      <c r="D4390" t="s">
        <v>5071</v>
      </c>
      <c r="E4390" t="s">
        <v>5571</v>
      </c>
      <c r="F4390" t="s">
        <v>6026</v>
      </c>
      <c r="G4390" t="s">
        <v>6031</v>
      </c>
      <c r="H4390" t="s">
        <v>6034</v>
      </c>
      <c r="I4390" t="s">
        <v>6052</v>
      </c>
      <c r="J4390" t="s">
        <v>6053</v>
      </c>
      <c r="K4390" t="s">
        <v>6056</v>
      </c>
      <c r="L4390" t="s">
        <v>9523</v>
      </c>
      <c r="M4390">
        <v>950.77</v>
      </c>
      <c r="N4390">
        <v>5</v>
      </c>
      <c r="O4390">
        <v>0.03</v>
      </c>
      <c r="P4390">
        <v>254.37</v>
      </c>
      <c r="Q4390" t="s">
        <v>9894</v>
      </c>
      <c r="R4390">
        <v>7</v>
      </c>
      <c r="S4390" s="5">
        <f t="shared" si="136"/>
        <v>0.26754104567876563</v>
      </c>
      <c r="T4390">
        <v>190.154</v>
      </c>
      <c r="U4390">
        <v>5</v>
      </c>
      <c r="V4390">
        <v>2022</v>
      </c>
      <c r="W4390">
        <v>2</v>
      </c>
      <c r="X4390" t="s">
        <v>9899</v>
      </c>
      <c r="Y4390" t="s">
        <v>9901</v>
      </c>
      <c r="Z4390" t="s">
        <v>9899</v>
      </c>
      <c r="AD4390">
        <f t="shared" si="137"/>
        <v>7</v>
      </c>
    </row>
    <row r="4391" spans="1:30" x14ac:dyDescent="0.25">
      <c r="A4391" t="s">
        <v>4415</v>
      </c>
      <c r="B4391" s="2">
        <v>44962</v>
      </c>
      <c r="C4391" s="2">
        <v>44965</v>
      </c>
      <c r="D4391" t="s">
        <v>5056</v>
      </c>
      <c r="E4391" t="s">
        <v>5556</v>
      </c>
      <c r="F4391" t="s">
        <v>6028</v>
      </c>
      <c r="G4391" t="s">
        <v>6029</v>
      </c>
      <c r="H4391" t="s">
        <v>6045</v>
      </c>
      <c r="I4391" t="s">
        <v>6049</v>
      </c>
      <c r="J4391" t="s">
        <v>6054</v>
      </c>
      <c r="K4391" t="s">
        <v>6060</v>
      </c>
      <c r="L4391" t="s">
        <v>8823</v>
      </c>
      <c r="M4391">
        <v>558.29</v>
      </c>
      <c r="N4391">
        <v>5</v>
      </c>
      <c r="O4391">
        <v>0.27</v>
      </c>
      <c r="P4391">
        <v>10.18</v>
      </c>
      <c r="Q4391" t="s">
        <v>9893</v>
      </c>
      <c r="R4391">
        <v>3</v>
      </c>
      <c r="S4391" s="5">
        <f t="shared" si="136"/>
        <v>1.8234251016496804E-2</v>
      </c>
      <c r="T4391">
        <v>111.658</v>
      </c>
      <c r="U4391">
        <v>2</v>
      </c>
      <c r="V4391">
        <v>2023</v>
      </c>
      <c r="W4391">
        <v>1</v>
      </c>
      <c r="X4391" t="s">
        <v>9899</v>
      </c>
      <c r="Y4391" t="s">
        <v>9900</v>
      </c>
      <c r="Z4391" t="s">
        <v>9899</v>
      </c>
      <c r="AD4391">
        <f t="shared" si="137"/>
        <v>3</v>
      </c>
    </row>
    <row r="4392" spans="1:30" x14ac:dyDescent="0.25">
      <c r="A4392" t="s">
        <v>4416</v>
      </c>
      <c r="B4392" s="2">
        <v>45062</v>
      </c>
      <c r="C4392" s="2">
        <v>45067</v>
      </c>
      <c r="D4392" t="s">
        <v>5351</v>
      </c>
      <c r="E4392" t="s">
        <v>5851</v>
      </c>
      <c r="F4392" t="s">
        <v>6028</v>
      </c>
      <c r="G4392" t="s">
        <v>6030</v>
      </c>
      <c r="H4392" t="s">
        <v>6035</v>
      </c>
      <c r="I4392" t="s">
        <v>6051</v>
      </c>
      <c r="J4392" t="s">
        <v>6053</v>
      </c>
      <c r="K4392" t="s">
        <v>6056</v>
      </c>
      <c r="L4392" t="s">
        <v>9524</v>
      </c>
      <c r="M4392">
        <v>754.87</v>
      </c>
      <c r="N4392">
        <v>2</v>
      </c>
      <c r="O4392">
        <v>0.03</v>
      </c>
      <c r="P4392">
        <v>182.2</v>
      </c>
      <c r="Q4392" t="s">
        <v>9896</v>
      </c>
      <c r="R4392">
        <v>5</v>
      </c>
      <c r="S4392" s="5">
        <f t="shared" si="136"/>
        <v>0.2413660630307205</v>
      </c>
      <c r="T4392">
        <v>377.435</v>
      </c>
      <c r="U4392">
        <v>5</v>
      </c>
      <c r="V4392">
        <v>2023</v>
      </c>
      <c r="W4392">
        <v>2</v>
      </c>
      <c r="X4392" t="s">
        <v>9899</v>
      </c>
      <c r="Y4392" t="s">
        <v>9901</v>
      </c>
      <c r="Z4392" t="s">
        <v>9899</v>
      </c>
      <c r="AD4392">
        <f t="shared" si="137"/>
        <v>5</v>
      </c>
    </row>
    <row r="4393" spans="1:30" x14ac:dyDescent="0.25">
      <c r="A4393" t="s">
        <v>4417</v>
      </c>
      <c r="B4393" s="2">
        <v>45391</v>
      </c>
      <c r="C4393" s="2">
        <v>45394</v>
      </c>
      <c r="D4393" t="s">
        <v>5469</v>
      </c>
      <c r="E4393" t="s">
        <v>5969</v>
      </c>
      <c r="F4393" t="s">
        <v>6028</v>
      </c>
      <c r="G4393" t="s">
        <v>6029</v>
      </c>
      <c r="H4393" t="s">
        <v>6036</v>
      </c>
      <c r="I4393" t="s">
        <v>6050</v>
      </c>
      <c r="J4393" t="s">
        <v>6054</v>
      </c>
      <c r="K4393" t="s">
        <v>6059</v>
      </c>
      <c r="L4393" t="s">
        <v>9525</v>
      </c>
      <c r="M4393">
        <v>1358.38</v>
      </c>
      <c r="N4393">
        <v>4</v>
      </c>
      <c r="O4393">
        <v>0.2</v>
      </c>
      <c r="P4393">
        <v>-42.35</v>
      </c>
      <c r="Q4393" t="s">
        <v>9897</v>
      </c>
      <c r="R4393">
        <v>3</v>
      </c>
      <c r="S4393" s="5">
        <f t="shared" si="136"/>
        <v>-3.1176843004166725E-2</v>
      </c>
      <c r="T4393">
        <v>339.59500000000003</v>
      </c>
      <c r="U4393">
        <v>4</v>
      </c>
      <c r="V4393">
        <v>2024</v>
      </c>
      <c r="W4393">
        <v>2</v>
      </c>
      <c r="X4393" t="s">
        <v>9898</v>
      </c>
      <c r="Y4393" t="s">
        <v>9900</v>
      </c>
      <c r="Z4393" t="s">
        <v>9898</v>
      </c>
      <c r="AD4393">
        <f t="shared" si="137"/>
        <v>3</v>
      </c>
    </row>
    <row r="4394" spans="1:30" x14ac:dyDescent="0.25">
      <c r="A4394" t="s">
        <v>4418</v>
      </c>
      <c r="B4394" s="2">
        <v>44641</v>
      </c>
      <c r="C4394" s="2">
        <v>44646</v>
      </c>
      <c r="D4394" t="s">
        <v>5040</v>
      </c>
      <c r="E4394" t="s">
        <v>5540</v>
      </c>
      <c r="F4394" t="s">
        <v>6027</v>
      </c>
      <c r="G4394" t="s">
        <v>6030</v>
      </c>
      <c r="H4394" t="s">
        <v>6039</v>
      </c>
      <c r="I4394" t="s">
        <v>6051</v>
      </c>
      <c r="J4394" t="s">
        <v>6053</v>
      </c>
      <c r="K4394" t="s">
        <v>6056</v>
      </c>
      <c r="L4394" t="s">
        <v>6835</v>
      </c>
      <c r="M4394">
        <v>731.8</v>
      </c>
      <c r="N4394">
        <v>1</v>
      </c>
      <c r="O4394">
        <v>0.11</v>
      </c>
      <c r="P4394">
        <v>37.299999999999997</v>
      </c>
      <c r="Q4394" t="s">
        <v>9894</v>
      </c>
      <c r="R4394">
        <v>5</v>
      </c>
      <c r="S4394" s="5">
        <f t="shared" si="136"/>
        <v>5.0970210440010932E-2</v>
      </c>
      <c r="T4394">
        <v>731.8</v>
      </c>
      <c r="U4394">
        <v>3</v>
      </c>
      <c r="V4394">
        <v>2022</v>
      </c>
      <c r="W4394">
        <v>1</v>
      </c>
      <c r="X4394" t="s">
        <v>9899</v>
      </c>
      <c r="Y4394" t="s">
        <v>9901</v>
      </c>
      <c r="Z4394" t="s">
        <v>9899</v>
      </c>
      <c r="AD4394">
        <f t="shared" si="137"/>
        <v>5</v>
      </c>
    </row>
    <row r="4395" spans="1:30" x14ac:dyDescent="0.25">
      <c r="A4395" t="s">
        <v>4419</v>
      </c>
      <c r="B4395" s="2">
        <v>45321</v>
      </c>
      <c r="C4395" s="2">
        <v>45322</v>
      </c>
      <c r="D4395" t="s">
        <v>5392</v>
      </c>
      <c r="E4395" t="s">
        <v>5892</v>
      </c>
      <c r="F4395" t="s">
        <v>6026</v>
      </c>
      <c r="G4395" t="s">
        <v>6031</v>
      </c>
      <c r="H4395" t="s">
        <v>6037</v>
      </c>
      <c r="I4395" t="s">
        <v>6052</v>
      </c>
      <c r="J4395" t="s">
        <v>6054</v>
      </c>
      <c r="K4395" t="s">
        <v>6060</v>
      </c>
      <c r="L4395" t="s">
        <v>9089</v>
      </c>
      <c r="M4395">
        <v>1308.93</v>
      </c>
      <c r="N4395">
        <v>5</v>
      </c>
      <c r="O4395">
        <v>0.12</v>
      </c>
      <c r="P4395">
        <v>166.74</v>
      </c>
      <c r="Q4395" t="s">
        <v>9893</v>
      </c>
      <c r="R4395">
        <v>1</v>
      </c>
      <c r="S4395" s="5">
        <f t="shared" si="136"/>
        <v>0.1273864912562169</v>
      </c>
      <c r="T4395">
        <v>261.786</v>
      </c>
      <c r="U4395">
        <v>1</v>
      </c>
      <c r="V4395">
        <v>2024</v>
      </c>
      <c r="W4395">
        <v>1</v>
      </c>
      <c r="X4395" t="s">
        <v>9899</v>
      </c>
      <c r="Y4395" t="s">
        <v>9901</v>
      </c>
      <c r="Z4395" t="s">
        <v>9898</v>
      </c>
      <c r="AD4395">
        <f t="shared" si="137"/>
        <v>1</v>
      </c>
    </row>
    <row r="4396" spans="1:30" x14ac:dyDescent="0.25">
      <c r="A4396" t="s">
        <v>4420</v>
      </c>
      <c r="B4396" s="2">
        <v>45071</v>
      </c>
      <c r="C4396" s="2">
        <v>45077</v>
      </c>
      <c r="D4396" t="s">
        <v>5510</v>
      </c>
      <c r="E4396" t="s">
        <v>6010</v>
      </c>
      <c r="F4396" t="s">
        <v>6026</v>
      </c>
      <c r="G4396" t="s">
        <v>6031</v>
      </c>
      <c r="H4396" t="s">
        <v>6034</v>
      </c>
      <c r="I4396" t="s">
        <v>6052</v>
      </c>
      <c r="J4396" t="s">
        <v>6054</v>
      </c>
      <c r="K4396" t="s">
        <v>6062</v>
      </c>
      <c r="L4396" t="s">
        <v>9526</v>
      </c>
      <c r="M4396">
        <v>1610</v>
      </c>
      <c r="N4396">
        <v>2</v>
      </c>
      <c r="O4396">
        <v>0.14000000000000001</v>
      </c>
      <c r="P4396">
        <v>30.3</v>
      </c>
      <c r="Q4396" t="s">
        <v>9897</v>
      </c>
      <c r="R4396">
        <v>6</v>
      </c>
      <c r="S4396" s="5">
        <f t="shared" si="136"/>
        <v>1.8819875776397516E-2</v>
      </c>
      <c r="T4396">
        <v>805</v>
      </c>
      <c r="U4396">
        <v>5</v>
      </c>
      <c r="V4396">
        <v>2023</v>
      </c>
      <c r="W4396">
        <v>2</v>
      </c>
      <c r="X4396" t="s">
        <v>9899</v>
      </c>
      <c r="Y4396" t="s">
        <v>9901</v>
      </c>
      <c r="Z4396" t="s">
        <v>9898</v>
      </c>
      <c r="AD4396">
        <f t="shared" si="137"/>
        <v>6</v>
      </c>
    </row>
    <row r="4397" spans="1:30" x14ac:dyDescent="0.25">
      <c r="A4397" t="s">
        <v>4421</v>
      </c>
      <c r="B4397" s="2">
        <v>44829</v>
      </c>
      <c r="C4397" s="2">
        <v>44830</v>
      </c>
      <c r="D4397" t="s">
        <v>5203</v>
      </c>
      <c r="E4397" t="s">
        <v>5703</v>
      </c>
      <c r="F4397" t="s">
        <v>6027</v>
      </c>
      <c r="G4397" t="s">
        <v>6029</v>
      </c>
      <c r="H4397" t="s">
        <v>6036</v>
      </c>
      <c r="I4397" t="s">
        <v>6049</v>
      </c>
      <c r="J4397" t="s">
        <v>6054</v>
      </c>
      <c r="K4397" t="s">
        <v>6059</v>
      </c>
      <c r="L4397" t="s">
        <v>6087</v>
      </c>
      <c r="M4397">
        <v>1944.66</v>
      </c>
      <c r="N4397">
        <v>1</v>
      </c>
      <c r="O4397">
        <v>0.03</v>
      </c>
      <c r="P4397">
        <v>361.47</v>
      </c>
      <c r="Q4397" t="s">
        <v>9896</v>
      </c>
      <c r="R4397">
        <v>1</v>
      </c>
      <c r="S4397" s="5">
        <f t="shared" si="136"/>
        <v>0.18587825121100862</v>
      </c>
      <c r="T4397">
        <v>1944.66</v>
      </c>
      <c r="U4397">
        <v>9</v>
      </c>
      <c r="V4397">
        <v>2022</v>
      </c>
      <c r="W4397">
        <v>3</v>
      </c>
      <c r="X4397" t="s">
        <v>9899</v>
      </c>
      <c r="Y4397" t="s">
        <v>9901</v>
      </c>
      <c r="Z4397" t="s">
        <v>9898</v>
      </c>
      <c r="AD4397">
        <f t="shared" si="137"/>
        <v>1</v>
      </c>
    </row>
    <row r="4398" spans="1:30" x14ac:dyDescent="0.25">
      <c r="A4398" t="s">
        <v>4422</v>
      </c>
      <c r="B4398" s="2">
        <v>45097</v>
      </c>
      <c r="C4398" s="2">
        <v>45103</v>
      </c>
      <c r="D4398" t="s">
        <v>5315</v>
      </c>
      <c r="E4398" t="s">
        <v>5815</v>
      </c>
      <c r="F4398" t="s">
        <v>6026</v>
      </c>
      <c r="G4398" t="s">
        <v>6031</v>
      </c>
      <c r="H4398" t="s">
        <v>6043</v>
      </c>
      <c r="I4398" t="s">
        <v>6052</v>
      </c>
      <c r="J4398" t="s">
        <v>6054</v>
      </c>
      <c r="K4398" t="s">
        <v>6059</v>
      </c>
      <c r="L4398" t="s">
        <v>8761</v>
      </c>
      <c r="M4398">
        <v>224.82</v>
      </c>
      <c r="N4398">
        <v>5</v>
      </c>
      <c r="O4398">
        <v>0.02</v>
      </c>
      <c r="P4398">
        <v>32.729999999999997</v>
      </c>
      <c r="Q4398" t="s">
        <v>9897</v>
      </c>
      <c r="R4398">
        <v>6</v>
      </c>
      <c r="S4398" s="5">
        <f t="shared" si="136"/>
        <v>0.14558313317320523</v>
      </c>
      <c r="T4398">
        <v>44.963999999999999</v>
      </c>
      <c r="U4398">
        <v>6</v>
      </c>
      <c r="V4398">
        <v>2023</v>
      </c>
      <c r="W4398">
        <v>2</v>
      </c>
      <c r="X4398" t="s">
        <v>9899</v>
      </c>
      <c r="Y4398" t="s">
        <v>9901</v>
      </c>
      <c r="Z4398" t="s">
        <v>9899</v>
      </c>
      <c r="AD4398">
        <f t="shared" si="137"/>
        <v>6</v>
      </c>
    </row>
    <row r="4399" spans="1:30" x14ac:dyDescent="0.25">
      <c r="A4399" t="s">
        <v>4423</v>
      </c>
      <c r="B4399" s="2">
        <v>44746</v>
      </c>
      <c r="C4399" s="2">
        <v>44747</v>
      </c>
      <c r="D4399" t="s">
        <v>5051</v>
      </c>
      <c r="E4399" t="s">
        <v>5551</v>
      </c>
      <c r="F4399" t="s">
        <v>6027</v>
      </c>
      <c r="G4399" t="s">
        <v>6031</v>
      </c>
      <c r="H4399" t="s">
        <v>6034</v>
      </c>
      <c r="I4399" t="s">
        <v>6048</v>
      </c>
      <c r="J4399" t="s">
        <v>6053</v>
      </c>
      <c r="K4399" t="s">
        <v>6058</v>
      </c>
      <c r="L4399" t="s">
        <v>9527</v>
      </c>
      <c r="M4399">
        <v>1996.61</v>
      </c>
      <c r="N4399">
        <v>1</v>
      </c>
      <c r="O4399">
        <v>0.09</v>
      </c>
      <c r="P4399">
        <v>312.48</v>
      </c>
      <c r="Q4399" t="s">
        <v>9897</v>
      </c>
      <c r="R4399">
        <v>1</v>
      </c>
      <c r="S4399" s="5">
        <f t="shared" si="136"/>
        <v>0.15650527644357187</v>
      </c>
      <c r="T4399">
        <v>1996.61</v>
      </c>
      <c r="U4399">
        <v>7</v>
      </c>
      <c r="V4399">
        <v>2022</v>
      </c>
      <c r="W4399">
        <v>3</v>
      </c>
      <c r="X4399" t="s">
        <v>9899</v>
      </c>
      <c r="Y4399" t="s">
        <v>9901</v>
      </c>
      <c r="Z4399" t="s">
        <v>9898</v>
      </c>
      <c r="AD4399">
        <f t="shared" si="137"/>
        <v>1</v>
      </c>
    </row>
    <row r="4400" spans="1:30" x14ac:dyDescent="0.25">
      <c r="A4400" t="s">
        <v>4424</v>
      </c>
      <c r="B4400" s="2">
        <v>45060</v>
      </c>
      <c r="C4400" s="2">
        <v>45065</v>
      </c>
      <c r="D4400" t="s">
        <v>5524</v>
      </c>
      <c r="E4400" t="s">
        <v>6024</v>
      </c>
      <c r="F4400" t="s">
        <v>6026</v>
      </c>
      <c r="G4400" t="s">
        <v>6029</v>
      </c>
      <c r="H4400" t="s">
        <v>6041</v>
      </c>
      <c r="I4400" t="s">
        <v>6049</v>
      </c>
      <c r="J4400" t="s">
        <v>6055</v>
      </c>
      <c r="K4400" t="s">
        <v>6063</v>
      </c>
      <c r="L4400" t="s">
        <v>6960</v>
      </c>
      <c r="M4400">
        <v>387.08</v>
      </c>
      <c r="N4400">
        <v>7</v>
      </c>
      <c r="O4400">
        <v>0.28000000000000003</v>
      </c>
      <c r="P4400">
        <v>-5.81</v>
      </c>
      <c r="Q4400" t="s">
        <v>9897</v>
      </c>
      <c r="R4400">
        <v>5</v>
      </c>
      <c r="S4400" s="5">
        <f t="shared" si="136"/>
        <v>-1.5009817092073989E-2</v>
      </c>
      <c r="T4400">
        <v>55.297142857142852</v>
      </c>
      <c r="U4400">
        <v>5</v>
      </c>
      <c r="V4400">
        <v>2023</v>
      </c>
      <c r="W4400">
        <v>2</v>
      </c>
      <c r="X4400" t="s">
        <v>9898</v>
      </c>
      <c r="Y4400" t="s">
        <v>9900</v>
      </c>
      <c r="Z4400" t="s">
        <v>9899</v>
      </c>
      <c r="AD4400">
        <f t="shared" si="137"/>
        <v>5</v>
      </c>
    </row>
    <row r="4401" spans="1:30" x14ac:dyDescent="0.25">
      <c r="A4401" t="s">
        <v>4425</v>
      </c>
      <c r="B4401" s="2">
        <v>44729</v>
      </c>
      <c r="C4401" s="2">
        <v>44733</v>
      </c>
      <c r="D4401" t="s">
        <v>5395</v>
      </c>
      <c r="E4401" t="s">
        <v>5895</v>
      </c>
      <c r="F4401" t="s">
        <v>6027</v>
      </c>
      <c r="G4401" t="s">
        <v>6030</v>
      </c>
      <c r="H4401" t="s">
        <v>6039</v>
      </c>
      <c r="I4401" t="s">
        <v>6047</v>
      </c>
      <c r="J4401" t="s">
        <v>6053</v>
      </c>
      <c r="K4401" t="s">
        <v>6058</v>
      </c>
      <c r="L4401" t="s">
        <v>9528</v>
      </c>
      <c r="M4401">
        <v>379.41</v>
      </c>
      <c r="N4401">
        <v>4</v>
      </c>
      <c r="O4401">
        <v>0.03</v>
      </c>
      <c r="P4401">
        <v>46.69</v>
      </c>
      <c r="Q4401" t="s">
        <v>9897</v>
      </c>
      <c r="R4401">
        <v>4</v>
      </c>
      <c r="S4401" s="5">
        <f t="shared" si="136"/>
        <v>0.1230594870983896</v>
      </c>
      <c r="T4401">
        <v>94.852500000000006</v>
      </c>
      <c r="U4401">
        <v>6</v>
      </c>
      <c r="V4401">
        <v>2022</v>
      </c>
      <c r="W4401">
        <v>2</v>
      </c>
      <c r="X4401" t="s">
        <v>9899</v>
      </c>
      <c r="Y4401" t="s">
        <v>9901</v>
      </c>
      <c r="Z4401" t="s">
        <v>9899</v>
      </c>
      <c r="AD4401">
        <f t="shared" si="137"/>
        <v>4</v>
      </c>
    </row>
    <row r="4402" spans="1:30" x14ac:dyDescent="0.25">
      <c r="A4402" t="s">
        <v>4426</v>
      </c>
      <c r="B4402" s="2">
        <v>45297</v>
      </c>
      <c r="C4402" s="2">
        <v>45304</v>
      </c>
      <c r="D4402" t="s">
        <v>5246</v>
      </c>
      <c r="E4402" t="s">
        <v>5746</v>
      </c>
      <c r="F4402" t="s">
        <v>6026</v>
      </c>
      <c r="G4402" t="s">
        <v>6030</v>
      </c>
      <c r="H4402" t="s">
        <v>6039</v>
      </c>
      <c r="I4402" t="s">
        <v>6051</v>
      </c>
      <c r="J4402" t="s">
        <v>6054</v>
      </c>
      <c r="K4402" t="s">
        <v>6060</v>
      </c>
      <c r="L4402" t="s">
        <v>9529</v>
      </c>
      <c r="M4402">
        <v>529.6</v>
      </c>
      <c r="N4402">
        <v>6</v>
      </c>
      <c r="O4402">
        <v>0.34</v>
      </c>
      <c r="P4402">
        <v>-32.64</v>
      </c>
      <c r="Q4402" t="s">
        <v>9896</v>
      </c>
      <c r="R4402">
        <v>7</v>
      </c>
      <c r="S4402" s="5">
        <f t="shared" si="136"/>
        <v>-6.1631419939577041E-2</v>
      </c>
      <c r="T4402">
        <v>88.266666666666666</v>
      </c>
      <c r="U4402">
        <v>1</v>
      </c>
      <c r="V4402">
        <v>2024</v>
      </c>
      <c r="W4402">
        <v>1</v>
      </c>
      <c r="X4402" t="s">
        <v>9898</v>
      </c>
      <c r="Y4402" t="s">
        <v>9902</v>
      </c>
      <c r="Z4402" t="s">
        <v>9899</v>
      </c>
      <c r="AD4402">
        <f t="shared" si="137"/>
        <v>7</v>
      </c>
    </row>
    <row r="4403" spans="1:30" x14ac:dyDescent="0.25">
      <c r="A4403" t="s">
        <v>4427</v>
      </c>
      <c r="B4403" s="2">
        <v>45146</v>
      </c>
      <c r="C4403" s="2">
        <v>45148</v>
      </c>
      <c r="D4403" t="s">
        <v>5226</v>
      </c>
      <c r="E4403" t="s">
        <v>5726</v>
      </c>
      <c r="F4403" t="s">
        <v>6026</v>
      </c>
      <c r="G4403" t="s">
        <v>6031</v>
      </c>
      <c r="H4403" t="s">
        <v>6034</v>
      </c>
      <c r="I4403" t="s">
        <v>6050</v>
      </c>
      <c r="J4403" t="s">
        <v>6054</v>
      </c>
      <c r="K4403" t="s">
        <v>6062</v>
      </c>
      <c r="L4403" t="s">
        <v>9530</v>
      </c>
      <c r="M4403">
        <v>1381.98</v>
      </c>
      <c r="N4403">
        <v>4</v>
      </c>
      <c r="O4403">
        <v>0.14000000000000001</v>
      </c>
      <c r="P4403">
        <v>2.0099999999999998</v>
      </c>
      <c r="Q4403" t="s">
        <v>9895</v>
      </c>
      <c r="R4403">
        <v>2</v>
      </c>
      <c r="S4403" s="5">
        <f t="shared" si="136"/>
        <v>1.4544349411713627E-3</v>
      </c>
      <c r="T4403">
        <v>345.495</v>
      </c>
      <c r="U4403">
        <v>8</v>
      </c>
      <c r="V4403">
        <v>2023</v>
      </c>
      <c r="W4403">
        <v>3</v>
      </c>
      <c r="X4403" t="s">
        <v>9899</v>
      </c>
      <c r="Y4403" t="s">
        <v>9901</v>
      </c>
      <c r="Z4403" t="s">
        <v>9898</v>
      </c>
      <c r="AD4403">
        <f t="shared" si="137"/>
        <v>2</v>
      </c>
    </row>
    <row r="4404" spans="1:30" x14ac:dyDescent="0.25">
      <c r="A4404" t="s">
        <v>4428</v>
      </c>
      <c r="B4404" s="2">
        <v>45360</v>
      </c>
      <c r="C4404" s="2">
        <v>45367</v>
      </c>
      <c r="D4404" t="s">
        <v>5523</v>
      </c>
      <c r="E4404" t="s">
        <v>6023</v>
      </c>
      <c r="F4404" t="s">
        <v>6026</v>
      </c>
      <c r="G4404" t="s">
        <v>6030</v>
      </c>
      <c r="H4404" t="s">
        <v>6035</v>
      </c>
      <c r="I4404" t="s">
        <v>6051</v>
      </c>
      <c r="J4404" t="s">
        <v>6053</v>
      </c>
      <c r="K4404" t="s">
        <v>6057</v>
      </c>
      <c r="L4404" t="s">
        <v>9531</v>
      </c>
      <c r="M4404">
        <v>1263.56</v>
      </c>
      <c r="N4404">
        <v>2</v>
      </c>
      <c r="O4404">
        <v>0.33</v>
      </c>
      <c r="P4404">
        <v>-233.71</v>
      </c>
      <c r="Q4404" t="s">
        <v>9894</v>
      </c>
      <c r="R4404">
        <v>7</v>
      </c>
      <c r="S4404" s="5">
        <f t="shared" si="136"/>
        <v>-0.18496153724397735</v>
      </c>
      <c r="T4404">
        <v>631.78</v>
      </c>
      <c r="U4404">
        <v>3</v>
      </c>
      <c r="V4404">
        <v>2024</v>
      </c>
      <c r="W4404">
        <v>1</v>
      </c>
      <c r="X4404" t="s">
        <v>9898</v>
      </c>
      <c r="Y4404" t="s">
        <v>9902</v>
      </c>
      <c r="Z4404" t="s">
        <v>9898</v>
      </c>
      <c r="AD4404">
        <f t="shared" si="137"/>
        <v>7</v>
      </c>
    </row>
    <row r="4405" spans="1:30" x14ac:dyDescent="0.25">
      <c r="A4405" t="s">
        <v>4429</v>
      </c>
      <c r="B4405" s="2">
        <v>45344</v>
      </c>
      <c r="C4405" s="2">
        <v>45345</v>
      </c>
      <c r="D4405" t="s">
        <v>5042</v>
      </c>
      <c r="E4405" t="s">
        <v>5542</v>
      </c>
      <c r="F4405" t="s">
        <v>6028</v>
      </c>
      <c r="G4405" t="s">
        <v>6029</v>
      </c>
      <c r="H4405" t="s">
        <v>6045</v>
      </c>
      <c r="I4405" t="s">
        <v>6049</v>
      </c>
      <c r="J4405" t="s">
        <v>6053</v>
      </c>
      <c r="K4405" t="s">
        <v>6056</v>
      </c>
      <c r="L4405" t="s">
        <v>6396</v>
      </c>
      <c r="M4405">
        <v>1565.45</v>
      </c>
      <c r="N4405">
        <v>6</v>
      </c>
      <c r="O4405">
        <v>0.12</v>
      </c>
      <c r="P4405">
        <v>-4.78</v>
      </c>
      <c r="Q4405" t="s">
        <v>9896</v>
      </c>
      <c r="R4405">
        <v>1</v>
      </c>
      <c r="S4405" s="5">
        <f t="shared" si="136"/>
        <v>-3.0534351145038168E-3</v>
      </c>
      <c r="T4405">
        <v>260.90833333333342</v>
      </c>
      <c r="U4405">
        <v>2</v>
      </c>
      <c r="V4405">
        <v>2024</v>
      </c>
      <c r="W4405">
        <v>1</v>
      </c>
      <c r="X4405" t="s">
        <v>9898</v>
      </c>
      <c r="Y4405" t="s">
        <v>9901</v>
      </c>
      <c r="Z4405" t="s">
        <v>9898</v>
      </c>
      <c r="AD4405">
        <f t="shared" si="137"/>
        <v>1</v>
      </c>
    </row>
    <row r="4406" spans="1:30" x14ac:dyDescent="0.25">
      <c r="A4406" t="s">
        <v>4430</v>
      </c>
      <c r="B4406" s="2">
        <v>44669</v>
      </c>
      <c r="C4406" s="2">
        <v>44673</v>
      </c>
      <c r="D4406" t="s">
        <v>5090</v>
      </c>
      <c r="E4406" t="s">
        <v>5590</v>
      </c>
      <c r="F4406" t="s">
        <v>6027</v>
      </c>
      <c r="G4406" t="s">
        <v>6029</v>
      </c>
      <c r="H4406" t="s">
        <v>6036</v>
      </c>
      <c r="I4406" t="s">
        <v>6046</v>
      </c>
      <c r="J4406" t="s">
        <v>6054</v>
      </c>
      <c r="K4406" t="s">
        <v>6060</v>
      </c>
      <c r="L4406" t="s">
        <v>9532</v>
      </c>
      <c r="M4406">
        <v>1140.73</v>
      </c>
      <c r="N4406">
        <v>6</v>
      </c>
      <c r="O4406">
        <v>0.22</v>
      </c>
      <c r="P4406">
        <v>-7.68</v>
      </c>
      <c r="Q4406" t="s">
        <v>9897</v>
      </c>
      <c r="R4406">
        <v>4</v>
      </c>
      <c r="S4406" s="5">
        <f t="shared" si="136"/>
        <v>-6.7325309231807701E-3</v>
      </c>
      <c r="T4406">
        <v>190.1216666666667</v>
      </c>
      <c r="U4406">
        <v>4</v>
      </c>
      <c r="V4406">
        <v>2022</v>
      </c>
      <c r="W4406">
        <v>2</v>
      </c>
      <c r="X4406" t="s">
        <v>9898</v>
      </c>
      <c r="Y4406" t="s">
        <v>9900</v>
      </c>
      <c r="Z4406" t="s">
        <v>9898</v>
      </c>
      <c r="AD4406">
        <f t="shared" si="137"/>
        <v>4</v>
      </c>
    </row>
    <row r="4407" spans="1:30" x14ac:dyDescent="0.25">
      <c r="A4407" t="s">
        <v>4431</v>
      </c>
      <c r="B4407" s="2">
        <v>45070</v>
      </c>
      <c r="C4407" s="2">
        <v>45076</v>
      </c>
      <c r="D4407" t="s">
        <v>5378</v>
      </c>
      <c r="E4407" t="s">
        <v>5878</v>
      </c>
      <c r="F4407" t="s">
        <v>6026</v>
      </c>
      <c r="G4407" t="s">
        <v>6031</v>
      </c>
      <c r="H4407" t="s">
        <v>6043</v>
      </c>
      <c r="I4407" t="s">
        <v>6050</v>
      </c>
      <c r="J4407" t="s">
        <v>6055</v>
      </c>
      <c r="K4407" t="s">
        <v>6061</v>
      </c>
      <c r="L4407" t="s">
        <v>9533</v>
      </c>
      <c r="M4407">
        <v>1540.82</v>
      </c>
      <c r="N4407">
        <v>5</v>
      </c>
      <c r="O4407">
        <v>0.1</v>
      </c>
      <c r="P4407">
        <v>168.64</v>
      </c>
      <c r="Q4407" t="s">
        <v>9897</v>
      </c>
      <c r="R4407">
        <v>6</v>
      </c>
      <c r="S4407" s="5">
        <f t="shared" si="136"/>
        <v>0.10944821588504822</v>
      </c>
      <c r="T4407">
        <v>308.16399999999999</v>
      </c>
      <c r="U4407">
        <v>5</v>
      </c>
      <c r="V4407">
        <v>2023</v>
      </c>
      <c r="W4407">
        <v>2</v>
      </c>
      <c r="X4407" t="s">
        <v>9899</v>
      </c>
      <c r="Y4407" t="s">
        <v>9901</v>
      </c>
      <c r="Z4407" t="s">
        <v>9898</v>
      </c>
      <c r="AD4407">
        <f t="shared" si="137"/>
        <v>6</v>
      </c>
    </row>
    <row r="4408" spans="1:30" x14ac:dyDescent="0.25">
      <c r="A4408" t="s">
        <v>4432</v>
      </c>
      <c r="B4408" s="2">
        <v>45095</v>
      </c>
      <c r="C4408" s="2">
        <v>45097</v>
      </c>
      <c r="D4408" t="s">
        <v>5336</v>
      </c>
      <c r="E4408" t="s">
        <v>5836</v>
      </c>
      <c r="F4408" t="s">
        <v>6027</v>
      </c>
      <c r="G4408" t="s">
        <v>6030</v>
      </c>
      <c r="H4408" t="s">
        <v>6039</v>
      </c>
      <c r="I4408" t="s">
        <v>6047</v>
      </c>
      <c r="J4408" t="s">
        <v>6055</v>
      </c>
      <c r="K4408" t="s">
        <v>6063</v>
      </c>
      <c r="L4408" t="s">
        <v>9534</v>
      </c>
      <c r="M4408">
        <v>675.52</v>
      </c>
      <c r="N4408">
        <v>7</v>
      </c>
      <c r="O4408">
        <v>0.18</v>
      </c>
      <c r="P4408">
        <v>-37.409999999999997</v>
      </c>
      <c r="Q4408" t="s">
        <v>9893</v>
      </c>
      <c r="R4408">
        <v>2</v>
      </c>
      <c r="S4408" s="5">
        <f t="shared" si="136"/>
        <v>-5.5379559450497391E-2</v>
      </c>
      <c r="T4408">
        <v>96.502857142857138</v>
      </c>
      <c r="U4408">
        <v>6</v>
      </c>
      <c r="V4408">
        <v>2023</v>
      </c>
      <c r="W4408">
        <v>2</v>
      </c>
      <c r="X4408" t="s">
        <v>9898</v>
      </c>
      <c r="Y4408" t="s">
        <v>9900</v>
      </c>
      <c r="Z4408" t="s">
        <v>9899</v>
      </c>
      <c r="AD4408">
        <f t="shared" si="137"/>
        <v>2</v>
      </c>
    </row>
    <row r="4409" spans="1:30" x14ac:dyDescent="0.25">
      <c r="A4409" t="s">
        <v>4433</v>
      </c>
      <c r="B4409" s="2">
        <v>44940</v>
      </c>
      <c r="C4409" s="2">
        <v>44945</v>
      </c>
      <c r="D4409" t="s">
        <v>5065</v>
      </c>
      <c r="E4409" t="s">
        <v>5565</v>
      </c>
      <c r="F4409" t="s">
        <v>6028</v>
      </c>
      <c r="G4409" t="s">
        <v>6030</v>
      </c>
      <c r="H4409" t="s">
        <v>6038</v>
      </c>
      <c r="I4409" t="s">
        <v>6047</v>
      </c>
      <c r="J4409" t="s">
        <v>6053</v>
      </c>
      <c r="K4409" t="s">
        <v>6057</v>
      </c>
      <c r="L4409" t="s">
        <v>9535</v>
      </c>
      <c r="M4409">
        <v>392.28</v>
      </c>
      <c r="N4409">
        <v>6</v>
      </c>
      <c r="O4409">
        <v>0.18</v>
      </c>
      <c r="P4409">
        <v>15.45</v>
      </c>
      <c r="Q4409" t="s">
        <v>9896</v>
      </c>
      <c r="R4409">
        <v>5</v>
      </c>
      <c r="S4409" s="5">
        <f t="shared" si="136"/>
        <v>3.9385133068216581E-2</v>
      </c>
      <c r="T4409">
        <v>65.38</v>
      </c>
      <c r="U4409">
        <v>1</v>
      </c>
      <c r="V4409">
        <v>2023</v>
      </c>
      <c r="W4409">
        <v>1</v>
      </c>
      <c r="X4409" t="s">
        <v>9899</v>
      </c>
      <c r="Y4409" t="s">
        <v>9900</v>
      </c>
      <c r="Z4409" t="s">
        <v>9899</v>
      </c>
      <c r="AD4409">
        <f t="shared" si="137"/>
        <v>5</v>
      </c>
    </row>
    <row r="4410" spans="1:30" x14ac:dyDescent="0.25">
      <c r="A4410" t="s">
        <v>4434</v>
      </c>
      <c r="B4410" s="2">
        <v>44774</v>
      </c>
      <c r="C4410" s="2">
        <v>44777</v>
      </c>
      <c r="D4410" t="s">
        <v>5321</v>
      </c>
      <c r="E4410" t="s">
        <v>5821</v>
      </c>
      <c r="F4410" t="s">
        <v>6026</v>
      </c>
      <c r="G4410" t="s">
        <v>6029</v>
      </c>
      <c r="H4410" t="s">
        <v>6044</v>
      </c>
      <c r="I4410" t="s">
        <v>6046</v>
      </c>
      <c r="J4410" t="s">
        <v>6055</v>
      </c>
      <c r="K4410" t="s">
        <v>6063</v>
      </c>
      <c r="L4410" t="s">
        <v>9536</v>
      </c>
      <c r="M4410">
        <v>1817.42</v>
      </c>
      <c r="N4410">
        <v>7</v>
      </c>
      <c r="O4410">
        <v>0.19</v>
      </c>
      <c r="P4410">
        <v>180.95</v>
      </c>
      <c r="Q4410" t="s">
        <v>9896</v>
      </c>
      <c r="R4410">
        <v>3</v>
      </c>
      <c r="S4410" s="5">
        <f t="shared" si="136"/>
        <v>9.9564217407093564E-2</v>
      </c>
      <c r="T4410">
        <v>259.63142857142861</v>
      </c>
      <c r="U4410">
        <v>8</v>
      </c>
      <c r="V4410">
        <v>2022</v>
      </c>
      <c r="W4410">
        <v>3</v>
      </c>
      <c r="X4410" t="s">
        <v>9899</v>
      </c>
      <c r="Y4410" t="s">
        <v>9900</v>
      </c>
      <c r="Z4410" t="s">
        <v>9898</v>
      </c>
      <c r="AD4410">
        <f t="shared" si="137"/>
        <v>3</v>
      </c>
    </row>
    <row r="4411" spans="1:30" x14ac:dyDescent="0.25">
      <c r="A4411" t="s">
        <v>4435</v>
      </c>
      <c r="B4411" s="2">
        <v>45042</v>
      </c>
      <c r="C4411" s="2">
        <v>45044</v>
      </c>
      <c r="D4411" t="s">
        <v>5140</v>
      </c>
      <c r="E4411" t="s">
        <v>5640</v>
      </c>
      <c r="F4411" t="s">
        <v>6027</v>
      </c>
      <c r="G4411" t="s">
        <v>6030</v>
      </c>
      <c r="H4411" t="s">
        <v>6033</v>
      </c>
      <c r="I4411" t="s">
        <v>6051</v>
      </c>
      <c r="J4411" t="s">
        <v>6053</v>
      </c>
      <c r="K4411" t="s">
        <v>6056</v>
      </c>
      <c r="L4411" t="s">
        <v>9537</v>
      </c>
      <c r="M4411">
        <v>672.92</v>
      </c>
      <c r="N4411">
        <v>3</v>
      </c>
      <c r="O4411">
        <v>0.34</v>
      </c>
      <c r="P4411">
        <v>-69.459999999999994</v>
      </c>
      <c r="Q4411" t="s">
        <v>9894</v>
      </c>
      <c r="R4411">
        <v>2</v>
      </c>
      <c r="S4411" s="5">
        <f t="shared" si="136"/>
        <v>-0.10322177970635439</v>
      </c>
      <c r="T4411">
        <v>224.30666666666659</v>
      </c>
      <c r="U4411">
        <v>4</v>
      </c>
      <c r="V4411">
        <v>2023</v>
      </c>
      <c r="W4411">
        <v>2</v>
      </c>
      <c r="X4411" t="s">
        <v>9898</v>
      </c>
      <c r="Y4411" t="s">
        <v>9902</v>
      </c>
      <c r="Z4411" t="s">
        <v>9899</v>
      </c>
      <c r="AD4411">
        <f t="shared" si="137"/>
        <v>2</v>
      </c>
    </row>
    <row r="4412" spans="1:30" x14ac:dyDescent="0.25">
      <c r="A4412" t="s">
        <v>4436</v>
      </c>
      <c r="B4412" s="2">
        <v>44749</v>
      </c>
      <c r="C4412" s="2">
        <v>44756</v>
      </c>
      <c r="D4412" t="s">
        <v>5423</v>
      </c>
      <c r="E4412" t="s">
        <v>5923</v>
      </c>
      <c r="F4412" t="s">
        <v>6028</v>
      </c>
      <c r="G4412" t="s">
        <v>6031</v>
      </c>
      <c r="H4412" t="s">
        <v>6042</v>
      </c>
      <c r="I4412" t="s">
        <v>6050</v>
      </c>
      <c r="J4412" t="s">
        <v>6054</v>
      </c>
      <c r="K4412" t="s">
        <v>6059</v>
      </c>
      <c r="L4412" t="s">
        <v>7637</v>
      </c>
      <c r="M4412">
        <v>1836.98</v>
      </c>
      <c r="N4412">
        <v>1</v>
      </c>
      <c r="O4412">
        <v>0.12</v>
      </c>
      <c r="P4412">
        <v>297.20999999999998</v>
      </c>
      <c r="Q4412" t="s">
        <v>9896</v>
      </c>
      <c r="R4412">
        <v>7</v>
      </c>
      <c r="S4412" s="5">
        <f t="shared" si="136"/>
        <v>0.16179272501605896</v>
      </c>
      <c r="T4412">
        <v>1836.98</v>
      </c>
      <c r="U4412">
        <v>7</v>
      </c>
      <c r="V4412">
        <v>2022</v>
      </c>
      <c r="W4412">
        <v>3</v>
      </c>
      <c r="X4412" t="s">
        <v>9899</v>
      </c>
      <c r="Y4412" t="s">
        <v>9901</v>
      </c>
      <c r="Z4412" t="s">
        <v>9898</v>
      </c>
      <c r="AD4412">
        <f t="shared" si="137"/>
        <v>7</v>
      </c>
    </row>
    <row r="4413" spans="1:30" x14ac:dyDescent="0.25">
      <c r="A4413" t="s">
        <v>4437</v>
      </c>
      <c r="B4413" s="2">
        <v>45114</v>
      </c>
      <c r="C4413" s="2">
        <v>45117</v>
      </c>
      <c r="D4413" t="s">
        <v>5157</v>
      </c>
      <c r="E4413" t="s">
        <v>5657</v>
      </c>
      <c r="F4413" t="s">
        <v>6027</v>
      </c>
      <c r="G4413" t="s">
        <v>6029</v>
      </c>
      <c r="H4413" t="s">
        <v>6044</v>
      </c>
      <c r="I4413" t="s">
        <v>6046</v>
      </c>
      <c r="J4413" t="s">
        <v>6055</v>
      </c>
      <c r="K4413" t="s">
        <v>6061</v>
      </c>
      <c r="L4413" t="s">
        <v>6703</v>
      </c>
      <c r="M4413">
        <v>129.6</v>
      </c>
      <c r="N4413">
        <v>8</v>
      </c>
      <c r="O4413">
        <v>0.28999999999999998</v>
      </c>
      <c r="P4413">
        <v>-5.53</v>
      </c>
      <c r="Q4413" t="s">
        <v>9895</v>
      </c>
      <c r="R4413">
        <v>3</v>
      </c>
      <c r="S4413" s="5">
        <f t="shared" si="136"/>
        <v>-4.2669753086419758E-2</v>
      </c>
      <c r="T4413">
        <v>16.2</v>
      </c>
      <c r="U4413">
        <v>7</v>
      </c>
      <c r="V4413">
        <v>2023</v>
      </c>
      <c r="W4413">
        <v>3</v>
      </c>
      <c r="X4413" t="s">
        <v>9898</v>
      </c>
      <c r="Y4413" t="s">
        <v>9900</v>
      </c>
      <c r="Z4413" t="s">
        <v>9899</v>
      </c>
      <c r="AD4413">
        <f t="shared" si="137"/>
        <v>3</v>
      </c>
    </row>
    <row r="4414" spans="1:30" x14ac:dyDescent="0.25">
      <c r="A4414" t="s">
        <v>4438</v>
      </c>
      <c r="B4414" s="2">
        <v>45163</v>
      </c>
      <c r="C4414" s="2">
        <v>45167</v>
      </c>
      <c r="D4414" t="s">
        <v>5447</v>
      </c>
      <c r="E4414" t="s">
        <v>5947</v>
      </c>
      <c r="F4414" t="s">
        <v>6027</v>
      </c>
      <c r="G4414" t="s">
        <v>6029</v>
      </c>
      <c r="H4414" t="s">
        <v>6044</v>
      </c>
      <c r="I4414" t="s">
        <v>6050</v>
      </c>
      <c r="J4414" t="s">
        <v>6055</v>
      </c>
      <c r="K4414" t="s">
        <v>6061</v>
      </c>
      <c r="L4414" t="s">
        <v>7450</v>
      </c>
      <c r="M4414">
        <v>997.09</v>
      </c>
      <c r="N4414">
        <v>8</v>
      </c>
      <c r="O4414">
        <v>0.25</v>
      </c>
      <c r="P4414">
        <v>-124.54</v>
      </c>
      <c r="Q4414" t="s">
        <v>9897</v>
      </c>
      <c r="R4414">
        <v>4</v>
      </c>
      <c r="S4414" s="5">
        <f t="shared" si="136"/>
        <v>-0.12490346909506665</v>
      </c>
      <c r="T4414">
        <v>124.63625</v>
      </c>
      <c r="U4414">
        <v>8</v>
      </c>
      <c r="V4414">
        <v>2023</v>
      </c>
      <c r="W4414">
        <v>3</v>
      </c>
      <c r="X4414" t="s">
        <v>9898</v>
      </c>
      <c r="Y4414" t="s">
        <v>9900</v>
      </c>
      <c r="Z4414" t="s">
        <v>9899</v>
      </c>
      <c r="AD4414">
        <f t="shared" si="137"/>
        <v>4</v>
      </c>
    </row>
    <row r="4415" spans="1:30" x14ac:dyDescent="0.25">
      <c r="A4415" t="s">
        <v>4439</v>
      </c>
      <c r="B4415" s="2">
        <v>45017</v>
      </c>
      <c r="C4415" s="2">
        <v>45018</v>
      </c>
      <c r="D4415" t="s">
        <v>5369</v>
      </c>
      <c r="E4415" t="s">
        <v>5869</v>
      </c>
      <c r="F4415" t="s">
        <v>6027</v>
      </c>
      <c r="G4415" t="s">
        <v>6030</v>
      </c>
      <c r="H4415" t="s">
        <v>6039</v>
      </c>
      <c r="I4415" t="s">
        <v>6051</v>
      </c>
      <c r="J4415" t="s">
        <v>6054</v>
      </c>
      <c r="K4415" t="s">
        <v>6062</v>
      </c>
      <c r="L4415" t="s">
        <v>6239</v>
      </c>
      <c r="M4415">
        <v>665.01</v>
      </c>
      <c r="N4415">
        <v>2</v>
      </c>
      <c r="O4415">
        <v>0.19</v>
      </c>
      <c r="P4415">
        <v>-16.399999999999999</v>
      </c>
      <c r="Q4415" t="s">
        <v>9893</v>
      </c>
      <c r="R4415">
        <v>1</v>
      </c>
      <c r="S4415" s="5">
        <f t="shared" si="136"/>
        <v>-2.4661283288973098E-2</v>
      </c>
      <c r="T4415">
        <v>332.505</v>
      </c>
      <c r="U4415">
        <v>4</v>
      </c>
      <c r="V4415">
        <v>2023</v>
      </c>
      <c r="W4415">
        <v>2</v>
      </c>
      <c r="X4415" t="s">
        <v>9898</v>
      </c>
      <c r="Y4415" t="s">
        <v>9900</v>
      </c>
      <c r="Z4415" t="s">
        <v>9899</v>
      </c>
      <c r="AD4415">
        <f t="shared" si="137"/>
        <v>1</v>
      </c>
    </row>
    <row r="4416" spans="1:30" x14ac:dyDescent="0.25">
      <c r="A4416" t="s">
        <v>4440</v>
      </c>
      <c r="B4416" s="2">
        <v>44999</v>
      </c>
      <c r="C4416" s="2">
        <v>45002</v>
      </c>
      <c r="D4416" t="s">
        <v>5318</v>
      </c>
      <c r="E4416" t="s">
        <v>5818</v>
      </c>
      <c r="F4416" t="s">
        <v>6028</v>
      </c>
      <c r="G4416" t="s">
        <v>6029</v>
      </c>
      <c r="H4416" t="s">
        <v>6036</v>
      </c>
      <c r="I4416" t="s">
        <v>6050</v>
      </c>
      <c r="J4416" t="s">
        <v>6053</v>
      </c>
      <c r="K4416" t="s">
        <v>6057</v>
      </c>
      <c r="L4416" t="s">
        <v>9538</v>
      </c>
      <c r="M4416">
        <v>1890.06</v>
      </c>
      <c r="N4416">
        <v>6</v>
      </c>
      <c r="O4416">
        <v>0.34</v>
      </c>
      <c r="P4416">
        <v>-220.45</v>
      </c>
      <c r="Q4416" t="s">
        <v>9897</v>
      </c>
      <c r="R4416">
        <v>3</v>
      </c>
      <c r="S4416" s="5">
        <f t="shared" si="136"/>
        <v>-0.11663650889389754</v>
      </c>
      <c r="T4416">
        <v>315.01</v>
      </c>
      <c r="U4416">
        <v>3</v>
      </c>
      <c r="V4416">
        <v>2023</v>
      </c>
      <c r="W4416">
        <v>1</v>
      </c>
      <c r="X4416" t="s">
        <v>9898</v>
      </c>
      <c r="Y4416" t="s">
        <v>9902</v>
      </c>
      <c r="Z4416" t="s">
        <v>9898</v>
      </c>
      <c r="AD4416">
        <f t="shared" si="137"/>
        <v>3</v>
      </c>
    </row>
    <row r="4417" spans="1:30" x14ac:dyDescent="0.25">
      <c r="A4417" t="s">
        <v>4441</v>
      </c>
      <c r="B4417" s="2">
        <v>44687</v>
      </c>
      <c r="C4417" s="2">
        <v>44692</v>
      </c>
      <c r="D4417" t="s">
        <v>5120</v>
      </c>
      <c r="E4417" t="s">
        <v>5620</v>
      </c>
      <c r="F4417" t="s">
        <v>6027</v>
      </c>
      <c r="G4417" t="s">
        <v>6030</v>
      </c>
      <c r="H4417" t="s">
        <v>6033</v>
      </c>
      <c r="I4417" t="s">
        <v>6047</v>
      </c>
      <c r="J4417" t="s">
        <v>6053</v>
      </c>
      <c r="K4417" t="s">
        <v>6057</v>
      </c>
      <c r="L4417" t="s">
        <v>9539</v>
      </c>
      <c r="M4417">
        <v>1570.37</v>
      </c>
      <c r="N4417">
        <v>6</v>
      </c>
      <c r="O4417">
        <v>0.02</v>
      </c>
      <c r="P4417">
        <v>369.08</v>
      </c>
      <c r="Q4417" t="s">
        <v>9897</v>
      </c>
      <c r="R4417">
        <v>5</v>
      </c>
      <c r="S4417" s="5">
        <f t="shared" si="136"/>
        <v>0.2350274139215599</v>
      </c>
      <c r="T4417">
        <v>261.7283333333333</v>
      </c>
      <c r="U4417">
        <v>5</v>
      </c>
      <c r="V4417">
        <v>2022</v>
      </c>
      <c r="W4417">
        <v>2</v>
      </c>
      <c r="X4417" t="s">
        <v>9899</v>
      </c>
      <c r="Y4417" t="s">
        <v>9901</v>
      </c>
      <c r="Z4417" t="s">
        <v>9898</v>
      </c>
      <c r="AD4417">
        <f t="shared" si="137"/>
        <v>5</v>
      </c>
    </row>
    <row r="4418" spans="1:30" x14ac:dyDescent="0.25">
      <c r="A4418" t="s">
        <v>4442</v>
      </c>
      <c r="B4418" s="2">
        <v>45021</v>
      </c>
      <c r="C4418" s="2">
        <v>45022</v>
      </c>
      <c r="D4418" t="s">
        <v>5201</v>
      </c>
      <c r="E4418" t="s">
        <v>5701</v>
      </c>
      <c r="F4418" t="s">
        <v>6026</v>
      </c>
      <c r="G4418" t="s">
        <v>6030</v>
      </c>
      <c r="H4418" t="s">
        <v>6035</v>
      </c>
      <c r="I4418" t="s">
        <v>6051</v>
      </c>
      <c r="J4418" t="s">
        <v>6054</v>
      </c>
      <c r="K4418" t="s">
        <v>6060</v>
      </c>
      <c r="L4418" t="s">
        <v>9540</v>
      </c>
      <c r="M4418">
        <v>599.33000000000004</v>
      </c>
      <c r="N4418">
        <v>8</v>
      </c>
      <c r="O4418">
        <v>0.25</v>
      </c>
      <c r="P4418">
        <v>15.3</v>
      </c>
      <c r="Q4418" t="s">
        <v>9894</v>
      </c>
      <c r="R4418">
        <v>1</v>
      </c>
      <c r="S4418" s="5">
        <f t="shared" si="136"/>
        <v>2.552850683262977E-2</v>
      </c>
      <c r="T4418">
        <v>74.916250000000005</v>
      </c>
      <c r="U4418">
        <v>4</v>
      </c>
      <c r="V4418">
        <v>2023</v>
      </c>
      <c r="W4418">
        <v>2</v>
      </c>
      <c r="X4418" t="s">
        <v>9899</v>
      </c>
      <c r="Y4418" t="s">
        <v>9900</v>
      </c>
      <c r="Z4418" t="s">
        <v>9899</v>
      </c>
      <c r="AD4418">
        <f t="shared" si="137"/>
        <v>1</v>
      </c>
    </row>
    <row r="4419" spans="1:30" x14ac:dyDescent="0.25">
      <c r="A4419" t="s">
        <v>4443</v>
      </c>
      <c r="B4419" s="2">
        <v>44579</v>
      </c>
      <c r="C4419" s="2">
        <v>44583</v>
      </c>
      <c r="D4419" t="s">
        <v>5428</v>
      </c>
      <c r="E4419" t="s">
        <v>5928</v>
      </c>
      <c r="F4419" t="s">
        <v>6028</v>
      </c>
      <c r="G4419" t="s">
        <v>6031</v>
      </c>
      <c r="H4419" t="s">
        <v>6042</v>
      </c>
      <c r="I4419" t="s">
        <v>6050</v>
      </c>
      <c r="J4419" t="s">
        <v>6053</v>
      </c>
      <c r="K4419" t="s">
        <v>6058</v>
      </c>
      <c r="L4419" t="s">
        <v>9541</v>
      </c>
      <c r="M4419">
        <v>1241.78</v>
      </c>
      <c r="N4419">
        <v>4</v>
      </c>
      <c r="O4419">
        <v>0.21</v>
      </c>
      <c r="P4419">
        <v>-18.34</v>
      </c>
      <c r="Q4419" t="s">
        <v>9896</v>
      </c>
      <c r="R4419">
        <v>4</v>
      </c>
      <c r="S4419" s="5">
        <f t="shared" ref="S4419:S4482" si="138">P4419/M4419</f>
        <v>-1.4769121744592439E-2</v>
      </c>
      <c r="T4419">
        <v>310.44499999999999</v>
      </c>
      <c r="U4419">
        <v>1</v>
      </c>
      <c r="V4419">
        <v>2022</v>
      </c>
      <c r="W4419">
        <v>1</v>
      </c>
      <c r="X4419" t="s">
        <v>9898</v>
      </c>
      <c r="Y4419" t="s">
        <v>9900</v>
      </c>
      <c r="Z4419" t="s">
        <v>9898</v>
      </c>
      <c r="AD4419">
        <f t="shared" ref="AD4419:AD4482" si="139">C4419-B4419</f>
        <v>4</v>
      </c>
    </row>
    <row r="4420" spans="1:30" x14ac:dyDescent="0.25">
      <c r="A4420" t="s">
        <v>4444</v>
      </c>
      <c r="B4420" s="2">
        <v>44816</v>
      </c>
      <c r="C4420" s="2">
        <v>44821</v>
      </c>
      <c r="D4420" t="s">
        <v>5286</v>
      </c>
      <c r="E4420" t="s">
        <v>5786</v>
      </c>
      <c r="F4420" t="s">
        <v>6027</v>
      </c>
      <c r="G4420" t="s">
        <v>6029</v>
      </c>
      <c r="H4420" t="s">
        <v>6032</v>
      </c>
      <c r="I4420" t="s">
        <v>6049</v>
      </c>
      <c r="J4420" t="s">
        <v>6054</v>
      </c>
      <c r="K4420" t="s">
        <v>6062</v>
      </c>
      <c r="L4420" t="s">
        <v>9542</v>
      </c>
      <c r="M4420">
        <v>230.39</v>
      </c>
      <c r="N4420">
        <v>8</v>
      </c>
      <c r="O4420">
        <v>0.12</v>
      </c>
      <c r="P4420">
        <v>17.739999999999998</v>
      </c>
      <c r="Q4420" t="s">
        <v>9894</v>
      </c>
      <c r="R4420">
        <v>5</v>
      </c>
      <c r="S4420" s="5">
        <f t="shared" si="138"/>
        <v>7.6999869786015016E-2</v>
      </c>
      <c r="T4420">
        <v>28.798749999999998</v>
      </c>
      <c r="U4420">
        <v>9</v>
      </c>
      <c r="V4420">
        <v>2022</v>
      </c>
      <c r="W4420">
        <v>3</v>
      </c>
      <c r="X4420" t="s">
        <v>9899</v>
      </c>
      <c r="Y4420" t="s">
        <v>9901</v>
      </c>
      <c r="Z4420" t="s">
        <v>9899</v>
      </c>
      <c r="AD4420">
        <f t="shared" si="139"/>
        <v>5</v>
      </c>
    </row>
    <row r="4421" spans="1:30" x14ac:dyDescent="0.25">
      <c r="A4421" t="s">
        <v>4445</v>
      </c>
      <c r="B4421" s="2">
        <v>45099</v>
      </c>
      <c r="C4421" s="2">
        <v>45106</v>
      </c>
      <c r="D4421" t="s">
        <v>5421</v>
      </c>
      <c r="E4421" t="s">
        <v>5921</v>
      </c>
      <c r="F4421" t="s">
        <v>6027</v>
      </c>
      <c r="G4421" t="s">
        <v>6029</v>
      </c>
      <c r="H4421" t="s">
        <v>6041</v>
      </c>
      <c r="I4421" t="s">
        <v>6046</v>
      </c>
      <c r="J4421" t="s">
        <v>6055</v>
      </c>
      <c r="K4421" t="s">
        <v>6063</v>
      </c>
      <c r="L4421" t="s">
        <v>8103</v>
      </c>
      <c r="M4421">
        <v>1417.2</v>
      </c>
      <c r="N4421">
        <v>4</v>
      </c>
      <c r="O4421">
        <v>0.26</v>
      </c>
      <c r="P4421">
        <v>35.06</v>
      </c>
      <c r="Q4421" t="s">
        <v>9893</v>
      </c>
      <c r="R4421">
        <v>7</v>
      </c>
      <c r="S4421" s="5">
        <f t="shared" si="138"/>
        <v>2.4738921817668642E-2</v>
      </c>
      <c r="T4421">
        <v>354.3</v>
      </c>
      <c r="U4421">
        <v>6</v>
      </c>
      <c r="V4421">
        <v>2023</v>
      </c>
      <c r="W4421">
        <v>2</v>
      </c>
      <c r="X4421" t="s">
        <v>9899</v>
      </c>
      <c r="Y4421" t="s">
        <v>9900</v>
      </c>
      <c r="Z4421" t="s">
        <v>9898</v>
      </c>
      <c r="AD4421">
        <f t="shared" si="139"/>
        <v>7</v>
      </c>
    </row>
    <row r="4422" spans="1:30" x14ac:dyDescent="0.25">
      <c r="A4422" t="s">
        <v>4446</v>
      </c>
      <c r="B4422" s="2">
        <v>44756</v>
      </c>
      <c r="C4422" s="2">
        <v>44763</v>
      </c>
      <c r="D4422" t="s">
        <v>5379</v>
      </c>
      <c r="E4422" t="s">
        <v>5879</v>
      </c>
      <c r="F4422" t="s">
        <v>6027</v>
      </c>
      <c r="G4422" t="s">
        <v>6030</v>
      </c>
      <c r="H4422" t="s">
        <v>6038</v>
      </c>
      <c r="I4422" t="s">
        <v>6051</v>
      </c>
      <c r="J4422" t="s">
        <v>6054</v>
      </c>
      <c r="K4422" t="s">
        <v>6060</v>
      </c>
      <c r="L4422" t="s">
        <v>9543</v>
      </c>
      <c r="M4422">
        <v>783.34</v>
      </c>
      <c r="N4422">
        <v>3</v>
      </c>
      <c r="O4422">
        <v>0.28999999999999998</v>
      </c>
      <c r="P4422">
        <v>-146.13999999999999</v>
      </c>
      <c r="Q4422" t="s">
        <v>9897</v>
      </c>
      <c r="R4422">
        <v>7</v>
      </c>
      <c r="S4422" s="5">
        <f t="shared" si="138"/>
        <v>-0.18656011438200523</v>
      </c>
      <c r="T4422">
        <v>261.11333333333329</v>
      </c>
      <c r="U4422">
        <v>7</v>
      </c>
      <c r="V4422">
        <v>2022</v>
      </c>
      <c r="W4422">
        <v>3</v>
      </c>
      <c r="X4422" t="s">
        <v>9898</v>
      </c>
      <c r="Y4422" t="s">
        <v>9900</v>
      </c>
      <c r="Z4422" t="s">
        <v>9899</v>
      </c>
      <c r="AD4422">
        <f t="shared" si="139"/>
        <v>7</v>
      </c>
    </row>
    <row r="4423" spans="1:30" x14ac:dyDescent="0.25">
      <c r="A4423" t="s">
        <v>4447</v>
      </c>
      <c r="B4423" s="2">
        <v>44589</v>
      </c>
      <c r="C4423" s="2">
        <v>44593</v>
      </c>
      <c r="D4423" t="s">
        <v>5328</v>
      </c>
      <c r="E4423" t="s">
        <v>5828</v>
      </c>
      <c r="F4423" t="s">
        <v>6026</v>
      </c>
      <c r="G4423" t="s">
        <v>6031</v>
      </c>
      <c r="H4423" t="s">
        <v>6043</v>
      </c>
      <c r="I4423" t="s">
        <v>6050</v>
      </c>
      <c r="J4423" t="s">
        <v>6054</v>
      </c>
      <c r="K4423" t="s">
        <v>6060</v>
      </c>
      <c r="L4423" t="s">
        <v>9544</v>
      </c>
      <c r="M4423">
        <v>1778.45</v>
      </c>
      <c r="N4423">
        <v>5</v>
      </c>
      <c r="O4423">
        <v>0</v>
      </c>
      <c r="P4423">
        <v>326.66000000000003</v>
      </c>
      <c r="Q4423" t="s">
        <v>9896</v>
      </c>
      <c r="R4423">
        <v>4</v>
      </c>
      <c r="S4423" s="5">
        <f t="shared" si="138"/>
        <v>0.18367679721105459</v>
      </c>
      <c r="T4423">
        <v>355.69</v>
      </c>
      <c r="U4423">
        <v>1</v>
      </c>
      <c r="V4423">
        <v>2022</v>
      </c>
      <c r="W4423">
        <v>1</v>
      </c>
      <c r="X4423" t="s">
        <v>9899</v>
      </c>
      <c r="Y4423" t="s">
        <v>9901</v>
      </c>
      <c r="Z4423" t="s">
        <v>9898</v>
      </c>
      <c r="AD4423">
        <f t="shared" si="139"/>
        <v>4</v>
      </c>
    </row>
    <row r="4424" spans="1:30" x14ac:dyDescent="0.25">
      <c r="A4424" t="s">
        <v>4448</v>
      </c>
      <c r="B4424" s="2">
        <v>44623</v>
      </c>
      <c r="C4424" s="2">
        <v>44629</v>
      </c>
      <c r="D4424" t="s">
        <v>5106</v>
      </c>
      <c r="E4424" t="s">
        <v>5606</v>
      </c>
      <c r="F4424" t="s">
        <v>6027</v>
      </c>
      <c r="G4424" t="s">
        <v>6030</v>
      </c>
      <c r="H4424" t="s">
        <v>6033</v>
      </c>
      <c r="I4424" t="s">
        <v>6051</v>
      </c>
      <c r="J4424" t="s">
        <v>6054</v>
      </c>
      <c r="K4424" t="s">
        <v>6059</v>
      </c>
      <c r="L4424" t="s">
        <v>6710</v>
      </c>
      <c r="M4424">
        <v>326.95</v>
      </c>
      <c r="N4424">
        <v>7</v>
      </c>
      <c r="O4424">
        <v>0.06</v>
      </c>
      <c r="P4424">
        <v>70.94</v>
      </c>
      <c r="Q4424" t="s">
        <v>9895</v>
      </c>
      <c r="R4424">
        <v>6</v>
      </c>
      <c r="S4424" s="5">
        <f t="shared" si="138"/>
        <v>0.21697507264107663</v>
      </c>
      <c r="T4424">
        <v>46.707142857142863</v>
      </c>
      <c r="U4424">
        <v>3</v>
      </c>
      <c r="V4424">
        <v>2022</v>
      </c>
      <c r="W4424">
        <v>1</v>
      </c>
      <c r="X4424" t="s">
        <v>9899</v>
      </c>
      <c r="Y4424" t="s">
        <v>9901</v>
      </c>
      <c r="Z4424" t="s">
        <v>9899</v>
      </c>
      <c r="AD4424">
        <f t="shared" si="139"/>
        <v>6</v>
      </c>
    </row>
    <row r="4425" spans="1:30" x14ac:dyDescent="0.25">
      <c r="A4425" t="s">
        <v>4449</v>
      </c>
      <c r="B4425" s="2">
        <v>44943</v>
      </c>
      <c r="C4425" s="2">
        <v>44950</v>
      </c>
      <c r="D4425" t="s">
        <v>5414</v>
      </c>
      <c r="E4425" t="s">
        <v>5914</v>
      </c>
      <c r="F4425" t="s">
        <v>6026</v>
      </c>
      <c r="G4425" t="s">
        <v>6030</v>
      </c>
      <c r="H4425" t="s">
        <v>6039</v>
      </c>
      <c r="I4425" t="s">
        <v>6051</v>
      </c>
      <c r="J4425" t="s">
        <v>6054</v>
      </c>
      <c r="K4425" t="s">
        <v>6062</v>
      </c>
      <c r="L4425" t="s">
        <v>9433</v>
      </c>
      <c r="M4425">
        <v>852.94</v>
      </c>
      <c r="N4425">
        <v>3</v>
      </c>
      <c r="O4425">
        <v>0</v>
      </c>
      <c r="P4425">
        <v>147.66999999999999</v>
      </c>
      <c r="Q4425" t="s">
        <v>9896</v>
      </c>
      <c r="R4425">
        <v>7</v>
      </c>
      <c r="S4425" s="5">
        <f t="shared" si="138"/>
        <v>0.17313058362839118</v>
      </c>
      <c r="T4425">
        <v>284.31333333333328</v>
      </c>
      <c r="U4425">
        <v>1</v>
      </c>
      <c r="V4425">
        <v>2023</v>
      </c>
      <c r="W4425">
        <v>1</v>
      </c>
      <c r="X4425" t="s">
        <v>9899</v>
      </c>
      <c r="Y4425" t="s">
        <v>9901</v>
      </c>
      <c r="Z4425" t="s">
        <v>9899</v>
      </c>
      <c r="AD4425">
        <f t="shared" si="139"/>
        <v>7</v>
      </c>
    </row>
    <row r="4426" spans="1:30" x14ac:dyDescent="0.25">
      <c r="A4426" t="s">
        <v>4450</v>
      </c>
      <c r="B4426" s="2">
        <v>44990</v>
      </c>
      <c r="C4426" s="2">
        <v>44994</v>
      </c>
      <c r="D4426" t="s">
        <v>5434</v>
      </c>
      <c r="E4426" t="s">
        <v>5934</v>
      </c>
      <c r="F4426" t="s">
        <v>6026</v>
      </c>
      <c r="G4426" t="s">
        <v>6031</v>
      </c>
      <c r="H4426" t="s">
        <v>6043</v>
      </c>
      <c r="I4426" t="s">
        <v>6050</v>
      </c>
      <c r="J4426" t="s">
        <v>6055</v>
      </c>
      <c r="K4426" t="s">
        <v>6061</v>
      </c>
      <c r="L4426" t="s">
        <v>8793</v>
      </c>
      <c r="M4426">
        <v>554.27</v>
      </c>
      <c r="N4426">
        <v>5</v>
      </c>
      <c r="O4426">
        <v>0.01</v>
      </c>
      <c r="P4426">
        <v>131.74</v>
      </c>
      <c r="Q4426" t="s">
        <v>9896</v>
      </c>
      <c r="R4426">
        <v>4</v>
      </c>
      <c r="S4426" s="5">
        <f t="shared" si="138"/>
        <v>0.23768199613906582</v>
      </c>
      <c r="T4426">
        <v>110.854</v>
      </c>
      <c r="U4426">
        <v>3</v>
      </c>
      <c r="V4426">
        <v>2023</v>
      </c>
      <c r="W4426">
        <v>1</v>
      </c>
      <c r="X4426" t="s">
        <v>9899</v>
      </c>
      <c r="Y4426" t="s">
        <v>9901</v>
      </c>
      <c r="Z4426" t="s">
        <v>9899</v>
      </c>
      <c r="AD4426">
        <f t="shared" si="139"/>
        <v>4</v>
      </c>
    </row>
    <row r="4427" spans="1:30" x14ac:dyDescent="0.25">
      <c r="A4427" t="s">
        <v>4451</v>
      </c>
      <c r="B4427" s="2">
        <v>44983</v>
      </c>
      <c r="C4427" s="2">
        <v>44989</v>
      </c>
      <c r="D4427" t="s">
        <v>5512</v>
      </c>
      <c r="E4427" t="s">
        <v>6012</v>
      </c>
      <c r="F4427" t="s">
        <v>6026</v>
      </c>
      <c r="G4427" t="s">
        <v>6031</v>
      </c>
      <c r="H4427" t="s">
        <v>6034</v>
      </c>
      <c r="I4427" t="s">
        <v>6052</v>
      </c>
      <c r="J4427" t="s">
        <v>6054</v>
      </c>
      <c r="K4427" t="s">
        <v>6059</v>
      </c>
      <c r="L4427" t="s">
        <v>8543</v>
      </c>
      <c r="M4427">
        <v>1206.4100000000001</v>
      </c>
      <c r="N4427">
        <v>8</v>
      </c>
      <c r="O4427">
        <v>0.18</v>
      </c>
      <c r="P4427">
        <v>-38.43</v>
      </c>
      <c r="Q4427" t="s">
        <v>9897</v>
      </c>
      <c r="R4427">
        <v>6</v>
      </c>
      <c r="S4427" s="5">
        <f t="shared" si="138"/>
        <v>-3.1854842052038694E-2</v>
      </c>
      <c r="T4427">
        <v>150.80125000000001</v>
      </c>
      <c r="U4427">
        <v>2</v>
      </c>
      <c r="V4427">
        <v>2023</v>
      </c>
      <c r="W4427">
        <v>1</v>
      </c>
      <c r="X4427" t="s">
        <v>9898</v>
      </c>
      <c r="Y4427" t="s">
        <v>9900</v>
      </c>
      <c r="Z4427" t="s">
        <v>9898</v>
      </c>
      <c r="AD4427">
        <f t="shared" si="139"/>
        <v>6</v>
      </c>
    </row>
    <row r="4428" spans="1:30" x14ac:dyDescent="0.25">
      <c r="A4428" t="s">
        <v>4452</v>
      </c>
      <c r="B4428" s="2">
        <v>44876</v>
      </c>
      <c r="C4428" s="2">
        <v>44879</v>
      </c>
      <c r="D4428" t="s">
        <v>5098</v>
      </c>
      <c r="E4428" t="s">
        <v>5598</v>
      </c>
      <c r="F4428" t="s">
        <v>6026</v>
      </c>
      <c r="G4428" t="s">
        <v>6030</v>
      </c>
      <c r="H4428" t="s">
        <v>6038</v>
      </c>
      <c r="I4428" t="s">
        <v>6047</v>
      </c>
      <c r="J4428" t="s">
        <v>6054</v>
      </c>
      <c r="K4428" t="s">
        <v>6060</v>
      </c>
      <c r="L4428" t="s">
        <v>7555</v>
      </c>
      <c r="M4428">
        <v>424.41</v>
      </c>
      <c r="N4428">
        <v>4</v>
      </c>
      <c r="O4428">
        <v>0.12</v>
      </c>
      <c r="P4428">
        <v>33.979999999999997</v>
      </c>
      <c r="Q4428" t="s">
        <v>9895</v>
      </c>
      <c r="R4428">
        <v>3</v>
      </c>
      <c r="S4428" s="5">
        <f t="shared" si="138"/>
        <v>8.0064088970570893E-2</v>
      </c>
      <c r="T4428">
        <v>106.10250000000001</v>
      </c>
      <c r="U4428">
        <v>11</v>
      </c>
      <c r="V4428">
        <v>2022</v>
      </c>
      <c r="W4428">
        <v>4</v>
      </c>
      <c r="X4428" t="s">
        <v>9899</v>
      </c>
      <c r="Y4428" t="s">
        <v>9901</v>
      </c>
      <c r="Z4428" t="s">
        <v>9899</v>
      </c>
      <c r="AD4428">
        <f t="shared" si="139"/>
        <v>3</v>
      </c>
    </row>
    <row r="4429" spans="1:30" x14ac:dyDescent="0.25">
      <c r="A4429" t="s">
        <v>4453</v>
      </c>
      <c r="B4429" s="2">
        <v>44667</v>
      </c>
      <c r="C4429" s="2">
        <v>44669</v>
      </c>
      <c r="D4429" t="s">
        <v>5175</v>
      </c>
      <c r="E4429" t="s">
        <v>5675</v>
      </c>
      <c r="F4429" t="s">
        <v>6028</v>
      </c>
      <c r="G4429" t="s">
        <v>6029</v>
      </c>
      <c r="H4429" t="s">
        <v>6036</v>
      </c>
      <c r="I4429" t="s">
        <v>6046</v>
      </c>
      <c r="J4429" t="s">
        <v>6053</v>
      </c>
      <c r="K4429" t="s">
        <v>6057</v>
      </c>
      <c r="L4429" t="s">
        <v>9278</v>
      </c>
      <c r="M4429">
        <v>870.2</v>
      </c>
      <c r="N4429">
        <v>8</v>
      </c>
      <c r="O4429">
        <v>0.08</v>
      </c>
      <c r="P4429">
        <v>31.79</v>
      </c>
      <c r="Q4429" t="s">
        <v>9896</v>
      </c>
      <c r="R4429">
        <v>2</v>
      </c>
      <c r="S4429" s="5">
        <f t="shared" si="138"/>
        <v>3.6531831762813147E-2</v>
      </c>
      <c r="T4429">
        <v>108.77500000000001</v>
      </c>
      <c r="U4429">
        <v>4</v>
      </c>
      <c r="V4429">
        <v>2022</v>
      </c>
      <c r="W4429">
        <v>2</v>
      </c>
      <c r="X4429" t="s">
        <v>9899</v>
      </c>
      <c r="Y4429" t="s">
        <v>9901</v>
      </c>
      <c r="Z4429" t="s">
        <v>9899</v>
      </c>
      <c r="AD4429">
        <f t="shared" si="139"/>
        <v>2</v>
      </c>
    </row>
    <row r="4430" spans="1:30" x14ac:dyDescent="0.25">
      <c r="A4430" t="s">
        <v>4454</v>
      </c>
      <c r="B4430" s="2">
        <v>45067</v>
      </c>
      <c r="C4430" s="2">
        <v>45068</v>
      </c>
      <c r="D4430" t="s">
        <v>5200</v>
      </c>
      <c r="E4430" t="s">
        <v>5700</v>
      </c>
      <c r="F4430" t="s">
        <v>6027</v>
      </c>
      <c r="G4430" t="s">
        <v>6030</v>
      </c>
      <c r="H4430" t="s">
        <v>6039</v>
      </c>
      <c r="I4430" t="s">
        <v>6047</v>
      </c>
      <c r="J4430" t="s">
        <v>6053</v>
      </c>
      <c r="K4430" t="s">
        <v>6058</v>
      </c>
      <c r="L4430" t="s">
        <v>9545</v>
      </c>
      <c r="M4430">
        <v>580.48</v>
      </c>
      <c r="N4430">
        <v>1</v>
      </c>
      <c r="O4430">
        <v>0.18</v>
      </c>
      <c r="P4430">
        <v>13.82</v>
      </c>
      <c r="Q4430" t="s">
        <v>9895</v>
      </c>
      <c r="R4430">
        <v>1</v>
      </c>
      <c r="S4430" s="5">
        <f t="shared" si="138"/>
        <v>2.3807883131201763E-2</v>
      </c>
      <c r="T4430">
        <v>580.48</v>
      </c>
      <c r="U4430">
        <v>5</v>
      </c>
      <c r="V4430">
        <v>2023</v>
      </c>
      <c r="W4430">
        <v>2</v>
      </c>
      <c r="X4430" t="s">
        <v>9899</v>
      </c>
      <c r="Y4430" t="s">
        <v>9900</v>
      </c>
      <c r="Z4430" t="s">
        <v>9899</v>
      </c>
      <c r="AD4430">
        <f t="shared" si="139"/>
        <v>1</v>
      </c>
    </row>
    <row r="4431" spans="1:30" x14ac:dyDescent="0.25">
      <c r="A4431" t="s">
        <v>4455</v>
      </c>
      <c r="B4431" s="2">
        <v>44962</v>
      </c>
      <c r="C4431" s="2">
        <v>44968</v>
      </c>
      <c r="D4431" t="s">
        <v>5436</v>
      </c>
      <c r="E4431" t="s">
        <v>5936</v>
      </c>
      <c r="F4431" t="s">
        <v>6026</v>
      </c>
      <c r="G4431" t="s">
        <v>6030</v>
      </c>
      <c r="H4431" t="s">
        <v>6039</v>
      </c>
      <c r="I4431" t="s">
        <v>6051</v>
      </c>
      <c r="J4431" t="s">
        <v>6054</v>
      </c>
      <c r="K4431" t="s">
        <v>6060</v>
      </c>
      <c r="L4431" t="s">
        <v>6969</v>
      </c>
      <c r="M4431">
        <v>1127.3</v>
      </c>
      <c r="N4431">
        <v>4</v>
      </c>
      <c r="O4431">
        <v>0.16</v>
      </c>
      <c r="P4431">
        <v>8.9600000000000009</v>
      </c>
      <c r="Q4431" t="s">
        <v>9896</v>
      </c>
      <c r="R4431">
        <v>6</v>
      </c>
      <c r="S4431" s="5">
        <f t="shared" si="138"/>
        <v>7.9481948017386689E-3</v>
      </c>
      <c r="T4431">
        <v>281.82499999999999</v>
      </c>
      <c r="U4431">
        <v>2</v>
      </c>
      <c r="V4431">
        <v>2023</v>
      </c>
      <c r="W4431">
        <v>1</v>
      </c>
      <c r="X4431" t="s">
        <v>9899</v>
      </c>
      <c r="Y4431" t="s">
        <v>9900</v>
      </c>
      <c r="Z4431" t="s">
        <v>9898</v>
      </c>
      <c r="AD4431">
        <f t="shared" si="139"/>
        <v>6</v>
      </c>
    </row>
    <row r="4432" spans="1:30" x14ac:dyDescent="0.25">
      <c r="A4432" t="s">
        <v>4456</v>
      </c>
      <c r="B4432" s="2">
        <v>44984</v>
      </c>
      <c r="C4432" s="2">
        <v>44991</v>
      </c>
      <c r="D4432" t="s">
        <v>5372</v>
      </c>
      <c r="E4432" t="s">
        <v>5872</v>
      </c>
      <c r="F4432" t="s">
        <v>6026</v>
      </c>
      <c r="G4432" t="s">
        <v>6030</v>
      </c>
      <c r="H4432" t="s">
        <v>6033</v>
      </c>
      <c r="I4432" t="s">
        <v>6051</v>
      </c>
      <c r="J4432" t="s">
        <v>6054</v>
      </c>
      <c r="K4432" t="s">
        <v>6059</v>
      </c>
      <c r="L4432" t="s">
        <v>7411</v>
      </c>
      <c r="M4432">
        <v>1894.65</v>
      </c>
      <c r="N4432">
        <v>3</v>
      </c>
      <c r="O4432">
        <v>0.13</v>
      </c>
      <c r="P4432">
        <v>-26.55</v>
      </c>
      <c r="Q4432" t="s">
        <v>9897</v>
      </c>
      <c r="R4432">
        <v>7</v>
      </c>
      <c r="S4432" s="5">
        <f t="shared" si="138"/>
        <v>-1.4013142269020663E-2</v>
      </c>
      <c r="T4432">
        <v>631.55000000000007</v>
      </c>
      <c r="U4432">
        <v>2</v>
      </c>
      <c r="V4432">
        <v>2023</v>
      </c>
      <c r="W4432">
        <v>1</v>
      </c>
      <c r="X4432" t="s">
        <v>9898</v>
      </c>
      <c r="Y4432" t="s">
        <v>9901</v>
      </c>
      <c r="Z4432" t="s">
        <v>9898</v>
      </c>
      <c r="AD4432">
        <f t="shared" si="139"/>
        <v>7</v>
      </c>
    </row>
    <row r="4433" spans="1:30" x14ac:dyDescent="0.25">
      <c r="A4433" t="s">
        <v>4457</v>
      </c>
      <c r="B4433" s="2">
        <v>44840</v>
      </c>
      <c r="C4433" s="2">
        <v>44843</v>
      </c>
      <c r="D4433" t="s">
        <v>5417</v>
      </c>
      <c r="E4433" t="s">
        <v>5917</v>
      </c>
      <c r="F4433" t="s">
        <v>6027</v>
      </c>
      <c r="G4433" t="s">
        <v>6030</v>
      </c>
      <c r="H4433" t="s">
        <v>6038</v>
      </c>
      <c r="I4433" t="s">
        <v>6047</v>
      </c>
      <c r="J4433" t="s">
        <v>6053</v>
      </c>
      <c r="K4433" t="s">
        <v>6057</v>
      </c>
      <c r="L4433" t="s">
        <v>9546</v>
      </c>
      <c r="M4433">
        <v>423.73</v>
      </c>
      <c r="N4433">
        <v>7</v>
      </c>
      <c r="O4433">
        <v>0.22</v>
      </c>
      <c r="P4433">
        <v>26.59</v>
      </c>
      <c r="Q4433" t="s">
        <v>9893</v>
      </c>
      <c r="R4433">
        <v>3</v>
      </c>
      <c r="S4433" s="5">
        <f t="shared" si="138"/>
        <v>6.2752224293771974E-2</v>
      </c>
      <c r="T4433">
        <v>60.532857142857146</v>
      </c>
      <c r="U4433">
        <v>10</v>
      </c>
      <c r="V4433">
        <v>2022</v>
      </c>
      <c r="W4433">
        <v>4</v>
      </c>
      <c r="X4433" t="s">
        <v>9899</v>
      </c>
      <c r="Y4433" t="s">
        <v>9900</v>
      </c>
      <c r="Z4433" t="s">
        <v>9899</v>
      </c>
      <c r="AD4433">
        <f t="shared" si="139"/>
        <v>3</v>
      </c>
    </row>
    <row r="4434" spans="1:30" x14ac:dyDescent="0.25">
      <c r="A4434" t="s">
        <v>4458</v>
      </c>
      <c r="B4434" s="2">
        <v>45045</v>
      </c>
      <c r="C4434" s="2">
        <v>45046</v>
      </c>
      <c r="D4434" t="s">
        <v>5369</v>
      </c>
      <c r="E4434" t="s">
        <v>5869</v>
      </c>
      <c r="F4434" t="s">
        <v>6028</v>
      </c>
      <c r="G4434" t="s">
        <v>6031</v>
      </c>
      <c r="H4434" t="s">
        <v>6034</v>
      </c>
      <c r="I4434" t="s">
        <v>6048</v>
      </c>
      <c r="J4434" t="s">
        <v>6053</v>
      </c>
      <c r="K4434" t="s">
        <v>6057</v>
      </c>
      <c r="L4434" t="s">
        <v>6758</v>
      </c>
      <c r="M4434">
        <v>1401.94</v>
      </c>
      <c r="N4434">
        <v>5</v>
      </c>
      <c r="O4434">
        <v>0.09</v>
      </c>
      <c r="P4434">
        <v>55.71</v>
      </c>
      <c r="Q4434" t="s">
        <v>9896</v>
      </c>
      <c r="R4434">
        <v>1</v>
      </c>
      <c r="S4434" s="5">
        <f t="shared" si="138"/>
        <v>3.9737791916915129E-2</v>
      </c>
      <c r="T4434">
        <v>280.38799999999998</v>
      </c>
      <c r="U4434">
        <v>4</v>
      </c>
      <c r="V4434">
        <v>2023</v>
      </c>
      <c r="W4434">
        <v>2</v>
      </c>
      <c r="X4434" t="s">
        <v>9899</v>
      </c>
      <c r="Y4434" t="s">
        <v>9901</v>
      </c>
      <c r="Z4434" t="s">
        <v>9898</v>
      </c>
      <c r="AD4434">
        <f t="shared" si="139"/>
        <v>1</v>
      </c>
    </row>
    <row r="4435" spans="1:30" x14ac:dyDescent="0.25">
      <c r="A4435" t="s">
        <v>4459</v>
      </c>
      <c r="B4435" s="2">
        <v>44595</v>
      </c>
      <c r="C4435" s="2">
        <v>44601</v>
      </c>
      <c r="D4435" t="s">
        <v>5491</v>
      </c>
      <c r="E4435" t="s">
        <v>5991</v>
      </c>
      <c r="F4435" t="s">
        <v>6028</v>
      </c>
      <c r="G4435" t="s">
        <v>6030</v>
      </c>
      <c r="H4435" t="s">
        <v>6035</v>
      </c>
      <c r="I4435" t="s">
        <v>6047</v>
      </c>
      <c r="J4435" t="s">
        <v>6053</v>
      </c>
      <c r="K4435" t="s">
        <v>6058</v>
      </c>
      <c r="L4435" t="s">
        <v>9547</v>
      </c>
      <c r="M4435">
        <v>183.64</v>
      </c>
      <c r="N4435">
        <v>8</v>
      </c>
      <c r="O4435">
        <v>0.3</v>
      </c>
      <c r="P4435">
        <v>-28.82</v>
      </c>
      <c r="Q4435" t="s">
        <v>9894</v>
      </c>
      <c r="R4435">
        <v>6</v>
      </c>
      <c r="S4435" s="5">
        <f t="shared" si="138"/>
        <v>-0.1569374863864082</v>
      </c>
      <c r="T4435">
        <v>22.954999999999998</v>
      </c>
      <c r="U4435">
        <v>2</v>
      </c>
      <c r="V4435">
        <v>2022</v>
      </c>
      <c r="W4435">
        <v>1</v>
      </c>
      <c r="X4435" t="s">
        <v>9898</v>
      </c>
      <c r="Y4435" t="s">
        <v>9900</v>
      </c>
      <c r="Z4435" t="s">
        <v>9899</v>
      </c>
      <c r="AD4435">
        <f t="shared" si="139"/>
        <v>6</v>
      </c>
    </row>
    <row r="4436" spans="1:30" x14ac:dyDescent="0.25">
      <c r="A4436" t="s">
        <v>4460</v>
      </c>
      <c r="B4436" s="2">
        <v>45175</v>
      </c>
      <c r="C4436" s="2">
        <v>45177</v>
      </c>
      <c r="D4436" t="s">
        <v>5182</v>
      </c>
      <c r="E4436" t="s">
        <v>5682</v>
      </c>
      <c r="F4436" t="s">
        <v>6026</v>
      </c>
      <c r="G4436" t="s">
        <v>6029</v>
      </c>
      <c r="H4436" t="s">
        <v>6041</v>
      </c>
      <c r="I4436" t="s">
        <v>6049</v>
      </c>
      <c r="J4436" t="s">
        <v>6054</v>
      </c>
      <c r="K4436" t="s">
        <v>6062</v>
      </c>
      <c r="L4436" t="s">
        <v>9548</v>
      </c>
      <c r="M4436">
        <v>1844.23</v>
      </c>
      <c r="N4436">
        <v>7</v>
      </c>
      <c r="O4436">
        <v>0.16</v>
      </c>
      <c r="P4436">
        <v>26.54</v>
      </c>
      <c r="Q4436" t="s">
        <v>9894</v>
      </c>
      <c r="R4436">
        <v>2</v>
      </c>
      <c r="S4436" s="5">
        <f t="shared" si="138"/>
        <v>1.4390829777196986E-2</v>
      </c>
      <c r="T4436">
        <v>263.4614285714286</v>
      </c>
      <c r="U4436">
        <v>9</v>
      </c>
      <c r="V4436">
        <v>2023</v>
      </c>
      <c r="W4436">
        <v>3</v>
      </c>
      <c r="X4436" t="s">
        <v>9899</v>
      </c>
      <c r="Y4436" t="s">
        <v>9900</v>
      </c>
      <c r="Z4436" t="s">
        <v>9898</v>
      </c>
      <c r="AD4436">
        <f t="shared" si="139"/>
        <v>2</v>
      </c>
    </row>
    <row r="4437" spans="1:30" x14ac:dyDescent="0.25">
      <c r="A4437" t="s">
        <v>4461</v>
      </c>
      <c r="B4437" s="2">
        <v>44701</v>
      </c>
      <c r="C4437" s="2">
        <v>44702</v>
      </c>
      <c r="D4437" t="s">
        <v>5457</v>
      </c>
      <c r="E4437" t="s">
        <v>5957</v>
      </c>
      <c r="F4437" t="s">
        <v>6028</v>
      </c>
      <c r="G4437" t="s">
        <v>6029</v>
      </c>
      <c r="H4437" t="s">
        <v>6032</v>
      </c>
      <c r="I4437" t="s">
        <v>6050</v>
      </c>
      <c r="J4437" t="s">
        <v>6054</v>
      </c>
      <c r="K4437" t="s">
        <v>6060</v>
      </c>
      <c r="L4437" t="s">
        <v>6623</v>
      </c>
      <c r="M4437">
        <v>241.07</v>
      </c>
      <c r="N4437">
        <v>6</v>
      </c>
      <c r="O4437">
        <v>0.32</v>
      </c>
      <c r="P4437">
        <v>-24.23</v>
      </c>
      <c r="Q4437" t="s">
        <v>9896</v>
      </c>
      <c r="R4437">
        <v>1</v>
      </c>
      <c r="S4437" s="5">
        <f t="shared" si="138"/>
        <v>-0.10051022524577924</v>
      </c>
      <c r="T4437">
        <v>40.178333333333327</v>
      </c>
      <c r="U4437">
        <v>5</v>
      </c>
      <c r="V4437">
        <v>2022</v>
      </c>
      <c r="W4437">
        <v>2</v>
      </c>
      <c r="X4437" t="s">
        <v>9898</v>
      </c>
      <c r="Y4437" t="s">
        <v>9902</v>
      </c>
      <c r="Z4437" t="s">
        <v>9899</v>
      </c>
      <c r="AD4437">
        <f t="shared" si="139"/>
        <v>1</v>
      </c>
    </row>
    <row r="4438" spans="1:30" x14ac:dyDescent="0.25">
      <c r="A4438" t="s">
        <v>4462</v>
      </c>
      <c r="B4438" s="2">
        <v>44783</v>
      </c>
      <c r="C4438" s="2">
        <v>44789</v>
      </c>
      <c r="D4438" t="s">
        <v>5494</v>
      </c>
      <c r="E4438" t="s">
        <v>5994</v>
      </c>
      <c r="F4438" t="s">
        <v>6028</v>
      </c>
      <c r="G4438" t="s">
        <v>6029</v>
      </c>
      <c r="H4438" t="s">
        <v>6041</v>
      </c>
      <c r="I4438" t="s">
        <v>6046</v>
      </c>
      <c r="J4438" t="s">
        <v>6055</v>
      </c>
      <c r="K4438" t="s">
        <v>6064</v>
      </c>
      <c r="L4438" t="s">
        <v>7135</v>
      </c>
      <c r="M4438">
        <v>981.33</v>
      </c>
      <c r="N4438">
        <v>7</v>
      </c>
      <c r="O4438">
        <v>0.31</v>
      </c>
      <c r="P4438">
        <v>-205.28</v>
      </c>
      <c r="Q4438" t="s">
        <v>9895</v>
      </c>
      <c r="R4438">
        <v>6</v>
      </c>
      <c r="S4438" s="5">
        <f t="shared" si="138"/>
        <v>-0.20918549315724577</v>
      </c>
      <c r="T4438">
        <v>140.19</v>
      </c>
      <c r="U4438">
        <v>8</v>
      </c>
      <c r="V4438">
        <v>2022</v>
      </c>
      <c r="W4438">
        <v>3</v>
      </c>
      <c r="X4438" t="s">
        <v>9898</v>
      </c>
      <c r="Y4438" t="s">
        <v>9902</v>
      </c>
      <c r="Z4438" t="s">
        <v>9899</v>
      </c>
      <c r="AD4438">
        <f t="shared" si="139"/>
        <v>6</v>
      </c>
    </row>
    <row r="4439" spans="1:30" x14ac:dyDescent="0.25">
      <c r="A4439" t="s">
        <v>4463</v>
      </c>
      <c r="B4439" s="2">
        <v>45204</v>
      </c>
      <c r="C4439" s="2">
        <v>45206</v>
      </c>
      <c r="D4439" t="s">
        <v>5071</v>
      </c>
      <c r="E4439" t="s">
        <v>5571</v>
      </c>
      <c r="F4439" t="s">
        <v>6026</v>
      </c>
      <c r="G4439" t="s">
        <v>6029</v>
      </c>
      <c r="H4439" t="s">
        <v>6045</v>
      </c>
      <c r="I4439" t="s">
        <v>6050</v>
      </c>
      <c r="J4439" t="s">
        <v>6055</v>
      </c>
      <c r="K4439" t="s">
        <v>6063</v>
      </c>
      <c r="L4439" t="s">
        <v>9549</v>
      </c>
      <c r="M4439">
        <v>1540.16</v>
      </c>
      <c r="N4439">
        <v>8</v>
      </c>
      <c r="O4439">
        <v>0.03</v>
      </c>
      <c r="P4439">
        <v>388.1</v>
      </c>
      <c r="Q4439" t="s">
        <v>9894</v>
      </c>
      <c r="R4439">
        <v>2</v>
      </c>
      <c r="S4439" s="5">
        <f t="shared" si="138"/>
        <v>0.25198680656555161</v>
      </c>
      <c r="T4439">
        <v>192.52</v>
      </c>
      <c r="U4439">
        <v>10</v>
      </c>
      <c r="V4439">
        <v>2023</v>
      </c>
      <c r="W4439">
        <v>4</v>
      </c>
      <c r="X4439" t="s">
        <v>9899</v>
      </c>
      <c r="Y4439" t="s">
        <v>9901</v>
      </c>
      <c r="Z4439" t="s">
        <v>9898</v>
      </c>
      <c r="AD4439">
        <f t="shared" si="139"/>
        <v>2</v>
      </c>
    </row>
    <row r="4440" spans="1:30" x14ac:dyDescent="0.25">
      <c r="A4440" t="s">
        <v>4464</v>
      </c>
      <c r="B4440" s="2">
        <v>45453</v>
      </c>
      <c r="C4440" s="2">
        <v>45457</v>
      </c>
      <c r="D4440" t="s">
        <v>5426</v>
      </c>
      <c r="E4440" t="s">
        <v>5926</v>
      </c>
      <c r="F4440" t="s">
        <v>6026</v>
      </c>
      <c r="G4440" t="s">
        <v>6029</v>
      </c>
      <c r="H4440" t="s">
        <v>6041</v>
      </c>
      <c r="I4440" t="s">
        <v>6046</v>
      </c>
      <c r="J4440" t="s">
        <v>6053</v>
      </c>
      <c r="K4440" t="s">
        <v>6057</v>
      </c>
      <c r="L4440" t="s">
        <v>9550</v>
      </c>
      <c r="M4440">
        <v>1484.51</v>
      </c>
      <c r="N4440">
        <v>1</v>
      </c>
      <c r="O4440">
        <v>0.22</v>
      </c>
      <c r="P4440">
        <v>94.86</v>
      </c>
      <c r="Q4440" t="s">
        <v>9895</v>
      </c>
      <c r="R4440">
        <v>4</v>
      </c>
      <c r="S4440" s="5">
        <f t="shared" si="138"/>
        <v>6.3899872685263148E-2</v>
      </c>
      <c r="T4440">
        <v>1484.51</v>
      </c>
      <c r="U4440">
        <v>6</v>
      </c>
      <c r="V4440">
        <v>2024</v>
      </c>
      <c r="W4440">
        <v>2</v>
      </c>
      <c r="X4440" t="s">
        <v>9899</v>
      </c>
      <c r="Y4440" t="s">
        <v>9900</v>
      </c>
      <c r="Z4440" t="s">
        <v>9898</v>
      </c>
      <c r="AD4440">
        <f t="shared" si="139"/>
        <v>4</v>
      </c>
    </row>
    <row r="4441" spans="1:30" x14ac:dyDescent="0.25">
      <c r="A4441" t="s">
        <v>4465</v>
      </c>
      <c r="B4441" s="2">
        <v>45225</v>
      </c>
      <c r="C4441" s="2">
        <v>45228</v>
      </c>
      <c r="D4441" t="s">
        <v>5122</v>
      </c>
      <c r="E4441" t="s">
        <v>5622</v>
      </c>
      <c r="F4441" t="s">
        <v>6027</v>
      </c>
      <c r="G4441" t="s">
        <v>6031</v>
      </c>
      <c r="H4441" t="s">
        <v>6043</v>
      </c>
      <c r="I4441" t="s">
        <v>6052</v>
      </c>
      <c r="J4441" t="s">
        <v>6054</v>
      </c>
      <c r="K4441" t="s">
        <v>6062</v>
      </c>
      <c r="L4441" t="s">
        <v>9551</v>
      </c>
      <c r="M4441">
        <v>1066.4000000000001</v>
      </c>
      <c r="N4441">
        <v>4</v>
      </c>
      <c r="O4441">
        <v>0.31</v>
      </c>
      <c r="P4441">
        <v>-150.52000000000001</v>
      </c>
      <c r="Q4441" t="s">
        <v>9893</v>
      </c>
      <c r="R4441">
        <v>3</v>
      </c>
      <c r="S4441" s="5">
        <f t="shared" si="138"/>
        <v>-0.14114778694673669</v>
      </c>
      <c r="T4441">
        <v>266.60000000000002</v>
      </c>
      <c r="U4441">
        <v>10</v>
      </c>
      <c r="V4441">
        <v>2023</v>
      </c>
      <c r="W4441">
        <v>4</v>
      </c>
      <c r="X4441" t="s">
        <v>9898</v>
      </c>
      <c r="Y4441" t="s">
        <v>9902</v>
      </c>
      <c r="Z4441" t="s">
        <v>9898</v>
      </c>
      <c r="AD4441">
        <f t="shared" si="139"/>
        <v>3</v>
      </c>
    </row>
    <row r="4442" spans="1:30" x14ac:dyDescent="0.25">
      <c r="A4442" t="s">
        <v>4466</v>
      </c>
      <c r="B4442" s="2">
        <v>44739</v>
      </c>
      <c r="C4442" s="2">
        <v>44742</v>
      </c>
      <c r="D4442" t="s">
        <v>5160</v>
      </c>
      <c r="E4442" t="s">
        <v>5660</v>
      </c>
      <c r="F4442" t="s">
        <v>6027</v>
      </c>
      <c r="G4442" t="s">
        <v>6029</v>
      </c>
      <c r="H4442" t="s">
        <v>6044</v>
      </c>
      <c r="I4442" t="s">
        <v>6049</v>
      </c>
      <c r="J4442" t="s">
        <v>6054</v>
      </c>
      <c r="K4442" t="s">
        <v>6062</v>
      </c>
      <c r="L4442" t="s">
        <v>9552</v>
      </c>
      <c r="M4442">
        <v>1243.1199999999999</v>
      </c>
      <c r="N4442">
        <v>4</v>
      </c>
      <c r="O4442">
        <v>0.16</v>
      </c>
      <c r="P4442">
        <v>-8.08</v>
      </c>
      <c r="Q4442" t="s">
        <v>9895</v>
      </c>
      <c r="R4442">
        <v>3</v>
      </c>
      <c r="S4442" s="5">
        <f t="shared" si="138"/>
        <v>-6.4997747602805848E-3</v>
      </c>
      <c r="T4442">
        <v>310.77999999999997</v>
      </c>
      <c r="U4442">
        <v>6</v>
      </c>
      <c r="V4442">
        <v>2022</v>
      </c>
      <c r="W4442">
        <v>2</v>
      </c>
      <c r="X4442" t="s">
        <v>9898</v>
      </c>
      <c r="Y4442" t="s">
        <v>9900</v>
      </c>
      <c r="Z4442" t="s">
        <v>9898</v>
      </c>
      <c r="AD4442">
        <f t="shared" si="139"/>
        <v>3</v>
      </c>
    </row>
    <row r="4443" spans="1:30" x14ac:dyDescent="0.25">
      <c r="A4443" t="s">
        <v>4467</v>
      </c>
      <c r="B4443" s="2">
        <v>44979</v>
      </c>
      <c r="C4443" s="2">
        <v>44985</v>
      </c>
      <c r="D4443" t="s">
        <v>5422</v>
      </c>
      <c r="E4443" t="s">
        <v>5922</v>
      </c>
      <c r="F4443" t="s">
        <v>6026</v>
      </c>
      <c r="G4443" t="s">
        <v>6031</v>
      </c>
      <c r="H4443" t="s">
        <v>6034</v>
      </c>
      <c r="I4443" t="s">
        <v>6050</v>
      </c>
      <c r="J4443" t="s">
        <v>6053</v>
      </c>
      <c r="K4443" t="s">
        <v>6057</v>
      </c>
      <c r="L4443" t="s">
        <v>9553</v>
      </c>
      <c r="M4443">
        <v>1946.82</v>
      </c>
      <c r="N4443">
        <v>6</v>
      </c>
      <c r="O4443">
        <v>0.26</v>
      </c>
      <c r="P4443">
        <v>-264.93</v>
      </c>
      <c r="Q4443" t="s">
        <v>9895</v>
      </c>
      <c r="R4443">
        <v>6</v>
      </c>
      <c r="S4443" s="5">
        <f t="shared" si="138"/>
        <v>-0.13608345917958517</v>
      </c>
      <c r="T4443">
        <v>324.47000000000003</v>
      </c>
      <c r="U4443">
        <v>2</v>
      </c>
      <c r="V4443">
        <v>2023</v>
      </c>
      <c r="W4443">
        <v>1</v>
      </c>
      <c r="X4443" t="s">
        <v>9898</v>
      </c>
      <c r="Y4443" t="s">
        <v>9900</v>
      </c>
      <c r="Z4443" t="s">
        <v>9898</v>
      </c>
      <c r="AD4443">
        <f t="shared" si="139"/>
        <v>6</v>
      </c>
    </row>
    <row r="4444" spans="1:30" x14ac:dyDescent="0.25">
      <c r="A4444" t="s">
        <v>4468</v>
      </c>
      <c r="B4444" s="2">
        <v>45133</v>
      </c>
      <c r="C4444" s="2">
        <v>45138</v>
      </c>
      <c r="D4444" t="s">
        <v>5289</v>
      </c>
      <c r="E4444" t="s">
        <v>5789</v>
      </c>
      <c r="F4444" t="s">
        <v>6028</v>
      </c>
      <c r="G4444" t="s">
        <v>6029</v>
      </c>
      <c r="H4444" t="s">
        <v>6036</v>
      </c>
      <c r="I4444" t="s">
        <v>6046</v>
      </c>
      <c r="J4444" t="s">
        <v>6054</v>
      </c>
      <c r="K4444" t="s">
        <v>6060</v>
      </c>
      <c r="L4444" t="s">
        <v>9554</v>
      </c>
      <c r="M4444">
        <v>740.8</v>
      </c>
      <c r="N4444">
        <v>3</v>
      </c>
      <c r="O4444">
        <v>0.04</v>
      </c>
      <c r="P4444">
        <v>180.48</v>
      </c>
      <c r="Q4444" t="s">
        <v>9895</v>
      </c>
      <c r="R4444">
        <v>5</v>
      </c>
      <c r="S4444" s="5">
        <f t="shared" si="138"/>
        <v>0.24362850971922245</v>
      </c>
      <c r="T4444">
        <v>246.93333333333331</v>
      </c>
      <c r="U4444">
        <v>7</v>
      </c>
      <c r="V4444">
        <v>2023</v>
      </c>
      <c r="W4444">
        <v>3</v>
      </c>
      <c r="X4444" t="s">
        <v>9899</v>
      </c>
      <c r="Y4444" t="s">
        <v>9901</v>
      </c>
      <c r="Z4444" t="s">
        <v>9899</v>
      </c>
      <c r="AD4444">
        <f t="shared" si="139"/>
        <v>5</v>
      </c>
    </row>
    <row r="4445" spans="1:30" x14ac:dyDescent="0.25">
      <c r="A4445" t="s">
        <v>4469</v>
      </c>
      <c r="B4445" s="2">
        <v>45236</v>
      </c>
      <c r="C4445" s="2">
        <v>45237</v>
      </c>
      <c r="D4445" t="s">
        <v>5436</v>
      </c>
      <c r="E4445" t="s">
        <v>5936</v>
      </c>
      <c r="F4445" t="s">
        <v>6026</v>
      </c>
      <c r="G4445" t="s">
        <v>6029</v>
      </c>
      <c r="H4445" t="s">
        <v>6045</v>
      </c>
      <c r="I4445" t="s">
        <v>6050</v>
      </c>
      <c r="J4445" t="s">
        <v>6053</v>
      </c>
      <c r="K4445" t="s">
        <v>6056</v>
      </c>
      <c r="L4445" t="s">
        <v>9135</v>
      </c>
      <c r="M4445">
        <v>450.06</v>
      </c>
      <c r="N4445">
        <v>8</v>
      </c>
      <c r="O4445">
        <v>0.08</v>
      </c>
      <c r="P4445">
        <v>65.37</v>
      </c>
      <c r="Q4445" t="s">
        <v>9897</v>
      </c>
      <c r="R4445">
        <v>1</v>
      </c>
      <c r="S4445" s="5">
        <f t="shared" si="138"/>
        <v>0.14524730035995201</v>
      </c>
      <c r="T4445">
        <v>56.2575</v>
      </c>
      <c r="U4445">
        <v>11</v>
      </c>
      <c r="V4445">
        <v>2023</v>
      </c>
      <c r="W4445">
        <v>4</v>
      </c>
      <c r="X4445" t="s">
        <v>9899</v>
      </c>
      <c r="Y4445" t="s">
        <v>9901</v>
      </c>
      <c r="Z4445" t="s">
        <v>9899</v>
      </c>
      <c r="AD4445">
        <f t="shared" si="139"/>
        <v>1</v>
      </c>
    </row>
    <row r="4446" spans="1:30" x14ac:dyDescent="0.25">
      <c r="A4446" t="s">
        <v>4470</v>
      </c>
      <c r="B4446" s="2">
        <v>45062</v>
      </c>
      <c r="C4446" s="2">
        <v>45066</v>
      </c>
      <c r="D4446" t="s">
        <v>5349</v>
      </c>
      <c r="E4446" t="s">
        <v>5849</v>
      </c>
      <c r="F4446" t="s">
        <v>6026</v>
      </c>
      <c r="G4446" t="s">
        <v>6031</v>
      </c>
      <c r="H4446" t="s">
        <v>6034</v>
      </c>
      <c r="I4446" t="s">
        <v>6050</v>
      </c>
      <c r="J4446" t="s">
        <v>6054</v>
      </c>
      <c r="K4446" t="s">
        <v>6060</v>
      </c>
      <c r="L4446" t="s">
        <v>9555</v>
      </c>
      <c r="M4446">
        <v>792.76</v>
      </c>
      <c r="N4446">
        <v>2</v>
      </c>
      <c r="O4446">
        <v>0.11</v>
      </c>
      <c r="P4446">
        <v>57.93</v>
      </c>
      <c r="Q4446" t="s">
        <v>9895</v>
      </c>
      <c r="R4446">
        <v>4</v>
      </c>
      <c r="S4446" s="5">
        <f t="shared" si="138"/>
        <v>7.3073818053383116E-2</v>
      </c>
      <c r="T4446">
        <v>396.38</v>
      </c>
      <c r="U4446">
        <v>5</v>
      </c>
      <c r="V4446">
        <v>2023</v>
      </c>
      <c r="W4446">
        <v>2</v>
      </c>
      <c r="X4446" t="s">
        <v>9899</v>
      </c>
      <c r="Y4446" t="s">
        <v>9901</v>
      </c>
      <c r="Z4446" t="s">
        <v>9899</v>
      </c>
      <c r="AD4446">
        <f t="shared" si="139"/>
        <v>4</v>
      </c>
    </row>
    <row r="4447" spans="1:30" x14ac:dyDescent="0.25">
      <c r="A4447" t="s">
        <v>4471</v>
      </c>
      <c r="B4447" s="2">
        <v>44660</v>
      </c>
      <c r="C4447" s="2">
        <v>44663</v>
      </c>
      <c r="D4447" t="s">
        <v>5373</v>
      </c>
      <c r="E4447" t="s">
        <v>5873</v>
      </c>
      <c r="F4447" t="s">
        <v>6027</v>
      </c>
      <c r="G4447" t="s">
        <v>6029</v>
      </c>
      <c r="H4447" t="s">
        <v>6044</v>
      </c>
      <c r="I4447" t="s">
        <v>6050</v>
      </c>
      <c r="J4447" t="s">
        <v>6054</v>
      </c>
      <c r="K4447" t="s">
        <v>6062</v>
      </c>
      <c r="L4447" t="s">
        <v>8301</v>
      </c>
      <c r="M4447">
        <v>843.7</v>
      </c>
      <c r="N4447">
        <v>3</v>
      </c>
      <c r="O4447">
        <v>0.34</v>
      </c>
      <c r="P4447">
        <v>-56.65</v>
      </c>
      <c r="Q4447" t="s">
        <v>9896</v>
      </c>
      <c r="R4447">
        <v>3</v>
      </c>
      <c r="S4447" s="5">
        <f t="shared" si="138"/>
        <v>-6.7144719687092569E-2</v>
      </c>
      <c r="T4447">
        <v>281.23333333333329</v>
      </c>
      <c r="U4447">
        <v>4</v>
      </c>
      <c r="V4447">
        <v>2022</v>
      </c>
      <c r="W4447">
        <v>2</v>
      </c>
      <c r="X4447" t="s">
        <v>9898</v>
      </c>
      <c r="Y4447" t="s">
        <v>9902</v>
      </c>
      <c r="Z4447" t="s">
        <v>9899</v>
      </c>
      <c r="AD4447">
        <f t="shared" si="139"/>
        <v>3</v>
      </c>
    </row>
    <row r="4448" spans="1:30" x14ac:dyDescent="0.25">
      <c r="A4448" t="s">
        <v>4472</v>
      </c>
      <c r="B4448" s="2">
        <v>45432</v>
      </c>
      <c r="C4448" s="2">
        <v>45433</v>
      </c>
      <c r="D4448" t="s">
        <v>5186</v>
      </c>
      <c r="E4448" t="s">
        <v>5686</v>
      </c>
      <c r="F4448" t="s">
        <v>6027</v>
      </c>
      <c r="G4448" t="s">
        <v>6031</v>
      </c>
      <c r="H4448" t="s">
        <v>6043</v>
      </c>
      <c r="I4448" t="s">
        <v>6048</v>
      </c>
      <c r="J4448" t="s">
        <v>6054</v>
      </c>
      <c r="K4448" t="s">
        <v>6062</v>
      </c>
      <c r="L4448" t="s">
        <v>7060</v>
      </c>
      <c r="M4448">
        <v>1802.24</v>
      </c>
      <c r="N4448">
        <v>6</v>
      </c>
      <c r="O4448">
        <v>0.24</v>
      </c>
      <c r="P4448">
        <v>-198.93</v>
      </c>
      <c r="Q4448" t="s">
        <v>9897</v>
      </c>
      <c r="R4448">
        <v>1</v>
      </c>
      <c r="S4448" s="5">
        <f t="shared" si="138"/>
        <v>-0.11037930575284091</v>
      </c>
      <c r="T4448">
        <v>300.37333333333328</v>
      </c>
      <c r="U4448">
        <v>5</v>
      </c>
      <c r="V4448">
        <v>2024</v>
      </c>
      <c r="W4448">
        <v>2</v>
      </c>
      <c r="X4448" t="s">
        <v>9898</v>
      </c>
      <c r="Y4448" t="s">
        <v>9900</v>
      </c>
      <c r="Z4448" t="s">
        <v>9898</v>
      </c>
      <c r="AD4448">
        <f t="shared" si="139"/>
        <v>1</v>
      </c>
    </row>
    <row r="4449" spans="1:30" x14ac:dyDescent="0.25">
      <c r="A4449" t="s">
        <v>4473</v>
      </c>
      <c r="B4449" s="2">
        <v>45348</v>
      </c>
      <c r="C4449" s="2">
        <v>45354</v>
      </c>
      <c r="D4449" t="s">
        <v>5083</v>
      </c>
      <c r="E4449" t="s">
        <v>5583</v>
      </c>
      <c r="F4449" t="s">
        <v>6026</v>
      </c>
      <c r="G4449" t="s">
        <v>6030</v>
      </c>
      <c r="H4449" t="s">
        <v>6039</v>
      </c>
      <c r="I4449" t="s">
        <v>6051</v>
      </c>
      <c r="J4449" t="s">
        <v>6053</v>
      </c>
      <c r="K4449" t="s">
        <v>6058</v>
      </c>
      <c r="L4449" t="s">
        <v>7563</v>
      </c>
      <c r="M4449">
        <v>1148.68</v>
      </c>
      <c r="N4449">
        <v>2</v>
      </c>
      <c r="O4449">
        <v>7.0000000000000007E-2</v>
      </c>
      <c r="P4449">
        <v>146.13</v>
      </c>
      <c r="Q4449" t="s">
        <v>9894</v>
      </c>
      <c r="R4449">
        <v>6</v>
      </c>
      <c r="S4449" s="5">
        <f t="shared" si="138"/>
        <v>0.12721558658634258</v>
      </c>
      <c r="T4449">
        <v>574.34</v>
      </c>
      <c r="U4449">
        <v>2</v>
      </c>
      <c r="V4449">
        <v>2024</v>
      </c>
      <c r="W4449">
        <v>1</v>
      </c>
      <c r="X4449" t="s">
        <v>9899</v>
      </c>
      <c r="Y4449" t="s">
        <v>9901</v>
      </c>
      <c r="Z4449" t="s">
        <v>9898</v>
      </c>
      <c r="AD4449">
        <f t="shared" si="139"/>
        <v>6</v>
      </c>
    </row>
    <row r="4450" spans="1:30" x14ac:dyDescent="0.25">
      <c r="A4450" t="s">
        <v>4474</v>
      </c>
      <c r="B4450" s="2">
        <v>45423</v>
      </c>
      <c r="C4450" s="2">
        <v>45426</v>
      </c>
      <c r="D4450" t="s">
        <v>5294</v>
      </c>
      <c r="E4450" t="s">
        <v>5794</v>
      </c>
      <c r="F4450" t="s">
        <v>6028</v>
      </c>
      <c r="G4450" t="s">
        <v>6031</v>
      </c>
      <c r="H4450" t="s">
        <v>6043</v>
      </c>
      <c r="I4450" t="s">
        <v>6048</v>
      </c>
      <c r="J4450" t="s">
        <v>6055</v>
      </c>
      <c r="K4450" t="s">
        <v>6063</v>
      </c>
      <c r="L4450" t="s">
        <v>9556</v>
      </c>
      <c r="M4450">
        <v>1453.24</v>
      </c>
      <c r="N4450">
        <v>4</v>
      </c>
      <c r="O4450">
        <v>0.14000000000000001</v>
      </c>
      <c r="P4450">
        <v>-29</v>
      </c>
      <c r="Q4450" t="s">
        <v>9896</v>
      </c>
      <c r="R4450">
        <v>3</v>
      </c>
      <c r="S4450" s="5">
        <f t="shared" si="138"/>
        <v>-1.9955409980457462E-2</v>
      </c>
      <c r="T4450">
        <v>363.31</v>
      </c>
      <c r="U4450">
        <v>5</v>
      </c>
      <c r="V4450">
        <v>2024</v>
      </c>
      <c r="W4450">
        <v>2</v>
      </c>
      <c r="X4450" t="s">
        <v>9898</v>
      </c>
      <c r="Y4450" t="s">
        <v>9901</v>
      </c>
      <c r="Z4450" t="s">
        <v>9898</v>
      </c>
      <c r="AD4450">
        <f t="shared" si="139"/>
        <v>3</v>
      </c>
    </row>
    <row r="4451" spans="1:30" x14ac:dyDescent="0.25">
      <c r="A4451" t="s">
        <v>4475</v>
      </c>
      <c r="B4451" s="2">
        <v>45172</v>
      </c>
      <c r="C4451" s="2">
        <v>45177</v>
      </c>
      <c r="D4451" t="s">
        <v>5093</v>
      </c>
      <c r="E4451" t="s">
        <v>5593</v>
      </c>
      <c r="F4451" t="s">
        <v>6026</v>
      </c>
      <c r="G4451" t="s">
        <v>6031</v>
      </c>
      <c r="H4451" t="s">
        <v>6043</v>
      </c>
      <c r="I4451" t="s">
        <v>6052</v>
      </c>
      <c r="J4451" t="s">
        <v>6054</v>
      </c>
      <c r="K4451" t="s">
        <v>6062</v>
      </c>
      <c r="L4451" t="s">
        <v>9557</v>
      </c>
      <c r="M4451">
        <v>540.92999999999995</v>
      </c>
      <c r="N4451">
        <v>7</v>
      </c>
      <c r="O4451">
        <v>0.34</v>
      </c>
      <c r="P4451">
        <v>-119.57</v>
      </c>
      <c r="Q4451" t="s">
        <v>9895</v>
      </c>
      <c r="R4451">
        <v>5</v>
      </c>
      <c r="S4451" s="5">
        <f t="shared" si="138"/>
        <v>-0.22104523690680866</v>
      </c>
      <c r="T4451">
        <v>77.275714285714272</v>
      </c>
      <c r="U4451">
        <v>9</v>
      </c>
      <c r="V4451">
        <v>2023</v>
      </c>
      <c r="W4451">
        <v>3</v>
      </c>
      <c r="X4451" t="s">
        <v>9898</v>
      </c>
      <c r="Y4451" t="s">
        <v>9902</v>
      </c>
      <c r="Z4451" t="s">
        <v>9899</v>
      </c>
      <c r="AD4451">
        <f t="shared" si="139"/>
        <v>5</v>
      </c>
    </row>
    <row r="4452" spans="1:30" x14ac:dyDescent="0.25">
      <c r="A4452" t="s">
        <v>4476</v>
      </c>
      <c r="B4452" s="2">
        <v>44854</v>
      </c>
      <c r="C4452" s="2">
        <v>44858</v>
      </c>
      <c r="D4452" t="s">
        <v>5296</v>
      </c>
      <c r="E4452" t="s">
        <v>5796</v>
      </c>
      <c r="F4452" t="s">
        <v>6026</v>
      </c>
      <c r="G4452" t="s">
        <v>6029</v>
      </c>
      <c r="H4452" t="s">
        <v>6044</v>
      </c>
      <c r="I4452" t="s">
        <v>6046</v>
      </c>
      <c r="J4452" t="s">
        <v>6053</v>
      </c>
      <c r="K4452" t="s">
        <v>6057</v>
      </c>
      <c r="L4452" t="s">
        <v>9558</v>
      </c>
      <c r="M4452">
        <v>1157.55</v>
      </c>
      <c r="N4452">
        <v>8</v>
      </c>
      <c r="O4452">
        <v>0.11</v>
      </c>
      <c r="P4452">
        <v>8.7899999999999991</v>
      </c>
      <c r="Q4452" t="s">
        <v>9893</v>
      </c>
      <c r="R4452">
        <v>4</v>
      </c>
      <c r="S4452" s="5">
        <f t="shared" si="138"/>
        <v>7.5936244654658544E-3</v>
      </c>
      <c r="T4452">
        <v>144.69374999999999</v>
      </c>
      <c r="U4452">
        <v>10</v>
      </c>
      <c r="V4452">
        <v>2022</v>
      </c>
      <c r="W4452">
        <v>4</v>
      </c>
      <c r="X4452" t="s">
        <v>9899</v>
      </c>
      <c r="Y4452" t="s">
        <v>9901</v>
      </c>
      <c r="Z4452" t="s">
        <v>9898</v>
      </c>
      <c r="AD4452">
        <f t="shared" si="139"/>
        <v>4</v>
      </c>
    </row>
    <row r="4453" spans="1:30" x14ac:dyDescent="0.25">
      <c r="A4453" t="s">
        <v>4477</v>
      </c>
      <c r="B4453" s="2">
        <v>45086</v>
      </c>
      <c r="C4453" s="2">
        <v>45087</v>
      </c>
      <c r="D4453" t="s">
        <v>5192</v>
      </c>
      <c r="E4453" t="s">
        <v>5692</v>
      </c>
      <c r="F4453" t="s">
        <v>6028</v>
      </c>
      <c r="G4453" t="s">
        <v>6030</v>
      </c>
      <c r="H4453" t="s">
        <v>6035</v>
      </c>
      <c r="I4453" t="s">
        <v>6051</v>
      </c>
      <c r="J4453" t="s">
        <v>6055</v>
      </c>
      <c r="K4453" t="s">
        <v>6063</v>
      </c>
      <c r="L4453" t="s">
        <v>9559</v>
      </c>
      <c r="M4453">
        <v>1351.03</v>
      </c>
      <c r="N4453">
        <v>8</v>
      </c>
      <c r="O4453">
        <v>0.06</v>
      </c>
      <c r="P4453">
        <v>226.43</v>
      </c>
      <c r="Q4453" t="s">
        <v>9896</v>
      </c>
      <c r="R4453">
        <v>1</v>
      </c>
      <c r="S4453" s="5">
        <f t="shared" si="138"/>
        <v>0.16759805481743559</v>
      </c>
      <c r="T4453">
        <v>168.87875</v>
      </c>
      <c r="U4453">
        <v>6</v>
      </c>
      <c r="V4453">
        <v>2023</v>
      </c>
      <c r="W4453">
        <v>2</v>
      </c>
      <c r="X4453" t="s">
        <v>9899</v>
      </c>
      <c r="Y4453" t="s">
        <v>9901</v>
      </c>
      <c r="Z4453" t="s">
        <v>9898</v>
      </c>
      <c r="AD4453">
        <f t="shared" si="139"/>
        <v>1</v>
      </c>
    </row>
    <row r="4454" spans="1:30" x14ac:dyDescent="0.25">
      <c r="A4454" t="s">
        <v>4478</v>
      </c>
      <c r="B4454" s="2">
        <v>44725</v>
      </c>
      <c r="C4454" s="2">
        <v>44729</v>
      </c>
      <c r="D4454" t="s">
        <v>5204</v>
      </c>
      <c r="E4454" t="s">
        <v>5704</v>
      </c>
      <c r="F4454" t="s">
        <v>6028</v>
      </c>
      <c r="G4454" t="s">
        <v>6029</v>
      </c>
      <c r="H4454" t="s">
        <v>6041</v>
      </c>
      <c r="I4454" t="s">
        <v>6046</v>
      </c>
      <c r="J4454" t="s">
        <v>6053</v>
      </c>
      <c r="K4454" t="s">
        <v>6058</v>
      </c>
      <c r="L4454" t="s">
        <v>6291</v>
      </c>
      <c r="M4454">
        <v>1118.8900000000001</v>
      </c>
      <c r="N4454">
        <v>4</v>
      </c>
      <c r="O4454">
        <v>0.25</v>
      </c>
      <c r="P4454">
        <v>-112.17</v>
      </c>
      <c r="Q4454" t="s">
        <v>9897</v>
      </c>
      <c r="R4454">
        <v>4</v>
      </c>
      <c r="S4454" s="5">
        <f t="shared" si="138"/>
        <v>-0.1002511417565623</v>
      </c>
      <c r="T4454">
        <v>279.72250000000003</v>
      </c>
      <c r="U4454">
        <v>6</v>
      </c>
      <c r="V4454">
        <v>2022</v>
      </c>
      <c r="W4454">
        <v>2</v>
      </c>
      <c r="X4454" t="s">
        <v>9898</v>
      </c>
      <c r="Y4454" t="s">
        <v>9900</v>
      </c>
      <c r="Z4454" t="s">
        <v>9898</v>
      </c>
      <c r="AD4454">
        <f t="shared" si="139"/>
        <v>4</v>
      </c>
    </row>
    <row r="4455" spans="1:30" x14ac:dyDescent="0.25">
      <c r="A4455" t="s">
        <v>4479</v>
      </c>
      <c r="B4455" s="2">
        <v>44856</v>
      </c>
      <c r="C4455" s="2">
        <v>44863</v>
      </c>
      <c r="D4455" t="s">
        <v>5177</v>
      </c>
      <c r="E4455" t="s">
        <v>5677</v>
      </c>
      <c r="F4455" t="s">
        <v>6026</v>
      </c>
      <c r="G4455" t="s">
        <v>6029</v>
      </c>
      <c r="H4455" t="s">
        <v>6036</v>
      </c>
      <c r="I4455" t="s">
        <v>6049</v>
      </c>
      <c r="J4455" t="s">
        <v>6055</v>
      </c>
      <c r="K4455" t="s">
        <v>6064</v>
      </c>
      <c r="L4455" t="s">
        <v>9560</v>
      </c>
      <c r="M4455">
        <v>1260.5</v>
      </c>
      <c r="N4455">
        <v>1</v>
      </c>
      <c r="O4455">
        <v>0.03</v>
      </c>
      <c r="P4455">
        <v>134.38999999999999</v>
      </c>
      <c r="Q4455" t="s">
        <v>9893</v>
      </c>
      <c r="R4455">
        <v>7</v>
      </c>
      <c r="S4455" s="5">
        <f t="shared" si="138"/>
        <v>0.10661642205474017</v>
      </c>
      <c r="T4455">
        <v>1260.5</v>
      </c>
      <c r="U4455">
        <v>10</v>
      </c>
      <c r="V4455">
        <v>2022</v>
      </c>
      <c r="W4455">
        <v>4</v>
      </c>
      <c r="X4455" t="s">
        <v>9899</v>
      </c>
      <c r="Y4455" t="s">
        <v>9901</v>
      </c>
      <c r="Z4455" t="s">
        <v>9898</v>
      </c>
      <c r="AD4455">
        <f t="shared" si="139"/>
        <v>7</v>
      </c>
    </row>
    <row r="4456" spans="1:30" x14ac:dyDescent="0.25">
      <c r="A4456" t="s">
        <v>4480</v>
      </c>
      <c r="B4456" s="2">
        <v>44923</v>
      </c>
      <c r="C4456" s="2">
        <v>44927</v>
      </c>
      <c r="D4456" t="s">
        <v>5315</v>
      </c>
      <c r="E4456" t="s">
        <v>5815</v>
      </c>
      <c r="F4456" t="s">
        <v>6026</v>
      </c>
      <c r="G4456" t="s">
        <v>6031</v>
      </c>
      <c r="H4456" t="s">
        <v>6043</v>
      </c>
      <c r="I4456" t="s">
        <v>6052</v>
      </c>
      <c r="J4456" t="s">
        <v>6054</v>
      </c>
      <c r="K4456" t="s">
        <v>6062</v>
      </c>
      <c r="L4456" t="s">
        <v>9561</v>
      </c>
      <c r="M4456">
        <v>901.25</v>
      </c>
      <c r="N4456">
        <v>3</v>
      </c>
      <c r="O4456">
        <v>0.08</v>
      </c>
      <c r="P4456">
        <v>97.2</v>
      </c>
      <c r="Q4456" t="s">
        <v>9894</v>
      </c>
      <c r="R4456">
        <v>4</v>
      </c>
      <c r="S4456" s="5">
        <f t="shared" si="138"/>
        <v>0.10785020804438281</v>
      </c>
      <c r="T4456">
        <v>300.41666666666669</v>
      </c>
      <c r="U4456">
        <v>12</v>
      </c>
      <c r="V4456">
        <v>2022</v>
      </c>
      <c r="W4456">
        <v>4</v>
      </c>
      <c r="X4456" t="s">
        <v>9899</v>
      </c>
      <c r="Y4456" t="s">
        <v>9901</v>
      </c>
      <c r="Z4456" t="s">
        <v>9899</v>
      </c>
      <c r="AD4456">
        <f t="shared" si="139"/>
        <v>4</v>
      </c>
    </row>
    <row r="4457" spans="1:30" x14ac:dyDescent="0.25">
      <c r="A4457" t="s">
        <v>4481</v>
      </c>
      <c r="B4457" s="2">
        <v>44779</v>
      </c>
      <c r="C4457" s="2">
        <v>44780</v>
      </c>
      <c r="D4457" t="s">
        <v>5332</v>
      </c>
      <c r="E4457" t="s">
        <v>5832</v>
      </c>
      <c r="F4457" t="s">
        <v>6027</v>
      </c>
      <c r="G4457" t="s">
        <v>6031</v>
      </c>
      <c r="H4457" t="s">
        <v>6043</v>
      </c>
      <c r="I4457" t="s">
        <v>6050</v>
      </c>
      <c r="J4457" t="s">
        <v>6053</v>
      </c>
      <c r="K4457" t="s">
        <v>6056</v>
      </c>
      <c r="L4457" t="s">
        <v>6374</v>
      </c>
      <c r="M4457">
        <v>186.28</v>
      </c>
      <c r="N4457">
        <v>6</v>
      </c>
      <c r="O4457">
        <v>0.26</v>
      </c>
      <c r="P4457">
        <v>6.52</v>
      </c>
      <c r="Q4457" t="s">
        <v>9897</v>
      </c>
      <c r="R4457">
        <v>1</v>
      </c>
      <c r="S4457" s="5">
        <f t="shared" si="138"/>
        <v>3.500107365256603E-2</v>
      </c>
      <c r="T4457">
        <v>31.04666666666667</v>
      </c>
      <c r="U4457">
        <v>8</v>
      </c>
      <c r="V4457">
        <v>2022</v>
      </c>
      <c r="W4457">
        <v>3</v>
      </c>
      <c r="X4457" t="s">
        <v>9899</v>
      </c>
      <c r="Y4457" t="s">
        <v>9900</v>
      </c>
      <c r="Z4457" t="s">
        <v>9899</v>
      </c>
      <c r="AD4457">
        <f t="shared" si="139"/>
        <v>1</v>
      </c>
    </row>
    <row r="4458" spans="1:30" x14ac:dyDescent="0.25">
      <c r="A4458" t="s">
        <v>4482</v>
      </c>
      <c r="B4458" s="2">
        <v>44953</v>
      </c>
      <c r="C4458" s="2">
        <v>44956</v>
      </c>
      <c r="D4458" t="s">
        <v>5463</v>
      </c>
      <c r="E4458" t="s">
        <v>5963</v>
      </c>
      <c r="F4458" t="s">
        <v>6027</v>
      </c>
      <c r="G4458" t="s">
        <v>6030</v>
      </c>
      <c r="H4458" t="s">
        <v>6033</v>
      </c>
      <c r="I4458" t="s">
        <v>6047</v>
      </c>
      <c r="J4458" t="s">
        <v>6053</v>
      </c>
      <c r="K4458" t="s">
        <v>6057</v>
      </c>
      <c r="L4458" t="s">
        <v>9562</v>
      </c>
      <c r="M4458">
        <v>889.83</v>
      </c>
      <c r="N4458">
        <v>1</v>
      </c>
      <c r="O4458">
        <v>0.04</v>
      </c>
      <c r="P4458">
        <v>216.59</v>
      </c>
      <c r="Q4458" t="s">
        <v>9895</v>
      </c>
      <c r="R4458">
        <v>3</v>
      </c>
      <c r="S4458" s="5">
        <f t="shared" si="138"/>
        <v>0.24340604385107267</v>
      </c>
      <c r="T4458">
        <v>889.83</v>
      </c>
      <c r="U4458">
        <v>1</v>
      </c>
      <c r="V4458">
        <v>2023</v>
      </c>
      <c r="W4458">
        <v>1</v>
      </c>
      <c r="X4458" t="s">
        <v>9899</v>
      </c>
      <c r="Y4458" t="s">
        <v>9901</v>
      </c>
      <c r="Z4458" t="s">
        <v>9899</v>
      </c>
      <c r="AD4458">
        <f t="shared" si="139"/>
        <v>3</v>
      </c>
    </row>
    <row r="4459" spans="1:30" x14ac:dyDescent="0.25">
      <c r="A4459" t="s">
        <v>4483</v>
      </c>
      <c r="B4459" s="2">
        <v>45192</v>
      </c>
      <c r="C4459" s="2">
        <v>45193</v>
      </c>
      <c r="D4459" t="s">
        <v>5167</v>
      </c>
      <c r="E4459" t="s">
        <v>5667</v>
      </c>
      <c r="F4459" t="s">
        <v>6028</v>
      </c>
      <c r="G4459" t="s">
        <v>6029</v>
      </c>
      <c r="H4459" t="s">
        <v>6044</v>
      </c>
      <c r="I4459" t="s">
        <v>6049</v>
      </c>
      <c r="J4459" t="s">
        <v>6053</v>
      </c>
      <c r="K4459" t="s">
        <v>6057</v>
      </c>
      <c r="L4459" t="s">
        <v>9563</v>
      </c>
      <c r="M4459">
        <v>275.64</v>
      </c>
      <c r="N4459">
        <v>6</v>
      </c>
      <c r="O4459">
        <v>0.12</v>
      </c>
      <c r="P4459">
        <v>16.54</v>
      </c>
      <c r="Q4459" t="s">
        <v>9893</v>
      </c>
      <c r="R4459">
        <v>1</v>
      </c>
      <c r="S4459" s="5">
        <f t="shared" si="138"/>
        <v>6.0005804672761572E-2</v>
      </c>
      <c r="T4459">
        <v>45.94</v>
      </c>
      <c r="U4459">
        <v>9</v>
      </c>
      <c r="V4459">
        <v>2023</v>
      </c>
      <c r="W4459">
        <v>3</v>
      </c>
      <c r="X4459" t="s">
        <v>9899</v>
      </c>
      <c r="Y4459" t="s">
        <v>9901</v>
      </c>
      <c r="Z4459" t="s">
        <v>9899</v>
      </c>
      <c r="AD4459">
        <f t="shared" si="139"/>
        <v>1</v>
      </c>
    </row>
    <row r="4460" spans="1:30" x14ac:dyDescent="0.25">
      <c r="A4460" t="s">
        <v>4484</v>
      </c>
      <c r="B4460" s="2">
        <v>45046</v>
      </c>
      <c r="C4460" s="2">
        <v>45047</v>
      </c>
      <c r="D4460" t="s">
        <v>5383</v>
      </c>
      <c r="E4460" t="s">
        <v>5883</v>
      </c>
      <c r="F4460" t="s">
        <v>6027</v>
      </c>
      <c r="G4460" t="s">
        <v>6029</v>
      </c>
      <c r="H4460" t="s">
        <v>6045</v>
      </c>
      <c r="I4460" t="s">
        <v>6050</v>
      </c>
      <c r="J4460" t="s">
        <v>6053</v>
      </c>
      <c r="K4460" t="s">
        <v>6057</v>
      </c>
      <c r="L4460" t="s">
        <v>9564</v>
      </c>
      <c r="M4460">
        <v>1839.74</v>
      </c>
      <c r="N4460">
        <v>6</v>
      </c>
      <c r="O4460">
        <v>0.04</v>
      </c>
      <c r="P4460">
        <v>169.05</v>
      </c>
      <c r="Q4460" t="s">
        <v>9896</v>
      </c>
      <c r="R4460">
        <v>1</v>
      </c>
      <c r="S4460" s="5">
        <f t="shared" si="138"/>
        <v>9.1887984171676443E-2</v>
      </c>
      <c r="T4460">
        <v>306.62333333333328</v>
      </c>
      <c r="U4460">
        <v>4</v>
      </c>
      <c r="V4460">
        <v>2023</v>
      </c>
      <c r="W4460">
        <v>2</v>
      </c>
      <c r="X4460" t="s">
        <v>9899</v>
      </c>
      <c r="Y4460" t="s">
        <v>9901</v>
      </c>
      <c r="Z4460" t="s">
        <v>9898</v>
      </c>
      <c r="AD4460">
        <f t="shared" si="139"/>
        <v>1</v>
      </c>
    </row>
    <row r="4461" spans="1:30" x14ac:dyDescent="0.25">
      <c r="A4461" t="s">
        <v>4485</v>
      </c>
      <c r="B4461" s="2">
        <v>45100</v>
      </c>
      <c r="C4461" s="2">
        <v>45103</v>
      </c>
      <c r="D4461" t="s">
        <v>5076</v>
      </c>
      <c r="E4461" t="s">
        <v>5576</v>
      </c>
      <c r="F4461" t="s">
        <v>6027</v>
      </c>
      <c r="G4461" t="s">
        <v>6030</v>
      </c>
      <c r="H4461" t="s">
        <v>6035</v>
      </c>
      <c r="I4461" t="s">
        <v>6047</v>
      </c>
      <c r="J4461" t="s">
        <v>6055</v>
      </c>
      <c r="K4461" t="s">
        <v>6061</v>
      </c>
      <c r="L4461" t="s">
        <v>9565</v>
      </c>
      <c r="M4461">
        <v>564.94000000000005</v>
      </c>
      <c r="N4461">
        <v>4</v>
      </c>
      <c r="O4461">
        <v>0.04</v>
      </c>
      <c r="P4461">
        <v>88.3</v>
      </c>
      <c r="Q4461" t="s">
        <v>9893</v>
      </c>
      <c r="R4461">
        <v>3</v>
      </c>
      <c r="S4461" s="5">
        <f t="shared" si="138"/>
        <v>0.15629978404786346</v>
      </c>
      <c r="T4461">
        <v>141.23500000000001</v>
      </c>
      <c r="U4461">
        <v>6</v>
      </c>
      <c r="V4461">
        <v>2023</v>
      </c>
      <c r="W4461">
        <v>2</v>
      </c>
      <c r="X4461" t="s">
        <v>9899</v>
      </c>
      <c r="Y4461" t="s">
        <v>9901</v>
      </c>
      <c r="Z4461" t="s">
        <v>9899</v>
      </c>
      <c r="AD4461">
        <f t="shared" si="139"/>
        <v>3</v>
      </c>
    </row>
    <row r="4462" spans="1:30" x14ac:dyDescent="0.25">
      <c r="A4462" t="s">
        <v>4486</v>
      </c>
      <c r="B4462" s="2">
        <v>45305</v>
      </c>
      <c r="C4462" s="2">
        <v>45312</v>
      </c>
      <c r="D4462" t="s">
        <v>5263</v>
      </c>
      <c r="E4462" t="s">
        <v>5763</v>
      </c>
      <c r="F4462" t="s">
        <v>6027</v>
      </c>
      <c r="G4462" t="s">
        <v>6029</v>
      </c>
      <c r="H4462" t="s">
        <v>6036</v>
      </c>
      <c r="I4462" t="s">
        <v>6050</v>
      </c>
      <c r="J4462" t="s">
        <v>6055</v>
      </c>
      <c r="K4462" t="s">
        <v>6064</v>
      </c>
      <c r="L4462" t="s">
        <v>9566</v>
      </c>
      <c r="M4462">
        <v>1475.91</v>
      </c>
      <c r="N4462">
        <v>3</v>
      </c>
      <c r="O4462">
        <v>0.3</v>
      </c>
      <c r="P4462">
        <v>-267.44</v>
      </c>
      <c r="Q4462" t="s">
        <v>9895</v>
      </c>
      <c r="R4462">
        <v>7</v>
      </c>
      <c r="S4462" s="5">
        <f t="shared" si="138"/>
        <v>-0.18120346091563846</v>
      </c>
      <c r="T4462">
        <v>491.97</v>
      </c>
      <c r="U4462">
        <v>1</v>
      </c>
      <c r="V4462">
        <v>2024</v>
      </c>
      <c r="W4462">
        <v>1</v>
      </c>
      <c r="X4462" t="s">
        <v>9898</v>
      </c>
      <c r="Y4462" t="s">
        <v>9900</v>
      </c>
      <c r="Z4462" t="s">
        <v>9898</v>
      </c>
      <c r="AD4462">
        <f t="shared" si="139"/>
        <v>7</v>
      </c>
    </row>
    <row r="4463" spans="1:30" x14ac:dyDescent="0.25">
      <c r="A4463" t="s">
        <v>4487</v>
      </c>
      <c r="B4463" s="2">
        <v>44724</v>
      </c>
      <c r="C4463" s="2">
        <v>44729</v>
      </c>
      <c r="D4463" t="s">
        <v>5082</v>
      </c>
      <c r="E4463" t="s">
        <v>5582</v>
      </c>
      <c r="F4463" t="s">
        <v>6026</v>
      </c>
      <c r="G4463" t="s">
        <v>6030</v>
      </c>
      <c r="H4463" t="s">
        <v>6038</v>
      </c>
      <c r="I4463" t="s">
        <v>6051</v>
      </c>
      <c r="J4463" t="s">
        <v>6055</v>
      </c>
      <c r="K4463" t="s">
        <v>6064</v>
      </c>
      <c r="L4463" t="s">
        <v>6588</v>
      </c>
      <c r="M4463">
        <v>729.36</v>
      </c>
      <c r="N4463">
        <v>3</v>
      </c>
      <c r="O4463">
        <v>0.15</v>
      </c>
      <c r="P4463">
        <v>78.19</v>
      </c>
      <c r="Q4463" t="s">
        <v>9893</v>
      </c>
      <c r="R4463">
        <v>5</v>
      </c>
      <c r="S4463" s="5">
        <f t="shared" si="138"/>
        <v>0.10720357573763299</v>
      </c>
      <c r="T4463">
        <v>243.12</v>
      </c>
      <c r="U4463">
        <v>6</v>
      </c>
      <c r="V4463">
        <v>2022</v>
      </c>
      <c r="W4463">
        <v>2</v>
      </c>
      <c r="X4463" t="s">
        <v>9899</v>
      </c>
      <c r="Y4463" t="s">
        <v>9901</v>
      </c>
      <c r="Z4463" t="s">
        <v>9899</v>
      </c>
      <c r="AD4463">
        <f t="shared" si="139"/>
        <v>5</v>
      </c>
    </row>
    <row r="4464" spans="1:30" x14ac:dyDescent="0.25">
      <c r="A4464" t="s">
        <v>4488</v>
      </c>
      <c r="B4464" s="2">
        <v>44950</v>
      </c>
      <c r="C4464" s="2">
        <v>44957</v>
      </c>
      <c r="D4464" t="s">
        <v>5028</v>
      </c>
      <c r="E4464" t="s">
        <v>5528</v>
      </c>
      <c r="F4464" t="s">
        <v>6026</v>
      </c>
      <c r="G4464" t="s">
        <v>6031</v>
      </c>
      <c r="H4464" t="s">
        <v>6040</v>
      </c>
      <c r="I4464" t="s">
        <v>6050</v>
      </c>
      <c r="J4464" t="s">
        <v>6055</v>
      </c>
      <c r="K4464" t="s">
        <v>6064</v>
      </c>
      <c r="L4464" t="s">
        <v>9567</v>
      </c>
      <c r="M4464">
        <v>707.86</v>
      </c>
      <c r="N4464">
        <v>2</v>
      </c>
      <c r="O4464">
        <v>0.14000000000000001</v>
      </c>
      <c r="P4464">
        <v>-26.09</v>
      </c>
      <c r="Q4464" t="s">
        <v>9894</v>
      </c>
      <c r="R4464">
        <v>7</v>
      </c>
      <c r="S4464" s="5">
        <f t="shared" si="138"/>
        <v>-3.6857570706071818E-2</v>
      </c>
      <c r="T4464">
        <v>353.93</v>
      </c>
      <c r="U4464">
        <v>1</v>
      </c>
      <c r="V4464">
        <v>2023</v>
      </c>
      <c r="W4464">
        <v>1</v>
      </c>
      <c r="X4464" t="s">
        <v>9898</v>
      </c>
      <c r="Y4464" t="s">
        <v>9901</v>
      </c>
      <c r="Z4464" t="s">
        <v>9899</v>
      </c>
      <c r="AD4464">
        <f t="shared" si="139"/>
        <v>7</v>
      </c>
    </row>
    <row r="4465" spans="1:30" x14ac:dyDescent="0.25">
      <c r="A4465" t="s">
        <v>4489</v>
      </c>
      <c r="B4465" s="2">
        <v>44588</v>
      </c>
      <c r="C4465" s="2">
        <v>44594</v>
      </c>
      <c r="D4465" t="s">
        <v>5220</v>
      </c>
      <c r="E4465" t="s">
        <v>5720</v>
      </c>
      <c r="F4465" t="s">
        <v>6026</v>
      </c>
      <c r="G4465" t="s">
        <v>6030</v>
      </c>
      <c r="H4465" t="s">
        <v>6039</v>
      </c>
      <c r="I4465" t="s">
        <v>6047</v>
      </c>
      <c r="J4465" t="s">
        <v>6054</v>
      </c>
      <c r="K4465" t="s">
        <v>6060</v>
      </c>
      <c r="L4465" t="s">
        <v>9568</v>
      </c>
      <c r="M4465">
        <v>1633.61</v>
      </c>
      <c r="N4465">
        <v>3</v>
      </c>
      <c r="O4465">
        <v>0.06</v>
      </c>
      <c r="P4465">
        <v>136.1</v>
      </c>
      <c r="Q4465" t="s">
        <v>9893</v>
      </c>
      <c r="R4465">
        <v>6</v>
      </c>
      <c r="S4465" s="5">
        <f t="shared" si="138"/>
        <v>8.3312418508701594E-2</v>
      </c>
      <c r="T4465">
        <v>544.53666666666663</v>
      </c>
      <c r="U4465">
        <v>1</v>
      </c>
      <c r="V4465">
        <v>2022</v>
      </c>
      <c r="W4465">
        <v>1</v>
      </c>
      <c r="X4465" t="s">
        <v>9899</v>
      </c>
      <c r="Y4465" t="s">
        <v>9901</v>
      </c>
      <c r="Z4465" t="s">
        <v>9898</v>
      </c>
      <c r="AD4465">
        <f t="shared" si="139"/>
        <v>6</v>
      </c>
    </row>
    <row r="4466" spans="1:30" x14ac:dyDescent="0.25">
      <c r="A4466" t="s">
        <v>4490</v>
      </c>
      <c r="B4466" s="2">
        <v>45340</v>
      </c>
      <c r="C4466" s="2">
        <v>45347</v>
      </c>
      <c r="D4466" t="s">
        <v>5141</v>
      </c>
      <c r="E4466" t="s">
        <v>5641</v>
      </c>
      <c r="F4466" t="s">
        <v>6027</v>
      </c>
      <c r="G4466" t="s">
        <v>6029</v>
      </c>
      <c r="H4466" t="s">
        <v>6044</v>
      </c>
      <c r="I4466" t="s">
        <v>6046</v>
      </c>
      <c r="J4466" t="s">
        <v>6054</v>
      </c>
      <c r="K4466" t="s">
        <v>6060</v>
      </c>
      <c r="L4466" t="s">
        <v>8614</v>
      </c>
      <c r="M4466">
        <v>604.58000000000004</v>
      </c>
      <c r="N4466">
        <v>8</v>
      </c>
      <c r="O4466">
        <v>0.34</v>
      </c>
      <c r="P4466">
        <v>-35.06</v>
      </c>
      <c r="Q4466" t="s">
        <v>9897</v>
      </c>
      <c r="R4466">
        <v>7</v>
      </c>
      <c r="S4466" s="5">
        <f t="shared" si="138"/>
        <v>-5.7990671209765456E-2</v>
      </c>
      <c r="T4466">
        <v>75.572500000000005</v>
      </c>
      <c r="U4466">
        <v>2</v>
      </c>
      <c r="V4466">
        <v>2024</v>
      </c>
      <c r="W4466">
        <v>1</v>
      </c>
      <c r="X4466" t="s">
        <v>9898</v>
      </c>
      <c r="Y4466" t="s">
        <v>9902</v>
      </c>
      <c r="Z4466" t="s">
        <v>9899</v>
      </c>
      <c r="AD4466">
        <f t="shared" si="139"/>
        <v>7</v>
      </c>
    </row>
    <row r="4467" spans="1:30" x14ac:dyDescent="0.25">
      <c r="A4467" t="s">
        <v>4491</v>
      </c>
      <c r="B4467" s="2">
        <v>44599</v>
      </c>
      <c r="C4467" s="2">
        <v>44601</v>
      </c>
      <c r="D4467" t="s">
        <v>5305</v>
      </c>
      <c r="E4467" t="s">
        <v>5805</v>
      </c>
      <c r="F4467" t="s">
        <v>6026</v>
      </c>
      <c r="G4467" t="s">
        <v>6029</v>
      </c>
      <c r="H4467" t="s">
        <v>6032</v>
      </c>
      <c r="I4467" t="s">
        <v>6046</v>
      </c>
      <c r="J4467" t="s">
        <v>6054</v>
      </c>
      <c r="K4467" t="s">
        <v>6062</v>
      </c>
      <c r="L4467" t="s">
        <v>9569</v>
      </c>
      <c r="M4467">
        <v>168.74</v>
      </c>
      <c r="N4467">
        <v>3</v>
      </c>
      <c r="O4467">
        <v>0.26</v>
      </c>
      <c r="P4467">
        <v>4.62</v>
      </c>
      <c r="Q4467" t="s">
        <v>9895</v>
      </c>
      <c r="R4467">
        <v>2</v>
      </c>
      <c r="S4467" s="5">
        <f t="shared" si="138"/>
        <v>2.7379400260756193E-2</v>
      </c>
      <c r="T4467">
        <v>56.24666666666667</v>
      </c>
      <c r="U4467">
        <v>2</v>
      </c>
      <c r="V4467">
        <v>2022</v>
      </c>
      <c r="W4467">
        <v>1</v>
      </c>
      <c r="X4467" t="s">
        <v>9899</v>
      </c>
      <c r="Y4467" t="s">
        <v>9900</v>
      </c>
      <c r="Z4467" t="s">
        <v>9899</v>
      </c>
      <c r="AD4467">
        <f t="shared" si="139"/>
        <v>2</v>
      </c>
    </row>
    <row r="4468" spans="1:30" x14ac:dyDescent="0.25">
      <c r="A4468" t="s">
        <v>4492</v>
      </c>
      <c r="B4468" s="2">
        <v>44763</v>
      </c>
      <c r="C4468" s="2">
        <v>44768</v>
      </c>
      <c r="D4468" t="s">
        <v>5482</v>
      </c>
      <c r="E4468" t="s">
        <v>5982</v>
      </c>
      <c r="F4468" t="s">
        <v>6026</v>
      </c>
      <c r="G4468" t="s">
        <v>6030</v>
      </c>
      <c r="H4468" t="s">
        <v>6033</v>
      </c>
      <c r="I4468" t="s">
        <v>6047</v>
      </c>
      <c r="J4468" t="s">
        <v>6055</v>
      </c>
      <c r="K4468" t="s">
        <v>6061</v>
      </c>
      <c r="L4468" t="s">
        <v>9570</v>
      </c>
      <c r="M4468">
        <v>953.64</v>
      </c>
      <c r="N4468">
        <v>7</v>
      </c>
      <c r="O4468">
        <v>0.2</v>
      </c>
      <c r="P4468">
        <v>90.9</v>
      </c>
      <c r="Q4468" t="s">
        <v>9893</v>
      </c>
      <c r="R4468">
        <v>5</v>
      </c>
      <c r="S4468" s="5">
        <f t="shared" si="138"/>
        <v>9.531898829747075E-2</v>
      </c>
      <c r="T4468">
        <v>136.2342857142857</v>
      </c>
      <c r="U4468">
        <v>7</v>
      </c>
      <c r="V4468">
        <v>2022</v>
      </c>
      <c r="W4468">
        <v>3</v>
      </c>
      <c r="X4468" t="s">
        <v>9899</v>
      </c>
      <c r="Y4468" t="s">
        <v>9900</v>
      </c>
      <c r="Z4468" t="s">
        <v>9899</v>
      </c>
      <c r="AD4468">
        <f t="shared" si="139"/>
        <v>5</v>
      </c>
    </row>
    <row r="4469" spans="1:30" x14ac:dyDescent="0.25">
      <c r="A4469" t="s">
        <v>4493</v>
      </c>
      <c r="B4469" s="2">
        <v>44698</v>
      </c>
      <c r="C4469" s="2">
        <v>44704</v>
      </c>
      <c r="D4469" t="s">
        <v>5054</v>
      </c>
      <c r="E4469" t="s">
        <v>5554</v>
      </c>
      <c r="F4469" t="s">
        <v>6026</v>
      </c>
      <c r="G4469" t="s">
        <v>6030</v>
      </c>
      <c r="H4469" t="s">
        <v>6035</v>
      </c>
      <c r="I4469" t="s">
        <v>6051</v>
      </c>
      <c r="J4469" t="s">
        <v>6053</v>
      </c>
      <c r="K4469" t="s">
        <v>6058</v>
      </c>
      <c r="L4469" t="s">
        <v>6517</v>
      </c>
      <c r="M4469">
        <v>684.81</v>
      </c>
      <c r="N4469">
        <v>6</v>
      </c>
      <c r="O4469">
        <v>0.28999999999999998</v>
      </c>
      <c r="P4469">
        <v>-53.76</v>
      </c>
      <c r="Q4469" t="s">
        <v>9893</v>
      </c>
      <c r="R4469">
        <v>6</v>
      </c>
      <c r="S4469" s="5">
        <f t="shared" si="138"/>
        <v>-7.8503526525605646E-2</v>
      </c>
      <c r="T4469">
        <v>114.13500000000001</v>
      </c>
      <c r="U4469">
        <v>5</v>
      </c>
      <c r="V4469">
        <v>2022</v>
      </c>
      <c r="W4469">
        <v>2</v>
      </c>
      <c r="X4469" t="s">
        <v>9898</v>
      </c>
      <c r="Y4469" t="s">
        <v>9900</v>
      </c>
      <c r="Z4469" t="s">
        <v>9899</v>
      </c>
      <c r="AD4469">
        <f t="shared" si="139"/>
        <v>6</v>
      </c>
    </row>
    <row r="4470" spans="1:30" x14ac:dyDescent="0.25">
      <c r="A4470" t="s">
        <v>4494</v>
      </c>
      <c r="B4470" s="2">
        <v>44800</v>
      </c>
      <c r="C4470" s="2">
        <v>44803</v>
      </c>
      <c r="D4470" t="s">
        <v>5082</v>
      </c>
      <c r="E4470" t="s">
        <v>5582</v>
      </c>
      <c r="F4470" t="s">
        <v>6028</v>
      </c>
      <c r="G4470" t="s">
        <v>6031</v>
      </c>
      <c r="H4470" t="s">
        <v>6034</v>
      </c>
      <c r="I4470" t="s">
        <v>6048</v>
      </c>
      <c r="J4470" t="s">
        <v>6053</v>
      </c>
      <c r="K4470" t="s">
        <v>6058</v>
      </c>
      <c r="L4470" t="s">
        <v>9571</v>
      </c>
      <c r="M4470">
        <v>1306.1199999999999</v>
      </c>
      <c r="N4470">
        <v>8</v>
      </c>
      <c r="O4470">
        <v>0.01</v>
      </c>
      <c r="P4470">
        <v>354.13</v>
      </c>
      <c r="Q4470" t="s">
        <v>9897</v>
      </c>
      <c r="R4470">
        <v>3</v>
      </c>
      <c r="S4470" s="5">
        <f t="shared" si="138"/>
        <v>0.27113128962116806</v>
      </c>
      <c r="T4470">
        <v>163.26499999999999</v>
      </c>
      <c r="U4470">
        <v>8</v>
      </c>
      <c r="V4470">
        <v>2022</v>
      </c>
      <c r="W4470">
        <v>3</v>
      </c>
      <c r="X4470" t="s">
        <v>9899</v>
      </c>
      <c r="Y4470" t="s">
        <v>9901</v>
      </c>
      <c r="Z4470" t="s">
        <v>9898</v>
      </c>
      <c r="AD4470">
        <f t="shared" si="139"/>
        <v>3</v>
      </c>
    </row>
    <row r="4471" spans="1:30" x14ac:dyDescent="0.25">
      <c r="A4471" t="s">
        <v>4495</v>
      </c>
      <c r="B4471" s="2">
        <v>45008</v>
      </c>
      <c r="C4471" s="2">
        <v>45010</v>
      </c>
      <c r="D4471" t="s">
        <v>5467</v>
      </c>
      <c r="E4471" t="s">
        <v>5967</v>
      </c>
      <c r="F4471" t="s">
        <v>6028</v>
      </c>
      <c r="G4471" t="s">
        <v>6031</v>
      </c>
      <c r="H4471" t="s">
        <v>6037</v>
      </c>
      <c r="I4471" t="s">
        <v>6048</v>
      </c>
      <c r="J4471" t="s">
        <v>6053</v>
      </c>
      <c r="K4471" t="s">
        <v>6057</v>
      </c>
      <c r="L4471" t="s">
        <v>9572</v>
      </c>
      <c r="M4471">
        <v>173.38</v>
      </c>
      <c r="N4471">
        <v>3</v>
      </c>
      <c r="O4471">
        <v>7.0000000000000007E-2</v>
      </c>
      <c r="P4471">
        <v>38.840000000000003</v>
      </c>
      <c r="Q4471" t="s">
        <v>9894</v>
      </c>
      <c r="R4471">
        <v>2</v>
      </c>
      <c r="S4471" s="5">
        <f t="shared" si="138"/>
        <v>0.22401661091244668</v>
      </c>
      <c r="T4471">
        <v>57.793333333333329</v>
      </c>
      <c r="U4471">
        <v>3</v>
      </c>
      <c r="V4471">
        <v>2023</v>
      </c>
      <c r="W4471">
        <v>1</v>
      </c>
      <c r="X4471" t="s">
        <v>9899</v>
      </c>
      <c r="Y4471" t="s">
        <v>9901</v>
      </c>
      <c r="Z4471" t="s">
        <v>9899</v>
      </c>
      <c r="AD4471">
        <f t="shared" si="139"/>
        <v>2</v>
      </c>
    </row>
    <row r="4472" spans="1:30" x14ac:dyDescent="0.25">
      <c r="A4472" t="s">
        <v>4496</v>
      </c>
      <c r="B4472" s="2">
        <v>44653</v>
      </c>
      <c r="C4472" s="2">
        <v>44658</v>
      </c>
      <c r="D4472" t="s">
        <v>5097</v>
      </c>
      <c r="E4472" t="s">
        <v>5597</v>
      </c>
      <c r="F4472" t="s">
        <v>6027</v>
      </c>
      <c r="G4472" t="s">
        <v>6029</v>
      </c>
      <c r="H4472" t="s">
        <v>6041</v>
      </c>
      <c r="I4472" t="s">
        <v>6046</v>
      </c>
      <c r="J4472" t="s">
        <v>6054</v>
      </c>
      <c r="K4472" t="s">
        <v>6059</v>
      </c>
      <c r="L4472" t="s">
        <v>9573</v>
      </c>
      <c r="M4472">
        <v>1678.95</v>
      </c>
      <c r="N4472">
        <v>2</v>
      </c>
      <c r="O4472">
        <v>0.31</v>
      </c>
      <c r="P4472">
        <v>-329.95</v>
      </c>
      <c r="Q4472" t="s">
        <v>9893</v>
      </c>
      <c r="R4472">
        <v>5</v>
      </c>
      <c r="S4472" s="5">
        <f t="shared" si="138"/>
        <v>-0.19652163554602578</v>
      </c>
      <c r="T4472">
        <v>839.47500000000002</v>
      </c>
      <c r="U4472">
        <v>4</v>
      </c>
      <c r="V4472">
        <v>2022</v>
      </c>
      <c r="W4472">
        <v>2</v>
      </c>
      <c r="X4472" t="s">
        <v>9898</v>
      </c>
      <c r="Y4472" t="s">
        <v>9902</v>
      </c>
      <c r="Z4472" t="s">
        <v>9898</v>
      </c>
      <c r="AD4472">
        <f t="shared" si="139"/>
        <v>5</v>
      </c>
    </row>
    <row r="4473" spans="1:30" x14ac:dyDescent="0.25">
      <c r="A4473" t="s">
        <v>4497</v>
      </c>
      <c r="B4473" s="2">
        <v>45183</v>
      </c>
      <c r="C4473" s="2">
        <v>45187</v>
      </c>
      <c r="D4473" t="s">
        <v>5171</v>
      </c>
      <c r="E4473" t="s">
        <v>5671</v>
      </c>
      <c r="F4473" t="s">
        <v>6026</v>
      </c>
      <c r="G4473" t="s">
        <v>6030</v>
      </c>
      <c r="H4473" t="s">
        <v>6035</v>
      </c>
      <c r="I4473" t="s">
        <v>6047</v>
      </c>
      <c r="J4473" t="s">
        <v>6053</v>
      </c>
      <c r="K4473" t="s">
        <v>6056</v>
      </c>
      <c r="L4473" t="s">
        <v>9574</v>
      </c>
      <c r="M4473">
        <v>1202.6600000000001</v>
      </c>
      <c r="N4473">
        <v>1</v>
      </c>
      <c r="O4473">
        <v>0.26</v>
      </c>
      <c r="P4473">
        <v>-171.42</v>
      </c>
      <c r="Q4473" t="s">
        <v>9893</v>
      </c>
      <c r="R4473">
        <v>4</v>
      </c>
      <c r="S4473" s="5">
        <f t="shared" si="138"/>
        <v>-0.14253404952355608</v>
      </c>
      <c r="T4473">
        <v>1202.6600000000001</v>
      </c>
      <c r="U4473">
        <v>9</v>
      </c>
      <c r="V4473">
        <v>2023</v>
      </c>
      <c r="W4473">
        <v>3</v>
      </c>
      <c r="X4473" t="s">
        <v>9898</v>
      </c>
      <c r="Y4473" t="s">
        <v>9900</v>
      </c>
      <c r="Z4473" t="s">
        <v>9898</v>
      </c>
      <c r="AD4473">
        <f t="shared" si="139"/>
        <v>4</v>
      </c>
    </row>
    <row r="4474" spans="1:30" x14ac:dyDescent="0.25">
      <c r="A4474" t="s">
        <v>4498</v>
      </c>
      <c r="B4474" s="2">
        <v>44843</v>
      </c>
      <c r="C4474" s="2">
        <v>44845</v>
      </c>
      <c r="D4474" t="s">
        <v>5197</v>
      </c>
      <c r="E4474" t="s">
        <v>5697</v>
      </c>
      <c r="F4474" t="s">
        <v>6028</v>
      </c>
      <c r="G4474" t="s">
        <v>6030</v>
      </c>
      <c r="H4474" t="s">
        <v>6038</v>
      </c>
      <c r="I4474" t="s">
        <v>6047</v>
      </c>
      <c r="J4474" t="s">
        <v>6053</v>
      </c>
      <c r="K4474" t="s">
        <v>6058</v>
      </c>
      <c r="L4474" t="s">
        <v>7168</v>
      </c>
      <c r="M4474">
        <v>1948.07</v>
      </c>
      <c r="N4474">
        <v>2</v>
      </c>
      <c r="O4474">
        <v>0.06</v>
      </c>
      <c r="P4474">
        <v>91.96</v>
      </c>
      <c r="Q4474" t="s">
        <v>9896</v>
      </c>
      <c r="R4474">
        <v>2</v>
      </c>
      <c r="S4474" s="5">
        <f t="shared" si="138"/>
        <v>4.7205695893884715E-2</v>
      </c>
      <c r="T4474">
        <v>974.03499999999997</v>
      </c>
      <c r="U4474">
        <v>10</v>
      </c>
      <c r="V4474">
        <v>2022</v>
      </c>
      <c r="W4474">
        <v>4</v>
      </c>
      <c r="X4474" t="s">
        <v>9899</v>
      </c>
      <c r="Y4474" t="s">
        <v>9901</v>
      </c>
      <c r="Z4474" t="s">
        <v>9898</v>
      </c>
      <c r="AD4474">
        <f t="shared" si="139"/>
        <v>2</v>
      </c>
    </row>
    <row r="4475" spans="1:30" x14ac:dyDescent="0.25">
      <c r="A4475" t="s">
        <v>4499</v>
      </c>
      <c r="B4475" s="2">
        <v>44949</v>
      </c>
      <c r="C4475" s="2">
        <v>44955</v>
      </c>
      <c r="D4475" t="s">
        <v>5132</v>
      </c>
      <c r="E4475" t="s">
        <v>5632</v>
      </c>
      <c r="F4475" t="s">
        <v>6026</v>
      </c>
      <c r="G4475" t="s">
        <v>6029</v>
      </c>
      <c r="H4475" t="s">
        <v>6032</v>
      </c>
      <c r="I4475" t="s">
        <v>6046</v>
      </c>
      <c r="J4475" t="s">
        <v>6054</v>
      </c>
      <c r="K4475" t="s">
        <v>6060</v>
      </c>
      <c r="L4475" t="s">
        <v>9575</v>
      </c>
      <c r="M4475">
        <v>565.1</v>
      </c>
      <c r="N4475">
        <v>4</v>
      </c>
      <c r="O4475">
        <v>0.02</v>
      </c>
      <c r="P4475">
        <v>143.37</v>
      </c>
      <c r="Q4475" t="s">
        <v>9897</v>
      </c>
      <c r="R4475">
        <v>6</v>
      </c>
      <c r="S4475" s="5">
        <f t="shared" si="138"/>
        <v>0.25370730844098388</v>
      </c>
      <c r="T4475">
        <v>141.27500000000001</v>
      </c>
      <c r="U4475">
        <v>1</v>
      </c>
      <c r="V4475">
        <v>2023</v>
      </c>
      <c r="W4475">
        <v>1</v>
      </c>
      <c r="X4475" t="s">
        <v>9899</v>
      </c>
      <c r="Y4475" t="s">
        <v>9901</v>
      </c>
      <c r="Z4475" t="s">
        <v>9899</v>
      </c>
      <c r="AD4475">
        <f t="shared" si="139"/>
        <v>6</v>
      </c>
    </row>
    <row r="4476" spans="1:30" x14ac:dyDescent="0.25">
      <c r="A4476" t="s">
        <v>4500</v>
      </c>
      <c r="B4476" s="2">
        <v>44645</v>
      </c>
      <c r="C4476" s="2">
        <v>44648</v>
      </c>
      <c r="D4476" t="s">
        <v>5156</v>
      </c>
      <c r="E4476" t="s">
        <v>5656</v>
      </c>
      <c r="F4476" t="s">
        <v>6026</v>
      </c>
      <c r="G4476" t="s">
        <v>6030</v>
      </c>
      <c r="H4476" t="s">
        <v>6033</v>
      </c>
      <c r="I4476" t="s">
        <v>6047</v>
      </c>
      <c r="J4476" t="s">
        <v>6053</v>
      </c>
      <c r="K4476" t="s">
        <v>6058</v>
      </c>
      <c r="L4476" t="s">
        <v>9576</v>
      </c>
      <c r="M4476">
        <v>1720.16</v>
      </c>
      <c r="N4476">
        <v>8</v>
      </c>
      <c r="O4476">
        <v>0.05</v>
      </c>
      <c r="P4476">
        <v>196.65</v>
      </c>
      <c r="Q4476" t="s">
        <v>9895</v>
      </c>
      <c r="R4476">
        <v>3</v>
      </c>
      <c r="S4476" s="5">
        <f t="shared" si="138"/>
        <v>0.11432076085945493</v>
      </c>
      <c r="T4476">
        <v>215.02</v>
      </c>
      <c r="U4476">
        <v>3</v>
      </c>
      <c r="V4476">
        <v>2022</v>
      </c>
      <c r="W4476">
        <v>1</v>
      </c>
      <c r="X4476" t="s">
        <v>9899</v>
      </c>
      <c r="Y4476" t="s">
        <v>9901</v>
      </c>
      <c r="Z4476" t="s">
        <v>9898</v>
      </c>
      <c r="AD4476">
        <f t="shared" si="139"/>
        <v>3</v>
      </c>
    </row>
    <row r="4477" spans="1:30" x14ac:dyDescent="0.25">
      <c r="A4477" t="s">
        <v>4501</v>
      </c>
      <c r="B4477" s="2">
        <v>45261</v>
      </c>
      <c r="C4477" s="2">
        <v>45266</v>
      </c>
      <c r="D4477" t="s">
        <v>5517</v>
      </c>
      <c r="E4477" t="s">
        <v>6017</v>
      </c>
      <c r="F4477" t="s">
        <v>6026</v>
      </c>
      <c r="G4477" t="s">
        <v>6031</v>
      </c>
      <c r="H4477" t="s">
        <v>6043</v>
      </c>
      <c r="I4477" t="s">
        <v>6048</v>
      </c>
      <c r="J4477" t="s">
        <v>6053</v>
      </c>
      <c r="K4477" t="s">
        <v>6056</v>
      </c>
      <c r="L4477" t="s">
        <v>9577</v>
      </c>
      <c r="M4477">
        <v>1561.96</v>
      </c>
      <c r="N4477">
        <v>7</v>
      </c>
      <c r="O4477">
        <v>0.21</v>
      </c>
      <c r="P4477">
        <v>-118.7</v>
      </c>
      <c r="Q4477" t="s">
        <v>9897</v>
      </c>
      <c r="R4477">
        <v>5</v>
      </c>
      <c r="S4477" s="5">
        <f t="shared" si="138"/>
        <v>-7.5994263617506205E-2</v>
      </c>
      <c r="T4477">
        <v>223.13714285714289</v>
      </c>
      <c r="U4477">
        <v>12</v>
      </c>
      <c r="V4477">
        <v>2023</v>
      </c>
      <c r="W4477">
        <v>4</v>
      </c>
      <c r="X4477" t="s">
        <v>9898</v>
      </c>
      <c r="Y4477" t="s">
        <v>9900</v>
      </c>
      <c r="Z4477" t="s">
        <v>9898</v>
      </c>
      <c r="AD4477">
        <f t="shared" si="139"/>
        <v>5</v>
      </c>
    </row>
    <row r="4478" spans="1:30" x14ac:dyDescent="0.25">
      <c r="A4478" t="s">
        <v>4502</v>
      </c>
      <c r="B4478" s="2">
        <v>44781</v>
      </c>
      <c r="C4478" s="2">
        <v>44787</v>
      </c>
      <c r="D4478" t="s">
        <v>5119</v>
      </c>
      <c r="E4478" t="s">
        <v>5619</v>
      </c>
      <c r="F4478" t="s">
        <v>6026</v>
      </c>
      <c r="G4478" t="s">
        <v>6031</v>
      </c>
      <c r="H4478" t="s">
        <v>6040</v>
      </c>
      <c r="I4478" t="s">
        <v>6048</v>
      </c>
      <c r="J4478" t="s">
        <v>6053</v>
      </c>
      <c r="K4478" t="s">
        <v>6056</v>
      </c>
      <c r="L4478" t="s">
        <v>9578</v>
      </c>
      <c r="M4478">
        <v>1469.48</v>
      </c>
      <c r="N4478">
        <v>6</v>
      </c>
      <c r="O4478">
        <v>0.09</v>
      </c>
      <c r="P4478">
        <v>235.68</v>
      </c>
      <c r="Q4478" t="s">
        <v>9893</v>
      </c>
      <c r="R4478">
        <v>6</v>
      </c>
      <c r="S4478" s="5">
        <f t="shared" si="138"/>
        <v>0.16038326482837467</v>
      </c>
      <c r="T4478">
        <v>244.9133333333333</v>
      </c>
      <c r="U4478">
        <v>8</v>
      </c>
      <c r="V4478">
        <v>2022</v>
      </c>
      <c r="W4478">
        <v>3</v>
      </c>
      <c r="X4478" t="s">
        <v>9899</v>
      </c>
      <c r="Y4478" t="s">
        <v>9901</v>
      </c>
      <c r="Z4478" t="s">
        <v>9898</v>
      </c>
      <c r="AD4478">
        <f t="shared" si="139"/>
        <v>6</v>
      </c>
    </row>
    <row r="4479" spans="1:30" x14ac:dyDescent="0.25">
      <c r="A4479" t="s">
        <v>4503</v>
      </c>
      <c r="B4479" s="2">
        <v>45420</v>
      </c>
      <c r="C4479" s="2">
        <v>45425</v>
      </c>
      <c r="D4479" t="s">
        <v>5193</v>
      </c>
      <c r="E4479" t="s">
        <v>5693</v>
      </c>
      <c r="F4479" t="s">
        <v>6028</v>
      </c>
      <c r="G4479" t="s">
        <v>6030</v>
      </c>
      <c r="H4479" t="s">
        <v>6038</v>
      </c>
      <c r="I4479" t="s">
        <v>6051</v>
      </c>
      <c r="J4479" t="s">
        <v>6055</v>
      </c>
      <c r="K4479" t="s">
        <v>6063</v>
      </c>
      <c r="L4479" t="s">
        <v>6692</v>
      </c>
      <c r="M4479">
        <v>856.18</v>
      </c>
      <c r="N4479">
        <v>3</v>
      </c>
      <c r="O4479">
        <v>0.3</v>
      </c>
      <c r="P4479">
        <v>-73.72</v>
      </c>
      <c r="Q4479" t="s">
        <v>9895</v>
      </c>
      <c r="R4479">
        <v>5</v>
      </c>
      <c r="S4479" s="5">
        <f t="shared" si="138"/>
        <v>-8.6103389474175993E-2</v>
      </c>
      <c r="T4479">
        <v>285.39333333333332</v>
      </c>
      <c r="U4479">
        <v>5</v>
      </c>
      <c r="V4479">
        <v>2024</v>
      </c>
      <c r="W4479">
        <v>2</v>
      </c>
      <c r="X4479" t="s">
        <v>9898</v>
      </c>
      <c r="Y4479" t="s">
        <v>9900</v>
      </c>
      <c r="Z4479" t="s">
        <v>9899</v>
      </c>
      <c r="AD4479">
        <f t="shared" si="139"/>
        <v>5</v>
      </c>
    </row>
    <row r="4480" spans="1:30" x14ac:dyDescent="0.25">
      <c r="A4480" t="s">
        <v>4504</v>
      </c>
      <c r="B4480" s="2">
        <v>45072</v>
      </c>
      <c r="C4480" s="2">
        <v>45076</v>
      </c>
      <c r="D4480" t="s">
        <v>5333</v>
      </c>
      <c r="E4480" t="s">
        <v>5833</v>
      </c>
      <c r="F4480" t="s">
        <v>6026</v>
      </c>
      <c r="G4480" t="s">
        <v>6031</v>
      </c>
      <c r="H4480" t="s">
        <v>6042</v>
      </c>
      <c r="I4480" t="s">
        <v>6050</v>
      </c>
      <c r="J4480" t="s">
        <v>6054</v>
      </c>
      <c r="K4480" t="s">
        <v>6062</v>
      </c>
      <c r="L4480" t="s">
        <v>6103</v>
      </c>
      <c r="M4480">
        <v>370.01</v>
      </c>
      <c r="N4480">
        <v>2</v>
      </c>
      <c r="O4480">
        <v>0.18</v>
      </c>
      <c r="P4480">
        <v>7.45</v>
      </c>
      <c r="Q4480" t="s">
        <v>9895</v>
      </c>
      <c r="R4480">
        <v>4</v>
      </c>
      <c r="S4480" s="5">
        <f t="shared" si="138"/>
        <v>2.0134590957001163E-2</v>
      </c>
      <c r="T4480">
        <v>185.005</v>
      </c>
      <c r="U4480">
        <v>5</v>
      </c>
      <c r="V4480">
        <v>2023</v>
      </c>
      <c r="W4480">
        <v>2</v>
      </c>
      <c r="X4480" t="s">
        <v>9899</v>
      </c>
      <c r="Y4480" t="s">
        <v>9900</v>
      </c>
      <c r="Z4480" t="s">
        <v>9899</v>
      </c>
      <c r="AD4480">
        <f t="shared" si="139"/>
        <v>4</v>
      </c>
    </row>
    <row r="4481" spans="1:30" x14ac:dyDescent="0.25">
      <c r="A4481" t="s">
        <v>4505</v>
      </c>
      <c r="B4481" s="2">
        <v>45296</v>
      </c>
      <c r="C4481" s="2">
        <v>45300</v>
      </c>
      <c r="D4481" t="s">
        <v>5508</v>
      </c>
      <c r="E4481" t="s">
        <v>6008</v>
      </c>
      <c r="F4481" t="s">
        <v>6027</v>
      </c>
      <c r="G4481" t="s">
        <v>6030</v>
      </c>
      <c r="H4481" t="s">
        <v>6035</v>
      </c>
      <c r="I4481" t="s">
        <v>6051</v>
      </c>
      <c r="J4481" t="s">
        <v>6053</v>
      </c>
      <c r="K4481" t="s">
        <v>6057</v>
      </c>
      <c r="L4481" t="s">
        <v>8066</v>
      </c>
      <c r="M4481">
        <v>1918.55</v>
      </c>
      <c r="N4481">
        <v>6</v>
      </c>
      <c r="O4481">
        <v>0.21</v>
      </c>
      <c r="P4481">
        <v>54.59</v>
      </c>
      <c r="Q4481" t="s">
        <v>9893</v>
      </c>
      <c r="R4481">
        <v>4</v>
      </c>
      <c r="S4481" s="5">
        <f t="shared" si="138"/>
        <v>2.8453780198587478E-2</v>
      </c>
      <c r="T4481">
        <v>319.75833333333333</v>
      </c>
      <c r="U4481">
        <v>1</v>
      </c>
      <c r="V4481">
        <v>2024</v>
      </c>
      <c r="W4481">
        <v>1</v>
      </c>
      <c r="X4481" t="s">
        <v>9899</v>
      </c>
      <c r="Y4481" t="s">
        <v>9900</v>
      </c>
      <c r="Z4481" t="s">
        <v>9898</v>
      </c>
      <c r="AD4481">
        <f t="shared" si="139"/>
        <v>4</v>
      </c>
    </row>
    <row r="4482" spans="1:30" x14ac:dyDescent="0.25">
      <c r="A4482" t="s">
        <v>4506</v>
      </c>
      <c r="B4482" s="2">
        <v>45046</v>
      </c>
      <c r="C4482" s="2">
        <v>45051</v>
      </c>
      <c r="D4482" t="s">
        <v>5525</v>
      </c>
      <c r="E4482" t="s">
        <v>6025</v>
      </c>
      <c r="F4482" t="s">
        <v>6026</v>
      </c>
      <c r="G4482" t="s">
        <v>6030</v>
      </c>
      <c r="H4482" t="s">
        <v>6033</v>
      </c>
      <c r="I4482" t="s">
        <v>6047</v>
      </c>
      <c r="J4482" t="s">
        <v>6055</v>
      </c>
      <c r="K4482" t="s">
        <v>6064</v>
      </c>
      <c r="L4482" t="s">
        <v>9579</v>
      </c>
      <c r="M4482">
        <v>1463.5</v>
      </c>
      <c r="N4482">
        <v>3</v>
      </c>
      <c r="O4482">
        <v>0.08</v>
      </c>
      <c r="P4482">
        <v>146.13999999999999</v>
      </c>
      <c r="Q4482" t="s">
        <v>9894</v>
      </c>
      <c r="R4482">
        <v>5</v>
      </c>
      <c r="S4482" s="5">
        <f t="shared" si="138"/>
        <v>9.9856508370345057E-2</v>
      </c>
      <c r="T4482">
        <v>487.83333333333331</v>
      </c>
      <c r="U4482">
        <v>4</v>
      </c>
      <c r="V4482">
        <v>2023</v>
      </c>
      <c r="W4482">
        <v>2</v>
      </c>
      <c r="X4482" t="s">
        <v>9899</v>
      </c>
      <c r="Y4482" t="s">
        <v>9901</v>
      </c>
      <c r="Z4482" t="s">
        <v>9898</v>
      </c>
      <c r="AD4482">
        <f t="shared" si="139"/>
        <v>5</v>
      </c>
    </row>
    <row r="4483" spans="1:30" x14ac:dyDescent="0.25">
      <c r="A4483" t="s">
        <v>4507</v>
      </c>
      <c r="B4483" s="2">
        <v>45200</v>
      </c>
      <c r="C4483" s="2">
        <v>45203</v>
      </c>
      <c r="D4483" t="s">
        <v>5411</v>
      </c>
      <c r="E4483" t="s">
        <v>5911</v>
      </c>
      <c r="F4483" t="s">
        <v>6027</v>
      </c>
      <c r="G4483" t="s">
        <v>6029</v>
      </c>
      <c r="H4483" t="s">
        <v>6036</v>
      </c>
      <c r="I4483" t="s">
        <v>6046</v>
      </c>
      <c r="J4483" t="s">
        <v>6055</v>
      </c>
      <c r="K4483" t="s">
        <v>6064</v>
      </c>
      <c r="L4483" t="s">
        <v>8397</v>
      </c>
      <c r="M4483">
        <v>1080.04</v>
      </c>
      <c r="N4483">
        <v>7</v>
      </c>
      <c r="O4483">
        <v>0.21</v>
      </c>
      <c r="P4483">
        <v>9.61</v>
      </c>
      <c r="Q4483" t="s">
        <v>9893</v>
      </c>
      <c r="R4483">
        <v>3</v>
      </c>
      <c r="S4483" s="5">
        <f t="shared" ref="S4483:S4546" si="140">P4483/M4483</f>
        <v>8.8978185993111372E-3</v>
      </c>
      <c r="T4483">
        <v>154.29142857142861</v>
      </c>
      <c r="U4483">
        <v>10</v>
      </c>
      <c r="V4483">
        <v>2023</v>
      </c>
      <c r="W4483">
        <v>4</v>
      </c>
      <c r="X4483" t="s">
        <v>9899</v>
      </c>
      <c r="Y4483" t="s">
        <v>9900</v>
      </c>
      <c r="Z4483" t="s">
        <v>9898</v>
      </c>
      <c r="AD4483">
        <f t="shared" ref="AD4483:AD4546" si="141">C4483-B4483</f>
        <v>3</v>
      </c>
    </row>
    <row r="4484" spans="1:30" x14ac:dyDescent="0.25">
      <c r="A4484" t="s">
        <v>4508</v>
      </c>
      <c r="B4484" s="2">
        <v>45004</v>
      </c>
      <c r="C4484" s="2">
        <v>45009</v>
      </c>
      <c r="D4484" t="s">
        <v>5092</v>
      </c>
      <c r="E4484" t="s">
        <v>5592</v>
      </c>
      <c r="F4484" t="s">
        <v>6027</v>
      </c>
      <c r="G4484" t="s">
        <v>6030</v>
      </c>
      <c r="H4484" t="s">
        <v>6035</v>
      </c>
      <c r="I4484" t="s">
        <v>6051</v>
      </c>
      <c r="J4484" t="s">
        <v>6053</v>
      </c>
      <c r="K4484" t="s">
        <v>6056</v>
      </c>
      <c r="L4484" t="s">
        <v>9580</v>
      </c>
      <c r="M4484">
        <v>269.42</v>
      </c>
      <c r="N4484">
        <v>6</v>
      </c>
      <c r="O4484">
        <v>0.31</v>
      </c>
      <c r="P4484">
        <v>-28.62</v>
      </c>
      <c r="Q4484" t="s">
        <v>9896</v>
      </c>
      <c r="R4484">
        <v>5</v>
      </c>
      <c r="S4484" s="5">
        <f t="shared" si="140"/>
        <v>-0.10622819389800311</v>
      </c>
      <c r="T4484">
        <v>44.903333333333343</v>
      </c>
      <c r="U4484">
        <v>3</v>
      </c>
      <c r="V4484">
        <v>2023</v>
      </c>
      <c r="W4484">
        <v>1</v>
      </c>
      <c r="X4484" t="s">
        <v>9898</v>
      </c>
      <c r="Y4484" t="s">
        <v>9902</v>
      </c>
      <c r="Z4484" t="s">
        <v>9899</v>
      </c>
      <c r="AD4484">
        <f t="shared" si="141"/>
        <v>5</v>
      </c>
    </row>
    <row r="4485" spans="1:30" x14ac:dyDescent="0.25">
      <c r="A4485" t="s">
        <v>4509</v>
      </c>
      <c r="B4485" s="2">
        <v>45030</v>
      </c>
      <c r="C4485" s="2">
        <v>45036</v>
      </c>
      <c r="D4485" t="s">
        <v>5168</v>
      </c>
      <c r="E4485" t="s">
        <v>5668</v>
      </c>
      <c r="F4485" t="s">
        <v>6028</v>
      </c>
      <c r="G4485" t="s">
        <v>6031</v>
      </c>
      <c r="H4485" t="s">
        <v>6042</v>
      </c>
      <c r="I4485" t="s">
        <v>6048</v>
      </c>
      <c r="J4485" t="s">
        <v>6054</v>
      </c>
      <c r="K4485" t="s">
        <v>6059</v>
      </c>
      <c r="L4485" t="s">
        <v>9581</v>
      </c>
      <c r="M4485">
        <v>1309.6500000000001</v>
      </c>
      <c r="N4485">
        <v>7</v>
      </c>
      <c r="O4485">
        <v>0.21</v>
      </c>
      <c r="P4485">
        <v>-69.92</v>
      </c>
      <c r="Q4485" t="s">
        <v>9897</v>
      </c>
      <c r="R4485">
        <v>6</v>
      </c>
      <c r="S4485" s="5">
        <f t="shared" si="140"/>
        <v>-5.3388309853777724E-2</v>
      </c>
      <c r="T4485">
        <v>187.09285714285721</v>
      </c>
      <c r="U4485">
        <v>4</v>
      </c>
      <c r="V4485">
        <v>2023</v>
      </c>
      <c r="W4485">
        <v>2</v>
      </c>
      <c r="X4485" t="s">
        <v>9898</v>
      </c>
      <c r="Y4485" t="s">
        <v>9900</v>
      </c>
      <c r="Z4485" t="s">
        <v>9898</v>
      </c>
      <c r="AD4485">
        <f t="shared" si="141"/>
        <v>6</v>
      </c>
    </row>
    <row r="4486" spans="1:30" x14ac:dyDescent="0.25">
      <c r="A4486" t="s">
        <v>4510</v>
      </c>
      <c r="B4486" s="2">
        <v>44961</v>
      </c>
      <c r="C4486" s="2">
        <v>44968</v>
      </c>
      <c r="D4486" t="s">
        <v>5341</v>
      </c>
      <c r="E4486" t="s">
        <v>5841</v>
      </c>
      <c r="F4486" t="s">
        <v>6028</v>
      </c>
      <c r="G4486" t="s">
        <v>6031</v>
      </c>
      <c r="H4486" t="s">
        <v>6043</v>
      </c>
      <c r="I4486" t="s">
        <v>6052</v>
      </c>
      <c r="J4486" t="s">
        <v>6054</v>
      </c>
      <c r="K4486" t="s">
        <v>6059</v>
      </c>
      <c r="L4486" t="s">
        <v>9582</v>
      </c>
      <c r="M4486">
        <v>1658.57</v>
      </c>
      <c r="N4486">
        <v>6</v>
      </c>
      <c r="O4486">
        <v>0.25</v>
      </c>
      <c r="P4486">
        <v>41.54</v>
      </c>
      <c r="Q4486" t="s">
        <v>9894</v>
      </c>
      <c r="R4486">
        <v>7</v>
      </c>
      <c r="S4486" s="5">
        <f t="shared" si="140"/>
        <v>2.5045671873963716E-2</v>
      </c>
      <c r="T4486">
        <v>276.42833333333328</v>
      </c>
      <c r="U4486">
        <v>2</v>
      </c>
      <c r="V4486">
        <v>2023</v>
      </c>
      <c r="W4486">
        <v>1</v>
      </c>
      <c r="X4486" t="s">
        <v>9899</v>
      </c>
      <c r="Y4486" t="s">
        <v>9900</v>
      </c>
      <c r="Z4486" t="s">
        <v>9898</v>
      </c>
      <c r="AD4486">
        <f t="shared" si="141"/>
        <v>7</v>
      </c>
    </row>
    <row r="4487" spans="1:30" x14ac:dyDescent="0.25">
      <c r="A4487" t="s">
        <v>4511</v>
      </c>
      <c r="B4487" s="2">
        <v>45387</v>
      </c>
      <c r="C4487" s="2">
        <v>45389</v>
      </c>
      <c r="D4487" t="s">
        <v>5094</v>
      </c>
      <c r="E4487" t="s">
        <v>5594</v>
      </c>
      <c r="F4487" t="s">
        <v>6027</v>
      </c>
      <c r="G4487" t="s">
        <v>6029</v>
      </c>
      <c r="H4487" t="s">
        <v>6036</v>
      </c>
      <c r="I4487" t="s">
        <v>6050</v>
      </c>
      <c r="J4487" t="s">
        <v>6053</v>
      </c>
      <c r="K4487" t="s">
        <v>6056</v>
      </c>
      <c r="L4487" t="s">
        <v>7404</v>
      </c>
      <c r="M4487">
        <v>464.97</v>
      </c>
      <c r="N4487">
        <v>8</v>
      </c>
      <c r="O4487">
        <v>0.18</v>
      </c>
      <c r="P4487">
        <v>-4</v>
      </c>
      <c r="Q4487" t="s">
        <v>9897</v>
      </c>
      <c r="R4487">
        <v>2</v>
      </c>
      <c r="S4487" s="5">
        <f t="shared" si="140"/>
        <v>-8.6027055508957565E-3</v>
      </c>
      <c r="T4487">
        <v>58.121250000000003</v>
      </c>
      <c r="U4487">
        <v>4</v>
      </c>
      <c r="V4487">
        <v>2024</v>
      </c>
      <c r="W4487">
        <v>2</v>
      </c>
      <c r="X4487" t="s">
        <v>9898</v>
      </c>
      <c r="Y4487" t="s">
        <v>9900</v>
      </c>
      <c r="Z4487" t="s">
        <v>9899</v>
      </c>
      <c r="AD4487">
        <f t="shared" si="141"/>
        <v>2</v>
      </c>
    </row>
    <row r="4488" spans="1:30" x14ac:dyDescent="0.25">
      <c r="A4488" t="s">
        <v>4512</v>
      </c>
      <c r="B4488" s="2">
        <v>45361</v>
      </c>
      <c r="C4488" s="2">
        <v>45365</v>
      </c>
      <c r="D4488" t="s">
        <v>5228</v>
      </c>
      <c r="E4488" t="s">
        <v>5728</v>
      </c>
      <c r="F4488" t="s">
        <v>6027</v>
      </c>
      <c r="G4488" t="s">
        <v>6030</v>
      </c>
      <c r="H4488" t="s">
        <v>6033</v>
      </c>
      <c r="I4488" t="s">
        <v>6047</v>
      </c>
      <c r="J4488" t="s">
        <v>6054</v>
      </c>
      <c r="K4488" t="s">
        <v>6059</v>
      </c>
      <c r="L4488" t="s">
        <v>9583</v>
      </c>
      <c r="M4488">
        <v>1825.34</v>
      </c>
      <c r="N4488">
        <v>8</v>
      </c>
      <c r="O4488">
        <v>0.24</v>
      </c>
      <c r="P4488">
        <v>-191.69</v>
      </c>
      <c r="Q4488" t="s">
        <v>9894</v>
      </c>
      <c r="R4488">
        <v>4</v>
      </c>
      <c r="S4488" s="5">
        <f t="shared" si="140"/>
        <v>-0.10501605180404747</v>
      </c>
      <c r="T4488">
        <v>228.16749999999999</v>
      </c>
      <c r="U4488">
        <v>3</v>
      </c>
      <c r="V4488">
        <v>2024</v>
      </c>
      <c r="W4488">
        <v>1</v>
      </c>
      <c r="X4488" t="s">
        <v>9898</v>
      </c>
      <c r="Y4488" t="s">
        <v>9900</v>
      </c>
      <c r="Z4488" t="s">
        <v>9898</v>
      </c>
      <c r="AD4488">
        <f t="shared" si="141"/>
        <v>4</v>
      </c>
    </row>
    <row r="4489" spans="1:30" x14ac:dyDescent="0.25">
      <c r="A4489" t="s">
        <v>4513</v>
      </c>
      <c r="B4489" s="2">
        <v>44617</v>
      </c>
      <c r="C4489" s="2">
        <v>44618</v>
      </c>
      <c r="D4489" t="s">
        <v>5474</v>
      </c>
      <c r="E4489" t="s">
        <v>5974</v>
      </c>
      <c r="F4489" t="s">
        <v>6026</v>
      </c>
      <c r="G4489" t="s">
        <v>6030</v>
      </c>
      <c r="H4489" t="s">
        <v>6035</v>
      </c>
      <c r="I4489" t="s">
        <v>6051</v>
      </c>
      <c r="J4489" t="s">
        <v>6055</v>
      </c>
      <c r="K4489" t="s">
        <v>6063</v>
      </c>
      <c r="L4489" t="s">
        <v>9584</v>
      </c>
      <c r="M4489">
        <v>1290.78</v>
      </c>
      <c r="N4489">
        <v>4</v>
      </c>
      <c r="O4489">
        <v>0.13</v>
      </c>
      <c r="P4489">
        <v>75.459999999999994</v>
      </c>
      <c r="Q4489" t="s">
        <v>9896</v>
      </c>
      <c r="R4489">
        <v>1</v>
      </c>
      <c r="S4489" s="5">
        <f t="shared" si="140"/>
        <v>5.8460775655030287E-2</v>
      </c>
      <c r="T4489">
        <v>322.69499999999999</v>
      </c>
      <c r="U4489">
        <v>2</v>
      </c>
      <c r="V4489">
        <v>2022</v>
      </c>
      <c r="W4489">
        <v>1</v>
      </c>
      <c r="X4489" t="s">
        <v>9899</v>
      </c>
      <c r="Y4489" t="s">
        <v>9901</v>
      </c>
      <c r="Z4489" t="s">
        <v>9898</v>
      </c>
      <c r="AD4489">
        <f t="shared" si="141"/>
        <v>1</v>
      </c>
    </row>
    <row r="4490" spans="1:30" x14ac:dyDescent="0.25">
      <c r="A4490" t="s">
        <v>4514</v>
      </c>
      <c r="B4490" s="2">
        <v>44624</v>
      </c>
      <c r="C4490" s="2">
        <v>44626</v>
      </c>
      <c r="D4490" t="s">
        <v>5202</v>
      </c>
      <c r="E4490" t="s">
        <v>5702</v>
      </c>
      <c r="F4490" t="s">
        <v>6026</v>
      </c>
      <c r="G4490" t="s">
        <v>6031</v>
      </c>
      <c r="H4490" t="s">
        <v>6043</v>
      </c>
      <c r="I4490" t="s">
        <v>6048</v>
      </c>
      <c r="J4490" t="s">
        <v>6055</v>
      </c>
      <c r="K4490" t="s">
        <v>6064</v>
      </c>
      <c r="L4490" t="s">
        <v>7660</v>
      </c>
      <c r="M4490">
        <v>738.21</v>
      </c>
      <c r="N4490">
        <v>2</v>
      </c>
      <c r="O4490">
        <v>0.04</v>
      </c>
      <c r="P4490">
        <v>52</v>
      </c>
      <c r="Q4490" t="s">
        <v>9894</v>
      </c>
      <c r="R4490">
        <v>2</v>
      </c>
      <c r="S4490" s="5">
        <f t="shared" si="140"/>
        <v>7.0440660516655151E-2</v>
      </c>
      <c r="T4490">
        <v>369.10500000000002</v>
      </c>
      <c r="U4490">
        <v>3</v>
      </c>
      <c r="V4490">
        <v>2022</v>
      </c>
      <c r="W4490">
        <v>1</v>
      </c>
      <c r="X4490" t="s">
        <v>9899</v>
      </c>
      <c r="Y4490" t="s">
        <v>9901</v>
      </c>
      <c r="Z4490" t="s">
        <v>9899</v>
      </c>
      <c r="AD4490">
        <f t="shared" si="141"/>
        <v>2</v>
      </c>
    </row>
    <row r="4491" spans="1:30" x14ac:dyDescent="0.25">
      <c r="A4491" t="s">
        <v>4515</v>
      </c>
      <c r="B4491" s="2">
        <v>44912</v>
      </c>
      <c r="C4491" s="2">
        <v>44919</v>
      </c>
      <c r="D4491" t="s">
        <v>5406</v>
      </c>
      <c r="E4491" t="s">
        <v>5906</v>
      </c>
      <c r="F4491" t="s">
        <v>6027</v>
      </c>
      <c r="G4491" t="s">
        <v>6030</v>
      </c>
      <c r="H4491" t="s">
        <v>6038</v>
      </c>
      <c r="I4491" t="s">
        <v>6047</v>
      </c>
      <c r="J4491" t="s">
        <v>6053</v>
      </c>
      <c r="K4491" t="s">
        <v>6056</v>
      </c>
      <c r="L4491" t="s">
        <v>9585</v>
      </c>
      <c r="M4491">
        <v>935.56</v>
      </c>
      <c r="N4491">
        <v>2</v>
      </c>
      <c r="O4491">
        <v>0.1</v>
      </c>
      <c r="P4491">
        <v>136</v>
      </c>
      <c r="Q4491" t="s">
        <v>9894</v>
      </c>
      <c r="R4491">
        <v>7</v>
      </c>
      <c r="S4491" s="5">
        <f t="shared" si="140"/>
        <v>0.14536748043952286</v>
      </c>
      <c r="T4491">
        <v>467.78</v>
      </c>
      <c r="U4491">
        <v>12</v>
      </c>
      <c r="V4491">
        <v>2022</v>
      </c>
      <c r="W4491">
        <v>4</v>
      </c>
      <c r="X4491" t="s">
        <v>9899</v>
      </c>
      <c r="Y4491" t="s">
        <v>9901</v>
      </c>
      <c r="Z4491" t="s">
        <v>9899</v>
      </c>
      <c r="AD4491">
        <f t="shared" si="141"/>
        <v>7</v>
      </c>
    </row>
    <row r="4492" spans="1:30" x14ac:dyDescent="0.25">
      <c r="A4492" t="s">
        <v>4516</v>
      </c>
      <c r="B4492" s="2">
        <v>45260</v>
      </c>
      <c r="C4492" s="2">
        <v>45266</v>
      </c>
      <c r="D4492" t="s">
        <v>5292</v>
      </c>
      <c r="E4492" t="s">
        <v>5792</v>
      </c>
      <c r="F4492" t="s">
        <v>6028</v>
      </c>
      <c r="G4492" t="s">
        <v>6030</v>
      </c>
      <c r="H4492" t="s">
        <v>6035</v>
      </c>
      <c r="I4492" t="s">
        <v>6047</v>
      </c>
      <c r="J4492" t="s">
        <v>6053</v>
      </c>
      <c r="K4492" t="s">
        <v>6057</v>
      </c>
      <c r="L4492" t="s">
        <v>9586</v>
      </c>
      <c r="M4492">
        <v>1885.42</v>
      </c>
      <c r="N4492">
        <v>3</v>
      </c>
      <c r="O4492">
        <v>0.17</v>
      </c>
      <c r="P4492">
        <v>-122.7</v>
      </c>
      <c r="Q4492" t="s">
        <v>9897</v>
      </c>
      <c r="R4492">
        <v>6</v>
      </c>
      <c r="S4492" s="5">
        <f t="shared" si="140"/>
        <v>-6.5078337983048865E-2</v>
      </c>
      <c r="T4492">
        <v>628.47333333333336</v>
      </c>
      <c r="U4492">
        <v>11</v>
      </c>
      <c r="V4492">
        <v>2023</v>
      </c>
      <c r="W4492">
        <v>4</v>
      </c>
      <c r="X4492" t="s">
        <v>9898</v>
      </c>
      <c r="Y4492" t="s">
        <v>9900</v>
      </c>
      <c r="Z4492" t="s">
        <v>9898</v>
      </c>
      <c r="AD4492">
        <f t="shared" si="141"/>
        <v>6</v>
      </c>
    </row>
    <row r="4493" spans="1:30" x14ac:dyDescent="0.25">
      <c r="A4493" t="s">
        <v>4517</v>
      </c>
      <c r="B4493" s="2">
        <v>45137</v>
      </c>
      <c r="C4493" s="2">
        <v>45138</v>
      </c>
      <c r="D4493" t="s">
        <v>5365</v>
      </c>
      <c r="E4493" t="s">
        <v>5865</v>
      </c>
      <c r="F4493" t="s">
        <v>6026</v>
      </c>
      <c r="G4493" t="s">
        <v>6031</v>
      </c>
      <c r="H4493" t="s">
        <v>6040</v>
      </c>
      <c r="I4493" t="s">
        <v>6048</v>
      </c>
      <c r="J4493" t="s">
        <v>6054</v>
      </c>
      <c r="K4493" t="s">
        <v>6062</v>
      </c>
      <c r="L4493" t="s">
        <v>9065</v>
      </c>
      <c r="M4493">
        <v>311.27999999999997</v>
      </c>
      <c r="N4493">
        <v>8</v>
      </c>
      <c r="O4493">
        <v>0.14000000000000001</v>
      </c>
      <c r="P4493">
        <v>39.369999999999997</v>
      </c>
      <c r="Q4493" t="s">
        <v>9896</v>
      </c>
      <c r="R4493">
        <v>1</v>
      </c>
      <c r="S4493" s="5">
        <f t="shared" si="140"/>
        <v>0.12647776921099974</v>
      </c>
      <c r="T4493">
        <v>38.909999999999997</v>
      </c>
      <c r="U4493">
        <v>7</v>
      </c>
      <c r="V4493">
        <v>2023</v>
      </c>
      <c r="W4493">
        <v>3</v>
      </c>
      <c r="X4493" t="s">
        <v>9899</v>
      </c>
      <c r="Y4493" t="s">
        <v>9901</v>
      </c>
      <c r="Z4493" t="s">
        <v>9899</v>
      </c>
      <c r="AD4493">
        <f t="shared" si="141"/>
        <v>1</v>
      </c>
    </row>
    <row r="4494" spans="1:30" x14ac:dyDescent="0.25">
      <c r="A4494" t="s">
        <v>4518</v>
      </c>
      <c r="B4494" s="2">
        <v>45378</v>
      </c>
      <c r="C4494" s="2">
        <v>45379</v>
      </c>
      <c r="D4494" t="s">
        <v>5344</v>
      </c>
      <c r="E4494" t="s">
        <v>5844</v>
      </c>
      <c r="F4494" t="s">
        <v>6026</v>
      </c>
      <c r="G4494" t="s">
        <v>6030</v>
      </c>
      <c r="H4494" t="s">
        <v>6038</v>
      </c>
      <c r="I4494" t="s">
        <v>6047</v>
      </c>
      <c r="J4494" t="s">
        <v>6053</v>
      </c>
      <c r="K4494" t="s">
        <v>6058</v>
      </c>
      <c r="L4494" t="s">
        <v>9587</v>
      </c>
      <c r="M4494">
        <v>355.01</v>
      </c>
      <c r="N4494">
        <v>1</v>
      </c>
      <c r="O4494">
        <v>0.1</v>
      </c>
      <c r="P4494">
        <v>47.45</v>
      </c>
      <c r="Q4494" t="s">
        <v>9893</v>
      </c>
      <c r="R4494">
        <v>1</v>
      </c>
      <c r="S4494" s="5">
        <f t="shared" si="140"/>
        <v>0.13365820681107576</v>
      </c>
      <c r="T4494">
        <v>355.01</v>
      </c>
      <c r="U4494">
        <v>3</v>
      </c>
      <c r="V4494">
        <v>2024</v>
      </c>
      <c r="W4494">
        <v>1</v>
      </c>
      <c r="X4494" t="s">
        <v>9899</v>
      </c>
      <c r="Y4494" t="s">
        <v>9901</v>
      </c>
      <c r="Z4494" t="s">
        <v>9899</v>
      </c>
      <c r="AD4494">
        <f t="shared" si="141"/>
        <v>1</v>
      </c>
    </row>
    <row r="4495" spans="1:30" x14ac:dyDescent="0.25">
      <c r="A4495" t="s">
        <v>4519</v>
      </c>
      <c r="B4495" s="2">
        <v>44612</v>
      </c>
      <c r="C4495" s="2">
        <v>44614</v>
      </c>
      <c r="D4495" t="s">
        <v>5500</v>
      </c>
      <c r="E4495" t="s">
        <v>6000</v>
      </c>
      <c r="F4495" t="s">
        <v>6027</v>
      </c>
      <c r="G4495" t="s">
        <v>6029</v>
      </c>
      <c r="H4495" t="s">
        <v>6044</v>
      </c>
      <c r="I4495" t="s">
        <v>6049</v>
      </c>
      <c r="J4495" t="s">
        <v>6055</v>
      </c>
      <c r="K4495" t="s">
        <v>6064</v>
      </c>
      <c r="L4495" t="s">
        <v>6782</v>
      </c>
      <c r="M4495">
        <v>1683.07</v>
      </c>
      <c r="N4495">
        <v>7</v>
      </c>
      <c r="O4495">
        <v>0.18</v>
      </c>
      <c r="P4495">
        <v>69.680000000000007</v>
      </c>
      <c r="Q4495" t="s">
        <v>9893</v>
      </c>
      <c r="R4495">
        <v>2</v>
      </c>
      <c r="S4495" s="5">
        <f t="shared" si="140"/>
        <v>4.1400535925422005E-2</v>
      </c>
      <c r="T4495">
        <v>240.43857142857141</v>
      </c>
      <c r="U4495">
        <v>2</v>
      </c>
      <c r="V4495">
        <v>2022</v>
      </c>
      <c r="W4495">
        <v>1</v>
      </c>
      <c r="X4495" t="s">
        <v>9899</v>
      </c>
      <c r="Y4495" t="s">
        <v>9900</v>
      </c>
      <c r="Z4495" t="s">
        <v>9898</v>
      </c>
      <c r="AD4495">
        <f t="shared" si="141"/>
        <v>2</v>
      </c>
    </row>
    <row r="4496" spans="1:30" x14ac:dyDescent="0.25">
      <c r="A4496" t="s">
        <v>4520</v>
      </c>
      <c r="B4496" s="2">
        <v>44733</v>
      </c>
      <c r="C4496" s="2">
        <v>44738</v>
      </c>
      <c r="D4496" t="s">
        <v>5407</v>
      </c>
      <c r="E4496" t="s">
        <v>5907</v>
      </c>
      <c r="F4496" t="s">
        <v>6027</v>
      </c>
      <c r="G4496" t="s">
        <v>6030</v>
      </c>
      <c r="H4496" t="s">
        <v>6038</v>
      </c>
      <c r="I4496" t="s">
        <v>6051</v>
      </c>
      <c r="J4496" t="s">
        <v>6053</v>
      </c>
      <c r="K4496" t="s">
        <v>6057</v>
      </c>
      <c r="L4496" t="s">
        <v>6231</v>
      </c>
      <c r="M4496">
        <v>458.11</v>
      </c>
      <c r="N4496">
        <v>7</v>
      </c>
      <c r="O4496">
        <v>0.14000000000000001</v>
      </c>
      <c r="P4496">
        <v>40.97</v>
      </c>
      <c r="Q4496" t="s">
        <v>9894</v>
      </c>
      <c r="R4496">
        <v>5</v>
      </c>
      <c r="S4496" s="5">
        <f t="shared" si="140"/>
        <v>8.94326690096265E-2</v>
      </c>
      <c r="T4496">
        <v>65.444285714285712</v>
      </c>
      <c r="U4496">
        <v>6</v>
      </c>
      <c r="V4496">
        <v>2022</v>
      </c>
      <c r="W4496">
        <v>2</v>
      </c>
      <c r="X4496" t="s">
        <v>9899</v>
      </c>
      <c r="Y4496" t="s">
        <v>9901</v>
      </c>
      <c r="Z4496" t="s">
        <v>9899</v>
      </c>
      <c r="AD4496">
        <f t="shared" si="141"/>
        <v>5</v>
      </c>
    </row>
    <row r="4497" spans="1:30" x14ac:dyDescent="0.25">
      <c r="A4497" t="s">
        <v>4521</v>
      </c>
      <c r="B4497" s="2">
        <v>44857</v>
      </c>
      <c r="C4497" s="2">
        <v>44862</v>
      </c>
      <c r="D4497" t="s">
        <v>5043</v>
      </c>
      <c r="E4497" t="s">
        <v>5543</v>
      </c>
      <c r="F4497" t="s">
        <v>6028</v>
      </c>
      <c r="G4497" t="s">
        <v>6031</v>
      </c>
      <c r="H4497" t="s">
        <v>6037</v>
      </c>
      <c r="I4497" t="s">
        <v>6052</v>
      </c>
      <c r="J4497" t="s">
        <v>6055</v>
      </c>
      <c r="K4497" t="s">
        <v>6061</v>
      </c>
      <c r="L4497" t="s">
        <v>9588</v>
      </c>
      <c r="M4497">
        <v>759.98</v>
      </c>
      <c r="N4497">
        <v>8</v>
      </c>
      <c r="O4497">
        <v>0.04</v>
      </c>
      <c r="P4497">
        <v>83.08</v>
      </c>
      <c r="Q4497" t="s">
        <v>9895</v>
      </c>
      <c r="R4497">
        <v>5</v>
      </c>
      <c r="S4497" s="5">
        <f t="shared" si="140"/>
        <v>0.10931866628069159</v>
      </c>
      <c r="T4497">
        <v>94.997500000000002</v>
      </c>
      <c r="U4497">
        <v>10</v>
      </c>
      <c r="V4497">
        <v>2022</v>
      </c>
      <c r="W4497">
        <v>4</v>
      </c>
      <c r="X4497" t="s">
        <v>9899</v>
      </c>
      <c r="Y4497" t="s">
        <v>9901</v>
      </c>
      <c r="Z4497" t="s">
        <v>9899</v>
      </c>
      <c r="AD4497">
        <f t="shared" si="141"/>
        <v>5</v>
      </c>
    </row>
    <row r="4498" spans="1:30" x14ac:dyDescent="0.25">
      <c r="A4498" t="s">
        <v>4522</v>
      </c>
      <c r="B4498" s="2">
        <v>44669</v>
      </c>
      <c r="C4498" s="2">
        <v>44675</v>
      </c>
      <c r="D4498" t="s">
        <v>5268</v>
      </c>
      <c r="E4498" t="s">
        <v>5768</v>
      </c>
      <c r="F4498" t="s">
        <v>6027</v>
      </c>
      <c r="G4498" t="s">
        <v>6029</v>
      </c>
      <c r="H4498" t="s">
        <v>6044</v>
      </c>
      <c r="I4498" t="s">
        <v>6046</v>
      </c>
      <c r="J4498" t="s">
        <v>6054</v>
      </c>
      <c r="K4498" t="s">
        <v>6060</v>
      </c>
      <c r="L4498" t="s">
        <v>8276</v>
      </c>
      <c r="M4498">
        <v>1308.75</v>
      </c>
      <c r="N4498">
        <v>5</v>
      </c>
      <c r="O4498">
        <v>0.1</v>
      </c>
      <c r="P4498">
        <v>33.86</v>
      </c>
      <c r="Q4498" t="s">
        <v>9895</v>
      </c>
      <c r="R4498">
        <v>6</v>
      </c>
      <c r="S4498" s="5">
        <f t="shared" si="140"/>
        <v>2.58720152817574E-2</v>
      </c>
      <c r="T4498">
        <v>261.75</v>
      </c>
      <c r="U4498">
        <v>4</v>
      </c>
      <c r="V4498">
        <v>2022</v>
      </c>
      <c r="W4498">
        <v>2</v>
      </c>
      <c r="X4498" t="s">
        <v>9899</v>
      </c>
      <c r="Y4498" t="s">
        <v>9901</v>
      </c>
      <c r="Z4498" t="s">
        <v>9898</v>
      </c>
      <c r="AD4498">
        <f t="shared" si="141"/>
        <v>6</v>
      </c>
    </row>
    <row r="4499" spans="1:30" x14ac:dyDescent="0.25">
      <c r="A4499" t="s">
        <v>4523</v>
      </c>
      <c r="B4499" s="2">
        <v>45035</v>
      </c>
      <c r="C4499" s="2">
        <v>45036</v>
      </c>
      <c r="D4499" t="s">
        <v>5040</v>
      </c>
      <c r="E4499" t="s">
        <v>5540</v>
      </c>
      <c r="F4499" t="s">
        <v>6028</v>
      </c>
      <c r="G4499" t="s">
        <v>6031</v>
      </c>
      <c r="H4499" t="s">
        <v>6034</v>
      </c>
      <c r="I4499" t="s">
        <v>6052</v>
      </c>
      <c r="J4499" t="s">
        <v>6053</v>
      </c>
      <c r="K4499" t="s">
        <v>6056</v>
      </c>
      <c r="L4499" t="s">
        <v>9589</v>
      </c>
      <c r="M4499">
        <v>356.14</v>
      </c>
      <c r="N4499">
        <v>4</v>
      </c>
      <c r="O4499">
        <v>0.33</v>
      </c>
      <c r="P4499">
        <v>-60.85</v>
      </c>
      <c r="Q4499" t="s">
        <v>9896</v>
      </c>
      <c r="R4499">
        <v>1</v>
      </c>
      <c r="S4499" s="5">
        <f t="shared" si="140"/>
        <v>-0.17085977424608301</v>
      </c>
      <c r="T4499">
        <v>89.034999999999997</v>
      </c>
      <c r="U4499">
        <v>4</v>
      </c>
      <c r="V4499">
        <v>2023</v>
      </c>
      <c r="W4499">
        <v>2</v>
      </c>
      <c r="X4499" t="s">
        <v>9898</v>
      </c>
      <c r="Y4499" t="s">
        <v>9902</v>
      </c>
      <c r="Z4499" t="s">
        <v>9899</v>
      </c>
      <c r="AD4499">
        <f t="shared" si="141"/>
        <v>1</v>
      </c>
    </row>
    <row r="4500" spans="1:30" x14ac:dyDescent="0.25">
      <c r="A4500" t="s">
        <v>4524</v>
      </c>
      <c r="B4500" s="2">
        <v>45062</v>
      </c>
      <c r="C4500" s="2">
        <v>45065</v>
      </c>
      <c r="D4500" t="s">
        <v>5213</v>
      </c>
      <c r="E4500" t="s">
        <v>5713</v>
      </c>
      <c r="F4500" t="s">
        <v>6027</v>
      </c>
      <c r="G4500" t="s">
        <v>6030</v>
      </c>
      <c r="H4500" t="s">
        <v>6038</v>
      </c>
      <c r="I4500" t="s">
        <v>6047</v>
      </c>
      <c r="J4500" t="s">
        <v>6055</v>
      </c>
      <c r="K4500" t="s">
        <v>6064</v>
      </c>
      <c r="L4500" t="s">
        <v>9590</v>
      </c>
      <c r="M4500">
        <v>1322.89</v>
      </c>
      <c r="N4500">
        <v>1</v>
      </c>
      <c r="O4500">
        <v>0.16</v>
      </c>
      <c r="P4500">
        <v>53.33</v>
      </c>
      <c r="Q4500" t="s">
        <v>9896</v>
      </c>
      <c r="R4500">
        <v>3</v>
      </c>
      <c r="S4500" s="5">
        <f t="shared" si="140"/>
        <v>4.0313253558496923E-2</v>
      </c>
      <c r="T4500">
        <v>1322.89</v>
      </c>
      <c r="U4500">
        <v>5</v>
      </c>
      <c r="V4500">
        <v>2023</v>
      </c>
      <c r="W4500">
        <v>2</v>
      </c>
      <c r="X4500" t="s">
        <v>9899</v>
      </c>
      <c r="Y4500" t="s">
        <v>9900</v>
      </c>
      <c r="Z4500" t="s">
        <v>9898</v>
      </c>
      <c r="AD4500">
        <f t="shared" si="141"/>
        <v>3</v>
      </c>
    </row>
    <row r="4501" spans="1:30" x14ac:dyDescent="0.25">
      <c r="A4501" t="s">
        <v>4525</v>
      </c>
      <c r="B4501" s="2">
        <v>44797</v>
      </c>
      <c r="C4501" s="2">
        <v>44798</v>
      </c>
      <c r="D4501" t="s">
        <v>5355</v>
      </c>
      <c r="E4501" t="s">
        <v>5855</v>
      </c>
      <c r="F4501" t="s">
        <v>6026</v>
      </c>
      <c r="G4501" t="s">
        <v>6030</v>
      </c>
      <c r="H4501" t="s">
        <v>6033</v>
      </c>
      <c r="I4501" t="s">
        <v>6047</v>
      </c>
      <c r="J4501" t="s">
        <v>6055</v>
      </c>
      <c r="K4501" t="s">
        <v>6063</v>
      </c>
      <c r="L4501" t="s">
        <v>9591</v>
      </c>
      <c r="M4501">
        <v>1352.76</v>
      </c>
      <c r="N4501">
        <v>7</v>
      </c>
      <c r="O4501">
        <v>0.26</v>
      </c>
      <c r="P4501">
        <v>41.25</v>
      </c>
      <c r="Q4501" t="s">
        <v>9897</v>
      </c>
      <c r="R4501">
        <v>1</v>
      </c>
      <c r="S4501" s="5">
        <f t="shared" si="140"/>
        <v>3.049321387385789E-2</v>
      </c>
      <c r="T4501">
        <v>193.25142857142859</v>
      </c>
      <c r="U4501">
        <v>8</v>
      </c>
      <c r="V4501">
        <v>2022</v>
      </c>
      <c r="W4501">
        <v>3</v>
      </c>
      <c r="X4501" t="s">
        <v>9899</v>
      </c>
      <c r="Y4501" t="s">
        <v>9900</v>
      </c>
      <c r="Z4501" t="s">
        <v>9898</v>
      </c>
      <c r="AD4501">
        <f t="shared" si="141"/>
        <v>1</v>
      </c>
    </row>
    <row r="4502" spans="1:30" x14ac:dyDescent="0.25">
      <c r="A4502" t="s">
        <v>4526</v>
      </c>
      <c r="B4502" s="2">
        <v>44573</v>
      </c>
      <c r="C4502" s="2">
        <v>44574</v>
      </c>
      <c r="D4502" t="s">
        <v>5478</v>
      </c>
      <c r="E4502" t="s">
        <v>5978</v>
      </c>
      <c r="F4502" t="s">
        <v>6026</v>
      </c>
      <c r="G4502" t="s">
        <v>6031</v>
      </c>
      <c r="H4502" t="s">
        <v>6034</v>
      </c>
      <c r="I4502" t="s">
        <v>6052</v>
      </c>
      <c r="J4502" t="s">
        <v>6054</v>
      </c>
      <c r="K4502" t="s">
        <v>6062</v>
      </c>
      <c r="L4502" t="s">
        <v>9206</v>
      </c>
      <c r="M4502">
        <v>538.57000000000005</v>
      </c>
      <c r="N4502">
        <v>7</v>
      </c>
      <c r="O4502">
        <v>0.17</v>
      </c>
      <c r="P4502">
        <v>40.51</v>
      </c>
      <c r="Q4502" t="s">
        <v>9896</v>
      </c>
      <c r="R4502">
        <v>1</v>
      </c>
      <c r="S4502" s="5">
        <f t="shared" si="140"/>
        <v>7.5217706147761659E-2</v>
      </c>
      <c r="T4502">
        <v>76.938571428571436</v>
      </c>
      <c r="U4502">
        <v>1</v>
      </c>
      <c r="V4502">
        <v>2022</v>
      </c>
      <c r="W4502">
        <v>1</v>
      </c>
      <c r="X4502" t="s">
        <v>9899</v>
      </c>
      <c r="Y4502" t="s">
        <v>9900</v>
      </c>
      <c r="Z4502" t="s">
        <v>9899</v>
      </c>
      <c r="AD4502">
        <f t="shared" si="141"/>
        <v>1</v>
      </c>
    </row>
    <row r="4503" spans="1:30" x14ac:dyDescent="0.25">
      <c r="A4503" t="s">
        <v>4527</v>
      </c>
      <c r="B4503" s="2">
        <v>44856</v>
      </c>
      <c r="C4503" s="2">
        <v>44858</v>
      </c>
      <c r="D4503" t="s">
        <v>5217</v>
      </c>
      <c r="E4503" t="s">
        <v>5717</v>
      </c>
      <c r="F4503" t="s">
        <v>6026</v>
      </c>
      <c r="G4503" t="s">
        <v>6030</v>
      </c>
      <c r="H4503" t="s">
        <v>6035</v>
      </c>
      <c r="I4503" t="s">
        <v>6047</v>
      </c>
      <c r="J4503" t="s">
        <v>6053</v>
      </c>
      <c r="K4503" t="s">
        <v>6058</v>
      </c>
      <c r="L4503" t="s">
        <v>7482</v>
      </c>
      <c r="M4503">
        <v>1694.05</v>
      </c>
      <c r="N4503">
        <v>8</v>
      </c>
      <c r="O4503">
        <v>0.18</v>
      </c>
      <c r="P4503">
        <v>47.92</v>
      </c>
      <c r="Q4503" t="s">
        <v>9894</v>
      </c>
      <c r="R4503">
        <v>2</v>
      </c>
      <c r="S4503" s="5">
        <f t="shared" si="140"/>
        <v>2.8287240636344857E-2</v>
      </c>
      <c r="T4503">
        <v>211.75624999999999</v>
      </c>
      <c r="U4503">
        <v>10</v>
      </c>
      <c r="V4503">
        <v>2022</v>
      </c>
      <c r="W4503">
        <v>4</v>
      </c>
      <c r="X4503" t="s">
        <v>9899</v>
      </c>
      <c r="Y4503" t="s">
        <v>9900</v>
      </c>
      <c r="Z4503" t="s">
        <v>9898</v>
      </c>
      <c r="AD4503">
        <f t="shared" si="141"/>
        <v>2</v>
      </c>
    </row>
    <row r="4504" spans="1:30" x14ac:dyDescent="0.25">
      <c r="A4504" t="s">
        <v>4528</v>
      </c>
      <c r="B4504" s="2">
        <v>44858</v>
      </c>
      <c r="C4504" s="2">
        <v>44860</v>
      </c>
      <c r="D4504" t="s">
        <v>5479</v>
      </c>
      <c r="E4504" t="s">
        <v>5979</v>
      </c>
      <c r="F4504" t="s">
        <v>6028</v>
      </c>
      <c r="G4504" t="s">
        <v>6031</v>
      </c>
      <c r="H4504" t="s">
        <v>6043</v>
      </c>
      <c r="I4504" t="s">
        <v>6052</v>
      </c>
      <c r="J4504" t="s">
        <v>6054</v>
      </c>
      <c r="K4504" t="s">
        <v>6059</v>
      </c>
      <c r="L4504" t="s">
        <v>9592</v>
      </c>
      <c r="M4504">
        <v>1829.71</v>
      </c>
      <c r="N4504">
        <v>4</v>
      </c>
      <c r="O4504">
        <v>0.06</v>
      </c>
      <c r="P4504">
        <v>126.23</v>
      </c>
      <c r="Q4504" t="s">
        <v>9894</v>
      </c>
      <c r="R4504">
        <v>2</v>
      </c>
      <c r="S4504" s="5">
        <f t="shared" si="140"/>
        <v>6.8989074771411862E-2</v>
      </c>
      <c r="T4504">
        <v>457.42750000000001</v>
      </c>
      <c r="U4504">
        <v>10</v>
      </c>
      <c r="V4504">
        <v>2022</v>
      </c>
      <c r="W4504">
        <v>4</v>
      </c>
      <c r="X4504" t="s">
        <v>9899</v>
      </c>
      <c r="Y4504" t="s">
        <v>9901</v>
      </c>
      <c r="Z4504" t="s">
        <v>9898</v>
      </c>
      <c r="AD4504">
        <f t="shared" si="141"/>
        <v>2</v>
      </c>
    </row>
    <row r="4505" spans="1:30" x14ac:dyDescent="0.25">
      <c r="A4505" t="s">
        <v>4529</v>
      </c>
      <c r="B4505" s="2">
        <v>44820</v>
      </c>
      <c r="C4505" s="2">
        <v>44824</v>
      </c>
      <c r="D4505" t="s">
        <v>5320</v>
      </c>
      <c r="E4505" t="s">
        <v>5820</v>
      </c>
      <c r="F4505" t="s">
        <v>6026</v>
      </c>
      <c r="G4505" t="s">
        <v>6031</v>
      </c>
      <c r="H4505" t="s">
        <v>6040</v>
      </c>
      <c r="I4505" t="s">
        <v>6050</v>
      </c>
      <c r="J4505" t="s">
        <v>6055</v>
      </c>
      <c r="K4505" t="s">
        <v>6061</v>
      </c>
      <c r="L4505" t="s">
        <v>9593</v>
      </c>
      <c r="M4505">
        <v>748.78</v>
      </c>
      <c r="N4505">
        <v>8</v>
      </c>
      <c r="O4505">
        <v>0.08</v>
      </c>
      <c r="P4505">
        <v>113.92</v>
      </c>
      <c r="Q4505" t="s">
        <v>9895</v>
      </c>
      <c r="R4505">
        <v>4</v>
      </c>
      <c r="S4505" s="5">
        <f t="shared" si="140"/>
        <v>0.15214081572691579</v>
      </c>
      <c r="T4505">
        <v>93.597499999999997</v>
      </c>
      <c r="U4505">
        <v>9</v>
      </c>
      <c r="V4505">
        <v>2022</v>
      </c>
      <c r="W4505">
        <v>3</v>
      </c>
      <c r="X4505" t="s">
        <v>9899</v>
      </c>
      <c r="Y4505" t="s">
        <v>9901</v>
      </c>
      <c r="Z4505" t="s">
        <v>9899</v>
      </c>
      <c r="AD4505">
        <f t="shared" si="141"/>
        <v>4</v>
      </c>
    </row>
    <row r="4506" spans="1:30" x14ac:dyDescent="0.25">
      <c r="A4506" t="s">
        <v>4530</v>
      </c>
      <c r="B4506" s="2">
        <v>44587</v>
      </c>
      <c r="C4506" s="2">
        <v>44593</v>
      </c>
      <c r="D4506" t="s">
        <v>5230</v>
      </c>
      <c r="E4506" t="s">
        <v>5730</v>
      </c>
      <c r="F4506" t="s">
        <v>6027</v>
      </c>
      <c r="G4506" t="s">
        <v>6029</v>
      </c>
      <c r="H4506" t="s">
        <v>6045</v>
      </c>
      <c r="I4506" t="s">
        <v>6049</v>
      </c>
      <c r="J4506" t="s">
        <v>6053</v>
      </c>
      <c r="K4506" t="s">
        <v>6058</v>
      </c>
      <c r="L4506" t="s">
        <v>9594</v>
      </c>
      <c r="M4506">
        <v>943.15</v>
      </c>
      <c r="N4506">
        <v>3</v>
      </c>
      <c r="O4506">
        <v>0.19</v>
      </c>
      <c r="P4506">
        <v>17.78</v>
      </c>
      <c r="Q4506" t="s">
        <v>9895</v>
      </c>
      <c r="R4506">
        <v>6</v>
      </c>
      <c r="S4506" s="5">
        <f t="shared" si="140"/>
        <v>1.885172029899804E-2</v>
      </c>
      <c r="T4506">
        <v>314.38333333333333</v>
      </c>
      <c r="U4506">
        <v>1</v>
      </c>
      <c r="V4506">
        <v>2022</v>
      </c>
      <c r="W4506">
        <v>1</v>
      </c>
      <c r="X4506" t="s">
        <v>9899</v>
      </c>
      <c r="Y4506" t="s">
        <v>9900</v>
      </c>
      <c r="Z4506" t="s">
        <v>9899</v>
      </c>
      <c r="AD4506">
        <f t="shared" si="141"/>
        <v>6</v>
      </c>
    </row>
    <row r="4507" spans="1:30" x14ac:dyDescent="0.25">
      <c r="A4507" t="s">
        <v>4531</v>
      </c>
      <c r="B4507" s="2">
        <v>44948</v>
      </c>
      <c r="C4507" s="2">
        <v>44949</v>
      </c>
      <c r="D4507" t="s">
        <v>5483</v>
      </c>
      <c r="E4507" t="s">
        <v>5983</v>
      </c>
      <c r="F4507" t="s">
        <v>6028</v>
      </c>
      <c r="G4507" t="s">
        <v>6031</v>
      </c>
      <c r="H4507" t="s">
        <v>6034</v>
      </c>
      <c r="I4507" t="s">
        <v>6052</v>
      </c>
      <c r="J4507" t="s">
        <v>6055</v>
      </c>
      <c r="K4507" t="s">
        <v>6063</v>
      </c>
      <c r="L4507" t="s">
        <v>9595</v>
      </c>
      <c r="M4507">
        <v>1463.72</v>
      </c>
      <c r="N4507">
        <v>2</v>
      </c>
      <c r="O4507">
        <v>0.1</v>
      </c>
      <c r="P4507">
        <v>21.61</v>
      </c>
      <c r="Q4507" t="s">
        <v>9896</v>
      </c>
      <c r="R4507">
        <v>1</v>
      </c>
      <c r="S4507" s="5">
        <f t="shared" si="140"/>
        <v>1.4763752630284481E-2</v>
      </c>
      <c r="T4507">
        <v>731.86</v>
      </c>
      <c r="U4507">
        <v>1</v>
      </c>
      <c r="V4507">
        <v>2023</v>
      </c>
      <c r="W4507">
        <v>1</v>
      </c>
      <c r="X4507" t="s">
        <v>9899</v>
      </c>
      <c r="Y4507" t="s">
        <v>9901</v>
      </c>
      <c r="Z4507" t="s">
        <v>9898</v>
      </c>
      <c r="AD4507">
        <f t="shared" si="141"/>
        <v>1</v>
      </c>
    </row>
    <row r="4508" spans="1:30" x14ac:dyDescent="0.25">
      <c r="A4508" t="s">
        <v>4532</v>
      </c>
      <c r="B4508" s="2">
        <v>45060</v>
      </c>
      <c r="C4508" s="2">
        <v>45065</v>
      </c>
      <c r="D4508" t="s">
        <v>5393</v>
      </c>
      <c r="E4508" t="s">
        <v>5893</v>
      </c>
      <c r="F4508" t="s">
        <v>6026</v>
      </c>
      <c r="G4508" t="s">
        <v>6031</v>
      </c>
      <c r="H4508" t="s">
        <v>6043</v>
      </c>
      <c r="I4508" t="s">
        <v>6052</v>
      </c>
      <c r="J4508" t="s">
        <v>6055</v>
      </c>
      <c r="K4508" t="s">
        <v>6061</v>
      </c>
      <c r="L4508" t="s">
        <v>9596</v>
      </c>
      <c r="M4508">
        <v>1139.8900000000001</v>
      </c>
      <c r="N4508">
        <v>3</v>
      </c>
      <c r="O4508">
        <v>0.16</v>
      </c>
      <c r="P4508">
        <v>-33.020000000000003</v>
      </c>
      <c r="Q4508" t="s">
        <v>9893</v>
      </c>
      <c r="R4508">
        <v>5</v>
      </c>
      <c r="S4508" s="5">
        <f t="shared" si="140"/>
        <v>-2.8967707410364158E-2</v>
      </c>
      <c r="T4508">
        <v>379.96333333333342</v>
      </c>
      <c r="U4508">
        <v>5</v>
      </c>
      <c r="V4508">
        <v>2023</v>
      </c>
      <c r="W4508">
        <v>2</v>
      </c>
      <c r="X4508" t="s">
        <v>9898</v>
      </c>
      <c r="Y4508" t="s">
        <v>9900</v>
      </c>
      <c r="Z4508" t="s">
        <v>9898</v>
      </c>
      <c r="AD4508">
        <f t="shared" si="141"/>
        <v>5</v>
      </c>
    </row>
    <row r="4509" spans="1:30" x14ac:dyDescent="0.25">
      <c r="A4509" t="s">
        <v>4533</v>
      </c>
      <c r="B4509" s="2">
        <v>45389</v>
      </c>
      <c r="C4509" s="2">
        <v>45390</v>
      </c>
      <c r="D4509" t="s">
        <v>5466</v>
      </c>
      <c r="E4509" t="s">
        <v>5966</v>
      </c>
      <c r="F4509" t="s">
        <v>6028</v>
      </c>
      <c r="G4509" t="s">
        <v>6029</v>
      </c>
      <c r="H4509" t="s">
        <v>6045</v>
      </c>
      <c r="I4509" t="s">
        <v>6050</v>
      </c>
      <c r="J4509" t="s">
        <v>6055</v>
      </c>
      <c r="K4509" t="s">
        <v>6064</v>
      </c>
      <c r="L4509" t="s">
        <v>9597</v>
      </c>
      <c r="M4509">
        <v>794.04</v>
      </c>
      <c r="N4509">
        <v>8</v>
      </c>
      <c r="O4509">
        <v>0.23</v>
      </c>
      <c r="P4509">
        <v>-71.989999999999995</v>
      </c>
      <c r="Q4509" t="s">
        <v>9897</v>
      </c>
      <c r="R4509">
        <v>1</v>
      </c>
      <c r="S4509" s="5">
        <f t="shared" si="140"/>
        <v>-9.066293889476601E-2</v>
      </c>
      <c r="T4509">
        <v>99.254999999999995</v>
      </c>
      <c r="U4509">
        <v>4</v>
      </c>
      <c r="V4509">
        <v>2024</v>
      </c>
      <c r="W4509">
        <v>2</v>
      </c>
      <c r="X4509" t="s">
        <v>9898</v>
      </c>
      <c r="Y4509" t="s">
        <v>9900</v>
      </c>
      <c r="Z4509" t="s">
        <v>9899</v>
      </c>
      <c r="AD4509">
        <f t="shared" si="141"/>
        <v>1</v>
      </c>
    </row>
    <row r="4510" spans="1:30" x14ac:dyDescent="0.25">
      <c r="A4510" t="s">
        <v>4534</v>
      </c>
      <c r="B4510" s="2">
        <v>44701</v>
      </c>
      <c r="C4510" s="2">
        <v>44704</v>
      </c>
      <c r="D4510" t="s">
        <v>5142</v>
      </c>
      <c r="E4510" t="s">
        <v>5642</v>
      </c>
      <c r="F4510" t="s">
        <v>6027</v>
      </c>
      <c r="G4510" t="s">
        <v>6031</v>
      </c>
      <c r="H4510" t="s">
        <v>6037</v>
      </c>
      <c r="I4510" t="s">
        <v>6048</v>
      </c>
      <c r="J4510" t="s">
        <v>6055</v>
      </c>
      <c r="K4510" t="s">
        <v>6064</v>
      </c>
      <c r="L4510" t="s">
        <v>9598</v>
      </c>
      <c r="M4510">
        <v>1216.3599999999999</v>
      </c>
      <c r="N4510">
        <v>5</v>
      </c>
      <c r="O4510">
        <v>0.08</v>
      </c>
      <c r="P4510">
        <v>123.24</v>
      </c>
      <c r="Q4510" t="s">
        <v>9895</v>
      </c>
      <c r="R4510">
        <v>3</v>
      </c>
      <c r="S4510" s="5">
        <f t="shared" si="140"/>
        <v>0.1013186885461541</v>
      </c>
      <c r="T4510">
        <v>243.27199999999999</v>
      </c>
      <c r="U4510">
        <v>5</v>
      </c>
      <c r="V4510">
        <v>2022</v>
      </c>
      <c r="W4510">
        <v>2</v>
      </c>
      <c r="X4510" t="s">
        <v>9899</v>
      </c>
      <c r="Y4510" t="s">
        <v>9901</v>
      </c>
      <c r="Z4510" t="s">
        <v>9898</v>
      </c>
      <c r="AD4510">
        <f t="shared" si="141"/>
        <v>3</v>
      </c>
    </row>
    <row r="4511" spans="1:30" x14ac:dyDescent="0.25">
      <c r="A4511" t="s">
        <v>4535</v>
      </c>
      <c r="B4511" s="2">
        <v>45412</v>
      </c>
      <c r="C4511" s="2">
        <v>45413</v>
      </c>
      <c r="D4511" t="s">
        <v>5150</v>
      </c>
      <c r="E4511" t="s">
        <v>5650</v>
      </c>
      <c r="F4511" t="s">
        <v>6027</v>
      </c>
      <c r="G4511" t="s">
        <v>6030</v>
      </c>
      <c r="H4511" t="s">
        <v>6033</v>
      </c>
      <c r="I4511" t="s">
        <v>6047</v>
      </c>
      <c r="J4511" t="s">
        <v>6054</v>
      </c>
      <c r="K4511" t="s">
        <v>6060</v>
      </c>
      <c r="L4511" t="s">
        <v>9599</v>
      </c>
      <c r="M4511">
        <v>1461.44</v>
      </c>
      <c r="N4511">
        <v>1</v>
      </c>
      <c r="O4511">
        <v>0.13</v>
      </c>
      <c r="P4511">
        <v>21.22</v>
      </c>
      <c r="Q4511" t="s">
        <v>9896</v>
      </c>
      <c r="R4511">
        <v>1</v>
      </c>
      <c r="S4511" s="5">
        <f t="shared" si="140"/>
        <v>1.4519925552879351E-2</v>
      </c>
      <c r="T4511">
        <v>1461.44</v>
      </c>
      <c r="U4511">
        <v>4</v>
      </c>
      <c r="V4511">
        <v>2024</v>
      </c>
      <c r="W4511">
        <v>2</v>
      </c>
      <c r="X4511" t="s">
        <v>9899</v>
      </c>
      <c r="Y4511" t="s">
        <v>9901</v>
      </c>
      <c r="Z4511" t="s">
        <v>9898</v>
      </c>
      <c r="AD4511">
        <f t="shared" si="141"/>
        <v>1</v>
      </c>
    </row>
    <row r="4512" spans="1:30" x14ac:dyDescent="0.25">
      <c r="A4512" t="s">
        <v>4536</v>
      </c>
      <c r="B4512" s="2">
        <v>45442</v>
      </c>
      <c r="C4512" s="2">
        <v>45445</v>
      </c>
      <c r="D4512" t="s">
        <v>5364</v>
      </c>
      <c r="E4512" t="s">
        <v>5864</v>
      </c>
      <c r="F4512" t="s">
        <v>6026</v>
      </c>
      <c r="G4512" t="s">
        <v>6031</v>
      </c>
      <c r="H4512" t="s">
        <v>6034</v>
      </c>
      <c r="I4512" t="s">
        <v>6052</v>
      </c>
      <c r="J4512" t="s">
        <v>6055</v>
      </c>
      <c r="K4512" t="s">
        <v>6063</v>
      </c>
      <c r="L4512" t="s">
        <v>9600</v>
      </c>
      <c r="M4512">
        <v>1952</v>
      </c>
      <c r="N4512">
        <v>4</v>
      </c>
      <c r="O4512">
        <v>0.04</v>
      </c>
      <c r="P4512">
        <v>330.63</v>
      </c>
      <c r="Q4512" t="s">
        <v>9893</v>
      </c>
      <c r="R4512">
        <v>3</v>
      </c>
      <c r="S4512" s="5">
        <f t="shared" si="140"/>
        <v>0.16938012295081967</v>
      </c>
      <c r="T4512">
        <v>488</v>
      </c>
      <c r="U4512">
        <v>5</v>
      </c>
      <c r="V4512">
        <v>2024</v>
      </c>
      <c r="W4512">
        <v>2</v>
      </c>
      <c r="X4512" t="s">
        <v>9899</v>
      </c>
      <c r="Y4512" t="s">
        <v>9901</v>
      </c>
      <c r="Z4512" t="s">
        <v>9898</v>
      </c>
      <c r="AD4512">
        <f t="shared" si="141"/>
        <v>3</v>
      </c>
    </row>
    <row r="4513" spans="1:30" x14ac:dyDescent="0.25">
      <c r="A4513" t="s">
        <v>4537</v>
      </c>
      <c r="B4513" s="2">
        <v>45364</v>
      </c>
      <c r="C4513" s="2">
        <v>45367</v>
      </c>
      <c r="D4513" t="s">
        <v>5028</v>
      </c>
      <c r="E4513" t="s">
        <v>5528</v>
      </c>
      <c r="F4513" t="s">
        <v>6026</v>
      </c>
      <c r="G4513" t="s">
        <v>6031</v>
      </c>
      <c r="H4513" t="s">
        <v>6037</v>
      </c>
      <c r="I4513" t="s">
        <v>6050</v>
      </c>
      <c r="J4513" t="s">
        <v>6053</v>
      </c>
      <c r="K4513" t="s">
        <v>6058</v>
      </c>
      <c r="L4513" t="s">
        <v>9601</v>
      </c>
      <c r="M4513">
        <v>1980.07</v>
      </c>
      <c r="N4513">
        <v>7</v>
      </c>
      <c r="O4513">
        <v>0.15</v>
      </c>
      <c r="P4513">
        <v>-89.79</v>
      </c>
      <c r="Q4513" t="s">
        <v>9895</v>
      </c>
      <c r="R4513">
        <v>3</v>
      </c>
      <c r="S4513" s="5">
        <f t="shared" si="140"/>
        <v>-4.5346881675900348E-2</v>
      </c>
      <c r="T4513">
        <v>282.86714285714282</v>
      </c>
      <c r="U4513">
        <v>3</v>
      </c>
      <c r="V4513">
        <v>2024</v>
      </c>
      <c r="W4513">
        <v>1</v>
      </c>
      <c r="X4513" t="s">
        <v>9898</v>
      </c>
      <c r="Y4513" t="s">
        <v>9901</v>
      </c>
      <c r="Z4513" t="s">
        <v>9898</v>
      </c>
      <c r="AD4513">
        <f t="shared" si="141"/>
        <v>3</v>
      </c>
    </row>
    <row r="4514" spans="1:30" x14ac:dyDescent="0.25">
      <c r="A4514" t="s">
        <v>4538</v>
      </c>
      <c r="B4514" s="2">
        <v>45249</v>
      </c>
      <c r="C4514" s="2">
        <v>45250</v>
      </c>
      <c r="D4514" t="s">
        <v>5266</v>
      </c>
      <c r="E4514" t="s">
        <v>5766</v>
      </c>
      <c r="F4514" t="s">
        <v>6026</v>
      </c>
      <c r="G4514" t="s">
        <v>6031</v>
      </c>
      <c r="H4514" t="s">
        <v>6042</v>
      </c>
      <c r="I4514" t="s">
        <v>6048</v>
      </c>
      <c r="J4514" t="s">
        <v>6055</v>
      </c>
      <c r="K4514" t="s">
        <v>6064</v>
      </c>
      <c r="L4514" t="s">
        <v>8488</v>
      </c>
      <c r="M4514">
        <v>497.3</v>
      </c>
      <c r="N4514">
        <v>3</v>
      </c>
      <c r="O4514">
        <v>0.08</v>
      </c>
      <c r="P4514">
        <v>74.760000000000005</v>
      </c>
      <c r="Q4514" t="s">
        <v>9895</v>
      </c>
      <c r="R4514">
        <v>1</v>
      </c>
      <c r="S4514" s="5">
        <f t="shared" si="140"/>
        <v>0.15033179167504526</v>
      </c>
      <c r="T4514">
        <v>165.76666666666671</v>
      </c>
      <c r="U4514">
        <v>11</v>
      </c>
      <c r="V4514">
        <v>2023</v>
      </c>
      <c r="W4514">
        <v>4</v>
      </c>
      <c r="X4514" t="s">
        <v>9899</v>
      </c>
      <c r="Y4514" t="s">
        <v>9901</v>
      </c>
      <c r="Z4514" t="s">
        <v>9899</v>
      </c>
      <c r="AD4514">
        <f t="shared" si="141"/>
        <v>1</v>
      </c>
    </row>
    <row r="4515" spans="1:30" x14ac:dyDescent="0.25">
      <c r="A4515" t="s">
        <v>4539</v>
      </c>
      <c r="B4515" s="2">
        <v>44937</v>
      </c>
      <c r="C4515" s="2">
        <v>44939</v>
      </c>
      <c r="D4515" t="s">
        <v>5064</v>
      </c>
      <c r="E4515" t="s">
        <v>5564</v>
      </c>
      <c r="F4515" t="s">
        <v>6027</v>
      </c>
      <c r="G4515" t="s">
        <v>6030</v>
      </c>
      <c r="H4515" t="s">
        <v>6035</v>
      </c>
      <c r="I4515" t="s">
        <v>6051</v>
      </c>
      <c r="J4515" t="s">
        <v>6054</v>
      </c>
      <c r="K4515" t="s">
        <v>6060</v>
      </c>
      <c r="L4515" t="s">
        <v>9427</v>
      </c>
      <c r="M4515">
        <v>238.46</v>
      </c>
      <c r="N4515">
        <v>8</v>
      </c>
      <c r="O4515">
        <v>0.22</v>
      </c>
      <c r="P4515">
        <v>-23.18</v>
      </c>
      <c r="Q4515" t="s">
        <v>9893</v>
      </c>
      <c r="R4515">
        <v>2</v>
      </c>
      <c r="S4515" s="5">
        <f t="shared" si="140"/>
        <v>-9.7207078755346801E-2</v>
      </c>
      <c r="T4515">
        <v>29.807500000000001</v>
      </c>
      <c r="U4515">
        <v>1</v>
      </c>
      <c r="V4515">
        <v>2023</v>
      </c>
      <c r="W4515">
        <v>1</v>
      </c>
      <c r="X4515" t="s">
        <v>9898</v>
      </c>
      <c r="Y4515" t="s">
        <v>9900</v>
      </c>
      <c r="Z4515" t="s">
        <v>9899</v>
      </c>
      <c r="AD4515">
        <f t="shared" si="141"/>
        <v>2</v>
      </c>
    </row>
    <row r="4516" spans="1:30" x14ac:dyDescent="0.25">
      <c r="A4516" t="s">
        <v>4540</v>
      </c>
      <c r="B4516" s="2">
        <v>44858</v>
      </c>
      <c r="C4516" s="2">
        <v>44864</v>
      </c>
      <c r="D4516" t="s">
        <v>5132</v>
      </c>
      <c r="E4516" t="s">
        <v>5632</v>
      </c>
      <c r="F4516" t="s">
        <v>6026</v>
      </c>
      <c r="G4516" t="s">
        <v>6031</v>
      </c>
      <c r="H4516" t="s">
        <v>6040</v>
      </c>
      <c r="I4516" t="s">
        <v>6048</v>
      </c>
      <c r="J4516" t="s">
        <v>6055</v>
      </c>
      <c r="K4516" t="s">
        <v>6063</v>
      </c>
      <c r="L4516" t="s">
        <v>9602</v>
      </c>
      <c r="M4516">
        <v>1663.94</v>
      </c>
      <c r="N4516">
        <v>7</v>
      </c>
      <c r="O4516">
        <v>0.24</v>
      </c>
      <c r="P4516">
        <v>-95.81</v>
      </c>
      <c r="Q4516" t="s">
        <v>9895</v>
      </c>
      <c r="R4516">
        <v>6</v>
      </c>
      <c r="S4516" s="5">
        <f t="shared" si="140"/>
        <v>-5.7580201209178214E-2</v>
      </c>
      <c r="T4516">
        <v>237.70571428571429</v>
      </c>
      <c r="U4516">
        <v>10</v>
      </c>
      <c r="V4516">
        <v>2022</v>
      </c>
      <c r="W4516">
        <v>4</v>
      </c>
      <c r="X4516" t="s">
        <v>9898</v>
      </c>
      <c r="Y4516" t="s">
        <v>9900</v>
      </c>
      <c r="Z4516" t="s">
        <v>9898</v>
      </c>
      <c r="AD4516">
        <f t="shared" si="141"/>
        <v>6</v>
      </c>
    </row>
    <row r="4517" spans="1:30" x14ac:dyDescent="0.25">
      <c r="A4517" t="s">
        <v>4541</v>
      </c>
      <c r="B4517" s="2">
        <v>45308</v>
      </c>
      <c r="C4517" s="2">
        <v>45309</v>
      </c>
      <c r="D4517" t="s">
        <v>5118</v>
      </c>
      <c r="E4517" t="s">
        <v>5618</v>
      </c>
      <c r="F4517" t="s">
        <v>6026</v>
      </c>
      <c r="G4517" t="s">
        <v>6030</v>
      </c>
      <c r="H4517" t="s">
        <v>6033</v>
      </c>
      <c r="I4517" t="s">
        <v>6047</v>
      </c>
      <c r="J4517" t="s">
        <v>6054</v>
      </c>
      <c r="K4517" t="s">
        <v>6062</v>
      </c>
      <c r="L4517" t="s">
        <v>7220</v>
      </c>
      <c r="M4517">
        <v>821.83</v>
      </c>
      <c r="N4517">
        <v>7</v>
      </c>
      <c r="O4517">
        <v>0.26</v>
      </c>
      <c r="P4517">
        <v>-1.52</v>
      </c>
      <c r="Q4517" t="s">
        <v>9897</v>
      </c>
      <c r="R4517">
        <v>1</v>
      </c>
      <c r="S4517" s="5">
        <f t="shared" si="140"/>
        <v>-1.849530924887142E-3</v>
      </c>
      <c r="T4517">
        <v>117.40428571428571</v>
      </c>
      <c r="U4517">
        <v>1</v>
      </c>
      <c r="V4517">
        <v>2024</v>
      </c>
      <c r="W4517">
        <v>1</v>
      </c>
      <c r="X4517" t="s">
        <v>9898</v>
      </c>
      <c r="Y4517" t="s">
        <v>9900</v>
      </c>
      <c r="Z4517" t="s">
        <v>9899</v>
      </c>
      <c r="AD4517">
        <f t="shared" si="141"/>
        <v>1</v>
      </c>
    </row>
    <row r="4518" spans="1:30" x14ac:dyDescent="0.25">
      <c r="A4518" t="s">
        <v>4542</v>
      </c>
      <c r="B4518" s="2">
        <v>44868</v>
      </c>
      <c r="C4518" s="2">
        <v>44870</v>
      </c>
      <c r="D4518" t="s">
        <v>5138</v>
      </c>
      <c r="E4518" t="s">
        <v>5638</v>
      </c>
      <c r="F4518" t="s">
        <v>6028</v>
      </c>
      <c r="G4518" t="s">
        <v>6029</v>
      </c>
      <c r="H4518" t="s">
        <v>6041</v>
      </c>
      <c r="I4518" t="s">
        <v>6046</v>
      </c>
      <c r="J4518" t="s">
        <v>6053</v>
      </c>
      <c r="K4518" t="s">
        <v>6056</v>
      </c>
      <c r="L4518" t="s">
        <v>9310</v>
      </c>
      <c r="M4518">
        <v>1722.54</v>
      </c>
      <c r="N4518">
        <v>7</v>
      </c>
      <c r="O4518">
        <v>0.19</v>
      </c>
      <c r="P4518">
        <v>-116.79</v>
      </c>
      <c r="Q4518" t="s">
        <v>9895</v>
      </c>
      <c r="R4518">
        <v>2</v>
      </c>
      <c r="S4518" s="5">
        <f t="shared" si="140"/>
        <v>-6.7801038002020281E-2</v>
      </c>
      <c r="T4518">
        <v>246.07714285714289</v>
      </c>
      <c r="U4518">
        <v>11</v>
      </c>
      <c r="V4518">
        <v>2022</v>
      </c>
      <c r="W4518">
        <v>4</v>
      </c>
      <c r="X4518" t="s">
        <v>9898</v>
      </c>
      <c r="Y4518" t="s">
        <v>9900</v>
      </c>
      <c r="Z4518" t="s">
        <v>9898</v>
      </c>
      <c r="AD4518">
        <f t="shared" si="141"/>
        <v>2</v>
      </c>
    </row>
    <row r="4519" spans="1:30" x14ac:dyDescent="0.25">
      <c r="A4519" t="s">
        <v>4543</v>
      </c>
      <c r="B4519" s="2">
        <v>44741</v>
      </c>
      <c r="C4519" s="2">
        <v>44745</v>
      </c>
      <c r="D4519" t="s">
        <v>5358</v>
      </c>
      <c r="E4519" t="s">
        <v>5858</v>
      </c>
      <c r="F4519" t="s">
        <v>6026</v>
      </c>
      <c r="G4519" t="s">
        <v>6031</v>
      </c>
      <c r="H4519" t="s">
        <v>6043</v>
      </c>
      <c r="I4519" t="s">
        <v>6052</v>
      </c>
      <c r="J4519" t="s">
        <v>6054</v>
      </c>
      <c r="K4519" t="s">
        <v>6062</v>
      </c>
      <c r="L4519" t="s">
        <v>9603</v>
      </c>
      <c r="M4519">
        <v>1289.9100000000001</v>
      </c>
      <c r="N4519">
        <v>6</v>
      </c>
      <c r="O4519">
        <v>0.34</v>
      </c>
      <c r="P4519">
        <v>-210.18</v>
      </c>
      <c r="Q4519" t="s">
        <v>9896</v>
      </c>
      <c r="R4519">
        <v>4</v>
      </c>
      <c r="S4519" s="5">
        <f t="shared" si="140"/>
        <v>-0.16294160057678442</v>
      </c>
      <c r="T4519">
        <v>214.98500000000001</v>
      </c>
      <c r="U4519">
        <v>6</v>
      </c>
      <c r="V4519">
        <v>2022</v>
      </c>
      <c r="W4519">
        <v>2</v>
      </c>
      <c r="X4519" t="s">
        <v>9898</v>
      </c>
      <c r="Y4519" t="s">
        <v>9902</v>
      </c>
      <c r="Z4519" t="s">
        <v>9898</v>
      </c>
      <c r="AD4519">
        <f t="shared" si="141"/>
        <v>4</v>
      </c>
    </row>
    <row r="4520" spans="1:30" x14ac:dyDescent="0.25">
      <c r="A4520" t="s">
        <v>4544</v>
      </c>
      <c r="B4520" s="2">
        <v>44918</v>
      </c>
      <c r="C4520" s="2">
        <v>44922</v>
      </c>
      <c r="D4520" t="s">
        <v>5519</v>
      </c>
      <c r="E4520" t="s">
        <v>6019</v>
      </c>
      <c r="F4520" t="s">
        <v>6026</v>
      </c>
      <c r="G4520" t="s">
        <v>6029</v>
      </c>
      <c r="H4520" t="s">
        <v>6032</v>
      </c>
      <c r="I4520" t="s">
        <v>6049</v>
      </c>
      <c r="J4520" t="s">
        <v>6053</v>
      </c>
      <c r="K4520" t="s">
        <v>6056</v>
      </c>
      <c r="L4520" t="s">
        <v>8633</v>
      </c>
      <c r="M4520">
        <v>645.77</v>
      </c>
      <c r="N4520">
        <v>4</v>
      </c>
      <c r="O4520">
        <v>0.22</v>
      </c>
      <c r="P4520">
        <v>-66.92</v>
      </c>
      <c r="Q4520" t="s">
        <v>9896</v>
      </c>
      <c r="R4520">
        <v>4</v>
      </c>
      <c r="S4520" s="5">
        <f t="shared" si="140"/>
        <v>-0.10362822676804435</v>
      </c>
      <c r="T4520">
        <v>161.4425</v>
      </c>
      <c r="U4520">
        <v>12</v>
      </c>
      <c r="V4520">
        <v>2022</v>
      </c>
      <c r="W4520">
        <v>4</v>
      </c>
      <c r="X4520" t="s">
        <v>9898</v>
      </c>
      <c r="Y4520" t="s">
        <v>9900</v>
      </c>
      <c r="Z4520" t="s">
        <v>9899</v>
      </c>
      <c r="AD4520">
        <f t="shared" si="141"/>
        <v>4</v>
      </c>
    </row>
    <row r="4521" spans="1:30" x14ac:dyDescent="0.25">
      <c r="A4521" t="s">
        <v>4545</v>
      </c>
      <c r="B4521" s="2">
        <v>45262</v>
      </c>
      <c r="C4521" s="2">
        <v>45268</v>
      </c>
      <c r="D4521" t="s">
        <v>5097</v>
      </c>
      <c r="E4521" t="s">
        <v>5597</v>
      </c>
      <c r="F4521" t="s">
        <v>6028</v>
      </c>
      <c r="G4521" t="s">
        <v>6031</v>
      </c>
      <c r="H4521" t="s">
        <v>6040</v>
      </c>
      <c r="I4521" t="s">
        <v>6052</v>
      </c>
      <c r="J4521" t="s">
        <v>6053</v>
      </c>
      <c r="K4521" t="s">
        <v>6057</v>
      </c>
      <c r="L4521" t="s">
        <v>9604</v>
      </c>
      <c r="M4521">
        <v>976.48</v>
      </c>
      <c r="N4521">
        <v>3</v>
      </c>
      <c r="O4521">
        <v>0.13</v>
      </c>
      <c r="P4521">
        <v>69.67</v>
      </c>
      <c r="Q4521" t="s">
        <v>9895</v>
      </c>
      <c r="R4521">
        <v>6</v>
      </c>
      <c r="S4521" s="5">
        <f t="shared" si="140"/>
        <v>7.1348107488120593E-2</v>
      </c>
      <c r="T4521">
        <v>325.49333333333328</v>
      </c>
      <c r="U4521">
        <v>12</v>
      </c>
      <c r="V4521">
        <v>2023</v>
      </c>
      <c r="W4521">
        <v>4</v>
      </c>
      <c r="X4521" t="s">
        <v>9899</v>
      </c>
      <c r="Y4521" t="s">
        <v>9901</v>
      </c>
      <c r="Z4521" t="s">
        <v>9899</v>
      </c>
      <c r="AD4521">
        <f t="shared" si="141"/>
        <v>6</v>
      </c>
    </row>
    <row r="4522" spans="1:30" x14ac:dyDescent="0.25">
      <c r="A4522" t="s">
        <v>4546</v>
      </c>
      <c r="B4522" s="2">
        <v>45426</v>
      </c>
      <c r="C4522" s="2">
        <v>45431</v>
      </c>
      <c r="D4522" t="s">
        <v>5118</v>
      </c>
      <c r="E4522" t="s">
        <v>5618</v>
      </c>
      <c r="F4522" t="s">
        <v>6027</v>
      </c>
      <c r="G4522" t="s">
        <v>6029</v>
      </c>
      <c r="H4522" t="s">
        <v>6045</v>
      </c>
      <c r="I4522" t="s">
        <v>6049</v>
      </c>
      <c r="J4522" t="s">
        <v>6054</v>
      </c>
      <c r="K4522" t="s">
        <v>6059</v>
      </c>
      <c r="L4522" t="s">
        <v>6305</v>
      </c>
      <c r="M4522">
        <v>603.12</v>
      </c>
      <c r="N4522">
        <v>3</v>
      </c>
      <c r="O4522">
        <v>0.22</v>
      </c>
      <c r="P4522">
        <v>43.01</v>
      </c>
      <c r="Q4522" t="s">
        <v>9893</v>
      </c>
      <c r="R4522">
        <v>5</v>
      </c>
      <c r="S4522" s="5">
        <f t="shared" si="140"/>
        <v>7.1312508290224161E-2</v>
      </c>
      <c r="T4522">
        <v>201.04</v>
      </c>
      <c r="U4522">
        <v>5</v>
      </c>
      <c r="V4522">
        <v>2024</v>
      </c>
      <c r="W4522">
        <v>2</v>
      </c>
      <c r="X4522" t="s">
        <v>9899</v>
      </c>
      <c r="Y4522" t="s">
        <v>9900</v>
      </c>
      <c r="Z4522" t="s">
        <v>9899</v>
      </c>
      <c r="AD4522">
        <f t="shared" si="141"/>
        <v>5</v>
      </c>
    </row>
    <row r="4523" spans="1:30" x14ac:dyDescent="0.25">
      <c r="A4523" t="s">
        <v>4547</v>
      </c>
      <c r="B4523" s="2">
        <v>45422</v>
      </c>
      <c r="C4523" s="2">
        <v>45426</v>
      </c>
      <c r="D4523" t="s">
        <v>5108</v>
      </c>
      <c r="E4523" t="s">
        <v>5608</v>
      </c>
      <c r="F4523" t="s">
        <v>6027</v>
      </c>
      <c r="G4523" t="s">
        <v>6029</v>
      </c>
      <c r="H4523" t="s">
        <v>6041</v>
      </c>
      <c r="I4523" t="s">
        <v>6049</v>
      </c>
      <c r="J4523" t="s">
        <v>6053</v>
      </c>
      <c r="K4523" t="s">
        <v>6058</v>
      </c>
      <c r="L4523" t="s">
        <v>9605</v>
      </c>
      <c r="M4523">
        <v>1632.9</v>
      </c>
      <c r="N4523">
        <v>3</v>
      </c>
      <c r="O4523">
        <v>0.05</v>
      </c>
      <c r="P4523">
        <v>386.35</v>
      </c>
      <c r="Q4523" t="s">
        <v>9897</v>
      </c>
      <c r="R4523">
        <v>4</v>
      </c>
      <c r="S4523" s="5">
        <f t="shared" si="140"/>
        <v>0.23660358870720805</v>
      </c>
      <c r="T4523">
        <v>544.30000000000007</v>
      </c>
      <c r="U4523">
        <v>5</v>
      </c>
      <c r="V4523">
        <v>2024</v>
      </c>
      <c r="W4523">
        <v>2</v>
      </c>
      <c r="X4523" t="s">
        <v>9899</v>
      </c>
      <c r="Y4523" t="s">
        <v>9901</v>
      </c>
      <c r="Z4523" t="s">
        <v>9898</v>
      </c>
      <c r="AD4523">
        <f t="shared" si="141"/>
        <v>4</v>
      </c>
    </row>
    <row r="4524" spans="1:30" x14ac:dyDescent="0.25">
      <c r="A4524" t="s">
        <v>4548</v>
      </c>
      <c r="B4524" s="2">
        <v>44840</v>
      </c>
      <c r="C4524" s="2">
        <v>44842</v>
      </c>
      <c r="D4524" t="s">
        <v>5192</v>
      </c>
      <c r="E4524" t="s">
        <v>5692</v>
      </c>
      <c r="F4524" t="s">
        <v>6028</v>
      </c>
      <c r="G4524" t="s">
        <v>6029</v>
      </c>
      <c r="H4524" t="s">
        <v>6032</v>
      </c>
      <c r="I4524" t="s">
        <v>6050</v>
      </c>
      <c r="J4524" t="s">
        <v>6053</v>
      </c>
      <c r="K4524" t="s">
        <v>6057</v>
      </c>
      <c r="L4524" t="s">
        <v>8067</v>
      </c>
      <c r="M4524">
        <v>812.54</v>
      </c>
      <c r="N4524">
        <v>4</v>
      </c>
      <c r="O4524">
        <v>0.13</v>
      </c>
      <c r="P4524">
        <v>16.64</v>
      </c>
      <c r="Q4524" t="s">
        <v>9895</v>
      </c>
      <c r="R4524">
        <v>2</v>
      </c>
      <c r="S4524" s="5">
        <f t="shared" si="140"/>
        <v>2.0478991803480447E-2</v>
      </c>
      <c r="T4524">
        <v>203.13499999999999</v>
      </c>
      <c r="U4524">
        <v>10</v>
      </c>
      <c r="V4524">
        <v>2022</v>
      </c>
      <c r="W4524">
        <v>4</v>
      </c>
      <c r="X4524" t="s">
        <v>9899</v>
      </c>
      <c r="Y4524" t="s">
        <v>9901</v>
      </c>
      <c r="Z4524" t="s">
        <v>9899</v>
      </c>
      <c r="AD4524">
        <f t="shared" si="141"/>
        <v>2</v>
      </c>
    </row>
    <row r="4525" spans="1:30" x14ac:dyDescent="0.25">
      <c r="A4525" t="s">
        <v>4549</v>
      </c>
      <c r="B4525" s="2">
        <v>44967</v>
      </c>
      <c r="C4525" s="2">
        <v>44969</v>
      </c>
      <c r="D4525" t="s">
        <v>5202</v>
      </c>
      <c r="E4525" t="s">
        <v>5702</v>
      </c>
      <c r="F4525" t="s">
        <v>6026</v>
      </c>
      <c r="G4525" t="s">
        <v>6030</v>
      </c>
      <c r="H4525" t="s">
        <v>6039</v>
      </c>
      <c r="I4525" t="s">
        <v>6051</v>
      </c>
      <c r="J4525" t="s">
        <v>6053</v>
      </c>
      <c r="K4525" t="s">
        <v>6058</v>
      </c>
      <c r="L4525" t="s">
        <v>8706</v>
      </c>
      <c r="M4525">
        <v>507.1</v>
      </c>
      <c r="N4525">
        <v>4</v>
      </c>
      <c r="O4525">
        <v>0.14000000000000001</v>
      </c>
      <c r="P4525">
        <v>49.37</v>
      </c>
      <c r="Q4525" t="s">
        <v>9893</v>
      </c>
      <c r="R4525">
        <v>2</v>
      </c>
      <c r="S4525" s="5">
        <f t="shared" si="140"/>
        <v>9.7357523170972182E-2</v>
      </c>
      <c r="T4525">
        <v>126.77500000000001</v>
      </c>
      <c r="U4525">
        <v>2</v>
      </c>
      <c r="V4525">
        <v>2023</v>
      </c>
      <c r="W4525">
        <v>1</v>
      </c>
      <c r="X4525" t="s">
        <v>9899</v>
      </c>
      <c r="Y4525" t="s">
        <v>9901</v>
      </c>
      <c r="Z4525" t="s">
        <v>9899</v>
      </c>
      <c r="AD4525">
        <f t="shared" si="141"/>
        <v>2</v>
      </c>
    </row>
    <row r="4526" spans="1:30" x14ac:dyDescent="0.25">
      <c r="A4526" t="s">
        <v>4550</v>
      </c>
      <c r="B4526" s="2">
        <v>45013</v>
      </c>
      <c r="C4526" s="2">
        <v>45018</v>
      </c>
      <c r="D4526" t="s">
        <v>5255</v>
      </c>
      <c r="E4526" t="s">
        <v>5755</v>
      </c>
      <c r="F4526" t="s">
        <v>6026</v>
      </c>
      <c r="G4526" t="s">
        <v>6031</v>
      </c>
      <c r="H4526" t="s">
        <v>6040</v>
      </c>
      <c r="I4526" t="s">
        <v>6050</v>
      </c>
      <c r="J4526" t="s">
        <v>6055</v>
      </c>
      <c r="K4526" t="s">
        <v>6061</v>
      </c>
      <c r="L4526" t="s">
        <v>6160</v>
      </c>
      <c r="M4526">
        <v>429.95</v>
      </c>
      <c r="N4526">
        <v>6</v>
      </c>
      <c r="O4526">
        <v>0.09</v>
      </c>
      <c r="P4526">
        <v>85.22</v>
      </c>
      <c r="Q4526" t="s">
        <v>9896</v>
      </c>
      <c r="R4526">
        <v>5</v>
      </c>
      <c r="S4526" s="5">
        <f t="shared" si="140"/>
        <v>0.19820909408070705</v>
      </c>
      <c r="T4526">
        <v>71.658333333333331</v>
      </c>
      <c r="U4526">
        <v>3</v>
      </c>
      <c r="V4526">
        <v>2023</v>
      </c>
      <c r="W4526">
        <v>1</v>
      </c>
      <c r="X4526" t="s">
        <v>9899</v>
      </c>
      <c r="Y4526" t="s">
        <v>9901</v>
      </c>
      <c r="Z4526" t="s">
        <v>9899</v>
      </c>
      <c r="AD4526">
        <f t="shared" si="141"/>
        <v>5</v>
      </c>
    </row>
    <row r="4527" spans="1:30" x14ac:dyDescent="0.25">
      <c r="A4527" t="s">
        <v>4551</v>
      </c>
      <c r="B4527" s="2">
        <v>44744</v>
      </c>
      <c r="C4527" s="2">
        <v>44746</v>
      </c>
      <c r="D4527" t="s">
        <v>5347</v>
      </c>
      <c r="E4527" t="s">
        <v>5847</v>
      </c>
      <c r="F4527" t="s">
        <v>6026</v>
      </c>
      <c r="G4527" t="s">
        <v>6029</v>
      </c>
      <c r="H4527" t="s">
        <v>6032</v>
      </c>
      <c r="I4527" t="s">
        <v>6049</v>
      </c>
      <c r="J4527" t="s">
        <v>6055</v>
      </c>
      <c r="K4527" t="s">
        <v>6063</v>
      </c>
      <c r="L4527" t="s">
        <v>9606</v>
      </c>
      <c r="M4527">
        <v>1481.54</v>
      </c>
      <c r="N4527">
        <v>2</v>
      </c>
      <c r="O4527">
        <v>0.01</v>
      </c>
      <c r="P4527">
        <v>290.85000000000002</v>
      </c>
      <c r="Q4527" t="s">
        <v>9893</v>
      </c>
      <c r="R4527">
        <v>2</v>
      </c>
      <c r="S4527" s="5">
        <f t="shared" si="140"/>
        <v>0.19631599551817705</v>
      </c>
      <c r="T4527">
        <v>740.77</v>
      </c>
      <c r="U4527">
        <v>7</v>
      </c>
      <c r="V4527">
        <v>2022</v>
      </c>
      <c r="W4527">
        <v>3</v>
      </c>
      <c r="X4527" t="s">
        <v>9899</v>
      </c>
      <c r="Y4527" t="s">
        <v>9901</v>
      </c>
      <c r="Z4527" t="s">
        <v>9898</v>
      </c>
      <c r="AD4527">
        <f t="shared" si="141"/>
        <v>2</v>
      </c>
    </row>
    <row r="4528" spans="1:30" x14ac:dyDescent="0.25">
      <c r="A4528" t="s">
        <v>4552</v>
      </c>
      <c r="B4528" s="2">
        <v>44767</v>
      </c>
      <c r="C4528" s="2">
        <v>44769</v>
      </c>
      <c r="D4528" t="s">
        <v>5159</v>
      </c>
      <c r="E4528" t="s">
        <v>5659</v>
      </c>
      <c r="F4528" t="s">
        <v>6027</v>
      </c>
      <c r="G4528" t="s">
        <v>6029</v>
      </c>
      <c r="H4528" t="s">
        <v>6044</v>
      </c>
      <c r="I4528" t="s">
        <v>6046</v>
      </c>
      <c r="J4528" t="s">
        <v>6054</v>
      </c>
      <c r="K4528" t="s">
        <v>6059</v>
      </c>
      <c r="L4528" t="s">
        <v>8188</v>
      </c>
      <c r="M4528">
        <v>1042</v>
      </c>
      <c r="N4528">
        <v>3</v>
      </c>
      <c r="O4528">
        <v>0.34</v>
      </c>
      <c r="P4528">
        <v>-79.72</v>
      </c>
      <c r="Q4528" t="s">
        <v>9897</v>
      </c>
      <c r="R4528">
        <v>2</v>
      </c>
      <c r="S4528" s="5">
        <f t="shared" si="140"/>
        <v>-7.6506717850287911E-2</v>
      </c>
      <c r="T4528">
        <v>347.33333333333331</v>
      </c>
      <c r="U4528">
        <v>7</v>
      </c>
      <c r="V4528">
        <v>2022</v>
      </c>
      <c r="W4528">
        <v>3</v>
      </c>
      <c r="X4528" t="s">
        <v>9898</v>
      </c>
      <c r="Y4528" t="s">
        <v>9902</v>
      </c>
      <c r="Z4528" t="s">
        <v>9898</v>
      </c>
      <c r="AD4528">
        <f t="shared" si="141"/>
        <v>2</v>
      </c>
    </row>
    <row r="4529" spans="1:30" x14ac:dyDescent="0.25">
      <c r="A4529" t="s">
        <v>4553</v>
      </c>
      <c r="B4529" s="2">
        <v>44887</v>
      </c>
      <c r="C4529" s="2">
        <v>44889</v>
      </c>
      <c r="D4529" t="s">
        <v>5379</v>
      </c>
      <c r="E4529" t="s">
        <v>5879</v>
      </c>
      <c r="F4529" t="s">
        <v>6026</v>
      </c>
      <c r="G4529" t="s">
        <v>6030</v>
      </c>
      <c r="H4529" t="s">
        <v>6033</v>
      </c>
      <c r="I4529" t="s">
        <v>6047</v>
      </c>
      <c r="J4529" t="s">
        <v>6054</v>
      </c>
      <c r="K4529" t="s">
        <v>6062</v>
      </c>
      <c r="L4529" t="s">
        <v>9607</v>
      </c>
      <c r="M4529">
        <v>394.18</v>
      </c>
      <c r="N4529">
        <v>5</v>
      </c>
      <c r="O4529">
        <v>0.19</v>
      </c>
      <c r="P4529">
        <v>26.88</v>
      </c>
      <c r="Q4529" t="s">
        <v>9893</v>
      </c>
      <c r="R4529">
        <v>2</v>
      </c>
      <c r="S4529" s="5">
        <f t="shared" si="140"/>
        <v>6.8192196458470744E-2</v>
      </c>
      <c r="T4529">
        <v>78.835999999999999</v>
      </c>
      <c r="U4529">
        <v>11</v>
      </c>
      <c r="V4529">
        <v>2022</v>
      </c>
      <c r="W4529">
        <v>4</v>
      </c>
      <c r="X4529" t="s">
        <v>9899</v>
      </c>
      <c r="Y4529" t="s">
        <v>9900</v>
      </c>
      <c r="Z4529" t="s">
        <v>9899</v>
      </c>
      <c r="AD4529">
        <f t="shared" si="141"/>
        <v>2</v>
      </c>
    </row>
    <row r="4530" spans="1:30" x14ac:dyDescent="0.25">
      <c r="A4530" t="s">
        <v>4554</v>
      </c>
      <c r="B4530" s="2">
        <v>44807</v>
      </c>
      <c r="C4530" s="2">
        <v>44812</v>
      </c>
      <c r="D4530" t="s">
        <v>5207</v>
      </c>
      <c r="E4530" t="s">
        <v>5707</v>
      </c>
      <c r="F4530" t="s">
        <v>6027</v>
      </c>
      <c r="G4530" t="s">
        <v>6030</v>
      </c>
      <c r="H4530" t="s">
        <v>6033</v>
      </c>
      <c r="I4530" t="s">
        <v>6051</v>
      </c>
      <c r="J4530" t="s">
        <v>6053</v>
      </c>
      <c r="K4530" t="s">
        <v>6057</v>
      </c>
      <c r="L4530" t="s">
        <v>9311</v>
      </c>
      <c r="M4530">
        <v>1379.38</v>
      </c>
      <c r="N4530">
        <v>1</v>
      </c>
      <c r="O4530">
        <v>0.31</v>
      </c>
      <c r="P4530">
        <v>-234.91</v>
      </c>
      <c r="Q4530" t="s">
        <v>9895</v>
      </c>
      <c r="R4530">
        <v>5</v>
      </c>
      <c r="S4530" s="5">
        <f t="shared" si="140"/>
        <v>-0.1703011497919355</v>
      </c>
      <c r="T4530">
        <v>1379.38</v>
      </c>
      <c r="U4530">
        <v>9</v>
      </c>
      <c r="V4530">
        <v>2022</v>
      </c>
      <c r="W4530">
        <v>3</v>
      </c>
      <c r="X4530" t="s">
        <v>9898</v>
      </c>
      <c r="Y4530" t="s">
        <v>9902</v>
      </c>
      <c r="Z4530" t="s">
        <v>9898</v>
      </c>
      <c r="AD4530">
        <f t="shared" si="141"/>
        <v>5</v>
      </c>
    </row>
    <row r="4531" spans="1:30" x14ac:dyDescent="0.25">
      <c r="A4531" t="s">
        <v>4555</v>
      </c>
      <c r="B4531" s="2">
        <v>44722</v>
      </c>
      <c r="C4531" s="2">
        <v>44728</v>
      </c>
      <c r="D4531" t="s">
        <v>5109</v>
      </c>
      <c r="E4531" t="s">
        <v>5609</v>
      </c>
      <c r="F4531" t="s">
        <v>6026</v>
      </c>
      <c r="G4531" t="s">
        <v>6030</v>
      </c>
      <c r="H4531" t="s">
        <v>6039</v>
      </c>
      <c r="I4531" t="s">
        <v>6047</v>
      </c>
      <c r="J4531" t="s">
        <v>6053</v>
      </c>
      <c r="K4531" t="s">
        <v>6058</v>
      </c>
      <c r="L4531" t="s">
        <v>8729</v>
      </c>
      <c r="M4531">
        <v>1401.09</v>
      </c>
      <c r="N4531">
        <v>5</v>
      </c>
      <c r="O4531">
        <v>0.24</v>
      </c>
      <c r="P4531">
        <v>-44.68</v>
      </c>
      <c r="Q4531" t="s">
        <v>9897</v>
      </c>
      <c r="R4531">
        <v>6</v>
      </c>
      <c r="S4531" s="5">
        <f t="shared" si="140"/>
        <v>-3.1889457493808393E-2</v>
      </c>
      <c r="T4531">
        <v>280.21800000000002</v>
      </c>
      <c r="U4531">
        <v>6</v>
      </c>
      <c r="V4531">
        <v>2022</v>
      </c>
      <c r="W4531">
        <v>2</v>
      </c>
      <c r="X4531" t="s">
        <v>9898</v>
      </c>
      <c r="Y4531" t="s">
        <v>9900</v>
      </c>
      <c r="Z4531" t="s">
        <v>9898</v>
      </c>
      <c r="AD4531">
        <f t="shared" si="141"/>
        <v>6</v>
      </c>
    </row>
    <row r="4532" spans="1:30" x14ac:dyDescent="0.25">
      <c r="A4532" t="s">
        <v>4556</v>
      </c>
      <c r="B4532" s="2">
        <v>44681</v>
      </c>
      <c r="C4532" s="2">
        <v>44682</v>
      </c>
      <c r="D4532" t="s">
        <v>5331</v>
      </c>
      <c r="E4532" t="s">
        <v>5831</v>
      </c>
      <c r="F4532" t="s">
        <v>6026</v>
      </c>
      <c r="G4532" t="s">
        <v>6030</v>
      </c>
      <c r="H4532" t="s">
        <v>6035</v>
      </c>
      <c r="I4532" t="s">
        <v>6051</v>
      </c>
      <c r="J4532" t="s">
        <v>6053</v>
      </c>
      <c r="K4532" t="s">
        <v>6056</v>
      </c>
      <c r="L4532" t="s">
        <v>6077</v>
      </c>
      <c r="M4532">
        <v>1419.4</v>
      </c>
      <c r="N4532">
        <v>3</v>
      </c>
      <c r="O4532">
        <v>0.02</v>
      </c>
      <c r="P4532">
        <v>345.23</v>
      </c>
      <c r="Q4532" t="s">
        <v>9894</v>
      </c>
      <c r="R4532">
        <v>1</v>
      </c>
      <c r="S4532" s="5">
        <f t="shared" si="140"/>
        <v>0.24322248837536986</v>
      </c>
      <c r="T4532">
        <v>473.13333333333338</v>
      </c>
      <c r="U4532">
        <v>4</v>
      </c>
      <c r="V4532">
        <v>2022</v>
      </c>
      <c r="W4532">
        <v>2</v>
      </c>
      <c r="X4532" t="s">
        <v>9899</v>
      </c>
      <c r="Y4532" t="s">
        <v>9901</v>
      </c>
      <c r="Z4532" t="s">
        <v>9898</v>
      </c>
      <c r="AD4532">
        <f t="shared" si="141"/>
        <v>1</v>
      </c>
    </row>
    <row r="4533" spans="1:30" x14ac:dyDescent="0.25">
      <c r="A4533" t="s">
        <v>4557</v>
      </c>
      <c r="B4533" s="2">
        <v>44582</v>
      </c>
      <c r="C4533" s="2">
        <v>44583</v>
      </c>
      <c r="D4533" t="s">
        <v>5185</v>
      </c>
      <c r="E4533" t="s">
        <v>5685</v>
      </c>
      <c r="F4533" t="s">
        <v>6028</v>
      </c>
      <c r="G4533" t="s">
        <v>6029</v>
      </c>
      <c r="H4533" t="s">
        <v>6045</v>
      </c>
      <c r="I4533" t="s">
        <v>6049</v>
      </c>
      <c r="J4533" t="s">
        <v>6054</v>
      </c>
      <c r="K4533" t="s">
        <v>6059</v>
      </c>
      <c r="L4533" t="s">
        <v>9608</v>
      </c>
      <c r="M4533">
        <v>1340.14</v>
      </c>
      <c r="N4533">
        <v>8</v>
      </c>
      <c r="O4533">
        <v>0.24</v>
      </c>
      <c r="P4533">
        <v>-182.88</v>
      </c>
      <c r="Q4533" t="s">
        <v>9894</v>
      </c>
      <c r="R4533">
        <v>1</v>
      </c>
      <c r="S4533" s="5">
        <f t="shared" si="140"/>
        <v>-0.13646335457489514</v>
      </c>
      <c r="T4533">
        <v>167.51750000000001</v>
      </c>
      <c r="U4533">
        <v>1</v>
      </c>
      <c r="V4533">
        <v>2022</v>
      </c>
      <c r="W4533">
        <v>1</v>
      </c>
      <c r="X4533" t="s">
        <v>9898</v>
      </c>
      <c r="Y4533" t="s">
        <v>9900</v>
      </c>
      <c r="Z4533" t="s">
        <v>9898</v>
      </c>
      <c r="AD4533">
        <f t="shared" si="141"/>
        <v>1</v>
      </c>
    </row>
    <row r="4534" spans="1:30" x14ac:dyDescent="0.25">
      <c r="A4534" t="s">
        <v>4558</v>
      </c>
      <c r="B4534" s="2">
        <v>44886</v>
      </c>
      <c r="C4534" s="2">
        <v>44892</v>
      </c>
      <c r="D4534" t="s">
        <v>5138</v>
      </c>
      <c r="E4534" t="s">
        <v>5638</v>
      </c>
      <c r="F4534" t="s">
        <v>6026</v>
      </c>
      <c r="G4534" t="s">
        <v>6030</v>
      </c>
      <c r="H4534" t="s">
        <v>6035</v>
      </c>
      <c r="I4534" t="s">
        <v>6051</v>
      </c>
      <c r="J4534" t="s">
        <v>6054</v>
      </c>
      <c r="K4534" t="s">
        <v>6060</v>
      </c>
      <c r="L4534" t="s">
        <v>9609</v>
      </c>
      <c r="M4534">
        <v>1326.25</v>
      </c>
      <c r="N4534">
        <v>3</v>
      </c>
      <c r="O4534">
        <v>0.28999999999999998</v>
      </c>
      <c r="P4534">
        <v>-73.58</v>
      </c>
      <c r="Q4534" t="s">
        <v>9893</v>
      </c>
      <c r="R4534">
        <v>6</v>
      </c>
      <c r="S4534" s="5">
        <f t="shared" si="140"/>
        <v>-5.5479736098020732E-2</v>
      </c>
      <c r="T4534">
        <v>442.08333333333331</v>
      </c>
      <c r="U4534">
        <v>11</v>
      </c>
      <c r="V4534">
        <v>2022</v>
      </c>
      <c r="W4534">
        <v>4</v>
      </c>
      <c r="X4534" t="s">
        <v>9898</v>
      </c>
      <c r="Y4534" t="s">
        <v>9900</v>
      </c>
      <c r="Z4534" t="s">
        <v>9898</v>
      </c>
      <c r="AD4534">
        <f t="shared" si="141"/>
        <v>6</v>
      </c>
    </row>
    <row r="4535" spans="1:30" x14ac:dyDescent="0.25">
      <c r="A4535" t="s">
        <v>4559</v>
      </c>
      <c r="B4535" s="2">
        <v>44829</v>
      </c>
      <c r="C4535" s="2">
        <v>44830</v>
      </c>
      <c r="D4535" t="s">
        <v>5252</v>
      </c>
      <c r="E4535" t="s">
        <v>5752</v>
      </c>
      <c r="F4535" t="s">
        <v>6026</v>
      </c>
      <c r="G4535" t="s">
        <v>6031</v>
      </c>
      <c r="H4535" t="s">
        <v>6037</v>
      </c>
      <c r="I4535" t="s">
        <v>6048</v>
      </c>
      <c r="J4535" t="s">
        <v>6055</v>
      </c>
      <c r="K4535" t="s">
        <v>6063</v>
      </c>
      <c r="L4535" t="s">
        <v>7151</v>
      </c>
      <c r="M4535">
        <v>105.95</v>
      </c>
      <c r="N4535">
        <v>1</v>
      </c>
      <c r="O4535">
        <v>0.05</v>
      </c>
      <c r="P4535">
        <v>15.76</v>
      </c>
      <c r="Q4535" t="s">
        <v>9896</v>
      </c>
      <c r="R4535">
        <v>1</v>
      </c>
      <c r="S4535" s="5">
        <f t="shared" si="140"/>
        <v>0.14874941009910334</v>
      </c>
      <c r="T4535">
        <v>105.95</v>
      </c>
      <c r="U4535">
        <v>9</v>
      </c>
      <c r="V4535">
        <v>2022</v>
      </c>
      <c r="W4535">
        <v>3</v>
      </c>
      <c r="X4535" t="s">
        <v>9899</v>
      </c>
      <c r="Y4535" t="s">
        <v>9901</v>
      </c>
      <c r="Z4535" t="s">
        <v>9899</v>
      </c>
      <c r="AD4535">
        <f t="shared" si="141"/>
        <v>1</v>
      </c>
    </row>
    <row r="4536" spans="1:30" x14ac:dyDescent="0.25">
      <c r="A4536" t="s">
        <v>4560</v>
      </c>
      <c r="B4536" s="2">
        <v>44707</v>
      </c>
      <c r="C4536" s="2">
        <v>44708</v>
      </c>
      <c r="D4536" t="s">
        <v>5384</v>
      </c>
      <c r="E4536" t="s">
        <v>5884</v>
      </c>
      <c r="F4536" t="s">
        <v>6027</v>
      </c>
      <c r="G4536" t="s">
        <v>6031</v>
      </c>
      <c r="H4536" t="s">
        <v>6034</v>
      </c>
      <c r="I4536" t="s">
        <v>6050</v>
      </c>
      <c r="J4536" t="s">
        <v>6055</v>
      </c>
      <c r="K4536" t="s">
        <v>6063</v>
      </c>
      <c r="L4536" t="s">
        <v>9610</v>
      </c>
      <c r="M4536">
        <v>539.71</v>
      </c>
      <c r="N4536">
        <v>6</v>
      </c>
      <c r="O4536">
        <v>0.15</v>
      </c>
      <c r="P4536">
        <v>-20.67</v>
      </c>
      <c r="Q4536" t="s">
        <v>9895</v>
      </c>
      <c r="R4536">
        <v>1</v>
      </c>
      <c r="S4536" s="5">
        <f t="shared" si="140"/>
        <v>-3.829834540771896E-2</v>
      </c>
      <c r="T4536">
        <v>89.951666666666668</v>
      </c>
      <c r="U4536">
        <v>5</v>
      </c>
      <c r="V4536">
        <v>2022</v>
      </c>
      <c r="W4536">
        <v>2</v>
      </c>
      <c r="X4536" t="s">
        <v>9898</v>
      </c>
      <c r="Y4536" t="s">
        <v>9901</v>
      </c>
      <c r="Z4536" t="s">
        <v>9899</v>
      </c>
      <c r="AD4536">
        <f t="shared" si="141"/>
        <v>1</v>
      </c>
    </row>
    <row r="4537" spans="1:30" x14ac:dyDescent="0.25">
      <c r="A4537" t="s">
        <v>4561</v>
      </c>
      <c r="B4537" s="2">
        <v>45075</v>
      </c>
      <c r="C4537" s="2">
        <v>45079</v>
      </c>
      <c r="D4537" t="s">
        <v>5207</v>
      </c>
      <c r="E4537" t="s">
        <v>5707</v>
      </c>
      <c r="F4537" t="s">
        <v>6026</v>
      </c>
      <c r="G4537" t="s">
        <v>6030</v>
      </c>
      <c r="H4537" t="s">
        <v>6033</v>
      </c>
      <c r="I4537" t="s">
        <v>6051</v>
      </c>
      <c r="J4537" t="s">
        <v>6055</v>
      </c>
      <c r="K4537" t="s">
        <v>6061</v>
      </c>
      <c r="L4537" t="s">
        <v>9611</v>
      </c>
      <c r="M4537">
        <v>1902.92</v>
      </c>
      <c r="N4537">
        <v>3</v>
      </c>
      <c r="O4537">
        <v>0.26</v>
      </c>
      <c r="P4537">
        <v>-195.41</v>
      </c>
      <c r="Q4537" t="s">
        <v>9897</v>
      </c>
      <c r="R4537">
        <v>4</v>
      </c>
      <c r="S4537" s="5">
        <f t="shared" si="140"/>
        <v>-0.10268955079561935</v>
      </c>
      <c r="T4537">
        <v>634.30666666666673</v>
      </c>
      <c r="U4537">
        <v>5</v>
      </c>
      <c r="V4537">
        <v>2023</v>
      </c>
      <c r="W4537">
        <v>2</v>
      </c>
      <c r="X4537" t="s">
        <v>9898</v>
      </c>
      <c r="Y4537" t="s">
        <v>9900</v>
      </c>
      <c r="Z4537" t="s">
        <v>9898</v>
      </c>
      <c r="AD4537">
        <f t="shared" si="141"/>
        <v>4</v>
      </c>
    </row>
    <row r="4538" spans="1:30" x14ac:dyDescent="0.25">
      <c r="A4538" t="s">
        <v>4562</v>
      </c>
      <c r="B4538" s="2">
        <v>45050</v>
      </c>
      <c r="C4538" s="2">
        <v>45052</v>
      </c>
      <c r="D4538" t="s">
        <v>5065</v>
      </c>
      <c r="E4538" t="s">
        <v>5565</v>
      </c>
      <c r="F4538" t="s">
        <v>6027</v>
      </c>
      <c r="G4538" t="s">
        <v>6031</v>
      </c>
      <c r="H4538" t="s">
        <v>6037</v>
      </c>
      <c r="I4538" t="s">
        <v>6048</v>
      </c>
      <c r="J4538" t="s">
        <v>6055</v>
      </c>
      <c r="K4538" t="s">
        <v>6064</v>
      </c>
      <c r="L4538" t="s">
        <v>9612</v>
      </c>
      <c r="M4538">
        <v>1809.53</v>
      </c>
      <c r="N4538">
        <v>6</v>
      </c>
      <c r="O4538">
        <v>0.05</v>
      </c>
      <c r="P4538">
        <v>106.55</v>
      </c>
      <c r="Q4538" t="s">
        <v>9893</v>
      </c>
      <c r="R4538">
        <v>2</v>
      </c>
      <c r="S4538" s="5">
        <f t="shared" si="140"/>
        <v>5.8882693296049247E-2</v>
      </c>
      <c r="T4538">
        <v>301.58833333333331</v>
      </c>
      <c r="U4538">
        <v>5</v>
      </c>
      <c r="V4538">
        <v>2023</v>
      </c>
      <c r="W4538">
        <v>2</v>
      </c>
      <c r="X4538" t="s">
        <v>9899</v>
      </c>
      <c r="Y4538" t="s">
        <v>9901</v>
      </c>
      <c r="Z4538" t="s">
        <v>9898</v>
      </c>
      <c r="AD4538">
        <f t="shared" si="141"/>
        <v>2</v>
      </c>
    </row>
    <row r="4539" spans="1:30" x14ac:dyDescent="0.25">
      <c r="A4539" t="s">
        <v>4563</v>
      </c>
      <c r="B4539" s="2">
        <v>44593</v>
      </c>
      <c r="C4539" s="2">
        <v>44599</v>
      </c>
      <c r="D4539" t="s">
        <v>5033</v>
      </c>
      <c r="E4539" t="s">
        <v>5533</v>
      </c>
      <c r="F4539" t="s">
        <v>6026</v>
      </c>
      <c r="G4539" t="s">
        <v>6030</v>
      </c>
      <c r="H4539" t="s">
        <v>6033</v>
      </c>
      <c r="I4539" t="s">
        <v>6047</v>
      </c>
      <c r="J4539" t="s">
        <v>6053</v>
      </c>
      <c r="K4539" t="s">
        <v>6058</v>
      </c>
      <c r="L4539" t="s">
        <v>7379</v>
      </c>
      <c r="M4539">
        <v>1305.53</v>
      </c>
      <c r="N4539">
        <v>5</v>
      </c>
      <c r="O4539">
        <v>0.31</v>
      </c>
      <c r="P4539">
        <v>-62.06</v>
      </c>
      <c r="Q4539" t="s">
        <v>9895</v>
      </c>
      <c r="R4539">
        <v>6</v>
      </c>
      <c r="S4539" s="5">
        <f t="shared" si="140"/>
        <v>-4.7536249645737751E-2</v>
      </c>
      <c r="T4539">
        <v>261.10599999999999</v>
      </c>
      <c r="U4539">
        <v>2</v>
      </c>
      <c r="V4539">
        <v>2022</v>
      </c>
      <c r="W4539">
        <v>1</v>
      </c>
      <c r="X4539" t="s">
        <v>9898</v>
      </c>
      <c r="Y4539" t="s">
        <v>9902</v>
      </c>
      <c r="Z4539" t="s">
        <v>9898</v>
      </c>
      <c r="AD4539">
        <f t="shared" si="141"/>
        <v>6</v>
      </c>
    </row>
    <row r="4540" spans="1:30" x14ac:dyDescent="0.25">
      <c r="A4540" t="s">
        <v>4564</v>
      </c>
      <c r="B4540" s="2">
        <v>45069</v>
      </c>
      <c r="C4540" s="2">
        <v>45071</v>
      </c>
      <c r="D4540" t="s">
        <v>5060</v>
      </c>
      <c r="E4540" t="s">
        <v>5560</v>
      </c>
      <c r="F4540" t="s">
        <v>6026</v>
      </c>
      <c r="G4540" t="s">
        <v>6031</v>
      </c>
      <c r="H4540" t="s">
        <v>6037</v>
      </c>
      <c r="I4540" t="s">
        <v>6048</v>
      </c>
      <c r="J4540" t="s">
        <v>6055</v>
      </c>
      <c r="K4540" t="s">
        <v>6061</v>
      </c>
      <c r="L4540" t="s">
        <v>9613</v>
      </c>
      <c r="M4540">
        <v>147.24</v>
      </c>
      <c r="N4540">
        <v>5</v>
      </c>
      <c r="O4540">
        <v>0.02</v>
      </c>
      <c r="P4540">
        <v>21.67</v>
      </c>
      <c r="Q4540" t="s">
        <v>9896</v>
      </c>
      <c r="R4540">
        <v>2</v>
      </c>
      <c r="S4540" s="5">
        <f t="shared" si="140"/>
        <v>0.14717468079326271</v>
      </c>
      <c r="T4540">
        <v>29.448</v>
      </c>
      <c r="U4540">
        <v>5</v>
      </c>
      <c r="V4540">
        <v>2023</v>
      </c>
      <c r="W4540">
        <v>2</v>
      </c>
      <c r="X4540" t="s">
        <v>9899</v>
      </c>
      <c r="Y4540" t="s">
        <v>9901</v>
      </c>
      <c r="Z4540" t="s">
        <v>9899</v>
      </c>
      <c r="AD4540">
        <f t="shared" si="141"/>
        <v>2</v>
      </c>
    </row>
    <row r="4541" spans="1:30" x14ac:dyDescent="0.25">
      <c r="A4541" t="s">
        <v>4565</v>
      </c>
      <c r="B4541" s="2">
        <v>45107</v>
      </c>
      <c r="C4541" s="2">
        <v>45109</v>
      </c>
      <c r="D4541" t="s">
        <v>5073</v>
      </c>
      <c r="E4541" t="s">
        <v>5573</v>
      </c>
      <c r="F4541" t="s">
        <v>6028</v>
      </c>
      <c r="G4541" t="s">
        <v>6029</v>
      </c>
      <c r="H4541" t="s">
        <v>6044</v>
      </c>
      <c r="I4541" t="s">
        <v>6049</v>
      </c>
      <c r="J4541" t="s">
        <v>6054</v>
      </c>
      <c r="K4541" t="s">
        <v>6060</v>
      </c>
      <c r="L4541" t="s">
        <v>6823</v>
      </c>
      <c r="M4541">
        <v>1849.74</v>
      </c>
      <c r="N4541">
        <v>7</v>
      </c>
      <c r="O4541">
        <v>0.13</v>
      </c>
      <c r="P4541">
        <v>98.39</v>
      </c>
      <c r="Q4541" t="s">
        <v>9895</v>
      </c>
      <c r="R4541">
        <v>2</v>
      </c>
      <c r="S4541" s="5">
        <f t="shared" si="140"/>
        <v>5.3191259312119543E-2</v>
      </c>
      <c r="T4541">
        <v>264.24857142857138</v>
      </c>
      <c r="U4541">
        <v>6</v>
      </c>
      <c r="V4541">
        <v>2023</v>
      </c>
      <c r="W4541">
        <v>2</v>
      </c>
      <c r="X4541" t="s">
        <v>9899</v>
      </c>
      <c r="Y4541" t="s">
        <v>9901</v>
      </c>
      <c r="Z4541" t="s">
        <v>9898</v>
      </c>
      <c r="AD4541">
        <f t="shared" si="141"/>
        <v>2</v>
      </c>
    </row>
    <row r="4542" spans="1:30" x14ac:dyDescent="0.25">
      <c r="A4542" t="s">
        <v>4566</v>
      </c>
      <c r="B4542" s="2">
        <v>45159</v>
      </c>
      <c r="C4542" s="2">
        <v>45165</v>
      </c>
      <c r="D4542" t="s">
        <v>5354</v>
      </c>
      <c r="E4542" t="s">
        <v>5854</v>
      </c>
      <c r="F4542" t="s">
        <v>6026</v>
      </c>
      <c r="G4542" t="s">
        <v>6029</v>
      </c>
      <c r="H4542" t="s">
        <v>6032</v>
      </c>
      <c r="I4542" t="s">
        <v>6049</v>
      </c>
      <c r="J4542" t="s">
        <v>6053</v>
      </c>
      <c r="K4542" t="s">
        <v>6057</v>
      </c>
      <c r="L4542" t="s">
        <v>9614</v>
      </c>
      <c r="M4542">
        <v>1361.63</v>
      </c>
      <c r="N4542">
        <v>1</v>
      </c>
      <c r="O4542">
        <v>0.14000000000000001</v>
      </c>
      <c r="P4542">
        <v>153.12</v>
      </c>
      <c r="Q4542" t="s">
        <v>9895</v>
      </c>
      <c r="R4542">
        <v>6</v>
      </c>
      <c r="S4542" s="5">
        <f t="shared" si="140"/>
        <v>0.11245345651902498</v>
      </c>
      <c r="T4542">
        <v>1361.63</v>
      </c>
      <c r="U4542">
        <v>8</v>
      </c>
      <c r="V4542">
        <v>2023</v>
      </c>
      <c r="W4542">
        <v>3</v>
      </c>
      <c r="X4542" t="s">
        <v>9899</v>
      </c>
      <c r="Y4542" t="s">
        <v>9901</v>
      </c>
      <c r="Z4542" t="s">
        <v>9898</v>
      </c>
      <c r="AD4542">
        <f t="shared" si="141"/>
        <v>6</v>
      </c>
    </row>
    <row r="4543" spans="1:30" x14ac:dyDescent="0.25">
      <c r="A4543" t="s">
        <v>4567</v>
      </c>
      <c r="B4543" s="2">
        <v>45185</v>
      </c>
      <c r="C4543" s="2">
        <v>45186</v>
      </c>
      <c r="D4543" t="s">
        <v>5404</v>
      </c>
      <c r="E4543" t="s">
        <v>5904</v>
      </c>
      <c r="F4543" t="s">
        <v>6027</v>
      </c>
      <c r="G4543" t="s">
        <v>6031</v>
      </c>
      <c r="H4543" t="s">
        <v>6043</v>
      </c>
      <c r="I4543" t="s">
        <v>6048</v>
      </c>
      <c r="J4543" t="s">
        <v>6054</v>
      </c>
      <c r="K4543" t="s">
        <v>6059</v>
      </c>
      <c r="L4543" t="s">
        <v>9115</v>
      </c>
      <c r="M4543">
        <v>1574.89</v>
      </c>
      <c r="N4543">
        <v>5</v>
      </c>
      <c r="O4543">
        <v>0.16</v>
      </c>
      <c r="P4543">
        <v>-52.16</v>
      </c>
      <c r="Q4543" t="s">
        <v>9893</v>
      </c>
      <c r="R4543">
        <v>1</v>
      </c>
      <c r="S4543" s="5">
        <f t="shared" si="140"/>
        <v>-3.311977344449453E-2</v>
      </c>
      <c r="T4543">
        <v>314.97800000000001</v>
      </c>
      <c r="U4543">
        <v>9</v>
      </c>
      <c r="V4543">
        <v>2023</v>
      </c>
      <c r="W4543">
        <v>3</v>
      </c>
      <c r="X4543" t="s">
        <v>9898</v>
      </c>
      <c r="Y4543" t="s">
        <v>9900</v>
      </c>
      <c r="Z4543" t="s">
        <v>9898</v>
      </c>
      <c r="AD4543">
        <f t="shared" si="141"/>
        <v>1</v>
      </c>
    </row>
    <row r="4544" spans="1:30" x14ac:dyDescent="0.25">
      <c r="A4544" t="s">
        <v>4568</v>
      </c>
      <c r="B4544" s="2">
        <v>44988</v>
      </c>
      <c r="C4544" s="2">
        <v>44993</v>
      </c>
      <c r="D4544" t="s">
        <v>5201</v>
      </c>
      <c r="E4544" t="s">
        <v>5701</v>
      </c>
      <c r="F4544" t="s">
        <v>6027</v>
      </c>
      <c r="G4544" t="s">
        <v>6029</v>
      </c>
      <c r="H4544" t="s">
        <v>6045</v>
      </c>
      <c r="I4544" t="s">
        <v>6050</v>
      </c>
      <c r="J4544" t="s">
        <v>6053</v>
      </c>
      <c r="K4544" t="s">
        <v>6057</v>
      </c>
      <c r="L4544" t="s">
        <v>7905</v>
      </c>
      <c r="M4544">
        <v>1430.08</v>
      </c>
      <c r="N4544">
        <v>8</v>
      </c>
      <c r="O4544">
        <v>0.27</v>
      </c>
      <c r="P4544">
        <v>-68.02</v>
      </c>
      <c r="Q4544" t="s">
        <v>9896</v>
      </c>
      <c r="R4544">
        <v>5</v>
      </c>
      <c r="S4544" s="5">
        <f t="shared" si="140"/>
        <v>-4.7563772656075184E-2</v>
      </c>
      <c r="T4544">
        <v>178.76</v>
      </c>
      <c r="U4544">
        <v>3</v>
      </c>
      <c r="V4544">
        <v>2023</v>
      </c>
      <c r="W4544">
        <v>1</v>
      </c>
      <c r="X4544" t="s">
        <v>9898</v>
      </c>
      <c r="Y4544" t="s">
        <v>9900</v>
      </c>
      <c r="Z4544" t="s">
        <v>9898</v>
      </c>
      <c r="AD4544">
        <f t="shared" si="141"/>
        <v>5</v>
      </c>
    </row>
    <row r="4545" spans="1:30" x14ac:dyDescent="0.25">
      <c r="A4545" t="s">
        <v>4569</v>
      </c>
      <c r="B4545" s="2">
        <v>45137</v>
      </c>
      <c r="C4545" s="2">
        <v>45138</v>
      </c>
      <c r="D4545" t="s">
        <v>5238</v>
      </c>
      <c r="E4545" t="s">
        <v>5738</v>
      </c>
      <c r="F4545" t="s">
        <v>6026</v>
      </c>
      <c r="G4545" t="s">
        <v>6029</v>
      </c>
      <c r="H4545" t="s">
        <v>6032</v>
      </c>
      <c r="I4545" t="s">
        <v>6049</v>
      </c>
      <c r="J4545" t="s">
        <v>6054</v>
      </c>
      <c r="K4545" t="s">
        <v>6060</v>
      </c>
      <c r="L4545" t="s">
        <v>6577</v>
      </c>
      <c r="M4545">
        <v>1867.26</v>
      </c>
      <c r="N4545">
        <v>1</v>
      </c>
      <c r="O4545">
        <v>0.04</v>
      </c>
      <c r="P4545">
        <v>183.17</v>
      </c>
      <c r="Q4545" t="s">
        <v>9895</v>
      </c>
      <c r="R4545">
        <v>1</v>
      </c>
      <c r="S4545" s="5">
        <f t="shared" si="140"/>
        <v>9.8095605325450114E-2</v>
      </c>
      <c r="T4545">
        <v>1867.26</v>
      </c>
      <c r="U4545">
        <v>7</v>
      </c>
      <c r="V4545">
        <v>2023</v>
      </c>
      <c r="W4545">
        <v>3</v>
      </c>
      <c r="X4545" t="s">
        <v>9899</v>
      </c>
      <c r="Y4545" t="s">
        <v>9901</v>
      </c>
      <c r="Z4545" t="s">
        <v>9898</v>
      </c>
      <c r="AD4545">
        <f t="shared" si="141"/>
        <v>1</v>
      </c>
    </row>
    <row r="4546" spans="1:30" x14ac:dyDescent="0.25">
      <c r="A4546" t="s">
        <v>4570</v>
      </c>
      <c r="B4546" s="2">
        <v>45024</v>
      </c>
      <c r="C4546" s="2">
        <v>45026</v>
      </c>
      <c r="D4546" t="s">
        <v>5103</v>
      </c>
      <c r="E4546" t="s">
        <v>5603</v>
      </c>
      <c r="F4546" t="s">
        <v>6026</v>
      </c>
      <c r="G4546" t="s">
        <v>6030</v>
      </c>
      <c r="H4546" t="s">
        <v>6033</v>
      </c>
      <c r="I4546" t="s">
        <v>6047</v>
      </c>
      <c r="J4546" t="s">
        <v>6053</v>
      </c>
      <c r="K4546" t="s">
        <v>6057</v>
      </c>
      <c r="L4546" t="s">
        <v>9406</v>
      </c>
      <c r="M4546">
        <v>232.71</v>
      </c>
      <c r="N4546">
        <v>1</v>
      </c>
      <c r="O4546">
        <v>0.2</v>
      </c>
      <c r="P4546">
        <v>12.75</v>
      </c>
      <c r="Q4546" t="s">
        <v>9897</v>
      </c>
      <c r="R4546">
        <v>2</v>
      </c>
      <c r="S4546" s="5">
        <f t="shared" si="140"/>
        <v>5.4789222637617631E-2</v>
      </c>
      <c r="T4546">
        <v>232.71</v>
      </c>
      <c r="U4546">
        <v>4</v>
      </c>
      <c r="V4546">
        <v>2023</v>
      </c>
      <c r="W4546">
        <v>2</v>
      </c>
      <c r="X4546" t="s">
        <v>9899</v>
      </c>
      <c r="Y4546" t="s">
        <v>9900</v>
      </c>
      <c r="Z4546" t="s">
        <v>9899</v>
      </c>
      <c r="AD4546">
        <f t="shared" si="141"/>
        <v>2</v>
      </c>
    </row>
    <row r="4547" spans="1:30" x14ac:dyDescent="0.25">
      <c r="A4547" t="s">
        <v>4571</v>
      </c>
      <c r="B4547" s="2">
        <v>44650</v>
      </c>
      <c r="C4547" s="2">
        <v>44657</v>
      </c>
      <c r="D4547" t="s">
        <v>5517</v>
      </c>
      <c r="E4547" t="s">
        <v>6017</v>
      </c>
      <c r="F4547" t="s">
        <v>6028</v>
      </c>
      <c r="G4547" t="s">
        <v>6029</v>
      </c>
      <c r="H4547" t="s">
        <v>6032</v>
      </c>
      <c r="I4547" t="s">
        <v>6050</v>
      </c>
      <c r="J4547" t="s">
        <v>6054</v>
      </c>
      <c r="K4547" t="s">
        <v>6060</v>
      </c>
      <c r="L4547" t="s">
        <v>9615</v>
      </c>
      <c r="M4547">
        <v>841.56</v>
      </c>
      <c r="N4547">
        <v>2</v>
      </c>
      <c r="O4547">
        <v>0.23</v>
      </c>
      <c r="P4547">
        <v>48.29</v>
      </c>
      <c r="Q4547" t="s">
        <v>9893</v>
      </c>
      <c r="R4547">
        <v>7</v>
      </c>
      <c r="S4547" s="5">
        <f t="shared" ref="S4547:S4610" si="142">P4547/M4547</f>
        <v>5.7381529540377396E-2</v>
      </c>
      <c r="T4547">
        <v>420.78</v>
      </c>
      <c r="U4547">
        <v>3</v>
      </c>
      <c r="V4547">
        <v>2022</v>
      </c>
      <c r="W4547">
        <v>1</v>
      </c>
      <c r="X4547" t="s">
        <v>9899</v>
      </c>
      <c r="Y4547" t="s">
        <v>9900</v>
      </c>
      <c r="Z4547" t="s">
        <v>9899</v>
      </c>
      <c r="AD4547">
        <f t="shared" ref="AD4547:AD4610" si="143">C4547-B4547</f>
        <v>7</v>
      </c>
    </row>
    <row r="4548" spans="1:30" x14ac:dyDescent="0.25">
      <c r="A4548" t="s">
        <v>4572</v>
      </c>
      <c r="B4548" s="2">
        <v>44789</v>
      </c>
      <c r="C4548" s="2">
        <v>44790</v>
      </c>
      <c r="D4548" t="s">
        <v>5192</v>
      </c>
      <c r="E4548" t="s">
        <v>5692</v>
      </c>
      <c r="F4548" t="s">
        <v>6026</v>
      </c>
      <c r="G4548" t="s">
        <v>6029</v>
      </c>
      <c r="H4548" t="s">
        <v>6032</v>
      </c>
      <c r="I4548" t="s">
        <v>6046</v>
      </c>
      <c r="J4548" t="s">
        <v>6055</v>
      </c>
      <c r="K4548" t="s">
        <v>6061</v>
      </c>
      <c r="L4548" t="s">
        <v>9616</v>
      </c>
      <c r="M4548">
        <v>360.17</v>
      </c>
      <c r="N4548">
        <v>7</v>
      </c>
      <c r="O4548">
        <v>0.22</v>
      </c>
      <c r="P4548">
        <v>22.24</v>
      </c>
      <c r="Q4548" t="s">
        <v>9895</v>
      </c>
      <c r="R4548">
        <v>1</v>
      </c>
      <c r="S4548" s="5">
        <f t="shared" si="142"/>
        <v>6.1748618707832402E-2</v>
      </c>
      <c r="T4548">
        <v>51.452857142857148</v>
      </c>
      <c r="U4548">
        <v>8</v>
      </c>
      <c r="V4548">
        <v>2022</v>
      </c>
      <c r="W4548">
        <v>3</v>
      </c>
      <c r="X4548" t="s">
        <v>9899</v>
      </c>
      <c r="Y4548" t="s">
        <v>9900</v>
      </c>
      <c r="Z4548" t="s">
        <v>9899</v>
      </c>
      <c r="AD4548">
        <f t="shared" si="143"/>
        <v>1</v>
      </c>
    </row>
    <row r="4549" spans="1:30" x14ac:dyDescent="0.25">
      <c r="A4549" t="s">
        <v>4573</v>
      </c>
      <c r="B4549" s="2">
        <v>44950</v>
      </c>
      <c r="C4549" s="2">
        <v>44955</v>
      </c>
      <c r="D4549" t="s">
        <v>5058</v>
      </c>
      <c r="E4549" t="s">
        <v>5558</v>
      </c>
      <c r="F4549" t="s">
        <v>6027</v>
      </c>
      <c r="G4549" t="s">
        <v>6030</v>
      </c>
      <c r="H4549" t="s">
        <v>6039</v>
      </c>
      <c r="I4549" t="s">
        <v>6051</v>
      </c>
      <c r="J4549" t="s">
        <v>6055</v>
      </c>
      <c r="K4549" t="s">
        <v>6064</v>
      </c>
      <c r="L4549" t="s">
        <v>9617</v>
      </c>
      <c r="M4549">
        <v>1597.74</v>
      </c>
      <c r="N4549">
        <v>6</v>
      </c>
      <c r="O4549">
        <v>0.28000000000000003</v>
      </c>
      <c r="P4549">
        <v>-2.87</v>
      </c>
      <c r="Q4549" t="s">
        <v>9897</v>
      </c>
      <c r="R4549">
        <v>5</v>
      </c>
      <c r="S4549" s="5">
        <f t="shared" si="142"/>
        <v>-1.7962872557487452E-3</v>
      </c>
      <c r="T4549">
        <v>266.29000000000002</v>
      </c>
      <c r="U4549">
        <v>1</v>
      </c>
      <c r="V4549">
        <v>2023</v>
      </c>
      <c r="W4549">
        <v>1</v>
      </c>
      <c r="X4549" t="s">
        <v>9898</v>
      </c>
      <c r="Y4549" t="s">
        <v>9900</v>
      </c>
      <c r="Z4549" t="s">
        <v>9898</v>
      </c>
      <c r="AD4549">
        <f t="shared" si="143"/>
        <v>5</v>
      </c>
    </row>
    <row r="4550" spans="1:30" x14ac:dyDescent="0.25">
      <c r="A4550" t="s">
        <v>4574</v>
      </c>
      <c r="B4550" s="2">
        <v>44856</v>
      </c>
      <c r="C4550" s="2">
        <v>44857</v>
      </c>
      <c r="D4550" t="s">
        <v>5101</v>
      </c>
      <c r="E4550" t="s">
        <v>5601</v>
      </c>
      <c r="F4550" t="s">
        <v>6026</v>
      </c>
      <c r="G4550" t="s">
        <v>6031</v>
      </c>
      <c r="H4550" t="s">
        <v>6040</v>
      </c>
      <c r="I4550" t="s">
        <v>6048</v>
      </c>
      <c r="J4550" t="s">
        <v>6055</v>
      </c>
      <c r="K4550" t="s">
        <v>6061</v>
      </c>
      <c r="L4550" t="s">
        <v>9618</v>
      </c>
      <c r="M4550">
        <v>1388.52</v>
      </c>
      <c r="N4550">
        <v>1</v>
      </c>
      <c r="O4550">
        <v>0.13</v>
      </c>
      <c r="P4550">
        <v>119.02</v>
      </c>
      <c r="Q4550" t="s">
        <v>9893</v>
      </c>
      <c r="R4550">
        <v>1</v>
      </c>
      <c r="S4550" s="5">
        <f t="shared" si="142"/>
        <v>8.5717166479416934E-2</v>
      </c>
      <c r="T4550">
        <v>1388.52</v>
      </c>
      <c r="U4550">
        <v>10</v>
      </c>
      <c r="V4550">
        <v>2022</v>
      </c>
      <c r="W4550">
        <v>4</v>
      </c>
      <c r="X4550" t="s">
        <v>9899</v>
      </c>
      <c r="Y4550" t="s">
        <v>9901</v>
      </c>
      <c r="Z4550" t="s">
        <v>9898</v>
      </c>
      <c r="AD4550">
        <f t="shared" si="143"/>
        <v>1</v>
      </c>
    </row>
    <row r="4551" spans="1:30" x14ac:dyDescent="0.25">
      <c r="A4551" t="s">
        <v>4575</v>
      </c>
      <c r="B4551" s="2">
        <v>45451</v>
      </c>
      <c r="C4551" s="2">
        <v>45452</v>
      </c>
      <c r="D4551" t="s">
        <v>5466</v>
      </c>
      <c r="E4551" t="s">
        <v>5966</v>
      </c>
      <c r="F4551" t="s">
        <v>6026</v>
      </c>
      <c r="G4551" t="s">
        <v>6031</v>
      </c>
      <c r="H4551" t="s">
        <v>6040</v>
      </c>
      <c r="I4551" t="s">
        <v>6050</v>
      </c>
      <c r="J4551" t="s">
        <v>6053</v>
      </c>
      <c r="K4551" t="s">
        <v>6058</v>
      </c>
      <c r="L4551" t="s">
        <v>9619</v>
      </c>
      <c r="M4551">
        <v>274.2</v>
      </c>
      <c r="N4551">
        <v>5</v>
      </c>
      <c r="O4551">
        <v>0.3</v>
      </c>
      <c r="P4551">
        <v>-6.16</v>
      </c>
      <c r="Q4551" t="s">
        <v>9893</v>
      </c>
      <c r="R4551">
        <v>1</v>
      </c>
      <c r="S4551" s="5">
        <f t="shared" si="142"/>
        <v>-2.2465353756382204E-2</v>
      </c>
      <c r="T4551">
        <v>54.84</v>
      </c>
      <c r="U4551">
        <v>6</v>
      </c>
      <c r="V4551">
        <v>2024</v>
      </c>
      <c r="W4551">
        <v>2</v>
      </c>
      <c r="X4551" t="s">
        <v>9898</v>
      </c>
      <c r="Y4551" t="s">
        <v>9900</v>
      </c>
      <c r="Z4551" t="s">
        <v>9899</v>
      </c>
      <c r="AD4551">
        <f t="shared" si="143"/>
        <v>1</v>
      </c>
    </row>
    <row r="4552" spans="1:30" x14ac:dyDescent="0.25">
      <c r="A4552" t="s">
        <v>4576</v>
      </c>
      <c r="B4552" s="2">
        <v>44846</v>
      </c>
      <c r="C4552" s="2">
        <v>44850</v>
      </c>
      <c r="D4552" t="s">
        <v>5349</v>
      </c>
      <c r="E4552" t="s">
        <v>5849</v>
      </c>
      <c r="F4552" t="s">
        <v>6027</v>
      </c>
      <c r="G4552" t="s">
        <v>6030</v>
      </c>
      <c r="H4552" t="s">
        <v>6039</v>
      </c>
      <c r="I4552" t="s">
        <v>6047</v>
      </c>
      <c r="J4552" t="s">
        <v>6055</v>
      </c>
      <c r="K4552" t="s">
        <v>6061</v>
      </c>
      <c r="L4552" t="s">
        <v>8085</v>
      </c>
      <c r="M4552">
        <v>1790.06</v>
      </c>
      <c r="N4552">
        <v>8</v>
      </c>
      <c r="O4552">
        <v>0.25</v>
      </c>
      <c r="P4552">
        <v>-159.32</v>
      </c>
      <c r="Q4552" t="s">
        <v>9894</v>
      </c>
      <c r="R4552">
        <v>4</v>
      </c>
      <c r="S4552" s="5">
        <f t="shared" si="142"/>
        <v>-8.9002603264695043E-2</v>
      </c>
      <c r="T4552">
        <v>223.75749999999999</v>
      </c>
      <c r="U4552">
        <v>10</v>
      </c>
      <c r="V4552">
        <v>2022</v>
      </c>
      <c r="W4552">
        <v>4</v>
      </c>
      <c r="X4552" t="s">
        <v>9898</v>
      </c>
      <c r="Y4552" t="s">
        <v>9900</v>
      </c>
      <c r="Z4552" t="s">
        <v>9898</v>
      </c>
      <c r="AD4552">
        <f t="shared" si="143"/>
        <v>4</v>
      </c>
    </row>
    <row r="4553" spans="1:30" x14ac:dyDescent="0.25">
      <c r="A4553" t="s">
        <v>4577</v>
      </c>
      <c r="B4553" s="2">
        <v>45145</v>
      </c>
      <c r="C4553" s="2">
        <v>45150</v>
      </c>
      <c r="D4553" t="s">
        <v>5168</v>
      </c>
      <c r="E4553" t="s">
        <v>5668</v>
      </c>
      <c r="F4553" t="s">
        <v>6026</v>
      </c>
      <c r="G4553" t="s">
        <v>6030</v>
      </c>
      <c r="H4553" t="s">
        <v>6033</v>
      </c>
      <c r="I4553" t="s">
        <v>6051</v>
      </c>
      <c r="J4553" t="s">
        <v>6053</v>
      </c>
      <c r="K4553" t="s">
        <v>6057</v>
      </c>
      <c r="L4553" t="s">
        <v>7608</v>
      </c>
      <c r="M4553">
        <v>706.63</v>
      </c>
      <c r="N4553">
        <v>2</v>
      </c>
      <c r="O4553">
        <v>0.26</v>
      </c>
      <c r="P4553">
        <v>-32.35</v>
      </c>
      <c r="Q4553" t="s">
        <v>9894</v>
      </c>
      <c r="R4553">
        <v>5</v>
      </c>
      <c r="S4553" s="5">
        <f t="shared" si="142"/>
        <v>-4.5780677299293832E-2</v>
      </c>
      <c r="T4553">
        <v>353.315</v>
      </c>
      <c r="U4553">
        <v>8</v>
      </c>
      <c r="V4553">
        <v>2023</v>
      </c>
      <c r="W4553">
        <v>3</v>
      </c>
      <c r="X4553" t="s">
        <v>9898</v>
      </c>
      <c r="Y4553" t="s">
        <v>9900</v>
      </c>
      <c r="Z4553" t="s">
        <v>9899</v>
      </c>
      <c r="AD4553">
        <f t="shared" si="143"/>
        <v>5</v>
      </c>
    </row>
    <row r="4554" spans="1:30" x14ac:dyDescent="0.25">
      <c r="A4554" t="s">
        <v>4578</v>
      </c>
      <c r="B4554" s="2">
        <v>44722</v>
      </c>
      <c r="C4554" s="2">
        <v>44726</v>
      </c>
      <c r="D4554" t="s">
        <v>5467</v>
      </c>
      <c r="E4554" t="s">
        <v>5967</v>
      </c>
      <c r="F4554" t="s">
        <v>6026</v>
      </c>
      <c r="G4554" t="s">
        <v>6030</v>
      </c>
      <c r="H4554" t="s">
        <v>6039</v>
      </c>
      <c r="I4554" t="s">
        <v>6051</v>
      </c>
      <c r="J4554" t="s">
        <v>6053</v>
      </c>
      <c r="K4554" t="s">
        <v>6057</v>
      </c>
      <c r="L4554" t="s">
        <v>9620</v>
      </c>
      <c r="M4554">
        <v>753.21</v>
      </c>
      <c r="N4554">
        <v>1</v>
      </c>
      <c r="O4554">
        <v>0.2</v>
      </c>
      <c r="P4554">
        <v>8.9700000000000006</v>
      </c>
      <c r="Q4554" t="s">
        <v>9893</v>
      </c>
      <c r="R4554">
        <v>4</v>
      </c>
      <c r="S4554" s="5">
        <f t="shared" si="142"/>
        <v>1.1909029354363325E-2</v>
      </c>
      <c r="T4554">
        <v>753.21</v>
      </c>
      <c r="U4554">
        <v>6</v>
      </c>
      <c r="V4554">
        <v>2022</v>
      </c>
      <c r="W4554">
        <v>2</v>
      </c>
      <c r="X4554" t="s">
        <v>9899</v>
      </c>
      <c r="Y4554" t="s">
        <v>9900</v>
      </c>
      <c r="Z4554" t="s">
        <v>9899</v>
      </c>
      <c r="AD4554">
        <f t="shared" si="143"/>
        <v>4</v>
      </c>
    </row>
    <row r="4555" spans="1:30" x14ac:dyDescent="0.25">
      <c r="A4555" t="s">
        <v>4579</v>
      </c>
      <c r="B4555" s="2">
        <v>45423</v>
      </c>
      <c r="C4555" s="2">
        <v>45428</v>
      </c>
      <c r="D4555" t="s">
        <v>5131</v>
      </c>
      <c r="E4555" t="s">
        <v>5631</v>
      </c>
      <c r="F4555" t="s">
        <v>6026</v>
      </c>
      <c r="G4555" t="s">
        <v>6029</v>
      </c>
      <c r="H4555" t="s">
        <v>6044</v>
      </c>
      <c r="I4555" t="s">
        <v>6046</v>
      </c>
      <c r="J4555" t="s">
        <v>6053</v>
      </c>
      <c r="K4555" t="s">
        <v>6057</v>
      </c>
      <c r="L4555" t="s">
        <v>9621</v>
      </c>
      <c r="M4555">
        <v>1016.89</v>
      </c>
      <c r="N4555">
        <v>7</v>
      </c>
      <c r="O4555">
        <v>0.26</v>
      </c>
      <c r="P4555">
        <v>32.229999999999997</v>
      </c>
      <c r="Q4555" t="s">
        <v>9896</v>
      </c>
      <c r="R4555">
        <v>5</v>
      </c>
      <c r="S4555" s="5">
        <f t="shared" si="142"/>
        <v>3.1694676907040087E-2</v>
      </c>
      <c r="T4555">
        <v>145.27000000000001</v>
      </c>
      <c r="U4555">
        <v>5</v>
      </c>
      <c r="V4555">
        <v>2024</v>
      </c>
      <c r="W4555">
        <v>2</v>
      </c>
      <c r="X4555" t="s">
        <v>9899</v>
      </c>
      <c r="Y4555" t="s">
        <v>9900</v>
      </c>
      <c r="Z4555" t="s">
        <v>9898</v>
      </c>
      <c r="AD4555">
        <f t="shared" si="143"/>
        <v>5</v>
      </c>
    </row>
    <row r="4556" spans="1:30" x14ac:dyDescent="0.25">
      <c r="A4556" t="s">
        <v>4580</v>
      </c>
      <c r="B4556" s="2">
        <v>45361</v>
      </c>
      <c r="C4556" s="2">
        <v>45362</v>
      </c>
      <c r="D4556" t="s">
        <v>5140</v>
      </c>
      <c r="E4556" t="s">
        <v>5640</v>
      </c>
      <c r="F4556" t="s">
        <v>6027</v>
      </c>
      <c r="G4556" t="s">
        <v>6029</v>
      </c>
      <c r="H4556" t="s">
        <v>6036</v>
      </c>
      <c r="I4556" t="s">
        <v>6046</v>
      </c>
      <c r="J4556" t="s">
        <v>6055</v>
      </c>
      <c r="K4556" t="s">
        <v>6063</v>
      </c>
      <c r="L4556" t="s">
        <v>9316</v>
      </c>
      <c r="M4556">
        <v>439.78</v>
      </c>
      <c r="N4556">
        <v>7</v>
      </c>
      <c r="O4556">
        <v>0.23</v>
      </c>
      <c r="P4556">
        <v>-7.36</v>
      </c>
      <c r="Q4556" t="s">
        <v>9894</v>
      </c>
      <c r="R4556">
        <v>1</v>
      </c>
      <c r="S4556" s="5">
        <f t="shared" si="142"/>
        <v>-1.6735640547546501E-2</v>
      </c>
      <c r="T4556">
        <v>62.825714285714277</v>
      </c>
      <c r="U4556">
        <v>3</v>
      </c>
      <c r="V4556">
        <v>2024</v>
      </c>
      <c r="W4556">
        <v>1</v>
      </c>
      <c r="X4556" t="s">
        <v>9898</v>
      </c>
      <c r="Y4556" t="s">
        <v>9900</v>
      </c>
      <c r="Z4556" t="s">
        <v>9899</v>
      </c>
      <c r="AD4556">
        <f t="shared" si="143"/>
        <v>1</v>
      </c>
    </row>
    <row r="4557" spans="1:30" x14ac:dyDescent="0.25">
      <c r="A4557" t="s">
        <v>4581</v>
      </c>
      <c r="B4557" s="2">
        <v>45094</v>
      </c>
      <c r="C4557" s="2">
        <v>45098</v>
      </c>
      <c r="D4557" t="s">
        <v>5044</v>
      </c>
      <c r="E4557" t="s">
        <v>5544</v>
      </c>
      <c r="F4557" t="s">
        <v>6028</v>
      </c>
      <c r="G4557" t="s">
        <v>6029</v>
      </c>
      <c r="H4557" t="s">
        <v>6044</v>
      </c>
      <c r="I4557" t="s">
        <v>6049</v>
      </c>
      <c r="J4557" t="s">
        <v>6053</v>
      </c>
      <c r="K4557" t="s">
        <v>6056</v>
      </c>
      <c r="L4557" t="s">
        <v>9622</v>
      </c>
      <c r="M4557">
        <v>152.54</v>
      </c>
      <c r="N4557">
        <v>5</v>
      </c>
      <c r="O4557">
        <v>0.33</v>
      </c>
      <c r="P4557">
        <v>-7.12</v>
      </c>
      <c r="Q4557" t="s">
        <v>9896</v>
      </c>
      <c r="R4557">
        <v>4</v>
      </c>
      <c r="S4557" s="5">
        <f t="shared" si="142"/>
        <v>-4.6676281631047596E-2</v>
      </c>
      <c r="T4557">
        <v>30.507999999999999</v>
      </c>
      <c r="U4557">
        <v>6</v>
      </c>
      <c r="V4557">
        <v>2023</v>
      </c>
      <c r="W4557">
        <v>2</v>
      </c>
      <c r="X4557" t="s">
        <v>9898</v>
      </c>
      <c r="Y4557" t="s">
        <v>9902</v>
      </c>
      <c r="Z4557" t="s">
        <v>9899</v>
      </c>
      <c r="AD4557">
        <f t="shared" si="143"/>
        <v>4</v>
      </c>
    </row>
    <row r="4558" spans="1:30" x14ac:dyDescent="0.25">
      <c r="A4558" t="s">
        <v>4582</v>
      </c>
      <c r="B4558" s="2">
        <v>44825</v>
      </c>
      <c r="C4558" s="2">
        <v>44829</v>
      </c>
      <c r="D4558" t="s">
        <v>5075</v>
      </c>
      <c r="E4558" t="s">
        <v>5575</v>
      </c>
      <c r="F4558" t="s">
        <v>6026</v>
      </c>
      <c r="G4558" t="s">
        <v>6030</v>
      </c>
      <c r="H4558" t="s">
        <v>6035</v>
      </c>
      <c r="I4558" t="s">
        <v>6047</v>
      </c>
      <c r="J4558" t="s">
        <v>6053</v>
      </c>
      <c r="K4558" t="s">
        <v>6056</v>
      </c>
      <c r="L4558" t="s">
        <v>9623</v>
      </c>
      <c r="M4558">
        <v>349.75</v>
      </c>
      <c r="N4558">
        <v>1</v>
      </c>
      <c r="O4558">
        <v>7.0000000000000007E-2</v>
      </c>
      <c r="P4558">
        <v>66.39</v>
      </c>
      <c r="Q4558" t="s">
        <v>9896</v>
      </c>
      <c r="R4558">
        <v>4</v>
      </c>
      <c r="S4558" s="5">
        <f t="shared" si="142"/>
        <v>0.18982130092923516</v>
      </c>
      <c r="T4558">
        <v>349.75</v>
      </c>
      <c r="U4558">
        <v>9</v>
      </c>
      <c r="V4558">
        <v>2022</v>
      </c>
      <c r="W4558">
        <v>3</v>
      </c>
      <c r="X4558" t="s">
        <v>9899</v>
      </c>
      <c r="Y4558" t="s">
        <v>9901</v>
      </c>
      <c r="Z4558" t="s">
        <v>9899</v>
      </c>
      <c r="AD4558">
        <f t="shared" si="143"/>
        <v>4</v>
      </c>
    </row>
    <row r="4559" spans="1:30" x14ac:dyDescent="0.25">
      <c r="A4559" t="s">
        <v>4583</v>
      </c>
      <c r="B4559" s="2">
        <v>44563</v>
      </c>
      <c r="C4559" s="2">
        <v>44565</v>
      </c>
      <c r="D4559" t="s">
        <v>5246</v>
      </c>
      <c r="E4559" t="s">
        <v>5746</v>
      </c>
      <c r="F4559" t="s">
        <v>6027</v>
      </c>
      <c r="G4559" t="s">
        <v>6029</v>
      </c>
      <c r="H4559" t="s">
        <v>6036</v>
      </c>
      <c r="I4559" t="s">
        <v>6050</v>
      </c>
      <c r="J4559" t="s">
        <v>6054</v>
      </c>
      <c r="K4559" t="s">
        <v>6059</v>
      </c>
      <c r="L4559" t="s">
        <v>9624</v>
      </c>
      <c r="M4559">
        <v>193.25</v>
      </c>
      <c r="N4559">
        <v>2</v>
      </c>
      <c r="O4559">
        <v>0.18</v>
      </c>
      <c r="P4559">
        <v>-4.78</v>
      </c>
      <c r="Q4559" t="s">
        <v>9894</v>
      </c>
      <c r="R4559">
        <v>2</v>
      </c>
      <c r="S4559" s="5">
        <f t="shared" si="142"/>
        <v>-2.4734799482535576E-2</v>
      </c>
      <c r="T4559">
        <v>96.625</v>
      </c>
      <c r="U4559">
        <v>1</v>
      </c>
      <c r="V4559">
        <v>2022</v>
      </c>
      <c r="W4559">
        <v>1</v>
      </c>
      <c r="X4559" t="s">
        <v>9898</v>
      </c>
      <c r="Y4559" t="s">
        <v>9900</v>
      </c>
      <c r="Z4559" t="s">
        <v>9899</v>
      </c>
      <c r="AD4559">
        <f t="shared" si="143"/>
        <v>2</v>
      </c>
    </row>
    <row r="4560" spans="1:30" x14ac:dyDescent="0.25">
      <c r="A4560" t="s">
        <v>4584</v>
      </c>
      <c r="B4560" s="2">
        <v>45355</v>
      </c>
      <c r="C4560" s="2">
        <v>45356</v>
      </c>
      <c r="D4560" t="s">
        <v>5287</v>
      </c>
      <c r="E4560" t="s">
        <v>5787</v>
      </c>
      <c r="F4560" t="s">
        <v>6026</v>
      </c>
      <c r="G4560" t="s">
        <v>6029</v>
      </c>
      <c r="H4560" t="s">
        <v>6045</v>
      </c>
      <c r="I4560" t="s">
        <v>6046</v>
      </c>
      <c r="J4560" t="s">
        <v>6055</v>
      </c>
      <c r="K4560" t="s">
        <v>6061</v>
      </c>
      <c r="L4560" t="s">
        <v>9625</v>
      </c>
      <c r="M4560">
        <v>909.48</v>
      </c>
      <c r="N4560">
        <v>7</v>
      </c>
      <c r="O4560">
        <v>0.08</v>
      </c>
      <c r="P4560">
        <v>76.58</v>
      </c>
      <c r="Q4560" t="s">
        <v>9894</v>
      </c>
      <c r="R4560">
        <v>1</v>
      </c>
      <c r="S4560" s="5">
        <f t="shared" si="142"/>
        <v>8.4201961560452121E-2</v>
      </c>
      <c r="T4560">
        <v>129.92571428571429</v>
      </c>
      <c r="U4560">
        <v>3</v>
      </c>
      <c r="V4560">
        <v>2024</v>
      </c>
      <c r="W4560">
        <v>1</v>
      </c>
      <c r="X4560" t="s">
        <v>9899</v>
      </c>
      <c r="Y4560" t="s">
        <v>9901</v>
      </c>
      <c r="Z4560" t="s">
        <v>9899</v>
      </c>
      <c r="AD4560">
        <f t="shared" si="143"/>
        <v>1</v>
      </c>
    </row>
    <row r="4561" spans="1:30" x14ac:dyDescent="0.25">
      <c r="A4561" t="s">
        <v>4585</v>
      </c>
      <c r="B4561" s="2">
        <v>45167</v>
      </c>
      <c r="C4561" s="2">
        <v>45171</v>
      </c>
      <c r="D4561" t="s">
        <v>5048</v>
      </c>
      <c r="E4561" t="s">
        <v>5548</v>
      </c>
      <c r="F4561" t="s">
        <v>6028</v>
      </c>
      <c r="G4561" t="s">
        <v>6031</v>
      </c>
      <c r="H4561" t="s">
        <v>6040</v>
      </c>
      <c r="I4561" t="s">
        <v>6050</v>
      </c>
      <c r="J4561" t="s">
        <v>6054</v>
      </c>
      <c r="K4561" t="s">
        <v>6062</v>
      </c>
      <c r="L4561" t="s">
        <v>7653</v>
      </c>
      <c r="M4561">
        <v>1168.01</v>
      </c>
      <c r="N4561">
        <v>8</v>
      </c>
      <c r="O4561">
        <v>0.24</v>
      </c>
      <c r="P4561">
        <v>-120.98</v>
      </c>
      <c r="Q4561" t="s">
        <v>9895</v>
      </c>
      <c r="R4561">
        <v>4</v>
      </c>
      <c r="S4561" s="5">
        <f t="shared" si="142"/>
        <v>-0.10357788032636707</v>
      </c>
      <c r="T4561">
        <v>146.00125</v>
      </c>
      <c r="U4561">
        <v>8</v>
      </c>
      <c r="V4561">
        <v>2023</v>
      </c>
      <c r="W4561">
        <v>3</v>
      </c>
      <c r="X4561" t="s">
        <v>9898</v>
      </c>
      <c r="Y4561" t="s">
        <v>9900</v>
      </c>
      <c r="Z4561" t="s">
        <v>9898</v>
      </c>
      <c r="AD4561">
        <f t="shared" si="143"/>
        <v>4</v>
      </c>
    </row>
    <row r="4562" spans="1:30" x14ac:dyDescent="0.25">
      <c r="A4562" t="s">
        <v>4586</v>
      </c>
      <c r="B4562" s="2">
        <v>44891</v>
      </c>
      <c r="C4562" s="2">
        <v>44896</v>
      </c>
      <c r="D4562" t="s">
        <v>5412</v>
      </c>
      <c r="E4562" t="s">
        <v>5912</v>
      </c>
      <c r="F4562" t="s">
        <v>6028</v>
      </c>
      <c r="G4562" t="s">
        <v>6030</v>
      </c>
      <c r="H4562" t="s">
        <v>6033</v>
      </c>
      <c r="I4562" t="s">
        <v>6051</v>
      </c>
      <c r="J4562" t="s">
        <v>6055</v>
      </c>
      <c r="K4562" t="s">
        <v>6064</v>
      </c>
      <c r="L4562" t="s">
        <v>9626</v>
      </c>
      <c r="M4562">
        <v>563.12</v>
      </c>
      <c r="N4562">
        <v>3</v>
      </c>
      <c r="O4562">
        <v>0.35</v>
      </c>
      <c r="P4562">
        <v>-36.15</v>
      </c>
      <c r="Q4562" t="s">
        <v>9896</v>
      </c>
      <c r="R4562">
        <v>5</v>
      </c>
      <c r="S4562" s="5">
        <f t="shared" si="142"/>
        <v>-6.4195908509731489E-2</v>
      </c>
      <c r="T4562">
        <v>187.70666666666671</v>
      </c>
      <c r="U4562">
        <v>11</v>
      </c>
      <c r="V4562">
        <v>2022</v>
      </c>
      <c r="W4562">
        <v>4</v>
      </c>
      <c r="X4562" t="s">
        <v>9898</v>
      </c>
      <c r="Y4562" t="s">
        <v>9902</v>
      </c>
      <c r="Z4562" t="s">
        <v>9899</v>
      </c>
      <c r="AD4562">
        <f t="shared" si="143"/>
        <v>5</v>
      </c>
    </row>
    <row r="4563" spans="1:30" x14ac:dyDescent="0.25">
      <c r="A4563" t="s">
        <v>4587</v>
      </c>
      <c r="B4563" s="2">
        <v>44580</v>
      </c>
      <c r="C4563" s="2">
        <v>44584</v>
      </c>
      <c r="D4563" t="s">
        <v>5301</v>
      </c>
      <c r="E4563" t="s">
        <v>5801</v>
      </c>
      <c r="F4563" t="s">
        <v>6027</v>
      </c>
      <c r="G4563" t="s">
        <v>6030</v>
      </c>
      <c r="H4563" t="s">
        <v>6038</v>
      </c>
      <c r="I4563" t="s">
        <v>6047</v>
      </c>
      <c r="J4563" t="s">
        <v>6054</v>
      </c>
      <c r="K4563" t="s">
        <v>6062</v>
      </c>
      <c r="L4563" t="s">
        <v>7001</v>
      </c>
      <c r="M4563">
        <v>121.05</v>
      </c>
      <c r="N4563">
        <v>2</v>
      </c>
      <c r="O4563">
        <v>0.15</v>
      </c>
      <c r="P4563">
        <v>10.42</v>
      </c>
      <c r="Q4563" t="s">
        <v>9895</v>
      </c>
      <c r="R4563">
        <v>4</v>
      </c>
      <c r="S4563" s="5">
        <f t="shared" si="142"/>
        <v>8.608013217678645E-2</v>
      </c>
      <c r="T4563">
        <v>60.524999999999999</v>
      </c>
      <c r="U4563">
        <v>1</v>
      </c>
      <c r="V4563">
        <v>2022</v>
      </c>
      <c r="W4563">
        <v>1</v>
      </c>
      <c r="X4563" t="s">
        <v>9899</v>
      </c>
      <c r="Y4563" t="s">
        <v>9901</v>
      </c>
      <c r="Z4563" t="s">
        <v>9899</v>
      </c>
      <c r="AD4563">
        <f t="shared" si="143"/>
        <v>4</v>
      </c>
    </row>
    <row r="4564" spans="1:30" x14ac:dyDescent="0.25">
      <c r="A4564" t="s">
        <v>4588</v>
      </c>
      <c r="B4564" s="2">
        <v>45038</v>
      </c>
      <c r="C4564" s="2">
        <v>45042</v>
      </c>
      <c r="D4564" t="s">
        <v>5195</v>
      </c>
      <c r="E4564" t="s">
        <v>5695</v>
      </c>
      <c r="F4564" t="s">
        <v>6027</v>
      </c>
      <c r="G4564" t="s">
        <v>6031</v>
      </c>
      <c r="H4564" t="s">
        <v>6040</v>
      </c>
      <c r="I4564" t="s">
        <v>6048</v>
      </c>
      <c r="J4564" t="s">
        <v>6053</v>
      </c>
      <c r="K4564" t="s">
        <v>6057</v>
      </c>
      <c r="L4564" t="s">
        <v>9627</v>
      </c>
      <c r="M4564">
        <v>126.63</v>
      </c>
      <c r="N4564">
        <v>3</v>
      </c>
      <c r="O4564">
        <v>0.15</v>
      </c>
      <c r="P4564">
        <v>0.5</v>
      </c>
      <c r="Q4564" t="s">
        <v>9893</v>
      </c>
      <c r="R4564">
        <v>4</v>
      </c>
      <c r="S4564" s="5">
        <f t="shared" si="142"/>
        <v>3.9485114111979785E-3</v>
      </c>
      <c r="T4564">
        <v>42.21</v>
      </c>
      <c r="U4564">
        <v>4</v>
      </c>
      <c r="V4564">
        <v>2023</v>
      </c>
      <c r="W4564">
        <v>2</v>
      </c>
      <c r="X4564" t="s">
        <v>9899</v>
      </c>
      <c r="Y4564" t="s">
        <v>9901</v>
      </c>
      <c r="Z4564" t="s">
        <v>9899</v>
      </c>
      <c r="AD4564">
        <f t="shared" si="143"/>
        <v>4</v>
      </c>
    </row>
    <row r="4565" spans="1:30" x14ac:dyDescent="0.25">
      <c r="A4565" t="s">
        <v>4589</v>
      </c>
      <c r="B4565" s="2">
        <v>45014</v>
      </c>
      <c r="C4565" s="2">
        <v>45017</v>
      </c>
      <c r="D4565" t="s">
        <v>5471</v>
      </c>
      <c r="E4565" t="s">
        <v>5971</v>
      </c>
      <c r="F4565" t="s">
        <v>6027</v>
      </c>
      <c r="G4565" t="s">
        <v>6031</v>
      </c>
      <c r="H4565" t="s">
        <v>6040</v>
      </c>
      <c r="I4565" t="s">
        <v>6052</v>
      </c>
      <c r="J4565" t="s">
        <v>6053</v>
      </c>
      <c r="K4565" t="s">
        <v>6056</v>
      </c>
      <c r="L4565" t="s">
        <v>8093</v>
      </c>
      <c r="M4565">
        <v>573.62</v>
      </c>
      <c r="N4565">
        <v>5</v>
      </c>
      <c r="O4565">
        <v>0.06</v>
      </c>
      <c r="P4565">
        <v>107.1</v>
      </c>
      <c r="Q4565" t="s">
        <v>9894</v>
      </c>
      <c r="R4565">
        <v>3</v>
      </c>
      <c r="S4565" s="5">
        <f t="shared" si="142"/>
        <v>0.18670897109584741</v>
      </c>
      <c r="T4565">
        <v>114.724</v>
      </c>
      <c r="U4565">
        <v>3</v>
      </c>
      <c r="V4565">
        <v>2023</v>
      </c>
      <c r="W4565">
        <v>1</v>
      </c>
      <c r="X4565" t="s">
        <v>9899</v>
      </c>
      <c r="Y4565" t="s">
        <v>9901</v>
      </c>
      <c r="Z4565" t="s">
        <v>9899</v>
      </c>
      <c r="AD4565">
        <f t="shared" si="143"/>
        <v>3</v>
      </c>
    </row>
    <row r="4566" spans="1:30" x14ac:dyDescent="0.25">
      <c r="A4566" t="s">
        <v>4590</v>
      </c>
      <c r="B4566" s="2">
        <v>44774</v>
      </c>
      <c r="C4566" s="2">
        <v>44776</v>
      </c>
      <c r="D4566" t="s">
        <v>5447</v>
      </c>
      <c r="E4566" t="s">
        <v>5947</v>
      </c>
      <c r="F4566" t="s">
        <v>6028</v>
      </c>
      <c r="G4566" t="s">
        <v>6029</v>
      </c>
      <c r="H4566" t="s">
        <v>6044</v>
      </c>
      <c r="I4566" t="s">
        <v>6049</v>
      </c>
      <c r="J4566" t="s">
        <v>6055</v>
      </c>
      <c r="K4566" t="s">
        <v>6061</v>
      </c>
      <c r="L4566" t="s">
        <v>9628</v>
      </c>
      <c r="M4566">
        <v>1926.63</v>
      </c>
      <c r="N4566">
        <v>2</v>
      </c>
      <c r="O4566">
        <v>0.21</v>
      </c>
      <c r="P4566">
        <v>152.88</v>
      </c>
      <c r="Q4566" t="s">
        <v>9894</v>
      </c>
      <c r="R4566">
        <v>2</v>
      </c>
      <c r="S4566" s="5">
        <f t="shared" si="142"/>
        <v>7.9350991108827318E-2</v>
      </c>
      <c r="T4566">
        <v>963.31500000000005</v>
      </c>
      <c r="U4566">
        <v>8</v>
      </c>
      <c r="V4566">
        <v>2022</v>
      </c>
      <c r="W4566">
        <v>3</v>
      </c>
      <c r="X4566" t="s">
        <v>9899</v>
      </c>
      <c r="Y4566" t="s">
        <v>9900</v>
      </c>
      <c r="Z4566" t="s">
        <v>9898</v>
      </c>
      <c r="AD4566">
        <f t="shared" si="143"/>
        <v>2</v>
      </c>
    </row>
    <row r="4567" spans="1:30" x14ac:dyDescent="0.25">
      <c r="A4567" t="s">
        <v>4591</v>
      </c>
      <c r="B4567" s="2">
        <v>44844</v>
      </c>
      <c r="C4567" s="2">
        <v>44848</v>
      </c>
      <c r="D4567" t="s">
        <v>5356</v>
      </c>
      <c r="E4567" t="s">
        <v>5856</v>
      </c>
      <c r="F4567" t="s">
        <v>6027</v>
      </c>
      <c r="G4567" t="s">
        <v>6031</v>
      </c>
      <c r="H4567" t="s">
        <v>6037</v>
      </c>
      <c r="I4567" t="s">
        <v>6050</v>
      </c>
      <c r="J4567" t="s">
        <v>6055</v>
      </c>
      <c r="K4567" t="s">
        <v>6061</v>
      </c>
      <c r="L4567" t="s">
        <v>7994</v>
      </c>
      <c r="M4567">
        <v>843.65</v>
      </c>
      <c r="N4567">
        <v>5</v>
      </c>
      <c r="O4567">
        <v>0.31</v>
      </c>
      <c r="P4567">
        <v>-70.52</v>
      </c>
      <c r="Q4567" t="s">
        <v>9895</v>
      </c>
      <c r="R4567">
        <v>4</v>
      </c>
      <c r="S4567" s="5">
        <f t="shared" si="142"/>
        <v>-8.35891661233924E-2</v>
      </c>
      <c r="T4567">
        <v>168.73</v>
      </c>
      <c r="U4567">
        <v>10</v>
      </c>
      <c r="V4567">
        <v>2022</v>
      </c>
      <c r="W4567">
        <v>4</v>
      </c>
      <c r="X4567" t="s">
        <v>9898</v>
      </c>
      <c r="Y4567" t="s">
        <v>9902</v>
      </c>
      <c r="Z4567" t="s">
        <v>9899</v>
      </c>
      <c r="AD4567">
        <f t="shared" si="143"/>
        <v>4</v>
      </c>
    </row>
    <row r="4568" spans="1:30" x14ac:dyDescent="0.25">
      <c r="A4568" t="s">
        <v>4592</v>
      </c>
      <c r="B4568" s="2">
        <v>45068</v>
      </c>
      <c r="C4568" s="2">
        <v>45070</v>
      </c>
      <c r="D4568" t="s">
        <v>5357</v>
      </c>
      <c r="E4568" t="s">
        <v>5857</v>
      </c>
      <c r="F4568" t="s">
        <v>6027</v>
      </c>
      <c r="G4568" t="s">
        <v>6029</v>
      </c>
      <c r="H4568" t="s">
        <v>6032</v>
      </c>
      <c r="I4568" t="s">
        <v>6050</v>
      </c>
      <c r="J4568" t="s">
        <v>6053</v>
      </c>
      <c r="K4568" t="s">
        <v>6056</v>
      </c>
      <c r="L4568" t="s">
        <v>8186</v>
      </c>
      <c r="M4568">
        <v>1549.87</v>
      </c>
      <c r="N4568">
        <v>2</v>
      </c>
      <c r="O4568">
        <v>0.28000000000000003</v>
      </c>
      <c r="P4568">
        <v>-267.60000000000002</v>
      </c>
      <c r="Q4568" t="s">
        <v>9893</v>
      </c>
      <c r="R4568">
        <v>2</v>
      </c>
      <c r="S4568" s="5">
        <f t="shared" si="142"/>
        <v>-0.17265964242162249</v>
      </c>
      <c r="T4568">
        <v>774.93499999999995</v>
      </c>
      <c r="U4568">
        <v>5</v>
      </c>
      <c r="V4568">
        <v>2023</v>
      </c>
      <c r="W4568">
        <v>2</v>
      </c>
      <c r="X4568" t="s">
        <v>9898</v>
      </c>
      <c r="Y4568" t="s">
        <v>9900</v>
      </c>
      <c r="Z4568" t="s">
        <v>9898</v>
      </c>
      <c r="AD4568">
        <f t="shared" si="143"/>
        <v>2</v>
      </c>
    </row>
    <row r="4569" spans="1:30" x14ac:dyDescent="0.25">
      <c r="A4569" t="s">
        <v>4593</v>
      </c>
      <c r="B4569" s="2">
        <v>44643</v>
      </c>
      <c r="C4569" s="2">
        <v>44648</v>
      </c>
      <c r="D4569" t="s">
        <v>5177</v>
      </c>
      <c r="E4569" t="s">
        <v>5677</v>
      </c>
      <c r="F4569" t="s">
        <v>6028</v>
      </c>
      <c r="G4569" t="s">
        <v>6029</v>
      </c>
      <c r="H4569" t="s">
        <v>6044</v>
      </c>
      <c r="I4569" t="s">
        <v>6046</v>
      </c>
      <c r="J4569" t="s">
        <v>6054</v>
      </c>
      <c r="K4569" t="s">
        <v>6059</v>
      </c>
      <c r="L4569" t="s">
        <v>9629</v>
      </c>
      <c r="M4569">
        <v>1828.39</v>
      </c>
      <c r="N4569">
        <v>5</v>
      </c>
      <c r="O4569">
        <v>0.2</v>
      </c>
      <c r="P4569">
        <v>-15.58</v>
      </c>
      <c r="Q4569" t="s">
        <v>9896</v>
      </c>
      <c r="R4569">
        <v>5</v>
      </c>
      <c r="S4569" s="5">
        <f t="shared" si="142"/>
        <v>-8.5211579586412078E-3</v>
      </c>
      <c r="T4569">
        <v>365.678</v>
      </c>
      <c r="U4569">
        <v>3</v>
      </c>
      <c r="V4569">
        <v>2022</v>
      </c>
      <c r="W4569">
        <v>1</v>
      </c>
      <c r="X4569" t="s">
        <v>9898</v>
      </c>
      <c r="Y4569" t="s">
        <v>9900</v>
      </c>
      <c r="Z4569" t="s">
        <v>9898</v>
      </c>
      <c r="AD4569">
        <f t="shared" si="143"/>
        <v>5</v>
      </c>
    </row>
    <row r="4570" spans="1:30" x14ac:dyDescent="0.25">
      <c r="A4570" t="s">
        <v>4594</v>
      </c>
      <c r="B4570" s="2">
        <v>45201</v>
      </c>
      <c r="C4570" s="2">
        <v>45206</v>
      </c>
      <c r="D4570" t="s">
        <v>5448</v>
      </c>
      <c r="E4570" t="s">
        <v>5948</v>
      </c>
      <c r="F4570" t="s">
        <v>6028</v>
      </c>
      <c r="G4570" t="s">
        <v>6031</v>
      </c>
      <c r="H4570" t="s">
        <v>6042</v>
      </c>
      <c r="I4570" t="s">
        <v>6052</v>
      </c>
      <c r="J4570" t="s">
        <v>6054</v>
      </c>
      <c r="K4570" t="s">
        <v>6059</v>
      </c>
      <c r="L4570" t="s">
        <v>9630</v>
      </c>
      <c r="M4570">
        <v>767.9</v>
      </c>
      <c r="N4570">
        <v>4</v>
      </c>
      <c r="O4570">
        <v>0.19</v>
      </c>
      <c r="P4570">
        <v>-15.79</v>
      </c>
      <c r="Q4570" t="s">
        <v>9893</v>
      </c>
      <c r="R4570">
        <v>5</v>
      </c>
      <c r="S4570" s="5">
        <f t="shared" si="142"/>
        <v>-2.0562573251725485E-2</v>
      </c>
      <c r="T4570">
        <v>191.97499999999999</v>
      </c>
      <c r="U4570">
        <v>10</v>
      </c>
      <c r="V4570">
        <v>2023</v>
      </c>
      <c r="W4570">
        <v>4</v>
      </c>
      <c r="X4570" t="s">
        <v>9898</v>
      </c>
      <c r="Y4570" t="s">
        <v>9900</v>
      </c>
      <c r="Z4570" t="s">
        <v>9899</v>
      </c>
      <c r="AD4570">
        <f t="shared" si="143"/>
        <v>5</v>
      </c>
    </row>
    <row r="4571" spans="1:30" x14ac:dyDescent="0.25">
      <c r="A4571" t="s">
        <v>4595</v>
      </c>
      <c r="B4571" s="2">
        <v>44724</v>
      </c>
      <c r="C4571" s="2">
        <v>44725</v>
      </c>
      <c r="D4571" t="s">
        <v>5238</v>
      </c>
      <c r="E4571" t="s">
        <v>5738</v>
      </c>
      <c r="F4571" t="s">
        <v>6027</v>
      </c>
      <c r="G4571" t="s">
        <v>6029</v>
      </c>
      <c r="H4571" t="s">
        <v>6045</v>
      </c>
      <c r="I4571" t="s">
        <v>6046</v>
      </c>
      <c r="J4571" t="s">
        <v>6053</v>
      </c>
      <c r="K4571" t="s">
        <v>6056</v>
      </c>
      <c r="L4571" t="s">
        <v>9631</v>
      </c>
      <c r="M4571">
        <v>1924.68</v>
      </c>
      <c r="N4571">
        <v>3</v>
      </c>
      <c r="O4571">
        <v>0.34</v>
      </c>
      <c r="P4571">
        <v>-327.72</v>
      </c>
      <c r="Q4571" t="s">
        <v>9896</v>
      </c>
      <c r="R4571">
        <v>1</v>
      </c>
      <c r="S4571" s="5">
        <f t="shared" si="142"/>
        <v>-0.17027246087661327</v>
      </c>
      <c r="T4571">
        <v>641.56000000000006</v>
      </c>
      <c r="U4571">
        <v>6</v>
      </c>
      <c r="V4571">
        <v>2022</v>
      </c>
      <c r="W4571">
        <v>2</v>
      </c>
      <c r="X4571" t="s">
        <v>9898</v>
      </c>
      <c r="Y4571" t="s">
        <v>9902</v>
      </c>
      <c r="Z4571" t="s">
        <v>9898</v>
      </c>
      <c r="AD4571">
        <f t="shared" si="143"/>
        <v>1</v>
      </c>
    </row>
    <row r="4572" spans="1:30" x14ac:dyDescent="0.25">
      <c r="A4572" t="s">
        <v>4596</v>
      </c>
      <c r="B4572" s="2">
        <v>45049</v>
      </c>
      <c r="C4572" s="2">
        <v>45056</v>
      </c>
      <c r="D4572" t="s">
        <v>5118</v>
      </c>
      <c r="E4572" t="s">
        <v>5618</v>
      </c>
      <c r="F4572" t="s">
        <v>6026</v>
      </c>
      <c r="G4572" t="s">
        <v>6030</v>
      </c>
      <c r="H4572" t="s">
        <v>6038</v>
      </c>
      <c r="I4572" t="s">
        <v>6051</v>
      </c>
      <c r="J4572" t="s">
        <v>6055</v>
      </c>
      <c r="K4572" t="s">
        <v>6063</v>
      </c>
      <c r="L4572" t="s">
        <v>9632</v>
      </c>
      <c r="M4572">
        <v>397.58</v>
      </c>
      <c r="N4572">
        <v>4</v>
      </c>
      <c r="O4572">
        <v>7.0000000000000007E-2</v>
      </c>
      <c r="P4572">
        <v>14.75</v>
      </c>
      <c r="Q4572" t="s">
        <v>9894</v>
      </c>
      <c r="R4572">
        <v>7</v>
      </c>
      <c r="S4572" s="5">
        <f t="shared" si="142"/>
        <v>3.7099451682680216E-2</v>
      </c>
      <c r="T4572">
        <v>99.394999999999996</v>
      </c>
      <c r="U4572">
        <v>5</v>
      </c>
      <c r="V4572">
        <v>2023</v>
      </c>
      <c r="W4572">
        <v>2</v>
      </c>
      <c r="X4572" t="s">
        <v>9899</v>
      </c>
      <c r="Y4572" t="s">
        <v>9901</v>
      </c>
      <c r="Z4572" t="s">
        <v>9899</v>
      </c>
      <c r="AD4572">
        <f t="shared" si="143"/>
        <v>7</v>
      </c>
    </row>
    <row r="4573" spans="1:30" x14ac:dyDescent="0.25">
      <c r="A4573" t="s">
        <v>4597</v>
      </c>
      <c r="B4573" s="2">
        <v>44721</v>
      </c>
      <c r="C4573" s="2">
        <v>44726</v>
      </c>
      <c r="D4573" t="s">
        <v>5340</v>
      </c>
      <c r="E4573" t="s">
        <v>5840</v>
      </c>
      <c r="F4573" t="s">
        <v>6026</v>
      </c>
      <c r="G4573" t="s">
        <v>6031</v>
      </c>
      <c r="H4573" t="s">
        <v>6042</v>
      </c>
      <c r="I4573" t="s">
        <v>6052</v>
      </c>
      <c r="J4573" t="s">
        <v>6055</v>
      </c>
      <c r="K4573" t="s">
        <v>6061</v>
      </c>
      <c r="L4573" t="s">
        <v>8430</v>
      </c>
      <c r="M4573">
        <v>1677.5</v>
      </c>
      <c r="N4573">
        <v>3</v>
      </c>
      <c r="O4573">
        <v>0.23</v>
      </c>
      <c r="P4573">
        <v>-155.16999999999999</v>
      </c>
      <c r="Q4573" t="s">
        <v>9897</v>
      </c>
      <c r="R4573">
        <v>5</v>
      </c>
      <c r="S4573" s="5">
        <f t="shared" si="142"/>
        <v>-9.250074515648285E-2</v>
      </c>
      <c r="T4573">
        <v>559.16666666666663</v>
      </c>
      <c r="U4573">
        <v>6</v>
      </c>
      <c r="V4573">
        <v>2022</v>
      </c>
      <c r="W4573">
        <v>2</v>
      </c>
      <c r="X4573" t="s">
        <v>9898</v>
      </c>
      <c r="Y4573" t="s">
        <v>9900</v>
      </c>
      <c r="Z4573" t="s">
        <v>9898</v>
      </c>
      <c r="AD4573">
        <f t="shared" si="143"/>
        <v>5</v>
      </c>
    </row>
    <row r="4574" spans="1:30" x14ac:dyDescent="0.25">
      <c r="A4574" t="s">
        <v>4598</v>
      </c>
      <c r="B4574" s="2">
        <v>45418</v>
      </c>
      <c r="C4574" s="2">
        <v>45421</v>
      </c>
      <c r="D4574" t="s">
        <v>5156</v>
      </c>
      <c r="E4574" t="s">
        <v>5656</v>
      </c>
      <c r="F4574" t="s">
        <v>6027</v>
      </c>
      <c r="G4574" t="s">
        <v>6031</v>
      </c>
      <c r="H4574" t="s">
        <v>6040</v>
      </c>
      <c r="I4574" t="s">
        <v>6052</v>
      </c>
      <c r="J4574" t="s">
        <v>6055</v>
      </c>
      <c r="K4574" t="s">
        <v>6064</v>
      </c>
      <c r="L4574" t="s">
        <v>6106</v>
      </c>
      <c r="M4574">
        <v>176.18</v>
      </c>
      <c r="N4574">
        <v>8</v>
      </c>
      <c r="O4574">
        <v>0.34</v>
      </c>
      <c r="P4574">
        <v>-25.77</v>
      </c>
      <c r="Q4574" t="s">
        <v>9897</v>
      </c>
      <c r="R4574">
        <v>3</v>
      </c>
      <c r="S4574" s="5">
        <f t="shared" si="142"/>
        <v>-0.14627085934839368</v>
      </c>
      <c r="T4574">
        <v>22.022500000000001</v>
      </c>
      <c r="U4574">
        <v>5</v>
      </c>
      <c r="V4574">
        <v>2024</v>
      </c>
      <c r="W4574">
        <v>2</v>
      </c>
      <c r="X4574" t="s">
        <v>9898</v>
      </c>
      <c r="Y4574" t="s">
        <v>9902</v>
      </c>
      <c r="Z4574" t="s">
        <v>9899</v>
      </c>
      <c r="AD4574">
        <f t="shared" si="143"/>
        <v>3</v>
      </c>
    </row>
    <row r="4575" spans="1:30" x14ac:dyDescent="0.25">
      <c r="A4575" t="s">
        <v>4599</v>
      </c>
      <c r="B4575" s="2">
        <v>45178</v>
      </c>
      <c r="C4575" s="2">
        <v>45181</v>
      </c>
      <c r="D4575" t="s">
        <v>5283</v>
      </c>
      <c r="E4575" t="s">
        <v>5783</v>
      </c>
      <c r="F4575" t="s">
        <v>6027</v>
      </c>
      <c r="G4575" t="s">
        <v>6031</v>
      </c>
      <c r="H4575" t="s">
        <v>6034</v>
      </c>
      <c r="I4575" t="s">
        <v>6048</v>
      </c>
      <c r="J4575" t="s">
        <v>6054</v>
      </c>
      <c r="K4575" t="s">
        <v>6059</v>
      </c>
      <c r="L4575" t="s">
        <v>7877</v>
      </c>
      <c r="M4575">
        <v>732.15</v>
      </c>
      <c r="N4575">
        <v>7</v>
      </c>
      <c r="O4575">
        <v>0.23</v>
      </c>
      <c r="P4575">
        <v>-83.83</v>
      </c>
      <c r="Q4575" t="s">
        <v>9894</v>
      </c>
      <c r="R4575">
        <v>3</v>
      </c>
      <c r="S4575" s="5">
        <f t="shared" si="142"/>
        <v>-0.11449839513760841</v>
      </c>
      <c r="T4575">
        <v>104.5928571428571</v>
      </c>
      <c r="U4575">
        <v>9</v>
      </c>
      <c r="V4575">
        <v>2023</v>
      </c>
      <c r="W4575">
        <v>3</v>
      </c>
      <c r="X4575" t="s">
        <v>9898</v>
      </c>
      <c r="Y4575" t="s">
        <v>9900</v>
      </c>
      <c r="Z4575" t="s">
        <v>9899</v>
      </c>
      <c r="AD4575">
        <f t="shared" si="143"/>
        <v>3</v>
      </c>
    </row>
    <row r="4576" spans="1:30" x14ac:dyDescent="0.25">
      <c r="A4576" t="s">
        <v>4600</v>
      </c>
      <c r="B4576" s="2">
        <v>44919</v>
      </c>
      <c r="C4576" s="2">
        <v>44923</v>
      </c>
      <c r="D4576" t="s">
        <v>5333</v>
      </c>
      <c r="E4576" t="s">
        <v>5833</v>
      </c>
      <c r="F4576" t="s">
        <v>6027</v>
      </c>
      <c r="G4576" t="s">
        <v>6029</v>
      </c>
      <c r="H4576" t="s">
        <v>6041</v>
      </c>
      <c r="I4576" t="s">
        <v>6049</v>
      </c>
      <c r="J4576" t="s">
        <v>6055</v>
      </c>
      <c r="K4576" t="s">
        <v>6064</v>
      </c>
      <c r="L4576" t="s">
        <v>9633</v>
      </c>
      <c r="M4576">
        <v>1145.21</v>
      </c>
      <c r="N4576">
        <v>5</v>
      </c>
      <c r="O4576">
        <v>0.25</v>
      </c>
      <c r="P4576">
        <v>37.44</v>
      </c>
      <c r="Q4576" t="s">
        <v>9894</v>
      </c>
      <c r="R4576">
        <v>4</v>
      </c>
      <c r="S4576" s="5">
        <f t="shared" si="142"/>
        <v>3.2692693916399611E-2</v>
      </c>
      <c r="T4576">
        <v>229.042</v>
      </c>
      <c r="U4576">
        <v>12</v>
      </c>
      <c r="V4576">
        <v>2022</v>
      </c>
      <c r="W4576">
        <v>4</v>
      </c>
      <c r="X4576" t="s">
        <v>9899</v>
      </c>
      <c r="Y4576" t="s">
        <v>9900</v>
      </c>
      <c r="Z4576" t="s">
        <v>9898</v>
      </c>
      <c r="AD4576">
        <f t="shared" si="143"/>
        <v>4</v>
      </c>
    </row>
    <row r="4577" spans="1:30" x14ac:dyDescent="0.25">
      <c r="A4577" t="s">
        <v>4601</v>
      </c>
      <c r="B4577" s="2">
        <v>45168</v>
      </c>
      <c r="C4577" s="2">
        <v>45175</v>
      </c>
      <c r="D4577" t="s">
        <v>5443</v>
      </c>
      <c r="E4577" t="s">
        <v>5943</v>
      </c>
      <c r="F4577" t="s">
        <v>6026</v>
      </c>
      <c r="G4577" t="s">
        <v>6030</v>
      </c>
      <c r="H4577" t="s">
        <v>6039</v>
      </c>
      <c r="I4577" t="s">
        <v>6051</v>
      </c>
      <c r="J4577" t="s">
        <v>6055</v>
      </c>
      <c r="K4577" t="s">
        <v>6063</v>
      </c>
      <c r="L4577" t="s">
        <v>9060</v>
      </c>
      <c r="M4577">
        <v>706.33</v>
      </c>
      <c r="N4577">
        <v>2</v>
      </c>
      <c r="O4577">
        <v>0.25</v>
      </c>
      <c r="P4577">
        <v>-69.260000000000005</v>
      </c>
      <c r="Q4577" t="s">
        <v>9894</v>
      </c>
      <c r="R4577">
        <v>7</v>
      </c>
      <c r="S4577" s="5">
        <f t="shared" si="142"/>
        <v>-9.8056149391927291E-2</v>
      </c>
      <c r="T4577">
        <v>353.16500000000002</v>
      </c>
      <c r="U4577">
        <v>8</v>
      </c>
      <c r="V4577">
        <v>2023</v>
      </c>
      <c r="W4577">
        <v>3</v>
      </c>
      <c r="X4577" t="s">
        <v>9898</v>
      </c>
      <c r="Y4577" t="s">
        <v>9900</v>
      </c>
      <c r="Z4577" t="s">
        <v>9899</v>
      </c>
      <c r="AD4577">
        <f t="shared" si="143"/>
        <v>7</v>
      </c>
    </row>
    <row r="4578" spans="1:30" x14ac:dyDescent="0.25">
      <c r="A4578" t="s">
        <v>4602</v>
      </c>
      <c r="B4578" s="2">
        <v>44727</v>
      </c>
      <c r="C4578" s="2">
        <v>44734</v>
      </c>
      <c r="D4578" t="s">
        <v>5270</v>
      </c>
      <c r="E4578" t="s">
        <v>5770</v>
      </c>
      <c r="F4578" t="s">
        <v>6026</v>
      </c>
      <c r="G4578" t="s">
        <v>6030</v>
      </c>
      <c r="H4578" t="s">
        <v>6035</v>
      </c>
      <c r="I4578" t="s">
        <v>6047</v>
      </c>
      <c r="J4578" t="s">
        <v>6055</v>
      </c>
      <c r="K4578" t="s">
        <v>6061</v>
      </c>
      <c r="L4578" t="s">
        <v>9634</v>
      </c>
      <c r="M4578">
        <v>1007.9</v>
      </c>
      <c r="N4578">
        <v>3</v>
      </c>
      <c r="O4578">
        <v>0.27</v>
      </c>
      <c r="P4578">
        <v>-130.97999999999999</v>
      </c>
      <c r="Q4578" t="s">
        <v>9895</v>
      </c>
      <c r="R4578">
        <v>7</v>
      </c>
      <c r="S4578" s="5">
        <f t="shared" si="142"/>
        <v>-0.12995336838972119</v>
      </c>
      <c r="T4578">
        <v>335.96666666666658</v>
      </c>
      <c r="U4578">
        <v>6</v>
      </c>
      <c r="V4578">
        <v>2022</v>
      </c>
      <c r="W4578">
        <v>2</v>
      </c>
      <c r="X4578" t="s">
        <v>9898</v>
      </c>
      <c r="Y4578" t="s">
        <v>9900</v>
      </c>
      <c r="Z4578" t="s">
        <v>9898</v>
      </c>
      <c r="AD4578">
        <f t="shared" si="143"/>
        <v>7</v>
      </c>
    </row>
    <row r="4579" spans="1:30" x14ac:dyDescent="0.25">
      <c r="A4579" t="s">
        <v>4603</v>
      </c>
      <c r="B4579" s="2">
        <v>45133</v>
      </c>
      <c r="C4579" s="2">
        <v>45134</v>
      </c>
      <c r="D4579" t="s">
        <v>5155</v>
      </c>
      <c r="E4579" t="s">
        <v>5655</v>
      </c>
      <c r="F4579" t="s">
        <v>6028</v>
      </c>
      <c r="G4579" t="s">
        <v>6029</v>
      </c>
      <c r="H4579" t="s">
        <v>6036</v>
      </c>
      <c r="I4579" t="s">
        <v>6046</v>
      </c>
      <c r="J4579" t="s">
        <v>6053</v>
      </c>
      <c r="K4579" t="s">
        <v>6056</v>
      </c>
      <c r="L4579" t="s">
        <v>6722</v>
      </c>
      <c r="M4579">
        <v>1408.2</v>
      </c>
      <c r="N4579">
        <v>3</v>
      </c>
      <c r="O4579">
        <v>0.27</v>
      </c>
      <c r="P4579">
        <v>-147.5</v>
      </c>
      <c r="Q4579" t="s">
        <v>9895</v>
      </c>
      <c r="R4579">
        <v>1</v>
      </c>
      <c r="S4579" s="5">
        <f t="shared" si="142"/>
        <v>-0.10474364436869762</v>
      </c>
      <c r="T4579">
        <v>469.4</v>
      </c>
      <c r="U4579">
        <v>7</v>
      </c>
      <c r="V4579">
        <v>2023</v>
      </c>
      <c r="W4579">
        <v>3</v>
      </c>
      <c r="X4579" t="s">
        <v>9898</v>
      </c>
      <c r="Y4579" t="s">
        <v>9900</v>
      </c>
      <c r="Z4579" t="s">
        <v>9898</v>
      </c>
      <c r="AD4579">
        <f t="shared" si="143"/>
        <v>1</v>
      </c>
    </row>
    <row r="4580" spans="1:30" x14ac:dyDescent="0.25">
      <c r="A4580" t="s">
        <v>4604</v>
      </c>
      <c r="B4580" s="2">
        <v>44603</v>
      </c>
      <c r="C4580" s="2">
        <v>44607</v>
      </c>
      <c r="D4580" t="s">
        <v>5392</v>
      </c>
      <c r="E4580" t="s">
        <v>5892</v>
      </c>
      <c r="F4580" t="s">
        <v>6028</v>
      </c>
      <c r="G4580" t="s">
        <v>6029</v>
      </c>
      <c r="H4580" t="s">
        <v>6032</v>
      </c>
      <c r="I4580" t="s">
        <v>6050</v>
      </c>
      <c r="J4580" t="s">
        <v>6053</v>
      </c>
      <c r="K4580" t="s">
        <v>6058</v>
      </c>
      <c r="L4580" t="s">
        <v>9635</v>
      </c>
      <c r="M4580">
        <v>501.5</v>
      </c>
      <c r="N4580">
        <v>8</v>
      </c>
      <c r="O4580">
        <v>0.05</v>
      </c>
      <c r="P4580">
        <v>64.459999999999994</v>
      </c>
      <c r="Q4580" t="s">
        <v>9893</v>
      </c>
      <c r="R4580">
        <v>4</v>
      </c>
      <c r="S4580" s="5">
        <f t="shared" si="142"/>
        <v>0.12853439680957127</v>
      </c>
      <c r="T4580">
        <v>62.6875</v>
      </c>
      <c r="U4580">
        <v>2</v>
      </c>
      <c r="V4580">
        <v>2022</v>
      </c>
      <c r="W4580">
        <v>1</v>
      </c>
      <c r="X4580" t="s">
        <v>9899</v>
      </c>
      <c r="Y4580" t="s">
        <v>9901</v>
      </c>
      <c r="Z4580" t="s">
        <v>9899</v>
      </c>
      <c r="AD4580">
        <f t="shared" si="143"/>
        <v>4</v>
      </c>
    </row>
    <row r="4581" spans="1:30" x14ac:dyDescent="0.25">
      <c r="A4581" t="s">
        <v>4605</v>
      </c>
      <c r="B4581" s="2">
        <v>44770</v>
      </c>
      <c r="C4581" s="2">
        <v>44774</v>
      </c>
      <c r="D4581" t="s">
        <v>5291</v>
      </c>
      <c r="E4581" t="s">
        <v>5791</v>
      </c>
      <c r="F4581" t="s">
        <v>6026</v>
      </c>
      <c r="G4581" t="s">
        <v>6030</v>
      </c>
      <c r="H4581" t="s">
        <v>6033</v>
      </c>
      <c r="I4581" t="s">
        <v>6047</v>
      </c>
      <c r="J4581" t="s">
        <v>6055</v>
      </c>
      <c r="K4581" t="s">
        <v>6064</v>
      </c>
      <c r="L4581" t="s">
        <v>9636</v>
      </c>
      <c r="M4581">
        <v>1719.35</v>
      </c>
      <c r="N4581">
        <v>6</v>
      </c>
      <c r="O4581">
        <v>0.27</v>
      </c>
      <c r="P4581">
        <v>-63.1</v>
      </c>
      <c r="Q4581" t="s">
        <v>9893</v>
      </c>
      <c r="R4581">
        <v>4</v>
      </c>
      <c r="S4581" s="5">
        <f t="shared" si="142"/>
        <v>-3.6699915665803939E-2</v>
      </c>
      <c r="T4581">
        <v>286.55833333333328</v>
      </c>
      <c r="U4581">
        <v>7</v>
      </c>
      <c r="V4581">
        <v>2022</v>
      </c>
      <c r="W4581">
        <v>3</v>
      </c>
      <c r="X4581" t="s">
        <v>9898</v>
      </c>
      <c r="Y4581" t="s">
        <v>9900</v>
      </c>
      <c r="Z4581" t="s">
        <v>9898</v>
      </c>
      <c r="AD4581">
        <f t="shared" si="143"/>
        <v>4</v>
      </c>
    </row>
    <row r="4582" spans="1:30" x14ac:dyDescent="0.25">
      <c r="A4582" t="s">
        <v>4606</v>
      </c>
      <c r="B4582" s="2">
        <v>45270</v>
      </c>
      <c r="C4582" s="2">
        <v>45272</v>
      </c>
      <c r="D4582" t="s">
        <v>5377</v>
      </c>
      <c r="E4582" t="s">
        <v>5877</v>
      </c>
      <c r="F4582" t="s">
        <v>6026</v>
      </c>
      <c r="G4582" t="s">
        <v>6029</v>
      </c>
      <c r="H4582" t="s">
        <v>6045</v>
      </c>
      <c r="I4582" t="s">
        <v>6046</v>
      </c>
      <c r="J4582" t="s">
        <v>6055</v>
      </c>
      <c r="K4582" t="s">
        <v>6061</v>
      </c>
      <c r="L4582" t="s">
        <v>8564</v>
      </c>
      <c r="M4582">
        <v>900.44</v>
      </c>
      <c r="N4582">
        <v>1</v>
      </c>
      <c r="O4582">
        <v>0.03</v>
      </c>
      <c r="P4582">
        <v>234.6</v>
      </c>
      <c r="Q4582" t="s">
        <v>9894</v>
      </c>
      <c r="R4582">
        <v>2</v>
      </c>
      <c r="S4582" s="5">
        <f t="shared" si="142"/>
        <v>0.26053929190173691</v>
      </c>
      <c r="T4582">
        <v>900.44</v>
      </c>
      <c r="U4582">
        <v>12</v>
      </c>
      <c r="V4582">
        <v>2023</v>
      </c>
      <c r="W4582">
        <v>4</v>
      </c>
      <c r="X4582" t="s">
        <v>9899</v>
      </c>
      <c r="Y4582" t="s">
        <v>9901</v>
      </c>
      <c r="Z4582" t="s">
        <v>9899</v>
      </c>
      <c r="AD4582">
        <f t="shared" si="143"/>
        <v>2</v>
      </c>
    </row>
    <row r="4583" spans="1:30" x14ac:dyDescent="0.25">
      <c r="A4583" t="s">
        <v>4607</v>
      </c>
      <c r="B4583" s="2">
        <v>45429</v>
      </c>
      <c r="C4583" s="2">
        <v>45435</v>
      </c>
      <c r="D4583" t="s">
        <v>5453</v>
      </c>
      <c r="E4583" t="s">
        <v>5953</v>
      </c>
      <c r="F4583" t="s">
        <v>6026</v>
      </c>
      <c r="G4583" t="s">
        <v>6030</v>
      </c>
      <c r="H4583" t="s">
        <v>6035</v>
      </c>
      <c r="I4583" t="s">
        <v>6051</v>
      </c>
      <c r="J4583" t="s">
        <v>6053</v>
      </c>
      <c r="K4583" t="s">
        <v>6058</v>
      </c>
      <c r="L4583" t="s">
        <v>8631</v>
      </c>
      <c r="M4583">
        <v>1366.2</v>
      </c>
      <c r="N4583">
        <v>3</v>
      </c>
      <c r="O4583">
        <v>0.15</v>
      </c>
      <c r="P4583">
        <v>203.68</v>
      </c>
      <c r="Q4583" t="s">
        <v>9893</v>
      </c>
      <c r="R4583">
        <v>6</v>
      </c>
      <c r="S4583" s="5">
        <f t="shared" si="142"/>
        <v>0.14908505343287953</v>
      </c>
      <c r="T4583">
        <v>455.4</v>
      </c>
      <c r="U4583">
        <v>5</v>
      </c>
      <c r="V4583">
        <v>2024</v>
      </c>
      <c r="W4583">
        <v>2</v>
      </c>
      <c r="X4583" t="s">
        <v>9899</v>
      </c>
      <c r="Y4583" t="s">
        <v>9901</v>
      </c>
      <c r="Z4583" t="s">
        <v>9898</v>
      </c>
      <c r="AD4583">
        <f t="shared" si="143"/>
        <v>6</v>
      </c>
    </row>
    <row r="4584" spans="1:30" x14ac:dyDescent="0.25">
      <c r="A4584" t="s">
        <v>4608</v>
      </c>
      <c r="B4584" s="2">
        <v>45145</v>
      </c>
      <c r="C4584" s="2">
        <v>45146</v>
      </c>
      <c r="D4584" t="s">
        <v>5128</v>
      </c>
      <c r="E4584" t="s">
        <v>5628</v>
      </c>
      <c r="F4584" t="s">
        <v>6027</v>
      </c>
      <c r="G4584" t="s">
        <v>6030</v>
      </c>
      <c r="H4584" t="s">
        <v>6035</v>
      </c>
      <c r="I4584" t="s">
        <v>6051</v>
      </c>
      <c r="J4584" t="s">
        <v>6054</v>
      </c>
      <c r="K4584" t="s">
        <v>6062</v>
      </c>
      <c r="L4584" t="s">
        <v>8032</v>
      </c>
      <c r="M4584">
        <v>1776.43</v>
      </c>
      <c r="N4584">
        <v>4</v>
      </c>
      <c r="O4584">
        <v>0.18</v>
      </c>
      <c r="P4584">
        <v>156.16</v>
      </c>
      <c r="Q4584" t="s">
        <v>9896</v>
      </c>
      <c r="R4584">
        <v>1</v>
      </c>
      <c r="S4584" s="5">
        <f t="shared" si="142"/>
        <v>8.7906644224652816E-2</v>
      </c>
      <c r="T4584">
        <v>444.10750000000002</v>
      </c>
      <c r="U4584">
        <v>8</v>
      </c>
      <c r="V4584">
        <v>2023</v>
      </c>
      <c r="W4584">
        <v>3</v>
      </c>
      <c r="X4584" t="s">
        <v>9899</v>
      </c>
      <c r="Y4584" t="s">
        <v>9900</v>
      </c>
      <c r="Z4584" t="s">
        <v>9898</v>
      </c>
      <c r="AD4584">
        <f t="shared" si="143"/>
        <v>1</v>
      </c>
    </row>
    <row r="4585" spans="1:30" x14ac:dyDescent="0.25">
      <c r="A4585" t="s">
        <v>4609</v>
      </c>
      <c r="B4585" s="2">
        <v>45313</v>
      </c>
      <c r="C4585" s="2">
        <v>45316</v>
      </c>
      <c r="D4585" t="s">
        <v>5132</v>
      </c>
      <c r="E4585" t="s">
        <v>5632</v>
      </c>
      <c r="F4585" t="s">
        <v>6027</v>
      </c>
      <c r="G4585" t="s">
        <v>6029</v>
      </c>
      <c r="H4585" t="s">
        <v>6041</v>
      </c>
      <c r="I4585" t="s">
        <v>6049</v>
      </c>
      <c r="J4585" t="s">
        <v>6054</v>
      </c>
      <c r="K4585" t="s">
        <v>6059</v>
      </c>
      <c r="L4585" t="s">
        <v>9637</v>
      </c>
      <c r="M4585">
        <v>183.27</v>
      </c>
      <c r="N4585">
        <v>4</v>
      </c>
      <c r="O4585">
        <v>0.18</v>
      </c>
      <c r="P4585">
        <v>15.26</v>
      </c>
      <c r="Q4585" t="s">
        <v>9895</v>
      </c>
      <c r="R4585">
        <v>3</v>
      </c>
      <c r="S4585" s="5">
        <f t="shared" si="142"/>
        <v>8.3265127953292953E-2</v>
      </c>
      <c r="T4585">
        <v>45.817500000000003</v>
      </c>
      <c r="U4585">
        <v>1</v>
      </c>
      <c r="V4585">
        <v>2024</v>
      </c>
      <c r="W4585">
        <v>1</v>
      </c>
      <c r="X4585" t="s">
        <v>9899</v>
      </c>
      <c r="Y4585" t="s">
        <v>9900</v>
      </c>
      <c r="Z4585" t="s">
        <v>9899</v>
      </c>
      <c r="AD4585">
        <f t="shared" si="143"/>
        <v>3</v>
      </c>
    </row>
    <row r="4586" spans="1:30" x14ac:dyDescent="0.25">
      <c r="A4586" t="s">
        <v>4610</v>
      </c>
      <c r="B4586" s="2">
        <v>45143</v>
      </c>
      <c r="C4586" s="2">
        <v>45149</v>
      </c>
      <c r="D4586" t="s">
        <v>5491</v>
      </c>
      <c r="E4586" t="s">
        <v>5991</v>
      </c>
      <c r="F4586" t="s">
        <v>6026</v>
      </c>
      <c r="G4586" t="s">
        <v>6030</v>
      </c>
      <c r="H4586" t="s">
        <v>6035</v>
      </c>
      <c r="I4586" t="s">
        <v>6047</v>
      </c>
      <c r="J4586" t="s">
        <v>6053</v>
      </c>
      <c r="K4586" t="s">
        <v>6057</v>
      </c>
      <c r="L4586" t="s">
        <v>9638</v>
      </c>
      <c r="M4586">
        <v>363.16</v>
      </c>
      <c r="N4586">
        <v>8</v>
      </c>
      <c r="O4586">
        <v>0.06</v>
      </c>
      <c r="P4586">
        <v>45.04</v>
      </c>
      <c r="Q4586" t="s">
        <v>9895</v>
      </c>
      <c r="R4586">
        <v>6</v>
      </c>
      <c r="S4586" s="5">
        <f t="shared" si="142"/>
        <v>0.12402246943495979</v>
      </c>
      <c r="T4586">
        <v>45.395000000000003</v>
      </c>
      <c r="U4586">
        <v>8</v>
      </c>
      <c r="V4586">
        <v>2023</v>
      </c>
      <c r="W4586">
        <v>3</v>
      </c>
      <c r="X4586" t="s">
        <v>9899</v>
      </c>
      <c r="Y4586" t="s">
        <v>9901</v>
      </c>
      <c r="Z4586" t="s">
        <v>9899</v>
      </c>
      <c r="AD4586">
        <f t="shared" si="143"/>
        <v>6</v>
      </c>
    </row>
    <row r="4587" spans="1:30" x14ac:dyDescent="0.25">
      <c r="A4587" t="s">
        <v>4611</v>
      </c>
      <c r="B4587" s="2">
        <v>44807</v>
      </c>
      <c r="C4587" s="2">
        <v>44812</v>
      </c>
      <c r="D4587" t="s">
        <v>5320</v>
      </c>
      <c r="E4587" t="s">
        <v>5820</v>
      </c>
      <c r="F4587" t="s">
        <v>6026</v>
      </c>
      <c r="G4587" t="s">
        <v>6031</v>
      </c>
      <c r="H4587" t="s">
        <v>6034</v>
      </c>
      <c r="I4587" t="s">
        <v>6048</v>
      </c>
      <c r="J4587" t="s">
        <v>6054</v>
      </c>
      <c r="K4587" t="s">
        <v>6060</v>
      </c>
      <c r="L4587" t="s">
        <v>8992</v>
      </c>
      <c r="M4587">
        <v>1860.06</v>
      </c>
      <c r="N4587">
        <v>7</v>
      </c>
      <c r="O4587">
        <v>0.32</v>
      </c>
      <c r="P4587">
        <v>-170.22</v>
      </c>
      <c r="Q4587" t="s">
        <v>9897</v>
      </c>
      <c r="R4587">
        <v>5</v>
      </c>
      <c r="S4587" s="5">
        <f t="shared" si="142"/>
        <v>-9.1513176994290513E-2</v>
      </c>
      <c r="T4587">
        <v>265.72285714285721</v>
      </c>
      <c r="U4587">
        <v>9</v>
      </c>
      <c r="V4587">
        <v>2022</v>
      </c>
      <c r="W4587">
        <v>3</v>
      </c>
      <c r="X4587" t="s">
        <v>9898</v>
      </c>
      <c r="Y4587" t="s">
        <v>9902</v>
      </c>
      <c r="Z4587" t="s">
        <v>9898</v>
      </c>
      <c r="AD4587">
        <f t="shared" si="143"/>
        <v>5</v>
      </c>
    </row>
    <row r="4588" spans="1:30" x14ac:dyDescent="0.25">
      <c r="A4588" t="s">
        <v>4612</v>
      </c>
      <c r="B4588" s="2">
        <v>44800</v>
      </c>
      <c r="C4588" s="2">
        <v>44803</v>
      </c>
      <c r="D4588" t="s">
        <v>5245</v>
      </c>
      <c r="E4588" t="s">
        <v>5745</v>
      </c>
      <c r="F4588" t="s">
        <v>6026</v>
      </c>
      <c r="G4588" t="s">
        <v>6031</v>
      </c>
      <c r="H4588" t="s">
        <v>6037</v>
      </c>
      <c r="I4588" t="s">
        <v>6052</v>
      </c>
      <c r="J4588" t="s">
        <v>6055</v>
      </c>
      <c r="K4588" t="s">
        <v>6064</v>
      </c>
      <c r="L4588" t="s">
        <v>9639</v>
      </c>
      <c r="M4588">
        <v>1853.76</v>
      </c>
      <c r="N4588">
        <v>2</v>
      </c>
      <c r="O4588">
        <v>0.08</v>
      </c>
      <c r="P4588">
        <v>342.17</v>
      </c>
      <c r="Q4588" t="s">
        <v>9894</v>
      </c>
      <c r="R4588">
        <v>3</v>
      </c>
      <c r="S4588" s="5">
        <f t="shared" si="142"/>
        <v>0.18458160711203178</v>
      </c>
      <c r="T4588">
        <v>926.88</v>
      </c>
      <c r="U4588">
        <v>8</v>
      </c>
      <c r="V4588">
        <v>2022</v>
      </c>
      <c r="W4588">
        <v>3</v>
      </c>
      <c r="X4588" t="s">
        <v>9899</v>
      </c>
      <c r="Y4588" t="s">
        <v>9901</v>
      </c>
      <c r="Z4588" t="s">
        <v>9898</v>
      </c>
      <c r="AD4588">
        <f t="shared" si="143"/>
        <v>3</v>
      </c>
    </row>
    <row r="4589" spans="1:30" x14ac:dyDescent="0.25">
      <c r="A4589" t="s">
        <v>4613</v>
      </c>
      <c r="B4589" s="2">
        <v>45318</v>
      </c>
      <c r="C4589" s="2">
        <v>45322</v>
      </c>
      <c r="D4589" t="s">
        <v>5042</v>
      </c>
      <c r="E4589" t="s">
        <v>5542</v>
      </c>
      <c r="F4589" t="s">
        <v>6027</v>
      </c>
      <c r="G4589" t="s">
        <v>6031</v>
      </c>
      <c r="H4589" t="s">
        <v>6037</v>
      </c>
      <c r="I4589" t="s">
        <v>6048</v>
      </c>
      <c r="J4589" t="s">
        <v>6053</v>
      </c>
      <c r="K4589" t="s">
        <v>6057</v>
      </c>
      <c r="L4589" t="s">
        <v>9640</v>
      </c>
      <c r="M4589">
        <v>660.26</v>
      </c>
      <c r="N4589">
        <v>5</v>
      </c>
      <c r="O4589">
        <v>0.33</v>
      </c>
      <c r="P4589">
        <v>-40.35</v>
      </c>
      <c r="Q4589" t="s">
        <v>9897</v>
      </c>
      <c r="R4589">
        <v>4</v>
      </c>
      <c r="S4589" s="5">
        <f t="shared" si="142"/>
        <v>-6.1112289098234032E-2</v>
      </c>
      <c r="T4589">
        <v>132.05199999999999</v>
      </c>
      <c r="U4589">
        <v>1</v>
      </c>
      <c r="V4589">
        <v>2024</v>
      </c>
      <c r="W4589">
        <v>1</v>
      </c>
      <c r="X4589" t="s">
        <v>9898</v>
      </c>
      <c r="Y4589" t="s">
        <v>9902</v>
      </c>
      <c r="Z4589" t="s">
        <v>9899</v>
      </c>
      <c r="AD4589">
        <f t="shared" si="143"/>
        <v>4</v>
      </c>
    </row>
    <row r="4590" spans="1:30" x14ac:dyDescent="0.25">
      <c r="A4590" t="s">
        <v>4614</v>
      </c>
      <c r="B4590" s="2">
        <v>44599</v>
      </c>
      <c r="C4590" s="2">
        <v>44603</v>
      </c>
      <c r="D4590" t="s">
        <v>5161</v>
      </c>
      <c r="E4590" t="s">
        <v>5661</v>
      </c>
      <c r="F4590" t="s">
        <v>6028</v>
      </c>
      <c r="G4590" t="s">
        <v>6031</v>
      </c>
      <c r="H4590" t="s">
        <v>6037</v>
      </c>
      <c r="I4590" t="s">
        <v>6050</v>
      </c>
      <c r="J4590" t="s">
        <v>6054</v>
      </c>
      <c r="K4590" t="s">
        <v>6059</v>
      </c>
      <c r="L4590" t="s">
        <v>9641</v>
      </c>
      <c r="M4590">
        <v>187.91</v>
      </c>
      <c r="N4590">
        <v>7</v>
      </c>
      <c r="O4590">
        <v>0.14000000000000001</v>
      </c>
      <c r="P4590">
        <v>5.0199999999999996</v>
      </c>
      <c r="Q4590" t="s">
        <v>9893</v>
      </c>
      <c r="R4590">
        <v>4</v>
      </c>
      <c r="S4590" s="5">
        <f t="shared" si="142"/>
        <v>2.6714916715448882E-2</v>
      </c>
      <c r="T4590">
        <v>26.844285714285711</v>
      </c>
      <c r="U4590">
        <v>2</v>
      </c>
      <c r="V4590">
        <v>2022</v>
      </c>
      <c r="W4590">
        <v>1</v>
      </c>
      <c r="X4590" t="s">
        <v>9899</v>
      </c>
      <c r="Y4590" t="s">
        <v>9901</v>
      </c>
      <c r="Z4590" t="s">
        <v>9899</v>
      </c>
      <c r="AD4590">
        <f t="shared" si="143"/>
        <v>4</v>
      </c>
    </row>
    <row r="4591" spans="1:30" x14ac:dyDescent="0.25">
      <c r="A4591" t="s">
        <v>4615</v>
      </c>
      <c r="B4591" s="2">
        <v>44739</v>
      </c>
      <c r="C4591" s="2">
        <v>44741</v>
      </c>
      <c r="D4591" t="s">
        <v>5468</v>
      </c>
      <c r="E4591" t="s">
        <v>5968</v>
      </c>
      <c r="F4591" t="s">
        <v>6028</v>
      </c>
      <c r="G4591" t="s">
        <v>6030</v>
      </c>
      <c r="H4591" t="s">
        <v>6039</v>
      </c>
      <c r="I4591" t="s">
        <v>6051</v>
      </c>
      <c r="J4591" t="s">
        <v>6055</v>
      </c>
      <c r="K4591" t="s">
        <v>6061</v>
      </c>
      <c r="L4591" t="s">
        <v>9642</v>
      </c>
      <c r="M4591">
        <v>1620.05</v>
      </c>
      <c r="N4591">
        <v>5</v>
      </c>
      <c r="O4591">
        <v>0.35</v>
      </c>
      <c r="P4591">
        <v>-172.3</v>
      </c>
      <c r="Q4591" t="s">
        <v>9894</v>
      </c>
      <c r="R4591">
        <v>2</v>
      </c>
      <c r="S4591" s="5">
        <f t="shared" si="142"/>
        <v>-0.10635474213758836</v>
      </c>
      <c r="T4591">
        <v>324.01</v>
      </c>
      <c r="U4591">
        <v>6</v>
      </c>
      <c r="V4591">
        <v>2022</v>
      </c>
      <c r="W4591">
        <v>2</v>
      </c>
      <c r="X4591" t="s">
        <v>9898</v>
      </c>
      <c r="Y4591" t="s">
        <v>9902</v>
      </c>
      <c r="Z4591" t="s">
        <v>9898</v>
      </c>
      <c r="AD4591">
        <f t="shared" si="143"/>
        <v>2</v>
      </c>
    </row>
    <row r="4592" spans="1:30" x14ac:dyDescent="0.25">
      <c r="A4592" t="s">
        <v>4616</v>
      </c>
      <c r="B4592" s="2">
        <v>45139</v>
      </c>
      <c r="C4592" s="2">
        <v>45144</v>
      </c>
      <c r="D4592" t="s">
        <v>5335</v>
      </c>
      <c r="E4592" t="s">
        <v>5835</v>
      </c>
      <c r="F4592" t="s">
        <v>6027</v>
      </c>
      <c r="G4592" t="s">
        <v>6029</v>
      </c>
      <c r="H4592" t="s">
        <v>6032</v>
      </c>
      <c r="I4592" t="s">
        <v>6050</v>
      </c>
      <c r="J4592" t="s">
        <v>6053</v>
      </c>
      <c r="K4592" t="s">
        <v>6056</v>
      </c>
      <c r="L4592" t="s">
        <v>9643</v>
      </c>
      <c r="M4592">
        <v>994.16</v>
      </c>
      <c r="N4592">
        <v>7</v>
      </c>
      <c r="O4592">
        <v>0.02</v>
      </c>
      <c r="P4592">
        <v>197.57</v>
      </c>
      <c r="Q4592" t="s">
        <v>9896</v>
      </c>
      <c r="R4592">
        <v>5</v>
      </c>
      <c r="S4592" s="5">
        <f t="shared" si="142"/>
        <v>0.19873058662589524</v>
      </c>
      <c r="T4592">
        <v>142.02285714285711</v>
      </c>
      <c r="U4592">
        <v>8</v>
      </c>
      <c r="V4592">
        <v>2023</v>
      </c>
      <c r="W4592">
        <v>3</v>
      </c>
      <c r="X4592" t="s">
        <v>9899</v>
      </c>
      <c r="Y4592" t="s">
        <v>9901</v>
      </c>
      <c r="Z4592" t="s">
        <v>9899</v>
      </c>
      <c r="AD4592">
        <f t="shared" si="143"/>
        <v>5</v>
      </c>
    </row>
    <row r="4593" spans="1:30" x14ac:dyDescent="0.25">
      <c r="A4593" t="s">
        <v>4617</v>
      </c>
      <c r="B4593" s="2">
        <v>44615</v>
      </c>
      <c r="C4593" s="2">
        <v>44621</v>
      </c>
      <c r="D4593" t="s">
        <v>5078</v>
      </c>
      <c r="E4593" t="s">
        <v>5578</v>
      </c>
      <c r="F4593" t="s">
        <v>6027</v>
      </c>
      <c r="G4593" t="s">
        <v>6029</v>
      </c>
      <c r="H4593" t="s">
        <v>6044</v>
      </c>
      <c r="I4593" t="s">
        <v>6046</v>
      </c>
      <c r="J4593" t="s">
        <v>6055</v>
      </c>
      <c r="K4593" t="s">
        <v>6063</v>
      </c>
      <c r="L4593" t="s">
        <v>6960</v>
      </c>
      <c r="M4593">
        <v>1158.9100000000001</v>
      </c>
      <c r="N4593">
        <v>8</v>
      </c>
      <c r="O4593">
        <v>0.26</v>
      </c>
      <c r="P4593">
        <v>5.94</v>
      </c>
      <c r="Q4593" t="s">
        <v>9893</v>
      </c>
      <c r="R4593">
        <v>6</v>
      </c>
      <c r="S4593" s="5">
        <f t="shared" si="142"/>
        <v>5.1255058632680706E-3</v>
      </c>
      <c r="T4593">
        <v>144.86375000000001</v>
      </c>
      <c r="U4593">
        <v>2</v>
      </c>
      <c r="V4593">
        <v>2022</v>
      </c>
      <c r="W4593">
        <v>1</v>
      </c>
      <c r="X4593" t="s">
        <v>9899</v>
      </c>
      <c r="Y4593" t="s">
        <v>9900</v>
      </c>
      <c r="Z4593" t="s">
        <v>9898</v>
      </c>
      <c r="AD4593">
        <f t="shared" si="143"/>
        <v>6</v>
      </c>
    </row>
    <row r="4594" spans="1:30" x14ac:dyDescent="0.25">
      <c r="A4594" t="s">
        <v>4618</v>
      </c>
      <c r="B4594" s="2">
        <v>44903</v>
      </c>
      <c r="C4594" s="2">
        <v>44906</v>
      </c>
      <c r="D4594" t="s">
        <v>5512</v>
      </c>
      <c r="E4594" t="s">
        <v>6012</v>
      </c>
      <c r="F4594" t="s">
        <v>6026</v>
      </c>
      <c r="G4594" t="s">
        <v>6029</v>
      </c>
      <c r="H4594" t="s">
        <v>6036</v>
      </c>
      <c r="I4594" t="s">
        <v>6049</v>
      </c>
      <c r="J4594" t="s">
        <v>6053</v>
      </c>
      <c r="K4594" t="s">
        <v>6057</v>
      </c>
      <c r="L4594" t="s">
        <v>9644</v>
      </c>
      <c r="M4594">
        <v>1038.9100000000001</v>
      </c>
      <c r="N4594">
        <v>4</v>
      </c>
      <c r="O4594">
        <v>0</v>
      </c>
      <c r="P4594">
        <v>186.73</v>
      </c>
      <c r="Q4594" t="s">
        <v>9896</v>
      </c>
      <c r="R4594">
        <v>3</v>
      </c>
      <c r="S4594" s="5">
        <f t="shared" si="142"/>
        <v>0.1797364545533299</v>
      </c>
      <c r="T4594">
        <v>259.72750000000002</v>
      </c>
      <c r="U4594">
        <v>12</v>
      </c>
      <c r="V4594">
        <v>2022</v>
      </c>
      <c r="W4594">
        <v>4</v>
      </c>
      <c r="X4594" t="s">
        <v>9899</v>
      </c>
      <c r="Y4594" t="s">
        <v>9901</v>
      </c>
      <c r="Z4594" t="s">
        <v>9898</v>
      </c>
      <c r="AD4594">
        <f t="shared" si="143"/>
        <v>3</v>
      </c>
    </row>
    <row r="4595" spans="1:30" x14ac:dyDescent="0.25">
      <c r="A4595" t="s">
        <v>4619</v>
      </c>
      <c r="B4595" s="2">
        <v>45049</v>
      </c>
      <c r="C4595" s="2">
        <v>45054</v>
      </c>
      <c r="D4595" t="s">
        <v>5224</v>
      </c>
      <c r="E4595" t="s">
        <v>5724</v>
      </c>
      <c r="F4595" t="s">
        <v>6028</v>
      </c>
      <c r="G4595" t="s">
        <v>6029</v>
      </c>
      <c r="H4595" t="s">
        <v>6036</v>
      </c>
      <c r="I4595" t="s">
        <v>6049</v>
      </c>
      <c r="J4595" t="s">
        <v>6055</v>
      </c>
      <c r="K4595" t="s">
        <v>6061</v>
      </c>
      <c r="L4595" t="s">
        <v>9645</v>
      </c>
      <c r="M4595">
        <v>1777.08</v>
      </c>
      <c r="N4595">
        <v>3</v>
      </c>
      <c r="O4595">
        <v>0.22</v>
      </c>
      <c r="P4595">
        <v>-91.73</v>
      </c>
      <c r="Q4595" t="s">
        <v>9896</v>
      </c>
      <c r="R4595">
        <v>5</v>
      </c>
      <c r="S4595" s="5">
        <f t="shared" si="142"/>
        <v>-5.1618385216197361E-2</v>
      </c>
      <c r="T4595">
        <v>592.36</v>
      </c>
      <c r="U4595">
        <v>5</v>
      </c>
      <c r="V4595">
        <v>2023</v>
      </c>
      <c r="W4595">
        <v>2</v>
      </c>
      <c r="X4595" t="s">
        <v>9898</v>
      </c>
      <c r="Y4595" t="s">
        <v>9900</v>
      </c>
      <c r="Z4595" t="s">
        <v>9898</v>
      </c>
      <c r="AD4595">
        <f t="shared" si="143"/>
        <v>5</v>
      </c>
    </row>
    <row r="4596" spans="1:30" x14ac:dyDescent="0.25">
      <c r="A4596" t="s">
        <v>4620</v>
      </c>
      <c r="B4596" s="2">
        <v>44615</v>
      </c>
      <c r="C4596" s="2">
        <v>44621</v>
      </c>
      <c r="D4596" t="s">
        <v>5506</v>
      </c>
      <c r="E4596" t="s">
        <v>6006</v>
      </c>
      <c r="F4596" t="s">
        <v>6028</v>
      </c>
      <c r="G4596" t="s">
        <v>6030</v>
      </c>
      <c r="H4596" t="s">
        <v>6033</v>
      </c>
      <c r="I4596" t="s">
        <v>6047</v>
      </c>
      <c r="J4596" t="s">
        <v>6054</v>
      </c>
      <c r="K4596" t="s">
        <v>6062</v>
      </c>
      <c r="L4596" t="s">
        <v>9646</v>
      </c>
      <c r="M4596">
        <v>1403.27</v>
      </c>
      <c r="N4596">
        <v>2</v>
      </c>
      <c r="O4596">
        <v>0.17</v>
      </c>
      <c r="P4596">
        <v>1.1399999999999999</v>
      </c>
      <c r="Q4596" t="s">
        <v>9894</v>
      </c>
      <c r="R4596">
        <v>6</v>
      </c>
      <c r="S4596" s="5">
        <f t="shared" si="142"/>
        <v>8.1238820754380835E-4</v>
      </c>
      <c r="T4596">
        <v>701.63499999999999</v>
      </c>
      <c r="U4596">
        <v>2</v>
      </c>
      <c r="V4596">
        <v>2022</v>
      </c>
      <c r="W4596">
        <v>1</v>
      </c>
      <c r="X4596" t="s">
        <v>9899</v>
      </c>
      <c r="Y4596" t="s">
        <v>9900</v>
      </c>
      <c r="Z4596" t="s">
        <v>9898</v>
      </c>
      <c r="AD4596">
        <f t="shared" si="143"/>
        <v>6</v>
      </c>
    </row>
    <row r="4597" spans="1:30" x14ac:dyDescent="0.25">
      <c r="A4597" t="s">
        <v>4621</v>
      </c>
      <c r="B4597" s="2">
        <v>44851</v>
      </c>
      <c r="C4597" s="2">
        <v>44855</v>
      </c>
      <c r="D4597" t="s">
        <v>5495</v>
      </c>
      <c r="E4597" t="s">
        <v>5995</v>
      </c>
      <c r="F4597" t="s">
        <v>6028</v>
      </c>
      <c r="G4597" t="s">
        <v>6029</v>
      </c>
      <c r="H4597" t="s">
        <v>6044</v>
      </c>
      <c r="I4597" t="s">
        <v>6049</v>
      </c>
      <c r="J4597" t="s">
        <v>6053</v>
      </c>
      <c r="K4597" t="s">
        <v>6056</v>
      </c>
      <c r="L4597" t="s">
        <v>9647</v>
      </c>
      <c r="M4597">
        <v>816.58</v>
      </c>
      <c r="N4597">
        <v>6</v>
      </c>
      <c r="O4597">
        <v>0.09</v>
      </c>
      <c r="P4597">
        <v>109.13</v>
      </c>
      <c r="Q4597" t="s">
        <v>9895</v>
      </c>
      <c r="R4597">
        <v>4</v>
      </c>
      <c r="S4597" s="5">
        <f t="shared" si="142"/>
        <v>0.13364275392490629</v>
      </c>
      <c r="T4597">
        <v>136.09666666666669</v>
      </c>
      <c r="U4597">
        <v>10</v>
      </c>
      <c r="V4597">
        <v>2022</v>
      </c>
      <c r="W4597">
        <v>4</v>
      </c>
      <c r="X4597" t="s">
        <v>9899</v>
      </c>
      <c r="Y4597" t="s">
        <v>9901</v>
      </c>
      <c r="Z4597" t="s">
        <v>9899</v>
      </c>
      <c r="AD4597">
        <f t="shared" si="143"/>
        <v>4</v>
      </c>
    </row>
    <row r="4598" spans="1:30" x14ac:dyDescent="0.25">
      <c r="A4598" t="s">
        <v>4622</v>
      </c>
      <c r="B4598" s="2">
        <v>45110</v>
      </c>
      <c r="C4598" s="2">
        <v>45115</v>
      </c>
      <c r="D4598" t="s">
        <v>5190</v>
      </c>
      <c r="E4598" t="s">
        <v>5690</v>
      </c>
      <c r="F4598" t="s">
        <v>6026</v>
      </c>
      <c r="G4598" t="s">
        <v>6031</v>
      </c>
      <c r="H4598" t="s">
        <v>6034</v>
      </c>
      <c r="I4598" t="s">
        <v>6050</v>
      </c>
      <c r="J4598" t="s">
        <v>6055</v>
      </c>
      <c r="K4598" t="s">
        <v>6063</v>
      </c>
      <c r="L4598" t="s">
        <v>8735</v>
      </c>
      <c r="M4598">
        <v>1346.37</v>
      </c>
      <c r="N4598">
        <v>7</v>
      </c>
      <c r="O4598">
        <v>0.22</v>
      </c>
      <c r="P4598">
        <v>-9.9700000000000006</v>
      </c>
      <c r="Q4598" t="s">
        <v>9897</v>
      </c>
      <c r="R4598">
        <v>5</v>
      </c>
      <c r="S4598" s="5">
        <f t="shared" si="142"/>
        <v>-7.4050966673351315E-3</v>
      </c>
      <c r="T4598">
        <v>192.33857142857141</v>
      </c>
      <c r="U4598">
        <v>7</v>
      </c>
      <c r="V4598">
        <v>2023</v>
      </c>
      <c r="W4598">
        <v>3</v>
      </c>
      <c r="X4598" t="s">
        <v>9898</v>
      </c>
      <c r="Y4598" t="s">
        <v>9900</v>
      </c>
      <c r="Z4598" t="s">
        <v>9898</v>
      </c>
      <c r="AD4598">
        <f t="shared" si="143"/>
        <v>5</v>
      </c>
    </row>
    <row r="4599" spans="1:30" x14ac:dyDescent="0.25">
      <c r="A4599" t="s">
        <v>4623</v>
      </c>
      <c r="B4599" s="2">
        <v>45076</v>
      </c>
      <c r="C4599" s="2">
        <v>45077</v>
      </c>
      <c r="D4599" t="s">
        <v>5114</v>
      </c>
      <c r="E4599" t="s">
        <v>5614</v>
      </c>
      <c r="F4599" t="s">
        <v>6028</v>
      </c>
      <c r="G4599" t="s">
        <v>6031</v>
      </c>
      <c r="H4599" t="s">
        <v>6040</v>
      </c>
      <c r="I4599" t="s">
        <v>6052</v>
      </c>
      <c r="J4599" t="s">
        <v>6055</v>
      </c>
      <c r="K4599" t="s">
        <v>6061</v>
      </c>
      <c r="L4599" t="s">
        <v>9648</v>
      </c>
      <c r="M4599">
        <v>1503.91</v>
      </c>
      <c r="N4599">
        <v>1</v>
      </c>
      <c r="O4599">
        <v>0.11</v>
      </c>
      <c r="P4599">
        <v>169.37</v>
      </c>
      <c r="Q4599" t="s">
        <v>9894</v>
      </c>
      <c r="R4599">
        <v>1</v>
      </c>
      <c r="S4599" s="5">
        <f t="shared" si="142"/>
        <v>0.11261977112992133</v>
      </c>
      <c r="T4599">
        <v>1503.91</v>
      </c>
      <c r="U4599">
        <v>5</v>
      </c>
      <c r="V4599">
        <v>2023</v>
      </c>
      <c r="W4599">
        <v>2</v>
      </c>
      <c r="X4599" t="s">
        <v>9899</v>
      </c>
      <c r="Y4599" t="s">
        <v>9901</v>
      </c>
      <c r="Z4599" t="s">
        <v>9898</v>
      </c>
      <c r="AD4599">
        <f t="shared" si="143"/>
        <v>1</v>
      </c>
    </row>
    <row r="4600" spans="1:30" x14ac:dyDescent="0.25">
      <c r="A4600" t="s">
        <v>4624</v>
      </c>
      <c r="B4600" s="2">
        <v>44692</v>
      </c>
      <c r="C4600" s="2">
        <v>44694</v>
      </c>
      <c r="D4600" t="s">
        <v>5342</v>
      </c>
      <c r="E4600" t="s">
        <v>5842</v>
      </c>
      <c r="F4600" t="s">
        <v>6027</v>
      </c>
      <c r="G4600" t="s">
        <v>6030</v>
      </c>
      <c r="H4600" t="s">
        <v>6033</v>
      </c>
      <c r="I4600" t="s">
        <v>6047</v>
      </c>
      <c r="J4600" t="s">
        <v>6055</v>
      </c>
      <c r="K4600" t="s">
        <v>6061</v>
      </c>
      <c r="L4600" t="s">
        <v>7457</v>
      </c>
      <c r="M4600">
        <v>302.39999999999998</v>
      </c>
      <c r="N4600">
        <v>8</v>
      </c>
      <c r="O4600">
        <v>0.3</v>
      </c>
      <c r="P4600">
        <v>-19.96</v>
      </c>
      <c r="Q4600" t="s">
        <v>9896</v>
      </c>
      <c r="R4600">
        <v>2</v>
      </c>
      <c r="S4600" s="5">
        <f t="shared" si="142"/>
        <v>-6.6005291005291011E-2</v>
      </c>
      <c r="T4600">
        <v>37.799999999999997</v>
      </c>
      <c r="U4600">
        <v>5</v>
      </c>
      <c r="V4600">
        <v>2022</v>
      </c>
      <c r="W4600">
        <v>2</v>
      </c>
      <c r="X4600" t="s">
        <v>9898</v>
      </c>
      <c r="Y4600" t="s">
        <v>9900</v>
      </c>
      <c r="Z4600" t="s">
        <v>9899</v>
      </c>
      <c r="AD4600">
        <f t="shared" si="143"/>
        <v>2</v>
      </c>
    </row>
    <row r="4601" spans="1:30" x14ac:dyDescent="0.25">
      <c r="A4601" t="s">
        <v>4625</v>
      </c>
      <c r="B4601" s="2">
        <v>44983</v>
      </c>
      <c r="C4601" s="2">
        <v>44990</v>
      </c>
      <c r="D4601" t="s">
        <v>5475</v>
      </c>
      <c r="E4601" t="s">
        <v>5975</v>
      </c>
      <c r="F4601" t="s">
        <v>6027</v>
      </c>
      <c r="G4601" t="s">
        <v>6029</v>
      </c>
      <c r="H4601" t="s">
        <v>6032</v>
      </c>
      <c r="I4601" t="s">
        <v>6046</v>
      </c>
      <c r="J4601" t="s">
        <v>6053</v>
      </c>
      <c r="K4601" t="s">
        <v>6056</v>
      </c>
      <c r="L4601" t="s">
        <v>9649</v>
      </c>
      <c r="M4601">
        <v>507.44</v>
      </c>
      <c r="N4601">
        <v>2</v>
      </c>
      <c r="O4601">
        <v>0.14000000000000001</v>
      </c>
      <c r="P4601">
        <v>78.62</v>
      </c>
      <c r="Q4601" t="s">
        <v>9895</v>
      </c>
      <c r="R4601">
        <v>7</v>
      </c>
      <c r="S4601" s="5">
        <f t="shared" si="142"/>
        <v>0.15493457354564089</v>
      </c>
      <c r="T4601">
        <v>253.72</v>
      </c>
      <c r="U4601">
        <v>2</v>
      </c>
      <c r="V4601">
        <v>2023</v>
      </c>
      <c r="W4601">
        <v>1</v>
      </c>
      <c r="X4601" t="s">
        <v>9899</v>
      </c>
      <c r="Y4601" t="s">
        <v>9901</v>
      </c>
      <c r="Z4601" t="s">
        <v>9899</v>
      </c>
      <c r="AD4601">
        <f t="shared" si="143"/>
        <v>7</v>
      </c>
    </row>
    <row r="4602" spans="1:30" x14ac:dyDescent="0.25">
      <c r="A4602" t="s">
        <v>4626</v>
      </c>
      <c r="B4602" s="2">
        <v>45254</v>
      </c>
      <c r="C4602" s="2">
        <v>45256</v>
      </c>
      <c r="D4602" t="s">
        <v>5279</v>
      </c>
      <c r="E4602" t="s">
        <v>5779</v>
      </c>
      <c r="F4602" t="s">
        <v>6026</v>
      </c>
      <c r="G4602" t="s">
        <v>6030</v>
      </c>
      <c r="H4602" t="s">
        <v>6039</v>
      </c>
      <c r="I4602" t="s">
        <v>6051</v>
      </c>
      <c r="J4602" t="s">
        <v>6055</v>
      </c>
      <c r="K4602" t="s">
        <v>6061</v>
      </c>
      <c r="L4602" t="s">
        <v>9650</v>
      </c>
      <c r="M4602">
        <v>1253.54</v>
      </c>
      <c r="N4602">
        <v>2</v>
      </c>
      <c r="O4602">
        <v>0.1</v>
      </c>
      <c r="P4602">
        <v>1.1399999999999999</v>
      </c>
      <c r="Q4602" t="s">
        <v>9895</v>
      </c>
      <c r="R4602">
        <v>2</v>
      </c>
      <c r="S4602" s="5">
        <f t="shared" si="142"/>
        <v>9.0942450978827956E-4</v>
      </c>
      <c r="T4602">
        <v>626.77</v>
      </c>
      <c r="U4602">
        <v>11</v>
      </c>
      <c r="V4602">
        <v>2023</v>
      </c>
      <c r="W4602">
        <v>4</v>
      </c>
      <c r="X4602" t="s">
        <v>9899</v>
      </c>
      <c r="Y4602" t="s">
        <v>9901</v>
      </c>
      <c r="Z4602" t="s">
        <v>9898</v>
      </c>
      <c r="AD4602">
        <f t="shared" si="143"/>
        <v>2</v>
      </c>
    </row>
    <row r="4603" spans="1:30" x14ac:dyDescent="0.25">
      <c r="A4603" t="s">
        <v>4627</v>
      </c>
      <c r="B4603" s="2">
        <v>44593</v>
      </c>
      <c r="C4603" s="2">
        <v>44594</v>
      </c>
      <c r="D4603" t="s">
        <v>5182</v>
      </c>
      <c r="E4603" t="s">
        <v>5682</v>
      </c>
      <c r="F4603" t="s">
        <v>6027</v>
      </c>
      <c r="G4603" t="s">
        <v>6029</v>
      </c>
      <c r="H4603" t="s">
        <v>6036</v>
      </c>
      <c r="I4603" t="s">
        <v>6050</v>
      </c>
      <c r="J4603" t="s">
        <v>6054</v>
      </c>
      <c r="K4603" t="s">
        <v>6062</v>
      </c>
      <c r="L4603" t="s">
        <v>8407</v>
      </c>
      <c r="M4603">
        <v>1448.42</v>
      </c>
      <c r="N4603">
        <v>6</v>
      </c>
      <c r="O4603">
        <v>0.27</v>
      </c>
      <c r="P4603">
        <v>-69.98</v>
      </c>
      <c r="Q4603" t="s">
        <v>9895</v>
      </c>
      <c r="R4603">
        <v>1</v>
      </c>
      <c r="S4603" s="5">
        <f t="shared" si="142"/>
        <v>-4.8314715344996616E-2</v>
      </c>
      <c r="T4603">
        <v>241.40333333333331</v>
      </c>
      <c r="U4603">
        <v>2</v>
      </c>
      <c r="V4603">
        <v>2022</v>
      </c>
      <c r="W4603">
        <v>1</v>
      </c>
      <c r="X4603" t="s">
        <v>9898</v>
      </c>
      <c r="Y4603" t="s">
        <v>9900</v>
      </c>
      <c r="Z4603" t="s">
        <v>9898</v>
      </c>
      <c r="AD4603">
        <f t="shared" si="143"/>
        <v>1</v>
      </c>
    </row>
    <row r="4604" spans="1:30" x14ac:dyDescent="0.25">
      <c r="A4604" t="s">
        <v>4628</v>
      </c>
      <c r="B4604" s="2">
        <v>45187</v>
      </c>
      <c r="C4604" s="2">
        <v>45189</v>
      </c>
      <c r="D4604" t="s">
        <v>5108</v>
      </c>
      <c r="E4604" t="s">
        <v>5608</v>
      </c>
      <c r="F4604" t="s">
        <v>6026</v>
      </c>
      <c r="G4604" t="s">
        <v>6031</v>
      </c>
      <c r="H4604" t="s">
        <v>6042</v>
      </c>
      <c r="I4604" t="s">
        <v>6048</v>
      </c>
      <c r="J4604" t="s">
        <v>6054</v>
      </c>
      <c r="K4604" t="s">
        <v>6062</v>
      </c>
      <c r="L4604" t="s">
        <v>8850</v>
      </c>
      <c r="M4604">
        <v>1086.25</v>
      </c>
      <c r="N4604">
        <v>5</v>
      </c>
      <c r="O4604">
        <v>0.31</v>
      </c>
      <c r="P4604">
        <v>-195.86</v>
      </c>
      <c r="Q4604" t="s">
        <v>9893</v>
      </c>
      <c r="R4604">
        <v>2</v>
      </c>
      <c r="S4604" s="5">
        <f t="shared" si="142"/>
        <v>-0.1803084004602992</v>
      </c>
      <c r="T4604">
        <v>217.25</v>
      </c>
      <c r="U4604">
        <v>9</v>
      </c>
      <c r="V4604">
        <v>2023</v>
      </c>
      <c r="W4604">
        <v>3</v>
      </c>
      <c r="X4604" t="s">
        <v>9898</v>
      </c>
      <c r="Y4604" t="s">
        <v>9902</v>
      </c>
      <c r="Z4604" t="s">
        <v>9898</v>
      </c>
      <c r="AD4604">
        <f t="shared" si="143"/>
        <v>2</v>
      </c>
    </row>
    <row r="4605" spans="1:30" x14ac:dyDescent="0.25">
      <c r="A4605" t="s">
        <v>4629</v>
      </c>
      <c r="B4605" s="2">
        <v>44762</v>
      </c>
      <c r="C4605" s="2">
        <v>44769</v>
      </c>
      <c r="D4605" t="s">
        <v>5163</v>
      </c>
      <c r="E4605" t="s">
        <v>5663</v>
      </c>
      <c r="F4605" t="s">
        <v>6027</v>
      </c>
      <c r="G4605" t="s">
        <v>6030</v>
      </c>
      <c r="H4605" t="s">
        <v>6038</v>
      </c>
      <c r="I4605" t="s">
        <v>6051</v>
      </c>
      <c r="J4605" t="s">
        <v>6053</v>
      </c>
      <c r="K4605" t="s">
        <v>6057</v>
      </c>
      <c r="L4605" t="s">
        <v>9651</v>
      </c>
      <c r="M4605">
        <v>1776.11</v>
      </c>
      <c r="N4605">
        <v>3</v>
      </c>
      <c r="O4605">
        <v>0.19</v>
      </c>
      <c r="P4605">
        <v>100.41</v>
      </c>
      <c r="Q4605" t="s">
        <v>9895</v>
      </c>
      <c r="R4605">
        <v>7</v>
      </c>
      <c r="S4605" s="5">
        <f t="shared" si="142"/>
        <v>5.6533660640388263E-2</v>
      </c>
      <c r="T4605">
        <v>592.03666666666663</v>
      </c>
      <c r="U4605">
        <v>7</v>
      </c>
      <c r="V4605">
        <v>2022</v>
      </c>
      <c r="W4605">
        <v>3</v>
      </c>
      <c r="X4605" t="s">
        <v>9899</v>
      </c>
      <c r="Y4605" t="s">
        <v>9900</v>
      </c>
      <c r="Z4605" t="s">
        <v>9898</v>
      </c>
      <c r="AD4605">
        <f t="shared" si="143"/>
        <v>7</v>
      </c>
    </row>
    <row r="4606" spans="1:30" x14ac:dyDescent="0.25">
      <c r="A4606" t="s">
        <v>4630</v>
      </c>
      <c r="B4606" s="2">
        <v>44724</v>
      </c>
      <c r="C4606" s="2">
        <v>44725</v>
      </c>
      <c r="D4606" t="s">
        <v>5122</v>
      </c>
      <c r="E4606" t="s">
        <v>5622</v>
      </c>
      <c r="F4606" t="s">
        <v>6027</v>
      </c>
      <c r="G4606" t="s">
        <v>6031</v>
      </c>
      <c r="H4606" t="s">
        <v>6037</v>
      </c>
      <c r="I4606" t="s">
        <v>6050</v>
      </c>
      <c r="J4606" t="s">
        <v>6055</v>
      </c>
      <c r="K4606" t="s">
        <v>6061</v>
      </c>
      <c r="L4606" t="s">
        <v>7973</v>
      </c>
      <c r="M4606">
        <v>1238.49</v>
      </c>
      <c r="N4606">
        <v>5</v>
      </c>
      <c r="O4606">
        <v>0.33</v>
      </c>
      <c r="P4606">
        <v>-155.78</v>
      </c>
      <c r="Q4606" t="s">
        <v>9893</v>
      </c>
      <c r="R4606">
        <v>1</v>
      </c>
      <c r="S4606" s="5">
        <f t="shared" si="142"/>
        <v>-0.12578220252081163</v>
      </c>
      <c r="T4606">
        <v>247.69800000000001</v>
      </c>
      <c r="U4606">
        <v>6</v>
      </c>
      <c r="V4606">
        <v>2022</v>
      </c>
      <c r="W4606">
        <v>2</v>
      </c>
      <c r="X4606" t="s">
        <v>9898</v>
      </c>
      <c r="Y4606" t="s">
        <v>9902</v>
      </c>
      <c r="Z4606" t="s">
        <v>9898</v>
      </c>
      <c r="AD4606">
        <f t="shared" si="143"/>
        <v>1</v>
      </c>
    </row>
    <row r="4607" spans="1:30" x14ac:dyDescent="0.25">
      <c r="A4607" t="s">
        <v>4631</v>
      </c>
      <c r="B4607" s="2">
        <v>45072</v>
      </c>
      <c r="C4607" s="2">
        <v>45077</v>
      </c>
      <c r="D4607" t="s">
        <v>5198</v>
      </c>
      <c r="E4607" t="s">
        <v>5698</v>
      </c>
      <c r="F4607" t="s">
        <v>6026</v>
      </c>
      <c r="G4607" t="s">
        <v>6030</v>
      </c>
      <c r="H4607" t="s">
        <v>6033</v>
      </c>
      <c r="I4607" t="s">
        <v>6047</v>
      </c>
      <c r="J4607" t="s">
        <v>6054</v>
      </c>
      <c r="K4607" t="s">
        <v>6062</v>
      </c>
      <c r="L4607" t="s">
        <v>6645</v>
      </c>
      <c r="M4607">
        <v>305.05</v>
      </c>
      <c r="N4607">
        <v>4</v>
      </c>
      <c r="O4607">
        <v>0.15</v>
      </c>
      <c r="P4607">
        <v>0.41</v>
      </c>
      <c r="Q4607" t="s">
        <v>9893</v>
      </c>
      <c r="R4607">
        <v>5</v>
      </c>
      <c r="S4607" s="5">
        <f t="shared" si="142"/>
        <v>1.3440419603343713E-3</v>
      </c>
      <c r="T4607">
        <v>76.262500000000003</v>
      </c>
      <c r="U4607">
        <v>5</v>
      </c>
      <c r="V4607">
        <v>2023</v>
      </c>
      <c r="W4607">
        <v>2</v>
      </c>
      <c r="X4607" t="s">
        <v>9899</v>
      </c>
      <c r="Y4607" t="s">
        <v>9901</v>
      </c>
      <c r="Z4607" t="s">
        <v>9899</v>
      </c>
      <c r="AD4607">
        <f t="shared" si="143"/>
        <v>5</v>
      </c>
    </row>
    <row r="4608" spans="1:30" x14ac:dyDescent="0.25">
      <c r="A4608" t="s">
        <v>4632</v>
      </c>
      <c r="B4608" s="2">
        <v>45222</v>
      </c>
      <c r="C4608" s="2">
        <v>45224</v>
      </c>
      <c r="D4608" t="s">
        <v>5414</v>
      </c>
      <c r="E4608" t="s">
        <v>5914</v>
      </c>
      <c r="F4608" t="s">
        <v>6026</v>
      </c>
      <c r="G4608" t="s">
        <v>6030</v>
      </c>
      <c r="H4608" t="s">
        <v>6033</v>
      </c>
      <c r="I4608" t="s">
        <v>6047</v>
      </c>
      <c r="J4608" t="s">
        <v>6054</v>
      </c>
      <c r="K4608" t="s">
        <v>6062</v>
      </c>
      <c r="L4608" t="s">
        <v>9652</v>
      </c>
      <c r="M4608">
        <v>996.96</v>
      </c>
      <c r="N4608">
        <v>5</v>
      </c>
      <c r="O4608">
        <v>0.28000000000000003</v>
      </c>
      <c r="P4608">
        <v>-135.26</v>
      </c>
      <c r="Q4608" t="s">
        <v>9897</v>
      </c>
      <c r="R4608">
        <v>2</v>
      </c>
      <c r="S4608" s="5">
        <f t="shared" si="142"/>
        <v>-0.1356724442304606</v>
      </c>
      <c r="T4608">
        <v>199.392</v>
      </c>
      <c r="U4608">
        <v>10</v>
      </c>
      <c r="V4608">
        <v>2023</v>
      </c>
      <c r="W4608">
        <v>4</v>
      </c>
      <c r="X4608" t="s">
        <v>9898</v>
      </c>
      <c r="Y4608" t="s">
        <v>9900</v>
      </c>
      <c r="Z4608" t="s">
        <v>9899</v>
      </c>
      <c r="AD4608">
        <f t="shared" si="143"/>
        <v>2</v>
      </c>
    </row>
    <row r="4609" spans="1:30" x14ac:dyDescent="0.25">
      <c r="A4609" t="s">
        <v>4633</v>
      </c>
      <c r="B4609" s="2">
        <v>45347</v>
      </c>
      <c r="C4609" s="2">
        <v>45351</v>
      </c>
      <c r="D4609" t="s">
        <v>5410</v>
      </c>
      <c r="E4609" t="s">
        <v>5910</v>
      </c>
      <c r="F4609" t="s">
        <v>6026</v>
      </c>
      <c r="G4609" t="s">
        <v>6030</v>
      </c>
      <c r="H4609" t="s">
        <v>6035</v>
      </c>
      <c r="I4609" t="s">
        <v>6047</v>
      </c>
      <c r="J4609" t="s">
        <v>6053</v>
      </c>
      <c r="K4609" t="s">
        <v>6056</v>
      </c>
      <c r="L4609" t="s">
        <v>9653</v>
      </c>
      <c r="M4609">
        <v>1533.09</v>
      </c>
      <c r="N4609">
        <v>2</v>
      </c>
      <c r="O4609">
        <v>0.13</v>
      </c>
      <c r="P4609">
        <v>111.99</v>
      </c>
      <c r="Q4609" t="s">
        <v>9897</v>
      </c>
      <c r="R4609">
        <v>4</v>
      </c>
      <c r="S4609" s="5">
        <f t="shared" si="142"/>
        <v>7.3048549008864455E-2</v>
      </c>
      <c r="T4609">
        <v>766.54499999999996</v>
      </c>
      <c r="U4609">
        <v>2</v>
      </c>
      <c r="V4609">
        <v>2024</v>
      </c>
      <c r="W4609">
        <v>1</v>
      </c>
      <c r="X4609" t="s">
        <v>9899</v>
      </c>
      <c r="Y4609" t="s">
        <v>9901</v>
      </c>
      <c r="Z4609" t="s">
        <v>9898</v>
      </c>
      <c r="AD4609">
        <f t="shared" si="143"/>
        <v>4</v>
      </c>
    </row>
    <row r="4610" spans="1:30" x14ac:dyDescent="0.25">
      <c r="A4610" t="s">
        <v>4634</v>
      </c>
      <c r="B4610" s="2">
        <v>45026</v>
      </c>
      <c r="C4610" s="2">
        <v>45028</v>
      </c>
      <c r="D4610" t="s">
        <v>5442</v>
      </c>
      <c r="E4610" t="s">
        <v>5942</v>
      </c>
      <c r="F4610" t="s">
        <v>6026</v>
      </c>
      <c r="G4610" t="s">
        <v>6031</v>
      </c>
      <c r="H4610" t="s">
        <v>6037</v>
      </c>
      <c r="I4610" t="s">
        <v>6052</v>
      </c>
      <c r="J4610" t="s">
        <v>6054</v>
      </c>
      <c r="K4610" t="s">
        <v>6059</v>
      </c>
      <c r="L4610" t="s">
        <v>9654</v>
      </c>
      <c r="M4610">
        <v>1522.71</v>
      </c>
      <c r="N4610">
        <v>8</v>
      </c>
      <c r="O4610">
        <v>0.11</v>
      </c>
      <c r="P4610">
        <v>284.91000000000003</v>
      </c>
      <c r="Q4610" t="s">
        <v>9897</v>
      </c>
      <c r="R4610">
        <v>2</v>
      </c>
      <c r="S4610" s="5">
        <f t="shared" si="142"/>
        <v>0.18710719703686193</v>
      </c>
      <c r="T4610">
        <v>190.33875</v>
      </c>
      <c r="U4610">
        <v>4</v>
      </c>
      <c r="V4610">
        <v>2023</v>
      </c>
      <c r="W4610">
        <v>2</v>
      </c>
      <c r="X4610" t="s">
        <v>9899</v>
      </c>
      <c r="Y4610" t="s">
        <v>9901</v>
      </c>
      <c r="Z4610" t="s">
        <v>9898</v>
      </c>
      <c r="AD4610">
        <f t="shared" si="143"/>
        <v>2</v>
      </c>
    </row>
    <row r="4611" spans="1:30" x14ac:dyDescent="0.25">
      <c r="A4611" t="s">
        <v>4635</v>
      </c>
      <c r="B4611" s="2">
        <v>44577</v>
      </c>
      <c r="C4611" s="2">
        <v>44582</v>
      </c>
      <c r="D4611" t="s">
        <v>5381</v>
      </c>
      <c r="E4611" t="s">
        <v>5881</v>
      </c>
      <c r="F4611" t="s">
        <v>6028</v>
      </c>
      <c r="G4611" t="s">
        <v>6031</v>
      </c>
      <c r="H4611" t="s">
        <v>6034</v>
      </c>
      <c r="I4611" t="s">
        <v>6050</v>
      </c>
      <c r="J4611" t="s">
        <v>6055</v>
      </c>
      <c r="K4611" t="s">
        <v>6064</v>
      </c>
      <c r="L4611" t="s">
        <v>8563</v>
      </c>
      <c r="M4611">
        <v>531.46</v>
      </c>
      <c r="N4611">
        <v>8</v>
      </c>
      <c r="O4611">
        <v>0.3</v>
      </c>
      <c r="P4611">
        <v>-38.659999999999997</v>
      </c>
      <c r="Q4611" t="s">
        <v>9894</v>
      </c>
      <c r="R4611">
        <v>5</v>
      </c>
      <c r="S4611" s="5">
        <f t="shared" ref="S4611:S4674" si="144">P4611/M4611</f>
        <v>-7.2743009821999757E-2</v>
      </c>
      <c r="T4611">
        <v>66.432500000000005</v>
      </c>
      <c r="U4611">
        <v>1</v>
      </c>
      <c r="V4611">
        <v>2022</v>
      </c>
      <c r="W4611">
        <v>1</v>
      </c>
      <c r="X4611" t="s">
        <v>9898</v>
      </c>
      <c r="Y4611" t="s">
        <v>9900</v>
      </c>
      <c r="Z4611" t="s">
        <v>9899</v>
      </c>
      <c r="AD4611">
        <f t="shared" ref="AD4611:AD4674" si="145">C4611-B4611</f>
        <v>5</v>
      </c>
    </row>
    <row r="4612" spans="1:30" x14ac:dyDescent="0.25">
      <c r="A4612" t="s">
        <v>4636</v>
      </c>
      <c r="B4612" s="2">
        <v>45286</v>
      </c>
      <c r="C4612" s="2">
        <v>45293</v>
      </c>
      <c r="D4612" t="s">
        <v>5364</v>
      </c>
      <c r="E4612" t="s">
        <v>5864</v>
      </c>
      <c r="F4612" t="s">
        <v>6027</v>
      </c>
      <c r="G4612" t="s">
        <v>6029</v>
      </c>
      <c r="H4612" t="s">
        <v>6045</v>
      </c>
      <c r="I4612" t="s">
        <v>6046</v>
      </c>
      <c r="J4612" t="s">
        <v>6053</v>
      </c>
      <c r="K4612" t="s">
        <v>6057</v>
      </c>
      <c r="L4612" t="s">
        <v>8956</v>
      </c>
      <c r="M4612">
        <v>1581.72</v>
      </c>
      <c r="N4612">
        <v>6</v>
      </c>
      <c r="O4612">
        <v>0.12</v>
      </c>
      <c r="P4612">
        <v>270.11</v>
      </c>
      <c r="Q4612" t="s">
        <v>9896</v>
      </c>
      <c r="R4612">
        <v>7</v>
      </c>
      <c r="S4612" s="5">
        <f t="shared" si="144"/>
        <v>0.17076979490681032</v>
      </c>
      <c r="T4612">
        <v>263.62</v>
      </c>
      <c r="U4612">
        <v>12</v>
      </c>
      <c r="V4612">
        <v>2023</v>
      </c>
      <c r="W4612">
        <v>4</v>
      </c>
      <c r="X4612" t="s">
        <v>9899</v>
      </c>
      <c r="Y4612" t="s">
        <v>9901</v>
      </c>
      <c r="Z4612" t="s">
        <v>9898</v>
      </c>
      <c r="AD4612">
        <f t="shared" si="145"/>
        <v>7</v>
      </c>
    </row>
    <row r="4613" spans="1:30" x14ac:dyDescent="0.25">
      <c r="A4613" t="s">
        <v>4637</v>
      </c>
      <c r="B4613" s="2">
        <v>45282</v>
      </c>
      <c r="C4613" s="2">
        <v>45287</v>
      </c>
      <c r="D4613" t="s">
        <v>5472</v>
      </c>
      <c r="E4613" t="s">
        <v>5972</v>
      </c>
      <c r="F4613" t="s">
        <v>6028</v>
      </c>
      <c r="G4613" t="s">
        <v>6031</v>
      </c>
      <c r="H4613" t="s">
        <v>6043</v>
      </c>
      <c r="I4613" t="s">
        <v>6048</v>
      </c>
      <c r="J4613" t="s">
        <v>6053</v>
      </c>
      <c r="K4613" t="s">
        <v>6056</v>
      </c>
      <c r="L4613" t="s">
        <v>9655</v>
      </c>
      <c r="M4613">
        <v>210.44</v>
      </c>
      <c r="N4613">
        <v>2</v>
      </c>
      <c r="O4613">
        <v>0.08</v>
      </c>
      <c r="P4613">
        <v>21.18</v>
      </c>
      <c r="Q4613" t="s">
        <v>9897</v>
      </c>
      <c r="R4613">
        <v>5</v>
      </c>
      <c r="S4613" s="5">
        <f t="shared" si="144"/>
        <v>0.10064626496863714</v>
      </c>
      <c r="T4613">
        <v>105.22</v>
      </c>
      <c r="U4613">
        <v>12</v>
      </c>
      <c r="V4613">
        <v>2023</v>
      </c>
      <c r="W4613">
        <v>4</v>
      </c>
      <c r="X4613" t="s">
        <v>9899</v>
      </c>
      <c r="Y4613" t="s">
        <v>9901</v>
      </c>
      <c r="Z4613" t="s">
        <v>9899</v>
      </c>
      <c r="AD4613">
        <f t="shared" si="145"/>
        <v>5</v>
      </c>
    </row>
    <row r="4614" spans="1:30" x14ac:dyDescent="0.25">
      <c r="A4614" t="s">
        <v>4638</v>
      </c>
      <c r="B4614" s="2">
        <v>44859</v>
      </c>
      <c r="C4614" s="2">
        <v>44866</v>
      </c>
      <c r="D4614" t="s">
        <v>5039</v>
      </c>
      <c r="E4614" t="s">
        <v>5539</v>
      </c>
      <c r="F4614" t="s">
        <v>6026</v>
      </c>
      <c r="G4614" t="s">
        <v>6029</v>
      </c>
      <c r="H4614" t="s">
        <v>6041</v>
      </c>
      <c r="I4614" t="s">
        <v>6050</v>
      </c>
      <c r="J4614" t="s">
        <v>6054</v>
      </c>
      <c r="K4614" t="s">
        <v>6062</v>
      </c>
      <c r="L4614" t="s">
        <v>9656</v>
      </c>
      <c r="M4614">
        <v>510.18</v>
      </c>
      <c r="N4614">
        <v>7</v>
      </c>
      <c r="O4614">
        <v>7.0000000000000007E-2</v>
      </c>
      <c r="P4614">
        <v>61.4</v>
      </c>
      <c r="Q4614" t="s">
        <v>9893</v>
      </c>
      <c r="R4614">
        <v>7</v>
      </c>
      <c r="S4614" s="5">
        <f t="shared" si="144"/>
        <v>0.12034968050491983</v>
      </c>
      <c r="T4614">
        <v>72.882857142857148</v>
      </c>
      <c r="U4614">
        <v>10</v>
      </c>
      <c r="V4614">
        <v>2022</v>
      </c>
      <c r="W4614">
        <v>4</v>
      </c>
      <c r="X4614" t="s">
        <v>9899</v>
      </c>
      <c r="Y4614" t="s">
        <v>9901</v>
      </c>
      <c r="Z4614" t="s">
        <v>9899</v>
      </c>
      <c r="AD4614">
        <f t="shared" si="145"/>
        <v>7</v>
      </c>
    </row>
    <row r="4615" spans="1:30" x14ac:dyDescent="0.25">
      <c r="A4615" t="s">
        <v>4639</v>
      </c>
      <c r="B4615" s="2">
        <v>44924</v>
      </c>
      <c r="C4615" s="2">
        <v>44928</v>
      </c>
      <c r="D4615" t="s">
        <v>5472</v>
      </c>
      <c r="E4615" t="s">
        <v>5972</v>
      </c>
      <c r="F4615" t="s">
        <v>6028</v>
      </c>
      <c r="G4615" t="s">
        <v>6029</v>
      </c>
      <c r="H4615" t="s">
        <v>6036</v>
      </c>
      <c r="I4615" t="s">
        <v>6046</v>
      </c>
      <c r="J4615" t="s">
        <v>6055</v>
      </c>
      <c r="K4615" t="s">
        <v>6061</v>
      </c>
      <c r="L4615" t="s">
        <v>7542</v>
      </c>
      <c r="M4615">
        <v>633.08000000000004</v>
      </c>
      <c r="N4615">
        <v>1</v>
      </c>
      <c r="O4615">
        <v>0.24</v>
      </c>
      <c r="P4615">
        <v>-75.8</v>
      </c>
      <c r="Q4615" t="s">
        <v>9897</v>
      </c>
      <c r="R4615">
        <v>4</v>
      </c>
      <c r="S4615" s="5">
        <f t="shared" si="144"/>
        <v>-0.11973210336766284</v>
      </c>
      <c r="T4615">
        <v>633.08000000000004</v>
      </c>
      <c r="U4615">
        <v>12</v>
      </c>
      <c r="V4615">
        <v>2022</v>
      </c>
      <c r="W4615">
        <v>4</v>
      </c>
      <c r="X4615" t="s">
        <v>9898</v>
      </c>
      <c r="Y4615" t="s">
        <v>9900</v>
      </c>
      <c r="Z4615" t="s">
        <v>9899</v>
      </c>
      <c r="AD4615">
        <f t="shared" si="145"/>
        <v>4</v>
      </c>
    </row>
    <row r="4616" spans="1:30" x14ac:dyDescent="0.25">
      <c r="A4616" t="s">
        <v>4640</v>
      </c>
      <c r="B4616" s="2">
        <v>45026</v>
      </c>
      <c r="C4616" s="2">
        <v>45032</v>
      </c>
      <c r="D4616" t="s">
        <v>5513</v>
      </c>
      <c r="E4616" t="s">
        <v>6013</v>
      </c>
      <c r="F4616" t="s">
        <v>6028</v>
      </c>
      <c r="G4616" t="s">
        <v>6029</v>
      </c>
      <c r="H4616" t="s">
        <v>6036</v>
      </c>
      <c r="I4616" t="s">
        <v>6046</v>
      </c>
      <c r="J4616" t="s">
        <v>6055</v>
      </c>
      <c r="K4616" t="s">
        <v>6061</v>
      </c>
      <c r="L4616" t="s">
        <v>9324</v>
      </c>
      <c r="M4616">
        <v>469.28</v>
      </c>
      <c r="N4616">
        <v>1</v>
      </c>
      <c r="O4616">
        <v>0.21</v>
      </c>
      <c r="P4616">
        <v>0.55000000000000004</v>
      </c>
      <c r="Q4616" t="s">
        <v>9897</v>
      </c>
      <c r="R4616">
        <v>6</v>
      </c>
      <c r="S4616" s="5">
        <f t="shared" si="144"/>
        <v>1.1720081827480398E-3</v>
      </c>
      <c r="T4616">
        <v>469.28</v>
      </c>
      <c r="U4616">
        <v>4</v>
      </c>
      <c r="V4616">
        <v>2023</v>
      </c>
      <c r="W4616">
        <v>2</v>
      </c>
      <c r="X4616" t="s">
        <v>9899</v>
      </c>
      <c r="Y4616" t="s">
        <v>9900</v>
      </c>
      <c r="Z4616" t="s">
        <v>9899</v>
      </c>
      <c r="AD4616">
        <f t="shared" si="145"/>
        <v>6</v>
      </c>
    </row>
    <row r="4617" spans="1:30" x14ac:dyDescent="0.25">
      <c r="A4617" t="s">
        <v>4641</v>
      </c>
      <c r="B4617" s="2">
        <v>44823</v>
      </c>
      <c r="C4617" s="2">
        <v>44824</v>
      </c>
      <c r="D4617" t="s">
        <v>5377</v>
      </c>
      <c r="E4617" t="s">
        <v>5877</v>
      </c>
      <c r="F4617" t="s">
        <v>6026</v>
      </c>
      <c r="G4617" t="s">
        <v>6029</v>
      </c>
      <c r="H4617" t="s">
        <v>6041</v>
      </c>
      <c r="I4617" t="s">
        <v>6049</v>
      </c>
      <c r="J4617" t="s">
        <v>6053</v>
      </c>
      <c r="K4617" t="s">
        <v>6058</v>
      </c>
      <c r="L4617" t="s">
        <v>8799</v>
      </c>
      <c r="M4617">
        <v>702.51</v>
      </c>
      <c r="N4617">
        <v>4</v>
      </c>
      <c r="O4617">
        <v>0.1</v>
      </c>
      <c r="P4617">
        <v>54.79</v>
      </c>
      <c r="Q4617" t="s">
        <v>9897</v>
      </c>
      <c r="R4617">
        <v>1</v>
      </c>
      <c r="S4617" s="5">
        <f t="shared" si="144"/>
        <v>7.7991772359112324E-2</v>
      </c>
      <c r="T4617">
        <v>175.6275</v>
      </c>
      <c r="U4617">
        <v>9</v>
      </c>
      <c r="V4617">
        <v>2022</v>
      </c>
      <c r="W4617">
        <v>3</v>
      </c>
      <c r="X4617" t="s">
        <v>9899</v>
      </c>
      <c r="Y4617" t="s">
        <v>9901</v>
      </c>
      <c r="Z4617" t="s">
        <v>9899</v>
      </c>
      <c r="AD4617">
        <f t="shared" si="145"/>
        <v>1</v>
      </c>
    </row>
    <row r="4618" spans="1:30" x14ac:dyDescent="0.25">
      <c r="A4618" t="s">
        <v>4642</v>
      </c>
      <c r="B4618" s="2">
        <v>45431</v>
      </c>
      <c r="C4618" s="2">
        <v>45433</v>
      </c>
      <c r="D4618" t="s">
        <v>5213</v>
      </c>
      <c r="E4618" t="s">
        <v>5713</v>
      </c>
      <c r="F4618" t="s">
        <v>6028</v>
      </c>
      <c r="G4618" t="s">
        <v>6031</v>
      </c>
      <c r="H4618" t="s">
        <v>6042</v>
      </c>
      <c r="I4618" t="s">
        <v>6052</v>
      </c>
      <c r="J4618" t="s">
        <v>6054</v>
      </c>
      <c r="K4618" t="s">
        <v>6062</v>
      </c>
      <c r="L4618" t="s">
        <v>7363</v>
      </c>
      <c r="M4618">
        <v>842.69</v>
      </c>
      <c r="N4618">
        <v>8</v>
      </c>
      <c r="O4618">
        <v>0.14000000000000001</v>
      </c>
      <c r="P4618">
        <v>18.16</v>
      </c>
      <c r="Q4618" t="s">
        <v>9894</v>
      </c>
      <c r="R4618">
        <v>2</v>
      </c>
      <c r="S4618" s="5">
        <f t="shared" si="144"/>
        <v>2.1550036193618054E-2</v>
      </c>
      <c r="T4618">
        <v>105.33625000000001</v>
      </c>
      <c r="U4618">
        <v>5</v>
      </c>
      <c r="V4618">
        <v>2024</v>
      </c>
      <c r="W4618">
        <v>2</v>
      </c>
      <c r="X4618" t="s">
        <v>9899</v>
      </c>
      <c r="Y4618" t="s">
        <v>9901</v>
      </c>
      <c r="Z4618" t="s">
        <v>9899</v>
      </c>
      <c r="AD4618">
        <f t="shared" si="145"/>
        <v>2</v>
      </c>
    </row>
    <row r="4619" spans="1:30" x14ac:dyDescent="0.25">
      <c r="A4619" t="s">
        <v>4643</v>
      </c>
      <c r="B4619" s="2">
        <v>45408</v>
      </c>
      <c r="C4619" s="2">
        <v>45412</v>
      </c>
      <c r="D4619" t="s">
        <v>5469</v>
      </c>
      <c r="E4619" t="s">
        <v>5969</v>
      </c>
      <c r="F4619" t="s">
        <v>6028</v>
      </c>
      <c r="G4619" t="s">
        <v>6030</v>
      </c>
      <c r="H4619" t="s">
        <v>6033</v>
      </c>
      <c r="I4619" t="s">
        <v>6047</v>
      </c>
      <c r="J4619" t="s">
        <v>6054</v>
      </c>
      <c r="K4619" t="s">
        <v>6060</v>
      </c>
      <c r="L4619" t="s">
        <v>6174</v>
      </c>
      <c r="M4619">
        <v>1683.71</v>
      </c>
      <c r="N4619">
        <v>5</v>
      </c>
      <c r="O4619">
        <v>0.26</v>
      </c>
      <c r="P4619">
        <v>-205.37</v>
      </c>
      <c r="Q4619" t="s">
        <v>9897</v>
      </c>
      <c r="R4619">
        <v>4</v>
      </c>
      <c r="S4619" s="5">
        <f t="shared" si="144"/>
        <v>-0.12197468685224891</v>
      </c>
      <c r="T4619">
        <v>336.74200000000002</v>
      </c>
      <c r="U4619">
        <v>4</v>
      </c>
      <c r="V4619">
        <v>2024</v>
      </c>
      <c r="W4619">
        <v>2</v>
      </c>
      <c r="X4619" t="s">
        <v>9898</v>
      </c>
      <c r="Y4619" t="s">
        <v>9900</v>
      </c>
      <c r="Z4619" t="s">
        <v>9898</v>
      </c>
      <c r="AD4619">
        <f t="shared" si="145"/>
        <v>4</v>
      </c>
    </row>
    <row r="4620" spans="1:30" x14ac:dyDescent="0.25">
      <c r="A4620" t="s">
        <v>4644</v>
      </c>
      <c r="B4620" s="2">
        <v>45106</v>
      </c>
      <c r="C4620" s="2">
        <v>45112</v>
      </c>
      <c r="D4620" t="s">
        <v>5202</v>
      </c>
      <c r="E4620" t="s">
        <v>5702</v>
      </c>
      <c r="F4620" t="s">
        <v>6027</v>
      </c>
      <c r="G4620" t="s">
        <v>6029</v>
      </c>
      <c r="H4620" t="s">
        <v>6044</v>
      </c>
      <c r="I4620" t="s">
        <v>6050</v>
      </c>
      <c r="J4620" t="s">
        <v>6055</v>
      </c>
      <c r="K4620" t="s">
        <v>6063</v>
      </c>
      <c r="L4620" t="s">
        <v>7760</v>
      </c>
      <c r="M4620">
        <v>1903.44</v>
      </c>
      <c r="N4620">
        <v>3</v>
      </c>
      <c r="O4620">
        <v>0.33</v>
      </c>
      <c r="P4620">
        <v>-59.34</v>
      </c>
      <c r="Q4620" t="s">
        <v>9894</v>
      </c>
      <c r="R4620">
        <v>6</v>
      </c>
      <c r="S4620" s="5">
        <f t="shared" si="144"/>
        <v>-3.1175135544067582E-2</v>
      </c>
      <c r="T4620">
        <v>634.48</v>
      </c>
      <c r="U4620">
        <v>6</v>
      </c>
      <c r="V4620">
        <v>2023</v>
      </c>
      <c r="W4620">
        <v>2</v>
      </c>
      <c r="X4620" t="s">
        <v>9898</v>
      </c>
      <c r="Y4620" t="s">
        <v>9902</v>
      </c>
      <c r="Z4620" t="s">
        <v>9898</v>
      </c>
      <c r="AD4620">
        <f t="shared" si="145"/>
        <v>6</v>
      </c>
    </row>
    <row r="4621" spans="1:30" x14ac:dyDescent="0.25">
      <c r="A4621" t="s">
        <v>4645</v>
      </c>
      <c r="B4621" s="2">
        <v>45091</v>
      </c>
      <c r="C4621" s="2">
        <v>45094</v>
      </c>
      <c r="D4621" t="s">
        <v>5247</v>
      </c>
      <c r="E4621" t="s">
        <v>5747</v>
      </c>
      <c r="F4621" t="s">
        <v>6027</v>
      </c>
      <c r="G4621" t="s">
        <v>6030</v>
      </c>
      <c r="H4621" t="s">
        <v>6035</v>
      </c>
      <c r="I4621" t="s">
        <v>6047</v>
      </c>
      <c r="J4621" t="s">
        <v>6053</v>
      </c>
      <c r="K4621" t="s">
        <v>6057</v>
      </c>
      <c r="L4621" t="s">
        <v>9657</v>
      </c>
      <c r="M4621">
        <v>521.6</v>
      </c>
      <c r="N4621">
        <v>6</v>
      </c>
      <c r="O4621">
        <v>0.12</v>
      </c>
      <c r="P4621">
        <v>42.7</v>
      </c>
      <c r="Q4621" t="s">
        <v>9896</v>
      </c>
      <c r="R4621">
        <v>3</v>
      </c>
      <c r="S4621" s="5">
        <f t="shared" si="144"/>
        <v>8.1863496932515337E-2</v>
      </c>
      <c r="T4621">
        <v>86.933333333333337</v>
      </c>
      <c r="U4621">
        <v>6</v>
      </c>
      <c r="V4621">
        <v>2023</v>
      </c>
      <c r="W4621">
        <v>2</v>
      </c>
      <c r="X4621" t="s">
        <v>9899</v>
      </c>
      <c r="Y4621" t="s">
        <v>9901</v>
      </c>
      <c r="Z4621" t="s">
        <v>9899</v>
      </c>
      <c r="AD4621">
        <f t="shared" si="145"/>
        <v>3</v>
      </c>
    </row>
    <row r="4622" spans="1:30" x14ac:dyDescent="0.25">
      <c r="A4622" t="s">
        <v>4646</v>
      </c>
      <c r="B4622" s="2">
        <v>45292</v>
      </c>
      <c r="C4622" s="2">
        <v>45297</v>
      </c>
      <c r="D4622" t="s">
        <v>5355</v>
      </c>
      <c r="E4622" t="s">
        <v>5855</v>
      </c>
      <c r="F4622" t="s">
        <v>6026</v>
      </c>
      <c r="G4622" t="s">
        <v>6031</v>
      </c>
      <c r="H4622" t="s">
        <v>6034</v>
      </c>
      <c r="I4622" t="s">
        <v>6052</v>
      </c>
      <c r="J4622" t="s">
        <v>6053</v>
      </c>
      <c r="K4622" t="s">
        <v>6058</v>
      </c>
      <c r="L4622" t="s">
        <v>8044</v>
      </c>
      <c r="M4622">
        <v>160.30000000000001</v>
      </c>
      <c r="N4622">
        <v>8</v>
      </c>
      <c r="O4622">
        <v>0.12</v>
      </c>
      <c r="P4622">
        <v>20.94</v>
      </c>
      <c r="Q4622" t="s">
        <v>9896</v>
      </c>
      <c r="R4622">
        <v>5</v>
      </c>
      <c r="S4622" s="5">
        <f t="shared" si="144"/>
        <v>0.130630068621335</v>
      </c>
      <c r="T4622">
        <v>20.037500000000001</v>
      </c>
      <c r="U4622">
        <v>1</v>
      </c>
      <c r="V4622">
        <v>2024</v>
      </c>
      <c r="W4622">
        <v>1</v>
      </c>
      <c r="X4622" t="s">
        <v>9899</v>
      </c>
      <c r="Y4622" t="s">
        <v>9901</v>
      </c>
      <c r="Z4622" t="s">
        <v>9899</v>
      </c>
      <c r="AD4622">
        <f t="shared" si="145"/>
        <v>5</v>
      </c>
    </row>
    <row r="4623" spans="1:30" x14ac:dyDescent="0.25">
      <c r="A4623" t="s">
        <v>4647</v>
      </c>
      <c r="B4623" s="2">
        <v>45127</v>
      </c>
      <c r="C4623" s="2">
        <v>45134</v>
      </c>
      <c r="D4623" t="s">
        <v>5349</v>
      </c>
      <c r="E4623" t="s">
        <v>5849</v>
      </c>
      <c r="F4623" t="s">
        <v>6027</v>
      </c>
      <c r="G4623" t="s">
        <v>6029</v>
      </c>
      <c r="H4623" t="s">
        <v>6044</v>
      </c>
      <c r="I4623" t="s">
        <v>6046</v>
      </c>
      <c r="J4623" t="s">
        <v>6055</v>
      </c>
      <c r="K4623" t="s">
        <v>6063</v>
      </c>
      <c r="L4623" t="s">
        <v>9658</v>
      </c>
      <c r="M4623">
        <v>242.28</v>
      </c>
      <c r="N4623">
        <v>7</v>
      </c>
      <c r="O4623">
        <v>0.3</v>
      </c>
      <c r="P4623">
        <v>-25.3</v>
      </c>
      <c r="Q4623" t="s">
        <v>9895</v>
      </c>
      <c r="R4623">
        <v>7</v>
      </c>
      <c r="S4623" s="5">
        <f t="shared" si="144"/>
        <v>-0.10442463265643058</v>
      </c>
      <c r="T4623">
        <v>34.611428571428569</v>
      </c>
      <c r="U4623">
        <v>7</v>
      </c>
      <c r="V4623">
        <v>2023</v>
      </c>
      <c r="W4623">
        <v>3</v>
      </c>
      <c r="X4623" t="s">
        <v>9898</v>
      </c>
      <c r="Y4623" t="s">
        <v>9900</v>
      </c>
      <c r="Z4623" t="s">
        <v>9899</v>
      </c>
      <c r="AD4623">
        <f t="shared" si="145"/>
        <v>7</v>
      </c>
    </row>
    <row r="4624" spans="1:30" x14ac:dyDescent="0.25">
      <c r="A4624" t="s">
        <v>4648</v>
      </c>
      <c r="B4624" s="2">
        <v>44653</v>
      </c>
      <c r="C4624" s="2">
        <v>44658</v>
      </c>
      <c r="D4624" t="s">
        <v>5129</v>
      </c>
      <c r="E4624" t="s">
        <v>5629</v>
      </c>
      <c r="F4624" t="s">
        <v>6028</v>
      </c>
      <c r="G4624" t="s">
        <v>6029</v>
      </c>
      <c r="H4624" t="s">
        <v>6045</v>
      </c>
      <c r="I4624" t="s">
        <v>6050</v>
      </c>
      <c r="J4624" t="s">
        <v>6053</v>
      </c>
      <c r="K4624" t="s">
        <v>6056</v>
      </c>
      <c r="L4624" t="s">
        <v>9659</v>
      </c>
      <c r="M4624">
        <v>1696.62</v>
      </c>
      <c r="N4624">
        <v>2</v>
      </c>
      <c r="O4624">
        <v>0.14000000000000001</v>
      </c>
      <c r="P4624">
        <v>177.55</v>
      </c>
      <c r="Q4624" t="s">
        <v>9895</v>
      </c>
      <c r="R4624">
        <v>5</v>
      </c>
      <c r="S4624" s="5">
        <f t="shared" si="144"/>
        <v>0.10464924379059544</v>
      </c>
      <c r="T4624">
        <v>848.31</v>
      </c>
      <c r="U4624">
        <v>4</v>
      </c>
      <c r="V4624">
        <v>2022</v>
      </c>
      <c r="W4624">
        <v>2</v>
      </c>
      <c r="X4624" t="s">
        <v>9899</v>
      </c>
      <c r="Y4624" t="s">
        <v>9901</v>
      </c>
      <c r="Z4624" t="s">
        <v>9898</v>
      </c>
      <c r="AD4624">
        <f t="shared" si="145"/>
        <v>5</v>
      </c>
    </row>
    <row r="4625" spans="1:30" x14ac:dyDescent="0.25">
      <c r="A4625" t="s">
        <v>4649</v>
      </c>
      <c r="B4625" s="2">
        <v>44763</v>
      </c>
      <c r="C4625" s="2">
        <v>44767</v>
      </c>
      <c r="D4625" t="s">
        <v>5459</v>
      </c>
      <c r="E4625" t="s">
        <v>5959</v>
      </c>
      <c r="F4625" t="s">
        <v>6028</v>
      </c>
      <c r="G4625" t="s">
        <v>6031</v>
      </c>
      <c r="H4625" t="s">
        <v>6042</v>
      </c>
      <c r="I4625" t="s">
        <v>6050</v>
      </c>
      <c r="J4625" t="s">
        <v>6055</v>
      </c>
      <c r="K4625" t="s">
        <v>6063</v>
      </c>
      <c r="L4625" t="s">
        <v>9660</v>
      </c>
      <c r="M4625">
        <v>1941.43</v>
      </c>
      <c r="N4625">
        <v>5</v>
      </c>
      <c r="O4625">
        <v>0.12</v>
      </c>
      <c r="P4625">
        <v>18.420000000000002</v>
      </c>
      <c r="Q4625" t="s">
        <v>9893</v>
      </c>
      <c r="R4625">
        <v>4</v>
      </c>
      <c r="S4625" s="5">
        <f t="shared" si="144"/>
        <v>9.4878517381517761E-3</v>
      </c>
      <c r="T4625">
        <v>388.286</v>
      </c>
      <c r="U4625">
        <v>7</v>
      </c>
      <c r="V4625">
        <v>2022</v>
      </c>
      <c r="W4625">
        <v>3</v>
      </c>
      <c r="X4625" t="s">
        <v>9899</v>
      </c>
      <c r="Y4625" t="s">
        <v>9901</v>
      </c>
      <c r="Z4625" t="s">
        <v>9898</v>
      </c>
      <c r="AD4625">
        <f t="shared" si="145"/>
        <v>4</v>
      </c>
    </row>
    <row r="4626" spans="1:30" x14ac:dyDescent="0.25">
      <c r="A4626" t="s">
        <v>4650</v>
      </c>
      <c r="B4626" s="2">
        <v>45408</v>
      </c>
      <c r="C4626" s="2">
        <v>45411</v>
      </c>
      <c r="D4626" t="s">
        <v>5260</v>
      </c>
      <c r="E4626" t="s">
        <v>5760</v>
      </c>
      <c r="F4626" t="s">
        <v>6027</v>
      </c>
      <c r="G4626" t="s">
        <v>6031</v>
      </c>
      <c r="H4626" t="s">
        <v>6043</v>
      </c>
      <c r="I4626" t="s">
        <v>6048</v>
      </c>
      <c r="J4626" t="s">
        <v>6053</v>
      </c>
      <c r="K4626" t="s">
        <v>6057</v>
      </c>
      <c r="L4626" t="s">
        <v>9661</v>
      </c>
      <c r="M4626">
        <v>574.51</v>
      </c>
      <c r="N4626">
        <v>3</v>
      </c>
      <c r="O4626">
        <v>0.28999999999999998</v>
      </c>
      <c r="P4626">
        <v>0.92</v>
      </c>
      <c r="Q4626" t="s">
        <v>9893</v>
      </c>
      <c r="R4626">
        <v>3</v>
      </c>
      <c r="S4626" s="5">
        <f t="shared" si="144"/>
        <v>1.6013646411724776E-3</v>
      </c>
      <c r="T4626">
        <v>191.5033333333333</v>
      </c>
      <c r="U4626">
        <v>4</v>
      </c>
      <c r="V4626">
        <v>2024</v>
      </c>
      <c r="W4626">
        <v>2</v>
      </c>
      <c r="X4626" t="s">
        <v>9899</v>
      </c>
      <c r="Y4626" t="s">
        <v>9900</v>
      </c>
      <c r="Z4626" t="s">
        <v>9899</v>
      </c>
      <c r="AD4626">
        <f t="shared" si="145"/>
        <v>3</v>
      </c>
    </row>
    <row r="4627" spans="1:30" x14ac:dyDescent="0.25">
      <c r="A4627" t="s">
        <v>4651</v>
      </c>
      <c r="B4627" s="2">
        <v>45023</v>
      </c>
      <c r="C4627" s="2">
        <v>45025</v>
      </c>
      <c r="D4627" t="s">
        <v>5141</v>
      </c>
      <c r="E4627" t="s">
        <v>5641</v>
      </c>
      <c r="F4627" t="s">
        <v>6027</v>
      </c>
      <c r="G4627" t="s">
        <v>6031</v>
      </c>
      <c r="H4627" t="s">
        <v>6034</v>
      </c>
      <c r="I4627" t="s">
        <v>6048</v>
      </c>
      <c r="J4627" t="s">
        <v>6055</v>
      </c>
      <c r="K4627" t="s">
        <v>6063</v>
      </c>
      <c r="L4627" t="s">
        <v>9662</v>
      </c>
      <c r="M4627">
        <v>348.05</v>
      </c>
      <c r="N4627">
        <v>7</v>
      </c>
      <c r="O4627">
        <v>0.19</v>
      </c>
      <c r="P4627">
        <v>17.329999999999998</v>
      </c>
      <c r="Q4627" t="s">
        <v>9896</v>
      </c>
      <c r="R4627">
        <v>2</v>
      </c>
      <c r="S4627" s="5">
        <f t="shared" si="144"/>
        <v>4.9791696595316758E-2</v>
      </c>
      <c r="T4627">
        <v>49.721428571428582</v>
      </c>
      <c r="U4627">
        <v>4</v>
      </c>
      <c r="V4627">
        <v>2023</v>
      </c>
      <c r="W4627">
        <v>2</v>
      </c>
      <c r="X4627" t="s">
        <v>9899</v>
      </c>
      <c r="Y4627" t="s">
        <v>9900</v>
      </c>
      <c r="Z4627" t="s">
        <v>9899</v>
      </c>
      <c r="AD4627">
        <f t="shared" si="145"/>
        <v>2</v>
      </c>
    </row>
    <row r="4628" spans="1:30" x14ac:dyDescent="0.25">
      <c r="A4628" t="s">
        <v>4652</v>
      </c>
      <c r="B4628" s="2">
        <v>45332</v>
      </c>
      <c r="C4628" s="2">
        <v>45338</v>
      </c>
      <c r="D4628" t="s">
        <v>5037</v>
      </c>
      <c r="E4628" t="s">
        <v>5537</v>
      </c>
      <c r="F4628" t="s">
        <v>6027</v>
      </c>
      <c r="G4628" t="s">
        <v>6029</v>
      </c>
      <c r="H4628" t="s">
        <v>6036</v>
      </c>
      <c r="I4628" t="s">
        <v>6046</v>
      </c>
      <c r="J4628" t="s">
        <v>6055</v>
      </c>
      <c r="K4628" t="s">
        <v>6063</v>
      </c>
      <c r="L4628" t="s">
        <v>9663</v>
      </c>
      <c r="M4628">
        <v>1670.19</v>
      </c>
      <c r="N4628">
        <v>1</v>
      </c>
      <c r="O4628">
        <v>0.22</v>
      </c>
      <c r="P4628">
        <v>-196.38</v>
      </c>
      <c r="Q4628" t="s">
        <v>9895</v>
      </c>
      <c r="R4628">
        <v>6</v>
      </c>
      <c r="S4628" s="5">
        <f t="shared" si="144"/>
        <v>-0.11757943707003395</v>
      </c>
      <c r="T4628">
        <v>1670.19</v>
      </c>
      <c r="U4628">
        <v>2</v>
      </c>
      <c r="V4628">
        <v>2024</v>
      </c>
      <c r="W4628">
        <v>1</v>
      </c>
      <c r="X4628" t="s">
        <v>9898</v>
      </c>
      <c r="Y4628" t="s">
        <v>9900</v>
      </c>
      <c r="Z4628" t="s">
        <v>9898</v>
      </c>
      <c r="AD4628">
        <f t="shared" si="145"/>
        <v>6</v>
      </c>
    </row>
    <row r="4629" spans="1:30" x14ac:dyDescent="0.25">
      <c r="A4629" t="s">
        <v>4653</v>
      </c>
      <c r="B4629" s="2">
        <v>44814</v>
      </c>
      <c r="C4629" s="2">
        <v>44819</v>
      </c>
      <c r="D4629" t="s">
        <v>5435</v>
      </c>
      <c r="E4629" t="s">
        <v>5935</v>
      </c>
      <c r="F4629" t="s">
        <v>6028</v>
      </c>
      <c r="G4629" t="s">
        <v>6029</v>
      </c>
      <c r="H4629" t="s">
        <v>6032</v>
      </c>
      <c r="I4629" t="s">
        <v>6049</v>
      </c>
      <c r="J4629" t="s">
        <v>6054</v>
      </c>
      <c r="K4629" t="s">
        <v>6060</v>
      </c>
      <c r="L4629" t="s">
        <v>9305</v>
      </c>
      <c r="M4629">
        <v>716.43</v>
      </c>
      <c r="N4629">
        <v>6</v>
      </c>
      <c r="O4629">
        <v>0.12</v>
      </c>
      <c r="P4629">
        <v>80.66</v>
      </c>
      <c r="Q4629" t="s">
        <v>9896</v>
      </c>
      <c r="R4629">
        <v>5</v>
      </c>
      <c r="S4629" s="5">
        <f t="shared" si="144"/>
        <v>0.11258601677763355</v>
      </c>
      <c r="T4629">
        <v>119.405</v>
      </c>
      <c r="U4629">
        <v>9</v>
      </c>
      <c r="V4629">
        <v>2022</v>
      </c>
      <c r="W4629">
        <v>3</v>
      </c>
      <c r="X4629" t="s">
        <v>9899</v>
      </c>
      <c r="Y4629" t="s">
        <v>9901</v>
      </c>
      <c r="Z4629" t="s">
        <v>9899</v>
      </c>
      <c r="AD4629">
        <f t="shared" si="145"/>
        <v>5</v>
      </c>
    </row>
    <row r="4630" spans="1:30" x14ac:dyDescent="0.25">
      <c r="A4630" t="s">
        <v>4654</v>
      </c>
      <c r="B4630" s="2">
        <v>44982</v>
      </c>
      <c r="C4630" s="2">
        <v>44986</v>
      </c>
      <c r="D4630" t="s">
        <v>5468</v>
      </c>
      <c r="E4630" t="s">
        <v>5968</v>
      </c>
      <c r="F4630" t="s">
        <v>6028</v>
      </c>
      <c r="G4630" t="s">
        <v>6031</v>
      </c>
      <c r="H4630" t="s">
        <v>6037</v>
      </c>
      <c r="I4630" t="s">
        <v>6050</v>
      </c>
      <c r="J4630" t="s">
        <v>6055</v>
      </c>
      <c r="K4630" t="s">
        <v>6063</v>
      </c>
      <c r="L4630" t="s">
        <v>9664</v>
      </c>
      <c r="M4630">
        <v>1406</v>
      </c>
      <c r="N4630">
        <v>2</v>
      </c>
      <c r="O4630">
        <v>0.35</v>
      </c>
      <c r="P4630">
        <v>-307.74</v>
      </c>
      <c r="Q4630" t="s">
        <v>9896</v>
      </c>
      <c r="R4630">
        <v>4</v>
      </c>
      <c r="S4630" s="5">
        <f t="shared" si="144"/>
        <v>-0.21887624466571837</v>
      </c>
      <c r="T4630">
        <v>703</v>
      </c>
      <c r="U4630">
        <v>2</v>
      </c>
      <c r="V4630">
        <v>2023</v>
      </c>
      <c r="W4630">
        <v>1</v>
      </c>
      <c r="X4630" t="s">
        <v>9898</v>
      </c>
      <c r="Y4630" t="s">
        <v>9902</v>
      </c>
      <c r="Z4630" t="s">
        <v>9898</v>
      </c>
      <c r="AD4630">
        <f t="shared" si="145"/>
        <v>4</v>
      </c>
    </row>
    <row r="4631" spans="1:30" x14ac:dyDescent="0.25">
      <c r="A4631" t="s">
        <v>4655</v>
      </c>
      <c r="B4631" s="2">
        <v>44800</v>
      </c>
      <c r="C4631" s="2">
        <v>44803</v>
      </c>
      <c r="D4631" t="s">
        <v>5162</v>
      </c>
      <c r="E4631" t="s">
        <v>5662</v>
      </c>
      <c r="F4631" t="s">
        <v>6028</v>
      </c>
      <c r="G4631" t="s">
        <v>6030</v>
      </c>
      <c r="H4631" t="s">
        <v>6038</v>
      </c>
      <c r="I4631" t="s">
        <v>6047</v>
      </c>
      <c r="J4631" t="s">
        <v>6053</v>
      </c>
      <c r="K4631" t="s">
        <v>6057</v>
      </c>
      <c r="L4631" t="s">
        <v>7578</v>
      </c>
      <c r="M4631">
        <v>203.36</v>
      </c>
      <c r="N4631">
        <v>4</v>
      </c>
      <c r="O4631">
        <v>0.13</v>
      </c>
      <c r="P4631">
        <v>22.07</v>
      </c>
      <c r="Q4631" t="s">
        <v>9897</v>
      </c>
      <c r="R4631">
        <v>3</v>
      </c>
      <c r="S4631" s="5">
        <f t="shared" si="144"/>
        <v>0.10852675059008654</v>
      </c>
      <c r="T4631">
        <v>50.84</v>
      </c>
      <c r="U4631">
        <v>8</v>
      </c>
      <c r="V4631">
        <v>2022</v>
      </c>
      <c r="W4631">
        <v>3</v>
      </c>
      <c r="X4631" t="s">
        <v>9899</v>
      </c>
      <c r="Y4631" t="s">
        <v>9901</v>
      </c>
      <c r="Z4631" t="s">
        <v>9899</v>
      </c>
      <c r="AD4631">
        <f t="shared" si="145"/>
        <v>3</v>
      </c>
    </row>
    <row r="4632" spans="1:30" x14ac:dyDescent="0.25">
      <c r="A4632" t="s">
        <v>4656</v>
      </c>
      <c r="B4632" s="2">
        <v>44933</v>
      </c>
      <c r="C4632" s="2">
        <v>44937</v>
      </c>
      <c r="D4632" t="s">
        <v>5260</v>
      </c>
      <c r="E4632" t="s">
        <v>5760</v>
      </c>
      <c r="F4632" t="s">
        <v>6026</v>
      </c>
      <c r="G4632" t="s">
        <v>6031</v>
      </c>
      <c r="H4632" t="s">
        <v>6042</v>
      </c>
      <c r="I4632" t="s">
        <v>6050</v>
      </c>
      <c r="J4632" t="s">
        <v>6054</v>
      </c>
      <c r="K4632" t="s">
        <v>6060</v>
      </c>
      <c r="L4632" t="s">
        <v>8823</v>
      </c>
      <c r="M4632">
        <v>1067.8900000000001</v>
      </c>
      <c r="N4632">
        <v>1</v>
      </c>
      <c r="O4632">
        <v>0.23</v>
      </c>
      <c r="P4632">
        <v>-51.39</v>
      </c>
      <c r="Q4632" t="s">
        <v>9895</v>
      </c>
      <c r="R4632">
        <v>4</v>
      </c>
      <c r="S4632" s="5">
        <f t="shared" si="144"/>
        <v>-4.8122934010057211E-2</v>
      </c>
      <c r="T4632">
        <v>1067.8900000000001</v>
      </c>
      <c r="U4632">
        <v>1</v>
      </c>
      <c r="V4632">
        <v>2023</v>
      </c>
      <c r="W4632">
        <v>1</v>
      </c>
      <c r="X4632" t="s">
        <v>9898</v>
      </c>
      <c r="Y4632" t="s">
        <v>9900</v>
      </c>
      <c r="Z4632" t="s">
        <v>9898</v>
      </c>
      <c r="AD4632">
        <f t="shared" si="145"/>
        <v>4</v>
      </c>
    </row>
    <row r="4633" spans="1:30" x14ac:dyDescent="0.25">
      <c r="A4633" t="s">
        <v>4657</v>
      </c>
      <c r="B4633" s="2">
        <v>44606</v>
      </c>
      <c r="C4633" s="2">
        <v>44610</v>
      </c>
      <c r="D4633" t="s">
        <v>5043</v>
      </c>
      <c r="E4633" t="s">
        <v>5543</v>
      </c>
      <c r="F4633" t="s">
        <v>6027</v>
      </c>
      <c r="G4633" t="s">
        <v>6029</v>
      </c>
      <c r="H4633" t="s">
        <v>6041</v>
      </c>
      <c r="I4633" t="s">
        <v>6046</v>
      </c>
      <c r="J4633" t="s">
        <v>6054</v>
      </c>
      <c r="K4633" t="s">
        <v>6062</v>
      </c>
      <c r="L4633" t="s">
        <v>9665</v>
      </c>
      <c r="M4633">
        <v>855.35</v>
      </c>
      <c r="N4633">
        <v>7</v>
      </c>
      <c r="O4633">
        <v>0.33</v>
      </c>
      <c r="P4633">
        <v>-40.85</v>
      </c>
      <c r="Q4633" t="s">
        <v>9894</v>
      </c>
      <c r="R4633">
        <v>4</v>
      </c>
      <c r="S4633" s="5">
        <f t="shared" si="144"/>
        <v>-4.7758227626117963E-2</v>
      </c>
      <c r="T4633">
        <v>122.19285714285721</v>
      </c>
      <c r="U4633">
        <v>2</v>
      </c>
      <c r="V4633">
        <v>2022</v>
      </c>
      <c r="W4633">
        <v>1</v>
      </c>
      <c r="X4633" t="s">
        <v>9898</v>
      </c>
      <c r="Y4633" t="s">
        <v>9902</v>
      </c>
      <c r="Z4633" t="s">
        <v>9899</v>
      </c>
      <c r="AD4633">
        <f t="shared" si="145"/>
        <v>4</v>
      </c>
    </row>
    <row r="4634" spans="1:30" x14ac:dyDescent="0.25">
      <c r="A4634" t="s">
        <v>4658</v>
      </c>
      <c r="B4634" s="2">
        <v>44934</v>
      </c>
      <c r="C4634" s="2">
        <v>44936</v>
      </c>
      <c r="D4634" t="s">
        <v>5163</v>
      </c>
      <c r="E4634" t="s">
        <v>5663</v>
      </c>
      <c r="F4634" t="s">
        <v>6028</v>
      </c>
      <c r="G4634" t="s">
        <v>6029</v>
      </c>
      <c r="H4634" t="s">
        <v>6036</v>
      </c>
      <c r="I4634" t="s">
        <v>6050</v>
      </c>
      <c r="J4634" t="s">
        <v>6054</v>
      </c>
      <c r="K4634" t="s">
        <v>6062</v>
      </c>
      <c r="L4634" t="s">
        <v>9367</v>
      </c>
      <c r="M4634">
        <v>799.36</v>
      </c>
      <c r="N4634">
        <v>4</v>
      </c>
      <c r="O4634">
        <v>0.19</v>
      </c>
      <c r="P4634">
        <v>80.91</v>
      </c>
      <c r="Q4634" t="s">
        <v>9894</v>
      </c>
      <c r="R4634">
        <v>2</v>
      </c>
      <c r="S4634" s="5">
        <f t="shared" si="144"/>
        <v>0.10121847477982385</v>
      </c>
      <c r="T4634">
        <v>199.84</v>
      </c>
      <c r="U4634">
        <v>1</v>
      </c>
      <c r="V4634">
        <v>2023</v>
      </c>
      <c r="W4634">
        <v>1</v>
      </c>
      <c r="X4634" t="s">
        <v>9899</v>
      </c>
      <c r="Y4634" t="s">
        <v>9900</v>
      </c>
      <c r="Z4634" t="s">
        <v>9899</v>
      </c>
      <c r="AD4634">
        <f t="shared" si="145"/>
        <v>2</v>
      </c>
    </row>
    <row r="4635" spans="1:30" x14ac:dyDescent="0.25">
      <c r="A4635" t="s">
        <v>4659</v>
      </c>
      <c r="B4635" s="2">
        <v>45208</v>
      </c>
      <c r="C4635" s="2">
        <v>45215</v>
      </c>
      <c r="D4635" t="s">
        <v>5365</v>
      </c>
      <c r="E4635" t="s">
        <v>5865</v>
      </c>
      <c r="F4635" t="s">
        <v>6026</v>
      </c>
      <c r="G4635" t="s">
        <v>6030</v>
      </c>
      <c r="H4635" t="s">
        <v>6035</v>
      </c>
      <c r="I4635" t="s">
        <v>6047</v>
      </c>
      <c r="J4635" t="s">
        <v>6055</v>
      </c>
      <c r="K4635" t="s">
        <v>6063</v>
      </c>
      <c r="L4635" t="s">
        <v>9666</v>
      </c>
      <c r="M4635">
        <v>1276.4000000000001</v>
      </c>
      <c r="N4635">
        <v>6</v>
      </c>
      <c r="O4635">
        <v>0.34</v>
      </c>
      <c r="P4635">
        <v>-148.94999999999999</v>
      </c>
      <c r="Q4635" t="s">
        <v>9894</v>
      </c>
      <c r="R4635">
        <v>7</v>
      </c>
      <c r="S4635" s="5">
        <f t="shared" si="144"/>
        <v>-0.11669539329363834</v>
      </c>
      <c r="T4635">
        <v>212.73333333333329</v>
      </c>
      <c r="U4635">
        <v>10</v>
      </c>
      <c r="V4635">
        <v>2023</v>
      </c>
      <c r="W4635">
        <v>4</v>
      </c>
      <c r="X4635" t="s">
        <v>9898</v>
      </c>
      <c r="Y4635" t="s">
        <v>9902</v>
      </c>
      <c r="Z4635" t="s">
        <v>9898</v>
      </c>
      <c r="AD4635">
        <f t="shared" si="145"/>
        <v>7</v>
      </c>
    </row>
    <row r="4636" spans="1:30" x14ac:dyDescent="0.25">
      <c r="A4636" t="s">
        <v>4660</v>
      </c>
      <c r="B4636" s="2">
        <v>44663</v>
      </c>
      <c r="C4636" s="2">
        <v>44668</v>
      </c>
      <c r="D4636" t="s">
        <v>5316</v>
      </c>
      <c r="E4636" t="s">
        <v>5816</v>
      </c>
      <c r="F4636" t="s">
        <v>6026</v>
      </c>
      <c r="G4636" t="s">
        <v>6029</v>
      </c>
      <c r="H4636" t="s">
        <v>6041</v>
      </c>
      <c r="I4636" t="s">
        <v>6046</v>
      </c>
      <c r="J4636" t="s">
        <v>6054</v>
      </c>
      <c r="K4636" t="s">
        <v>6060</v>
      </c>
      <c r="L4636" t="s">
        <v>8854</v>
      </c>
      <c r="M4636">
        <v>839.98</v>
      </c>
      <c r="N4636">
        <v>7</v>
      </c>
      <c r="O4636">
        <v>0.28000000000000003</v>
      </c>
      <c r="P4636">
        <v>1.62</v>
      </c>
      <c r="Q4636" t="s">
        <v>9897</v>
      </c>
      <c r="R4636">
        <v>5</v>
      </c>
      <c r="S4636" s="5">
        <f t="shared" si="144"/>
        <v>1.9286173480320961E-3</v>
      </c>
      <c r="T4636">
        <v>119.9971428571429</v>
      </c>
      <c r="U4636">
        <v>4</v>
      </c>
      <c r="V4636">
        <v>2022</v>
      </c>
      <c r="W4636">
        <v>2</v>
      </c>
      <c r="X4636" t="s">
        <v>9899</v>
      </c>
      <c r="Y4636" t="s">
        <v>9900</v>
      </c>
      <c r="Z4636" t="s">
        <v>9899</v>
      </c>
      <c r="AD4636">
        <f t="shared" si="145"/>
        <v>5</v>
      </c>
    </row>
    <row r="4637" spans="1:30" x14ac:dyDescent="0.25">
      <c r="A4637" t="s">
        <v>4661</v>
      </c>
      <c r="B4637" s="2">
        <v>45292</v>
      </c>
      <c r="C4637" s="2">
        <v>45295</v>
      </c>
      <c r="D4637" t="s">
        <v>5344</v>
      </c>
      <c r="E4637" t="s">
        <v>5844</v>
      </c>
      <c r="F4637" t="s">
        <v>6028</v>
      </c>
      <c r="G4637" t="s">
        <v>6031</v>
      </c>
      <c r="H4637" t="s">
        <v>6040</v>
      </c>
      <c r="I4637" t="s">
        <v>6052</v>
      </c>
      <c r="J4637" t="s">
        <v>6053</v>
      </c>
      <c r="K4637" t="s">
        <v>6056</v>
      </c>
      <c r="L4637" t="s">
        <v>9667</v>
      </c>
      <c r="M4637">
        <v>1524.6</v>
      </c>
      <c r="N4637">
        <v>2</v>
      </c>
      <c r="O4637">
        <v>0.33</v>
      </c>
      <c r="P4637">
        <v>-267</v>
      </c>
      <c r="Q4637" t="s">
        <v>9894</v>
      </c>
      <c r="R4637">
        <v>3</v>
      </c>
      <c r="S4637" s="5">
        <f t="shared" si="144"/>
        <v>-0.17512790240062967</v>
      </c>
      <c r="T4637">
        <v>762.3</v>
      </c>
      <c r="U4637">
        <v>1</v>
      </c>
      <c r="V4637">
        <v>2024</v>
      </c>
      <c r="W4637">
        <v>1</v>
      </c>
      <c r="X4637" t="s">
        <v>9898</v>
      </c>
      <c r="Y4637" t="s">
        <v>9902</v>
      </c>
      <c r="Z4637" t="s">
        <v>9898</v>
      </c>
      <c r="AD4637">
        <f t="shared" si="145"/>
        <v>3</v>
      </c>
    </row>
    <row r="4638" spans="1:30" x14ac:dyDescent="0.25">
      <c r="A4638" t="s">
        <v>4662</v>
      </c>
      <c r="B4638" s="2">
        <v>45140</v>
      </c>
      <c r="C4638" s="2">
        <v>45143</v>
      </c>
      <c r="D4638" t="s">
        <v>5391</v>
      </c>
      <c r="E4638" t="s">
        <v>5891</v>
      </c>
      <c r="F4638" t="s">
        <v>6026</v>
      </c>
      <c r="G4638" t="s">
        <v>6031</v>
      </c>
      <c r="H4638" t="s">
        <v>6040</v>
      </c>
      <c r="I4638" t="s">
        <v>6050</v>
      </c>
      <c r="J4638" t="s">
        <v>6054</v>
      </c>
      <c r="K4638" t="s">
        <v>6060</v>
      </c>
      <c r="L4638" t="s">
        <v>9668</v>
      </c>
      <c r="M4638">
        <v>1931.58</v>
      </c>
      <c r="N4638">
        <v>3</v>
      </c>
      <c r="O4638">
        <v>0.24</v>
      </c>
      <c r="P4638">
        <v>-214.66</v>
      </c>
      <c r="Q4638" t="s">
        <v>9897</v>
      </c>
      <c r="R4638">
        <v>3</v>
      </c>
      <c r="S4638" s="5">
        <f t="shared" si="144"/>
        <v>-0.11113181954669235</v>
      </c>
      <c r="T4638">
        <v>643.86</v>
      </c>
      <c r="U4638">
        <v>8</v>
      </c>
      <c r="V4638">
        <v>2023</v>
      </c>
      <c r="W4638">
        <v>3</v>
      </c>
      <c r="X4638" t="s">
        <v>9898</v>
      </c>
      <c r="Y4638" t="s">
        <v>9900</v>
      </c>
      <c r="Z4638" t="s">
        <v>9898</v>
      </c>
      <c r="AD4638">
        <f t="shared" si="145"/>
        <v>3</v>
      </c>
    </row>
    <row r="4639" spans="1:30" x14ac:dyDescent="0.25">
      <c r="A4639" t="s">
        <v>4663</v>
      </c>
      <c r="B4639" s="2">
        <v>44688</v>
      </c>
      <c r="C4639" s="2">
        <v>44693</v>
      </c>
      <c r="D4639" t="s">
        <v>5296</v>
      </c>
      <c r="E4639" t="s">
        <v>5796</v>
      </c>
      <c r="F4639" t="s">
        <v>6028</v>
      </c>
      <c r="G4639" t="s">
        <v>6031</v>
      </c>
      <c r="H4639" t="s">
        <v>6043</v>
      </c>
      <c r="I4639" t="s">
        <v>6048</v>
      </c>
      <c r="J4639" t="s">
        <v>6054</v>
      </c>
      <c r="K4639" t="s">
        <v>6060</v>
      </c>
      <c r="L4639" t="s">
        <v>9669</v>
      </c>
      <c r="M4639">
        <v>1283.75</v>
      </c>
      <c r="N4639">
        <v>8</v>
      </c>
      <c r="O4639">
        <v>0.19</v>
      </c>
      <c r="P4639">
        <v>-80.92</v>
      </c>
      <c r="Q4639" t="s">
        <v>9894</v>
      </c>
      <c r="R4639">
        <v>5</v>
      </c>
      <c r="S4639" s="5">
        <f t="shared" si="144"/>
        <v>-6.3034079844206434E-2</v>
      </c>
      <c r="T4639">
        <v>160.46875</v>
      </c>
      <c r="U4639">
        <v>5</v>
      </c>
      <c r="V4639">
        <v>2022</v>
      </c>
      <c r="W4639">
        <v>2</v>
      </c>
      <c r="X4639" t="s">
        <v>9898</v>
      </c>
      <c r="Y4639" t="s">
        <v>9900</v>
      </c>
      <c r="Z4639" t="s">
        <v>9898</v>
      </c>
      <c r="AD4639">
        <f t="shared" si="145"/>
        <v>5</v>
      </c>
    </row>
    <row r="4640" spans="1:30" x14ac:dyDescent="0.25">
      <c r="A4640" t="s">
        <v>4664</v>
      </c>
      <c r="B4640" s="2">
        <v>45110</v>
      </c>
      <c r="C4640" s="2">
        <v>45117</v>
      </c>
      <c r="D4640" t="s">
        <v>5046</v>
      </c>
      <c r="E4640" t="s">
        <v>5546</v>
      </c>
      <c r="F4640" t="s">
        <v>6028</v>
      </c>
      <c r="G4640" t="s">
        <v>6031</v>
      </c>
      <c r="H4640" t="s">
        <v>6037</v>
      </c>
      <c r="I4640" t="s">
        <v>6050</v>
      </c>
      <c r="J4640" t="s">
        <v>6055</v>
      </c>
      <c r="K4640" t="s">
        <v>6063</v>
      </c>
      <c r="L4640" t="s">
        <v>9670</v>
      </c>
      <c r="M4640">
        <v>805.95</v>
      </c>
      <c r="N4640">
        <v>5</v>
      </c>
      <c r="O4640">
        <v>0.2</v>
      </c>
      <c r="P4640">
        <v>32.479999999999997</v>
      </c>
      <c r="Q4640" t="s">
        <v>9897</v>
      </c>
      <c r="R4640">
        <v>7</v>
      </c>
      <c r="S4640" s="5">
        <f t="shared" si="144"/>
        <v>4.0300266765928398E-2</v>
      </c>
      <c r="T4640">
        <v>161.19</v>
      </c>
      <c r="U4640">
        <v>7</v>
      </c>
      <c r="V4640">
        <v>2023</v>
      </c>
      <c r="W4640">
        <v>3</v>
      </c>
      <c r="X4640" t="s">
        <v>9899</v>
      </c>
      <c r="Y4640" t="s">
        <v>9900</v>
      </c>
      <c r="Z4640" t="s">
        <v>9899</v>
      </c>
      <c r="AD4640">
        <f t="shared" si="145"/>
        <v>7</v>
      </c>
    </row>
    <row r="4641" spans="1:30" x14ac:dyDescent="0.25">
      <c r="A4641" t="s">
        <v>4665</v>
      </c>
      <c r="B4641" s="2">
        <v>44694</v>
      </c>
      <c r="C4641" s="2">
        <v>44695</v>
      </c>
      <c r="D4641" t="s">
        <v>5171</v>
      </c>
      <c r="E4641" t="s">
        <v>5671</v>
      </c>
      <c r="F4641" t="s">
        <v>6028</v>
      </c>
      <c r="G4641" t="s">
        <v>6031</v>
      </c>
      <c r="H4641" t="s">
        <v>6042</v>
      </c>
      <c r="I4641" t="s">
        <v>6048</v>
      </c>
      <c r="J4641" t="s">
        <v>6054</v>
      </c>
      <c r="K4641" t="s">
        <v>6060</v>
      </c>
      <c r="L4641" t="s">
        <v>9671</v>
      </c>
      <c r="M4641">
        <v>917.46</v>
      </c>
      <c r="N4641">
        <v>3</v>
      </c>
      <c r="O4641">
        <v>0.02</v>
      </c>
      <c r="P4641">
        <v>198.48</v>
      </c>
      <c r="Q4641" t="s">
        <v>9893</v>
      </c>
      <c r="R4641">
        <v>1</v>
      </c>
      <c r="S4641" s="5">
        <f t="shared" si="144"/>
        <v>0.21633640703681903</v>
      </c>
      <c r="T4641">
        <v>305.82</v>
      </c>
      <c r="U4641">
        <v>5</v>
      </c>
      <c r="V4641">
        <v>2022</v>
      </c>
      <c r="W4641">
        <v>2</v>
      </c>
      <c r="X4641" t="s">
        <v>9899</v>
      </c>
      <c r="Y4641" t="s">
        <v>9901</v>
      </c>
      <c r="Z4641" t="s">
        <v>9899</v>
      </c>
      <c r="AD4641">
        <f t="shared" si="145"/>
        <v>1</v>
      </c>
    </row>
    <row r="4642" spans="1:30" x14ac:dyDescent="0.25">
      <c r="A4642" t="s">
        <v>4666</v>
      </c>
      <c r="B4642" s="2">
        <v>44685</v>
      </c>
      <c r="C4642" s="2">
        <v>44692</v>
      </c>
      <c r="D4642" t="s">
        <v>5485</v>
      </c>
      <c r="E4642" t="s">
        <v>5985</v>
      </c>
      <c r="F4642" t="s">
        <v>6027</v>
      </c>
      <c r="G4642" t="s">
        <v>6030</v>
      </c>
      <c r="H4642" t="s">
        <v>6038</v>
      </c>
      <c r="I4642" t="s">
        <v>6051</v>
      </c>
      <c r="J4642" t="s">
        <v>6054</v>
      </c>
      <c r="K4642" t="s">
        <v>6060</v>
      </c>
      <c r="L4642" t="s">
        <v>9672</v>
      </c>
      <c r="M4642">
        <v>188.17</v>
      </c>
      <c r="N4642">
        <v>7</v>
      </c>
      <c r="O4642">
        <v>0.21</v>
      </c>
      <c r="P4642">
        <v>-17.600000000000001</v>
      </c>
      <c r="Q4642" t="s">
        <v>9895</v>
      </c>
      <c r="R4642">
        <v>7</v>
      </c>
      <c r="S4642" s="5">
        <f t="shared" si="144"/>
        <v>-9.3532444066535589E-2</v>
      </c>
      <c r="T4642">
        <v>26.881428571428572</v>
      </c>
      <c r="U4642">
        <v>5</v>
      </c>
      <c r="V4642">
        <v>2022</v>
      </c>
      <c r="W4642">
        <v>2</v>
      </c>
      <c r="X4642" t="s">
        <v>9898</v>
      </c>
      <c r="Y4642" t="s">
        <v>9900</v>
      </c>
      <c r="Z4642" t="s">
        <v>9899</v>
      </c>
      <c r="AD4642">
        <f t="shared" si="145"/>
        <v>7</v>
      </c>
    </row>
    <row r="4643" spans="1:30" x14ac:dyDescent="0.25">
      <c r="A4643" t="s">
        <v>4667</v>
      </c>
      <c r="B4643" s="2">
        <v>45193</v>
      </c>
      <c r="C4643" s="2">
        <v>45195</v>
      </c>
      <c r="D4643" t="s">
        <v>5233</v>
      </c>
      <c r="E4643" t="s">
        <v>5733</v>
      </c>
      <c r="F4643" t="s">
        <v>6027</v>
      </c>
      <c r="G4643" t="s">
        <v>6029</v>
      </c>
      <c r="H4643" t="s">
        <v>6036</v>
      </c>
      <c r="I4643" t="s">
        <v>6050</v>
      </c>
      <c r="J4643" t="s">
        <v>6054</v>
      </c>
      <c r="K4643" t="s">
        <v>6060</v>
      </c>
      <c r="L4643" t="s">
        <v>9673</v>
      </c>
      <c r="M4643">
        <v>1676.33</v>
      </c>
      <c r="N4643">
        <v>2</v>
      </c>
      <c r="O4643">
        <v>0.28000000000000003</v>
      </c>
      <c r="P4643">
        <v>-295.81</v>
      </c>
      <c r="Q4643" t="s">
        <v>9894</v>
      </c>
      <c r="R4643">
        <v>2</v>
      </c>
      <c r="S4643" s="5">
        <f t="shared" si="144"/>
        <v>-0.17646286828965657</v>
      </c>
      <c r="T4643">
        <v>838.16499999999996</v>
      </c>
      <c r="U4643">
        <v>9</v>
      </c>
      <c r="V4643">
        <v>2023</v>
      </c>
      <c r="W4643">
        <v>3</v>
      </c>
      <c r="X4643" t="s">
        <v>9898</v>
      </c>
      <c r="Y4643" t="s">
        <v>9900</v>
      </c>
      <c r="Z4643" t="s">
        <v>9898</v>
      </c>
      <c r="AD4643">
        <f t="shared" si="145"/>
        <v>2</v>
      </c>
    </row>
    <row r="4644" spans="1:30" x14ac:dyDescent="0.25">
      <c r="A4644" t="s">
        <v>4668</v>
      </c>
      <c r="B4644" s="2">
        <v>44971</v>
      </c>
      <c r="C4644" s="2">
        <v>44972</v>
      </c>
      <c r="D4644" t="s">
        <v>5045</v>
      </c>
      <c r="E4644" t="s">
        <v>5545</v>
      </c>
      <c r="F4644" t="s">
        <v>6028</v>
      </c>
      <c r="G4644" t="s">
        <v>6030</v>
      </c>
      <c r="H4644" t="s">
        <v>6033</v>
      </c>
      <c r="I4644" t="s">
        <v>6051</v>
      </c>
      <c r="J4644" t="s">
        <v>6053</v>
      </c>
      <c r="K4644" t="s">
        <v>6056</v>
      </c>
      <c r="L4644" t="s">
        <v>6616</v>
      </c>
      <c r="M4644">
        <v>758.18</v>
      </c>
      <c r="N4644">
        <v>1</v>
      </c>
      <c r="O4644">
        <v>0.22</v>
      </c>
      <c r="P4644">
        <v>-64.2</v>
      </c>
      <c r="Q4644" t="s">
        <v>9897</v>
      </c>
      <c r="R4644">
        <v>1</v>
      </c>
      <c r="S4644" s="5">
        <f t="shared" si="144"/>
        <v>-8.467646205386585E-2</v>
      </c>
      <c r="T4644">
        <v>758.18</v>
      </c>
      <c r="U4644">
        <v>2</v>
      </c>
      <c r="V4644">
        <v>2023</v>
      </c>
      <c r="W4644">
        <v>1</v>
      </c>
      <c r="X4644" t="s">
        <v>9898</v>
      </c>
      <c r="Y4644" t="s">
        <v>9900</v>
      </c>
      <c r="Z4644" t="s">
        <v>9899</v>
      </c>
      <c r="AD4644">
        <f t="shared" si="145"/>
        <v>1</v>
      </c>
    </row>
    <row r="4645" spans="1:30" x14ac:dyDescent="0.25">
      <c r="A4645" t="s">
        <v>4669</v>
      </c>
      <c r="B4645" s="2">
        <v>44902</v>
      </c>
      <c r="C4645" s="2">
        <v>44909</v>
      </c>
      <c r="D4645" t="s">
        <v>5136</v>
      </c>
      <c r="E4645" t="s">
        <v>5636</v>
      </c>
      <c r="F4645" t="s">
        <v>6027</v>
      </c>
      <c r="G4645" t="s">
        <v>6030</v>
      </c>
      <c r="H4645" t="s">
        <v>6039</v>
      </c>
      <c r="I4645" t="s">
        <v>6051</v>
      </c>
      <c r="J4645" t="s">
        <v>6053</v>
      </c>
      <c r="K4645" t="s">
        <v>6058</v>
      </c>
      <c r="L4645" t="s">
        <v>9674</v>
      </c>
      <c r="M4645">
        <v>1041.1300000000001</v>
      </c>
      <c r="N4645">
        <v>4</v>
      </c>
      <c r="O4645">
        <v>0.13</v>
      </c>
      <c r="P4645">
        <v>70.89</v>
      </c>
      <c r="Q4645" t="s">
        <v>9893</v>
      </c>
      <c r="R4645">
        <v>7</v>
      </c>
      <c r="S4645" s="5">
        <f t="shared" si="144"/>
        <v>6.8089479699941405E-2</v>
      </c>
      <c r="T4645">
        <v>260.28250000000003</v>
      </c>
      <c r="U4645">
        <v>12</v>
      </c>
      <c r="V4645">
        <v>2022</v>
      </c>
      <c r="W4645">
        <v>4</v>
      </c>
      <c r="X4645" t="s">
        <v>9899</v>
      </c>
      <c r="Y4645" t="s">
        <v>9901</v>
      </c>
      <c r="Z4645" t="s">
        <v>9898</v>
      </c>
      <c r="AD4645">
        <f t="shared" si="145"/>
        <v>7</v>
      </c>
    </row>
    <row r="4646" spans="1:30" x14ac:dyDescent="0.25">
      <c r="A4646" t="s">
        <v>4670</v>
      </c>
      <c r="B4646" s="2">
        <v>45322</v>
      </c>
      <c r="C4646" s="2">
        <v>45327</v>
      </c>
      <c r="D4646" t="s">
        <v>5083</v>
      </c>
      <c r="E4646" t="s">
        <v>5583</v>
      </c>
      <c r="F4646" t="s">
        <v>6026</v>
      </c>
      <c r="G4646" t="s">
        <v>6031</v>
      </c>
      <c r="H4646" t="s">
        <v>6034</v>
      </c>
      <c r="I4646" t="s">
        <v>6048</v>
      </c>
      <c r="J4646" t="s">
        <v>6054</v>
      </c>
      <c r="K4646" t="s">
        <v>6062</v>
      </c>
      <c r="L4646" t="s">
        <v>9675</v>
      </c>
      <c r="M4646">
        <v>1706.94</v>
      </c>
      <c r="N4646">
        <v>7</v>
      </c>
      <c r="O4646">
        <v>0.18</v>
      </c>
      <c r="P4646">
        <v>91.29</v>
      </c>
      <c r="Q4646" t="s">
        <v>9897</v>
      </c>
      <c r="R4646">
        <v>5</v>
      </c>
      <c r="S4646" s="5">
        <f t="shared" si="144"/>
        <v>5.3481668951456993E-2</v>
      </c>
      <c r="T4646">
        <v>243.8485714285714</v>
      </c>
      <c r="U4646">
        <v>1</v>
      </c>
      <c r="V4646">
        <v>2024</v>
      </c>
      <c r="W4646">
        <v>1</v>
      </c>
      <c r="X4646" t="s">
        <v>9899</v>
      </c>
      <c r="Y4646" t="s">
        <v>9900</v>
      </c>
      <c r="Z4646" t="s">
        <v>9898</v>
      </c>
      <c r="AD4646">
        <f t="shared" si="145"/>
        <v>5</v>
      </c>
    </row>
    <row r="4647" spans="1:30" x14ac:dyDescent="0.25">
      <c r="A4647" t="s">
        <v>4671</v>
      </c>
      <c r="B4647" s="2">
        <v>44880</v>
      </c>
      <c r="C4647" s="2">
        <v>44881</v>
      </c>
      <c r="D4647" t="s">
        <v>5514</v>
      </c>
      <c r="E4647" t="s">
        <v>6014</v>
      </c>
      <c r="F4647" t="s">
        <v>6027</v>
      </c>
      <c r="G4647" t="s">
        <v>6031</v>
      </c>
      <c r="H4647" t="s">
        <v>6042</v>
      </c>
      <c r="I4647" t="s">
        <v>6050</v>
      </c>
      <c r="J4647" t="s">
        <v>6054</v>
      </c>
      <c r="K4647" t="s">
        <v>6060</v>
      </c>
      <c r="L4647" t="s">
        <v>7927</v>
      </c>
      <c r="M4647">
        <v>764.61</v>
      </c>
      <c r="N4647">
        <v>2</v>
      </c>
      <c r="O4647">
        <v>0.22</v>
      </c>
      <c r="P4647">
        <v>50.72</v>
      </c>
      <c r="Q4647" t="s">
        <v>9897</v>
      </c>
      <c r="R4647">
        <v>1</v>
      </c>
      <c r="S4647" s="5">
        <f t="shared" si="144"/>
        <v>6.6334471168308026E-2</v>
      </c>
      <c r="T4647">
        <v>382.30500000000001</v>
      </c>
      <c r="U4647">
        <v>11</v>
      </c>
      <c r="V4647">
        <v>2022</v>
      </c>
      <c r="W4647">
        <v>4</v>
      </c>
      <c r="X4647" t="s">
        <v>9899</v>
      </c>
      <c r="Y4647" t="s">
        <v>9900</v>
      </c>
      <c r="Z4647" t="s">
        <v>9899</v>
      </c>
      <c r="AD4647">
        <f t="shared" si="145"/>
        <v>1</v>
      </c>
    </row>
    <row r="4648" spans="1:30" x14ac:dyDescent="0.25">
      <c r="A4648" t="s">
        <v>4672</v>
      </c>
      <c r="B4648" s="2">
        <v>45365</v>
      </c>
      <c r="C4648" s="2">
        <v>45370</v>
      </c>
      <c r="D4648" t="s">
        <v>5372</v>
      </c>
      <c r="E4648" t="s">
        <v>5872</v>
      </c>
      <c r="F4648" t="s">
        <v>6027</v>
      </c>
      <c r="G4648" t="s">
        <v>6031</v>
      </c>
      <c r="H4648" t="s">
        <v>6034</v>
      </c>
      <c r="I4648" t="s">
        <v>6050</v>
      </c>
      <c r="J4648" t="s">
        <v>6054</v>
      </c>
      <c r="K4648" t="s">
        <v>6062</v>
      </c>
      <c r="L4648" t="s">
        <v>8098</v>
      </c>
      <c r="M4648">
        <v>1334.13</v>
      </c>
      <c r="N4648">
        <v>1</v>
      </c>
      <c r="O4648">
        <v>0.25</v>
      </c>
      <c r="P4648">
        <v>-82.5</v>
      </c>
      <c r="Q4648" t="s">
        <v>9895</v>
      </c>
      <c r="R4648">
        <v>5</v>
      </c>
      <c r="S4648" s="5">
        <f t="shared" si="144"/>
        <v>-6.1838051764070964E-2</v>
      </c>
      <c r="T4648">
        <v>1334.13</v>
      </c>
      <c r="U4648">
        <v>3</v>
      </c>
      <c r="V4648">
        <v>2024</v>
      </c>
      <c r="W4648">
        <v>1</v>
      </c>
      <c r="X4648" t="s">
        <v>9898</v>
      </c>
      <c r="Y4648" t="s">
        <v>9900</v>
      </c>
      <c r="Z4648" t="s">
        <v>9898</v>
      </c>
      <c r="AD4648">
        <f t="shared" si="145"/>
        <v>5</v>
      </c>
    </row>
    <row r="4649" spans="1:30" x14ac:dyDescent="0.25">
      <c r="A4649" t="s">
        <v>4673</v>
      </c>
      <c r="B4649" s="2">
        <v>44853</v>
      </c>
      <c r="C4649" s="2">
        <v>44856</v>
      </c>
      <c r="D4649" t="s">
        <v>5042</v>
      </c>
      <c r="E4649" t="s">
        <v>5542</v>
      </c>
      <c r="F4649" t="s">
        <v>6028</v>
      </c>
      <c r="G4649" t="s">
        <v>6029</v>
      </c>
      <c r="H4649" t="s">
        <v>6032</v>
      </c>
      <c r="I4649" t="s">
        <v>6049</v>
      </c>
      <c r="J4649" t="s">
        <v>6055</v>
      </c>
      <c r="K4649" t="s">
        <v>6063</v>
      </c>
      <c r="L4649" t="s">
        <v>9676</v>
      </c>
      <c r="M4649">
        <v>1029.3499999999999</v>
      </c>
      <c r="N4649">
        <v>4</v>
      </c>
      <c r="O4649">
        <v>0.15</v>
      </c>
      <c r="P4649">
        <v>109.36</v>
      </c>
      <c r="Q4649" t="s">
        <v>9897</v>
      </c>
      <c r="R4649">
        <v>3</v>
      </c>
      <c r="S4649" s="5">
        <f t="shared" si="144"/>
        <v>0.10624180307961335</v>
      </c>
      <c r="T4649">
        <v>257.33749999999998</v>
      </c>
      <c r="U4649">
        <v>10</v>
      </c>
      <c r="V4649">
        <v>2022</v>
      </c>
      <c r="W4649">
        <v>4</v>
      </c>
      <c r="X4649" t="s">
        <v>9899</v>
      </c>
      <c r="Y4649" t="s">
        <v>9901</v>
      </c>
      <c r="Z4649" t="s">
        <v>9898</v>
      </c>
      <c r="AD4649">
        <f t="shared" si="145"/>
        <v>3</v>
      </c>
    </row>
    <row r="4650" spans="1:30" x14ac:dyDescent="0.25">
      <c r="A4650" t="s">
        <v>4674</v>
      </c>
      <c r="B4650" s="2">
        <v>45402</v>
      </c>
      <c r="C4650" s="2">
        <v>45406</v>
      </c>
      <c r="D4650" t="s">
        <v>5284</v>
      </c>
      <c r="E4650" t="s">
        <v>5784</v>
      </c>
      <c r="F4650" t="s">
        <v>6027</v>
      </c>
      <c r="G4650" t="s">
        <v>6031</v>
      </c>
      <c r="H4650" t="s">
        <v>6043</v>
      </c>
      <c r="I4650" t="s">
        <v>6052</v>
      </c>
      <c r="J4650" t="s">
        <v>6054</v>
      </c>
      <c r="K4650" t="s">
        <v>6059</v>
      </c>
      <c r="L4650" t="s">
        <v>7931</v>
      </c>
      <c r="M4650">
        <v>1530.36</v>
      </c>
      <c r="N4650">
        <v>3</v>
      </c>
      <c r="O4650">
        <v>0.12</v>
      </c>
      <c r="P4650">
        <v>-29.98</v>
      </c>
      <c r="Q4650" t="s">
        <v>9893</v>
      </c>
      <c r="R4650">
        <v>4</v>
      </c>
      <c r="S4650" s="5">
        <f t="shared" si="144"/>
        <v>-1.9590161791996658E-2</v>
      </c>
      <c r="T4650">
        <v>510.11999999999989</v>
      </c>
      <c r="U4650">
        <v>4</v>
      </c>
      <c r="V4650">
        <v>2024</v>
      </c>
      <c r="W4650">
        <v>2</v>
      </c>
      <c r="X4650" t="s">
        <v>9898</v>
      </c>
      <c r="Y4650" t="s">
        <v>9901</v>
      </c>
      <c r="Z4650" t="s">
        <v>9898</v>
      </c>
      <c r="AD4650">
        <f t="shared" si="145"/>
        <v>4</v>
      </c>
    </row>
    <row r="4651" spans="1:30" x14ac:dyDescent="0.25">
      <c r="A4651" t="s">
        <v>4675</v>
      </c>
      <c r="B4651" s="2">
        <v>45402</v>
      </c>
      <c r="C4651" s="2">
        <v>45408</v>
      </c>
      <c r="D4651" t="s">
        <v>5119</v>
      </c>
      <c r="E4651" t="s">
        <v>5619</v>
      </c>
      <c r="F4651" t="s">
        <v>6026</v>
      </c>
      <c r="G4651" t="s">
        <v>6031</v>
      </c>
      <c r="H4651" t="s">
        <v>6043</v>
      </c>
      <c r="I4651" t="s">
        <v>6052</v>
      </c>
      <c r="J4651" t="s">
        <v>6053</v>
      </c>
      <c r="K4651" t="s">
        <v>6056</v>
      </c>
      <c r="L4651" t="s">
        <v>7745</v>
      </c>
      <c r="M4651">
        <v>1856.54</v>
      </c>
      <c r="N4651">
        <v>3</v>
      </c>
      <c r="O4651">
        <v>0.28000000000000003</v>
      </c>
      <c r="P4651">
        <v>-204.77</v>
      </c>
      <c r="Q4651" t="s">
        <v>9894</v>
      </c>
      <c r="R4651">
        <v>6</v>
      </c>
      <c r="S4651" s="5">
        <f t="shared" si="144"/>
        <v>-0.11029657319529879</v>
      </c>
      <c r="T4651">
        <v>618.84666666666669</v>
      </c>
      <c r="U4651">
        <v>4</v>
      </c>
      <c r="V4651">
        <v>2024</v>
      </c>
      <c r="W4651">
        <v>2</v>
      </c>
      <c r="X4651" t="s">
        <v>9898</v>
      </c>
      <c r="Y4651" t="s">
        <v>9900</v>
      </c>
      <c r="Z4651" t="s">
        <v>9898</v>
      </c>
      <c r="AD4651">
        <f t="shared" si="145"/>
        <v>6</v>
      </c>
    </row>
    <row r="4652" spans="1:30" x14ac:dyDescent="0.25">
      <c r="A4652" t="s">
        <v>4676</v>
      </c>
      <c r="B4652" s="2">
        <v>44951</v>
      </c>
      <c r="C4652" s="2">
        <v>44952</v>
      </c>
      <c r="D4652" t="s">
        <v>5368</v>
      </c>
      <c r="E4652" t="s">
        <v>5868</v>
      </c>
      <c r="F4652" t="s">
        <v>6027</v>
      </c>
      <c r="G4652" t="s">
        <v>6029</v>
      </c>
      <c r="H4652" t="s">
        <v>6032</v>
      </c>
      <c r="I4652" t="s">
        <v>6050</v>
      </c>
      <c r="J4652" t="s">
        <v>6054</v>
      </c>
      <c r="K4652" t="s">
        <v>6059</v>
      </c>
      <c r="L4652" t="s">
        <v>9677</v>
      </c>
      <c r="M4652">
        <v>1573.5</v>
      </c>
      <c r="N4652">
        <v>5</v>
      </c>
      <c r="O4652">
        <v>0.2</v>
      </c>
      <c r="P4652">
        <v>-130.84</v>
      </c>
      <c r="Q4652" t="s">
        <v>9894</v>
      </c>
      <c r="R4652">
        <v>1</v>
      </c>
      <c r="S4652" s="5">
        <f t="shared" si="144"/>
        <v>-8.3152208452494436E-2</v>
      </c>
      <c r="T4652">
        <v>314.7</v>
      </c>
      <c r="U4652">
        <v>1</v>
      </c>
      <c r="V4652">
        <v>2023</v>
      </c>
      <c r="W4652">
        <v>1</v>
      </c>
      <c r="X4652" t="s">
        <v>9898</v>
      </c>
      <c r="Y4652" t="s">
        <v>9900</v>
      </c>
      <c r="Z4652" t="s">
        <v>9898</v>
      </c>
      <c r="AD4652">
        <f t="shared" si="145"/>
        <v>1</v>
      </c>
    </row>
    <row r="4653" spans="1:30" x14ac:dyDescent="0.25">
      <c r="A4653" t="s">
        <v>4677</v>
      </c>
      <c r="B4653" s="2">
        <v>44990</v>
      </c>
      <c r="C4653" s="2">
        <v>44993</v>
      </c>
      <c r="D4653" t="s">
        <v>5094</v>
      </c>
      <c r="E4653" t="s">
        <v>5594</v>
      </c>
      <c r="F4653" t="s">
        <v>6028</v>
      </c>
      <c r="G4653" t="s">
        <v>6031</v>
      </c>
      <c r="H4653" t="s">
        <v>6043</v>
      </c>
      <c r="I4653" t="s">
        <v>6052</v>
      </c>
      <c r="J4653" t="s">
        <v>6055</v>
      </c>
      <c r="K4653" t="s">
        <v>6064</v>
      </c>
      <c r="L4653" t="s">
        <v>9678</v>
      </c>
      <c r="M4653">
        <v>1744.69</v>
      </c>
      <c r="N4653">
        <v>4</v>
      </c>
      <c r="O4653">
        <v>0.22</v>
      </c>
      <c r="P4653">
        <v>-144.88999999999999</v>
      </c>
      <c r="Q4653" t="s">
        <v>9894</v>
      </c>
      <c r="R4653">
        <v>3</v>
      </c>
      <c r="S4653" s="5">
        <f t="shared" si="144"/>
        <v>-8.304627183052575E-2</v>
      </c>
      <c r="T4653">
        <v>436.17250000000001</v>
      </c>
      <c r="U4653">
        <v>3</v>
      </c>
      <c r="V4653">
        <v>2023</v>
      </c>
      <c r="W4653">
        <v>1</v>
      </c>
      <c r="X4653" t="s">
        <v>9898</v>
      </c>
      <c r="Y4653" t="s">
        <v>9900</v>
      </c>
      <c r="Z4653" t="s">
        <v>9898</v>
      </c>
      <c r="AD4653">
        <f t="shared" si="145"/>
        <v>3</v>
      </c>
    </row>
    <row r="4654" spans="1:30" x14ac:dyDescent="0.25">
      <c r="A4654" t="s">
        <v>4678</v>
      </c>
      <c r="B4654" s="2">
        <v>45002</v>
      </c>
      <c r="C4654" s="2">
        <v>45009</v>
      </c>
      <c r="D4654" t="s">
        <v>5192</v>
      </c>
      <c r="E4654" t="s">
        <v>5692</v>
      </c>
      <c r="F4654" t="s">
        <v>6026</v>
      </c>
      <c r="G4654" t="s">
        <v>6029</v>
      </c>
      <c r="H4654" t="s">
        <v>6032</v>
      </c>
      <c r="I4654" t="s">
        <v>6050</v>
      </c>
      <c r="J4654" t="s">
        <v>6055</v>
      </c>
      <c r="K4654" t="s">
        <v>6063</v>
      </c>
      <c r="L4654" t="s">
        <v>9679</v>
      </c>
      <c r="M4654">
        <v>702.57</v>
      </c>
      <c r="N4654">
        <v>5</v>
      </c>
      <c r="O4654">
        <v>0.11</v>
      </c>
      <c r="P4654">
        <v>54.72</v>
      </c>
      <c r="Q4654" t="s">
        <v>9893</v>
      </c>
      <c r="R4654">
        <v>7</v>
      </c>
      <c r="S4654" s="5">
        <f t="shared" si="144"/>
        <v>7.7885477603655148E-2</v>
      </c>
      <c r="T4654">
        <v>140.51400000000001</v>
      </c>
      <c r="U4654">
        <v>3</v>
      </c>
      <c r="V4654">
        <v>2023</v>
      </c>
      <c r="W4654">
        <v>1</v>
      </c>
      <c r="X4654" t="s">
        <v>9899</v>
      </c>
      <c r="Y4654" t="s">
        <v>9901</v>
      </c>
      <c r="Z4654" t="s">
        <v>9899</v>
      </c>
      <c r="AD4654">
        <f t="shared" si="145"/>
        <v>7</v>
      </c>
    </row>
    <row r="4655" spans="1:30" x14ac:dyDescent="0.25">
      <c r="A4655" t="s">
        <v>4679</v>
      </c>
      <c r="B4655" s="2">
        <v>45406</v>
      </c>
      <c r="C4655" s="2">
        <v>45413</v>
      </c>
      <c r="D4655" t="s">
        <v>5105</v>
      </c>
      <c r="E4655" t="s">
        <v>5605</v>
      </c>
      <c r="F4655" t="s">
        <v>6028</v>
      </c>
      <c r="G4655" t="s">
        <v>6029</v>
      </c>
      <c r="H4655" t="s">
        <v>6036</v>
      </c>
      <c r="I4655" t="s">
        <v>6049</v>
      </c>
      <c r="J4655" t="s">
        <v>6053</v>
      </c>
      <c r="K4655" t="s">
        <v>6056</v>
      </c>
      <c r="L4655" t="s">
        <v>9680</v>
      </c>
      <c r="M4655">
        <v>1022.23</v>
      </c>
      <c r="N4655">
        <v>5</v>
      </c>
      <c r="O4655">
        <v>0.15</v>
      </c>
      <c r="P4655">
        <v>91.58</v>
      </c>
      <c r="Q4655" t="s">
        <v>9893</v>
      </c>
      <c r="R4655">
        <v>7</v>
      </c>
      <c r="S4655" s="5">
        <f t="shared" si="144"/>
        <v>8.9588448783541857E-2</v>
      </c>
      <c r="T4655">
        <v>204.446</v>
      </c>
      <c r="U4655">
        <v>4</v>
      </c>
      <c r="V4655">
        <v>2024</v>
      </c>
      <c r="W4655">
        <v>2</v>
      </c>
      <c r="X4655" t="s">
        <v>9899</v>
      </c>
      <c r="Y4655" t="s">
        <v>9901</v>
      </c>
      <c r="Z4655" t="s">
        <v>9898</v>
      </c>
      <c r="AD4655">
        <f t="shared" si="145"/>
        <v>7</v>
      </c>
    </row>
    <row r="4656" spans="1:30" x14ac:dyDescent="0.25">
      <c r="A4656" t="s">
        <v>4680</v>
      </c>
      <c r="B4656" s="2">
        <v>45295</v>
      </c>
      <c r="C4656" s="2">
        <v>45301</v>
      </c>
      <c r="D4656" t="s">
        <v>5502</v>
      </c>
      <c r="E4656" t="s">
        <v>6002</v>
      </c>
      <c r="F4656" t="s">
        <v>6026</v>
      </c>
      <c r="G4656" t="s">
        <v>6029</v>
      </c>
      <c r="H4656" t="s">
        <v>6044</v>
      </c>
      <c r="I4656" t="s">
        <v>6049</v>
      </c>
      <c r="J4656" t="s">
        <v>6055</v>
      </c>
      <c r="K4656" t="s">
        <v>6064</v>
      </c>
      <c r="L4656" t="s">
        <v>9681</v>
      </c>
      <c r="M4656">
        <v>1419.17</v>
      </c>
      <c r="N4656">
        <v>5</v>
      </c>
      <c r="O4656">
        <v>0.33</v>
      </c>
      <c r="P4656">
        <v>-244.95</v>
      </c>
      <c r="Q4656" t="s">
        <v>9896</v>
      </c>
      <c r="R4656">
        <v>6</v>
      </c>
      <c r="S4656" s="5">
        <f t="shared" si="144"/>
        <v>-0.17260088643361962</v>
      </c>
      <c r="T4656">
        <v>283.834</v>
      </c>
      <c r="U4656">
        <v>1</v>
      </c>
      <c r="V4656">
        <v>2024</v>
      </c>
      <c r="W4656">
        <v>1</v>
      </c>
      <c r="X4656" t="s">
        <v>9898</v>
      </c>
      <c r="Y4656" t="s">
        <v>9902</v>
      </c>
      <c r="Z4656" t="s">
        <v>9898</v>
      </c>
      <c r="AD4656">
        <f t="shared" si="145"/>
        <v>6</v>
      </c>
    </row>
    <row r="4657" spans="1:30" x14ac:dyDescent="0.25">
      <c r="A4657" t="s">
        <v>4681</v>
      </c>
      <c r="B4657" s="2">
        <v>44803</v>
      </c>
      <c r="C4657" s="2">
        <v>44808</v>
      </c>
      <c r="D4657" t="s">
        <v>5064</v>
      </c>
      <c r="E4657" t="s">
        <v>5564</v>
      </c>
      <c r="F4657" t="s">
        <v>6026</v>
      </c>
      <c r="G4657" t="s">
        <v>6031</v>
      </c>
      <c r="H4657" t="s">
        <v>6037</v>
      </c>
      <c r="I4657" t="s">
        <v>6048</v>
      </c>
      <c r="J4657" t="s">
        <v>6053</v>
      </c>
      <c r="K4657" t="s">
        <v>6057</v>
      </c>
      <c r="L4657" t="s">
        <v>9682</v>
      </c>
      <c r="M4657">
        <v>1842.59</v>
      </c>
      <c r="N4657">
        <v>1</v>
      </c>
      <c r="O4657">
        <v>0.2</v>
      </c>
      <c r="P4657">
        <v>155.24</v>
      </c>
      <c r="Q4657" t="s">
        <v>9893</v>
      </c>
      <c r="R4657">
        <v>5</v>
      </c>
      <c r="S4657" s="5">
        <f t="shared" si="144"/>
        <v>8.425097281543914E-2</v>
      </c>
      <c r="T4657">
        <v>1842.59</v>
      </c>
      <c r="U4657">
        <v>8</v>
      </c>
      <c r="V4657">
        <v>2022</v>
      </c>
      <c r="W4657">
        <v>3</v>
      </c>
      <c r="X4657" t="s">
        <v>9899</v>
      </c>
      <c r="Y4657" t="s">
        <v>9900</v>
      </c>
      <c r="Z4657" t="s">
        <v>9898</v>
      </c>
      <c r="AD4657">
        <f t="shared" si="145"/>
        <v>5</v>
      </c>
    </row>
    <row r="4658" spans="1:30" x14ac:dyDescent="0.25">
      <c r="A4658" t="s">
        <v>4682</v>
      </c>
      <c r="B4658" s="2">
        <v>45187</v>
      </c>
      <c r="C4658" s="2">
        <v>45192</v>
      </c>
      <c r="D4658" t="s">
        <v>5199</v>
      </c>
      <c r="E4658" t="s">
        <v>5699</v>
      </c>
      <c r="F4658" t="s">
        <v>6028</v>
      </c>
      <c r="G4658" t="s">
        <v>6029</v>
      </c>
      <c r="H4658" t="s">
        <v>6036</v>
      </c>
      <c r="I4658" t="s">
        <v>6050</v>
      </c>
      <c r="J4658" t="s">
        <v>6055</v>
      </c>
      <c r="K4658" t="s">
        <v>6063</v>
      </c>
      <c r="L4658" t="s">
        <v>9683</v>
      </c>
      <c r="M4658">
        <v>1613.83</v>
      </c>
      <c r="N4658">
        <v>4</v>
      </c>
      <c r="O4658">
        <v>0.16</v>
      </c>
      <c r="P4658">
        <v>43.47</v>
      </c>
      <c r="Q4658" t="s">
        <v>9894</v>
      </c>
      <c r="R4658">
        <v>5</v>
      </c>
      <c r="S4658" s="5">
        <f t="shared" si="144"/>
        <v>2.6935922618863201E-2</v>
      </c>
      <c r="T4658">
        <v>403.45749999999998</v>
      </c>
      <c r="U4658">
        <v>9</v>
      </c>
      <c r="V4658">
        <v>2023</v>
      </c>
      <c r="W4658">
        <v>3</v>
      </c>
      <c r="X4658" t="s">
        <v>9899</v>
      </c>
      <c r="Y4658" t="s">
        <v>9900</v>
      </c>
      <c r="Z4658" t="s">
        <v>9898</v>
      </c>
      <c r="AD4658">
        <f t="shared" si="145"/>
        <v>5</v>
      </c>
    </row>
    <row r="4659" spans="1:30" x14ac:dyDescent="0.25">
      <c r="A4659" t="s">
        <v>4683</v>
      </c>
      <c r="B4659" s="2">
        <v>44697</v>
      </c>
      <c r="C4659" s="2">
        <v>44704</v>
      </c>
      <c r="D4659" t="s">
        <v>5426</v>
      </c>
      <c r="E4659" t="s">
        <v>5926</v>
      </c>
      <c r="F4659" t="s">
        <v>6026</v>
      </c>
      <c r="G4659" t="s">
        <v>6030</v>
      </c>
      <c r="H4659" t="s">
        <v>6033</v>
      </c>
      <c r="I4659" t="s">
        <v>6051</v>
      </c>
      <c r="J4659" t="s">
        <v>6054</v>
      </c>
      <c r="K4659" t="s">
        <v>6060</v>
      </c>
      <c r="L4659" t="s">
        <v>9684</v>
      </c>
      <c r="M4659">
        <v>243.47</v>
      </c>
      <c r="N4659">
        <v>4</v>
      </c>
      <c r="O4659">
        <v>0.16</v>
      </c>
      <c r="P4659">
        <v>-14.02</v>
      </c>
      <c r="Q4659" t="s">
        <v>9895</v>
      </c>
      <c r="R4659">
        <v>7</v>
      </c>
      <c r="S4659" s="5">
        <f t="shared" si="144"/>
        <v>-5.758409660327761E-2</v>
      </c>
      <c r="T4659">
        <v>60.8675</v>
      </c>
      <c r="U4659">
        <v>5</v>
      </c>
      <c r="V4659">
        <v>2022</v>
      </c>
      <c r="W4659">
        <v>2</v>
      </c>
      <c r="X4659" t="s">
        <v>9898</v>
      </c>
      <c r="Y4659" t="s">
        <v>9900</v>
      </c>
      <c r="Z4659" t="s">
        <v>9899</v>
      </c>
      <c r="AD4659">
        <f t="shared" si="145"/>
        <v>7</v>
      </c>
    </row>
    <row r="4660" spans="1:30" x14ac:dyDescent="0.25">
      <c r="A4660" t="s">
        <v>4684</v>
      </c>
      <c r="B4660" s="2">
        <v>44784</v>
      </c>
      <c r="C4660" s="2">
        <v>44791</v>
      </c>
      <c r="D4660" t="s">
        <v>5117</v>
      </c>
      <c r="E4660" t="s">
        <v>5617</v>
      </c>
      <c r="F4660" t="s">
        <v>6028</v>
      </c>
      <c r="G4660" t="s">
        <v>6031</v>
      </c>
      <c r="H4660" t="s">
        <v>6043</v>
      </c>
      <c r="I4660" t="s">
        <v>6052</v>
      </c>
      <c r="J4660" t="s">
        <v>6053</v>
      </c>
      <c r="K4660" t="s">
        <v>6058</v>
      </c>
      <c r="L4660" t="s">
        <v>9685</v>
      </c>
      <c r="M4660">
        <v>1714.02</v>
      </c>
      <c r="N4660">
        <v>2</v>
      </c>
      <c r="O4660">
        <v>0.21</v>
      </c>
      <c r="P4660">
        <v>24.97</v>
      </c>
      <c r="Q4660" t="s">
        <v>9893</v>
      </c>
      <c r="R4660">
        <v>7</v>
      </c>
      <c r="S4660" s="5">
        <f t="shared" si="144"/>
        <v>1.4568091387498395E-2</v>
      </c>
      <c r="T4660">
        <v>857.01</v>
      </c>
      <c r="U4660">
        <v>8</v>
      </c>
      <c r="V4660">
        <v>2022</v>
      </c>
      <c r="W4660">
        <v>3</v>
      </c>
      <c r="X4660" t="s">
        <v>9899</v>
      </c>
      <c r="Y4660" t="s">
        <v>9900</v>
      </c>
      <c r="Z4660" t="s">
        <v>9898</v>
      </c>
      <c r="AD4660">
        <f t="shared" si="145"/>
        <v>7</v>
      </c>
    </row>
    <row r="4661" spans="1:30" x14ac:dyDescent="0.25">
      <c r="A4661" t="s">
        <v>4685</v>
      </c>
      <c r="B4661" s="2">
        <v>45289</v>
      </c>
      <c r="C4661" s="2">
        <v>45290</v>
      </c>
      <c r="D4661" t="s">
        <v>5465</v>
      </c>
      <c r="E4661" t="s">
        <v>5965</v>
      </c>
      <c r="F4661" t="s">
        <v>6027</v>
      </c>
      <c r="G4661" t="s">
        <v>6030</v>
      </c>
      <c r="H4661" t="s">
        <v>6039</v>
      </c>
      <c r="I4661" t="s">
        <v>6051</v>
      </c>
      <c r="J4661" t="s">
        <v>6055</v>
      </c>
      <c r="K4661" t="s">
        <v>6063</v>
      </c>
      <c r="L4661" t="s">
        <v>9011</v>
      </c>
      <c r="M4661">
        <v>1772.29</v>
      </c>
      <c r="N4661">
        <v>6</v>
      </c>
      <c r="O4661">
        <v>0.32</v>
      </c>
      <c r="P4661">
        <v>-79.709999999999994</v>
      </c>
      <c r="Q4661" t="s">
        <v>9897</v>
      </c>
      <c r="R4661">
        <v>1</v>
      </c>
      <c r="S4661" s="5">
        <f t="shared" si="144"/>
        <v>-4.4975709392932307E-2</v>
      </c>
      <c r="T4661">
        <v>295.38166666666672</v>
      </c>
      <c r="U4661">
        <v>12</v>
      </c>
      <c r="V4661">
        <v>2023</v>
      </c>
      <c r="W4661">
        <v>4</v>
      </c>
      <c r="X4661" t="s">
        <v>9898</v>
      </c>
      <c r="Y4661" t="s">
        <v>9902</v>
      </c>
      <c r="Z4661" t="s">
        <v>9898</v>
      </c>
      <c r="AD4661">
        <f t="shared" si="145"/>
        <v>1</v>
      </c>
    </row>
    <row r="4662" spans="1:30" x14ac:dyDescent="0.25">
      <c r="A4662" t="s">
        <v>4686</v>
      </c>
      <c r="B4662" s="2">
        <v>45223</v>
      </c>
      <c r="C4662" s="2">
        <v>45229</v>
      </c>
      <c r="D4662" t="s">
        <v>5192</v>
      </c>
      <c r="E4662" t="s">
        <v>5692</v>
      </c>
      <c r="F4662" t="s">
        <v>6028</v>
      </c>
      <c r="G4662" t="s">
        <v>6029</v>
      </c>
      <c r="H4662" t="s">
        <v>6044</v>
      </c>
      <c r="I4662" t="s">
        <v>6046</v>
      </c>
      <c r="J4662" t="s">
        <v>6054</v>
      </c>
      <c r="K4662" t="s">
        <v>6060</v>
      </c>
      <c r="L4662" t="s">
        <v>9126</v>
      </c>
      <c r="M4662">
        <v>1939.91</v>
      </c>
      <c r="N4662">
        <v>5</v>
      </c>
      <c r="O4662">
        <v>0.26</v>
      </c>
      <c r="P4662">
        <v>66.63</v>
      </c>
      <c r="Q4662" t="s">
        <v>9895</v>
      </c>
      <c r="R4662">
        <v>6</v>
      </c>
      <c r="S4662" s="5">
        <f t="shared" si="144"/>
        <v>3.434695424014516E-2</v>
      </c>
      <c r="T4662">
        <v>387.98200000000003</v>
      </c>
      <c r="U4662">
        <v>10</v>
      </c>
      <c r="V4662">
        <v>2023</v>
      </c>
      <c r="W4662">
        <v>4</v>
      </c>
      <c r="X4662" t="s">
        <v>9899</v>
      </c>
      <c r="Y4662" t="s">
        <v>9900</v>
      </c>
      <c r="Z4662" t="s">
        <v>9898</v>
      </c>
      <c r="AD4662">
        <f t="shared" si="145"/>
        <v>6</v>
      </c>
    </row>
    <row r="4663" spans="1:30" x14ac:dyDescent="0.25">
      <c r="A4663" t="s">
        <v>4687</v>
      </c>
      <c r="B4663" s="2">
        <v>44834</v>
      </c>
      <c r="C4663" s="2">
        <v>44839</v>
      </c>
      <c r="D4663" t="s">
        <v>5080</v>
      </c>
      <c r="E4663" t="s">
        <v>5580</v>
      </c>
      <c r="F4663" t="s">
        <v>6026</v>
      </c>
      <c r="G4663" t="s">
        <v>6031</v>
      </c>
      <c r="H4663" t="s">
        <v>6043</v>
      </c>
      <c r="I4663" t="s">
        <v>6052</v>
      </c>
      <c r="J4663" t="s">
        <v>6053</v>
      </c>
      <c r="K4663" t="s">
        <v>6058</v>
      </c>
      <c r="L4663" t="s">
        <v>9686</v>
      </c>
      <c r="M4663">
        <v>924.45</v>
      </c>
      <c r="N4663">
        <v>5</v>
      </c>
      <c r="O4663">
        <v>0.13</v>
      </c>
      <c r="P4663">
        <v>147.21</v>
      </c>
      <c r="Q4663" t="s">
        <v>9897</v>
      </c>
      <c r="R4663">
        <v>5</v>
      </c>
      <c r="S4663" s="5">
        <f t="shared" si="144"/>
        <v>0.15924062956352425</v>
      </c>
      <c r="T4663">
        <v>184.89</v>
      </c>
      <c r="U4663">
        <v>9</v>
      </c>
      <c r="V4663">
        <v>2022</v>
      </c>
      <c r="W4663">
        <v>3</v>
      </c>
      <c r="X4663" t="s">
        <v>9899</v>
      </c>
      <c r="Y4663" t="s">
        <v>9901</v>
      </c>
      <c r="Z4663" t="s">
        <v>9899</v>
      </c>
      <c r="AD4663">
        <f t="shared" si="145"/>
        <v>5</v>
      </c>
    </row>
    <row r="4664" spans="1:30" x14ac:dyDescent="0.25">
      <c r="A4664" t="s">
        <v>4688</v>
      </c>
      <c r="B4664" s="2">
        <v>45430</v>
      </c>
      <c r="C4664" s="2">
        <v>45434</v>
      </c>
      <c r="D4664" t="s">
        <v>5254</v>
      </c>
      <c r="E4664" t="s">
        <v>5754</v>
      </c>
      <c r="F4664" t="s">
        <v>6028</v>
      </c>
      <c r="G4664" t="s">
        <v>6031</v>
      </c>
      <c r="H4664" t="s">
        <v>6043</v>
      </c>
      <c r="I4664" t="s">
        <v>6052</v>
      </c>
      <c r="J4664" t="s">
        <v>6055</v>
      </c>
      <c r="K4664" t="s">
        <v>6063</v>
      </c>
      <c r="L4664" t="s">
        <v>7613</v>
      </c>
      <c r="M4664">
        <v>1191.9000000000001</v>
      </c>
      <c r="N4664">
        <v>3</v>
      </c>
      <c r="O4664">
        <v>0.08</v>
      </c>
      <c r="P4664">
        <v>63.03</v>
      </c>
      <c r="Q4664" t="s">
        <v>9894</v>
      </c>
      <c r="R4664">
        <v>4</v>
      </c>
      <c r="S4664" s="5">
        <f t="shared" si="144"/>
        <v>5.2881953183991942E-2</v>
      </c>
      <c r="T4664">
        <v>397.3</v>
      </c>
      <c r="U4664">
        <v>5</v>
      </c>
      <c r="V4664">
        <v>2024</v>
      </c>
      <c r="W4664">
        <v>2</v>
      </c>
      <c r="X4664" t="s">
        <v>9899</v>
      </c>
      <c r="Y4664" t="s">
        <v>9901</v>
      </c>
      <c r="Z4664" t="s">
        <v>9898</v>
      </c>
      <c r="AD4664">
        <f t="shared" si="145"/>
        <v>4</v>
      </c>
    </row>
    <row r="4665" spans="1:30" x14ac:dyDescent="0.25">
      <c r="A4665" t="s">
        <v>4689</v>
      </c>
      <c r="B4665" s="2">
        <v>44943</v>
      </c>
      <c r="C4665" s="2">
        <v>44947</v>
      </c>
      <c r="D4665" t="s">
        <v>5153</v>
      </c>
      <c r="E4665" t="s">
        <v>5653</v>
      </c>
      <c r="F4665" t="s">
        <v>6028</v>
      </c>
      <c r="G4665" t="s">
        <v>6031</v>
      </c>
      <c r="H4665" t="s">
        <v>6042</v>
      </c>
      <c r="I4665" t="s">
        <v>6050</v>
      </c>
      <c r="J4665" t="s">
        <v>6055</v>
      </c>
      <c r="K4665" t="s">
        <v>6064</v>
      </c>
      <c r="L4665" t="s">
        <v>9687</v>
      </c>
      <c r="M4665">
        <v>1064.8399999999999</v>
      </c>
      <c r="N4665">
        <v>7</v>
      </c>
      <c r="O4665">
        <v>0.28999999999999998</v>
      </c>
      <c r="P4665">
        <v>-173.44</v>
      </c>
      <c r="Q4665" t="s">
        <v>9896</v>
      </c>
      <c r="R4665">
        <v>4</v>
      </c>
      <c r="S4665" s="5">
        <f t="shared" si="144"/>
        <v>-0.16287893016791255</v>
      </c>
      <c r="T4665">
        <v>152.12</v>
      </c>
      <c r="U4665">
        <v>1</v>
      </c>
      <c r="V4665">
        <v>2023</v>
      </c>
      <c r="W4665">
        <v>1</v>
      </c>
      <c r="X4665" t="s">
        <v>9898</v>
      </c>
      <c r="Y4665" t="s">
        <v>9900</v>
      </c>
      <c r="Z4665" t="s">
        <v>9898</v>
      </c>
      <c r="AD4665">
        <f t="shared" si="145"/>
        <v>4</v>
      </c>
    </row>
    <row r="4666" spans="1:30" x14ac:dyDescent="0.25">
      <c r="A4666" t="s">
        <v>4690</v>
      </c>
      <c r="B4666" s="2">
        <v>44967</v>
      </c>
      <c r="C4666" s="2">
        <v>44973</v>
      </c>
      <c r="D4666" t="s">
        <v>5452</v>
      </c>
      <c r="E4666" t="s">
        <v>5952</v>
      </c>
      <c r="F4666" t="s">
        <v>6026</v>
      </c>
      <c r="G4666" t="s">
        <v>6030</v>
      </c>
      <c r="H4666" t="s">
        <v>6039</v>
      </c>
      <c r="I4666" t="s">
        <v>6047</v>
      </c>
      <c r="J4666" t="s">
        <v>6055</v>
      </c>
      <c r="K4666" t="s">
        <v>6061</v>
      </c>
      <c r="L4666" t="s">
        <v>9688</v>
      </c>
      <c r="M4666">
        <v>396.55</v>
      </c>
      <c r="N4666">
        <v>7</v>
      </c>
      <c r="O4666">
        <v>0.18</v>
      </c>
      <c r="P4666">
        <v>-24.17</v>
      </c>
      <c r="Q4666" t="s">
        <v>9896</v>
      </c>
      <c r="R4666">
        <v>6</v>
      </c>
      <c r="S4666" s="5">
        <f t="shared" si="144"/>
        <v>-6.0950699785651243E-2</v>
      </c>
      <c r="T4666">
        <v>56.65</v>
      </c>
      <c r="U4666">
        <v>2</v>
      </c>
      <c r="V4666">
        <v>2023</v>
      </c>
      <c r="W4666">
        <v>1</v>
      </c>
      <c r="X4666" t="s">
        <v>9898</v>
      </c>
      <c r="Y4666" t="s">
        <v>9900</v>
      </c>
      <c r="Z4666" t="s">
        <v>9899</v>
      </c>
      <c r="AD4666">
        <f t="shared" si="145"/>
        <v>6</v>
      </c>
    </row>
    <row r="4667" spans="1:30" x14ac:dyDescent="0.25">
      <c r="A4667" t="s">
        <v>4691</v>
      </c>
      <c r="B4667" s="2">
        <v>44962</v>
      </c>
      <c r="C4667" s="2">
        <v>44967</v>
      </c>
      <c r="D4667" t="s">
        <v>5185</v>
      </c>
      <c r="E4667" t="s">
        <v>5685</v>
      </c>
      <c r="F4667" t="s">
        <v>6026</v>
      </c>
      <c r="G4667" t="s">
        <v>6029</v>
      </c>
      <c r="H4667" t="s">
        <v>6036</v>
      </c>
      <c r="I4667" t="s">
        <v>6049</v>
      </c>
      <c r="J4667" t="s">
        <v>6053</v>
      </c>
      <c r="K4667" t="s">
        <v>6056</v>
      </c>
      <c r="L4667" t="s">
        <v>9689</v>
      </c>
      <c r="M4667">
        <v>887.97</v>
      </c>
      <c r="N4667">
        <v>4</v>
      </c>
      <c r="O4667">
        <v>0.09</v>
      </c>
      <c r="P4667">
        <v>170.28</v>
      </c>
      <c r="Q4667" t="s">
        <v>9895</v>
      </c>
      <c r="R4667">
        <v>5</v>
      </c>
      <c r="S4667" s="5">
        <f t="shared" si="144"/>
        <v>0.19176323524443392</v>
      </c>
      <c r="T4667">
        <v>221.99250000000001</v>
      </c>
      <c r="U4667">
        <v>2</v>
      </c>
      <c r="V4667">
        <v>2023</v>
      </c>
      <c r="W4667">
        <v>1</v>
      </c>
      <c r="X4667" t="s">
        <v>9899</v>
      </c>
      <c r="Y4667" t="s">
        <v>9901</v>
      </c>
      <c r="Z4667" t="s">
        <v>9899</v>
      </c>
      <c r="AD4667">
        <f t="shared" si="145"/>
        <v>5</v>
      </c>
    </row>
    <row r="4668" spans="1:30" x14ac:dyDescent="0.25">
      <c r="A4668" t="s">
        <v>4692</v>
      </c>
      <c r="B4668" s="2">
        <v>45356</v>
      </c>
      <c r="C4668" s="2">
        <v>45360</v>
      </c>
      <c r="D4668" t="s">
        <v>5507</v>
      </c>
      <c r="E4668" t="s">
        <v>6007</v>
      </c>
      <c r="F4668" t="s">
        <v>6028</v>
      </c>
      <c r="G4668" t="s">
        <v>6031</v>
      </c>
      <c r="H4668" t="s">
        <v>6037</v>
      </c>
      <c r="I4668" t="s">
        <v>6048</v>
      </c>
      <c r="J4668" t="s">
        <v>6053</v>
      </c>
      <c r="K4668" t="s">
        <v>6056</v>
      </c>
      <c r="L4668" t="s">
        <v>9690</v>
      </c>
      <c r="M4668">
        <v>1698.6</v>
      </c>
      <c r="N4668">
        <v>6</v>
      </c>
      <c r="O4668">
        <v>0.28000000000000003</v>
      </c>
      <c r="P4668">
        <v>-253.8</v>
      </c>
      <c r="Q4668" t="s">
        <v>9896</v>
      </c>
      <c r="R4668">
        <v>4</v>
      </c>
      <c r="S4668" s="5">
        <f t="shared" si="144"/>
        <v>-0.14941716707877076</v>
      </c>
      <c r="T4668">
        <v>283.10000000000002</v>
      </c>
      <c r="U4668">
        <v>3</v>
      </c>
      <c r="V4668">
        <v>2024</v>
      </c>
      <c r="W4668">
        <v>1</v>
      </c>
      <c r="X4668" t="s">
        <v>9898</v>
      </c>
      <c r="Y4668" t="s">
        <v>9900</v>
      </c>
      <c r="Z4668" t="s">
        <v>9898</v>
      </c>
      <c r="AD4668">
        <f t="shared" si="145"/>
        <v>4</v>
      </c>
    </row>
    <row r="4669" spans="1:30" x14ac:dyDescent="0.25">
      <c r="A4669" t="s">
        <v>4693</v>
      </c>
      <c r="B4669" s="2">
        <v>45412</v>
      </c>
      <c r="C4669" s="2">
        <v>45419</v>
      </c>
      <c r="D4669" t="s">
        <v>5442</v>
      </c>
      <c r="E4669" t="s">
        <v>5942</v>
      </c>
      <c r="F4669" t="s">
        <v>6026</v>
      </c>
      <c r="G4669" t="s">
        <v>6030</v>
      </c>
      <c r="H4669" t="s">
        <v>6038</v>
      </c>
      <c r="I4669" t="s">
        <v>6047</v>
      </c>
      <c r="J4669" t="s">
        <v>6054</v>
      </c>
      <c r="K4669" t="s">
        <v>6059</v>
      </c>
      <c r="L4669" t="s">
        <v>9691</v>
      </c>
      <c r="M4669">
        <v>1697.46</v>
      </c>
      <c r="N4669">
        <v>8</v>
      </c>
      <c r="O4669">
        <v>0.28000000000000003</v>
      </c>
      <c r="P4669">
        <v>-171.34</v>
      </c>
      <c r="Q4669" t="s">
        <v>9895</v>
      </c>
      <c r="R4669">
        <v>7</v>
      </c>
      <c r="S4669" s="5">
        <f t="shared" si="144"/>
        <v>-0.1009390501101646</v>
      </c>
      <c r="T4669">
        <v>212.1825</v>
      </c>
      <c r="U4669">
        <v>4</v>
      </c>
      <c r="V4669">
        <v>2024</v>
      </c>
      <c r="W4669">
        <v>2</v>
      </c>
      <c r="X4669" t="s">
        <v>9898</v>
      </c>
      <c r="Y4669" t="s">
        <v>9900</v>
      </c>
      <c r="Z4669" t="s">
        <v>9898</v>
      </c>
      <c r="AD4669">
        <f t="shared" si="145"/>
        <v>7</v>
      </c>
    </row>
    <row r="4670" spans="1:30" x14ac:dyDescent="0.25">
      <c r="A4670" t="s">
        <v>4694</v>
      </c>
      <c r="B4670" s="2">
        <v>44910</v>
      </c>
      <c r="C4670" s="2">
        <v>44916</v>
      </c>
      <c r="D4670" t="s">
        <v>5180</v>
      </c>
      <c r="E4670" t="s">
        <v>5680</v>
      </c>
      <c r="F4670" t="s">
        <v>6026</v>
      </c>
      <c r="G4670" t="s">
        <v>6031</v>
      </c>
      <c r="H4670" t="s">
        <v>6040</v>
      </c>
      <c r="I4670" t="s">
        <v>6050</v>
      </c>
      <c r="J4670" t="s">
        <v>6055</v>
      </c>
      <c r="K4670" t="s">
        <v>6061</v>
      </c>
      <c r="L4670" t="s">
        <v>6234</v>
      </c>
      <c r="M4670">
        <v>1232.46</v>
      </c>
      <c r="N4670">
        <v>5</v>
      </c>
      <c r="O4670">
        <v>0.31</v>
      </c>
      <c r="P4670">
        <v>-242.72</v>
      </c>
      <c r="Q4670" t="s">
        <v>9893</v>
      </c>
      <c r="R4670">
        <v>6</v>
      </c>
      <c r="S4670" s="5">
        <f t="shared" si="144"/>
        <v>-0.19693945442448435</v>
      </c>
      <c r="T4670">
        <v>246.49199999999999</v>
      </c>
      <c r="U4670">
        <v>12</v>
      </c>
      <c r="V4670">
        <v>2022</v>
      </c>
      <c r="W4670">
        <v>4</v>
      </c>
      <c r="X4670" t="s">
        <v>9898</v>
      </c>
      <c r="Y4670" t="s">
        <v>9902</v>
      </c>
      <c r="Z4670" t="s">
        <v>9898</v>
      </c>
      <c r="AD4670">
        <f t="shared" si="145"/>
        <v>6</v>
      </c>
    </row>
    <row r="4671" spans="1:30" x14ac:dyDescent="0.25">
      <c r="A4671" t="s">
        <v>4695</v>
      </c>
      <c r="B4671" s="2">
        <v>44589</v>
      </c>
      <c r="C4671" s="2">
        <v>44593</v>
      </c>
      <c r="D4671" t="s">
        <v>5131</v>
      </c>
      <c r="E4671" t="s">
        <v>5631</v>
      </c>
      <c r="F4671" t="s">
        <v>6026</v>
      </c>
      <c r="G4671" t="s">
        <v>6031</v>
      </c>
      <c r="H4671" t="s">
        <v>6040</v>
      </c>
      <c r="I4671" t="s">
        <v>6050</v>
      </c>
      <c r="J4671" t="s">
        <v>6053</v>
      </c>
      <c r="K4671" t="s">
        <v>6056</v>
      </c>
      <c r="L4671" t="s">
        <v>7622</v>
      </c>
      <c r="M4671">
        <v>483.36</v>
      </c>
      <c r="N4671">
        <v>4</v>
      </c>
      <c r="O4671">
        <v>0.05</v>
      </c>
      <c r="P4671">
        <v>24.64</v>
      </c>
      <c r="Q4671" t="s">
        <v>9897</v>
      </c>
      <c r="R4671">
        <v>4</v>
      </c>
      <c r="S4671" s="5">
        <f t="shared" si="144"/>
        <v>5.0976497848394572E-2</v>
      </c>
      <c r="T4671">
        <v>120.84</v>
      </c>
      <c r="U4671">
        <v>1</v>
      </c>
      <c r="V4671">
        <v>2022</v>
      </c>
      <c r="W4671">
        <v>1</v>
      </c>
      <c r="X4671" t="s">
        <v>9899</v>
      </c>
      <c r="Y4671" t="s">
        <v>9901</v>
      </c>
      <c r="Z4671" t="s">
        <v>9899</v>
      </c>
      <c r="AD4671">
        <f t="shared" si="145"/>
        <v>4</v>
      </c>
    </row>
    <row r="4672" spans="1:30" x14ac:dyDescent="0.25">
      <c r="A4672" t="s">
        <v>4696</v>
      </c>
      <c r="B4672" s="2">
        <v>45374</v>
      </c>
      <c r="C4672" s="2">
        <v>45378</v>
      </c>
      <c r="D4672" t="s">
        <v>5094</v>
      </c>
      <c r="E4672" t="s">
        <v>5594</v>
      </c>
      <c r="F4672" t="s">
        <v>6028</v>
      </c>
      <c r="G4672" t="s">
        <v>6031</v>
      </c>
      <c r="H4672" t="s">
        <v>6040</v>
      </c>
      <c r="I4672" t="s">
        <v>6050</v>
      </c>
      <c r="J4672" t="s">
        <v>6054</v>
      </c>
      <c r="K4672" t="s">
        <v>6062</v>
      </c>
      <c r="L4672" t="s">
        <v>6262</v>
      </c>
      <c r="M4672">
        <v>427.88</v>
      </c>
      <c r="N4672">
        <v>2</v>
      </c>
      <c r="O4672">
        <v>0.24</v>
      </c>
      <c r="P4672">
        <v>11.15</v>
      </c>
      <c r="Q4672" t="s">
        <v>9893</v>
      </c>
      <c r="R4672">
        <v>4</v>
      </c>
      <c r="S4672" s="5">
        <f t="shared" si="144"/>
        <v>2.6058708048985697E-2</v>
      </c>
      <c r="T4672">
        <v>213.94</v>
      </c>
      <c r="U4672">
        <v>3</v>
      </c>
      <c r="V4672">
        <v>2024</v>
      </c>
      <c r="W4672">
        <v>1</v>
      </c>
      <c r="X4672" t="s">
        <v>9899</v>
      </c>
      <c r="Y4672" t="s">
        <v>9900</v>
      </c>
      <c r="Z4672" t="s">
        <v>9899</v>
      </c>
      <c r="AD4672">
        <f t="shared" si="145"/>
        <v>4</v>
      </c>
    </row>
    <row r="4673" spans="1:30" x14ac:dyDescent="0.25">
      <c r="A4673" t="s">
        <v>4697</v>
      </c>
      <c r="B4673" s="2">
        <v>44970</v>
      </c>
      <c r="C4673" s="2">
        <v>44974</v>
      </c>
      <c r="D4673" t="s">
        <v>5417</v>
      </c>
      <c r="E4673" t="s">
        <v>5917</v>
      </c>
      <c r="F4673" t="s">
        <v>6028</v>
      </c>
      <c r="G4673" t="s">
        <v>6031</v>
      </c>
      <c r="H4673" t="s">
        <v>6043</v>
      </c>
      <c r="I4673" t="s">
        <v>6050</v>
      </c>
      <c r="J4673" t="s">
        <v>6053</v>
      </c>
      <c r="K4673" t="s">
        <v>6056</v>
      </c>
      <c r="L4673" t="s">
        <v>9692</v>
      </c>
      <c r="M4673">
        <v>1275.07</v>
      </c>
      <c r="N4673">
        <v>4</v>
      </c>
      <c r="O4673">
        <v>0.01</v>
      </c>
      <c r="P4673">
        <v>188.4</v>
      </c>
      <c r="Q4673" t="s">
        <v>9894</v>
      </c>
      <c r="R4673">
        <v>4</v>
      </c>
      <c r="S4673" s="5">
        <f t="shared" si="144"/>
        <v>0.14775659375563696</v>
      </c>
      <c r="T4673">
        <v>318.76749999999998</v>
      </c>
      <c r="U4673">
        <v>2</v>
      </c>
      <c r="V4673">
        <v>2023</v>
      </c>
      <c r="W4673">
        <v>1</v>
      </c>
      <c r="X4673" t="s">
        <v>9899</v>
      </c>
      <c r="Y4673" t="s">
        <v>9901</v>
      </c>
      <c r="Z4673" t="s">
        <v>9898</v>
      </c>
      <c r="AD4673">
        <f t="shared" si="145"/>
        <v>4</v>
      </c>
    </row>
    <row r="4674" spans="1:30" x14ac:dyDescent="0.25">
      <c r="A4674" t="s">
        <v>4698</v>
      </c>
      <c r="B4674" s="2">
        <v>44836</v>
      </c>
      <c r="C4674" s="2">
        <v>44837</v>
      </c>
      <c r="D4674" t="s">
        <v>5186</v>
      </c>
      <c r="E4674" t="s">
        <v>5686</v>
      </c>
      <c r="F4674" t="s">
        <v>6026</v>
      </c>
      <c r="G4674" t="s">
        <v>6031</v>
      </c>
      <c r="H4674" t="s">
        <v>6043</v>
      </c>
      <c r="I4674" t="s">
        <v>6050</v>
      </c>
      <c r="J4674" t="s">
        <v>6055</v>
      </c>
      <c r="K4674" t="s">
        <v>6063</v>
      </c>
      <c r="L4674" t="s">
        <v>9693</v>
      </c>
      <c r="M4674">
        <v>1737.34</v>
      </c>
      <c r="N4674">
        <v>7</v>
      </c>
      <c r="O4674">
        <v>0.05</v>
      </c>
      <c r="P4674">
        <v>96.92</v>
      </c>
      <c r="Q4674" t="s">
        <v>9894</v>
      </c>
      <c r="R4674">
        <v>1</v>
      </c>
      <c r="S4674" s="5">
        <f t="shared" si="144"/>
        <v>5.5786432131879775E-2</v>
      </c>
      <c r="T4674">
        <v>248.19142857142859</v>
      </c>
      <c r="U4674">
        <v>10</v>
      </c>
      <c r="V4674">
        <v>2022</v>
      </c>
      <c r="W4674">
        <v>4</v>
      </c>
      <c r="X4674" t="s">
        <v>9899</v>
      </c>
      <c r="Y4674" t="s">
        <v>9901</v>
      </c>
      <c r="Z4674" t="s">
        <v>9898</v>
      </c>
      <c r="AD4674">
        <f t="shared" si="145"/>
        <v>1</v>
      </c>
    </row>
    <row r="4675" spans="1:30" x14ac:dyDescent="0.25">
      <c r="A4675" t="s">
        <v>4699</v>
      </c>
      <c r="B4675" s="2">
        <v>44787</v>
      </c>
      <c r="C4675" s="2">
        <v>44793</v>
      </c>
      <c r="D4675" t="s">
        <v>5332</v>
      </c>
      <c r="E4675" t="s">
        <v>5832</v>
      </c>
      <c r="F4675" t="s">
        <v>6028</v>
      </c>
      <c r="G4675" t="s">
        <v>6029</v>
      </c>
      <c r="H4675" t="s">
        <v>6036</v>
      </c>
      <c r="I4675" t="s">
        <v>6049</v>
      </c>
      <c r="J4675" t="s">
        <v>6054</v>
      </c>
      <c r="K4675" t="s">
        <v>6060</v>
      </c>
      <c r="L4675" t="s">
        <v>9694</v>
      </c>
      <c r="M4675">
        <v>250.07</v>
      </c>
      <c r="N4675">
        <v>4</v>
      </c>
      <c r="O4675">
        <v>0.14000000000000001</v>
      </c>
      <c r="P4675">
        <v>24.15</v>
      </c>
      <c r="Q4675" t="s">
        <v>9894</v>
      </c>
      <c r="R4675">
        <v>6</v>
      </c>
      <c r="S4675" s="5">
        <f t="shared" ref="S4675:S4738" si="146">P4675/M4675</f>
        <v>9.6572959571320033E-2</v>
      </c>
      <c r="T4675">
        <v>62.517499999999998</v>
      </c>
      <c r="U4675">
        <v>8</v>
      </c>
      <c r="V4675">
        <v>2022</v>
      </c>
      <c r="W4675">
        <v>3</v>
      </c>
      <c r="X4675" t="s">
        <v>9899</v>
      </c>
      <c r="Y4675" t="s">
        <v>9901</v>
      </c>
      <c r="Z4675" t="s">
        <v>9899</v>
      </c>
      <c r="AD4675">
        <f t="shared" ref="AD4675:AD4738" si="147">C4675-B4675</f>
        <v>6</v>
      </c>
    </row>
    <row r="4676" spans="1:30" x14ac:dyDescent="0.25">
      <c r="A4676" t="s">
        <v>4700</v>
      </c>
      <c r="B4676" s="2">
        <v>45243</v>
      </c>
      <c r="C4676" s="2">
        <v>45245</v>
      </c>
      <c r="D4676" t="s">
        <v>5265</v>
      </c>
      <c r="E4676" t="s">
        <v>5765</v>
      </c>
      <c r="F4676" t="s">
        <v>6028</v>
      </c>
      <c r="G4676" t="s">
        <v>6031</v>
      </c>
      <c r="H4676" t="s">
        <v>6037</v>
      </c>
      <c r="I4676" t="s">
        <v>6050</v>
      </c>
      <c r="J4676" t="s">
        <v>6054</v>
      </c>
      <c r="K4676" t="s">
        <v>6062</v>
      </c>
      <c r="L4676" t="s">
        <v>9695</v>
      </c>
      <c r="M4676">
        <v>1202.94</v>
      </c>
      <c r="N4676">
        <v>1</v>
      </c>
      <c r="O4676">
        <v>0.12</v>
      </c>
      <c r="P4676">
        <v>171.79</v>
      </c>
      <c r="Q4676" t="s">
        <v>9897</v>
      </c>
      <c r="R4676">
        <v>2</v>
      </c>
      <c r="S4676" s="5">
        <f t="shared" si="146"/>
        <v>0.14280845262440353</v>
      </c>
      <c r="T4676">
        <v>1202.94</v>
      </c>
      <c r="U4676">
        <v>11</v>
      </c>
      <c r="V4676">
        <v>2023</v>
      </c>
      <c r="W4676">
        <v>4</v>
      </c>
      <c r="X4676" t="s">
        <v>9899</v>
      </c>
      <c r="Y4676" t="s">
        <v>9901</v>
      </c>
      <c r="Z4676" t="s">
        <v>9898</v>
      </c>
      <c r="AD4676">
        <f t="shared" si="147"/>
        <v>2</v>
      </c>
    </row>
    <row r="4677" spans="1:30" x14ac:dyDescent="0.25">
      <c r="A4677" t="s">
        <v>4701</v>
      </c>
      <c r="B4677" s="2">
        <v>45226</v>
      </c>
      <c r="C4677" s="2">
        <v>45232</v>
      </c>
      <c r="D4677" t="s">
        <v>5209</v>
      </c>
      <c r="E4677" t="s">
        <v>5709</v>
      </c>
      <c r="F4677" t="s">
        <v>6028</v>
      </c>
      <c r="G4677" t="s">
        <v>6031</v>
      </c>
      <c r="H4677" t="s">
        <v>6034</v>
      </c>
      <c r="I4677" t="s">
        <v>6050</v>
      </c>
      <c r="J4677" t="s">
        <v>6054</v>
      </c>
      <c r="K4677" t="s">
        <v>6060</v>
      </c>
      <c r="L4677" t="s">
        <v>9696</v>
      </c>
      <c r="M4677">
        <v>1902.26</v>
      </c>
      <c r="N4677">
        <v>3</v>
      </c>
      <c r="O4677">
        <v>0.08</v>
      </c>
      <c r="P4677">
        <v>341.49</v>
      </c>
      <c r="Q4677" t="s">
        <v>9893</v>
      </c>
      <c r="R4677">
        <v>6</v>
      </c>
      <c r="S4677" s="5">
        <f t="shared" si="146"/>
        <v>0.17951804695467496</v>
      </c>
      <c r="T4677">
        <v>634.0866666666667</v>
      </c>
      <c r="U4677">
        <v>10</v>
      </c>
      <c r="V4677">
        <v>2023</v>
      </c>
      <c r="W4677">
        <v>4</v>
      </c>
      <c r="X4677" t="s">
        <v>9899</v>
      </c>
      <c r="Y4677" t="s">
        <v>9901</v>
      </c>
      <c r="Z4677" t="s">
        <v>9898</v>
      </c>
      <c r="AD4677">
        <f t="shared" si="147"/>
        <v>6</v>
      </c>
    </row>
    <row r="4678" spans="1:30" x14ac:dyDescent="0.25">
      <c r="A4678" t="s">
        <v>4702</v>
      </c>
      <c r="B4678" s="2">
        <v>45186</v>
      </c>
      <c r="C4678" s="2">
        <v>45192</v>
      </c>
      <c r="D4678" t="s">
        <v>5231</v>
      </c>
      <c r="E4678" t="s">
        <v>5731</v>
      </c>
      <c r="F4678" t="s">
        <v>6028</v>
      </c>
      <c r="G4678" t="s">
        <v>6029</v>
      </c>
      <c r="H4678" t="s">
        <v>6041</v>
      </c>
      <c r="I4678" t="s">
        <v>6049</v>
      </c>
      <c r="J4678" t="s">
        <v>6055</v>
      </c>
      <c r="K4678" t="s">
        <v>6064</v>
      </c>
      <c r="L4678" t="s">
        <v>9697</v>
      </c>
      <c r="M4678">
        <v>746.04</v>
      </c>
      <c r="N4678">
        <v>8</v>
      </c>
      <c r="O4678">
        <v>0.05</v>
      </c>
      <c r="P4678">
        <v>167.01</v>
      </c>
      <c r="Q4678" t="s">
        <v>9895</v>
      </c>
      <c r="R4678">
        <v>6</v>
      </c>
      <c r="S4678" s="5">
        <f t="shared" si="146"/>
        <v>0.22386199131413864</v>
      </c>
      <c r="T4678">
        <v>93.254999999999995</v>
      </c>
      <c r="U4678">
        <v>9</v>
      </c>
      <c r="V4678">
        <v>2023</v>
      </c>
      <c r="W4678">
        <v>3</v>
      </c>
      <c r="X4678" t="s">
        <v>9899</v>
      </c>
      <c r="Y4678" t="s">
        <v>9901</v>
      </c>
      <c r="Z4678" t="s">
        <v>9899</v>
      </c>
      <c r="AD4678">
        <f t="shared" si="147"/>
        <v>6</v>
      </c>
    </row>
    <row r="4679" spans="1:30" x14ac:dyDescent="0.25">
      <c r="A4679" t="s">
        <v>4703</v>
      </c>
      <c r="B4679" s="2">
        <v>44701</v>
      </c>
      <c r="C4679" s="2">
        <v>44703</v>
      </c>
      <c r="D4679" t="s">
        <v>5185</v>
      </c>
      <c r="E4679" t="s">
        <v>5685</v>
      </c>
      <c r="F4679" t="s">
        <v>6028</v>
      </c>
      <c r="G4679" t="s">
        <v>6029</v>
      </c>
      <c r="H4679" t="s">
        <v>6045</v>
      </c>
      <c r="I4679" t="s">
        <v>6049</v>
      </c>
      <c r="J4679" t="s">
        <v>6055</v>
      </c>
      <c r="K4679" t="s">
        <v>6064</v>
      </c>
      <c r="L4679" t="s">
        <v>9698</v>
      </c>
      <c r="M4679">
        <v>394.11</v>
      </c>
      <c r="N4679">
        <v>4</v>
      </c>
      <c r="O4679">
        <v>0.34</v>
      </c>
      <c r="P4679">
        <v>-47.44</v>
      </c>
      <c r="Q4679" t="s">
        <v>9896</v>
      </c>
      <c r="R4679">
        <v>2</v>
      </c>
      <c r="S4679" s="5">
        <f t="shared" si="146"/>
        <v>-0.12037248483925807</v>
      </c>
      <c r="T4679">
        <v>98.527500000000003</v>
      </c>
      <c r="U4679">
        <v>5</v>
      </c>
      <c r="V4679">
        <v>2022</v>
      </c>
      <c r="W4679">
        <v>2</v>
      </c>
      <c r="X4679" t="s">
        <v>9898</v>
      </c>
      <c r="Y4679" t="s">
        <v>9902</v>
      </c>
      <c r="Z4679" t="s">
        <v>9899</v>
      </c>
      <c r="AD4679">
        <f t="shared" si="147"/>
        <v>2</v>
      </c>
    </row>
    <row r="4680" spans="1:30" x14ac:dyDescent="0.25">
      <c r="A4680" t="s">
        <v>4704</v>
      </c>
      <c r="B4680" s="2">
        <v>45016</v>
      </c>
      <c r="C4680" s="2">
        <v>45023</v>
      </c>
      <c r="D4680" t="s">
        <v>5081</v>
      </c>
      <c r="E4680" t="s">
        <v>5581</v>
      </c>
      <c r="F4680" t="s">
        <v>6028</v>
      </c>
      <c r="G4680" t="s">
        <v>6029</v>
      </c>
      <c r="H4680" t="s">
        <v>6044</v>
      </c>
      <c r="I4680" t="s">
        <v>6050</v>
      </c>
      <c r="J4680" t="s">
        <v>6053</v>
      </c>
      <c r="K4680" t="s">
        <v>6056</v>
      </c>
      <c r="L4680" t="s">
        <v>9699</v>
      </c>
      <c r="M4680">
        <v>1557.25</v>
      </c>
      <c r="N4680">
        <v>5</v>
      </c>
      <c r="O4680">
        <v>0.22</v>
      </c>
      <c r="P4680">
        <v>-0.33</v>
      </c>
      <c r="Q4680" t="s">
        <v>9893</v>
      </c>
      <c r="R4680">
        <v>7</v>
      </c>
      <c r="S4680" s="5">
        <f t="shared" si="146"/>
        <v>-2.1191202440199071E-4</v>
      </c>
      <c r="T4680">
        <v>311.45</v>
      </c>
      <c r="U4680">
        <v>3</v>
      </c>
      <c r="V4680">
        <v>2023</v>
      </c>
      <c r="W4680">
        <v>1</v>
      </c>
      <c r="X4680" t="s">
        <v>9898</v>
      </c>
      <c r="Y4680" t="s">
        <v>9900</v>
      </c>
      <c r="Z4680" t="s">
        <v>9898</v>
      </c>
      <c r="AD4680">
        <f t="shared" si="147"/>
        <v>7</v>
      </c>
    </row>
    <row r="4681" spans="1:30" x14ac:dyDescent="0.25">
      <c r="A4681" t="s">
        <v>4705</v>
      </c>
      <c r="B4681" s="2">
        <v>45154</v>
      </c>
      <c r="C4681" s="2">
        <v>45158</v>
      </c>
      <c r="D4681" t="s">
        <v>5100</v>
      </c>
      <c r="E4681" t="s">
        <v>5600</v>
      </c>
      <c r="F4681" t="s">
        <v>6028</v>
      </c>
      <c r="G4681" t="s">
        <v>6031</v>
      </c>
      <c r="H4681" t="s">
        <v>6040</v>
      </c>
      <c r="I4681" t="s">
        <v>6052</v>
      </c>
      <c r="J4681" t="s">
        <v>6054</v>
      </c>
      <c r="K4681" t="s">
        <v>6059</v>
      </c>
      <c r="L4681" t="s">
        <v>9700</v>
      </c>
      <c r="M4681">
        <v>1028.19</v>
      </c>
      <c r="N4681">
        <v>2</v>
      </c>
      <c r="O4681">
        <v>0.04</v>
      </c>
      <c r="P4681">
        <v>164.66</v>
      </c>
      <c r="Q4681" t="s">
        <v>9897</v>
      </c>
      <c r="R4681">
        <v>4</v>
      </c>
      <c r="S4681" s="5">
        <f t="shared" si="146"/>
        <v>0.16014549840010114</v>
      </c>
      <c r="T4681">
        <v>514.09500000000003</v>
      </c>
      <c r="U4681">
        <v>8</v>
      </c>
      <c r="V4681">
        <v>2023</v>
      </c>
      <c r="W4681">
        <v>3</v>
      </c>
      <c r="X4681" t="s">
        <v>9899</v>
      </c>
      <c r="Y4681" t="s">
        <v>9901</v>
      </c>
      <c r="Z4681" t="s">
        <v>9898</v>
      </c>
      <c r="AD4681">
        <f t="shared" si="147"/>
        <v>4</v>
      </c>
    </row>
    <row r="4682" spans="1:30" x14ac:dyDescent="0.25">
      <c r="A4682" t="s">
        <v>4706</v>
      </c>
      <c r="B4682" s="2">
        <v>45098</v>
      </c>
      <c r="C4682" s="2">
        <v>45105</v>
      </c>
      <c r="D4682" t="s">
        <v>5484</v>
      </c>
      <c r="E4682" t="s">
        <v>5984</v>
      </c>
      <c r="F4682" t="s">
        <v>6027</v>
      </c>
      <c r="G4682" t="s">
        <v>6031</v>
      </c>
      <c r="H4682" t="s">
        <v>6037</v>
      </c>
      <c r="I4682" t="s">
        <v>6050</v>
      </c>
      <c r="J4682" t="s">
        <v>6055</v>
      </c>
      <c r="K4682" t="s">
        <v>6063</v>
      </c>
      <c r="L4682" t="s">
        <v>6538</v>
      </c>
      <c r="M4682">
        <v>1240.18</v>
      </c>
      <c r="N4682">
        <v>2</v>
      </c>
      <c r="O4682">
        <v>0.04</v>
      </c>
      <c r="P4682">
        <v>117.05</v>
      </c>
      <c r="Q4682" t="s">
        <v>9897</v>
      </c>
      <c r="R4682">
        <v>7</v>
      </c>
      <c r="S4682" s="5">
        <f t="shared" si="146"/>
        <v>9.4381460755696742E-2</v>
      </c>
      <c r="T4682">
        <v>620.09</v>
      </c>
      <c r="U4682">
        <v>6</v>
      </c>
      <c r="V4682">
        <v>2023</v>
      </c>
      <c r="W4682">
        <v>2</v>
      </c>
      <c r="X4682" t="s">
        <v>9899</v>
      </c>
      <c r="Y4682" t="s">
        <v>9901</v>
      </c>
      <c r="Z4682" t="s">
        <v>9898</v>
      </c>
      <c r="AD4682">
        <f t="shared" si="147"/>
        <v>7</v>
      </c>
    </row>
    <row r="4683" spans="1:30" x14ac:dyDescent="0.25">
      <c r="A4683" t="s">
        <v>4707</v>
      </c>
      <c r="B4683" s="2">
        <v>45071</v>
      </c>
      <c r="C4683" s="2">
        <v>45078</v>
      </c>
      <c r="D4683" t="s">
        <v>5407</v>
      </c>
      <c r="E4683" t="s">
        <v>5907</v>
      </c>
      <c r="F4683" t="s">
        <v>6028</v>
      </c>
      <c r="G4683" t="s">
        <v>6031</v>
      </c>
      <c r="H4683" t="s">
        <v>6037</v>
      </c>
      <c r="I4683" t="s">
        <v>6052</v>
      </c>
      <c r="J4683" t="s">
        <v>6055</v>
      </c>
      <c r="K4683" t="s">
        <v>6063</v>
      </c>
      <c r="L4683" t="s">
        <v>7930</v>
      </c>
      <c r="M4683">
        <v>1734.85</v>
      </c>
      <c r="N4683">
        <v>6</v>
      </c>
      <c r="O4683">
        <v>0.02</v>
      </c>
      <c r="P4683">
        <v>297.01</v>
      </c>
      <c r="Q4683" t="s">
        <v>9893</v>
      </c>
      <c r="R4683">
        <v>7</v>
      </c>
      <c r="S4683" s="5">
        <f t="shared" si="146"/>
        <v>0.17120212122085482</v>
      </c>
      <c r="T4683">
        <v>289.14166666666671</v>
      </c>
      <c r="U4683">
        <v>5</v>
      </c>
      <c r="V4683">
        <v>2023</v>
      </c>
      <c r="W4683">
        <v>2</v>
      </c>
      <c r="X4683" t="s">
        <v>9899</v>
      </c>
      <c r="Y4683" t="s">
        <v>9901</v>
      </c>
      <c r="Z4683" t="s">
        <v>9898</v>
      </c>
      <c r="AD4683">
        <f t="shared" si="147"/>
        <v>7</v>
      </c>
    </row>
    <row r="4684" spans="1:30" x14ac:dyDescent="0.25">
      <c r="A4684" t="s">
        <v>4708</v>
      </c>
      <c r="B4684" s="2">
        <v>44752</v>
      </c>
      <c r="C4684" s="2">
        <v>44753</v>
      </c>
      <c r="D4684" t="s">
        <v>5323</v>
      </c>
      <c r="E4684" t="s">
        <v>5823</v>
      </c>
      <c r="F4684" t="s">
        <v>6026</v>
      </c>
      <c r="G4684" t="s">
        <v>6029</v>
      </c>
      <c r="H4684" t="s">
        <v>6044</v>
      </c>
      <c r="I4684" t="s">
        <v>6046</v>
      </c>
      <c r="J4684" t="s">
        <v>6054</v>
      </c>
      <c r="K4684" t="s">
        <v>6059</v>
      </c>
      <c r="L4684" t="s">
        <v>9701</v>
      </c>
      <c r="M4684">
        <v>1849.84</v>
      </c>
      <c r="N4684">
        <v>6</v>
      </c>
      <c r="O4684">
        <v>0.22</v>
      </c>
      <c r="P4684">
        <v>-34.46</v>
      </c>
      <c r="Q4684" t="s">
        <v>9893</v>
      </c>
      <c r="R4684">
        <v>1</v>
      </c>
      <c r="S4684" s="5">
        <f t="shared" si="146"/>
        <v>-1.8628638152488865E-2</v>
      </c>
      <c r="T4684">
        <v>308.30666666666667</v>
      </c>
      <c r="U4684">
        <v>7</v>
      </c>
      <c r="V4684">
        <v>2022</v>
      </c>
      <c r="W4684">
        <v>3</v>
      </c>
      <c r="X4684" t="s">
        <v>9898</v>
      </c>
      <c r="Y4684" t="s">
        <v>9900</v>
      </c>
      <c r="Z4684" t="s">
        <v>9898</v>
      </c>
      <c r="AD4684">
        <f t="shared" si="147"/>
        <v>1</v>
      </c>
    </row>
    <row r="4685" spans="1:30" x14ac:dyDescent="0.25">
      <c r="A4685" t="s">
        <v>4709</v>
      </c>
      <c r="B4685" s="2">
        <v>45252</v>
      </c>
      <c r="C4685" s="2">
        <v>45254</v>
      </c>
      <c r="D4685" t="s">
        <v>5230</v>
      </c>
      <c r="E4685" t="s">
        <v>5730</v>
      </c>
      <c r="F4685" t="s">
        <v>6028</v>
      </c>
      <c r="G4685" t="s">
        <v>6029</v>
      </c>
      <c r="H4685" t="s">
        <v>6041</v>
      </c>
      <c r="I4685" t="s">
        <v>6049</v>
      </c>
      <c r="J4685" t="s">
        <v>6055</v>
      </c>
      <c r="K4685" t="s">
        <v>6061</v>
      </c>
      <c r="L4685" t="s">
        <v>9702</v>
      </c>
      <c r="M4685">
        <v>1193.52</v>
      </c>
      <c r="N4685">
        <v>6</v>
      </c>
      <c r="O4685">
        <v>0.19</v>
      </c>
      <c r="P4685">
        <v>-8.43</v>
      </c>
      <c r="Q4685" t="s">
        <v>9893</v>
      </c>
      <c r="R4685">
        <v>2</v>
      </c>
      <c r="S4685" s="5">
        <f t="shared" si="146"/>
        <v>-7.0631409611904283E-3</v>
      </c>
      <c r="T4685">
        <v>198.92</v>
      </c>
      <c r="U4685">
        <v>11</v>
      </c>
      <c r="V4685">
        <v>2023</v>
      </c>
      <c r="W4685">
        <v>4</v>
      </c>
      <c r="X4685" t="s">
        <v>9898</v>
      </c>
      <c r="Y4685" t="s">
        <v>9900</v>
      </c>
      <c r="Z4685" t="s">
        <v>9898</v>
      </c>
      <c r="AD4685">
        <f t="shared" si="147"/>
        <v>2</v>
      </c>
    </row>
    <row r="4686" spans="1:30" x14ac:dyDescent="0.25">
      <c r="A4686" t="s">
        <v>4710</v>
      </c>
      <c r="B4686" s="2">
        <v>44801</v>
      </c>
      <c r="C4686" s="2">
        <v>44807</v>
      </c>
      <c r="D4686" t="s">
        <v>5332</v>
      </c>
      <c r="E4686" t="s">
        <v>5832</v>
      </c>
      <c r="F4686" t="s">
        <v>6027</v>
      </c>
      <c r="G4686" t="s">
        <v>6031</v>
      </c>
      <c r="H4686" t="s">
        <v>6034</v>
      </c>
      <c r="I4686" t="s">
        <v>6050</v>
      </c>
      <c r="J4686" t="s">
        <v>6055</v>
      </c>
      <c r="K4686" t="s">
        <v>6061</v>
      </c>
      <c r="L4686" t="s">
        <v>9703</v>
      </c>
      <c r="M4686">
        <v>374.51</v>
      </c>
      <c r="N4686">
        <v>6</v>
      </c>
      <c r="O4686">
        <v>0.28000000000000003</v>
      </c>
      <c r="P4686">
        <v>-17.5</v>
      </c>
      <c r="Q4686" t="s">
        <v>9896</v>
      </c>
      <c r="R4686">
        <v>6</v>
      </c>
      <c r="S4686" s="5">
        <f t="shared" si="146"/>
        <v>-4.6727724226322397E-2</v>
      </c>
      <c r="T4686">
        <v>62.418333333333329</v>
      </c>
      <c r="U4686">
        <v>8</v>
      </c>
      <c r="V4686">
        <v>2022</v>
      </c>
      <c r="W4686">
        <v>3</v>
      </c>
      <c r="X4686" t="s">
        <v>9898</v>
      </c>
      <c r="Y4686" t="s">
        <v>9900</v>
      </c>
      <c r="Z4686" t="s">
        <v>9899</v>
      </c>
      <c r="AD4686">
        <f t="shared" si="147"/>
        <v>6</v>
      </c>
    </row>
    <row r="4687" spans="1:30" x14ac:dyDescent="0.25">
      <c r="A4687" t="s">
        <v>4711</v>
      </c>
      <c r="B4687" s="2">
        <v>45062</v>
      </c>
      <c r="C4687" s="2">
        <v>45068</v>
      </c>
      <c r="D4687" t="s">
        <v>5045</v>
      </c>
      <c r="E4687" t="s">
        <v>5545</v>
      </c>
      <c r="F4687" t="s">
        <v>6026</v>
      </c>
      <c r="G4687" t="s">
        <v>6030</v>
      </c>
      <c r="H4687" t="s">
        <v>6035</v>
      </c>
      <c r="I4687" t="s">
        <v>6051</v>
      </c>
      <c r="J4687" t="s">
        <v>6055</v>
      </c>
      <c r="K4687" t="s">
        <v>6063</v>
      </c>
      <c r="L4687" t="s">
        <v>9704</v>
      </c>
      <c r="M4687">
        <v>1954.12</v>
      </c>
      <c r="N4687">
        <v>3</v>
      </c>
      <c r="O4687">
        <v>0.31</v>
      </c>
      <c r="P4687">
        <v>-402.58</v>
      </c>
      <c r="Q4687" t="s">
        <v>9896</v>
      </c>
      <c r="R4687">
        <v>6</v>
      </c>
      <c r="S4687" s="5">
        <f t="shared" si="146"/>
        <v>-0.20601600720528934</v>
      </c>
      <c r="T4687">
        <v>651.37333333333333</v>
      </c>
      <c r="U4687">
        <v>5</v>
      </c>
      <c r="V4687">
        <v>2023</v>
      </c>
      <c r="W4687">
        <v>2</v>
      </c>
      <c r="X4687" t="s">
        <v>9898</v>
      </c>
      <c r="Y4687" t="s">
        <v>9902</v>
      </c>
      <c r="Z4687" t="s">
        <v>9898</v>
      </c>
      <c r="AD4687">
        <f t="shared" si="147"/>
        <v>6</v>
      </c>
    </row>
    <row r="4688" spans="1:30" x14ac:dyDescent="0.25">
      <c r="A4688" t="s">
        <v>4712</v>
      </c>
      <c r="B4688" s="2">
        <v>45275</v>
      </c>
      <c r="C4688" s="2">
        <v>45279</v>
      </c>
      <c r="D4688" t="s">
        <v>5493</v>
      </c>
      <c r="E4688" t="s">
        <v>5993</v>
      </c>
      <c r="F4688" t="s">
        <v>6026</v>
      </c>
      <c r="G4688" t="s">
        <v>6029</v>
      </c>
      <c r="H4688" t="s">
        <v>6045</v>
      </c>
      <c r="I4688" t="s">
        <v>6046</v>
      </c>
      <c r="J4688" t="s">
        <v>6053</v>
      </c>
      <c r="K4688" t="s">
        <v>6058</v>
      </c>
      <c r="L4688" t="s">
        <v>9705</v>
      </c>
      <c r="M4688">
        <v>1404.78</v>
      </c>
      <c r="N4688">
        <v>3</v>
      </c>
      <c r="O4688">
        <v>0.18</v>
      </c>
      <c r="P4688">
        <v>146.52000000000001</v>
      </c>
      <c r="Q4688" t="s">
        <v>9895</v>
      </c>
      <c r="R4688">
        <v>4</v>
      </c>
      <c r="S4688" s="5">
        <f t="shared" si="146"/>
        <v>0.10430102934267288</v>
      </c>
      <c r="T4688">
        <v>468.26</v>
      </c>
      <c r="U4688">
        <v>12</v>
      </c>
      <c r="V4688">
        <v>2023</v>
      </c>
      <c r="W4688">
        <v>4</v>
      </c>
      <c r="X4688" t="s">
        <v>9899</v>
      </c>
      <c r="Y4688" t="s">
        <v>9900</v>
      </c>
      <c r="Z4688" t="s">
        <v>9898</v>
      </c>
      <c r="AD4688">
        <f t="shared" si="147"/>
        <v>4</v>
      </c>
    </row>
    <row r="4689" spans="1:30" x14ac:dyDescent="0.25">
      <c r="A4689" t="s">
        <v>4713</v>
      </c>
      <c r="B4689" s="2">
        <v>44580</v>
      </c>
      <c r="C4689" s="2">
        <v>44584</v>
      </c>
      <c r="D4689" t="s">
        <v>5167</v>
      </c>
      <c r="E4689" t="s">
        <v>5667</v>
      </c>
      <c r="F4689" t="s">
        <v>6027</v>
      </c>
      <c r="G4689" t="s">
        <v>6030</v>
      </c>
      <c r="H4689" t="s">
        <v>6033</v>
      </c>
      <c r="I4689" t="s">
        <v>6047</v>
      </c>
      <c r="J4689" t="s">
        <v>6053</v>
      </c>
      <c r="K4689" t="s">
        <v>6057</v>
      </c>
      <c r="L4689" t="s">
        <v>9706</v>
      </c>
      <c r="M4689">
        <v>1469.52</v>
      </c>
      <c r="N4689">
        <v>5</v>
      </c>
      <c r="O4689">
        <v>0.3</v>
      </c>
      <c r="P4689">
        <v>-235.05</v>
      </c>
      <c r="Q4689" t="s">
        <v>9895</v>
      </c>
      <c r="R4689">
        <v>4</v>
      </c>
      <c r="S4689" s="5">
        <f t="shared" si="146"/>
        <v>-0.15995018781642986</v>
      </c>
      <c r="T4689">
        <v>293.904</v>
      </c>
      <c r="U4689">
        <v>1</v>
      </c>
      <c r="V4689">
        <v>2022</v>
      </c>
      <c r="W4689">
        <v>1</v>
      </c>
      <c r="X4689" t="s">
        <v>9898</v>
      </c>
      <c r="Y4689" t="s">
        <v>9900</v>
      </c>
      <c r="Z4689" t="s">
        <v>9898</v>
      </c>
      <c r="AD4689">
        <f t="shared" si="147"/>
        <v>4</v>
      </c>
    </row>
    <row r="4690" spans="1:30" x14ac:dyDescent="0.25">
      <c r="A4690" t="s">
        <v>4714</v>
      </c>
      <c r="B4690" s="2">
        <v>45450</v>
      </c>
      <c r="C4690" s="2">
        <v>45453</v>
      </c>
      <c r="D4690" t="s">
        <v>5240</v>
      </c>
      <c r="E4690" t="s">
        <v>5740</v>
      </c>
      <c r="F4690" t="s">
        <v>6027</v>
      </c>
      <c r="G4690" t="s">
        <v>6030</v>
      </c>
      <c r="H4690" t="s">
        <v>6039</v>
      </c>
      <c r="I4690" t="s">
        <v>6051</v>
      </c>
      <c r="J4690" t="s">
        <v>6055</v>
      </c>
      <c r="K4690" t="s">
        <v>6061</v>
      </c>
      <c r="L4690" t="s">
        <v>9707</v>
      </c>
      <c r="M4690">
        <v>878</v>
      </c>
      <c r="N4690">
        <v>1</v>
      </c>
      <c r="O4690">
        <v>0.15</v>
      </c>
      <c r="P4690">
        <v>102.7</v>
      </c>
      <c r="Q4690" t="s">
        <v>9895</v>
      </c>
      <c r="R4690">
        <v>3</v>
      </c>
      <c r="S4690" s="5">
        <f t="shared" si="146"/>
        <v>0.11697038724373576</v>
      </c>
      <c r="T4690">
        <v>878</v>
      </c>
      <c r="U4690">
        <v>6</v>
      </c>
      <c r="V4690">
        <v>2024</v>
      </c>
      <c r="W4690">
        <v>2</v>
      </c>
      <c r="X4690" t="s">
        <v>9899</v>
      </c>
      <c r="Y4690" t="s">
        <v>9901</v>
      </c>
      <c r="Z4690" t="s">
        <v>9899</v>
      </c>
      <c r="AD4690">
        <f t="shared" si="147"/>
        <v>3</v>
      </c>
    </row>
    <row r="4691" spans="1:30" x14ac:dyDescent="0.25">
      <c r="A4691" t="s">
        <v>4715</v>
      </c>
      <c r="B4691" s="2">
        <v>45220</v>
      </c>
      <c r="C4691" s="2">
        <v>45227</v>
      </c>
      <c r="D4691" t="s">
        <v>5390</v>
      </c>
      <c r="E4691" t="s">
        <v>5890</v>
      </c>
      <c r="F4691" t="s">
        <v>6026</v>
      </c>
      <c r="G4691" t="s">
        <v>6030</v>
      </c>
      <c r="H4691" t="s">
        <v>6039</v>
      </c>
      <c r="I4691" t="s">
        <v>6047</v>
      </c>
      <c r="J4691" t="s">
        <v>6053</v>
      </c>
      <c r="K4691" t="s">
        <v>6056</v>
      </c>
      <c r="L4691" t="s">
        <v>8131</v>
      </c>
      <c r="M4691">
        <v>853.83</v>
      </c>
      <c r="N4691">
        <v>5</v>
      </c>
      <c r="O4691">
        <v>0.28000000000000003</v>
      </c>
      <c r="P4691">
        <v>-109.13</v>
      </c>
      <c r="Q4691" t="s">
        <v>9897</v>
      </c>
      <c r="R4691">
        <v>7</v>
      </c>
      <c r="S4691" s="5">
        <f t="shared" si="146"/>
        <v>-0.1278123279809798</v>
      </c>
      <c r="T4691">
        <v>170.76599999999999</v>
      </c>
      <c r="U4691">
        <v>10</v>
      </c>
      <c r="V4691">
        <v>2023</v>
      </c>
      <c r="W4691">
        <v>4</v>
      </c>
      <c r="X4691" t="s">
        <v>9898</v>
      </c>
      <c r="Y4691" t="s">
        <v>9900</v>
      </c>
      <c r="Z4691" t="s">
        <v>9899</v>
      </c>
      <c r="AD4691">
        <f t="shared" si="147"/>
        <v>7</v>
      </c>
    </row>
    <row r="4692" spans="1:30" x14ac:dyDescent="0.25">
      <c r="A4692" t="s">
        <v>4716</v>
      </c>
      <c r="B4692" s="2">
        <v>44745</v>
      </c>
      <c r="C4692" s="2">
        <v>44746</v>
      </c>
      <c r="D4692" t="s">
        <v>5468</v>
      </c>
      <c r="E4692" t="s">
        <v>5968</v>
      </c>
      <c r="F4692" t="s">
        <v>6026</v>
      </c>
      <c r="G4692" t="s">
        <v>6031</v>
      </c>
      <c r="H4692" t="s">
        <v>6042</v>
      </c>
      <c r="I4692" t="s">
        <v>6048</v>
      </c>
      <c r="J4692" t="s">
        <v>6054</v>
      </c>
      <c r="K4692" t="s">
        <v>6062</v>
      </c>
      <c r="L4692" t="s">
        <v>9708</v>
      </c>
      <c r="M4692">
        <v>1512.32</v>
      </c>
      <c r="N4692">
        <v>3</v>
      </c>
      <c r="O4692">
        <v>0.25</v>
      </c>
      <c r="P4692">
        <v>-179.71</v>
      </c>
      <c r="Q4692" t="s">
        <v>9894</v>
      </c>
      <c r="R4692">
        <v>1</v>
      </c>
      <c r="S4692" s="5">
        <f t="shared" si="146"/>
        <v>-0.11883067075751165</v>
      </c>
      <c r="T4692">
        <v>504.10666666666663</v>
      </c>
      <c r="U4692">
        <v>7</v>
      </c>
      <c r="V4692">
        <v>2022</v>
      </c>
      <c r="W4692">
        <v>3</v>
      </c>
      <c r="X4692" t="s">
        <v>9898</v>
      </c>
      <c r="Y4692" t="s">
        <v>9900</v>
      </c>
      <c r="Z4692" t="s">
        <v>9898</v>
      </c>
      <c r="AD4692">
        <f t="shared" si="147"/>
        <v>1</v>
      </c>
    </row>
    <row r="4693" spans="1:30" x14ac:dyDescent="0.25">
      <c r="A4693" t="s">
        <v>4717</v>
      </c>
      <c r="B4693" s="2">
        <v>45269</v>
      </c>
      <c r="C4693" s="2">
        <v>45275</v>
      </c>
      <c r="D4693" t="s">
        <v>5217</v>
      </c>
      <c r="E4693" t="s">
        <v>5717</v>
      </c>
      <c r="F4693" t="s">
        <v>6026</v>
      </c>
      <c r="G4693" t="s">
        <v>6031</v>
      </c>
      <c r="H4693" t="s">
        <v>6034</v>
      </c>
      <c r="I4693" t="s">
        <v>6048</v>
      </c>
      <c r="J4693" t="s">
        <v>6053</v>
      </c>
      <c r="K4693" t="s">
        <v>6056</v>
      </c>
      <c r="L4693" t="s">
        <v>9709</v>
      </c>
      <c r="M4693">
        <v>113.13</v>
      </c>
      <c r="N4693">
        <v>1</v>
      </c>
      <c r="O4693">
        <v>0.21</v>
      </c>
      <c r="P4693">
        <v>0.21</v>
      </c>
      <c r="Q4693" t="s">
        <v>9895</v>
      </c>
      <c r="R4693">
        <v>6</v>
      </c>
      <c r="S4693" s="5">
        <f t="shared" si="146"/>
        <v>1.8562715460090163E-3</v>
      </c>
      <c r="T4693">
        <v>113.13</v>
      </c>
      <c r="U4693">
        <v>12</v>
      </c>
      <c r="V4693">
        <v>2023</v>
      </c>
      <c r="W4693">
        <v>4</v>
      </c>
      <c r="X4693" t="s">
        <v>9899</v>
      </c>
      <c r="Y4693" t="s">
        <v>9900</v>
      </c>
      <c r="Z4693" t="s">
        <v>9899</v>
      </c>
      <c r="AD4693">
        <f t="shared" si="147"/>
        <v>6</v>
      </c>
    </row>
    <row r="4694" spans="1:30" x14ac:dyDescent="0.25">
      <c r="A4694" t="s">
        <v>4718</v>
      </c>
      <c r="B4694" s="2">
        <v>45356</v>
      </c>
      <c r="C4694" s="2">
        <v>45357</v>
      </c>
      <c r="D4694" t="s">
        <v>5413</v>
      </c>
      <c r="E4694" t="s">
        <v>5913</v>
      </c>
      <c r="F4694" t="s">
        <v>6027</v>
      </c>
      <c r="G4694" t="s">
        <v>6029</v>
      </c>
      <c r="H4694" t="s">
        <v>6041</v>
      </c>
      <c r="I4694" t="s">
        <v>6049</v>
      </c>
      <c r="J4694" t="s">
        <v>6054</v>
      </c>
      <c r="K4694" t="s">
        <v>6059</v>
      </c>
      <c r="L4694" t="s">
        <v>9710</v>
      </c>
      <c r="M4694">
        <v>1050.6300000000001</v>
      </c>
      <c r="N4694">
        <v>6</v>
      </c>
      <c r="O4694">
        <v>0.04</v>
      </c>
      <c r="P4694">
        <v>223.16</v>
      </c>
      <c r="Q4694" t="s">
        <v>9894</v>
      </c>
      <c r="R4694">
        <v>1</v>
      </c>
      <c r="S4694" s="5">
        <f t="shared" si="146"/>
        <v>0.21240588979945363</v>
      </c>
      <c r="T4694">
        <v>175.10499999999999</v>
      </c>
      <c r="U4694">
        <v>3</v>
      </c>
      <c r="V4694">
        <v>2024</v>
      </c>
      <c r="W4694">
        <v>1</v>
      </c>
      <c r="X4694" t="s">
        <v>9899</v>
      </c>
      <c r="Y4694" t="s">
        <v>9901</v>
      </c>
      <c r="Z4694" t="s">
        <v>9898</v>
      </c>
      <c r="AD4694">
        <f t="shared" si="147"/>
        <v>1</v>
      </c>
    </row>
    <row r="4695" spans="1:30" x14ac:dyDescent="0.25">
      <c r="A4695" t="s">
        <v>4719</v>
      </c>
      <c r="B4695" s="2">
        <v>45313</v>
      </c>
      <c r="C4695" s="2">
        <v>45318</v>
      </c>
      <c r="D4695" t="s">
        <v>5434</v>
      </c>
      <c r="E4695" t="s">
        <v>5934</v>
      </c>
      <c r="F4695" t="s">
        <v>6027</v>
      </c>
      <c r="G4695" t="s">
        <v>6031</v>
      </c>
      <c r="H4695" t="s">
        <v>6043</v>
      </c>
      <c r="I4695" t="s">
        <v>6052</v>
      </c>
      <c r="J4695" t="s">
        <v>6055</v>
      </c>
      <c r="K4695" t="s">
        <v>6064</v>
      </c>
      <c r="L4695" t="s">
        <v>9711</v>
      </c>
      <c r="M4695">
        <v>1871.17</v>
      </c>
      <c r="N4695">
        <v>8</v>
      </c>
      <c r="O4695">
        <v>0.09</v>
      </c>
      <c r="P4695">
        <v>134.31</v>
      </c>
      <c r="Q4695" t="s">
        <v>9895</v>
      </c>
      <c r="R4695">
        <v>5</v>
      </c>
      <c r="S4695" s="5">
        <f t="shared" si="146"/>
        <v>7.1778619794032605E-2</v>
      </c>
      <c r="T4695">
        <v>233.89625000000001</v>
      </c>
      <c r="U4695">
        <v>1</v>
      </c>
      <c r="V4695">
        <v>2024</v>
      </c>
      <c r="W4695">
        <v>1</v>
      </c>
      <c r="X4695" t="s">
        <v>9899</v>
      </c>
      <c r="Y4695" t="s">
        <v>9901</v>
      </c>
      <c r="Z4695" t="s">
        <v>9898</v>
      </c>
      <c r="AD4695">
        <f t="shared" si="147"/>
        <v>5</v>
      </c>
    </row>
    <row r="4696" spans="1:30" x14ac:dyDescent="0.25">
      <c r="A4696" t="s">
        <v>4720</v>
      </c>
      <c r="B4696" s="2">
        <v>45103</v>
      </c>
      <c r="C4696" s="2">
        <v>45107</v>
      </c>
      <c r="D4696" t="s">
        <v>5404</v>
      </c>
      <c r="E4696" t="s">
        <v>5904</v>
      </c>
      <c r="F4696" t="s">
        <v>6026</v>
      </c>
      <c r="G4696" t="s">
        <v>6029</v>
      </c>
      <c r="H4696" t="s">
        <v>6044</v>
      </c>
      <c r="I4696" t="s">
        <v>6046</v>
      </c>
      <c r="J4696" t="s">
        <v>6055</v>
      </c>
      <c r="K4696" t="s">
        <v>6061</v>
      </c>
      <c r="L4696" t="s">
        <v>9712</v>
      </c>
      <c r="M4696">
        <v>1592.4</v>
      </c>
      <c r="N4696">
        <v>8</v>
      </c>
      <c r="O4696">
        <v>0.19</v>
      </c>
      <c r="P4696">
        <v>-142.88</v>
      </c>
      <c r="Q4696" t="s">
        <v>9895</v>
      </c>
      <c r="R4696">
        <v>4</v>
      </c>
      <c r="S4696" s="5">
        <f t="shared" si="146"/>
        <v>-8.9726199447375019E-2</v>
      </c>
      <c r="T4696">
        <v>199.05</v>
      </c>
      <c r="U4696">
        <v>6</v>
      </c>
      <c r="V4696">
        <v>2023</v>
      </c>
      <c r="W4696">
        <v>2</v>
      </c>
      <c r="X4696" t="s">
        <v>9898</v>
      </c>
      <c r="Y4696" t="s">
        <v>9900</v>
      </c>
      <c r="Z4696" t="s">
        <v>9898</v>
      </c>
      <c r="AD4696">
        <f t="shared" si="147"/>
        <v>4</v>
      </c>
    </row>
    <row r="4697" spans="1:30" x14ac:dyDescent="0.25">
      <c r="A4697" t="s">
        <v>4721</v>
      </c>
      <c r="B4697" s="2">
        <v>45363</v>
      </c>
      <c r="C4697" s="2">
        <v>45368</v>
      </c>
      <c r="D4697" t="s">
        <v>5225</v>
      </c>
      <c r="E4697" t="s">
        <v>5725</v>
      </c>
      <c r="F4697" t="s">
        <v>6027</v>
      </c>
      <c r="G4697" t="s">
        <v>6030</v>
      </c>
      <c r="H4697" t="s">
        <v>6038</v>
      </c>
      <c r="I4697" t="s">
        <v>6051</v>
      </c>
      <c r="J4697" t="s">
        <v>6054</v>
      </c>
      <c r="K4697" t="s">
        <v>6059</v>
      </c>
      <c r="L4697" t="s">
        <v>6832</v>
      </c>
      <c r="M4697">
        <v>1310.48</v>
      </c>
      <c r="N4697">
        <v>2</v>
      </c>
      <c r="O4697">
        <v>0.03</v>
      </c>
      <c r="P4697">
        <v>351.12</v>
      </c>
      <c r="Q4697" t="s">
        <v>9894</v>
      </c>
      <c r="R4697">
        <v>5</v>
      </c>
      <c r="S4697" s="5">
        <f t="shared" si="146"/>
        <v>0.26793236066174225</v>
      </c>
      <c r="T4697">
        <v>655.24</v>
      </c>
      <c r="U4697">
        <v>3</v>
      </c>
      <c r="V4697">
        <v>2024</v>
      </c>
      <c r="W4697">
        <v>1</v>
      </c>
      <c r="X4697" t="s">
        <v>9899</v>
      </c>
      <c r="Y4697" t="s">
        <v>9901</v>
      </c>
      <c r="Z4697" t="s">
        <v>9898</v>
      </c>
      <c r="AD4697">
        <f t="shared" si="147"/>
        <v>5</v>
      </c>
    </row>
    <row r="4698" spans="1:30" x14ac:dyDescent="0.25">
      <c r="A4698" t="s">
        <v>4722</v>
      </c>
      <c r="B4698" s="2">
        <v>44942</v>
      </c>
      <c r="C4698" s="2">
        <v>44945</v>
      </c>
      <c r="D4698" t="s">
        <v>5098</v>
      </c>
      <c r="E4698" t="s">
        <v>5598</v>
      </c>
      <c r="F4698" t="s">
        <v>6027</v>
      </c>
      <c r="G4698" t="s">
        <v>6030</v>
      </c>
      <c r="H4698" t="s">
        <v>6033</v>
      </c>
      <c r="I4698" t="s">
        <v>6051</v>
      </c>
      <c r="J4698" t="s">
        <v>6053</v>
      </c>
      <c r="K4698" t="s">
        <v>6058</v>
      </c>
      <c r="L4698" t="s">
        <v>9713</v>
      </c>
      <c r="M4698">
        <v>973.84</v>
      </c>
      <c r="N4698">
        <v>3</v>
      </c>
      <c r="O4698">
        <v>0.18</v>
      </c>
      <c r="P4698">
        <v>-2.2799999999999998</v>
      </c>
      <c r="Q4698" t="s">
        <v>9893</v>
      </c>
      <c r="R4698">
        <v>3</v>
      </c>
      <c r="S4698" s="5">
        <f t="shared" si="146"/>
        <v>-2.3412470220980858E-3</v>
      </c>
      <c r="T4698">
        <v>324.61333333333329</v>
      </c>
      <c r="U4698">
        <v>1</v>
      </c>
      <c r="V4698">
        <v>2023</v>
      </c>
      <c r="W4698">
        <v>1</v>
      </c>
      <c r="X4698" t="s">
        <v>9898</v>
      </c>
      <c r="Y4698" t="s">
        <v>9900</v>
      </c>
      <c r="Z4698" t="s">
        <v>9899</v>
      </c>
      <c r="AD4698">
        <f t="shared" si="147"/>
        <v>3</v>
      </c>
    </row>
    <row r="4699" spans="1:30" x14ac:dyDescent="0.25">
      <c r="A4699" t="s">
        <v>4723</v>
      </c>
      <c r="B4699" s="2">
        <v>45289</v>
      </c>
      <c r="C4699" s="2">
        <v>45295</v>
      </c>
      <c r="D4699" t="s">
        <v>5418</v>
      </c>
      <c r="E4699" t="s">
        <v>5918</v>
      </c>
      <c r="F4699" t="s">
        <v>6028</v>
      </c>
      <c r="G4699" t="s">
        <v>6030</v>
      </c>
      <c r="H4699" t="s">
        <v>6039</v>
      </c>
      <c r="I4699" t="s">
        <v>6051</v>
      </c>
      <c r="J4699" t="s">
        <v>6053</v>
      </c>
      <c r="K4699" t="s">
        <v>6056</v>
      </c>
      <c r="L4699" t="s">
        <v>9714</v>
      </c>
      <c r="M4699">
        <v>1585.67</v>
      </c>
      <c r="N4699">
        <v>3</v>
      </c>
      <c r="O4699">
        <v>0.06</v>
      </c>
      <c r="P4699">
        <v>310.88</v>
      </c>
      <c r="Q4699" t="s">
        <v>9893</v>
      </c>
      <c r="R4699">
        <v>6</v>
      </c>
      <c r="S4699" s="5">
        <f t="shared" si="146"/>
        <v>0.19605592588621842</v>
      </c>
      <c r="T4699">
        <v>528.55666666666673</v>
      </c>
      <c r="U4699">
        <v>12</v>
      </c>
      <c r="V4699">
        <v>2023</v>
      </c>
      <c r="W4699">
        <v>4</v>
      </c>
      <c r="X4699" t="s">
        <v>9899</v>
      </c>
      <c r="Y4699" t="s">
        <v>9901</v>
      </c>
      <c r="Z4699" t="s">
        <v>9898</v>
      </c>
      <c r="AD4699">
        <f t="shared" si="147"/>
        <v>6</v>
      </c>
    </row>
    <row r="4700" spans="1:30" x14ac:dyDescent="0.25">
      <c r="A4700" t="s">
        <v>4724</v>
      </c>
      <c r="B4700" s="2">
        <v>44701</v>
      </c>
      <c r="C4700" s="2">
        <v>44705</v>
      </c>
      <c r="D4700" t="s">
        <v>5044</v>
      </c>
      <c r="E4700" t="s">
        <v>5544</v>
      </c>
      <c r="F4700" t="s">
        <v>6027</v>
      </c>
      <c r="G4700" t="s">
        <v>6030</v>
      </c>
      <c r="H4700" t="s">
        <v>6039</v>
      </c>
      <c r="I4700" t="s">
        <v>6047</v>
      </c>
      <c r="J4700" t="s">
        <v>6055</v>
      </c>
      <c r="K4700" t="s">
        <v>6061</v>
      </c>
      <c r="L4700" t="s">
        <v>9715</v>
      </c>
      <c r="M4700">
        <v>1996.71</v>
      </c>
      <c r="N4700">
        <v>4</v>
      </c>
      <c r="O4700">
        <v>7.0000000000000007E-2</v>
      </c>
      <c r="P4700">
        <v>183.32</v>
      </c>
      <c r="Q4700" t="s">
        <v>9897</v>
      </c>
      <c r="R4700">
        <v>4</v>
      </c>
      <c r="S4700" s="5">
        <f t="shared" si="146"/>
        <v>9.1811029142940134E-2</v>
      </c>
      <c r="T4700">
        <v>499.17750000000001</v>
      </c>
      <c r="U4700">
        <v>5</v>
      </c>
      <c r="V4700">
        <v>2022</v>
      </c>
      <c r="W4700">
        <v>2</v>
      </c>
      <c r="X4700" t="s">
        <v>9899</v>
      </c>
      <c r="Y4700" t="s">
        <v>9901</v>
      </c>
      <c r="Z4700" t="s">
        <v>9898</v>
      </c>
      <c r="AD4700">
        <f t="shared" si="147"/>
        <v>4</v>
      </c>
    </row>
    <row r="4701" spans="1:30" x14ac:dyDescent="0.25">
      <c r="A4701" t="s">
        <v>4725</v>
      </c>
      <c r="B4701" s="2">
        <v>45230</v>
      </c>
      <c r="C4701" s="2">
        <v>45237</v>
      </c>
      <c r="D4701" t="s">
        <v>5150</v>
      </c>
      <c r="E4701" t="s">
        <v>5650</v>
      </c>
      <c r="F4701" t="s">
        <v>6027</v>
      </c>
      <c r="G4701" t="s">
        <v>6029</v>
      </c>
      <c r="H4701" t="s">
        <v>6045</v>
      </c>
      <c r="I4701" t="s">
        <v>6050</v>
      </c>
      <c r="J4701" t="s">
        <v>6055</v>
      </c>
      <c r="K4701" t="s">
        <v>6064</v>
      </c>
      <c r="L4701" t="s">
        <v>9164</v>
      </c>
      <c r="M4701">
        <v>634.04</v>
      </c>
      <c r="N4701">
        <v>2</v>
      </c>
      <c r="O4701">
        <v>7.0000000000000007E-2</v>
      </c>
      <c r="P4701">
        <v>56.19</v>
      </c>
      <c r="Q4701" t="s">
        <v>9893</v>
      </c>
      <c r="R4701">
        <v>7</v>
      </c>
      <c r="S4701" s="5">
        <f t="shared" si="146"/>
        <v>8.8622168948331331E-2</v>
      </c>
      <c r="T4701">
        <v>317.02</v>
      </c>
      <c r="U4701">
        <v>10</v>
      </c>
      <c r="V4701">
        <v>2023</v>
      </c>
      <c r="W4701">
        <v>4</v>
      </c>
      <c r="X4701" t="s">
        <v>9899</v>
      </c>
      <c r="Y4701" t="s">
        <v>9901</v>
      </c>
      <c r="Z4701" t="s">
        <v>9899</v>
      </c>
      <c r="AD4701">
        <f t="shared" si="147"/>
        <v>7</v>
      </c>
    </row>
    <row r="4702" spans="1:30" x14ac:dyDescent="0.25">
      <c r="A4702" t="s">
        <v>4726</v>
      </c>
      <c r="B4702" s="2">
        <v>45176</v>
      </c>
      <c r="C4702" s="2">
        <v>45177</v>
      </c>
      <c r="D4702" t="s">
        <v>5063</v>
      </c>
      <c r="E4702" t="s">
        <v>5563</v>
      </c>
      <c r="F4702" t="s">
        <v>6028</v>
      </c>
      <c r="G4702" t="s">
        <v>6031</v>
      </c>
      <c r="H4702" t="s">
        <v>6040</v>
      </c>
      <c r="I4702" t="s">
        <v>6048</v>
      </c>
      <c r="J4702" t="s">
        <v>6054</v>
      </c>
      <c r="K4702" t="s">
        <v>6059</v>
      </c>
      <c r="L4702" t="s">
        <v>7006</v>
      </c>
      <c r="M4702">
        <v>1779</v>
      </c>
      <c r="N4702">
        <v>2</v>
      </c>
      <c r="O4702">
        <v>0.1</v>
      </c>
      <c r="P4702">
        <v>340.44</v>
      </c>
      <c r="Q4702" t="s">
        <v>9894</v>
      </c>
      <c r="R4702">
        <v>1</v>
      </c>
      <c r="S4702" s="5">
        <f t="shared" si="146"/>
        <v>0.19136593591905565</v>
      </c>
      <c r="T4702">
        <v>889.5</v>
      </c>
      <c r="U4702">
        <v>9</v>
      </c>
      <c r="V4702">
        <v>2023</v>
      </c>
      <c r="W4702">
        <v>3</v>
      </c>
      <c r="X4702" t="s">
        <v>9899</v>
      </c>
      <c r="Y4702" t="s">
        <v>9901</v>
      </c>
      <c r="Z4702" t="s">
        <v>9898</v>
      </c>
      <c r="AD4702">
        <f t="shared" si="147"/>
        <v>1</v>
      </c>
    </row>
    <row r="4703" spans="1:30" x14ac:dyDescent="0.25">
      <c r="A4703" t="s">
        <v>4727</v>
      </c>
      <c r="B4703" s="2">
        <v>45368</v>
      </c>
      <c r="C4703" s="2">
        <v>45371</v>
      </c>
      <c r="D4703" t="s">
        <v>5182</v>
      </c>
      <c r="E4703" t="s">
        <v>5682</v>
      </c>
      <c r="F4703" t="s">
        <v>6028</v>
      </c>
      <c r="G4703" t="s">
        <v>6031</v>
      </c>
      <c r="H4703" t="s">
        <v>6042</v>
      </c>
      <c r="I4703" t="s">
        <v>6048</v>
      </c>
      <c r="J4703" t="s">
        <v>6055</v>
      </c>
      <c r="K4703" t="s">
        <v>6061</v>
      </c>
      <c r="L4703" t="s">
        <v>9716</v>
      </c>
      <c r="M4703">
        <v>1348.49</v>
      </c>
      <c r="N4703">
        <v>5</v>
      </c>
      <c r="O4703">
        <v>0.16</v>
      </c>
      <c r="P4703">
        <v>182.85</v>
      </c>
      <c r="Q4703" t="s">
        <v>9895</v>
      </c>
      <c r="R4703">
        <v>3</v>
      </c>
      <c r="S4703" s="5">
        <f t="shared" si="146"/>
        <v>0.13559611120586729</v>
      </c>
      <c r="T4703">
        <v>269.69799999999998</v>
      </c>
      <c r="U4703">
        <v>3</v>
      </c>
      <c r="V4703">
        <v>2024</v>
      </c>
      <c r="W4703">
        <v>1</v>
      </c>
      <c r="X4703" t="s">
        <v>9899</v>
      </c>
      <c r="Y4703" t="s">
        <v>9900</v>
      </c>
      <c r="Z4703" t="s">
        <v>9898</v>
      </c>
      <c r="AD4703">
        <f t="shared" si="147"/>
        <v>3</v>
      </c>
    </row>
    <row r="4704" spans="1:30" x14ac:dyDescent="0.25">
      <c r="A4704" t="s">
        <v>4728</v>
      </c>
      <c r="B4704" s="2">
        <v>44776</v>
      </c>
      <c r="C4704" s="2">
        <v>44781</v>
      </c>
      <c r="D4704" t="s">
        <v>5122</v>
      </c>
      <c r="E4704" t="s">
        <v>5622</v>
      </c>
      <c r="F4704" t="s">
        <v>6028</v>
      </c>
      <c r="G4704" t="s">
        <v>6029</v>
      </c>
      <c r="H4704" t="s">
        <v>6044</v>
      </c>
      <c r="I4704" t="s">
        <v>6046</v>
      </c>
      <c r="J4704" t="s">
        <v>6055</v>
      </c>
      <c r="K4704" t="s">
        <v>6064</v>
      </c>
      <c r="L4704" t="s">
        <v>6334</v>
      </c>
      <c r="M4704">
        <v>1326.12</v>
      </c>
      <c r="N4704">
        <v>4</v>
      </c>
      <c r="O4704">
        <v>0.18</v>
      </c>
      <c r="P4704">
        <v>-24.55</v>
      </c>
      <c r="Q4704" t="s">
        <v>9896</v>
      </c>
      <c r="R4704">
        <v>5</v>
      </c>
      <c r="S4704" s="5">
        <f t="shared" si="146"/>
        <v>-1.8512653455192592E-2</v>
      </c>
      <c r="T4704">
        <v>331.53</v>
      </c>
      <c r="U4704">
        <v>8</v>
      </c>
      <c r="V4704">
        <v>2022</v>
      </c>
      <c r="W4704">
        <v>3</v>
      </c>
      <c r="X4704" t="s">
        <v>9898</v>
      </c>
      <c r="Y4704" t="s">
        <v>9900</v>
      </c>
      <c r="Z4704" t="s">
        <v>9898</v>
      </c>
      <c r="AD4704">
        <f t="shared" si="147"/>
        <v>5</v>
      </c>
    </row>
    <row r="4705" spans="1:30" x14ac:dyDescent="0.25">
      <c r="A4705" t="s">
        <v>4729</v>
      </c>
      <c r="B4705" s="2">
        <v>44933</v>
      </c>
      <c r="C4705" s="2">
        <v>44936</v>
      </c>
      <c r="D4705" t="s">
        <v>5503</v>
      </c>
      <c r="E4705" t="s">
        <v>6003</v>
      </c>
      <c r="F4705" t="s">
        <v>6026</v>
      </c>
      <c r="G4705" t="s">
        <v>6031</v>
      </c>
      <c r="H4705" t="s">
        <v>6042</v>
      </c>
      <c r="I4705" t="s">
        <v>6050</v>
      </c>
      <c r="J4705" t="s">
        <v>6055</v>
      </c>
      <c r="K4705" t="s">
        <v>6061</v>
      </c>
      <c r="L4705" t="s">
        <v>9717</v>
      </c>
      <c r="M4705">
        <v>936.82</v>
      </c>
      <c r="N4705">
        <v>1</v>
      </c>
      <c r="O4705">
        <v>0.31</v>
      </c>
      <c r="P4705">
        <v>-177.28</v>
      </c>
      <c r="Q4705" t="s">
        <v>9894</v>
      </c>
      <c r="R4705">
        <v>3</v>
      </c>
      <c r="S4705" s="5">
        <f t="shared" si="146"/>
        <v>-0.18923592579150744</v>
      </c>
      <c r="T4705">
        <v>936.82</v>
      </c>
      <c r="U4705">
        <v>1</v>
      </c>
      <c r="V4705">
        <v>2023</v>
      </c>
      <c r="W4705">
        <v>1</v>
      </c>
      <c r="X4705" t="s">
        <v>9898</v>
      </c>
      <c r="Y4705" t="s">
        <v>9902</v>
      </c>
      <c r="Z4705" t="s">
        <v>9899</v>
      </c>
      <c r="AD4705">
        <f t="shared" si="147"/>
        <v>3</v>
      </c>
    </row>
    <row r="4706" spans="1:30" x14ac:dyDescent="0.25">
      <c r="A4706" t="s">
        <v>4730</v>
      </c>
      <c r="B4706" s="2">
        <v>45197</v>
      </c>
      <c r="C4706" s="2">
        <v>45200</v>
      </c>
      <c r="D4706" t="s">
        <v>5504</v>
      </c>
      <c r="E4706" t="s">
        <v>6004</v>
      </c>
      <c r="F4706" t="s">
        <v>6026</v>
      </c>
      <c r="G4706" t="s">
        <v>6031</v>
      </c>
      <c r="H4706" t="s">
        <v>6042</v>
      </c>
      <c r="I4706" t="s">
        <v>6052</v>
      </c>
      <c r="J4706" t="s">
        <v>6054</v>
      </c>
      <c r="K4706" t="s">
        <v>6060</v>
      </c>
      <c r="L4706" t="s">
        <v>9718</v>
      </c>
      <c r="M4706">
        <v>206.41</v>
      </c>
      <c r="N4706">
        <v>5</v>
      </c>
      <c r="O4706">
        <v>0.32</v>
      </c>
      <c r="P4706">
        <v>-16.63</v>
      </c>
      <c r="Q4706" t="s">
        <v>9893</v>
      </c>
      <c r="R4706">
        <v>3</v>
      </c>
      <c r="S4706" s="5">
        <f t="shared" si="146"/>
        <v>-8.0567801947580051E-2</v>
      </c>
      <c r="T4706">
        <v>41.281999999999996</v>
      </c>
      <c r="U4706">
        <v>9</v>
      </c>
      <c r="V4706">
        <v>2023</v>
      </c>
      <c r="W4706">
        <v>3</v>
      </c>
      <c r="X4706" t="s">
        <v>9898</v>
      </c>
      <c r="Y4706" t="s">
        <v>9902</v>
      </c>
      <c r="Z4706" t="s">
        <v>9899</v>
      </c>
      <c r="AD4706">
        <f t="shared" si="147"/>
        <v>3</v>
      </c>
    </row>
    <row r="4707" spans="1:30" x14ac:dyDescent="0.25">
      <c r="A4707" t="s">
        <v>4731</v>
      </c>
      <c r="B4707" s="2">
        <v>45335</v>
      </c>
      <c r="C4707" s="2">
        <v>45340</v>
      </c>
      <c r="D4707" t="s">
        <v>5060</v>
      </c>
      <c r="E4707" t="s">
        <v>5560</v>
      </c>
      <c r="F4707" t="s">
        <v>6027</v>
      </c>
      <c r="G4707" t="s">
        <v>6031</v>
      </c>
      <c r="H4707" t="s">
        <v>6040</v>
      </c>
      <c r="I4707" t="s">
        <v>6048</v>
      </c>
      <c r="J4707" t="s">
        <v>6053</v>
      </c>
      <c r="K4707" t="s">
        <v>6057</v>
      </c>
      <c r="L4707" t="s">
        <v>9719</v>
      </c>
      <c r="M4707">
        <v>591.83000000000004</v>
      </c>
      <c r="N4707">
        <v>5</v>
      </c>
      <c r="O4707">
        <v>0.2</v>
      </c>
      <c r="P4707">
        <v>50.03</v>
      </c>
      <c r="Q4707" t="s">
        <v>9895</v>
      </c>
      <c r="R4707">
        <v>5</v>
      </c>
      <c r="S4707" s="5">
        <f t="shared" si="146"/>
        <v>8.4534410219150771E-2</v>
      </c>
      <c r="T4707">
        <v>118.366</v>
      </c>
      <c r="U4707">
        <v>2</v>
      </c>
      <c r="V4707">
        <v>2024</v>
      </c>
      <c r="W4707">
        <v>1</v>
      </c>
      <c r="X4707" t="s">
        <v>9899</v>
      </c>
      <c r="Y4707" t="s">
        <v>9900</v>
      </c>
      <c r="Z4707" t="s">
        <v>9899</v>
      </c>
      <c r="AD4707">
        <f t="shared" si="147"/>
        <v>5</v>
      </c>
    </row>
    <row r="4708" spans="1:30" x14ac:dyDescent="0.25">
      <c r="A4708" t="s">
        <v>4732</v>
      </c>
      <c r="B4708" s="2">
        <v>45269</v>
      </c>
      <c r="C4708" s="2">
        <v>45272</v>
      </c>
      <c r="D4708" t="s">
        <v>5275</v>
      </c>
      <c r="E4708" t="s">
        <v>5775</v>
      </c>
      <c r="F4708" t="s">
        <v>6027</v>
      </c>
      <c r="G4708" t="s">
        <v>6031</v>
      </c>
      <c r="H4708" t="s">
        <v>6034</v>
      </c>
      <c r="I4708" t="s">
        <v>6048</v>
      </c>
      <c r="J4708" t="s">
        <v>6054</v>
      </c>
      <c r="K4708" t="s">
        <v>6060</v>
      </c>
      <c r="L4708" t="s">
        <v>9720</v>
      </c>
      <c r="M4708">
        <v>1211.8</v>
      </c>
      <c r="N4708">
        <v>7</v>
      </c>
      <c r="O4708">
        <v>0.16</v>
      </c>
      <c r="P4708">
        <v>151.97</v>
      </c>
      <c r="Q4708" t="s">
        <v>9897</v>
      </c>
      <c r="R4708">
        <v>3</v>
      </c>
      <c r="S4708" s="5">
        <f t="shared" si="146"/>
        <v>0.12540848324806075</v>
      </c>
      <c r="T4708">
        <v>173.1142857142857</v>
      </c>
      <c r="U4708">
        <v>12</v>
      </c>
      <c r="V4708">
        <v>2023</v>
      </c>
      <c r="W4708">
        <v>4</v>
      </c>
      <c r="X4708" t="s">
        <v>9899</v>
      </c>
      <c r="Y4708" t="s">
        <v>9900</v>
      </c>
      <c r="Z4708" t="s">
        <v>9898</v>
      </c>
      <c r="AD4708">
        <f t="shared" si="147"/>
        <v>3</v>
      </c>
    </row>
    <row r="4709" spans="1:30" x14ac:dyDescent="0.25">
      <c r="A4709" t="s">
        <v>4733</v>
      </c>
      <c r="B4709" s="2">
        <v>45098</v>
      </c>
      <c r="C4709" s="2">
        <v>45101</v>
      </c>
      <c r="D4709" t="s">
        <v>5399</v>
      </c>
      <c r="E4709" t="s">
        <v>5899</v>
      </c>
      <c r="F4709" t="s">
        <v>6028</v>
      </c>
      <c r="G4709" t="s">
        <v>6029</v>
      </c>
      <c r="H4709" t="s">
        <v>6036</v>
      </c>
      <c r="I4709" t="s">
        <v>6046</v>
      </c>
      <c r="J4709" t="s">
        <v>6054</v>
      </c>
      <c r="K4709" t="s">
        <v>6060</v>
      </c>
      <c r="L4709" t="s">
        <v>9721</v>
      </c>
      <c r="M4709">
        <v>789.66</v>
      </c>
      <c r="N4709">
        <v>6</v>
      </c>
      <c r="O4709">
        <v>0.22</v>
      </c>
      <c r="P4709">
        <v>3.3</v>
      </c>
      <c r="Q4709" t="s">
        <v>9894</v>
      </c>
      <c r="R4709">
        <v>3</v>
      </c>
      <c r="S4709" s="5">
        <f t="shared" si="146"/>
        <v>4.1790137527543498E-3</v>
      </c>
      <c r="T4709">
        <v>131.61000000000001</v>
      </c>
      <c r="U4709">
        <v>6</v>
      </c>
      <c r="V4709">
        <v>2023</v>
      </c>
      <c r="W4709">
        <v>2</v>
      </c>
      <c r="X4709" t="s">
        <v>9899</v>
      </c>
      <c r="Y4709" t="s">
        <v>9900</v>
      </c>
      <c r="Z4709" t="s">
        <v>9899</v>
      </c>
      <c r="AD4709">
        <f t="shared" si="147"/>
        <v>3</v>
      </c>
    </row>
    <row r="4710" spans="1:30" x14ac:dyDescent="0.25">
      <c r="A4710" t="s">
        <v>4734</v>
      </c>
      <c r="B4710" s="2">
        <v>44679</v>
      </c>
      <c r="C4710" s="2">
        <v>44680</v>
      </c>
      <c r="D4710" t="s">
        <v>5165</v>
      </c>
      <c r="E4710" t="s">
        <v>5665</v>
      </c>
      <c r="F4710" t="s">
        <v>6027</v>
      </c>
      <c r="G4710" t="s">
        <v>6031</v>
      </c>
      <c r="H4710" t="s">
        <v>6037</v>
      </c>
      <c r="I4710" t="s">
        <v>6052</v>
      </c>
      <c r="J4710" t="s">
        <v>6053</v>
      </c>
      <c r="K4710" t="s">
        <v>6057</v>
      </c>
      <c r="L4710" t="s">
        <v>7413</v>
      </c>
      <c r="M4710">
        <v>1058.5</v>
      </c>
      <c r="N4710">
        <v>7</v>
      </c>
      <c r="O4710">
        <v>0.28999999999999998</v>
      </c>
      <c r="P4710">
        <v>-67.27</v>
      </c>
      <c r="Q4710" t="s">
        <v>9894</v>
      </c>
      <c r="R4710">
        <v>1</v>
      </c>
      <c r="S4710" s="5">
        <f t="shared" si="146"/>
        <v>-6.3552196504487485E-2</v>
      </c>
      <c r="T4710">
        <v>151.21428571428569</v>
      </c>
      <c r="U4710">
        <v>4</v>
      </c>
      <c r="V4710">
        <v>2022</v>
      </c>
      <c r="W4710">
        <v>2</v>
      </c>
      <c r="X4710" t="s">
        <v>9898</v>
      </c>
      <c r="Y4710" t="s">
        <v>9900</v>
      </c>
      <c r="Z4710" t="s">
        <v>9898</v>
      </c>
      <c r="AD4710">
        <f t="shared" si="147"/>
        <v>1</v>
      </c>
    </row>
    <row r="4711" spans="1:30" x14ac:dyDescent="0.25">
      <c r="A4711" t="s">
        <v>4735</v>
      </c>
      <c r="B4711" s="2">
        <v>45069</v>
      </c>
      <c r="C4711" s="2">
        <v>45070</v>
      </c>
      <c r="D4711" t="s">
        <v>5122</v>
      </c>
      <c r="E4711" t="s">
        <v>5622</v>
      </c>
      <c r="F4711" t="s">
        <v>6026</v>
      </c>
      <c r="G4711" t="s">
        <v>6030</v>
      </c>
      <c r="H4711" t="s">
        <v>6039</v>
      </c>
      <c r="I4711" t="s">
        <v>6047</v>
      </c>
      <c r="J4711" t="s">
        <v>6054</v>
      </c>
      <c r="K4711" t="s">
        <v>6059</v>
      </c>
      <c r="L4711" t="s">
        <v>6862</v>
      </c>
      <c r="M4711">
        <v>1305.1600000000001</v>
      </c>
      <c r="N4711">
        <v>7</v>
      </c>
      <c r="O4711">
        <v>0.27</v>
      </c>
      <c r="P4711">
        <v>-140.28</v>
      </c>
      <c r="Q4711" t="s">
        <v>9895</v>
      </c>
      <c r="R4711">
        <v>1</v>
      </c>
      <c r="S4711" s="5">
        <f t="shared" si="146"/>
        <v>-0.107481075117227</v>
      </c>
      <c r="T4711">
        <v>186.45142857142861</v>
      </c>
      <c r="U4711">
        <v>5</v>
      </c>
      <c r="V4711">
        <v>2023</v>
      </c>
      <c r="W4711">
        <v>2</v>
      </c>
      <c r="X4711" t="s">
        <v>9898</v>
      </c>
      <c r="Y4711" t="s">
        <v>9900</v>
      </c>
      <c r="Z4711" t="s">
        <v>9898</v>
      </c>
      <c r="AD4711">
        <f t="shared" si="147"/>
        <v>1</v>
      </c>
    </row>
    <row r="4712" spans="1:30" x14ac:dyDescent="0.25">
      <c r="A4712" t="s">
        <v>4736</v>
      </c>
      <c r="B4712" s="2">
        <v>45304</v>
      </c>
      <c r="C4712" s="2">
        <v>45309</v>
      </c>
      <c r="D4712" t="s">
        <v>5193</v>
      </c>
      <c r="E4712" t="s">
        <v>5693</v>
      </c>
      <c r="F4712" t="s">
        <v>6027</v>
      </c>
      <c r="G4712" t="s">
        <v>6031</v>
      </c>
      <c r="H4712" t="s">
        <v>6040</v>
      </c>
      <c r="I4712" t="s">
        <v>6050</v>
      </c>
      <c r="J4712" t="s">
        <v>6055</v>
      </c>
      <c r="K4712" t="s">
        <v>6061</v>
      </c>
      <c r="L4712" t="s">
        <v>9722</v>
      </c>
      <c r="M4712">
        <v>685.83</v>
      </c>
      <c r="N4712">
        <v>6</v>
      </c>
      <c r="O4712">
        <v>0.11</v>
      </c>
      <c r="P4712">
        <v>23.37</v>
      </c>
      <c r="Q4712" t="s">
        <v>9895</v>
      </c>
      <c r="R4712">
        <v>5</v>
      </c>
      <c r="S4712" s="5">
        <f t="shared" si="146"/>
        <v>3.4075499759415595E-2</v>
      </c>
      <c r="T4712">
        <v>114.30500000000001</v>
      </c>
      <c r="U4712">
        <v>1</v>
      </c>
      <c r="V4712">
        <v>2024</v>
      </c>
      <c r="W4712">
        <v>1</v>
      </c>
      <c r="X4712" t="s">
        <v>9899</v>
      </c>
      <c r="Y4712" t="s">
        <v>9901</v>
      </c>
      <c r="Z4712" t="s">
        <v>9899</v>
      </c>
      <c r="AD4712">
        <f t="shared" si="147"/>
        <v>5</v>
      </c>
    </row>
    <row r="4713" spans="1:30" x14ac:dyDescent="0.25">
      <c r="A4713" t="s">
        <v>4737</v>
      </c>
      <c r="B4713" s="2">
        <v>45067</v>
      </c>
      <c r="C4713" s="2">
        <v>45072</v>
      </c>
      <c r="D4713" t="s">
        <v>5501</v>
      </c>
      <c r="E4713" t="s">
        <v>6001</v>
      </c>
      <c r="F4713" t="s">
        <v>6026</v>
      </c>
      <c r="G4713" t="s">
        <v>6029</v>
      </c>
      <c r="H4713" t="s">
        <v>6044</v>
      </c>
      <c r="I4713" t="s">
        <v>6046</v>
      </c>
      <c r="J4713" t="s">
        <v>6055</v>
      </c>
      <c r="K4713" t="s">
        <v>6061</v>
      </c>
      <c r="L4713" t="s">
        <v>7516</v>
      </c>
      <c r="M4713">
        <v>821.78</v>
      </c>
      <c r="N4713">
        <v>6</v>
      </c>
      <c r="O4713">
        <v>0.31</v>
      </c>
      <c r="P4713">
        <v>-114.84</v>
      </c>
      <c r="Q4713" t="s">
        <v>9894</v>
      </c>
      <c r="R4713">
        <v>5</v>
      </c>
      <c r="S4713" s="5">
        <f t="shared" si="146"/>
        <v>-0.13974543065053907</v>
      </c>
      <c r="T4713">
        <v>136.96333333333331</v>
      </c>
      <c r="U4713">
        <v>5</v>
      </c>
      <c r="V4713">
        <v>2023</v>
      </c>
      <c r="W4713">
        <v>2</v>
      </c>
      <c r="X4713" t="s">
        <v>9898</v>
      </c>
      <c r="Y4713" t="s">
        <v>9902</v>
      </c>
      <c r="Z4713" t="s">
        <v>9899</v>
      </c>
      <c r="AD4713">
        <f t="shared" si="147"/>
        <v>5</v>
      </c>
    </row>
    <row r="4714" spans="1:30" x14ac:dyDescent="0.25">
      <c r="A4714" t="s">
        <v>4738</v>
      </c>
      <c r="B4714" s="2">
        <v>44775</v>
      </c>
      <c r="C4714" s="2">
        <v>44778</v>
      </c>
      <c r="D4714" t="s">
        <v>5258</v>
      </c>
      <c r="E4714" t="s">
        <v>5758</v>
      </c>
      <c r="F4714" t="s">
        <v>6027</v>
      </c>
      <c r="G4714" t="s">
        <v>6031</v>
      </c>
      <c r="H4714" t="s">
        <v>6040</v>
      </c>
      <c r="I4714" t="s">
        <v>6050</v>
      </c>
      <c r="J4714" t="s">
        <v>6055</v>
      </c>
      <c r="K4714" t="s">
        <v>6061</v>
      </c>
      <c r="L4714" t="s">
        <v>9723</v>
      </c>
      <c r="M4714">
        <v>1389.47</v>
      </c>
      <c r="N4714">
        <v>3</v>
      </c>
      <c r="O4714">
        <v>0.13</v>
      </c>
      <c r="P4714">
        <v>200.18</v>
      </c>
      <c r="Q4714" t="s">
        <v>9896</v>
      </c>
      <c r="R4714">
        <v>3</v>
      </c>
      <c r="S4714" s="5">
        <f t="shared" si="146"/>
        <v>0.14406932139592796</v>
      </c>
      <c r="T4714">
        <v>463.15666666666669</v>
      </c>
      <c r="U4714">
        <v>8</v>
      </c>
      <c r="V4714">
        <v>2022</v>
      </c>
      <c r="W4714">
        <v>3</v>
      </c>
      <c r="X4714" t="s">
        <v>9899</v>
      </c>
      <c r="Y4714" t="s">
        <v>9901</v>
      </c>
      <c r="Z4714" t="s">
        <v>9898</v>
      </c>
      <c r="AD4714">
        <f t="shared" si="147"/>
        <v>3</v>
      </c>
    </row>
    <row r="4715" spans="1:30" x14ac:dyDescent="0.25">
      <c r="A4715" t="s">
        <v>4739</v>
      </c>
      <c r="B4715" s="2">
        <v>45289</v>
      </c>
      <c r="C4715" s="2">
        <v>45294</v>
      </c>
      <c r="D4715" t="s">
        <v>5083</v>
      </c>
      <c r="E4715" t="s">
        <v>5583</v>
      </c>
      <c r="F4715" t="s">
        <v>6028</v>
      </c>
      <c r="G4715" t="s">
        <v>6029</v>
      </c>
      <c r="H4715" t="s">
        <v>6044</v>
      </c>
      <c r="I4715" t="s">
        <v>6046</v>
      </c>
      <c r="J4715" t="s">
        <v>6055</v>
      </c>
      <c r="K4715" t="s">
        <v>6061</v>
      </c>
      <c r="L4715" t="s">
        <v>9724</v>
      </c>
      <c r="M4715">
        <v>147.13</v>
      </c>
      <c r="N4715">
        <v>3</v>
      </c>
      <c r="O4715">
        <v>0.27</v>
      </c>
      <c r="P4715">
        <v>-12</v>
      </c>
      <c r="Q4715" t="s">
        <v>9894</v>
      </c>
      <c r="R4715">
        <v>5</v>
      </c>
      <c r="S4715" s="5">
        <f t="shared" si="146"/>
        <v>-8.1560524706042276E-2</v>
      </c>
      <c r="T4715">
        <v>49.043333333333329</v>
      </c>
      <c r="U4715">
        <v>12</v>
      </c>
      <c r="V4715">
        <v>2023</v>
      </c>
      <c r="W4715">
        <v>4</v>
      </c>
      <c r="X4715" t="s">
        <v>9898</v>
      </c>
      <c r="Y4715" t="s">
        <v>9900</v>
      </c>
      <c r="Z4715" t="s">
        <v>9899</v>
      </c>
      <c r="AD4715">
        <f t="shared" si="147"/>
        <v>5</v>
      </c>
    </row>
    <row r="4716" spans="1:30" x14ac:dyDescent="0.25">
      <c r="A4716" t="s">
        <v>4740</v>
      </c>
      <c r="B4716" s="2">
        <v>44566</v>
      </c>
      <c r="C4716" s="2">
        <v>44568</v>
      </c>
      <c r="D4716" t="s">
        <v>5419</v>
      </c>
      <c r="E4716" t="s">
        <v>5919</v>
      </c>
      <c r="F4716" t="s">
        <v>6028</v>
      </c>
      <c r="G4716" t="s">
        <v>6030</v>
      </c>
      <c r="H4716" t="s">
        <v>6039</v>
      </c>
      <c r="I4716" t="s">
        <v>6047</v>
      </c>
      <c r="J4716" t="s">
        <v>6055</v>
      </c>
      <c r="K4716" t="s">
        <v>6064</v>
      </c>
      <c r="L4716" t="s">
        <v>9725</v>
      </c>
      <c r="M4716">
        <v>1819.32</v>
      </c>
      <c r="N4716">
        <v>6</v>
      </c>
      <c r="O4716">
        <v>0.27</v>
      </c>
      <c r="P4716">
        <v>41.3</v>
      </c>
      <c r="Q4716" t="s">
        <v>9895</v>
      </c>
      <c r="R4716">
        <v>2</v>
      </c>
      <c r="S4716" s="5">
        <f t="shared" si="146"/>
        <v>2.270078930589451E-2</v>
      </c>
      <c r="T4716">
        <v>303.22000000000003</v>
      </c>
      <c r="U4716">
        <v>1</v>
      </c>
      <c r="V4716">
        <v>2022</v>
      </c>
      <c r="W4716">
        <v>1</v>
      </c>
      <c r="X4716" t="s">
        <v>9899</v>
      </c>
      <c r="Y4716" t="s">
        <v>9900</v>
      </c>
      <c r="Z4716" t="s">
        <v>9898</v>
      </c>
      <c r="AD4716">
        <f t="shared" si="147"/>
        <v>2</v>
      </c>
    </row>
    <row r="4717" spans="1:30" x14ac:dyDescent="0.25">
      <c r="A4717" t="s">
        <v>4741</v>
      </c>
      <c r="B4717" s="2">
        <v>45380</v>
      </c>
      <c r="C4717" s="2">
        <v>45381</v>
      </c>
      <c r="D4717" t="s">
        <v>5296</v>
      </c>
      <c r="E4717" t="s">
        <v>5796</v>
      </c>
      <c r="F4717" t="s">
        <v>6028</v>
      </c>
      <c r="G4717" t="s">
        <v>6029</v>
      </c>
      <c r="H4717" t="s">
        <v>6041</v>
      </c>
      <c r="I4717" t="s">
        <v>6049</v>
      </c>
      <c r="J4717" t="s">
        <v>6054</v>
      </c>
      <c r="K4717" t="s">
        <v>6059</v>
      </c>
      <c r="L4717" t="s">
        <v>8053</v>
      </c>
      <c r="M4717">
        <v>730.34</v>
      </c>
      <c r="N4717">
        <v>8</v>
      </c>
      <c r="O4717">
        <v>0.26</v>
      </c>
      <c r="P4717">
        <v>-73.09</v>
      </c>
      <c r="Q4717" t="s">
        <v>9897</v>
      </c>
      <c r="R4717">
        <v>1</v>
      </c>
      <c r="S4717" s="5">
        <f t="shared" si="146"/>
        <v>-0.10007667661637046</v>
      </c>
      <c r="T4717">
        <v>91.292500000000004</v>
      </c>
      <c r="U4717">
        <v>3</v>
      </c>
      <c r="V4717">
        <v>2024</v>
      </c>
      <c r="W4717">
        <v>1</v>
      </c>
      <c r="X4717" t="s">
        <v>9898</v>
      </c>
      <c r="Y4717" t="s">
        <v>9900</v>
      </c>
      <c r="Z4717" t="s">
        <v>9899</v>
      </c>
      <c r="AD4717">
        <f t="shared" si="147"/>
        <v>1</v>
      </c>
    </row>
    <row r="4718" spans="1:30" x14ac:dyDescent="0.25">
      <c r="A4718" t="s">
        <v>4742</v>
      </c>
      <c r="B4718" s="2">
        <v>44762</v>
      </c>
      <c r="C4718" s="2">
        <v>44765</v>
      </c>
      <c r="D4718" t="s">
        <v>5334</v>
      </c>
      <c r="E4718" t="s">
        <v>5834</v>
      </c>
      <c r="F4718" t="s">
        <v>6027</v>
      </c>
      <c r="G4718" t="s">
        <v>6030</v>
      </c>
      <c r="H4718" t="s">
        <v>6038</v>
      </c>
      <c r="I4718" t="s">
        <v>6047</v>
      </c>
      <c r="J4718" t="s">
        <v>6054</v>
      </c>
      <c r="K4718" t="s">
        <v>6062</v>
      </c>
      <c r="L4718" t="s">
        <v>9726</v>
      </c>
      <c r="M4718">
        <v>1784.52</v>
      </c>
      <c r="N4718">
        <v>8</v>
      </c>
      <c r="O4718">
        <v>0.31</v>
      </c>
      <c r="P4718">
        <v>-350.02</v>
      </c>
      <c r="Q4718" t="s">
        <v>9893</v>
      </c>
      <c r="R4718">
        <v>3</v>
      </c>
      <c r="S4718" s="5">
        <f t="shared" si="146"/>
        <v>-0.19614238002375989</v>
      </c>
      <c r="T4718">
        <v>223.065</v>
      </c>
      <c r="U4718">
        <v>7</v>
      </c>
      <c r="V4718">
        <v>2022</v>
      </c>
      <c r="W4718">
        <v>3</v>
      </c>
      <c r="X4718" t="s">
        <v>9898</v>
      </c>
      <c r="Y4718" t="s">
        <v>9902</v>
      </c>
      <c r="Z4718" t="s">
        <v>9898</v>
      </c>
      <c r="AD4718">
        <f t="shared" si="147"/>
        <v>3</v>
      </c>
    </row>
    <row r="4719" spans="1:30" x14ac:dyDescent="0.25">
      <c r="A4719" t="s">
        <v>4743</v>
      </c>
      <c r="B4719" s="2">
        <v>44910</v>
      </c>
      <c r="C4719" s="2">
        <v>44911</v>
      </c>
      <c r="D4719" t="s">
        <v>5032</v>
      </c>
      <c r="E4719" t="s">
        <v>5532</v>
      </c>
      <c r="F4719" t="s">
        <v>6027</v>
      </c>
      <c r="G4719" t="s">
        <v>6031</v>
      </c>
      <c r="H4719" t="s">
        <v>6037</v>
      </c>
      <c r="I4719" t="s">
        <v>6052</v>
      </c>
      <c r="J4719" t="s">
        <v>6054</v>
      </c>
      <c r="K4719" t="s">
        <v>6059</v>
      </c>
      <c r="L4719" t="s">
        <v>9727</v>
      </c>
      <c r="M4719">
        <v>965.32</v>
      </c>
      <c r="N4719">
        <v>8</v>
      </c>
      <c r="O4719">
        <v>0.34</v>
      </c>
      <c r="P4719">
        <v>-203.61</v>
      </c>
      <c r="Q4719" t="s">
        <v>9893</v>
      </c>
      <c r="R4719">
        <v>1</v>
      </c>
      <c r="S4719" s="5">
        <f t="shared" si="146"/>
        <v>-0.21092487465296483</v>
      </c>
      <c r="T4719">
        <v>120.66500000000001</v>
      </c>
      <c r="U4719">
        <v>12</v>
      </c>
      <c r="V4719">
        <v>2022</v>
      </c>
      <c r="W4719">
        <v>4</v>
      </c>
      <c r="X4719" t="s">
        <v>9898</v>
      </c>
      <c r="Y4719" t="s">
        <v>9902</v>
      </c>
      <c r="Z4719" t="s">
        <v>9899</v>
      </c>
      <c r="AD4719">
        <f t="shared" si="147"/>
        <v>1</v>
      </c>
    </row>
    <row r="4720" spans="1:30" x14ac:dyDescent="0.25">
      <c r="A4720" t="s">
        <v>4744</v>
      </c>
      <c r="B4720" s="2">
        <v>44631</v>
      </c>
      <c r="C4720" s="2">
        <v>44638</v>
      </c>
      <c r="D4720" t="s">
        <v>5030</v>
      </c>
      <c r="E4720" t="s">
        <v>5530</v>
      </c>
      <c r="F4720" t="s">
        <v>6028</v>
      </c>
      <c r="G4720" t="s">
        <v>6030</v>
      </c>
      <c r="H4720" t="s">
        <v>6038</v>
      </c>
      <c r="I4720" t="s">
        <v>6051</v>
      </c>
      <c r="J4720" t="s">
        <v>6053</v>
      </c>
      <c r="K4720" t="s">
        <v>6058</v>
      </c>
      <c r="L4720" t="s">
        <v>9728</v>
      </c>
      <c r="M4720">
        <v>613.12</v>
      </c>
      <c r="N4720">
        <v>2</v>
      </c>
      <c r="O4720">
        <v>0.28999999999999998</v>
      </c>
      <c r="P4720">
        <v>-23.01</v>
      </c>
      <c r="Q4720" t="s">
        <v>9897</v>
      </c>
      <c r="R4720">
        <v>7</v>
      </c>
      <c r="S4720" s="5">
        <f t="shared" si="146"/>
        <v>-3.7529358037578293E-2</v>
      </c>
      <c r="T4720">
        <v>306.56</v>
      </c>
      <c r="U4720">
        <v>3</v>
      </c>
      <c r="V4720">
        <v>2022</v>
      </c>
      <c r="W4720">
        <v>1</v>
      </c>
      <c r="X4720" t="s">
        <v>9898</v>
      </c>
      <c r="Y4720" t="s">
        <v>9900</v>
      </c>
      <c r="Z4720" t="s">
        <v>9899</v>
      </c>
      <c r="AD4720">
        <f t="shared" si="147"/>
        <v>7</v>
      </c>
    </row>
    <row r="4721" spans="1:30" x14ac:dyDescent="0.25">
      <c r="A4721" t="s">
        <v>4745</v>
      </c>
      <c r="B4721" s="2">
        <v>45060</v>
      </c>
      <c r="C4721" s="2">
        <v>45063</v>
      </c>
      <c r="D4721" t="s">
        <v>5213</v>
      </c>
      <c r="E4721" t="s">
        <v>5713</v>
      </c>
      <c r="F4721" t="s">
        <v>6027</v>
      </c>
      <c r="G4721" t="s">
        <v>6030</v>
      </c>
      <c r="H4721" t="s">
        <v>6033</v>
      </c>
      <c r="I4721" t="s">
        <v>6047</v>
      </c>
      <c r="J4721" t="s">
        <v>6054</v>
      </c>
      <c r="K4721" t="s">
        <v>6060</v>
      </c>
      <c r="L4721" t="s">
        <v>9729</v>
      </c>
      <c r="M4721">
        <v>222.72</v>
      </c>
      <c r="N4721">
        <v>7</v>
      </c>
      <c r="O4721">
        <v>0.23</v>
      </c>
      <c r="P4721">
        <v>-23.82</v>
      </c>
      <c r="Q4721" t="s">
        <v>9893</v>
      </c>
      <c r="R4721">
        <v>3</v>
      </c>
      <c r="S4721" s="5">
        <f t="shared" si="146"/>
        <v>-0.10695043103448276</v>
      </c>
      <c r="T4721">
        <v>31.817142857142859</v>
      </c>
      <c r="U4721">
        <v>5</v>
      </c>
      <c r="V4721">
        <v>2023</v>
      </c>
      <c r="W4721">
        <v>2</v>
      </c>
      <c r="X4721" t="s">
        <v>9898</v>
      </c>
      <c r="Y4721" t="s">
        <v>9900</v>
      </c>
      <c r="Z4721" t="s">
        <v>9899</v>
      </c>
      <c r="AD4721">
        <f t="shared" si="147"/>
        <v>3</v>
      </c>
    </row>
    <row r="4722" spans="1:30" x14ac:dyDescent="0.25">
      <c r="A4722" t="s">
        <v>4746</v>
      </c>
      <c r="B4722" s="2">
        <v>44806</v>
      </c>
      <c r="C4722" s="2">
        <v>44810</v>
      </c>
      <c r="D4722" t="s">
        <v>5472</v>
      </c>
      <c r="E4722" t="s">
        <v>5972</v>
      </c>
      <c r="F4722" t="s">
        <v>6026</v>
      </c>
      <c r="G4722" t="s">
        <v>6031</v>
      </c>
      <c r="H4722" t="s">
        <v>6042</v>
      </c>
      <c r="I4722" t="s">
        <v>6048</v>
      </c>
      <c r="J4722" t="s">
        <v>6054</v>
      </c>
      <c r="K4722" t="s">
        <v>6059</v>
      </c>
      <c r="L4722" t="s">
        <v>9730</v>
      </c>
      <c r="M4722">
        <v>1688.57</v>
      </c>
      <c r="N4722">
        <v>4</v>
      </c>
      <c r="O4722">
        <v>0.2</v>
      </c>
      <c r="P4722">
        <v>154.74</v>
      </c>
      <c r="Q4722" t="s">
        <v>9895</v>
      </c>
      <c r="R4722">
        <v>4</v>
      </c>
      <c r="S4722" s="5">
        <f t="shared" si="146"/>
        <v>9.1639671437962311E-2</v>
      </c>
      <c r="T4722">
        <v>422.14249999999998</v>
      </c>
      <c r="U4722">
        <v>9</v>
      </c>
      <c r="V4722">
        <v>2022</v>
      </c>
      <c r="W4722">
        <v>3</v>
      </c>
      <c r="X4722" t="s">
        <v>9899</v>
      </c>
      <c r="Y4722" t="s">
        <v>9900</v>
      </c>
      <c r="Z4722" t="s">
        <v>9898</v>
      </c>
      <c r="AD4722">
        <f t="shared" si="147"/>
        <v>4</v>
      </c>
    </row>
    <row r="4723" spans="1:30" x14ac:dyDescent="0.25">
      <c r="A4723" t="s">
        <v>4747</v>
      </c>
      <c r="B4723" s="2">
        <v>45203</v>
      </c>
      <c r="C4723" s="2">
        <v>45208</v>
      </c>
      <c r="D4723" t="s">
        <v>5118</v>
      </c>
      <c r="E4723" t="s">
        <v>5618</v>
      </c>
      <c r="F4723" t="s">
        <v>6027</v>
      </c>
      <c r="G4723" t="s">
        <v>6031</v>
      </c>
      <c r="H4723" t="s">
        <v>6034</v>
      </c>
      <c r="I4723" t="s">
        <v>6048</v>
      </c>
      <c r="J4723" t="s">
        <v>6054</v>
      </c>
      <c r="K4723" t="s">
        <v>6059</v>
      </c>
      <c r="L4723" t="s">
        <v>9731</v>
      </c>
      <c r="M4723">
        <v>292.02</v>
      </c>
      <c r="N4723">
        <v>5</v>
      </c>
      <c r="O4723">
        <v>0.27</v>
      </c>
      <c r="P4723">
        <v>-42.45</v>
      </c>
      <c r="Q4723" t="s">
        <v>9895</v>
      </c>
      <c r="R4723">
        <v>5</v>
      </c>
      <c r="S4723" s="5">
        <f t="shared" si="146"/>
        <v>-0.1453667557016643</v>
      </c>
      <c r="T4723">
        <v>58.404000000000003</v>
      </c>
      <c r="U4723">
        <v>10</v>
      </c>
      <c r="V4723">
        <v>2023</v>
      </c>
      <c r="W4723">
        <v>4</v>
      </c>
      <c r="X4723" t="s">
        <v>9898</v>
      </c>
      <c r="Y4723" t="s">
        <v>9900</v>
      </c>
      <c r="Z4723" t="s">
        <v>9899</v>
      </c>
      <c r="AD4723">
        <f t="shared" si="147"/>
        <v>5</v>
      </c>
    </row>
    <row r="4724" spans="1:30" x14ac:dyDescent="0.25">
      <c r="A4724" t="s">
        <v>4748</v>
      </c>
      <c r="B4724" s="2">
        <v>44613</v>
      </c>
      <c r="C4724" s="2">
        <v>44617</v>
      </c>
      <c r="D4724" t="s">
        <v>5133</v>
      </c>
      <c r="E4724" t="s">
        <v>5633</v>
      </c>
      <c r="F4724" t="s">
        <v>6026</v>
      </c>
      <c r="G4724" t="s">
        <v>6029</v>
      </c>
      <c r="H4724" t="s">
        <v>6032</v>
      </c>
      <c r="I4724" t="s">
        <v>6046</v>
      </c>
      <c r="J4724" t="s">
        <v>6053</v>
      </c>
      <c r="K4724" t="s">
        <v>6057</v>
      </c>
      <c r="L4724" t="s">
        <v>6735</v>
      </c>
      <c r="M4724">
        <v>180.19</v>
      </c>
      <c r="N4724">
        <v>5</v>
      </c>
      <c r="O4724">
        <v>0.31</v>
      </c>
      <c r="P4724">
        <v>-34.32</v>
      </c>
      <c r="Q4724" t="s">
        <v>9893</v>
      </c>
      <c r="R4724">
        <v>4</v>
      </c>
      <c r="S4724" s="5">
        <f t="shared" si="146"/>
        <v>-0.19046561962373051</v>
      </c>
      <c r="T4724">
        <v>36.037999999999997</v>
      </c>
      <c r="U4724">
        <v>2</v>
      </c>
      <c r="V4724">
        <v>2022</v>
      </c>
      <c r="W4724">
        <v>1</v>
      </c>
      <c r="X4724" t="s">
        <v>9898</v>
      </c>
      <c r="Y4724" t="s">
        <v>9902</v>
      </c>
      <c r="Z4724" t="s">
        <v>9899</v>
      </c>
      <c r="AD4724">
        <f t="shared" si="147"/>
        <v>4</v>
      </c>
    </row>
    <row r="4725" spans="1:30" x14ac:dyDescent="0.25">
      <c r="A4725" t="s">
        <v>4749</v>
      </c>
      <c r="B4725" s="2">
        <v>45020</v>
      </c>
      <c r="C4725" s="2">
        <v>45023</v>
      </c>
      <c r="D4725" t="s">
        <v>5410</v>
      </c>
      <c r="E4725" t="s">
        <v>5910</v>
      </c>
      <c r="F4725" t="s">
        <v>6027</v>
      </c>
      <c r="G4725" t="s">
        <v>6029</v>
      </c>
      <c r="H4725" t="s">
        <v>6044</v>
      </c>
      <c r="I4725" t="s">
        <v>6049</v>
      </c>
      <c r="J4725" t="s">
        <v>6055</v>
      </c>
      <c r="K4725" t="s">
        <v>6061</v>
      </c>
      <c r="L4725" t="s">
        <v>9732</v>
      </c>
      <c r="M4725">
        <v>1616.94</v>
      </c>
      <c r="N4725">
        <v>6</v>
      </c>
      <c r="O4725">
        <v>0.12</v>
      </c>
      <c r="P4725">
        <v>243.74</v>
      </c>
      <c r="Q4725" t="s">
        <v>9897</v>
      </c>
      <c r="R4725">
        <v>3</v>
      </c>
      <c r="S4725" s="5">
        <f t="shared" si="146"/>
        <v>0.15074152411344885</v>
      </c>
      <c r="T4725">
        <v>269.49</v>
      </c>
      <c r="U4725">
        <v>4</v>
      </c>
      <c r="V4725">
        <v>2023</v>
      </c>
      <c r="W4725">
        <v>2</v>
      </c>
      <c r="X4725" t="s">
        <v>9899</v>
      </c>
      <c r="Y4725" t="s">
        <v>9901</v>
      </c>
      <c r="Z4725" t="s">
        <v>9898</v>
      </c>
      <c r="AD4725">
        <f t="shared" si="147"/>
        <v>3</v>
      </c>
    </row>
    <row r="4726" spans="1:30" x14ac:dyDescent="0.25">
      <c r="A4726" t="s">
        <v>4750</v>
      </c>
      <c r="B4726" s="2">
        <v>44757</v>
      </c>
      <c r="C4726" s="2">
        <v>44758</v>
      </c>
      <c r="D4726" t="s">
        <v>5146</v>
      </c>
      <c r="E4726" t="s">
        <v>5646</v>
      </c>
      <c r="F4726" t="s">
        <v>6027</v>
      </c>
      <c r="G4726" t="s">
        <v>6030</v>
      </c>
      <c r="H4726" t="s">
        <v>6039</v>
      </c>
      <c r="I4726" t="s">
        <v>6047</v>
      </c>
      <c r="J4726" t="s">
        <v>6054</v>
      </c>
      <c r="K4726" t="s">
        <v>6060</v>
      </c>
      <c r="L4726" t="s">
        <v>9733</v>
      </c>
      <c r="M4726">
        <v>639.16</v>
      </c>
      <c r="N4726">
        <v>3</v>
      </c>
      <c r="O4726">
        <v>0.25</v>
      </c>
      <c r="P4726">
        <v>-62.69</v>
      </c>
      <c r="Q4726" t="s">
        <v>9893</v>
      </c>
      <c r="R4726">
        <v>1</v>
      </c>
      <c r="S4726" s="5">
        <f t="shared" si="146"/>
        <v>-9.8081857437887235E-2</v>
      </c>
      <c r="T4726">
        <v>213.05333333333331</v>
      </c>
      <c r="U4726">
        <v>7</v>
      </c>
      <c r="V4726">
        <v>2022</v>
      </c>
      <c r="W4726">
        <v>3</v>
      </c>
      <c r="X4726" t="s">
        <v>9898</v>
      </c>
      <c r="Y4726" t="s">
        <v>9900</v>
      </c>
      <c r="Z4726" t="s">
        <v>9899</v>
      </c>
      <c r="AD4726">
        <f t="shared" si="147"/>
        <v>1</v>
      </c>
    </row>
    <row r="4727" spans="1:30" x14ac:dyDescent="0.25">
      <c r="A4727" t="s">
        <v>4751</v>
      </c>
      <c r="B4727" s="2">
        <v>45051</v>
      </c>
      <c r="C4727" s="2">
        <v>45055</v>
      </c>
      <c r="D4727" t="s">
        <v>5509</v>
      </c>
      <c r="E4727" t="s">
        <v>6009</v>
      </c>
      <c r="F4727" t="s">
        <v>6027</v>
      </c>
      <c r="G4727" t="s">
        <v>6029</v>
      </c>
      <c r="H4727" t="s">
        <v>6041</v>
      </c>
      <c r="I4727" t="s">
        <v>6049</v>
      </c>
      <c r="J4727" t="s">
        <v>6053</v>
      </c>
      <c r="K4727" t="s">
        <v>6057</v>
      </c>
      <c r="L4727" t="s">
        <v>9152</v>
      </c>
      <c r="M4727">
        <v>1623.08</v>
      </c>
      <c r="N4727">
        <v>4</v>
      </c>
      <c r="O4727">
        <v>0.17</v>
      </c>
      <c r="P4727">
        <v>-19.59</v>
      </c>
      <c r="Q4727" t="s">
        <v>9896</v>
      </c>
      <c r="R4727">
        <v>4</v>
      </c>
      <c r="S4727" s="5">
        <f t="shared" si="146"/>
        <v>-1.2069645365601202E-2</v>
      </c>
      <c r="T4727">
        <v>405.77</v>
      </c>
      <c r="U4727">
        <v>5</v>
      </c>
      <c r="V4727">
        <v>2023</v>
      </c>
      <c r="W4727">
        <v>2</v>
      </c>
      <c r="X4727" t="s">
        <v>9898</v>
      </c>
      <c r="Y4727" t="s">
        <v>9900</v>
      </c>
      <c r="Z4727" t="s">
        <v>9898</v>
      </c>
      <c r="AD4727">
        <f t="shared" si="147"/>
        <v>4</v>
      </c>
    </row>
    <row r="4728" spans="1:30" x14ac:dyDescent="0.25">
      <c r="A4728" t="s">
        <v>4752</v>
      </c>
      <c r="B4728" s="2">
        <v>45163</v>
      </c>
      <c r="C4728" s="2">
        <v>45169</v>
      </c>
      <c r="D4728" t="s">
        <v>5166</v>
      </c>
      <c r="E4728" t="s">
        <v>5666</v>
      </c>
      <c r="F4728" t="s">
        <v>6026</v>
      </c>
      <c r="G4728" t="s">
        <v>6031</v>
      </c>
      <c r="H4728" t="s">
        <v>6034</v>
      </c>
      <c r="I4728" t="s">
        <v>6052</v>
      </c>
      <c r="J4728" t="s">
        <v>6055</v>
      </c>
      <c r="K4728" t="s">
        <v>6064</v>
      </c>
      <c r="L4728" t="s">
        <v>9351</v>
      </c>
      <c r="M4728">
        <v>978.44</v>
      </c>
      <c r="N4728">
        <v>5</v>
      </c>
      <c r="O4728">
        <v>0.26</v>
      </c>
      <c r="P4728">
        <v>-68.72</v>
      </c>
      <c r="Q4728" t="s">
        <v>9895</v>
      </c>
      <c r="R4728">
        <v>6</v>
      </c>
      <c r="S4728" s="5">
        <f t="shared" si="146"/>
        <v>-7.0234250439475079E-2</v>
      </c>
      <c r="T4728">
        <v>195.68799999999999</v>
      </c>
      <c r="U4728">
        <v>8</v>
      </c>
      <c r="V4728">
        <v>2023</v>
      </c>
      <c r="W4728">
        <v>3</v>
      </c>
      <c r="X4728" t="s">
        <v>9898</v>
      </c>
      <c r="Y4728" t="s">
        <v>9900</v>
      </c>
      <c r="Z4728" t="s">
        <v>9899</v>
      </c>
      <c r="AD4728">
        <f t="shared" si="147"/>
        <v>6</v>
      </c>
    </row>
    <row r="4729" spans="1:30" x14ac:dyDescent="0.25">
      <c r="A4729" t="s">
        <v>4753</v>
      </c>
      <c r="B4729" s="2">
        <v>44891</v>
      </c>
      <c r="C4729" s="2">
        <v>44894</v>
      </c>
      <c r="D4729" t="s">
        <v>5076</v>
      </c>
      <c r="E4729" t="s">
        <v>5576</v>
      </c>
      <c r="F4729" t="s">
        <v>6028</v>
      </c>
      <c r="G4729" t="s">
        <v>6030</v>
      </c>
      <c r="H4729" t="s">
        <v>6035</v>
      </c>
      <c r="I4729" t="s">
        <v>6051</v>
      </c>
      <c r="J4729" t="s">
        <v>6055</v>
      </c>
      <c r="K4729" t="s">
        <v>6064</v>
      </c>
      <c r="L4729" t="s">
        <v>9734</v>
      </c>
      <c r="M4729">
        <v>922.27</v>
      </c>
      <c r="N4729">
        <v>2</v>
      </c>
      <c r="O4729">
        <v>0.21</v>
      </c>
      <c r="P4729">
        <v>52.02</v>
      </c>
      <c r="Q4729" t="s">
        <v>9896</v>
      </c>
      <c r="R4729">
        <v>3</v>
      </c>
      <c r="S4729" s="5">
        <f t="shared" si="146"/>
        <v>5.6404306764830263E-2</v>
      </c>
      <c r="T4729">
        <v>461.13499999999999</v>
      </c>
      <c r="U4729">
        <v>11</v>
      </c>
      <c r="V4729">
        <v>2022</v>
      </c>
      <c r="W4729">
        <v>4</v>
      </c>
      <c r="X4729" t="s">
        <v>9899</v>
      </c>
      <c r="Y4729" t="s">
        <v>9900</v>
      </c>
      <c r="Z4729" t="s">
        <v>9899</v>
      </c>
      <c r="AD4729">
        <f t="shared" si="147"/>
        <v>3</v>
      </c>
    </row>
    <row r="4730" spans="1:30" x14ac:dyDescent="0.25">
      <c r="A4730" t="s">
        <v>4754</v>
      </c>
      <c r="B4730" s="2">
        <v>45226</v>
      </c>
      <c r="C4730" s="2">
        <v>45227</v>
      </c>
      <c r="D4730" t="s">
        <v>5090</v>
      </c>
      <c r="E4730" t="s">
        <v>5590</v>
      </c>
      <c r="F4730" t="s">
        <v>6027</v>
      </c>
      <c r="G4730" t="s">
        <v>6030</v>
      </c>
      <c r="H4730" t="s">
        <v>6033</v>
      </c>
      <c r="I4730" t="s">
        <v>6047</v>
      </c>
      <c r="J4730" t="s">
        <v>6054</v>
      </c>
      <c r="K4730" t="s">
        <v>6062</v>
      </c>
      <c r="L4730" t="s">
        <v>7840</v>
      </c>
      <c r="M4730">
        <v>1997.21</v>
      </c>
      <c r="N4730">
        <v>5</v>
      </c>
      <c r="O4730">
        <v>0.32</v>
      </c>
      <c r="P4730">
        <v>-58.28</v>
      </c>
      <c r="Q4730" t="s">
        <v>9896</v>
      </c>
      <c r="R4730">
        <v>1</v>
      </c>
      <c r="S4730" s="5">
        <f t="shared" si="146"/>
        <v>-2.9180707086385507E-2</v>
      </c>
      <c r="T4730">
        <v>399.44200000000001</v>
      </c>
      <c r="U4730">
        <v>10</v>
      </c>
      <c r="V4730">
        <v>2023</v>
      </c>
      <c r="W4730">
        <v>4</v>
      </c>
      <c r="X4730" t="s">
        <v>9898</v>
      </c>
      <c r="Y4730" t="s">
        <v>9902</v>
      </c>
      <c r="Z4730" t="s">
        <v>9898</v>
      </c>
      <c r="AD4730">
        <f t="shared" si="147"/>
        <v>1</v>
      </c>
    </row>
    <row r="4731" spans="1:30" x14ac:dyDescent="0.25">
      <c r="A4731" t="s">
        <v>4755</v>
      </c>
      <c r="B4731" s="2">
        <v>45374</v>
      </c>
      <c r="C4731" s="2">
        <v>45378</v>
      </c>
      <c r="D4731" t="s">
        <v>5440</v>
      </c>
      <c r="E4731" t="s">
        <v>5940</v>
      </c>
      <c r="F4731" t="s">
        <v>6028</v>
      </c>
      <c r="G4731" t="s">
        <v>6029</v>
      </c>
      <c r="H4731" t="s">
        <v>6044</v>
      </c>
      <c r="I4731" t="s">
        <v>6050</v>
      </c>
      <c r="J4731" t="s">
        <v>6054</v>
      </c>
      <c r="K4731" t="s">
        <v>6060</v>
      </c>
      <c r="L4731" t="s">
        <v>9735</v>
      </c>
      <c r="M4731">
        <v>1493.97</v>
      </c>
      <c r="N4731">
        <v>2</v>
      </c>
      <c r="O4731">
        <v>0.08</v>
      </c>
      <c r="P4731">
        <v>205.85</v>
      </c>
      <c r="Q4731" t="s">
        <v>9896</v>
      </c>
      <c r="R4731">
        <v>4</v>
      </c>
      <c r="S4731" s="5">
        <f t="shared" si="146"/>
        <v>0.13778723803021478</v>
      </c>
      <c r="T4731">
        <v>746.98500000000001</v>
      </c>
      <c r="U4731">
        <v>3</v>
      </c>
      <c r="V4731">
        <v>2024</v>
      </c>
      <c r="W4731">
        <v>1</v>
      </c>
      <c r="X4731" t="s">
        <v>9899</v>
      </c>
      <c r="Y4731" t="s">
        <v>9901</v>
      </c>
      <c r="Z4731" t="s">
        <v>9898</v>
      </c>
      <c r="AD4731">
        <f t="shared" si="147"/>
        <v>4</v>
      </c>
    </row>
    <row r="4732" spans="1:30" x14ac:dyDescent="0.25">
      <c r="A4732" t="s">
        <v>4756</v>
      </c>
      <c r="B4732" s="2">
        <v>45156</v>
      </c>
      <c r="C4732" s="2">
        <v>45161</v>
      </c>
      <c r="D4732" t="s">
        <v>5464</v>
      </c>
      <c r="E4732" t="s">
        <v>5964</v>
      </c>
      <c r="F4732" t="s">
        <v>6027</v>
      </c>
      <c r="G4732" t="s">
        <v>6031</v>
      </c>
      <c r="H4732" t="s">
        <v>6040</v>
      </c>
      <c r="I4732" t="s">
        <v>6048</v>
      </c>
      <c r="J4732" t="s">
        <v>6055</v>
      </c>
      <c r="K4732" t="s">
        <v>6063</v>
      </c>
      <c r="L4732" t="s">
        <v>9341</v>
      </c>
      <c r="M4732">
        <v>1092.56</v>
      </c>
      <c r="N4732">
        <v>6</v>
      </c>
      <c r="O4732">
        <v>0.09</v>
      </c>
      <c r="P4732">
        <v>21.94</v>
      </c>
      <c r="Q4732" t="s">
        <v>9895</v>
      </c>
      <c r="R4732">
        <v>5</v>
      </c>
      <c r="S4732" s="5">
        <f t="shared" si="146"/>
        <v>2.0081277000805451E-2</v>
      </c>
      <c r="T4732">
        <v>182.09333333333331</v>
      </c>
      <c r="U4732">
        <v>8</v>
      </c>
      <c r="V4732">
        <v>2023</v>
      </c>
      <c r="W4732">
        <v>3</v>
      </c>
      <c r="X4732" t="s">
        <v>9899</v>
      </c>
      <c r="Y4732" t="s">
        <v>9901</v>
      </c>
      <c r="Z4732" t="s">
        <v>9898</v>
      </c>
      <c r="AD4732">
        <f t="shared" si="147"/>
        <v>5</v>
      </c>
    </row>
    <row r="4733" spans="1:30" x14ac:dyDescent="0.25">
      <c r="A4733" t="s">
        <v>4757</v>
      </c>
      <c r="B4733" s="2">
        <v>45243</v>
      </c>
      <c r="C4733" s="2">
        <v>45250</v>
      </c>
      <c r="D4733" t="s">
        <v>5433</v>
      </c>
      <c r="E4733" t="s">
        <v>5933</v>
      </c>
      <c r="F4733" t="s">
        <v>6027</v>
      </c>
      <c r="G4733" t="s">
        <v>6029</v>
      </c>
      <c r="H4733" t="s">
        <v>6041</v>
      </c>
      <c r="I4733" t="s">
        <v>6049</v>
      </c>
      <c r="J4733" t="s">
        <v>6053</v>
      </c>
      <c r="K4733" t="s">
        <v>6057</v>
      </c>
      <c r="L4733" t="s">
        <v>9736</v>
      </c>
      <c r="M4733">
        <v>1231.3</v>
      </c>
      <c r="N4733">
        <v>4</v>
      </c>
      <c r="O4733">
        <v>0.27</v>
      </c>
      <c r="P4733">
        <v>-201.75</v>
      </c>
      <c r="Q4733" t="s">
        <v>9895</v>
      </c>
      <c r="R4733">
        <v>7</v>
      </c>
      <c r="S4733" s="5">
        <f t="shared" si="146"/>
        <v>-0.16385121416389184</v>
      </c>
      <c r="T4733">
        <v>307.82499999999999</v>
      </c>
      <c r="U4733">
        <v>11</v>
      </c>
      <c r="V4733">
        <v>2023</v>
      </c>
      <c r="W4733">
        <v>4</v>
      </c>
      <c r="X4733" t="s">
        <v>9898</v>
      </c>
      <c r="Y4733" t="s">
        <v>9900</v>
      </c>
      <c r="Z4733" t="s">
        <v>9898</v>
      </c>
      <c r="AD4733">
        <f t="shared" si="147"/>
        <v>7</v>
      </c>
    </row>
    <row r="4734" spans="1:30" x14ac:dyDescent="0.25">
      <c r="A4734" t="s">
        <v>4758</v>
      </c>
      <c r="B4734" s="2">
        <v>44760</v>
      </c>
      <c r="C4734" s="2">
        <v>44763</v>
      </c>
      <c r="D4734" t="s">
        <v>5478</v>
      </c>
      <c r="E4734" t="s">
        <v>5978</v>
      </c>
      <c r="F4734" t="s">
        <v>6027</v>
      </c>
      <c r="G4734" t="s">
        <v>6030</v>
      </c>
      <c r="H4734" t="s">
        <v>6033</v>
      </c>
      <c r="I4734" t="s">
        <v>6051</v>
      </c>
      <c r="J4734" t="s">
        <v>6055</v>
      </c>
      <c r="K4734" t="s">
        <v>6063</v>
      </c>
      <c r="L4734" t="s">
        <v>9559</v>
      </c>
      <c r="M4734">
        <v>951.79</v>
      </c>
      <c r="N4734">
        <v>5</v>
      </c>
      <c r="O4734">
        <v>0.31</v>
      </c>
      <c r="P4734">
        <v>-165.22</v>
      </c>
      <c r="Q4734" t="s">
        <v>9894</v>
      </c>
      <c r="R4734">
        <v>3</v>
      </c>
      <c r="S4734" s="5">
        <f t="shared" si="146"/>
        <v>-0.17358871179566923</v>
      </c>
      <c r="T4734">
        <v>190.358</v>
      </c>
      <c r="U4734">
        <v>7</v>
      </c>
      <c r="V4734">
        <v>2022</v>
      </c>
      <c r="W4734">
        <v>3</v>
      </c>
      <c r="X4734" t="s">
        <v>9898</v>
      </c>
      <c r="Y4734" t="s">
        <v>9902</v>
      </c>
      <c r="Z4734" t="s">
        <v>9899</v>
      </c>
      <c r="AD4734">
        <f t="shared" si="147"/>
        <v>3</v>
      </c>
    </row>
    <row r="4735" spans="1:30" x14ac:dyDescent="0.25">
      <c r="A4735" t="s">
        <v>4759</v>
      </c>
      <c r="B4735" s="2">
        <v>45131</v>
      </c>
      <c r="C4735" s="2">
        <v>45135</v>
      </c>
      <c r="D4735" t="s">
        <v>5482</v>
      </c>
      <c r="E4735" t="s">
        <v>5982</v>
      </c>
      <c r="F4735" t="s">
        <v>6027</v>
      </c>
      <c r="G4735" t="s">
        <v>6030</v>
      </c>
      <c r="H4735" t="s">
        <v>6033</v>
      </c>
      <c r="I4735" t="s">
        <v>6051</v>
      </c>
      <c r="J4735" t="s">
        <v>6054</v>
      </c>
      <c r="K4735" t="s">
        <v>6059</v>
      </c>
      <c r="L4735" t="s">
        <v>9737</v>
      </c>
      <c r="M4735">
        <v>1150.5999999999999</v>
      </c>
      <c r="N4735">
        <v>1</v>
      </c>
      <c r="O4735">
        <v>0.01</v>
      </c>
      <c r="P4735">
        <v>232.68</v>
      </c>
      <c r="Q4735" t="s">
        <v>9893</v>
      </c>
      <c r="R4735">
        <v>4</v>
      </c>
      <c r="S4735" s="5">
        <f t="shared" si="146"/>
        <v>0.20222492612549975</v>
      </c>
      <c r="T4735">
        <v>1150.5999999999999</v>
      </c>
      <c r="U4735">
        <v>7</v>
      </c>
      <c r="V4735">
        <v>2023</v>
      </c>
      <c r="W4735">
        <v>3</v>
      </c>
      <c r="X4735" t="s">
        <v>9899</v>
      </c>
      <c r="Y4735" t="s">
        <v>9901</v>
      </c>
      <c r="Z4735" t="s">
        <v>9898</v>
      </c>
      <c r="AD4735">
        <f t="shared" si="147"/>
        <v>4</v>
      </c>
    </row>
    <row r="4736" spans="1:30" x14ac:dyDescent="0.25">
      <c r="A4736" t="s">
        <v>4760</v>
      </c>
      <c r="B4736" s="2">
        <v>44955</v>
      </c>
      <c r="C4736" s="2">
        <v>44958</v>
      </c>
      <c r="D4736" t="s">
        <v>5439</v>
      </c>
      <c r="E4736" t="s">
        <v>5939</v>
      </c>
      <c r="F4736" t="s">
        <v>6028</v>
      </c>
      <c r="G4736" t="s">
        <v>6029</v>
      </c>
      <c r="H4736" t="s">
        <v>6032</v>
      </c>
      <c r="I4736" t="s">
        <v>6046</v>
      </c>
      <c r="J4736" t="s">
        <v>6053</v>
      </c>
      <c r="K4736" t="s">
        <v>6057</v>
      </c>
      <c r="L4736" t="s">
        <v>9738</v>
      </c>
      <c r="M4736">
        <v>256.08999999999997</v>
      </c>
      <c r="N4736">
        <v>1</v>
      </c>
      <c r="O4736">
        <v>0.27</v>
      </c>
      <c r="P4736">
        <v>-20.43</v>
      </c>
      <c r="Q4736" t="s">
        <v>9897</v>
      </c>
      <c r="R4736">
        <v>3</v>
      </c>
      <c r="S4736" s="5">
        <f t="shared" si="146"/>
        <v>-7.9776641024639786E-2</v>
      </c>
      <c r="T4736">
        <v>256.08999999999997</v>
      </c>
      <c r="U4736">
        <v>1</v>
      </c>
      <c r="V4736">
        <v>2023</v>
      </c>
      <c r="W4736">
        <v>1</v>
      </c>
      <c r="X4736" t="s">
        <v>9898</v>
      </c>
      <c r="Y4736" t="s">
        <v>9900</v>
      </c>
      <c r="Z4736" t="s">
        <v>9899</v>
      </c>
      <c r="AD4736">
        <f t="shared" si="147"/>
        <v>3</v>
      </c>
    </row>
    <row r="4737" spans="1:30" x14ac:dyDescent="0.25">
      <c r="A4737" t="s">
        <v>4761</v>
      </c>
      <c r="B4737" s="2">
        <v>44766</v>
      </c>
      <c r="C4737" s="2">
        <v>44768</v>
      </c>
      <c r="D4737" t="s">
        <v>5489</v>
      </c>
      <c r="E4737" t="s">
        <v>5989</v>
      </c>
      <c r="F4737" t="s">
        <v>6026</v>
      </c>
      <c r="G4737" t="s">
        <v>6030</v>
      </c>
      <c r="H4737" t="s">
        <v>6038</v>
      </c>
      <c r="I4737" t="s">
        <v>6047</v>
      </c>
      <c r="J4737" t="s">
        <v>6055</v>
      </c>
      <c r="K4737" t="s">
        <v>6061</v>
      </c>
      <c r="L4737" t="s">
        <v>9739</v>
      </c>
      <c r="M4737">
        <v>623.89</v>
      </c>
      <c r="N4737">
        <v>4</v>
      </c>
      <c r="O4737">
        <v>0.17</v>
      </c>
      <c r="P4737">
        <v>41.15</v>
      </c>
      <c r="Q4737" t="s">
        <v>9896</v>
      </c>
      <c r="R4737">
        <v>2</v>
      </c>
      <c r="S4737" s="5">
        <f t="shared" si="146"/>
        <v>6.5957139880427645E-2</v>
      </c>
      <c r="T4737">
        <v>155.9725</v>
      </c>
      <c r="U4737">
        <v>7</v>
      </c>
      <c r="V4737">
        <v>2022</v>
      </c>
      <c r="W4737">
        <v>3</v>
      </c>
      <c r="X4737" t="s">
        <v>9899</v>
      </c>
      <c r="Y4737" t="s">
        <v>9900</v>
      </c>
      <c r="Z4737" t="s">
        <v>9899</v>
      </c>
      <c r="AD4737">
        <f t="shared" si="147"/>
        <v>2</v>
      </c>
    </row>
    <row r="4738" spans="1:30" x14ac:dyDescent="0.25">
      <c r="A4738" t="s">
        <v>4762</v>
      </c>
      <c r="B4738" s="2">
        <v>44769</v>
      </c>
      <c r="C4738" s="2">
        <v>44776</v>
      </c>
      <c r="D4738" t="s">
        <v>5145</v>
      </c>
      <c r="E4738" t="s">
        <v>5645</v>
      </c>
      <c r="F4738" t="s">
        <v>6027</v>
      </c>
      <c r="G4738" t="s">
        <v>6029</v>
      </c>
      <c r="H4738" t="s">
        <v>6045</v>
      </c>
      <c r="I4738" t="s">
        <v>6049</v>
      </c>
      <c r="J4738" t="s">
        <v>6053</v>
      </c>
      <c r="K4738" t="s">
        <v>6056</v>
      </c>
      <c r="L4738" t="s">
        <v>9574</v>
      </c>
      <c r="M4738">
        <v>1522.29</v>
      </c>
      <c r="N4738">
        <v>8</v>
      </c>
      <c r="O4738">
        <v>0.21</v>
      </c>
      <c r="P4738">
        <v>-66.069999999999993</v>
      </c>
      <c r="Q4738" t="s">
        <v>9893</v>
      </c>
      <c r="R4738">
        <v>7</v>
      </c>
      <c r="S4738" s="5">
        <f t="shared" si="146"/>
        <v>-4.3401717149820336E-2</v>
      </c>
      <c r="T4738">
        <v>190.28625</v>
      </c>
      <c r="U4738">
        <v>7</v>
      </c>
      <c r="V4738">
        <v>2022</v>
      </c>
      <c r="W4738">
        <v>3</v>
      </c>
      <c r="X4738" t="s">
        <v>9898</v>
      </c>
      <c r="Y4738" t="s">
        <v>9900</v>
      </c>
      <c r="Z4738" t="s">
        <v>9898</v>
      </c>
      <c r="AD4738">
        <f t="shared" si="147"/>
        <v>7</v>
      </c>
    </row>
    <row r="4739" spans="1:30" x14ac:dyDescent="0.25">
      <c r="A4739" t="s">
        <v>4763</v>
      </c>
      <c r="B4739" s="2">
        <v>44748</v>
      </c>
      <c r="C4739" s="2">
        <v>44753</v>
      </c>
      <c r="D4739" t="s">
        <v>5189</v>
      </c>
      <c r="E4739" t="s">
        <v>5689</v>
      </c>
      <c r="F4739" t="s">
        <v>6027</v>
      </c>
      <c r="G4739" t="s">
        <v>6029</v>
      </c>
      <c r="H4739" t="s">
        <v>6032</v>
      </c>
      <c r="I4739" t="s">
        <v>6049</v>
      </c>
      <c r="J4739" t="s">
        <v>6055</v>
      </c>
      <c r="K4739" t="s">
        <v>6061</v>
      </c>
      <c r="L4739" t="s">
        <v>7920</v>
      </c>
      <c r="M4739">
        <v>524.15</v>
      </c>
      <c r="N4739">
        <v>8</v>
      </c>
      <c r="O4739">
        <v>0.05</v>
      </c>
      <c r="P4739">
        <v>126.46</v>
      </c>
      <c r="Q4739" t="s">
        <v>9893</v>
      </c>
      <c r="R4739">
        <v>5</v>
      </c>
      <c r="S4739" s="5">
        <f t="shared" ref="S4739:S4802" si="148">P4739/M4739</f>
        <v>0.24126681293522848</v>
      </c>
      <c r="T4739">
        <v>65.518749999999997</v>
      </c>
      <c r="U4739">
        <v>7</v>
      </c>
      <c r="V4739">
        <v>2022</v>
      </c>
      <c r="W4739">
        <v>3</v>
      </c>
      <c r="X4739" t="s">
        <v>9899</v>
      </c>
      <c r="Y4739" t="s">
        <v>9901</v>
      </c>
      <c r="Z4739" t="s">
        <v>9899</v>
      </c>
      <c r="AD4739">
        <f t="shared" ref="AD4739:AD4802" si="149">C4739-B4739</f>
        <v>5</v>
      </c>
    </row>
    <row r="4740" spans="1:30" x14ac:dyDescent="0.25">
      <c r="A4740" t="s">
        <v>4764</v>
      </c>
      <c r="B4740" s="2">
        <v>44899</v>
      </c>
      <c r="C4740" s="2">
        <v>44904</v>
      </c>
      <c r="D4740" t="s">
        <v>5300</v>
      </c>
      <c r="E4740" t="s">
        <v>5800</v>
      </c>
      <c r="F4740" t="s">
        <v>6026</v>
      </c>
      <c r="G4740" t="s">
        <v>6031</v>
      </c>
      <c r="H4740" t="s">
        <v>6034</v>
      </c>
      <c r="I4740" t="s">
        <v>6050</v>
      </c>
      <c r="J4740" t="s">
        <v>6054</v>
      </c>
      <c r="K4740" t="s">
        <v>6062</v>
      </c>
      <c r="L4740" t="s">
        <v>9740</v>
      </c>
      <c r="M4740">
        <v>1302.18</v>
      </c>
      <c r="N4740">
        <v>6</v>
      </c>
      <c r="O4740">
        <v>0</v>
      </c>
      <c r="P4740">
        <v>181.68</v>
      </c>
      <c r="Q4740" t="s">
        <v>9894</v>
      </c>
      <c r="R4740">
        <v>5</v>
      </c>
      <c r="S4740" s="5">
        <f t="shared" si="148"/>
        <v>0.13951988204395704</v>
      </c>
      <c r="T4740">
        <v>217.03</v>
      </c>
      <c r="U4740">
        <v>12</v>
      </c>
      <c r="V4740">
        <v>2022</v>
      </c>
      <c r="W4740">
        <v>4</v>
      </c>
      <c r="X4740" t="s">
        <v>9899</v>
      </c>
      <c r="Y4740" t="s">
        <v>9901</v>
      </c>
      <c r="Z4740" t="s">
        <v>9898</v>
      </c>
      <c r="AD4740">
        <f t="shared" si="149"/>
        <v>5</v>
      </c>
    </row>
    <row r="4741" spans="1:30" x14ac:dyDescent="0.25">
      <c r="A4741" t="s">
        <v>4765</v>
      </c>
      <c r="B4741" s="2">
        <v>45142</v>
      </c>
      <c r="C4741" s="2">
        <v>45143</v>
      </c>
      <c r="D4741" t="s">
        <v>5138</v>
      </c>
      <c r="E4741" t="s">
        <v>5638</v>
      </c>
      <c r="F4741" t="s">
        <v>6026</v>
      </c>
      <c r="G4741" t="s">
        <v>6031</v>
      </c>
      <c r="H4741" t="s">
        <v>6042</v>
      </c>
      <c r="I4741" t="s">
        <v>6052</v>
      </c>
      <c r="J4741" t="s">
        <v>6053</v>
      </c>
      <c r="K4741" t="s">
        <v>6058</v>
      </c>
      <c r="L4741" t="s">
        <v>7325</v>
      </c>
      <c r="M4741">
        <v>1961.77</v>
      </c>
      <c r="N4741">
        <v>6</v>
      </c>
      <c r="O4741">
        <v>7.0000000000000007E-2</v>
      </c>
      <c r="P4741">
        <v>153.24</v>
      </c>
      <c r="Q4741" t="s">
        <v>9893</v>
      </c>
      <c r="R4741">
        <v>1</v>
      </c>
      <c r="S4741" s="5">
        <f t="shared" si="148"/>
        <v>7.8113132528278034E-2</v>
      </c>
      <c r="T4741">
        <v>326.96166666666659</v>
      </c>
      <c r="U4741">
        <v>8</v>
      </c>
      <c r="V4741">
        <v>2023</v>
      </c>
      <c r="W4741">
        <v>3</v>
      </c>
      <c r="X4741" t="s">
        <v>9899</v>
      </c>
      <c r="Y4741" t="s">
        <v>9901</v>
      </c>
      <c r="Z4741" t="s">
        <v>9898</v>
      </c>
      <c r="AD4741">
        <f t="shared" si="149"/>
        <v>1</v>
      </c>
    </row>
    <row r="4742" spans="1:30" x14ac:dyDescent="0.25">
      <c r="A4742" t="s">
        <v>4766</v>
      </c>
      <c r="B4742" s="2">
        <v>45124</v>
      </c>
      <c r="C4742" s="2">
        <v>45128</v>
      </c>
      <c r="D4742" t="s">
        <v>5440</v>
      </c>
      <c r="E4742" t="s">
        <v>5940</v>
      </c>
      <c r="F4742" t="s">
        <v>6028</v>
      </c>
      <c r="G4742" t="s">
        <v>6029</v>
      </c>
      <c r="H4742" t="s">
        <v>6045</v>
      </c>
      <c r="I4742" t="s">
        <v>6050</v>
      </c>
      <c r="J4742" t="s">
        <v>6053</v>
      </c>
      <c r="K4742" t="s">
        <v>6056</v>
      </c>
      <c r="L4742" t="s">
        <v>9741</v>
      </c>
      <c r="M4742">
        <v>859.66</v>
      </c>
      <c r="N4742">
        <v>2</v>
      </c>
      <c r="O4742">
        <v>0.05</v>
      </c>
      <c r="P4742">
        <v>92.33</v>
      </c>
      <c r="Q4742" t="s">
        <v>9897</v>
      </c>
      <c r="R4742">
        <v>4</v>
      </c>
      <c r="S4742" s="5">
        <f t="shared" si="148"/>
        <v>0.10740292673847801</v>
      </c>
      <c r="T4742">
        <v>429.83</v>
      </c>
      <c r="U4742">
        <v>7</v>
      </c>
      <c r="V4742">
        <v>2023</v>
      </c>
      <c r="W4742">
        <v>3</v>
      </c>
      <c r="X4742" t="s">
        <v>9899</v>
      </c>
      <c r="Y4742" t="s">
        <v>9901</v>
      </c>
      <c r="Z4742" t="s">
        <v>9899</v>
      </c>
      <c r="AD4742">
        <f t="shared" si="149"/>
        <v>4</v>
      </c>
    </row>
    <row r="4743" spans="1:30" x14ac:dyDescent="0.25">
      <c r="A4743" t="s">
        <v>4767</v>
      </c>
      <c r="B4743" s="2">
        <v>45204</v>
      </c>
      <c r="C4743" s="2">
        <v>45207</v>
      </c>
      <c r="D4743" t="s">
        <v>5050</v>
      </c>
      <c r="E4743" t="s">
        <v>5550</v>
      </c>
      <c r="F4743" t="s">
        <v>6028</v>
      </c>
      <c r="G4743" t="s">
        <v>6029</v>
      </c>
      <c r="H4743" t="s">
        <v>6032</v>
      </c>
      <c r="I4743" t="s">
        <v>6050</v>
      </c>
      <c r="J4743" t="s">
        <v>6055</v>
      </c>
      <c r="K4743" t="s">
        <v>6064</v>
      </c>
      <c r="L4743" t="s">
        <v>9742</v>
      </c>
      <c r="M4743">
        <v>221.21</v>
      </c>
      <c r="N4743">
        <v>5</v>
      </c>
      <c r="O4743">
        <v>0.05</v>
      </c>
      <c r="P4743">
        <v>53.88</v>
      </c>
      <c r="Q4743" t="s">
        <v>9897</v>
      </c>
      <c r="R4743">
        <v>3</v>
      </c>
      <c r="S4743" s="5">
        <f t="shared" si="148"/>
        <v>0.24356945888522219</v>
      </c>
      <c r="T4743">
        <v>44.241999999999997</v>
      </c>
      <c r="U4743">
        <v>10</v>
      </c>
      <c r="V4743">
        <v>2023</v>
      </c>
      <c r="W4743">
        <v>4</v>
      </c>
      <c r="X4743" t="s">
        <v>9899</v>
      </c>
      <c r="Y4743" t="s">
        <v>9901</v>
      </c>
      <c r="Z4743" t="s">
        <v>9899</v>
      </c>
      <c r="AD4743">
        <f t="shared" si="149"/>
        <v>3</v>
      </c>
    </row>
    <row r="4744" spans="1:30" x14ac:dyDescent="0.25">
      <c r="A4744" t="s">
        <v>4768</v>
      </c>
      <c r="B4744" s="2">
        <v>44684</v>
      </c>
      <c r="C4744" s="2">
        <v>44688</v>
      </c>
      <c r="D4744" t="s">
        <v>5404</v>
      </c>
      <c r="E4744" t="s">
        <v>5904</v>
      </c>
      <c r="F4744" t="s">
        <v>6027</v>
      </c>
      <c r="G4744" t="s">
        <v>6030</v>
      </c>
      <c r="H4744" t="s">
        <v>6038</v>
      </c>
      <c r="I4744" t="s">
        <v>6051</v>
      </c>
      <c r="J4744" t="s">
        <v>6055</v>
      </c>
      <c r="K4744" t="s">
        <v>6064</v>
      </c>
      <c r="L4744" t="s">
        <v>9743</v>
      </c>
      <c r="M4744">
        <v>745.35</v>
      </c>
      <c r="N4744">
        <v>4</v>
      </c>
      <c r="O4744">
        <v>0.14000000000000001</v>
      </c>
      <c r="P4744">
        <v>-6.25</v>
      </c>
      <c r="Q4744" t="s">
        <v>9893</v>
      </c>
      <c r="R4744">
        <v>4</v>
      </c>
      <c r="S4744" s="5">
        <f t="shared" si="148"/>
        <v>-8.3853223317904343E-3</v>
      </c>
      <c r="T4744">
        <v>186.33750000000001</v>
      </c>
      <c r="U4744">
        <v>5</v>
      </c>
      <c r="V4744">
        <v>2022</v>
      </c>
      <c r="W4744">
        <v>2</v>
      </c>
      <c r="X4744" t="s">
        <v>9898</v>
      </c>
      <c r="Y4744" t="s">
        <v>9901</v>
      </c>
      <c r="Z4744" t="s">
        <v>9899</v>
      </c>
      <c r="AD4744">
        <f t="shared" si="149"/>
        <v>4</v>
      </c>
    </row>
    <row r="4745" spans="1:30" x14ac:dyDescent="0.25">
      <c r="A4745" t="s">
        <v>4769</v>
      </c>
      <c r="B4745" s="2">
        <v>44981</v>
      </c>
      <c r="C4745" s="2">
        <v>44984</v>
      </c>
      <c r="D4745" t="s">
        <v>5486</v>
      </c>
      <c r="E4745" t="s">
        <v>5986</v>
      </c>
      <c r="F4745" t="s">
        <v>6027</v>
      </c>
      <c r="G4745" t="s">
        <v>6030</v>
      </c>
      <c r="H4745" t="s">
        <v>6038</v>
      </c>
      <c r="I4745" t="s">
        <v>6051</v>
      </c>
      <c r="J4745" t="s">
        <v>6055</v>
      </c>
      <c r="K4745" t="s">
        <v>6063</v>
      </c>
      <c r="L4745" t="s">
        <v>9744</v>
      </c>
      <c r="M4745">
        <v>1359.4</v>
      </c>
      <c r="N4745">
        <v>8</v>
      </c>
      <c r="O4745">
        <v>0.09</v>
      </c>
      <c r="P4745">
        <v>129.62</v>
      </c>
      <c r="Q4745" t="s">
        <v>9894</v>
      </c>
      <c r="R4745">
        <v>3</v>
      </c>
      <c r="S4745" s="5">
        <f t="shared" si="148"/>
        <v>9.5350890098572894E-2</v>
      </c>
      <c r="T4745">
        <v>169.92500000000001</v>
      </c>
      <c r="U4745">
        <v>2</v>
      </c>
      <c r="V4745">
        <v>2023</v>
      </c>
      <c r="W4745">
        <v>1</v>
      </c>
      <c r="X4745" t="s">
        <v>9899</v>
      </c>
      <c r="Y4745" t="s">
        <v>9901</v>
      </c>
      <c r="Z4745" t="s">
        <v>9898</v>
      </c>
      <c r="AD4745">
        <f t="shared" si="149"/>
        <v>3</v>
      </c>
    </row>
    <row r="4746" spans="1:30" x14ac:dyDescent="0.25">
      <c r="A4746" t="s">
        <v>4770</v>
      </c>
      <c r="B4746" s="2">
        <v>44926</v>
      </c>
      <c r="C4746" s="2">
        <v>44927</v>
      </c>
      <c r="D4746" t="s">
        <v>5211</v>
      </c>
      <c r="E4746" t="s">
        <v>5711</v>
      </c>
      <c r="F4746" t="s">
        <v>6027</v>
      </c>
      <c r="G4746" t="s">
        <v>6030</v>
      </c>
      <c r="H4746" t="s">
        <v>6033</v>
      </c>
      <c r="I4746" t="s">
        <v>6047</v>
      </c>
      <c r="J4746" t="s">
        <v>6053</v>
      </c>
      <c r="K4746" t="s">
        <v>6056</v>
      </c>
      <c r="L4746" t="s">
        <v>7320</v>
      </c>
      <c r="M4746">
        <v>1085.08</v>
      </c>
      <c r="N4746">
        <v>2</v>
      </c>
      <c r="O4746">
        <v>0.25</v>
      </c>
      <c r="P4746">
        <v>-80.680000000000007</v>
      </c>
      <c r="Q4746" t="s">
        <v>9897</v>
      </c>
      <c r="R4746">
        <v>1</v>
      </c>
      <c r="S4746" s="5">
        <f t="shared" si="148"/>
        <v>-7.4353964684631554E-2</v>
      </c>
      <c r="T4746">
        <v>542.54</v>
      </c>
      <c r="U4746">
        <v>12</v>
      </c>
      <c r="V4746">
        <v>2022</v>
      </c>
      <c r="W4746">
        <v>4</v>
      </c>
      <c r="X4746" t="s">
        <v>9898</v>
      </c>
      <c r="Y4746" t="s">
        <v>9900</v>
      </c>
      <c r="Z4746" t="s">
        <v>9898</v>
      </c>
      <c r="AD4746">
        <f t="shared" si="149"/>
        <v>1</v>
      </c>
    </row>
    <row r="4747" spans="1:30" x14ac:dyDescent="0.25">
      <c r="A4747" t="s">
        <v>4771</v>
      </c>
      <c r="B4747" s="2">
        <v>44839</v>
      </c>
      <c r="C4747" s="2">
        <v>44845</v>
      </c>
      <c r="D4747" t="s">
        <v>5466</v>
      </c>
      <c r="E4747" t="s">
        <v>5966</v>
      </c>
      <c r="F4747" t="s">
        <v>6027</v>
      </c>
      <c r="G4747" t="s">
        <v>6030</v>
      </c>
      <c r="H4747" t="s">
        <v>6038</v>
      </c>
      <c r="I4747" t="s">
        <v>6047</v>
      </c>
      <c r="J4747" t="s">
        <v>6054</v>
      </c>
      <c r="K4747" t="s">
        <v>6060</v>
      </c>
      <c r="L4747" t="s">
        <v>9745</v>
      </c>
      <c r="M4747">
        <v>1673.52</v>
      </c>
      <c r="N4747">
        <v>2</v>
      </c>
      <c r="O4747">
        <v>0.26</v>
      </c>
      <c r="P4747">
        <v>-191.31</v>
      </c>
      <c r="Q4747" t="s">
        <v>9894</v>
      </c>
      <c r="R4747">
        <v>6</v>
      </c>
      <c r="S4747" s="5">
        <f t="shared" si="148"/>
        <v>-0.11431593288398108</v>
      </c>
      <c r="T4747">
        <v>836.76</v>
      </c>
      <c r="U4747">
        <v>10</v>
      </c>
      <c r="V4747">
        <v>2022</v>
      </c>
      <c r="W4747">
        <v>4</v>
      </c>
      <c r="X4747" t="s">
        <v>9898</v>
      </c>
      <c r="Y4747" t="s">
        <v>9900</v>
      </c>
      <c r="Z4747" t="s">
        <v>9898</v>
      </c>
      <c r="AD4747">
        <f t="shared" si="149"/>
        <v>6</v>
      </c>
    </row>
    <row r="4748" spans="1:30" x14ac:dyDescent="0.25">
      <c r="A4748" t="s">
        <v>4772</v>
      </c>
      <c r="B4748" s="2">
        <v>45247</v>
      </c>
      <c r="C4748" s="2">
        <v>45253</v>
      </c>
      <c r="D4748" t="s">
        <v>5373</v>
      </c>
      <c r="E4748" t="s">
        <v>5873</v>
      </c>
      <c r="F4748" t="s">
        <v>6027</v>
      </c>
      <c r="G4748" t="s">
        <v>6031</v>
      </c>
      <c r="H4748" t="s">
        <v>6042</v>
      </c>
      <c r="I4748" t="s">
        <v>6048</v>
      </c>
      <c r="J4748" t="s">
        <v>6055</v>
      </c>
      <c r="K4748" t="s">
        <v>6063</v>
      </c>
      <c r="L4748" t="s">
        <v>9060</v>
      </c>
      <c r="M4748">
        <v>1222.0999999999999</v>
      </c>
      <c r="N4748">
        <v>2</v>
      </c>
      <c r="O4748">
        <v>0.02</v>
      </c>
      <c r="P4748">
        <v>137.25</v>
      </c>
      <c r="Q4748" t="s">
        <v>9893</v>
      </c>
      <c r="R4748">
        <v>6</v>
      </c>
      <c r="S4748" s="5">
        <f t="shared" si="148"/>
        <v>0.11230668521397595</v>
      </c>
      <c r="T4748">
        <v>611.04999999999995</v>
      </c>
      <c r="U4748">
        <v>11</v>
      </c>
      <c r="V4748">
        <v>2023</v>
      </c>
      <c r="W4748">
        <v>4</v>
      </c>
      <c r="X4748" t="s">
        <v>9899</v>
      </c>
      <c r="Y4748" t="s">
        <v>9901</v>
      </c>
      <c r="Z4748" t="s">
        <v>9898</v>
      </c>
      <c r="AD4748">
        <f t="shared" si="149"/>
        <v>6</v>
      </c>
    </row>
    <row r="4749" spans="1:30" x14ac:dyDescent="0.25">
      <c r="A4749" t="s">
        <v>4773</v>
      </c>
      <c r="B4749" s="2">
        <v>44895</v>
      </c>
      <c r="C4749" s="2">
        <v>44902</v>
      </c>
      <c r="D4749" t="s">
        <v>5494</v>
      </c>
      <c r="E4749" t="s">
        <v>5994</v>
      </c>
      <c r="F4749" t="s">
        <v>6026</v>
      </c>
      <c r="G4749" t="s">
        <v>6029</v>
      </c>
      <c r="H4749" t="s">
        <v>6032</v>
      </c>
      <c r="I4749" t="s">
        <v>6049</v>
      </c>
      <c r="J4749" t="s">
        <v>6054</v>
      </c>
      <c r="K4749" t="s">
        <v>6062</v>
      </c>
      <c r="L4749" t="s">
        <v>7914</v>
      </c>
      <c r="M4749">
        <v>1613.68</v>
      </c>
      <c r="N4749">
        <v>1</v>
      </c>
      <c r="O4749">
        <v>0.25</v>
      </c>
      <c r="P4749">
        <v>-216.03</v>
      </c>
      <c r="Q4749" t="s">
        <v>9893</v>
      </c>
      <c r="R4749">
        <v>7</v>
      </c>
      <c r="S4749" s="5">
        <f t="shared" si="148"/>
        <v>-0.13387412622081205</v>
      </c>
      <c r="T4749">
        <v>1613.68</v>
      </c>
      <c r="U4749">
        <v>11</v>
      </c>
      <c r="V4749">
        <v>2022</v>
      </c>
      <c r="W4749">
        <v>4</v>
      </c>
      <c r="X4749" t="s">
        <v>9898</v>
      </c>
      <c r="Y4749" t="s">
        <v>9900</v>
      </c>
      <c r="Z4749" t="s">
        <v>9898</v>
      </c>
      <c r="AD4749">
        <f t="shared" si="149"/>
        <v>7</v>
      </c>
    </row>
    <row r="4750" spans="1:30" x14ac:dyDescent="0.25">
      <c r="A4750" t="s">
        <v>4774</v>
      </c>
      <c r="B4750" s="2">
        <v>44887</v>
      </c>
      <c r="C4750" s="2">
        <v>44893</v>
      </c>
      <c r="D4750" t="s">
        <v>5105</v>
      </c>
      <c r="E4750" t="s">
        <v>5605</v>
      </c>
      <c r="F4750" t="s">
        <v>6027</v>
      </c>
      <c r="G4750" t="s">
        <v>6031</v>
      </c>
      <c r="H4750" t="s">
        <v>6040</v>
      </c>
      <c r="I4750" t="s">
        <v>6052</v>
      </c>
      <c r="J4750" t="s">
        <v>6053</v>
      </c>
      <c r="K4750" t="s">
        <v>6057</v>
      </c>
      <c r="L4750" t="s">
        <v>7884</v>
      </c>
      <c r="M4750">
        <v>1061.17</v>
      </c>
      <c r="N4750">
        <v>1</v>
      </c>
      <c r="O4750">
        <v>0.2</v>
      </c>
      <c r="P4750">
        <v>68.680000000000007</v>
      </c>
      <c r="Q4750" t="s">
        <v>9894</v>
      </c>
      <c r="R4750">
        <v>6</v>
      </c>
      <c r="S4750" s="5">
        <f t="shared" si="148"/>
        <v>6.4721015482910371E-2</v>
      </c>
      <c r="T4750">
        <v>1061.17</v>
      </c>
      <c r="U4750">
        <v>11</v>
      </c>
      <c r="V4750">
        <v>2022</v>
      </c>
      <c r="W4750">
        <v>4</v>
      </c>
      <c r="X4750" t="s">
        <v>9899</v>
      </c>
      <c r="Y4750" t="s">
        <v>9900</v>
      </c>
      <c r="Z4750" t="s">
        <v>9898</v>
      </c>
      <c r="AD4750">
        <f t="shared" si="149"/>
        <v>6</v>
      </c>
    </row>
    <row r="4751" spans="1:30" x14ac:dyDescent="0.25">
      <c r="A4751" t="s">
        <v>4775</v>
      </c>
      <c r="B4751" s="2">
        <v>44868</v>
      </c>
      <c r="C4751" s="2">
        <v>44871</v>
      </c>
      <c r="D4751" t="s">
        <v>5261</v>
      </c>
      <c r="E4751" t="s">
        <v>5761</v>
      </c>
      <c r="F4751" t="s">
        <v>6026</v>
      </c>
      <c r="G4751" t="s">
        <v>6029</v>
      </c>
      <c r="H4751" t="s">
        <v>6045</v>
      </c>
      <c r="I4751" t="s">
        <v>6050</v>
      </c>
      <c r="J4751" t="s">
        <v>6055</v>
      </c>
      <c r="K4751" t="s">
        <v>6064</v>
      </c>
      <c r="L4751" t="s">
        <v>9746</v>
      </c>
      <c r="M4751">
        <v>855.48</v>
      </c>
      <c r="N4751">
        <v>2</v>
      </c>
      <c r="O4751">
        <v>0.14000000000000001</v>
      </c>
      <c r="P4751">
        <v>130.56</v>
      </c>
      <c r="Q4751" t="s">
        <v>9895</v>
      </c>
      <c r="R4751">
        <v>3</v>
      </c>
      <c r="S4751" s="5">
        <f t="shared" si="148"/>
        <v>0.15261607518586057</v>
      </c>
      <c r="T4751">
        <v>427.74</v>
      </c>
      <c r="U4751">
        <v>11</v>
      </c>
      <c r="V4751">
        <v>2022</v>
      </c>
      <c r="W4751">
        <v>4</v>
      </c>
      <c r="X4751" t="s">
        <v>9899</v>
      </c>
      <c r="Y4751" t="s">
        <v>9901</v>
      </c>
      <c r="Z4751" t="s">
        <v>9899</v>
      </c>
      <c r="AD4751">
        <f t="shared" si="149"/>
        <v>3</v>
      </c>
    </row>
    <row r="4752" spans="1:30" x14ac:dyDescent="0.25">
      <c r="A4752" t="s">
        <v>4776</v>
      </c>
      <c r="B4752" s="2">
        <v>44676</v>
      </c>
      <c r="C4752" s="2">
        <v>44678</v>
      </c>
      <c r="D4752" t="s">
        <v>5047</v>
      </c>
      <c r="E4752" t="s">
        <v>5547</v>
      </c>
      <c r="F4752" t="s">
        <v>6028</v>
      </c>
      <c r="G4752" t="s">
        <v>6029</v>
      </c>
      <c r="H4752" t="s">
        <v>6036</v>
      </c>
      <c r="I4752" t="s">
        <v>6046</v>
      </c>
      <c r="J4752" t="s">
        <v>6055</v>
      </c>
      <c r="K4752" t="s">
        <v>6064</v>
      </c>
      <c r="L4752" t="s">
        <v>8500</v>
      </c>
      <c r="M4752">
        <v>969.32</v>
      </c>
      <c r="N4752">
        <v>6</v>
      </c>
      <c r="O4752">
        <v>0.26</v>
      </c>
      <c r="P4752">
        <v>-31.52</v>
      </c>
      <c r="Q4752" t="s">
        <v>9893</v>
      </c>
      <c r="R4752">
        <v>2</v>
      </c>
      <c r="S4752" s="5">
        <f t="shared" si="148"/>
        <v>-3.2517641233029339E-2</v>
      </c>
      <c r="T4752">
        <v>161.55333333333331</v>
      </c>
      <c r="U4752">
        <v>4</v>
      </c>
      <c r="V4752">
        <v>2022</v>
      </c>
      <c r="W4752">
        <v>2</v>
      </c>
      <c r="X4752" t="s">
        <v>9898</v>
      </c>
      <c r="Y4752" t="s">
        <v>9900</v>
      </c>
      <c r="Z4752" t="s">
        <v>9899</v>
      </c>
      <c r="AD4752">
        <f t="shared" si="149"/>
        <v>2</v>
      </c>
    </row>
    <row r="4753" spans="1:30" x14ac:dyDescent="0.25">
      <c r="A4753" t="s">
        <v>4777</v>
      </c>
      <c r="B4753" s="2">
        <v>45158</v>
      </c>
      <c r="C4753" s="2">
        <v>45163</v>
      </c>
      <c r="D4753" t="s">
        <v>5249</v>
      </c>
      <c r="E4753" t="s">
        <v>5749</v>
      </c>
      <c r="F4753" t="s">
        <v>6028</v>
      </c>
      <c r="G4753" t="s">
        <v>6030</v>
      </c>
      <c r="H4753" t="s">
        <v>6038</v>
      </c>
      <c r="I4753" t="s">
        <v>6047</v>
      </c>
      <c r="J4753" t="s">
        <v>6054</v>
      </c>
      <c r="K4753" t="s">
        <v>6060</v>
      </c>
      <c r="L4753" t="s">
        <v>9747</v>
      </c>
      <c r="M4753">
        <v>1797.14</v>
      </c>
      <c r="N4753">
        <v>3</v>
      </c>
      <c r="O4753">
        <v>0.25</v>
      </c>
      <c r="P4753">
        <v>9.89</v>
      </c>
      <c r="Q4753" t="s">
        <v>9897</v>
      </c>
      <c r="R4753">
        <v>5</v>
      </c>
      <c r="S4753" s="5">
        <f t="shared" si="148"/>
        <v>5.5031883993456269E-3</v>
      </c>
      <c r="T4753">
        <v>599.04666666666674</v>
      </c>
      <c r="U4753">
        <v>8</v>
      </c>
      <c r="V4753">
        <v>2023</v>
      </c>
      <c r="W4753">
        <v>3</v>
      </c>
      <c r="X4753" t="s">
        <v>9899</v>
      </c>
      <c r="Y4753" t="s">
        <v>9900</v>
      </c>
      <c r="Z4753" t="s">
        <v>9898</v>
      </c>
      <c r="AD4753">
        <f t="shared" si="149"/>
        <v>5</v>
      </c>
    </row>
    <row r="4754" spans="1:30" x14ac:dyDescent="0.25">
      <c r="A4754" t="s">
        <v>4778</v>
      </c>
      <c r="B4754" s="2">
        <v>44855</v>
      </c>
      <c r="C4754" s="2">
        <v>44859</v>
      </c>
      <c r="D4754" t="s">
        <v>5076</v>
      </c>
      <c r="E4754" t="s">
        <v>5576</v>
      </c>
      <c r="F4754" t="s">
        <v>6026</v>
      </c>
      <c r="G4754" t="s">
        <v>6031</v>
      </c>
      <c r="H4754" t="s">
        <v>6042</v>
      </c>
      <c r="I4754" t="s">
        <v>6048</v>
      </c>
      <c r="J4754" t="s">
        <v>6053</v>
      </c>
      <c r="K4754" t="s">
        <v>6057</v>
      </c>
      <c r="L4754" t="s">
        <v>9748</v>
      </c>
      <c r="M4754">
        <v>261.3</v>
      </c>
      <c r="N4754">
        <v>6</v>
      </c>
      <c r="O4754">
        <v>0.04</v>
      </c>
      <c r="P4754">
        <v>51.57</v>
      </c>
      <c r="Q4754" t="s">
        <v>9893</v>
      </c>
      <c r="R4754">
        <v>4</v>
      </c>
      <c r="S4754" s="5">
        <f t="shared" si="148"/>
        <v>0.19735935706084959</v>
      </c>
      <c r="T4754">
        <v>43.55</v>
      </c>
      <c r="U4754">
        <v>10</v>
      </c>
      <c r="V4754">
        <v>2022</v>
      </c>
      <c r="W4754">
        <v>4</v>
      </c>
      <c r="X4754" t="s">
        <v>9899</v>
      </c>
      <c r="Y4754" t="s">
        <v>9901</v>
      </c>
      <c r="Z4754" t="s">
        <v>9899</v>
      </c>
      <c r="AD4754">
        <f t="shared" si="149"/>
        <v>4</v>
      </c>
    </row>
    <row r="4755" spans="1:30" x14ac:dyDescent="0.25">
      <c r="A4755" t="s">
        <v>4779</v>
      </c>
      <c r="B4755" s="2">
        <v>44771</v>
      </c>
      <c r="C4755" s="2">
        <v>44776</v>
      </c>
      <c r="D4755" t="s">
        <v>5378</v>
      </c>
      <c r="E4755" t="s">
        <v>5878</v>
      </c>
      <c r="F4755" t="s">
        <v>6026</v>
      </c>
      <c r="G4755" t="s">
        <v>6029</v>
      </c>
      <c r="H4755" t="s">
        <v>6032</v>
      </c>
      <c r="I4755" t="s">
        <v>6049</v>
      </c>
      <c r="J4755" t="s">
        <v>6055</v>
      </c>
      <c r="K4755" t="s">
        <v>6064</v>
      </c>
      <c r="L4755" t="s">
        <v>9749</v>
      </c>
      <c r="M4755">
        <v>1708.1</v>
      </c>
      <c r="N4755">
        <v>4</v>
      </c>
      <c r="O4755">
        <v>0.12</v>
      </c>
      <c r="P4755">
        <v>-1.94</v>
      </c>
      <c r="Q4755" t="s">
        <v>9896</v>
      </c>
      <c r="R4755">
        <v>5</v>
      </c>
      <c r="S4755" s="5">
        <f t="shared" si="148"/>
        <v>-1.1357648849598971E-3</v>
      </c>
      <c r="T4755">
        <v>427.02499999999998</v>
      </c>
      <c r="U4755">
        <v>7</v>
      </c>
      <c r="V4755">
        <v>2022</v>
      </c>
      <c r="W4755">
        <v>3</v>
      </c>
      <c r="X4755" t="s">
        <v>9898</v>
      </c>
      <c r="Y4755" t="s">
        <v>9901</v>
      </c>
      <c r="Z4755" t="s">
        <v>9898</v>
      </c>
      <c r="AD4755">
        <f t="shared" si="149"/>
        <v>5</v>
      </c>
    </row>
    <row r="4756" spans="1:30" x14ac:dyDescent="0.25">
      <c r="A4756" t="s">
        <v>4780</v>
      </c>
      <c r="B4756" s="2">
        <v>44772</v>
      </c>
      <c r="C4756" s="2">
        <v>44777</v>
      </c>
      <c r="D4756" t="s">
        <v>5286</v>
      </c>
      <c r="E4756" t="s">
        <v>5786</v>
      </c>
      <c r="F4756" t="s">
        <v>6027</v>
      </c>
      <c r="G4756" t="s">
        <v>6030</v>
      </c>
      <c r="H4756" t="s">
        <v>6039</v>
      </c>
      <c r="I4756" t="s">
        <v>6047</v>
      </c>
      <c r="J4756" t="s">
        <v>6053</v>
      </c>
      <c r="K4756" t="s">
        <v>6058</v>
      </c>
      <c r="L4756" t="s">
        <v>9750</v>
      </c>
      <c r="M4756">
        <v>1277.0999999999999</v>
      </c>
      <c r="N4756">
        <v>8</v>
      </c>
      <c r="O4756">
        <v>0.09</v>
      </c>
      <c r="P4756">
        <v>151.79</v>
      </c>
      <c r="Q4756" t="s">
        <v>9894</v>
      </c>
      <c r="R4756">
        <v>5</v>
      </c>
      <c r="S4756" s="5">
        <f t="shared" si="148"/>
        <v>0.11885521885521885</v>
      </c>
      <c r="T4756">
        <v>159.63749999999999</v>
      </c>
      <c r="U4756">
        <v>7</v>
      </c>
      <c r="V4756">
        <v>2022</v>
      </c>
      <c r="W4756">
        <v>3</v>
      </c>
      <c r="X4756" t="s">
        <v>9899</v>
      </c>
      <c r="Y4756" t="s">
        <v>9901</v>
      </c>
      <c r="Z4756" t="s">
        <v>9898</v>
      </c>
      <c r="AD4756">
        <f t="shared" si="149"/>
        <v>5</v>
      </c>
    </row>
    <row r="4757" spans="1:30" x14ac:dyDescent="0.25">
      <c r="A4757" t="s">
        <v>4781</v>
      </c>
      <c r="B4757" s="2">
        <v>44895</v>
      </c>
      <c r="C4757" s="2">
        <v>44900</v>
      </c>
      <c r="D4757" t="s">
        <v>5463</v>
      </c>
      <c r="E4757" t="s">
        <v>5963</v>
      </c>
      <c r="F4757" t="s">
        <v>6028</v>
      </c>
      <c r="G4757" t="s">
        <v>6029</v>
      </c>
      <c r="H4757" t="s">
        <v>6041</v>
      </c>
      <c r="I4757" t="s">
        <v>6049</v>
      </c>
      <c r="J4757" t="s">
        <v>6054</v>
      </c>
      <c r="K4757" t="s">
        <v>6060</v>
      </c>
      <c r="L4757" t="s">
        <v>9671</v>
      </c>
      <c r="M4757">
        <v>642.28</v>
      </c>
      <c r="N4757">
        <v>3</v>
      </c>
      <c r="O4757">
        <v>0.02</v>
      </c>
      <c r="P4757">
        <v>122.84</v>
      </c>
      <c r="Q4757" t="s">
        <v>9896</v>
      </c>
      <c r="R4757">
        <v>5</v>
      </c>
      <c r="S4757" s="5">
        <f t="shared" si="148"/>
        <v>0.19125614996574705</v>
      </c>
      <c r="T4757">
        <v>214.09333333333331</v>
      </c>
      <c r="U4757">
        <v>11</v>
      </c>
      <c r="V4757">
        <v>2022</v>
      </c>
      <c r="W4757">
        <v>4</v>
      </c>
      <c r="X4757" t="s">
        <v>9899</v>
      </c>
      <c r="Y4757" t="s">
        <v>9901</v>
      </c>
      <c r="Z4757" t="s">
        <v>9899</v>
      </c>
      <c r="AD4757">
        <f t="shared" si="149"/>
        <v>5</v>
      </c>
    </row>
    <row r="4758" spans="1:30" x14ac:dyDescent="0.25">
      <c r="A4758" t="s">
        <v>4782</v>
      </c>
      <c r="B4758" s="2">
        <v>45291</v>
      </c>
      <c r="C4758" s="2">
        <v>45296</v>
      </c>
      <c r="D4758" t="s">
        <v>5350</v>
      </c>
      <c r="E4758" t="s">
        <v>5850</v>
      </c>
      <c r="F4758" t="s">
        <v>6028</v>
      </c>
      <c r="G4758" t="s">
        <v>6031</v>
      </c>
      <c r="H4758" t="s">
        <v>6043</v>
      </c>
      <c r="I4758" t="s">
        <v>6050</v>
      </c>
      <c r="J4758" t="s">
        <v>6054</v>
      </c>
      <c r="K4758" t="s">
        <v>6060</v>
      </c>
      <c r="L4758" t="s">
        <v>9751</v>
      </c>
      <c r="M4758">
        <v>455.39</v>
      </c>
      <c r="N4758">
        <v>8</v>
      </c>
      <c r="O4758">
        <v>0.13</v>
      </c>
      <c r="P4758">
        <v>54.85</v>
      </c>
      <c r="Q4758" t="s">
        <v>9893</v>
      </c>
      <c r="R4758">
        <v>5</v>
      </c>
      <c r="S4758" s="5">
        <f t="shared" si="148"/>
        <v>0.12044621094007335</v>
      </c>
      <c r="T4758">
        <v>56.923749999999998</v>
      </c>
      <c r="U4758">
        <v>12</v>
      </c>
      <c r="V4758">
        <v>2023</v>
      </c>
      <c r="W4758">
        <v>4</v>
      </c>
      <c r="X4758" t="s">
        <v>9899</v>
      </c>
      <c r="Y4758" t="s">
        <v>9901</v>
      </c>
      <c r="Z4758" t="s">
        <v>9899</v>
      </c>
      <c r="AD4758">
        <f t="shared" si="149"/>
        <v>5</v>
      </c>
    </row>
    <row r="4759" spans="1:30" x14ac:dyDescent="0.25">
      <c r="A4759" t="s">
        <v>4783</v>
      </c>
      <c r="B4759" s="2">
        <v>44828</v>
      </c>
      <c r="C4759" s="2">
        <v>44830</v>
      </c>
      <c r="D4759" t="s">
        <v>5285</v>
      </c>
      <c r="E4759" t="s">
        <v>5785</v>
      </c>
      <c r="F4759" t="s">
        <v>6027</v>
      </c>
      <c r="G4759" t="s">
        <v>6029</v>
      </c>
      <c r="H4759" t="s">
        <v>6041</v>
      </c>
      <c r="I4759" t="s">
        <v>6046</v>
      </c>
      <c r="J4759" t="s">
        <v>6054</v>
      </c>
      <c r="K4759" t="s">
        <v>6060</v>
      </c>
      <c r="L4759" t="s">
        <v>6125</v>
      </c>
      <c r="M4759">
        <v>651.99</v>
      </c>
      <c r="N4759">
        <v>2</v>
      </c>
      <c r="O4759">
        <v>0.17</v>
      </c>
      <c r="P4759">
        <v>84.36</v>
      </c>
      <c r="Q4759" t="s">
        <v>9894</v>
      </c>
      <c r="R4759">
        <v>2</v>
      </c>
      <c r="S4759" s="5">
        <f t="shared" si="148"/>
        <v>0.12938848755349008</v>
      </c>
      <c r="T4759">
        <v>325.995</v>
      </c>
      <c r="U4759">
        <v>9</v>
      </c>
      <c r="V4759">
        <v>2022</v>
      </c>
      <c r="W4759">
        <v>3</v>
      </c>
      <c r="X4759" t="s">
        <v>9899</v>
      </c>
      <c r="Y4759" t="s">
        <v>9900</v>
      </c>
      <c r="Z4759" t="s">
        <v>9899</v>
      </c>
      <c r="AD4759">
        <f t="shared" si="149"/>
        <v>2</v>
      </c>
    </row>
    <row r="4760" spans="1:30" x14ac:dyDescent="0.25">
      <c r="A4760" t="s">
        <v>4784</v>
      </c>
      <c r="B4760" s="2">
        <v>44868</v>
      </c>
      <c r="C4760" s="2">
        <v>44871</v>
      </c>
      <c r="D4760" t="s">
        <v>5469</v>
      </c>
      <c r="E4760" t="s">
        <v>5969</v>
      </c>
      <c r="F4760" t="s">
        <v>6028</v>
      </c>
      <c r="G4760" t="s">
        <v>6030</v>
      </c>
      <c r="H4760" t="s">
        <v>6033</v>
      </c>
      <c r="I4760" t="s">
        <v>6047</v>
      </c>
      <c r="J4760" t="s">
        <v>6055</v>
      </c>
      <c r="K4760" t="s">
        <v>6061</v>
      </c>
      <c r="L4760" t="s">
        <v>6478</v>
      </c>
      <c r="M4760">
        <v>959.18</v>
      </c>
      <c r="N4760">
        <v>3</v>
      </c>
      <c r="O4760">
        <v>0.25</v>
      </c>
      <c r="P4760">
        <v>-61.21</v>
      </c>
      <c r="Q4760" t="s">
        <v>9896</v>
      </c>
      <c r="R4760">
        <v>3</v>
      </c>
      <c r="S4760" s="5">
        <f t="shared" si="148"/>
        <v>-6.3814925248649887E-2</v>
      </c>
      <c r="T4760">
        <v>319.72666666666657</v>
      </c>
      <c r="U4760">
        <v>11</v>
      </c>
      <c r="V4760">
        <v>2022</v>
      </c>
      <c r="W4760">
        <v>4</v>
      </c>
      <c r="X4760" t="s">
        <v>9898</v>
      </c>
      <c r="Y4760" t="s">
        <v>9900</v>
      </c>
      <c r="Z4760" t="s">
        <v>9899</v>
      </c>
      <c r="AD4760">
        <f t="shared" si="149"/>
        <v>3</v>
      </c>
    </row>
    <row r="4761" spans="1:30" x14ac:dyDescent="0.25">
      <c r="A4761" t="s">
        <v>4785</v>
      </c>
      <c r="B4761" s="2">
        <v>44679</v>
      </c>
      <c r="C4761" s="2">
        <v>44680</v>
      </c>
      <c r="D4761" t="s">
        <v>5302</v>
      </c>
      <c r="E4761" t="s">
        <v>5802</v>
      </c>
      <c r="F4761" t="s">
        <v>6028</v>
      </c>
      <c r="G4761" t="s">
        <v>6029</v>
      </c>
      <c r="H4761" t="s">
        <v>6036</v>
      </c>
      <c r="I4761" t="s">
        <v>6046</v>
      </c>
      <c r="J4761" t="s">
        <v>6054</v>
      </c>
      <c r="K4761" t="s">
        <v>6062</v>
      </c>
      <c r="L4761" t="s">
        <v>7742</v>
      </c>
      <c r="M4761">
        <v>1261.8800000000001</v>
      </c>
      <c r="N4761">
        <v>7</v>
      </c>
      <c r="O4761">
        <v>0.16</v>
      </c>
      <c r="P4761">
        <v>-13.39</v>
      </c>
      <c r="Q4761" t="s">
        <v>9895</v>
      </c>
      <c r="R4761">
        <v>1</v>
      </c>
      <c r="S4761" s="5">
        <f t="shared" si="148"/>
        <v>-1.0611151615050558E-2</v>
      </c>
      <c r="T4761">
        <v>180.26857142857139</v>
      </c>
      <c r="U4761">
        <v>4</v>
      </c>
      <c r="V4761">
        <v>2022</v>
      </c>
      <c r="W4761">
        <v>2</v>
      </c>
      <c r="X4761" t="s">
        <v>9898</v>
      </c>
      <c r="Y4761" t="s">
        <v>9900</v>
      </c>
      <c r="Z4761" t="s">
        <v>9898</v>
      </c>
      <c r="AD4761">
        <f t="shared" si="149"/>
        <v>1</v>
      </c>
    </row>
    <row r="4762" spans="1:30" x14ac:dyDescent="0.25">
      <c r="A4762" t="s">
        <v>4786</v>
      </c>
      <c r="B4762" s="2">
        <v>44631</v>
      </c>
      <c r="C4762" s="2">
        <v>44634</v>
      </c>
      <c r="D4762" t="s">
        <v>5342</v>
      </c>
      <c r="E4762" t="s">
        <v>5842</v>
      </c>
      <c r="F4762" t="s">
        <v>6026</v>
      </c>
      <c r="G4762" t="s">
        <v>6031</v>
      </c>
      <c r="H4762" t="s">
        <v>6034</v>
      </c>
      <c r="I4762" t="s">
        <v>6048</v>
      </c>
      <c r="J4762" t="s">
        <v>6055</v>
      </c>
      <c r="K4762" t="s">
        <v>6061</v>
      </c>
      <c r="L4762" t="s">
        <v>9752</v>
      </c>
      <c r="M4762">
        <v>268.89</v>
      </c>
      <c r="N4762">
        <v>4</v>
      </c>
      <c r="O4762">
        <v>0.34</v>
      </c>
      <c r="P4762">
        <v>-31.26</v>
      </c>
      <c r="Q4762" t="s">
        <v>9897</v>
      </c>
      <c r="R4762">
        <v>3</v>
      </c>
      <c r="S4762" s="5">
        <f t="shared" si="148"/>
        <v>-0.11625571795157873</v>
      </c>
      <c r="T4762">
        <v>67.222499999999997</v>
      </c>
      <c r="U4762">
        <v>3</v>
      </c>
      <c r="V4762">
        <v>2022</v>
      </c>
      <c r="W4762">
        <v>1</v>
      </c>
      <c r="X4762" t="s">
        <v>9898</v>
      </c>
      <c r="Y4762" t="s">
        <v>9902</v>
      </c>
      <c r="Z4762" t="s">
        <v>9899</v>
      </c>
      <c r="AD4762">
        <f t="shared" si="149"/>
        <v>3</v>
      </c>
    </row>
    <row r="4763" spans="1:30" x14ac:dyDescent="0.25">
      <c r="A4763" t="s">
        <v>4787</v>
      </c>
      <c r="B4763" s="2">
        <v>45086</v>
      </c>
      <c r="C4763" s="2">
        <v>45088</v>
      </c>
      <c r="D4763" t="s">
        <v>5096</v>
      </c>
      <c r="E4763" t="s">
        <v>5596</v>
      </c>
      <c r="F4763" t="s">
        <v>6026</v>
      </c>
      <c r="G4763" t="s">
        <v>6030</v>
      </c>
      <c r="H4763" t="s">
        <v>6039</v>
      </c>
      <c r="I4763" t="s">
        <v>6051</v>
      </c>
      <c r="J4763" t="s">
        <v>6054</v>
      </c>
      <c r="K4763" t="s">
        <v>6062</v>
      </c>
      <c r="L4763" t="s">
        <v>6118</v>
      </c>
      <c r="M4763">
        <v>1987.51</v>
      </c>
      <c r="N4763">
        <v>3</v>
      </c>
      <c r="O4763">
        <v>0.06</v>
      </c>
      <c r="P4763">
        <v>372.14</v>
      </c>
      <c r="Q4763" t="s">
        <v>9893</v>
      </c>
      <c r="R4763">
        <v>2</v>
      </c>
      <c r="S4763" s="5">
        <f t="shared" si="148"/>
        <v>0.187239309487751</v>
      </c>
      <c r="T4763">
        <v>662.50333333333333</v>
      </c>
      <c r="U4763">
        <v>6</v>
      </c>
      <c r="V4763">
        <v>2023</v>
      </c>
      <c r="W4763">
        <v>2</v>
      </c>
      <c r="X4763" t="s">
        <v>9899</v>
      </c>
      <c r="Y4763" t="s">
        <v>9901</v>
      </c>
      <c r="Z4763" t="s">
        <v>9898</v>
      </c>
      <c r="AD4763">
        <f t="shared" si="149"/>
        <v>2</v>
      </c>
    </row>
    <row r="4764" spans="1:30" x14ac:dyDescent="0.25">
      <c r="A4764" t="s">
        <v>4788</v>
      </c>
      <c r="B4764" s="2">
        <v>45093</v>
      </c>
      <c r="C4764" s="2">
        <v>45098</v>
      </c>
      <c r="D4764" t="s">
        <v>5472</v>
      </c>
      <c r="E4764" t="s">
        <v>5972</v>
      </c>
      <c r="F4764" t="s">
        <v>6028</v>
      </c>
      <c r="G4764" t="s">
        <v>6029</v>
      </c>
      <c r="H4764" t="s">
        <v>6032</v>
      </c>
      <c r="I4764" t="s">
        <v>6050</v>
      </c>
      <c r="J4764" t="s">
        <v>6054</v>
      </c>
      <c r="K4764" t="s">
        <v>6062</v>
      </c>
      <c r="L4764" t="s">
        <v>9753</v>
      </c>
      <c r="M4764">
        <v>1793.81</v>
      </c>
      <c r="N4764">
        <v>4</v>
      </c>
      <c r="O4764">
        <v>0.12</v>
      </c>
      <c r="P4764">
        <v>192.93</v>
      </c>
      <c r="Q4764" t="s">
        <v>9895</v>
      </c>
      <c r="R4764">
        <v>5</v>
      </c>
      <c r="S4764" s="5">
        <f t="shared" si="148"/>
        <v>0.10755319682686573</v>
      </c>
      <c r="T4764">
        <v>448.45249999999999</v>
      </c>
      <c r="U4764">
        <v>6</v>
      </c>
      <c r="V4764">
        <v>2023</v>
      </c>
      <c r="W4764">
        <v>2</v>
      </c>
      <c r="X4764" t="s">
        <v>9899</v>
      </c>
      <c r="Y4764" t="s">
        <v>9901</v>
      </c>
      <c r="Z4764" t="s">
        <v>9898</v>
      </c>
      <c r="AD4764">
        <f t="shared" si="149"/>
        <v>5</v>
      </c>
    </row>
    <row r="4765" spans="1:30" x14ac:dyDescent="0.25">
      <c r="A4765" t="s">
        <v>4789</v>
      </c>
      <c r="B4765" s="2">
        <v>44749</v>
      </c>
      <c r="C4765" s="2">
        <v>44756</v>
      </c>
      <c r="D4765" t="s">
        <v>5296</v>
      </c>
      <c r="E4765" t="s">
        <v>5796</v>
      </c>
      <c r="F4765" t="s">
        <v>6028</v>
      </c>
      <c r="G4765" t="s">
        <v>6030</v>
      </c>
      <c r="H4765" t="s">
        <v>6035</v>
      </c>
      <c r="I4765" t="s">
        <v>6047</v>
      </c>
      <c r="J4765" t="s">
        <v>6054</v>
      </c>
      <c r="K4765" t="s">
        <v>6060</v>
      </c>
      <c r="L4765" t="s">
        <v>9754</v>
      </c>
      <c r="M4765">
        <v>1700.34</v>
      </c>
      <c r="N4765">
        <v>7</v>
      </c>
      <c r="O4765">
        <v>0.32</v>
      </c>
      <c r="P4765">
        <v>-256.41000000000003</v>
      </c>
      <c r="Q4765" t="s">
        <v>9897</v>
      </c>
      <c r="R4765">
        <v>7</v>
      </c>
      <c r="S4765" s="5">
        <f t="shared" si="148"/>
        <v>-0.15079925191432303</v>
      </c>
      <c r="T4765">
        <v>242.90571428571431</v>
      </c>
      <c r="U4765">
        <v>7</v>
      </c>
      <c r="V4765">
        <v>2022</v>
      </c>
      <c r="W4765">
        <v>3</v>
      </c>
      <c r="X4765" t="s">
        <v>9898</v>
      </c>
      <c r="Y4765" t="s">
        <v>9902</v>
      </c>
      <c r="Z4765" t="s">
        <v>9898</v>
      </c>
      <c r="AD4765">
        <f t="shared" si="149"/>
        <v>7</v>
      </c>
    </row>
    <row r="4766" spans="1:30" x14ac:dyDescent="0.25">
      <c r="A4766" t="s">
        <v>4790</v>
      </c>
      <c r="B4766" s="2">
        <v>44931</v>
      </c>
      <c r="C4766" s="2">
        <v>44934</v>
      </c>
      <c r="D4766" t="s">
        <v>5505</v>
      </c>
      <c r="E4766" t="s">
        <v>6005</v>
      </c>
      <c r="F4766" t="s">
        <v>6028</v>
      </c>
      <c r="G4766" t="s">
        <v>6030</v>
      </c>
      <c r="H4766" t="s">
        <v>6033</v>
      </c>
      <c r="I4766" t="s">
        <v>6047</v>
      </c>
      <c r="J4766" t="s">
        <v>6055</v>
      </c>
      <c r="K4766" t="s">
        <v>6064</v>
      </c>
      <c r="L4766" t="s">
        <v>9755</v>
      </c>
      <c r="M4766">
        <v>1946.81</v>
      </c>
      <c r="N4766">
        <v>8</v>
      </c>
      <c r="O4766">
        <v>0.2</v>
      </c>
      <c r="P4766">
        <v>-168.16</v>
      </c>
      <c r="Q4766" t="s">
        <v>9893</v>
      </c>
      <c r="R4766">
        <v>3</v>
      </c>
      <c r="S4766" s="5">
        <f t="shared" si="148"/>
        <v>-8.6377201678643531E-2</v>
      </c>
      <c r="T4766">
        <v>243.35124999999999</v>
      </c>
      <c r="U4766">
        <v>1</v>
      </c>
      <c r="V4766">
        <v>2023</v>
      </c>
      <c r="W4766">
        <v>1</v>
      </c>
      <c r="X4766" t="s">
        <v>9898</v>
      </c>
      <c r="Y4766" t="s">
        <v>9900</v>
      </c>
      <c r="Z4766" t="s">
        <v>9898</v>
      </c>
      <c r="AD4766">
        <f t="shared" si="149"/>
        <v>3</v>
      </c>
    </row>
    <row r="4767" spans="1:30" x14ac:dyDescent="0.25">
      <c r="A4767" t="s">
        <v>4791</v>
      </c>
      <c r="B4767" s="2">
        <v>45251</v>
      </c>
      <c r="C4767" s="2">
        <v>45256</v>
      </c>
      <c r="D4767" t="s">
        <v>5134</v>
      </c>
      <c r="E4767" t="s">
        <v>5634</v>
      </c>
      <c r="F4767" t="s">
        <v>6026</v>
      </c>
      <c r="G4767" t="s">
        <v>6030</v>
      </c>
      <c r="H4767" t="s">
        <v>6038</v>
      </c>
      <c r="I4767" t="s">
        <v>6047</v>
      </c>
      <c r="J4767" t="s">
        <v>6054</v>
      </c>
      <c r="K4767" t="s">
        <v>6059</v>
      </c>
      <c r="L4767" t="s">
        <v>6152</v>
      </c>
      <c r="M4767">
        <v>1678.57</v>
      </c>
      <c r="N4767">
        <v>5</v>
      </c>
      <c r="O4767">
        <v>7.0000000000000007E-2</v>
      </c>
      <c r="P4767">
        <v>202.31</v>
      </c>
      <c r="Q4767" t="s">
        <v>9894</v>
      </c>
      <c r="R4767">
        <v>5</v>
      </c>
      <c r="S4767" s="5">
        <f t="shared" si="148"/>
        <v>0.12052520895762465</v>
      </c>
      <c r="T4767">
        <v>335.714</v>
      </c>
      <c r="U4767">
        <v>11</v>
      </c>
      <c r="V4767">
        <v>2023</v>
      </c>
      <c r="W4767">
        <v>4</v>
      </c>
      <c r="X4767" t="s">
        <v>9899</v>
      </c>
      <c r="Y4767" t="s">
        <v>9901</v>
      </c>
      <c r="Z4767" t="s">
        <v>9898</v>
      </c>
      <c r="AD4767">
        <f t="shared" si="149"/>
        <v>5</v>
      </c>
    </row>
    <row r="4768" spans="1:30" x14ac:dyDescent="0.25">
      <c r="A4768" t="s">
        <v>4792</v>
      </c>
      <c r="B4768" s="2">
        <v>45447</v>
      </c>
      <c r="C4768" s="2">
        <v>45454</v>
      </c>
      <c r="D4768" t="s">
        <v>5319</v>
      </c>
      <c r="E4768" t="s">
        <v>5819</v>
      </c>
      <c r="F4768" t="s">
        <v>6027</v>
      </c>
      <c r="G4768" t="s">
        <v>6029</v>
      </c>
      <c r="H4768" t="s">
        <v>6041</v>
      </c>
      <c r="I4768" t="s">
        <v>6049</v>
      </c>
      <c r="J4768" t="s">
        <v>6055</v>
      </c>
      <c r="K4768" t="s">
        <v>6061</v>
      </c>
      <c r="L4768" t="s">
        <v>9756</v>
      </c>
      <c r="M4768">
        <v>1165.3699999999999</v>
      </c>
      <c r="N4768">
        <v>4</v>
      </c>
      <c r="O4768">
        <v>7.0000000000000007E-2</v>
      </c>
      <c r="P4768">
        <v>163.72</v>
      </c>
      <c r="Q4768" t="s">
        <v>9895</v>
      </c>
      <c r="R4768">
        <v>7</v>
      </c>
      <c r="S4768" s="5">
        <f t="shared" si="148"/>
        <v>0.14048757047118085</v>
      </c>
      <c r="T4768">
        <v>291.34249999999997</v>
      </c>
      <c r="U4768">
        <v>6</v>
      </c>
      <c r="V4768">
        <v>2024</v>
      </c>
      <c r="W4768">
        <v>2</v>
      </c>
      <c r="X4768" t="s">
        <v>9899</v>
      </c>
      <c r="Y4768" t="s">
        <v>9901</v>
      </c>
      <c r="Z4768" t="s">
        <v>9898</v>
      </c>
      <c r="AD4768">
        <f t="shared" si="149"/>
        <v>7</v>
      </c>
    </row>
    <row r="4769" spans="1:30" x14ac:dyDescent="0.25">
      <c r="A4769" t="s">
        <v>4793</v>
      </c>
      <c r="B4769" s="2">
        <v>44824</v>
      </c>
      <c r="C4769" s="2">
        <v>44827</v>
      </c>
      <c r="D4769" t="s">
        <v>5482</v>
      </c>
      <c r="E4769" t="s">
        <v>5982</v>
      </c>
      <c r="F4769" t="s">
        <v>6027</v>
      </c>
      <c r="G4769" t="s">
        <v>6031</v>
      </c>
      <c r="H4769" t="s">
        <v>6043</v>
      </c>
      <c r="I4769" t="s">
        <v>6050</v>
      </c>
      <c r="J4769" t="s">
        <v>6055</v>
      </c>
      <c r="K4769" t="s">
        <v>6063</v>
      </c>
      <c r="L4769" t="s">
        <v>8658</v>
      </c>
      <c r="M4769">
        <v>1441.6</v>
      </c>
      <c r="N4769">
        <v>8</v>
      </c>
      <c r="O4769">
        <v>0.14000000000000001</v>
      </c>
      <c r="P4769">
        <v>205.42</v>
      </c>
      <c r="Q4769" t="s">
        <v>9896</v>
      </c>
      <c r="R4769">
        <v>3</v>
      </c>
      <c r="S4769" s="5">
        <f t="shared" si="148"/>
        <v>0.14249445061043287</v>
      </c>
      <c r="T4769">
        <v>180.2</v>
      </c>
      <c r="U4769">
        <v>9</v>
      </c>
      <c r="V4769">
        <v>2022</v>
      </c>
      <c r="W4769">
        <v>3</v>
      </c>
      <c r="X4769" t="s">
        <v>9899</v>
      </c>
      <c r="Y4769" t="s">
        <v>9901</v>
      </c>
      <c r="Z4769" t="s">
        <v>9898</v>
      </c>
      <c r="AD4769">
        <f t="shared" si="149"/>
        <v>3</v>
      </c>
    </row>
    <row r="4770" spans="1:30" x14ac:dyDescent="0.25">
      <c r="A4770" t="s">
        <v>4794</v>
      </c>
      <c r="B4770" s="2">
        <v>45414</v>
      </c>
      <c r="C4770" s="2">
        <v>45416</v>
      </c>
      <c r="D4770" t="s">
        <v>5253</v>
      </c>
      <c r="E4770" t="s">
        <v>5753</v>
      </c>
      <c r="F4770" t="s">
        <v>6026</v>
      </c>
      <c r="G4770" t="s">
        <v>6031</v>
      </c>
      <c r="H4770" t="s">
        <v>6043</v>
      </c>
      <c r="I4770" t="s">
        <v>6048</v>
      </c>
      <c r="J4770" t="s">
        <v>6054</v>
      </c>
      <c r="K4770" t="s">
        <v>6062</v>
      </c>
      <c r="L4770" t="s">
        <v>9757</v>
      </c>
      <c r="M4770">
        <v>1397.65</v>
      </c>
      <c r="N4770">
        <v>8</v>
      </c>
      <c r="O4770">
        <v>0.27</v>
      </c>
      <c r="P4770">
        <v>-235.56</v>
      </c>
      <c r="Q4770" t="s">
        <v>9895</v>
      </c>
      <c r="R4770">
        <v>2</v>
      </c>
      <c r="S4770" s="5">
        <f t="shared" si="148"/>
        <v>-0.16854004936858297</v>
      </c>
      <c r="T4770">
        <v>174.70625000000001</v>
      </c>
      <c r="U4770">
        <v>5</v>
      </c>
      <c r="V4770">
        <v>2024</v>
      </c>
      <c r="W4770">
        <v>2</v>
      </c>
      <c r="X4770" t="s">
        <v>9898</v>
      </c>
      <c r="Y4770" t="s">
        <v>9900</v>
      </c>
      <c r="Z4770" t="s">
        <v>9898</v>
      </c>
      <c r="AD4770">
        <f t="shared" si="149"/>
        <v>2</v>
      </c>
    </row>
    <row r="4771" spans="1:30" x14ac:dyDescent="0.25">
      <c r="A4771" t="s">
        <v>4795</v>
      </c>
      <c r="B4771" s="2">
        <v>44671</v>
      </c>
      <c r="C4771" s="2">
        <v>44678</v>
      </c>
      <c r="D4771" t="s">
        <v>5290</v>
      </c>
      <c r="E4771" t="s">
        <v>5790</v>
      </c>
      <c r="F4771" t="s">
        <v>6027</v>
      </c>
      <c r="G4771" t="s">
        <v>6030</v>
      </c>
      <c r="H4771" t="s">
        <v>6038</v>
      </c>
      <c r="I4771" t="s">
        <v>6047</v>
      </c>
      <c r="J4771" t="s">
        <v>6054</v>
      </c>
      <c r="K4771" t="s">
        <v>6059</v>
      </c>
      <c r="L4771" t="s">
        <v>9403</v>
      </c>
      <c r="M4771">
        <v>153.81</v>
      </c>
      <c r="N4771">
        <v>2</v>
      </c>
      <c r="O4771">
        <v>0.35</v>
      </c>
      <c r="P4771">
        <v>-19.899999999999999</v>
      </c>
      <c r="Q4771" t="s">
        <v>9895</v>
      </c>
      <c r="R4771">
        <v>7</v>
      </c>
      <c r="S4771" s="5">
        <f t="shared" si="148"/>
        <v>-0.12938040439503282</v>
      </c>
      <c r="T4771">
        <v>76.905000000000001</v>
      </c>
      <c r="U4771">
        <v>4</v>
      </c>
      <c r="V4771">
        <v>2022</v>
      </c>
      <c r="W4771">
        <v>2</v>
      </c>
      <c r="X4771" t="s">
        <v>9898</v>
      </c>
      <c r="Y4771" t="s">
        <v>9902</v>
      </c>
      <c r="Z4771" t="s">
        <v>9899</v>
      </c>
      <c r="AD4771">
        <f t="shared" si="149"/>
        <v>7</v>
      </c>
    </row>
    <row r="4772" spans="1:30" x14ac:dyDescent="0.25">
      <c r="A4772" t="s">
        <v>4796</v>
      </c>
      <c r="B4772" s="2">
        <v>45309</v>
      </c>
      <c r="C4772" s="2">
        <v>45313</v>
      </c>
      <c r="D4772" t="s">
        <v>5523</v>
      </c>
      <c r="E4772" t="s">
        <v>6023</v>
      </c>
      <c r="F4772" t="s">
        <v>6028</v>
      </c>
      <c r="G4772" t="s">
        <v>6029</v>
      </c>
      <c r="H4772" t="s">
        <v>6036</v>
      </c>
      <c r="I4772" t="s">
        <v>6050</v>
      </c>
      <c r="J4772" t="s">
        <v>6053</v>
      </c>
      <c r="K4772" t="s">
        <v>6057</v>
      </c>
      <c r="L4772" t="s">
        <v>9758</v>
      </c>
      <c r="M4772">
        <v>634.9</v>
      </c>
      <c r="N4772">
        <v>1</v>
      </c>
      <c r="O4772">
        <v>0.08</v>
      </c>
      <c r="P4772">
        <v>96.55</v>
      </c>
      <c r="Q4772" t="s">
        <v>9895</v>
      </c>
      <c r="R4772">
        <v>4</v>
      </c>
      <c r="S4772" s="5">
        <f t="shared" si="148"/>
        <v>0.15207119231375019</v>
      </c>
      <c r="T4772">
        <v>634.9</v>
      </c>
      <c r="U4772">
        <v>1</v>
      </c>
      <c r="V4772">
        <v>2024</v>
      </c>
      <c r="W4772">
        <v>1</v>
      </c>
      <c r="X4772" t="s">
        <v>9899</v>
      </c>
      <c r="Y4772" t="s">
        <v>9901</v>
      </c>
      <c r="Z4772" t="s">
        <v>9899</v>
      </c>
      <c r="AD4772">
        <f t="shared" si="149"/>
        <v>4</v>
      </c>
    </row>
    <row r="4773" spans="1:30" x14ac:dyDescent="0.25">
      <c r="A4773" t="s">
        <v>4797</v>
      </c>
      <c r="B4773" s="2">
        <v>45429</v>
      </c>
      <c r="C4773" s="2">
        <v>45430</v>
      </c>
      <c r="D4773" t="s">
        <v>5108</v>
      </c>
      <c r="E4773" t="s">
        <v>5608</v>
      </c>
      <c r="F4773" t="s">
        <v>6026</v>
      </c>
      <c r="G4773" t="s">
        <v>6030</v>
      </c>
      <c r="H4773" t="s">
        <v>6033</v>
      </c>
      <c r="I4773" t="s">
        <v>6051</v>
      </c>
      <c r="J4773" t="s">
        <v>6055</v>
      </c>
      <c r="K4773" t="s">
        <v>6061</v>
      </c>
      <c r="L4773" t="s">
        <v>9759</v>
      </c>
      <c r="M4773">
        <v>119.78</v>
      </c>
      <c r="N4773">
        <v>3</v>
      </c>
      <c r="O4773">
        <v>0.23</v>
      </c>
      <c r="P4773">
        <v>-11.13</v>
      </c>
      <c r="Q4773" t="s">
        <v>9897</v>
      </c>
      <c r="R4773">
        <v>1</v>
      </c>
      <c r="S4773" s="5">
        <f t="shared" si="148"/>
        <v>-9.2920353982300891E-2</v>
      </c>
      <c r="T4773">
        <v>39.926666666666669</v>
      </c>
      <c r="U4773">
        <v>5</v>
      </c>
      <c r="V4773">
        <v>2024</v>
      </c>
      <c r="W4773">
        <v>2</v>
      </c>
      <c r="X4773" t="s">
        <v>9898</v>
      </c>
      <c r="Y4773" t="s">
        <v>9900</v>
      </c>
      <c r="Z4773" t="s">
        <v>9899</v>
      </c>
      <c r="AD4773">
        <f t="shared" si="149"/>
        <v>1</v>
      </c>
    </row>
    <row r="4774" spans="1:30" x14ac:dyDescent="0.25">
      <c r="A4774" t="s">
        <v>4798</v>
      </c>
      <c r="B4774" s="2">
        <v>45202</v>
      </c>
      <c r="C4774" s="2">
        <v>45207</v>
      </c>
      <c r="D4774" t="s">
        <v>5496</v>
      </c>
      <c r="E4774" t="s">
        <v>5996</v>
      </c>
      <c r="F4774" t="s">
        <v>6026</v>
      </c>
      <c r="G4774" t="s">
        <v>6031</v>
      </c>
      <c r="H4774" t="s">
        <v>6042</v>
      </c>
      <c r="I4774" t="s">
        <v>6048</v>
      </c>
      <c r="J4774" t="s">
        <v>6054</v>
      </c>
      <c r="K4774" t="s">
        <v>6059</v>
      </c>
      <c r="L4774" t="s">
        <v>9760</v>
      </c>
      <c r="M4774">
        <v>1709.92</v>
      </c>
      <c r="N4774">
        <v>6</v>
      </c>
      <c r="O4774">
        <v>0.15</v>
      </c>
      <c r="P4774">
        <v>-84.16</v>
      </c>
      <c r="Q4774" t="s">
        <v>9895</v>
      </c>
      <c r="R4774">
        <v>5</v>
      </c>
      <c r="S4774" s="5">
        <f t="shared" si="148"/>
        <v>-4.9218676897164776E-2</v>
      </c>
      <c r="T4774">
        <v>284.98666666666668</v>
      </c>
      <c r="U4774">
        <v>10</v>
      </c>
      <c r="V4774">
        <v>2023</v>
      </c>
      <c r="W4774">
        <v>4</v>
      </c>
      <c r="X4774" t="s">
        <v>9898</v>
      </c>
      <c r="Y4774" t="s">
        <v>9901</v>
      </c>
      <c r="Z4774" t="s">
        <v>9898</v>
      </c>
      <c r="AD4774">
        <f t="shared" si="149"/>
        <v>5</v>
      </c>
    </row>
    <row r="4775" spans="1:30" x14ac:dyDescent="0.25">
      <c r="A4775" t="s">
        <v>4799</v>
      </c>
      <c r="B4775" s="2">
        <v>44979</v>
      </c>
      <c r="C4775" s="2">
        <v>44985</v>
      </c>
      <c r="D4775" t="s">
        <v>5507</v>
      </c>
      <c r="E4775" t="s">
        <v>6007</v>
      </c>
      <c r="F4775" t="s">
        <v>6027</v>
      </c>
      <c r="G4775" t="s">
        <v>6030</v>
      </c>
      <c r="H4775" t="s">
        <v>6038</v>
      </c>
      <c r="I4775" t="s">
        <v>6047</v>
      </c>
      <c r="J4775" t="s">
        <v>6054</v>
      </c>
      <c r="K4775" t="s">
        <v>6060</v>
      </c>
      <c r="L4775" t="s">
        <v>9761</v>
      </c>
      <c r="M4775">
        <v>1325.22</v>
      </c>
      <c r="N4775">
        <v>3</v>
      </c>
      <c r="O4775">
        <v>0.24</v>
      </c>
      <c r="P4775">
        <v>-95.01</v>
      </c>
      <c r="Q4775" t="s">
        <v>9893</v>
      </c>
      <c r="R4775">
        <v>6</v>
      </c>
      <c r="S4775" s="5">
        <f t="shared" si="148"/>
        <v>-7.1693756508353329E-2</v>
      </c>
      <c r="T4775">
        <v>441.74</v>
      </c>
      <c r="U4775">
        <v>2</v>
      </c>
      <c r="V4775">
        <v>2023</v>
      </c>
      <c r="W4775">
        <v>1</v>
      </c>
      <c r="X4775" t="s">
        <v>9898</v>
      </c>
      <c r="Y4775" t="s">
        <v>9900</v>
      </c>
      <c r="Z4775" t="s">
        <v>9898</v>
      </c>
      <c r="AD4775">
        <f t="shared" si="149"/>
        <v>6</v>
      </c>
    </row>
    <row r="4776" spans="1:30" x14ac:dyDescent="0.25">
      <c r="A4776" t="s">
        <v>4800</v>
      </c>
      <c r="B4776" s="2">
        <v>45309</v>
      </c>
      <c r="C4776" s="2">
        <v>45310</v>
      </c>
      <c r="D4776" t="s">
        <v>5467</v>
      </c>
      <c r="E4776" t="s">
        <v>5967</v>
      </c>
      <c r="F4776" t="s">
        <v>6028</v>
      </c>
      <c r="G4776" t="s">
        <v>6029</v>
      </c>
      <c r="H4776" t="s">
        <v>6045</v>
      </c>
      <c r="I4776" t="s">
        <v>6050</v>
      </c>
      <c r="J4776" t="s">
        <v>6053</v>
      </c>
      <c r="K4776" t="s">
        <v>6057</v>
      </c>
      <c r="L4776" t="s">
        <v>6758</v>
      </c>
      <c r="M4776">
        <v>916.21</v>
      </c>
      <c r="N4776">
        <v>6</v>
      </c>
      <c r="O4776">
        <v>0.06</v>
      </c>
      <c r="P4776">
        <v>106.06</v>
      </c>
      <c r="Q4776" t="s">
        <v>9893</v>
      </c>
      <c r="R4776">
        <v>1</v>
      </c>
      <c r="S4776" s="5">
        <f t="shared" si="148"/>
        <v>0.11575948745374968</v>
      </c>
      <c r="T4776">
        <v>152.70166666666671</v>
      </c>
      <c r="U4776">
        <v>1</v>
      </c>
      <c r="V4776">
        <v>2024</v>
      </c>
      <c r="W4776">
        <v>1</v>
      </c>
      <c r="X4776" t="s">
        <v>9899</v>
      </c>
      <c r="Y4776" t="s">
        <v>9901</v>
      </c>
      <c r="Z4776" t="s">
        <v>9899</v>
      </c>
      <c r="AD4776">
        <f t="shared" si="149"/>
        <v>1</v>
      </c>
    </row>
    <row r="4777" spans="1:30" x14ac:dyDescent="0.25">
      <c r="A4777" t="s">
        <v>4801</v>
      </c>
      <c r="B4777" s="2">
        <v>44856</v>
      </c>
      <c r="C4777" s="2">
        <v>44860</v>
      </c>
      <c r="D4777" t="s">
        <v>5427</v>
      </c>
      <c r="E4777" t="s">
        <v>5927</v>
      </c>
      <c r="F4777" t="s">
        <v>6028</v>
      </c>
      <c r="G4777" t="s">
        <v>6031</v>
      </c>
      <c r="H4777" t="s">
        <v>6040</v>
      </c>
      <c r="I4777" t="s">
        <v>6048</v>
      </c>
      <c r="J4777" t="s">
        <v>6055</v>
      </c>
      <c r="K4777" t="s">
        <v>6061</v>
      </c>
      <c r="L4777" t="s">
        <v>7453</v>
      </c>
      <c r="M4777">
        <v>1976.24</v>
      </c>
      <c r="N4777">
        <v>5</v>
      </c>
      <c r="O4777">
        <v>0.26</v>
      </c>
      <c r="P4777">
        <v>31.31</v>
      </c>
      <c r="Q4777" t="s">
        <v>9895</v>
      </c>
      <c r="R4777">
        <v>4</v>
      </c>
      <c r="S4777" s="5">
        <f t="shared" si="148"/>
        <v>1.5843217422985063E-2</v>
      </c>
      <c r="T4777">
        <v>395.24799999999999</v>
      </c>
      <c r="U4777">
        <v>10</v>
      </c>
      <c r="V4777">
        <v>2022</v>
      </c>
      <c r="W4777">
        <v>4</v>
      </c>
      <c r="X4777" t="s">
        <v>9899</v>
      </c>
      <c r="Y4777" t="s">
        <v>9900</v>
      </c>
      <c r="Z4777" t="s">
        <v>9898</v>
      </c>
      <c r="AD4777">
        <f t="shared" si="149"/>
        <v>4</v>
      </c>
    </row>
    <row r="4778" spans="1:30" x14ac:dyDescent="0.25">
      <c r="A4778" t="s">
        <v>4802</v>
      </c>
      <c r="B4778" s="2">
        <v>45300</v>
      </c>
      <c r="C4778" s="2">
        <v>45305</v>
      </c>
      <c r="D4778" t="s">
        <v>5409</v>
      </c>
      <c r="E4778" t="s">
        <v>5909</v>
      </c>
      <c r="F4778" t="s">
        <v>6028</v>
      </c>
      <c r="G4778" t="s">
        <v>6030</v>
      </c>
      <c r="H4778" t="s">
        <v>6039</v>
      </c>
      <c r="I4778" t="s">
        <v>6047</v>
      </c>
      <c r="J4778" t="s">
        <v>6055</v>
      </c>
      <c r="K4778" t="s">
        <v>6063</v>
      </c>
      <c r="L4778" t="s">
        <v>7963</v>
      </c>
      <c r="M4778">
        <v>1787.11</v>
      </c>
      <c r="N4778">
        <v>1</v>
      </c>
      <c r="O4778">
        <v>0</v>
      </c>
      <c r="P4778">
        <v>496.62</v>
      </c>
      <c r="Q4778" t="s">
        <v>9895</v>
      </c>
      <c r="R4778">
        <v>5</v>
      </c>
      <c r="S4778" s="5">
        <f t="shared" si="148"/>
        <v>0.27789000117508156</v>
      </c>
      <c r="T4778">
        <v>1787.11</v>
      </c>
      <c r="U4778">
        <v>1</v>
      </c>
      <c r="V4778">
        <v>2024</v>
      </c>
      <c r="W4778">
        <v>1</v>
      </c>
      <c r="X4778" t="s">
        <v>9899</v>
      </c>
      <c r="Y4778" t="s">
        <v>9901</v>
      </c>
      <c r="Z4778" t="s">
        <v>9898</v>
      </c>
      <c r="AD4778">
        <f t="shared" si="149"/>
        <v>5</v>
      </c>
    </row>
    <row r="4779" spans="1:30" x14ac:dyDescent="0.25">
      <c r="A4779" t="s">
        <v>4803</v>
      </c>
      <c r="B4779" s="2">
        <v>45347</v>
      </c>
      <c r="C4779" s="2">
        <v>45351</v>
      </c>
      <c r="D4779" t="s">
        <v>5452</v>
      </c>
      <c r="E4779" t="s">
        <v>5952</v>
      </c>
      <c r="F4779" t="s">
        <v>6028</v>
      </c>
      <c r="G4779" t="s">
        <v>6031</v>
      </c>
      <c r="H4779" t="s">
        <v>6042</v>
      </c>
      <c r="I4779" t="s">
        <v>6052</v>
      </c>
      <c r="J4779" t="s">
        <v>6054</v>
      </c>
      <c r="K4779" t="s">
        <v>6059</v>
      </c>
      <c r="L4779" t="s">
        <v>9573</v>
      </c>
      <c r="M4779">
        <v>1543.84</v>
      </c>
      <c r="N4779">
        <v>2</v>
      </c>
      <c r="O4779">
        <v>0.24</v>
      </c>
      <c r="P4779">
        <v>-137.38999999999999</v>
      </c>
      <c r="Q4779" t="s">
        <v>9893</v>
      </c>
      <c r="R4779">
        <v>4</v>
      </c>
      <c r="S4779" s="5">
        <f t="shared" si="148"/>
        <v>-8.8992382630324385E-2</v>
      </c>
      <c r="T4779">
        <v>771.92</v>
      </c>
      <c r="U4779">
        <v>2</v>
      </c>
      <c r="V4779">
        <v>2024</v>
      </c>
      <c r="W4779">
        <v>1</v>
      </c>
      <c r="X4779" t="s">
        <v>9898</v>
      </c>
      <c r="Y4779" t="s">
        <v>9900</v>
      </c>
      <c r="Z4779" t="s">
        <v>9898</v>
      </c>
      <c r="AD4779">
        <f t="shared" si="149"/>
        <v>4</v>
      </c>
    </row>
    <row r="4780" spans="1:30" x14ac:dyDescent="0.25">
      <c r="A4780" t="s">
        <v>4804</v>
      </c>
      <c r="B4780" s="2">
        <v>44944</v>
      </c>
      <c r="C4780" s="2">
        <v>44949</v>
      </c>
      <c r="D4780" t="s">
        <v>5281</v>
      </c>
      <c r="E4780" t="s">
        <v>5781</v>
      </c>
      <c r="F4780" t="s">
        <v>6027</v>
      </c>
      <c r="G4780" t="s">
        <v>6031</v>
      </c>
      <c r="H4780" t="s">
        <v>6040</v>
      </c>
      <c r="I4780" t="s">
        <v>6050</v>
      </c>
      <c r="J4780" t="s">
        <v>6055</v>
      </c>
      <c r="K4780" t="s">
        <v>6061</v>
      </c>
      <c r="L4780" t="s">
        <v>9762</v>
      </c>
      <c r="M4780">
        <v>1470.2</v>
      </c>
      <c r="N4780">
        <v>8</v>
      </c>
      <c r="O4780">
        <v>0.34</v>
      </c>
      <c r="P4780">
        <v>-115.54</v>
      </c>
      <c r="Q4780" t="s">
        <v>9896</v>
      </c>
      <c r="R4780">
        <v>5</v>
      </c>
      <c r="S4780" s="5">
        <f t="shared" si="148"/>
        <v>-7.8587947218065571E-2</v>
      </c>
      <c r="T4780">
        <v>183.77500000000001</v>
      </c>
      <c r="U4780">
        <v>1</v>
      </c>
      <c r="V4780">
        <v>2023</v>
      </c>
      <c r="W4780">
        <v>1</v>
      </c>
      <c r="X4780" t="s">
        <v>9898</v>
      </c>
      <c r="Y4780" t="s">
        <v>9902</v>
      </c>
      <c r="Z4780" t="s">
        <v>9898</v>
      </c>
      <c r="AD4780">
        <f t="shared" si="149"/>
        <v>5</v>
      </c>
    </row>
    <row r="4781" spans="1:30" x14ac:dyDescent="0.25">
      <c r="A4781" t="s">
        <v>4805</v>
      </c>
      <c r="B4781" s="2">
        <v>45440</v>
      </c>
      <c r="C4781" s="2">
        <v>45443</v>
      </c>
      <c r="D4781" t="s">
        <v>5455</v>
      </c>
      <c r="E4781" t="s">
        <v>5955</v>
      </c>
      <c r="F4781" t="s">
        <v>6026</v>
      </c>
      <c r="G4781" t="s">
        <v>6029</v>
      </c>
      <c r="H4781" t="s">
        <v>6044</v>
      </c>
      <c r="I4781" t="s">
        <v>6046</v>
      </c>
      <c r="J4781" t="s">
        <v>6054</v>
      </c>
      <c r="K4781" t="s">
        <v>6062</v>
      </c>
      <c r="L4781" t="s">
        <v>6298</v>
      </c>
      <c r="M4781">
        <v>1088.6099999999999</v>
      </c>
      <c r="N4781">
        <v>5</v>
      </c>
      <c r="O4781">
        <v>0.27</v>
      </c>
      <c r="P4781">
        <v>28.04</v>
      </c>
      <c r="Q4781" t="s">
        <v>9893</v>
      </c>
      <c r="R4781">
        <v>3</v>
      </c>
      <c r="S4781" s="5">
        <f t="shared" si="148"/>
        <v>2.5757617512240382E-2</v>
      </c>
      <c r="T4781">
        <v>217.72200000000001</v>
      </c>
      <c r="U4781">
        <v>5</v>
      </c>
      <c r="V4781">
        <v>2024</v>
      </c>
      <c r="W4781">
        <v>2</v>
      </c>
      <c r="X4781" t="s">
        <v>9899</v>
      </c>
      <c r="Y4781" t="s">
        <v>9900</v>
      </c>
      <c r="Z4781" t="s">
        <v>9898</v>
      </c>
      <c r="AD4781">
        <f t="shared" si="149"/>
        <v>3</v>
      </c>
    </row>
    <row r="4782" spans="1:30" x14ac:dyDescent="0.25">
      <c r="A4782" t="s">
        <v>4806</v>
      </c>
      <c r="B4782" s="2">
        <v>45096</v>
      </c>
      <c r="C4782" s="2">
        <v>45100</v>
      </c>
      <c r="D4782" t="s">
        <v>5199</v>
      </c>
      <c r="E4782" t="s">
        <v>5699</v>
      </c>
      <c r="F4782" t="s">
        <v>6027</v>
      </c>
      <c r="G4782" t="s">
        <v>6031</v>
      </c>
      <c r="H4782" t="s">
        <v>6040</v>
      </c>
      <c r="I4782" t="s">
        <v>6052</v>
      </c>
      <c r="J4782" t="s">
        <v>6055</v>
      </c>
      <c r="K4782" t="s">
        <v>6063</v>
      </c>
      <c r="L4782" t="s">
        <v>7551</v>
      </c>
      <c r="M4782">
        <v>1655.52</v>
      </c>
      <c r="N4782">
        <v>6</v>
      </c>
      <c r="O4782">
        <v>0.02</v>
      </c>
      <c r="P4782">
        <v>227.31</v>
      </c>
      <c r="Q4782" t="s">
        <v>9896</v>
      </c>
      <c r="R4782">
        <v>4</v>
      </c>
      <c r="S4782" s="5">
        <f t="shared" si="148"/>
        <v>0.13730429109886924</v>
      </c>
      <c r="T4782">
        <v>275.92</v>
      </c>
      <c r="U4782">
        <v>6</v>
      </c>
      <c r="V4782">
        <v>2023</v>
      </c>
      <c r="W4782">
        <v>2</v>
      </c>
      <c r="X4782" t="s">
        <v>9899</v>
      </c>
      <c r="Y4782" t="s">
        <v>9901</v>
      </c>
      <c r="Z4782" t="s">
        <v>9898</v>
      </c>
      <c r="AD4782">
        <f t="shared" si="149"/>
        <v>4</v>
      </c>
    </row>
    <row r="4783" spans="1:30" x14ac:dyDescent="0.25">
      <c r="A4783" t="s">
        <v>4807</v>
      </c>
      <c r="B4783" s="2">
        <v>45036</v>
      </c>
      <c r="C4783" s="2">
        <v>45038</v>
      </c>
      <c r="D4783" t="s">
        <v>5149</v>
      </c>
      <c r="E4783" t="s">
        <v>5649</v>
      </c>
      <c r="F4783" t="s">
        <v>6028</v>
      </c>
      <c r="G4783" t="s">
        <v>6030</v>
      </c>
      <c r="H4783" t="s">
        <v>6039</v>
      </c>
      <c r="I4783" t="s">
        <v>6051</v>
      </c>
      <c r="J4783" t="s">
        <v>6054</v>
      </c>
      <c r="K4783" t="s">
        <v>6059</v>
      </c>
      <c r="L4783" t="s">
        <v>9763</v>
      </c>
      <c r="M4783">
        <v>1262.8900000000001</v>
      </c>
      <c r="N4783">
        <v>2</v>
      </c>
      <c r="O4783">
        <v>0.28000000000000003</v>
      </c>
      <c r="P4783">
        <v>-19.05</v>
      </c>
      <c r="Q4783" t="s">
        <v>9893</v>
      </c>
      <c r="R4783">
        <v>2</v>
      </c>
      <c r="S4783" s="5">
        <f t="shared" si="148"/>
        <v>-1.5084449160259404E-2</v>
      </c>
      <c r="T4783">
        <v>631.44500000000005</v>
      </c>
      <c r="U4783">
        <v>4</v>
      </c>
      <c r="V4783">
        <v>2023</v>
      </c>
      <c r="W4783">
        <v>2</v>
      </c>
      <c r="X4783" t="s">
        <v>9898</v>
      </c>
      <c r="Y4783" t="s">
        <v>9900</v>
      </c>
      <c r="Z4783" t="s">
        <v>9898</v>
      </c>
      <c r="AD4783">
        <f t="shared" si="149"/>
        <v>2</v>
      </c>
    </row>
    <row r="4784" spans="1:30" x14ac:dyDescent="0.25">
      <c r="A4784" t="s">
        <v>4808</v>
      </c>
      <c r="B4784" s="2">
        <v>44800</v>
      </c>
      <c r="C4784" s="2">
        <v>44807</v>
      </c>
      <c r="D4784" t="s">
        <v>5052</v>
      </c>
      <c r="E4784" t="s">
        <v>5552</v>
      </c>
      <c r="F4784" t="s">
        <v>6028</v>
      </c>
      <c r="G4784" t="s">
        <v>6029</v>
      </c>
      <c r="H4784" t="s">
        <v>6044</v>
      </c>
      <c r="I4784" t="s">
        <v>6046</v>
      </c>
      <c r="J4784" t="s">
        <v>6053</v>
      </c>
      <c r="K4784" t="s">
        <v>6057</v>
      </c>
      <c r="L4784" t="s">
        <v>9764</v>
      </c>
      <c r="M4784">
        <v>587.51</v>
      </c>
      <c r="N4784">
        <v>1</v>
      </c>
      <c r="O4784">
        <v>0.03</v>
      </c>
      <c r="P4784">
        <v>84.09</v>
      </c>
      <c r="Q4784" t="s">
        <v>9897</v>
      </c>
      <c r="R4784">
        <v>7</v>
      </c>
      <c r="S4784" s="5">
        <f t="shared" si="148"/>
        <v>0.14312947864717196</v>
      </c>
      <c r="T4784">
        <v>587.51</v>
      </c>
      <c r="U4784">
        <v>8</v>
      </c>
      <c r="V4784">
        <v>2022</v>
      </c>
      <c r="W4784">
        <v>3</v>
      </c>
      <c r="X4784" t="s">
        <v>9899</v>
      </c>
      <c r="Y4784" t="s">
        <v>9901</v>
      </c>
      <c r="Z4784" t="s">
        <v>9899</v>
      </c>
      <c r="AD4784">
        <f t="shared" si="149"/>
        <v>7</v>
      </c>
    </row>
    <row r="4785" spans="1:30" x14ac:dyDescent="0.25">
      <c r="A4785" t="s">
        <v>4809</v>
      </c>
      <c r="B4785" s="2">
        <v>45223</v>
      </c>
      <c r="C4785" s="2">
        <v>45224</v>
      </c>
      <c r="D4785" t="s">
        <v>5074</v>
      </c>
      <c r="E4785" t="s">
        <v>5574</v>
      </c>
      <c r="F4785" t="s">
        <v>6027</v>
      </c>
      <c r="G4785" t="s">
        <v>6030</v>
      </c>
      <c r="H4785" t="s">
        <v>6038</v>
      </c>
      <c r="I4785" t="s">
        <v>6047</v>
      </c>
      <c r="J4785" t="s">
        <v>6053</v>
      </c>
      <c r="K4785" t="s">
        <v>6058</v>
      </c>
      <c r="L4785" t="s">
        <v>8210</v>
      </c>
      <c r="M4785">
        <v>1825.57</v>
      </c>
      <c r="N4785">
        <v>2</v>
      </c>
      <c r="O4785">
        <v>0.01</v>
      </c>
      <c r="P4785">
        <v>514.95000000000005</v>
      </c>
      <c r="Q4785" t="s">
        <v>9895</v>
      </c>
      <c r="R4785">
        <v>1</v>
      </c>
      <c r="S4785" s="5">
        <f t="shared" si="148"/>
        <v>0.28207628302393228</v>
      </c>
      <c r="T4785">
        <v>912.78499999999997</v>
      </c>
      <c r="U4785">
        <v>10</v>
      </c>
      <c r="V4785">
        <v>2023</v>
      </c>
      <c r="W4785">
        <v>4</v>
      </c>
      <c r="X4785" t="s">
        <v>9899</v>
      </c>
      <c r="Y4785" t="s">
        <v>9901</v>
      </c>
      <c r="Z4785" t="s">
        <v>9898</v>
      </c>
      <c r="AD4785">
        <f t="shared" si="149"/>
        <v>1</v>
      </c>
    </row>
    <row r="4786" spans="1:30" x14ac:dyDescent="0.25">
      <c r="A4786" t="s">
        <v>4810</v>
      </c>
      <c r="B4786" s="2">
        <v>44717</v>
      </c>
      <c r="C4786" s="2">
        <v>44721</v>
      </c>
      <c r="D4786" t="s">
        <v>5087</v>
      </c>
      <c r="E4786" t="s">
        <v>5587</v>
      </c>
      <c r="F4786" t="s">
        <v>6026</v>
      </c>
      <c r="G4786" t="s">
        <v>6030</v>
      </c>
      <c r="H4786" t="s">
        <v>6039</v>
      </c>
      <c r="I4786" t="s">
        <v>6051</v>
      </c>
      <c r="J4786" t="s">
        <v>6055</v>
      </c>
      <c r="K4786" t="s">
        <v>6064</v>
      </c>
      <c r="L4786" t="s">
        <v>6093</v>
      </c>
      <c r="M4786">
        <v>1498.47</v>
      </c>
      <c r="N4786">
        <v>1</v>
      </c>
      <c r="O4786">
        <v>0.1</v>
      </c>
      <c r="P4786">
        <v>185.92</v>
      </c>
      <c r="Q4786" t="s">
        <v>9896</v>
      </c>
      <c r="R4786">
        <v>4</v>
      </c>
      <c r="S4786" s="5">
        <f t="shared" si="148"/>
        <v>0.12407322135244615</v>
      </c>
      <c r="T4786">
        <v>1498.47</v>
      </c>
      <c r="U4786">
        <v>6</v>
      </c>
      <c r="V4786">
        <v>2022</v>
      </c>
      <c r="W4786">
        <v>2</v>
      </c>
      <c r="X4786" t="s">
        <v>9899</v>
      </c>
      <c r="Y4786" t="s">
        <v>9901</v>
      </c>
      <c r="Z4786" t="s">
        <v>9898</v>
      </c>
      <c r="AD4786">
        <f t="shared" si="149"/>
        <v>4</v>
      </c>
    </row>
    <row r="4787" spans="1:30" x14ac:dyDescent="0.25">
      <c r="A4787" t="s">
        <v>4811</v>
      </c>
      <c r="B4787" s="2">
        <v>45403</v>
      </c>
      <c r="C4787" s="2">
        <v>45409</v>
      </c>
      <c r="D4787" t="s">
        <v>5383</v>
      </c>
      <c r="E4787" t="s">
        <v>5883</v>
      </c>
      <c r="F4787" t="s">
        <v>6026</v>
      </c>
      <c r="G4787" t="s">
        <v>6031</v>
      </c>
      <c r="H4787" t="s">
        <v>6042</v>
      </c>
      <c r="I4787" t="s">
        <v>6050</v>
      </c>
      <c r="J4787" t="s">
        <v>6053</v>
      </c>
      <c r="K4787" t="s">
        <v>6056</v>
      </c>
      <c r="L4787" t="s">
        <v>8930</v>
      </c>
      <c r="M4787">
        <v>1506.07</v>
      </c>
      <c r="N4787">
        <v>4</v>
      </c>
      <c r="O4787">
        <v>0.28000000000000003</v>
      </c>
      <c r="P4787">
        <v>-38.22</v>
      </c>
      <c r="Q4787" t="s">
        <v>9895</v>
      </c>
      <c r="R4787">
        <v>6</v>
      </c>
      <c r="S4787" s="5">
        <f t="shared" si="148"/>
        <v>-2.5377306499697889E-2</v>
      </c>
      <c r="T4787">
        <v>376.51749999999998</v>
      </c>
      <c r="U4787">
        <v>4</v>
      </c>
      <c r="V4787">
        <v>2024</v>
      </c>
      <c r="W4787">
        <v>2</v>
      </c>
      <c r="X4787" t="s">
        <v>9898</v>
      </c>
      <c r="Y4787" t="s">
        <v>9900</v>
      </c>
      <c r="Z4787" t="s">
        <v>9898</v>
      </c>
      <c r="AD4787">
        <f t="shared" si="149"/>
        <v>6</v>
      </c>
    </row>
    <row r="4788" spans="1:30" x14ac:dyDescent="0.25">
      <c r="A4788" t="s">
        <v>4812</v>
      </c>
      <c r="B4788" s="2">
        <v>45409</v>
      </c>
      <c r="C4788" s="2">
        <v>45410</v>
      </c>
      <c r="D4788" t="s">
        <v>5214</v>
      </c>
      <c r="E4788" t="s">
        <v>5714</v>
      </c>
      <c r="F4788" t="s">
        <v>6026</v>
      </c>
      <c r="G4788" t="s">
        <v>6029</v>
      </c>
      <c r="H4788" t="s">
        <v>6032</v>
      </c>
      <c r="I4788" t="s">
        <v>6049</v>
      </c>
      <c r="J4788" t="s">
        <v>6055</v>
      </c>
      <c r="K4788" t="s">
        <v>6063</v>
      </c>
      <c r="L4788" t="s">
        <v>7882</v>
      </c>
      <c r="M4788">
        <v>1938.69</v>
      </c>
      <c r="N4788">
        <v>1</v>
      </c>
      <c r="O4788">
        <v>0.24</v>
      </c>
      <c r="P4788">
        <v>47.05</v>
      </c>
      <c r="Q4788" t="s">
        <v>9893</v>
      </c>
      <c r="R4788">
        <v>1</v>
      </c>
      <c r="S4788" s="5">
        <f t="shared" si="148"/>
        <v>2.4268965125935554E-2</v>
      </c>
      <c r="T4788">
        <v>1938.69</v>
      </c>
      <c r="U4788">
        <v>4</v>
      </c>
      <c r="V4788">
        <v>2024</v>
      </c>
      <c r="W4788">
        <v>2</v>
      </c>
      <c r="X4788" t="s">
        <v>9899</v>
      </c>
      <c r="Y4788" t="s">
        <v>9900</v>
      </c>
      <c r="Z4788" t="s">
        <v>9898</v>
      </c>
      <c r="AD4788">
        <f t="shared" si="149"/>
        <v>1</v>
      </c>
    </row>
    <row r="4789" spans="1:30" x14ac:dyDescent="0.25">
      <c r="A4789" t="s">
        <v>4813</v>
      </c>
      <c r="B4789" s="2">
        <v>45434</v>
      </c>
      <c r="C4789" s="2">
        <v>45435</v>
      </c>
      <c r="D4789" t="s">
        <v>5150</v>
      </c>
      <c r="E4789" t="s">
        <v>5650</v>
      </c>
      <c r="F4789" t="s">
        <v>6028</v>
      </c>
      <c r="G4789" t="s">
        <v>6030</v>
      </c>
      <c r="H4789" t="s">
        <v>6033</v>
      </c>
      <c r="I4789" t="s">
        <v>6047</v>
      </c>
      <c r="J4789" t="s">
        <v>6054</v>
      </c>
      <c r="K4789" t="s">
        <v>6062</v>
      </c>
      <c r="L4789" t="s">
        <v>9765</v>
      </c>
      <c r="M4789">
        <v>951.42</v>
      </c>
      <c r="N4789">
        <v>3</v>
      </c>
      <c r="O4789">
        <v>0.18</v>
      </c>
      <c r="P4789">
        <v>12.11</v>
      </c>
      <c r="Q4789" t="s">
        <v>9894</v>
      </c>
      <c r="R4789">
        <v>1</v>
      </c>
      <c r="S4789" s="5">
        <f t="shared" si="148"/>
        <v>1.2728342897984066E-2</v>
      </c>
      <c r="T4789">
        <v>317.14</v>
      </c>
      <c r="U4789">
        <v>5</v>
      </c>
      <c r="V4789">
        <v>2024</v>
      </c>
      <c r="W4789">
        <v>2</v>
      </c>
      <c r="X4789" t="s">
        <v>9899</v>
      </c>
      <c r="Y4789" t="s">
        <v>9900</v>
      </c>
      <c r="Z4789" t="s">
        <v>9899</v>
      </c>
      <c r="AD4789">
        <f t="shared" si="149"/>
        <v>1</v>
      </c>
    </row>
    <row r="4790" spans="1:30" x14ac:dyDescent="0.25">
      <c r="A4790" t="s">
        <v>4814</v>
      </c>
      <c r="B4790" s="2">
        <v>45091</v>
      </c>
      <c r="C4790" s="2">
        <v>45096</v>
      </c>
      <c r="D4790" t="s">
        <v>5282</v>
      </c>
      <c r="E4790" t="s">
        <v>5782</v>
      </c>
      <c r="F4790" t="s">
        <v>6026</v>
      </c>
      <c r="G4790" t="s">
        <v>6031</v>
      </c>
      <c r="H4790" t="s">
        <v>6040</v>
      </c>
      <c r="I4790" t="s">
        <v>6048</v>
      </c>
      <c r="J4790" t="s">
        <v>6054</v>
      </c>
      <c r="K4790" t="s">
        <v>6059</v>
      </c>
      <c r="L4790" t="s">
        <v>9766</v>
      </c>
      <c r="M4790">
        <v>1019.55</v>
      </c>
      <c r="N4790">
        <v>5</v>
      </c>
      <c r="O4790">
        <v>0.2</v>
      </c>
      <c r="P4790">
        <v>-37.07</v>
      </c>
      <c r="Q4790" t="s">
        <v>9894</v>
      </c>
      <c r="R4790">
        <v>5</v>
      </c>
      <c r="S4790" s="5">
        <f t="shared" si="148"/>
        <v>-3.6359178068755826E-2</v>
      </c>
      <c r="T4790">
        <v>203.91</v>
      </c>
      <c r="U4790">
        <v>6</v>
      </c>
      <c r="V4790">
        <v>2023</v>
      </c>
      <c r="W4790">
        <v>2</v>
      </c>
      <c r="X4790" t="s">
        <v>9898</v>
      </c>
      <c r="Y4790" t="s">
        <v>9900</v>
      </c>
      <c r="Z4790" t="s">
        <v>9898</v>
      </c>
      <c r="AD4790">
        <f t="shared" si="149"/>
        <v>5</v>
      </c>
    </row>
    <row r="4791" spans="1:30" x14ac:dyDescent="0.25">
      <c r="A4791" t="s">
        <v>4815</v>
      </c>
      <c r="B4791" s="2">
        <v>45147</v>
      </c>
      <c r="C4791" s="2">
        <v>45148</v>
      </c>
      <c r="D4791" t="s">
        <v>5287</v>
      </c>
      <c r="E4791" t="s">
        <v>5787</v>
      </c>
      <c r="F4791" t="s">
        <v>6026</v>
      </c>
      <c r="G4791" t="s">
        <v>6030</v>
      </c>
      <c r="H4791" t="s">
        <v>6035</v>
      </c>
      <c r="I4791" t="s">
        <v>6047</v>
      </c>
      <c r="J4791" t="s">
        <v>6053</v>
      </c>
      <c r="K4791" t="s">
        <v>6057</v>
      </c>
      <c r="L4791" t="s">
        <v>9767</v>
      </c>
      <c r="M4791">
        <v>777.48</v>
      </c>
      <c r="N4791">
        <v>2</v>
      </c>
      <c r="O4791">
        <v>0.16</v>
      </c>
      <c r="P4791">
        <v>87.39</v>
      </c>
      <c r="Q4791" t="s">
        <v>9896</v>
      </c>
      <c r="R4791">
        <v>1</v>
      </c>
      <c r="S4791" s="5">
        <f t="shared" si="148"/>
        <v>0.11240160518598549</v>
      </c>
      <c r="T4791">
        <v>388.74</v>
      </c>
      <c r="U4791">
        <v>8</v>
      </c>
      <c r="V4791">
        <v>2023</v>
      </c>
      <c r="W4791">
        <v>3</v>
      </c>
      <c r="X4791" t="s">
        <v>9899</v>
      </c>
      <c r="Y4791" t="s">
        <v>9900</v>
      </c>
      <c r="Z4791" t="s">
        <v>9899</v>
      </c>
      <c r="AD4791">
        <f t="shared" si="149"/>
        <v>1</v>
      </c>
    </row>
    <row r="4792" spans="1:30" x14ac:dyDescent="0.25">
      <c r="A4792" t="s">
        <v>4816</v>
      </c>
      <c r="B4792" s="2">
        <v>44942</v>
      </c>
      <c r="C4792" s="2">
        <v>44945</v>
      </c>
      <c r="D4792" t="s">
        <v>5378</v>
      </c>
      <c r="E4792" t="s">
        <v>5878</v>
      </c>
      <c r="F4792" t="s">
        <v>6028</v>
      </c>
      <c r="G4792" t="s">
        <v>6031</v>
      </c>
      <c r="H4792" t="s">
        <v>6037</v>
      </c>
      <c r="I4792" t="s">
        <v>6050</v>
      </c>
      <c r="J4792" t="s">
        <v>6054</v>
      </c>
      <c r="K4792" t="s">
        <v>6060</v>
      </c>
      <c r="L4792" t="s">
        <v>7051</v>
      </c>
      <c r="M4792">
        <v>257.87</v>
      </c>
      <c r="N4792">
        <v>5</v>
      </c>
      <c r="O4792">
        <v>7.0000000000000007E-2</v>
      </c>
      <c r="P4792">
        <v>43.72</v>
      </c>
      <c r="Q4792" t="s">
        <v>9897</v>
      </c>
      <c r="R4792">
        <v>3</v>
      </c>
      <c r="S4792" s="5">
        <f t="shared" si="148"/>
        <v>0.16954279288013338</v>
      </c>
      <c r="T4792">
        <v>51.573999999999998</v>
      </c>
      <c r="U4792">
        <v>1</v>
      </c>
      <c r="V4792">
        <v>2023</v>
      </c>
      <c r="W4792">
        <v>1</v>
      </c>
      <c r="X4792" t="s">
        <v>9899</v>
      </c>
      <c r="Y4792" t="s">
        <v>9901</v>
      </c>
      <c r="Z4792" t="s">
        <v>9899</v>
      </c>
      <c r="AD4792">
        <f t="shared" si="149"/>
        <v>3</v>
      </c>
    </row>
    <row r="4793" spans="1:30" x14ac:dyDescent="0.25">
      <c r="A4793" t="s">
        <v>4817</v>
      </c>
      <c r="B4793" s="2">
        <v>45262</v>
      </c>
      <c r="C4793" s="2">
        <v>45267</v>
      </c>
      <c r="D4793" t="s">
        <v>5142</v>
      </c>
      <c r="E4793" t="s">
        <v>5642</v>
      </c>
      <c r="F4793" t="s">
        <v>6026</v>
      </c>
      <c r="G4793" t="s">
        <v>6030</v>
      </c>
      <c r="H4793" t="s">
        <v>6038</v>
      </c>
      <c r="I4793" t="s">
        <v>6047</v>
      </c>
      <c r="J4793" t="s">
        <v>6053</v>
      </c>
      <c r="K4793" t="s">
        <v>6057</v>
      </c>
      <c r="L4793" t="s">
        <v>9768</v>
      </c>
      <c r="M4793">
        <v>1025.8</v>
      </c>
      <c r="N4793">
        <v>3</v>
      </c>
      <c r="O4793">
        <v>0.05</v>
      </c>
      <c r="P4793">
        <v>181.31</v>
      </c>
      <c r="Q4793" t="s">
        <v>9893</v>
      </c>
      <c r="R4793">
        <v>5</v>
      </c>
      <c r="S4793" s="5">
        <f t="shared" si="148"/>
        <v>0.17674985377266525</v>
      </c>
      <c r="T4793">
        <v>341.93333333333328</v>
      </c>
      <c r="U4793">
        <v>12</v>
      </c>
      <c r="V4793">
        <v>2023</v>
      </c>
      <c r="W4793">
        <v>4</v>
      </c>
      <c r="X4793" t="s">
        <v>9899</v>
      </c>
      <c r="Y4793" t="s">
        <v>9901</v>
      </c>
      <c r="Z4793" t="s">
        <v>9898</v>
      </c>
      <c r="AD4793">
        <f t="shared" si="149"/>
        <v>5</v>
      </c>
    </row>
    <row r="4794" spans="1:30" x14ac:dyDescent="0.25">
      <c r="A4794" t="s">
        <v>4818</v>
      </c>
      <c r="B4794" s="2">
        <v>44824</v>
      </c>
      <c r="C4794" s="2">
        <v>44827</v>
      </c>
      <c r="D4794" t="s">
        <v>5431</v>
      </c>
      <c r="E4794" t="s">
        <v>5931</v>
      </c>
      <c r="F4794" t="s">
        <v>6027</v>
      </c>
      <c r="G4794" t="s">
        <v>6029</v>
      </c>
      <c r="H4794" t="s">
        <v>6032</v>
      </c>
      <c r="I4794" t="s">
        <v>6050</v>
      </c>
      <c r="J4794" t="s">
        <v>6055</v>
      </c>
      <c r="K4794" t="s">
        <v>6063</v>
      </c>
      <c r="L4794" t="s">
        <v>9769</v>
      </c>
      <c r="M4794">
        <v>1945.45</v>
      </c>
      <c r="N4794">
        <v>3</v>
      </c>
      <c r="O4794">
        <v>0.17</v>
      </c>
      <c r="P4794">
        <v>77.45</v>
      </c>
      <c r="Q4794" t="s">
        <v>9895</v>
      </c>
      <c r="R4794">
        <v>3</v>
      </c>
      <c r="S4794" s="5">
        <f t="shared" si="148"/>
        <v>3.9810840679534297E-2</v>
      </c>
      <c r="T4794">
        <v>648.48333333333335</v>
      </c>
      <c r="U4794">
        <v>9</v>
      </c>
      <c r="V4794">
        <v>2022</v>
      </c>
      <c r="W4794">
        <v>3</v>
      </c>
      <c r="X4794" t="s">
        <v>9899</v>
      </c>
      <c r="Y4794" t="s">
        <v>9900</v>
      </c>
      <c r="Z4794" t="s">
        <v>9898</v>
      </c>
      <c r="AD4794">
        <f t="shared" si="149"/>
        <v>3</v>
      </c>
    </row>
    <row r="4795" spans="1:30" x14ac:dyDescent="0.25">
      <c r="A4795" t="s">
        <v>4819</v>
      </c>
      <c r="B4795" s="2">
        <v>45056</v>
      </c>
      <c r="C4795" s="2">
        <v>45057</v>
      </c>
      <c r="D4795" t="s">
        <v>5288</v>
      </c>
      <c r="E4795" t="s">
        <v>5788</v>
      </c>
      <c r="F4795" t="s">
        <v>6027</v>
      </c>
      <c r="G4795" t="s">
        <v>6029</v>
      </c>
      <c r="H4795" t="s">
        <v>6045</v>
      </c>
      <c r="I4795" t="s">
        <v>6049</v>
      </c>
      <c r="J4795" t="s">
        <v>6054</v>
      </c>
      <c r="K4795" t="s">
        <v>6060</v>
      </c>
      <c r="L4795" t="s">
        <v>9770</v>
      </c>
      <c r="M4795">
        <v>1307.18</v>
      </c>
      <c r="N4795">
        <v>5</v>
      </c>
      <c r="O4795">
        <v>0.28999999999999998</v>
      </c>
      <c r="P4795">
        <v>-167.52</v>
      </c>
      <c r="Q4795" t="s">
        <v>9895</v>
      </c>
      <c r="R4795">
        <v>1</v>
      </c>
      <c r="S4795" s="5">
        <f t="shared" si="148"/>
        <v>-0.1281537355222693</v>
      </c>
      <c r="T4795">
        <v>261.43599999999998</v>
      </c>
      <c r="U4795">
        <v>5</v>
      </c>
      <c r="V4795">
        <v>2023</v>
      </c>
      <c r="W4795">
        <v>2</v>
      </c>
      <c r="X4795" t="s">
        <v>9898</v>
      </c>
      <c r="Y4795" t="s">
        <v>9900</v>
      </c>
      <c r="Z4795" t="s">
        <v>9898</v>
      </c>
      <c r="AD4795">
        <f t="shared" si="149"/>
        <v>1</v>
      </c>
    </row>
    <row r="4796" spans="1:30" x14ac:dyDescent="0.25">
      <c r="A4796" t="s">
        <v>4820</v>
      </c>
      <c r="B4796" s="2">
        <v>45103</v>
      </c>
      <c r="C4796" s="2">
        <v>45105</v>
      </c>
      <c r="D4796" t="s">
        <v>5431</v>
      </c>
      <c r="E4796" t="s">
        <v>5931</v>
      </c>
      <c r="F4796" t="s">
        <v>6028</v>
      </c>
      <c r="G4796" t="s">
        <v>6029</v>
      </c>
      <c r="H4796" t="s">
        <v>6041</v>
      </c>
      <c r="I4796" t="s">
        <v>6049</v>
      </c>
      <c r="J4796" t="s">
        <v>6053</v>
      </c>
      <c r="K4796" t="s">
        <v>6058</v>
      </c>
      <c r="L4796" t="s">
        <v>9771</v>
      </c>
      <c r="M4796">
        <v>227.6</v>
      </c>
      <c r="N4796">
        <v>6</v>
      </c>
      <c r="O4796">
        <v>0.21</v>
      </c>
      <c r="P4796">
        <v>4.25</v>
      </c>
      <c r="Q4796" t="s">
        <v>9895</v>
      </c>
      <c r="R4796">
        <v>2</v>
      </c>
      <c r="S4796" s="5">
        <f t="shared" si="148"/>
        <v>1.8673110720562391E-2</v>
      </c>
      <c r="T4796">
        <v>37.93333333333333</v>
      </c>
      <c r="U4796">
        <v>6</v>
      </c>
      <c r="V4796">
        <v>2023</v>
      </c>
      <c r="W4796">
        <v>2</v>
      </c>
      <c r="X4796" t="s">
        <v>9899</v>
      </c>
      <c r="Y4796" t="s">
        <v>9900</v>
      </c>
      <c r="Z4796" t="s">
        <v>9899</v>
      </c>
      <c r="AD4796">
        <f t="shared" si="149"/>
        <v>2</v>
      </c>
    </row>
    <row r="4797" spans="1:30" x14ac:dyDescent="0.25">
      <c r="A4797" t="s">
        <v>4821</v>
      </c>
      <c r="B4797" s="2">
        <v>44858</v>
      </c>
      <c r="C4797" s="2">
        <v>44859</v>
      </c>
      <c r="D4797" t="s">
        <v>5518</v>
      </c>
      <c r="E4797" t="s">
        <v>6018</v>
      </c>
      <c r="F4797" t="s">
        <v>6027</v>
      </c>
      <c r="G4797" t="s">
        <v>6031</v>
      </c>
      <c r="H4797" t="s">
        <v>6040</v>
      </c>
      <c r="I4797" t="s">
        <v>6050</v>
      </c>
      <c r="J4797" t="s">
        <v>6053</v>
      </c>
      <c r="K4797" t="s">
        <v>6058</v>
      </c>
      <c r="L4797" t="s">
        <v>9772</v>
      </c>
      <c r="M4797">
        <v>372.12</v>
      </c>
      <c r="N4797">
        <v>6</v>
      </c>
      <c r="O4797">
        <v>0.28999999999999998</v>
      </c>
      <c r="P4797">
        <v>3.7</v>
      </c>
      <c r="Q4797" t="s">
        <v>9893</v>
      </c>
      <c r="R4797">
        <v>1</v>
      </c>
      <c r="S4797" s="5">
        <f t="shared" si="148"/>
        <v>9.9430291303880466E-3</v>
      </c>
      <c r="T4797">
        <v>62.02</v>
      </c>
      <c r="U4797">
        <v>10</v>
      </c>
      <c r="V4797">
        <v>2022</v>
      </c>
      <c r="W4797">
        <v>4</v>
      </c>
      <c r="X4797" t="s">
        <v>9899</v>
      </c>
      <c r="Y4797" t="s">
        <v>9900</v>
      </c>
      <c r="Z4797" t="s">
        <v>9899</v>
      </c>
      <c r="AD4797">
        <f t="shared" si="149"/>
        <v>1</v>
      </c>
    </row>
    <row r="4798" spans="1:30" x14ac:dyDescent="0.25">
      <c r="A4798" t="s">
        <v>4822</v>
      </c>
      <c r="B4798" s="2">
        <v>45365</v>
      </c>
      <c r="C4798" s="2">
        <v>45369</v>
      </c>
      <c r="D4798" t="s">
        <v>5362</v>
      </c>
      <c r="E4798" t="s">
        <v>5862</v>
      </c>
      <c r="F4798" t="s">
        <v>6026</v>
      </c>
      <c r="G4798" t="s">
        <v>6029</v>
      </c>
      <c r="H4798" t="s">
        <v>6044</v>
      </c>
      <c r="I4798" t="s">
        <v>6049</v>
      </c>
      <c r="J4798" t="s">
        <v>6054</v>
      </c>
      <c r="K4798" t="s">
        <v>6062</v>
      </c>
      <c r="L4798" t="s">
        <v>9773</v>
      </c>
      <c r="M4798">
        <v>1539.37</v>
      </c>
      <c r="N4798">
        <v>6</v>
      </c>
      <c r="O4798">
        <v>0.26</v>
      </c>
      <c r="P4798">
        <v>-88.05</v>
      </c>
      <c r="Q4798" t="s">
        <v>9894</v>
      </c>
      <c r="R4798">
        <v>4</v>
      </c>
      <c r="S4798" s="5">
        <f t="shared" si="148"/>
        <v>-5.7198724153387427E-2</v>
      </c>
      <c r="T4798">
        <v>256.56166666666672</v>
      </c>
      <c r="U4798">
        <v>3</v>
      </c>
      <c r="V4798">
        <v>2024</v>
      </c>
      <c r="W4798">
        <v>1</v>
      </c>
      <c r="X4798" t="s">
        <v>9898</v>
      </c>
      <c r="Y4798" t="s">
        <v>9900</v>
      </c>
      <c r="Z4798" t="s">
        <v>9898</v>
      </c>
      <c r="AD4798">
        <f t="shared" si="149"/>
        <v>4</v>
      </c>
    </row>
    <row r="4799" spans="1:30" x14ac:dyDescent="0.25">
      <c r="A4799" t="s">
        <v>4823</v>
      </c>
      <c r="B4799" s="2">
        <v>44980</v>
      </c>
      <c r="C4799" s="2">
        <v>44986</v>
      </c>
      <c r="D4799" t="s">
        <v>5181</v>
      </c>
      <c r="E4799" t="s">
        <v>5681</v>
      </c>
      <c r="F4799" t="s">
        <v>6027</v>
      </c>
      <c r="G4799" t="s">
        <v>6031</v>
      </c>
      <c r="H4799" t="s">
        <v>6034</v>
      </c>
      <c r="I4799" t="s">
        <v>6052</v>
      </c>
      <c r="J4799" t="s">
        <v>6054</v>
      </c>
      <c r="K4799" t="s">
        <v>6062</v>
      </c>
      <c r="L4799" t="s">
        <v>9774</v>
      </c>
      <c r="M4799">
        <v>634.63</v>
      </c>
      <c r="N4799">
        <v>2</v>
      </c>
      <c r="O4799">
        <v>0.13</v>
      </c>
      <c r="P4799">
        <v>82.31</v>
      </c>
      <c r="Q4799" t="s">
        <v>9895</v>
      </c>
      <c r="R4799">
        <v>6</v>
      </c>
      <c r="S4799" s="5">
        <f t="shared" si="148"/>
        <v>0.12969761908513622</v>
      </c>
      <c r="T4799">
        <v>317.315</v>
      </c>
      <c r="U4799">
        <v>2</v>
      </c>
      <c r="V4799">
        <v>2023</v>
      </c>
      <c r="W4799">
        <v>1</v>
      </c>
      <c r="X4799" t="s">
        <v>9899</v>
      </c>
      <c r="Y4799" t="s">
        <v>9901</v>
      </c>
      <c r="Z4799" t="s">
        <v>9899</v>
      </c>
      <c r="AD4799">
        <f t="shared" si="149"/>
        <v>6</v>
      </c>
    </row>
    <row r="4800" spans="1:30" x14ac:dyDescent="0.25">
      <c r="A4800" t="s">
        <v>4824</v>
      </c>
      <c r="B4800" s="2">
        <v>44673</v>
      </c>
      <c r="C4800" s="2">
        <v>44679</v>
      </c>
      <c r="D4800" t="s">
        <v>5129</v>
      </c>
      <c r="E4800" t="s">
        <v>5629</v>
      </c>
      <c r="F4800" t="s">
        <v>6026</v>
      </c>
      <c r="G4800" t="s">
        <v>6029</v>
      </c>
      <c r="H4800" t="s">
        <v>6041</v>
      </c>
      <c r="I4800" t="s">
        <v>6050</v>
      </c>
      <c r="J4800" t="s">
        <v>6055</v>
      </c>
      <c r="K4800" t="s">
        <v>6061</v>
      </c>
      <c r="L4800" t="s">
        <v>8528</v>
      </c>
      <c r="M4800">
        <v>1996.25</v>
      </c>
      <c r="N4800">
        <v>1</v>
      </c>
      <c r="O4800">
        <v>0.19</v>
      </c>
      <c r="P4800">
        <v>1.07</v>
      </c>
      <c r="Q4800" t="s">
        <v>9895</v>
      </c>
      <c r="R4800">
        <v>6</v>
      </c>
      <c r="S4800" s="5">
        <f t="shared" si="148"/>
        <v>5.3600500939261113E-4</v>
      </c>
      <c r="T4800">
        <v>1996.25</v>
      </c>
      <c r="U4800">
        <v>4</v>
      </c>
      <c r="V4800">
        <v>2022</v>
      </c>
      <c r="W4800">
        <v>2</v>
      </c>
      <c r="X4800" t="s">
        <v>9899</v>
      </c>
      <c r="Y4800" t="s">
        <v>9900</v>
      </c>
      <c r="Z4800" t="s">
        <v>9898</v>
      </c>
      <c r="AD4800">
        <f t="shared" si="149"/>
        <v>6</v>
      </c>
    </row>
    <row r="4801" spans="1:30" x14ac:dyDescent="0.25">
      <c r="A4801" t="s">
        <v>4825</v>
      </c>
      <c r="B4801" s="2">
        <v>45310</v>
      </c>
      <c r="C4801" s="2">
        <v>45317</v>
      </c>
      <c r="D4801" t="s">
        <v>5089</v>
      </c>
      <c r="E4801" t="s">
        <v>5589</v>
      </c>
      <c r="F4801" t="s">
        <v>6028</v>
      </c>
      <c r="G4801" t="s">
        <v>6031</v>
      </c>
      <c r="H4801" t="s">
        <v>6034</v>
      </c>
      <c r="I4801" t="s">
        <v>6050</v>
      </c>
      <c r="J4801" t="s">
        <v>6054</v>
      </c>
      <c r="K4801" t="s">
        <v>6060</v>
      </c>
      <c r="L4801" t="s">
        <v>9775</v>
      </c>
      <c r="M4801">
        <v>1584.6</v>
      </c>
      <c r="N4801">
        <v>8</v>
      </c>
      <c r="O4801">
        <v>0.18</v>
      </c>
      <c r="P4801">
        <v>141.34</v>
      </c>
      <c r="Q4801" t="s">
        <v>9893</v>
      </c>
      <c r="R4801">
        <v>7</v>
      </c>
      <c r="S4801" s="5">
        <f t="shared" si="148"/>
        <v>8.9196011611763229E-2</v>
      </c>
      <c r="T4801">
        <v>198.07499999999999</v>
      </c>
      <c r="U4801">
        <v>1</v>
      </c>
      <c r="V4801">
        <v>2024</v>
      </c>
      <c r="W4801">
        <v>1</v>
      </c>
      <c r="X4801" t="s">
        <v>9899</v>
      </c>
      <c r="Y4801" t="s">
        <v>9900</v>
      </c>
      <c r="Z4801" t="s">
        <v>9898</v>
      </c>
      <c r="AD4801">
        <f t="shared" si="149"/>
        <v>7</v>
      </c>
    </row>
    <row r="4802" spans="1:30" x14ac:dyDescent="0.25">
      <c r="A4802" t="s">
        <v>4826</v>
      </c>
      <c r="B4802" s="2">
        <v>44949</v>
      </c>
      <c r="C4802" s="2">
        <v>44953</v>
      </c>
      <c r="D4802" t="s">
        <v>5451</v>
      </c>
      <c r="E4802" t="s">
        <v>5951</v>
      </c>
      <c r="F4802" t="s">
        <v>6027</v>
      </c>
      <c r="G4802" t="s">
        <v>6030</v>
      </c>
      <c r="H4802" t="s">
        <v>6039</v>
      </c>
      <c r="I4802" t="s">
        <v>6051</v>
      </c>
      <c r="J4802" t="s">
        <v>6054</v>
      </c>
      <c r="K4802" t="s">
        <v>6059</v>
      </c>
      <c r="L4802" t="s">
        <v>9776</v>
      </c>
      <c r="M4802">
        <v>1977.42</v>
      </c>
      <c r="N4802">
        <v>5</v>
      </c>
      <c r="O4802">
        <v>0.28999999999999998</v>
      </c>
      <c r="P4802">
        <v>-35.799999999999997</v>
      </c>
      <c r="Q4802" t="s">
        <v>9895</v>
      </c>
      <c r="R4802">
        <v>4</v>
      </c>
      <c r="S4802" s="5">
        <f t="shared" si="148"/>
        <v>-1.8104398660881347E-2</v>
      </c>
      <c r="T4802">
        <v>395.48399999999998</v>
      </c>
      <c r="U4802">
        <v>1</v>
      </c>
      <c r="V4802">
        <v>2023</v>
      </c>
      <c r="W4802">
        <v>1</v>
      </c>
      <c r="X4802" t="s">
        <v>9898</v>
      </c>
      <c r="Y4802" t="s">
        <v>9900</v>
      </c>
      <c r="Z4802" t="s">
        <v>9898</v>
      </c>
      <c r="AD4802">
        <f t="shared" si="149"/>
        <v>4</v>
      </c>
    </row>
    <row r="4803" spans="1:30" x14ac:dyDescent="0.25">
      <c r="A4803" t="s">
        <v>4827</v>
      </c>
      <c r="B4803" s="2">
        <v>44904</v>
      </c>
      <c r="C4803" s="2">
        <v>44908</v>
      </c>
      <c r="D4803" t="s">
        <v>5398</v>
      </c>
      <c r="E4803" t="s">
        <v>5898</v>
      </c>
      <c r="F4803" t="s">
        <v>6028</v>
      </c>
      <c r="G4803" t="s">
        <v>6030</v>
      </c>
      <c r="H4803" t="s">
        <v>6033</v>
      </c>
      <c r="I4803" t="s">
        <v>6051</v>
      </c>
      <c r="J4803" t="s">
        <v>6054</v>
      </c>
      <c r="K4803" t="s">
        <v>6062</v>
      </c>
      <c r="L4803" t="s">
        <v>7599</v>
      </c>
      <c r="M4803">
        <v>199.84</v>
      </c>
      <c r="N4803">
        <v>1</v>
      </c>
      <c r="O4803">
        <v>0.17</v>
      </c>
      <c r="P4803">
        <v>22.46</v>
      </c>
      <c r="Q4803" t="s">
        <v>9893</v>
      </c>
      <c r="R4803">
        <v>4</v>
      </c>
      <c r="S4803" s="5">
        <f t="shared" ref="S4803:S4866" si="150">P4803/M4803</f>
        <v>0.11238991192954363</v>
      </c>
      <c r="T4803">
        <v>199.84</v>
      </c>
      <c r="U4803">
        <v>12</v>
      </c>
      <c r="V4803">
        <v>2022</v>
      </c>
      <c r="W4803">
        <v>4</v>
      </c>
      <c r="X4803" t="s">
        <v>9899</v>
      </c>
      <c r="Y4803" t="s">
        <v>9900</v>
      </c>
      <c r="Z4803" t="s">
        <v>9899</v>
      </c>
      <c r="AD4803">
        <f t="shared" ref="AD4803:AD4866" si="151">C4803-B4803</f>
        <v>4</v>
      </c>
    </row>
    <row r="4804" spans="1:30" x14ac:dyDescent="0.25">
      <c r="A4804" t="s">
        <v>4828</v>
      </c>
      <c r="B4804" s="2">
        <v>45366</v>
      </c>
      <c r="C4804" s="2">
        <v>45369</v>
      </c>
      <c r="D4804" t="s">
        <v>5401</v>
      </c>
      <c r="E4804" t="s">
        <v>5901</v>
      </c>
      <c r="F4804" t="s">
        <v>6026</v>
      </c>
      <c r="G4804" t="s">
        <v>6031</v>
      </c>
      <c r="H4804" t="s">
        <v>6043</v>
      </c>
      <c r="I4804" t="s">
        <v>6048</v>
      </c>
      <c r="J4804" t="s">
        <v>6054</v>
      </c>
      <c r="K4804" t="s">
        <v>6060</v>
      </c>
      <c r="L4804" t="s">
        <v>6109</v>
      </c>
      <c r="M4804">
        <v>1960.14</v>
      </c>
      <c r="N4804">
        <v>4</v>
      </c>
      <c r="O4804">
        <v>0.04</v>
      </c>
      <c r="P4804">
        <v>266.31</v>
      </c>
      <c r="Q4804" t="s">
        <v>9893</v>
      </c>
      <c r="R4804">
        <v>3</v>
      </c>
      <c r="S4804" s="5">
        <f t="shared" si="150"/>
        <v>0.135862744497842</v>
      </c>
      <c r="T4804">
        <v>490.03500000000003</v>
      </c>
      <c r="U4804">
        <v>3</v>
      </c>
      <c r="V4804">
        <v>2024</v>
      </c>
      <c r="W4804">
        <v>1</v>
      </c>
      <c r="X4804" t="s">
        <v>9899</v>
      </c>
      <c r="Y4804" t="s">
        <v>9901</v>
      </c>
      <c r="Z4804" t="s">
        <v>9898</v>
      </c>
      <c r="AD4804">
        <f t="shared" si="151"/>
        <v>3</v>
      </c>
    </row>
    <row r="4805" spans="1:30" x14ac:dyDescent="0.25">
      <c r="A4805" t="s">
        <v>4829</v>
      </c>
      <c r="B4805" s="2">
        <v>45120</v>
      </c>
      <c r="C4805" s="2">
        <v>45126</v>
      </c>
      <c r="D4805" t="s">
        <v>5402</v>
      </c>
      <c r="E4805" t="s">
        <v>5902</v>
      </c>
      <c r="F4805" t="s">
        <v>6026</v>
      </c>
      <c r="G4805" t="s">
        <v>6031</v>
      </c>
      <c r="H4805" t="s">
        <v>6037</v>
      </c>
      <c r="I4805" t="s">
        <v>6052</v>
      </c>
      <c r="J4805" t="s">
        <v>6053</v>
      </c>
      <c r="K4805" t="s">
        <v>6058</v>
      </c>
      <c r="L4805" t="s">
        <v>9777</v>
      </c>
      <c r="M4805">
        <v>1254.74</v>
      </c>
      <c r="N4805">
        <v>7</v>
      </c>
      <c r="O4805">
        <v>0.25</v>
      </c>
      <c r="P4805">
        <v>-16.36</v>
      </c>
      <c r="Q4805" t="s">
        <v>9893</v>
      </c>
      <c r="R4805">
        <v>6</v>
      </c>
      <c r="S4805" s="5">
        <f t="shared" si="150"/>
        <v>-1.3038557788864626E-2</v>
      </c>
      <c r="T4805">
        <v>179.24857142857141</v>
      </c>
      <c r="U4805">
        <v>7</v>
      </c>
      <c r="V4805">
        <v>2023</v>
      </c>
      <c r="W4805">
        <v>3</v>
      </c>
      <c r="X4805" t="s">
        <v>9898</v>
      </c>
      <c r="Y4805" t="s">
        <v>9900</v>
      </c>
      <c r="Z4805" t="s">
        <v>9898</v>
      </c>
      <c r="AD4805">
        <f t="shared" si="151"/>
        <v>6</v>
      </c>
    </row>
    <row r="4806" spans="1:30" x14ac:dyDescent="0.25">
      <c r="A4806" t="s">
        <v>4830</v>
      </c>
      <c r="B4806" s="2">
        <v>45322</v>
      </c>
      <c r="C4806" s="2">
        <v>45325</v>
      </c>
      <c r="D4806" t="s">
        <v>5402</v>
      </c>
      <c r="E4806" t="s">
        <v>5902</v>
      </c>
      <c r="F4806" t="s">
        <v>6026</v>
      </c>
      <c r="G4806" t="s">
        <v>6030</v>
      </c>
      <c r="H4806" t="s">
        <v>6033</v>
      </c>
      <c r="I4806" t="s">
        <v>6047</v>
      </c>
      <c r="J4806" t="s">
        <v>6053</v>
      </c>
      <c r="K4806" t="s">
        <v>6056</v>
      </c>
      <c r="L4806" t="s">
        <v>9778</v>
      </c>
      <c r="M4806">
        <v>350.27</v>
      </c>
      <c r="N4806">
        <v>7</v>
      </c>
      <c r="O4806">
        <v>0.17</v>
      </c>
      <c r="P4806">
        <v>42.38</v>
      </c>
      <c r="Q4806" t="s">
        <v>9895</v>
      </c>
      <c r="R4806">
        <v>3</v>
      </c>
      <c r="S4806" s="5">
        <f t="shared" si="150"/>
        <v>0.12099237730893313</v>
      </c>
      <c r="T4806">
        <v>50.038571428571423</v>
      </c>
      <c r="U4806">
        <v>1</v>
      </c>
      <c r="V4806">
        <v>2024</v>
      </c>
      <c r="W4806">
        <v>1</v>
      </c>
      <c r="X4806" t="s">
        <v>9899</v>
      </c>
      <c r="Y4806" t="s">
        <v>9900</v>
      </c>
      <c r="Z4806" t="s">
        <v>9899</v>
      </c>
      <c r="AD4806">
        <f t="shared" si="151"/>
        <v>3</v>
      </c>
    </row>
    <row r="4807" spans="1:30" x14ac:dyDescent="0.25">
      <c r="A4807" t="s">
        <v>4831</v>
      </c>
      <c r="B4807" s="2">
        <v>45038</v>
      </c>
      <c r="C4807" s="2">
        <v>45040</v>
      </c>
      <c r="D4807" t="s">
        <v>5341</v>
      </c>
      <c r="E4807" t="s">
        <v>5841</v>
      </c>
      <c r="F4807" t="s">
        <v>6028</v>
      </c>
      <c r="G4807" t="s">
        <v>6031</v>
      </c>
      <c r="H4807" t="s">
        <v>6040</v>
      </c>
      <c r="I4807" t="s">
        <v>6050</v>
      </c>
      <c r="J4807" t="s">
        <v>6054</v>
      </c>
      <c r="K4807" t="s">
        <v>6062</v>
      </c>
      <c r="L4807" t="s">
        <v>9779</v>
      </c>
      <c r="M4807">
        <v>1494.95</v>
      </c>
      <c r="N4807">
        <v>7</v>
      </c>
      <c r="O4807">
        <v>0.24</v>
      </c>
      <c r="P4807">
        <v>-100.61</v>
      </c>
      <c r="Q4807" t="s">
        <v>9894</v>
      </c>
      <c r="R4807">
        <v>2</v>
      </c>
      <c r="S4807" s="5">
        <f t="shared" si="150"/>
        <v>-6.7299909695976448E-2</v>
      </c>
      <c r="T4807">
        <v>213.56428571428569</v>
      </c>
      <c r="U4807">
        <v>4</v>
      </c>
      <c r="V4807">
        <v>2023</v>
      </c>
      <c r="W4807">
        <v>2</v>
      </c>
      <c r="X4807" t="s">
        <v>9898</v>
      </c>
      <c r="Y4807" t="s">
        <v>9900</v>
      </c>
      <c r="Z4807" t="s">
        <v>9898</v>
      </c>
      <c r="AD4807">
        <f t="shared" si="151"/>
        <v>2</v>
      </c>
    </row>
    <row r="4808" spans="1:30" x14ac:dyDescent="0.25">
      <c r="A4808" t="s">
        <v>4832</v>
      </c>
      <c r="B4808" s="2">
        <v>44754</v>
      </c>
      <c r="C4808" s="2">
        <v>44760</v>
      </c>
      <c r="D4808" t="s">
        <v>5326</v>
      </c>
      <c r="E4808" t="s">
        <v>5826</v>
      </c>
      <c r="F4808" t="s">
        <v>6028</v>
      </c>
      <c r="G4808" t="s">
        <v>6031</v>
      </c>
      <c r="H4808" t="s">
        <v>6037</v>
      </c>
      <c r="I4808" t="s">
        <v>6050</v>
      </c>
      <c r="J4808" t="s">
        <v>6055</v>
      </c>
      <c r="K4808" t="s">
        <v>6064</v>
      </c>
      <c r="L4808" t="s">
        <v>7830</v>
      </c>
      <c r="M4808">
        <v>1811.14</v>
      </c>
      <c r="N4808">
        <v>6</v>
      </c>
      <c r="O4808">
        <v>0.26</v>
      </c>
      <c r="P4808">
        <v>-279.76</v>
      </c>
      <c r="Q4808" t="s">
        <v>9897</v>
      </c>
      <c r="R4808">
        <v>6</v>
      </c>
      <c r="S4808" s="5">
        <f t="shared" si="150"/>
        <v>-0.15446624777764278</v>
      </c>
      <c r="T4808">
        <v>301.85666666666668</v>
      </c>
      <c r="U4808">
        <v>7</v>
      </c>
      <c r="V4808">
        <v>2022</v>
      </c>
      <c r="W4808">
        <v>3</v>
      </c>
      <c r="X4808" t="s">
        <v>9898</v>
      </c>
      <c r="Y4808" t="s">
        <v>9900</v>
      </c>
      <c r="Z4808" t="s">
        <v>9898</v>
      </c>
      <c r="AD4808">
        <f t="shared" si="151"/>
        <v>6</v>
      </c>
    </row>
    <row r="4809" spans="1:30" x14ac:dyDescent="0.25">
      <c r="A4809" t="s">
        <v>4833</v>
      </c>
      <c r="B4809" s="2">
        <v>44849</v>
      </c>
      <c r="C4809" s="2">
        <v>44851</v>
      </c>
      <c r="D4809" t="s">
        <v>5243</v>
      </c>
      <c r="E4809" t="s">
        <v>5743</v>
      </c>
      <c r="F4809" t="s">
        <v>6026</v>
      </c>
      <c r="G4809" t="s">
        <v>6031</v>
      </c>
      <c r="H4809" t="s">
        <v>6034</v>
      </c>
      <c r="I4809" t="s">
        <v>6050</v>
      </c>
      <c r="J4809" t="s">
        <v>6055</v>
      </c>
      <c r="K4809" t="s">
        <v>6064</v>
      </c>
      <c r="L4809" t="s">
        <v>9780</v>
      </c>
      <c r="M4809">
        <v>1459.24</v>
      </c>
      <c r="N4809">
        <v>2</v>
      </c>
      <c r="O4809">
        <v>0.09</v>
      </c>
      <c r="P4809">
        <v>244.6</v>
      </c>
      <c r="Q4809" t="s">
        <v>9897</v>
      </c>
      <c r="R4809">
        <v>2</v>
      </c>
      <c r="S4809" s="5">
        <f t="shared" si="150"/>
        <v>0.16762150160357445</v>
      </c>
      <c r="T4809">
        <v>729.62</v>
      </c>
      <c r="U4809">
        <v>10</v>
      </c>
      <c r="V4809">
        <v>2022</v>
      </c>
      <c r="W4809">
        <v>4</v>
      </c>
      <c r="X4809" t="s">
        <v>9899</v>
      </c>
      <c r="Y4809" t="s">
        <v>9901</v>
      </c>
      <c r="Z4809" t="s">
        <v>9898</v>
      </c>
      <c r="AD4809">
        <f t="shared" si="151"/>
        <v>2</v>
      </c>
    </row>
    <row r="4810" spans="1:30" x14ac:dyDescent="0.25">
      <c r="A4810" t="s">
        <v>4834</v>
      </c>
      <c r="B4810" s="2">
        <v>45378</v>
      </c>
      <c r="C4810" s="2">
        <v>45383</v>
      </c>
      <c r="D4810" t="s">
        <v>5033</v>
      </c>
      <c r="E4810" t="s">
        <v>5533</v>
      </c>
      <c r="F4810" t="s">
        <v>6026</v>
      </c>
      <c r="G4810" t="s">
        <v>6029</v>
      </c>
      <c r="H4810" t="s">
        <v>6032</v>
      </c>
      <c r="I4810" t="s">
        <v>6046</v>
      </c>
      <c r="J4810" t="s">
        <v>6053</v>
      </c>
      <c r="K4810" t="s">
        <v>6056</v>
      </c>
      <c r="L4810" t="s">
        <v>6664</v>
      </c>
      <c r="M4810">
        <v>877.33</v>
      </c>
      <c r="N4810">
        <v>3</v>
      </c>
      <c r="O4810">
        <v>0.2</v>
      </c>
      <c r="P4810">
        <v>-48.14</v>
      </c>
      <c r="Q4810" t="s">
        <v>9894</v>
      </c>
      <c r="R4810">
        <v>5</v>
      </c>
      <c r="S4810" s="5">
        <f t="shared" si="150"/>
        <v>-5.487102914524751E-2</v>
      </c>
      <c r="T4810">
        <v>292.44333333333333</v>
      </c>
      <c r="U4810">
        <v>3</v>
      </c>
      <c r="V4810">
        <v>2024</v>
      </c>
      <c r="W4810">
        <v>1</v>
      </c>
      <c r="X4810" t="s">
        <v>9898</v>
      </c>
      <c r="Y4810" t="s">
        <v>9900</v>
      </c>
      <c r="Z4810" t="s">
        <v>9899</v>
      </c>
      <c r="AD4810">
        <f t="shared" si="151"/>
        <v>5</v>
      </c>
    </row>
    <row r="4811" spans="1:30" x14ac:dyDescent="0.25">
      <c r="A4811" t="s">
        <v>4835</v>
      </c>
      <c r="B4811" s="2">
        <v>45067</v>
      </c>
      <c r="C4811" s="2">
        <v>45073</v>
      </c>
      <c r="D4811" t="s">
        <v>5073</v>
      </c>
      <c r="E4811" t="s">
        <v>5573</v>
      </c>
      <c r="F4811" t="s">
        <v>6027</v>
      </c>
      <c r="G4811" t="s">
        <v>6031</v>
      </c>
      <c r="H4811" t="s">
        <v>6034</v>
      </c>
      <c r="I4811" t="s">
        <v>6050</v>
      </c>
      <c r="J4811" t="s">
        <v>6053</v>
      </c>
      <c r="K4811" t="s">
        <v>6058</v>
      </c>
      <c r="L4811" t="s">
        <v>9781</v>
      </c>
      <c r="M4811">
        <v>371.3</v>
      </c>
      <c r="N4811">
        <v>8</v>
      </c>
      <c r="O4811">
        <v>0.34</v>
      </c>
      <c r="P4811">
        <v>-36.369999999999997</v>
      </c>
      <c r="Q4811" t="s">
        <v>9893</v>
      </c>
      <c r="R4811">
        <v>6</v>
      </c>
      <c r="S4811" s="5">
        <f t="shared" si="150"/>
        <v>-9.7953137624562342E-2</v>
      </c>
      <c r="T4811">
        <v>46.412500000000001</v>
      </c>
      <c r="U4811">
        <v>5</v>
      </c>
      <c r="V4811">
        <v>2023</v>
      </c>
      <c r="W4811">
        <v>2</v>
      </c>
      <c r="X4811" t="s">
        <v>9898</v>
      </c>
      <c r="Y4811" t="s">
        <v>9902</v>
      </c>
      <c r="Z4811" t="s">
        <v>9899</v>
      </c>
      <c r="AD4811">
        <f t="shared" si="151"/>
        <v>6</v>
      </c>
    </row>
    <row r="4812" spans="1:30" x14ac:dyDescent="0.25">
      <c r="A4812" t="s">
        <v>4836</v>
      </c>
      <c r="B4812" s="2">
        <v>44657</v>
      </c>
      <c r="C4812" s="2">
        <v>44664</v>
      </c>
      <c r="D4812" t="s">
        <v>5310</v>
      </c>
      <c r="E4812" t="s">
        <v>5810</v>
      </c>
      <c r="F4812" t="s">
        <v>6026</v>
      </c>
      <c r="G4812" t="s">
        <v>6029</v>
      </c>
      <c r="H4812" t="s">
        <v>6045</v>
      </c>
      <c r="I4812" t="s">
        <v>6046</v>
      </c>
      <c r="J4812" t="s">
        <v>6054</v>
      </c>
      <c r="K4812" t="s">
        <v>6060</v>
      </c>
      <c r="L4812" t="s">
        <v>9782</v>
      </c>
      <c r="M4812">
        <v>272.11</v>
      </c>
      <c r="N4812">
        <v>7</v>
      </c>
      <c r="O4812">
        <v>0.24</v>
      </c>
      <c r="P4812">
        <v>10.119999999999999</v>
      </c>
      <c r="Q4812" t="s">
        <v>9896</v>
      </c>
      <c r="R4812">
        <v>7</v>
      </c>
      <c r="S4812" s="5">
        <f t="shared" si="150"/>
        <v>3.7190841938921755E-2</v>
      </c>
      <c r="T4812">
        <v>38.872857142857143</v>
      </c>
      <c r="U4812">
        <v>4</v>
      </c>
      <c r="V4812">
        <v>2022</v>
      </c>
      <c r="W4812">
        <v>2</v>
      </c>
      <c r="X4812" t="s">
        <v>9899</v>
      </c>
      <c r="Y4812" t="s">
        <v>9900</v>
      </c>
      <c r="Z4812" t="s">
        <v>9899</v>
      </c>
      <c r="AD4812">
        <f t="shared" si="151"/>
        <v>7</v>
      </c>
    </row>
    <row r="4813" spans="1:30" x14ac:dyDescent="0.25">
      <c r="A4813" t="s">
        <v>4837</v>
      </c>
      <c r="B4813" s="2">
        <v>44812</v>
      </c>
      <c r="C4813" s="2">
        <v>44813</v>
      </c>
      <c r="D4813" t="s">
        <v>5215</v>
      </c>
      <c r="E4813" t="s">
        <v>5715</v>
      </c>
      <c r="F4813" t="s">
        <v>6027</v>
      </c>
      <c r="G4813" t="s">
        <v>6030</v>
      </c>
      <c r="H4813" t="s">
        <v>6033</v>
      </c>
      <c r="I4813" t="s">
        <v>6051</v>
      </c>
      <c r="J4813" t="s">
        <v>6055</v>
      </c>
      <c r="K4813" t="s">
        <v>6061</v>
      </c>
      <c r="L4813" t="s">
        <v>7868</v>
      </c>
      <c r="M4813">
        <v>1457.68</v>
      </c>
      <c r="N4813">
        <v>7</v>
      </c>
      <c r="O4813">
        <v>0.06</v>
      </c>
      <c r="P4813">
        <v>130.52000000000001</v>
      </c>
      <c r="Q4813" t="s">
        <v>9894</v>
      </c>
      <c r="R4813">
        <v>1</v>
      </c>
      <c r="S4813" s="5">
        <f t="shared" si="150"/>
        <v>8.953954228637287E-2</v>
      </c>
      <c r="T4813">
        <v>208.24</v>
      </c>
      <c r="U4813">
        <v>9</v>
      </c>
      <c r="V4813">
        <v>2022</v>
      </c>
      <c r="W4813">
        <v>3</v>
      </c>
      <c r="X4813" t="s">
        <v>9899</v>
      </c>
      <c r="Y4813" t="s">
        <v>9901</v>
      </c>
      <c r="Z4813" t="s">
        <v>9898</v>
      </c>
      <c r="AD4813">
        <f t="shared" si="151"/>
        <v>1</v>
      </c>
    </row>
    <row r="4814" spans="1:30" x14ac:dyDescent="0.25">
      <c r="A4814" t="s">
        <v>4838</v>
      </c>
      <c r="B4814" s="2">
        <v>45022</v>
      </c>
      <c r="C4814" s="2">
        <v>45029</v>
      </c>
      <c r="D4814" t="s">
        <v>5481</v>
      </c>
      <c r="E4814" t="s">
        <v>5981</v>
      </c>
      <c r="F4814" t="s">
        <v>6026</v>
      </c>
      <c r="G4814" t="s">
        <v>6030</v>
      </c>
      <c r="H4814" t="s">
        <v>6033</v>
      </c>
      <c r="I4814" t="s">
        <v>6047</v>
      </c>
      <c r="J4814" t="s">
        <v>6055</v>
      </c>
      <c r="K4814" t="s">
        <v>6061</v>
      </c>
      <c r="L4814" t="s">
        <v>7663</v>
      </c>
      <c r="M4814">
        <v>996.3</v>
      </c>
      <c r="N4814">
        <v>8</v>
      </c>
      <c r="O4814">
        <v>0.24</v>
      </c>
      <c r="P4814">
        <v>-78.09</v>
      </c>
      <c r="Q4814" t="s">
        <v>9895</v>
      </c>
      <c r="R4814">
        <v>7</v>
      </c>
      <c r="S4814" s="5">
        <f t="shared" si="150"/>
        <v>-7.8380006022282456E-2</v>
      </c>
      <c r="T4814">
        <v>124.53749999999999</v>
      </c>
      <c r="U4814">
        <v>4</v>
      </c>
      <c r="V4814">
        <v>2023</v>
      </c>
      <c r="W4814">
        <v>2</v>
      </c>
      <c r="X4814" t="s">
        <v>9898</v>
      </c>
      <c r="Y4814" t="s">
        <v>9900</v>
      </c>
      <c r="Z4814" t="s">
        <v>9899</v>
      </c>
      <c r="AD4814">
        <f t="shared" si="151"/>
        <v>7</v>
      </c>
    </row>
    <row r="4815" spans="1:30" x14ac:dyDescent="0.25">
      <c r="A4815" t="s">
        <v>4839</v>
      </c>
      <c r="B4815" s="2">
        <v>44642</v>
      </c>
      <c r="C4815" s="2">
        <v>44643</v>
      </c>
      <c r="D4815" t="s">
        <v>5355</v>
      </c>
      <c r="E4815" t="s">
        <v>5855</v>
      </c>
      <c r="F4815" t="s">
        <v>6026</v>
      </c>
      <c r="G4815" t="s">
        <v>6031</v>
      </c>
      <c r="H4815" t="s">
        <v>6037</v>
      </c>
      <c r="I4815" t="s">
        <v>6052</v>
      </c>
      <c r="J4815" t="s">
        <v>6054</v>
      </c>
      <c r="K4815" t="s">
        <v>6062</v>
      </c>
      <c r="L4815" t="s">
        <v>8477</v>
      </c>
      <c r="M4815">
        <v>1642.87</v>
      </c>
      <c r="N4815">
        <v>6</v>
      </c>
      <c r="O4815">
        <v>0.01</v>
      </c>
      <c r="P4815">
        <v>320.89999999999998</v>
      </c>
      <c r="Q4815" t="s">
        <v>9894</v>
      </c>
      <c r="R4815">
        <v>1</v>
      </c>
      <c r="S4815" s="5">
        <f t="shared" si="150"/>
        <v>0.19532890612160425</v>
      </c>
      <c r="T4815">
        <v>273.81166666666672</v>
      </c>
      <c r="U4815">
        <v>3</v>
      </c>
      <c r="V4815">
        <v>2022</v>
      </c>
      <c r="W4815">
        <v>1</v>
      </c>
      <c r="X4815" t="s">
        <v>9899</v>
      </c>
      <c r="Y4815" t="s">
        <v>9901</v>
      </c>
      <c r="Z4815" t="s">
        <v>9898</v>
      </c>
      <c r="AD4815">
        <f t="shared" si="151"/>
        <v>1</v>
      </c>
    </row>
    <row r="4816" spans="1:30" x14ac:dyDescent="0.25">
      <c r="A4816" t="s">
        <v>4840</v>
      </c>
      <c r="B4816" s="2">
        <v>44816</v>
      </c>
      <c r="C4816" s="2">
        <v>44820</v>
      </c>
      <c r="D4816" t="s">
        <v>5295</v>
      </c>
      <c r="E4816" t="s">
        <v>5795</v>
      </c>
      <c r="F4816" t="s">
        <v>6027</v>
      </c>
      <c r="G4816" t="s">
        <v>6030</v>
      </c>
      <c r="H4816" t="s">
        <v>6035</v>
      </c>
      <c r="I4816" t="s">
        <v>6047</v>
      </c>
      <c r="J4816" t="s">
        <v>6055</v>
      </c>
      <c r="K4816" t="s">
        <v>6064</v>
      </c>
      <c r="L4816" t="s">
        <v>7254</v>
      </c>
      <c r="M4816">
        <v>1403.78</v>
      </c>
      <c r="N4816">
        <v>4</v>
      </c>
      <c r="O4816">
        <v>0.23</v>
      </c>
      <c r="P4816">
        <v>64.849999999999994</v>
      </c>
      <c r="Q4816" t="s">
        <v>9896</v>
      </c>
      <c r="R4816">
        <v>4</v>
      </c>
      <c r="S4816" s="5">
        <f t="shared" si="150"/>
        <v>4.6196697488210398E-2</v>
      </c>
      <c r="T4816">
        <v>350.94499999999999</v>
      </c>
      <c r="U4816">
        <v>9</v>
      </c>
      <c r="V4816">
        <v>2022</v>
      </c>
      <c r="W4816">
        <v>3</v>
      </c>
      <c r="X4816" t="s">
        <v>9899</v>
      </c>
      <c r="Y4816" t="s">
        <v>9900</v>
      </c>
      <c r="Z4816" t="s">
        <v>9898</v>
      </c>
      <c r="AD4816">
        <f t="shared" si="151"/>
        <v>4</v>
      </c>
    </row>
    <row r="4817" spans="1:30" x14ac:dyDescent="0.25">
      <c r="A4817" t="s">
        <v>4841</v>
      </c>
      <c r="B4817" s="2">
        <v>44589</v>
      </c>
      <c r="C4817" s="2">
        <v>44591</v>
      </c>
      <c r="D4817" t="s">
        <v>5049</v>
      </c>
      <c r="E4817" t="s">
        <v>5549</v>
      </c>
      <c r="F4817" t="s">
        <v>6026</v>
      </c>
      <c r="G4817" t="s">
        <v>6029</v>
      </c>
      <c r="H4817" t="s">
        <v>6044</v>
      </c>
      <c r="I4817" t="s">
        <v>6046</v>
      </c>
      <c r="J4817" t="s">
        <v>6054</v>
      </c>
      <c r="K4817" t="s">
        <v>6062</v>
      </c>
      <c r="L4817" t="s">
        <v>9783</v>
      </c>
      <c r="M4817">
        <v>874</v>
      </c>
      <c r="N4817">
        <v>8</v>
      </c>
      <c r="O4817">
        <v>0.04</v>
      </c>
      <c r="P4817">
        <v>193.89</v>
      </c>
      <c r="Q4817" t="s">
        <v>9893</v>
      </c>
      <c r="R4817">
        <v>2</v>
      </c>
      <c r="S4817" s="5">
        <f t="shared" si="150"/>
        <v>0.22184210526315787</v>
      </c>
      <c r="T4817">
        <v>109.25</v>
      </c>
      <c r="U4817">
        <v>1</v>
      </c>
      <c r="V4817">
        <v>2022</v>
      </c>
      <c r="W4817">
        <v>1</v>
      </c>
      <c r="X4817" t="s">
        <v>9899</v>
      </c>
      <c r="Y4817" t="s">
        <v>9901</v>
      </c>
      <c r="Z4817" t="s">
        <v>9899</v>
      </c>
      <c r="AD4817">
        <f t="shared" si="151"/>
        <v>2</v>
      </c>
    </row>
    <row r="4818" spans="1:30" x14ac:dyDescent="0.25">
      <c r="A4818" t="s">
        <v>4842</v>
      </c>
      <c r="B4818" s="2">
        <v>44964</v>
      </c>
      <c r="C4818" s="2">
        <v>44970</v>
      </c>
      <c r="D4818" t="s">
        <v>5074</v>
      </c>
      <c r="E4818" t="s">
        <v>5574</v>
      </c>
      <c r="F4818" t="s">
        <v>6027</v>
      </c>
      <c r="G4818" t="s">
        <v>6029</v>
      </c>
      <c r="H4818" t="s">
        <v>6044</v>
      </c>
      <c r="I4818" t="s">
        <v>6049</v>
      </c>
      <c r="J4818" t="s">
        <v>6053</v>
      </c>
      <c r="K4818" t="s">
        <v>6058</v>
      </c>
      <c r="L4818" t="s">
        <v>9571</v>
      </c>
      <c r="M4818">
        <v>539.4</v>
      </c>
      <c r="N4818">
        <v>8</v>
      </c>
      <c r="O4818">
        <v>0.32</v>
      </c>
      <c r="P4818">
        <v>-66.430000000000007</v>
      </c>
      <c r="Q4818" t="s">
        <v>9897</v>
      </c>
      <c r="R4818">
        <v>6</v>
      </c>
      <c r="S4818" s="5">
        <f t="shared" si="150"/>
        <v>-0.1231553578049685</v>
      </c>
      <c r="T4818">
        <v>67.424999999999997</v>
      </c>
      <c r="U4818">
        <v>2</v>
      </c>
      <c r="V4818">
        <v>2023</v>
      </c>
      <c r="W4818">
        <v>1</v>
      </c>
      <c r="X4818" t="s">
        <v>9898</v>
      </c>
      <c r="Y4818" t="s">
        <v>9902</v>
      </c>
      <c r="Z4818" t="s">
        <v>9899</v>
      </c>
      <c r="AD4818">
        <f t="shared" si="151"/>
        <v>6</v>
      </c>
    </row>
    <row r="4819" spans="1:30" x14ac:dyDescent="0.25">
      <c r="A4819" t="s">
        <v>4843</v>
      </c>
      <c r="B4819" s="2">
        <v>44627</v>
      </c>
      <c r="C4819" s="2">
        <v>44632</v>
      </c>
      <c r="D4819" t="s">
        <v>5034</v>
      </c>
      <c r="E4819" t="s">
        <v>5534</v>
      </c>
      <c r="F4819" t="s">
        <v>6026</v>
      </c>
      <c r="G4819" t="s">
        <v>6029</v>
      </c>
      <c r="H4819" t="s">
        <v>6036</v>
      </c>
      <c r="I4819" t="s">
        <v>6049</v>
      </c>
      <c r="J4819" t="s">
        <v>6055</v>
      </c>
      <c r="K4819" t="s">
        <v>6061</v>
      </c>
      <c r="L4819" t="s">
        <v>9784</v>
      </c>
      <c r="M4819">
        <v>360.88</v>
      </c>
      <c r="N4819">
        <v>4</v>
      </c>
      <c r="O4819">
        <v>0.25</v>
      </c>
      <c r="P4819">
        <v>-51.97</v>
      </c>
      <c r="Q4819" t="s">
        <v>9895</v>
      </c>
      <c r="R4819">
        <v>5</v>
      </c>
      <c r="S4819" s="5">
        <f t="shared" si="150"/>
        <v>-0.14400908889381511</v>
      </c>
      <c r="T4819">
        <v>90.22</v>
      </c>
      <c r="U4819">
        <v>3</v>
      </c>
      <c r="V4819">
        <v>2022</v>
      </c>
      <c r="W4819">
        <v>1</v>
      </c>
      <c r="X4819" t="s">
        <v>9898</v>
      </c>
      <c r="Y4819" t="s">
        <v>9900</v>
      </c>
      <c r="Z4819" t="s">
        <v>9899</v>
      </c>
      <c r="AD4819">
        <f t="shared" si="151"/>
        <v>5</v>
      </c>
    </row>
    <row r="4820" spans="1:30" x14ac:dyDescent="0.25">
      <c r="A4820" t="s">
        <v>4844</v>
      </c>
      <c r="B4820" s="2">
        <v>45145</v>
      </c>
      <c r="C4820" s="2">
        <v>45149</v>
      </c>
      <c r="D4820" t="s">
        <v>5458</v>
      </c>
      <c r="E4820" t="s">
        <v>5958</v>
      </c>
      <c r="F4820" t="s">
        <v>6026</v>
      </c>
      <c r="G4820" t="s">
        <v>6030</v>
      </c>
      <c r="H4820" t="s">
        <v>6035</v>
      </c>
      <c r="I4820" t="s">
        <v>6047</v>
      </c>
      <c r="J4820" t="s">
        <v>6053</v>
      </c>
      <c r="K4820" t="s">
        <v>6057</v>
      </c>
      <c r="L4820" t="s">
        <v>8026</v>
      </c>
      <c r="M4820">
        <v>1846.95</v>
      </c>
      <c r="N4820">
        <v>1</v>
      </c>
      <c r="O4820">
        <v>0.34</v>
      </c>
      <c r="P4820">
        <v>-362.26</v>
      </c>
      <c r="Q4820" t="s">
        <v>9894</v>
      </c>
      <c r="R4820">
        <v>4</v>
      </c>
      <c r="S4820" s="5">
        <f t="shared" si="150"/>
        <v>-0.19613958147215679</v>
      </c>
      <c r="T4820">
        <v>1846.95</v>
      </c>
      <c r="U4820">
        <v>8</v>
      </c>
      <c r="V4820">
        <v>2023</v>
      </c>
      <c r="W4820">
        <v>3</v>
      </c>
      <c r="X4820" t="s">
        <v>9898</v>
      </c>
      <c r="Y4820" t="s">
        <v>9902</v>
      </c>
      <c r="Z4820" t="s">
        <v>9898</v>
      </c>
      <c r="AD4820">
        <f t="shared" si="151"/>
        <v>4</v>
      </c>
    </row>
    <row r="4821" spans="1:30" x14ac:dyDescent="0.25">
      <c r="A4821" t="s">
        <v>4845</v>
      </c>
      <c r="B4821" s="2">
        <v>45330</v>
      </c>
      <c r="C4821" s="2">
        <v>45331</v>
      </c>
      <c r="D4821" t="s">
        <v>5388</v>
      </c>
      <c r="E4821" t="s">
        <v>5888</v>
      </c>
      <c r="F4821" t="s">
        <v>6027</v>
      </c>
      <c r="G4821" t="s">
        <v>6031</v>
      </c>
      <c r="H4821" t="s">
        <v>6037</v>
      </c>
      <c r="I4821" t="s">
        <v>6052</v>
      </c>
      <c r="J4821" t="s">
        <v>6054</v>
      </c>
      <c r="K4821" t="s">
        <v>6060</v>
      </c>
      <c r="L4821" t="s">
        <v>9785</v>
      </c>
      <c r="M4821">
        <v>1491.77</v>
      </c>
      <c r="N4821">
        <v>3</v>
      </c>
      <c r="O4821">
        <v>0.33</v>
      </c>
      <c r="P4821">
        <v>-227.52</v>
      </c>
      <c r="Q4821" t="s">
        <v>9896</v>
      </c>
      <c r="R4821">
        <v>1</v>
      </c>
      <c r="S4821" s="5">
        <f t="shared" si="150"/>
        <v>-0.15251680889145111</v>
      </c>
      <c r="T4821">
        <v>497.25666666666672</v>
      </c>
      <c r="U4821">
        <v>2</v>
      </c>
      <c r="V4821">
        <v>2024</v>
      </c>
      <c r="W4821">
        <v>1</v>
      </c>
      <c r="X4821" t="s">
        <v>9898</v>
      </c>
      <c r="Y4821" t="s">
        <v>9902</v>
      </c>
      <c r="Z4821" t="s">
        <v>9898</v>
      </c>
      <c r="AD4821">
        <f t="shared" si="151"/>
        <v>1</v>
      </c>
    </row>
    <row r="4822" spans="1:30" x14ac:dyDescent="0.25">
      <c r="A4822" t="s">
        <v>4846</v>
      </c>
      <c r="B4822" s="2">
        <v>44721</v>
      </c>
      <c r="C4822" s="2">
        <v>44726</v>
      </c>
      <c r="D4822" t="s">
        <v>5280</v>
      </c>
      <c r="E4822" t="s">
        <v>5780</v>
      </c>
      <c r="F4822" t="s">
        <v>6028</v>
      </c>
      <c r="G4822" t="s">
        <v>6030</v>
      </c>
      <c r="H4822" t="s">
        <v>6039</v>
      </c>
      <c r="I4822" t="s">
        <v>6047</v>
      </c>
      <c r="J4822" t="s">
        <v>6055</v>
      </c>
      <c r="K4822" t="s">
        <v>6063</v>
      </c>
      <c r="L4822" t="s">
        <v>7859</v>
      </c>
      <c r="M4822">
        <v>1937.1</v>
      </c>
      <c r="N4822">
        <v>4</v>
      </c>
      <c r="O4822">
        <v>0.26</v>
      </c>
      <c r="P4822">
        <v>7.06</v>
      </c>
      <c r="Q4822" t="s">
        <v>9894</v>
      </c>
      <c r="R4822">
        <v>5</v>
      </c>
      <c r="S4822" s="5">
        <f t="shared" si="150"/>
        <v>3.6446234061225545E-3</v>
      </c>
      <c r="T4822">
        <v>484.27499999999998</v>
      </c>
      <c r="U4822">
        <v>6</v>
      </c>
      <c r="V4822">
        <v>2022</v>
      </c>
      <c r="W4822">
        <v>2</v>
      </c>
      <c r="X4822" t="s">
        <v>9899</v>
      </c>
      <c r="Y4822" t="s">
        <v>9900</v>
      </c>
      <c r="Z4822" t="s">
        <v>9898</v>
      </c>
      <c r="AD4822">
        <f t="shared" si="151"/>
        <v>5</v>
      </c>
    </row>
    <row r="4823" spans="1:30" x14ac:dyDescent="0.25">
      <c r="A4823" t="s">
        <v>4847</v>
      </c>
      <c r="B4823" s="2">
        <v>45040</v>
      </c>
      <c r="C4823" s="2">
        <v>45042</v>
      </c>
      <c r="D4823" t="s">
        <v>5169</v>
      </c>
      <c r="E4823" t="s">
        <v>5669</v>
      </c>
      <c r="F4823" t="s">
        <v>6026</v>
      </c>
      <c r="G4823" t="s">
        <v>6031</v>
      </c>
      <c r="H4823" t="s">
        <v>6042</v>
      </c>
      <c r="I4823" t="s">
        <v>6048</v>
      </c>
      <c r="J4823" t="s">
        <v>6055</v>
      </c>
      <c r="K4823" t="s">
        <v>6061</v>
      </c>
      <c r="L4823" t="s">
        <v>9786</v>
      </c>
      <c r="M4823">
        <v>1971.98</v>
      </c>
      <c r="N4823">
        <v>7</v>
      </c>
      <c r="O4823">
        <v>0.15</v>
      </c>
      <c r="P4823">
        <v>92.6</v>
      </c>
      <c r="Q4823" t="s">
        <v>9897</v>
      </c>
      <c r="R4823">
        <v>2</v>
      </c>
      <c r="S4823" s="5">
        <f t="shared" si="150"/>
        <v>4.695787989736204E-2</v>
      </c>
      <c r="T4823">
        <v>281.7114285714286</v>
      </c>
      <c r="U4823">
        <v>4</v>
      </c>
      <c r="V4823">
        <v>2023</v>
      </c>
      <c r="W4823">
        <v>2</v>
      </c>
      <c r="X4823" t="s">
        <v>9899</v>
      </c>
      <c r="Y4823" t="s">
        <v>9901</v>
      </c>
      <c r="Z4823" t="s">
        <v>9898</v>
      </c>
      <c r="AD4823">
        <f t="shared" si="151"/>
        <v>2</v>
      </c>
    </row>
    <row r="4824" spans="1:30" x14ac:dyDescent="0.25">
      <c r="A4824" t="s">
        <v>4848</v>
      </c>
      <c r="B4824" s="2">
        <v>44946</v>
      </c>
      <c r="C4824" s="2">
        <v>44950</v>
      </c>
      <c r="D4824" t="s">
        <v>5396</v>
      </c>
      <c r="E4824" t="s">
        <v>5896</v>
      </c>
      <c r="F4824" t="s">
        <v>6027</v>
      </c>
      <c r="G4824" t="s">
        <v>6031</v>
      </c>
      <c r="H4824" t="s">
        <v>6037</v>
      </c>
      <c r="I4824" t="s">
        <v>6048</v>
      </c>
      <c r="J4824" t="s">
        <v>6054</v>
      </c>
      <c r="K4824" t="s">
        <v>6060</v>
      </c>
      <c r="L4824" t="s">
        <v>9787</v>
      </c>
      <c r="M4824">
        <v>1747.55</v>
      </c>
      <c r="N4824">
        <v>7</v>
      </c>
      <c r="O4824">
        <v>0.13</v>
      </c>
      <c r="P4824">
        <v>116.94</v>
      </c>
      <c r="Q4824" t="s">
        <v>9897</v>
      </c>
      <c r="R4824">
        <v>4</v>
      </c>
      <c r="S4824" s="5">
        <f t="shared" si="150"/>
        <v>6.6916540299276128E-2</v>
      </c>
      <c r="T4824">
        <v>249.65</v>
      </c>
      <c r="U4824">
        <v>1</v>
      </c>
      <c r="V4824">
        <v>2023</v>
      </c>
      <c r="W4824">
        <v>1</v>
      </c>
      <c r="X4824" t="s">
        <v>9899</v>
      </c>
      <c r="Y4824" t="s">
        <v>9901</v>
      </c>
      <c r="Z4824" t="s">
        <v>9898</v>
      </c>
      <c r="AD4824">
        <f t="shared" si="151"/>
        <v>4</v>
      </c>
    </row>
    <row r="4825" spans="1:30" x14ac:dyDescent="0.25">
      <c r="A4825" t="s">
        <v>4849</v>
      </c>
      <c r="B4825" s="2">
        <v>45242</v>
      </c>
      <c r="C4825" s="2">
        <v>45249</v>
      </c>
      <c r="D4825" t="s">
        <v>5488</v>
      </c>
      <c r="E4825" t="s">
        <v>5988</v>
      </c>
      <c r="F4825" t="s">
        <v>6028</v>
      </c>
      <c r="G4825" t="s">
        <v>6030</v>
      </c>
      <c r="H4825" t="s">
        <v>6033</v>
      </c>
      <c r="I4825" t="s">
        <v>6047</v>
      </c>
      <c r="J4825" t="s">
        <v>6054</v>
      </c>
      <c r="K4825" t="s">
        <v>6062</v>
      </c>
      <c r="L4825" t="s">
        <v>8608</v>
      </c>
      <c r="M4825">
        <v>333.38</v>
      </c>
      <c r="N4825">
        <v>5</v>
      </c>
      <c r="O4825">
        <v>0.21</v>
      </c>
      <c r="P4825">
        <v>-0.72</v>
      </c>
      <c r="Q4825" t="s">
        <v>9894</v>
      </c>
      <c r="R4825">
        <v>7</v>
      </c>
      <c r="S4825" s="5">
        <f t="shared" si="150"/>
        <v>-2.1596976423300736E-3</v>
      </c>
      <c r="T4825">
        <v>66.676000000000002</v>
      </c>
      <c r="U4825">
        <v>11</v>
      </c>
      <c r="V4825">
        <v>2023</v>
      </c>
      <c r="W4825">
        <v>4</v>
      </c>
      <c r="X4825" t="s">
        <v>9898</v>
      </c>
      <c r="Y4825" t="s">
        <v>9900</v>
      </c>
      <c r="Z4825" t="s">
        <v>9899</v>
      </c>
      <c r="AD4825">
        <f t="shared" si="151"/>
        <v>7</v>
      </c>
    </row>
    <row r="4826" spans="1:30" x14ac:dyDescent="0.25">
      <c r="A4826" t="s">
        <v>4850</v>
      </c>
      <c r="B4826" s="2">
        <v>44566</v>
      </c>
      <c r="C4826" s="2">
        <v>44569</v>
      </c>
      <c r="D4826" t="s">
        <v>5487</v>
      </c>
      <c r="E4826" t="s">
        <v>5987</v>
      </c>
      <c r="F4826" t="s">
        <v>6026</v>
      </c>
      <c r="G4826" t="s">
        <v>6030</v>
      </c>
      <c r="H4826" t="s">
        <v>6039</v>
      </c>
      <c r="I4826" t="s">
        <v>6047</v>
      </c>
      <c r="J4826" t="s">
        <v>6054</v>
      </c>
      <c r="K4826" t="s">
        <v>6062</v>
      </c>
      <c r="L4826" t="s">
        <v>9303</v>
      </c>
      <c r="M4826">
        <v>1127.28</v>
      </c>
      <c r="N4826">
        <v>6</v>
      </c>
      <c r="O4826">
        <v>0.21</v>
      </c>
      <c r="P4826">
        <v>79.27</v>
      </c>
      <c r="Q4826" t="s">
        <v>9895</v>
      </c>
      <c r="R4826">
        <v>3</v>
      </c>
      <c r="S4826" s="5">
        <f t="shared" si="150"/>
        <v>7.0319707614789576E-2</v>
      </c>
      <c r="T4826">
        <v>187.88</v>
      </c>
      <c r="U4826">
        <v>1</v>
      </c>
      <c r="V4826">
        <v>2022</v>
      </c>
      <c r="W4826">
        <v>1</v>
      </c>
      <c r="X4826" t="s">
        <v>9899</v>
      </c>
      <c r="Y4826" t="s">
        <v>9900</v>
      </c>
      <c r="Z4826" t="s">
        <v>9898</v>
      </c>
      <c r="AD4826">
        <f t="shared" si="151"/>
        <v>3</v>
      </c>
    </row>
    <row r="4827" spans="1:30" x14ac:dyDescent="0.25">
      <c r="A4827" t="s">
        <v>4851</v>
      </c>
      <c r="B4827" s="2">
        <v>45103</v>
      </c>
      <c r="C4827" s="2">
        <v>45104</v>
      </c>
      <c r="D4827" t="s">
        <v>5359</v>
      </c>
      <c r="E4827" t="s">
        <v>5859</v>
      </c>
      <c r="F4827" t="s">
        <v>6026</v>
      </c>
      <c r="G4827" t="s">
        <v>6031</v>
      </c>
      <c r="H4827" t="s">
        <v>6042</v>
      </c>
      <c r="I4827" t="s">
        <v>6048</v>
      </c>
      <c r="J4827" t="s">
        <v>6055</v>
      </c>
      <c r="K4827" t="s">
        <v>6063</v>
      </c>
      <c r="L4827" t="s">
        <v>9788</v>
      </c>
      <c r="M4827">
        <v>1166.8599999999999</v>
      </c>
      <c r="N4827">
        <v>1</v>
      </c>
      <c r="O4827">
        <v>0.11</v>
      </c>
      <c r="P4827">
        <v>202.86</v>
      </c>
      <c r="Q4827" t="s">
        <v>9896</v>
      </c>
      <c r="R4827">
        <v>1</v>
      </c>
      <c r="S4827" s="5">
        <f t="shared" si="150"/>
        <v>0.1738511903741666</v>
      </c>
      <c r="T4827">
        <v>1166.8599999999999</v>
      </c>
      <c r="U4827">
        <v>6</v>
      </c>
      <c r="V4827">
        <v>2023</v>
      </c>
      <c r="W4827">
        <v>2</v>
      </c>
      <c r="X4827" t="s">
        <v>9899</v>
      </c>
      <c r="Y4827" t="s">
        <v>9901</v>
      </c>
      <c r="Z4827" t="s">
        <v>9898</v>
      </c>
      <c r="AD4827">
        <f t="shared" si="151"/>
        <v>1</v>
      </c>
    </row>
    <row r="4828" spans="1:30" x14ac:dyDescent="0.25">
      <c r="A4828" t="s">
        <v>4852</v>
      </c>
      <c r="B4828" s="2">
        <v>45406</v>
      </c>
      <c r="C4828" s="2">
        <v>45413</v>
      </c>
      <c r="D4828" t="s">
        <v>5187</v>
      </c>
      <c r="E4828" t="s">
        <v>5687</v>
      </c>
      <c r="F4828" t="s">
        <v>6028</v>
      </c>
      <c r="G4828" t="s">
        <v>6031</v>
      </c>
      <c r="H4828" t="s">
        <v>6042</v>
      </c>
      <c r="I4828" t="s">
        <v>6050</v>
      </c>
      <c r="J4828" t="s">
        <v>6055</v>
      </c>
      <c r="K4828" t="s">
        <v>6064</v>
      </c>
      <c r="L4828" t="s">
        <v>9789</v>
      </c>
      <c r="M4828">
        <v>1570.35</v>
      </c>
      <c r="N4828">
        <v>4</v>
      </c>
      <c r="O4828">
        <v>0.21</v>
      </c>
      <c r="P4828">
        <v>51.29</v>
      </c>
      <c r="Q4828" t="s">
        <v>9895</v>
      </c>
      <c r="R4828">
        <v>7</v>
      </c>
      <c r="S4828" s="5">
        <f t="shared" si="150"/>
        <v>3.2661508580889613E-2</v>
      </c>
      <c r="T4828">
        <v>392.58749999999998</v>
      </c>
      <c r="U4828">
        <v>4</v>
      </c>
      <c r="V4828">
        <v>2024</v>
      </c>
      <c r="W4828">
        <v>2</v>
      </c>
      <c r="X4828" t="s">
        <v>9899</v>
      </c>
      <c r="Y4828" t="s">
        <v>9900</v>
      </c>
      <c r="Z4828" t="s">
        <v>9898</v>
      </c>
      <c r="AD4828">
        <f t="shared" si="151"/>
        <v>7</v>
      </c>
    </row>
    <row r="4829" spans="1:30" x14ac:dyDescent="0.25">
      <c r="A4829" t="s">
        <v>4853</v>
      </c>
      <c r="B4829" s="2">
        <v>44860</v>
      </c>
      <c r="C4829" s="2">
        <v>44862</v>
      </c>
      <c r="D4829" t="s">
        <v>5174</v>
      </c>
      <c r="E4829" t="s">
        <v>5674</v>
      </c>
      <c r="F4829" t="s">
        <v>6027</v>
      </c>
      <c r="G4829" t="s">
        <v>6031</v>
      </c>
      <c r="H4829" t="s">
        <v>6037</v>
      </c>
      <c r="I4829" t="s">
        <v>6052</v>
      </c>
      <c r="J4829" t="s">
        <v>6055</v>
      </c>
      <c r="K4829" t="s">
        <v>6064</v>
      </c>
      <c r="L4829" t="s">
        <v>9790</v>
      </c>
      <c r="M4829">
        <v>617.16999999999996</v>
      </c>
      <c r="N4829">
        <v>7</v>
      </c>
      <c r="O4829">
        <v>0.28999999999999998</v>
      </c>
      <c r="P4829">
        <v>-99.25</v>
      </c>
      <c r="Q4829" t="s">
        <v>9894</v>
      </c>
      <c r="R4829">
        <v>2</v>
      </c>
      <c r="S4829" s="5">
        <f t="shared" si="150"/>
        <v>-0.1608146863911078</v>
      </c>
      <c r="T4829">
        <v>88.167142857142849</v>
      </c>
      <c r="U4829">
        <v>10</v>
      </c>
      <c r="V4829">
        <v>2022</v>
      </c>
      <c r="W4829">
        <v>4</v>
      </c>
      <c r="X4829" t="s">
        <v>9898</v>
      </c>
      <c r="Y4829" t="s">
        <v>9900</v>
      </c>
      <c r="Z4829" t="s">
        <v>9899</v>
      </c>
      <c r="AD4829">
        <f t="shared" si="151"/>
        <v>2</v>
      </c>
    </row>
    <row r="4830" spans="1:30" x14ac:dyDescent="0.25">
      <c r="A4830" t="s">
        <v>4854</v>
      </c>
      <c r="B4830" s="2">
        <v>45428</v>
      </c>
      <c r="C4830" s="2">
        <v>45430</v>
      </c>
      <c r="D4830" t="s">
        <v>5499</v>
      </c>
      <c r="E4830" t="s">
        <v>5999</v>
      </c>
      <c r="F4830" t="s">
        <v>6027</v>
      </c>
      <c r="G4830" t="s">
        <v>6030</v>
      </c>
      <c r="H4830" t="s">
        <v>6035</v>
      </c>
      <c r="I4830" t="s">
        <v>6047</v>
      </c>
      <c r="J4830" t="s">
        <v>6055</v>
      </c>
      <c r="K4830" t="s">
        <v>6064</v>
      </c>
      <c r="L4830" t="s">
        <v>9791</v>
      </c>
      <c r="M4830">
        <v>934.54</v>
      </c>
      <c r="N4830">
        <v>1</v>
      </c>
      <c r="O4830">
        <v>0.22</v>
      </c>
      <c r="P4830">
        <v>71.790000000000006</v>
      </c>
      <c r="Q4830" t="s">
        <v>9894</v>
      </c>
      <c r="R4830">
        <v>2</v>
      </c>
      <c r="S4830" s="5">
        <f t="shared" si="150"/>
        <v>7.6818541742461541E-2</v>
      </c>
      <c r="T4830">
        <v>934.54</v>
      </c>
      <c r="U4830">
        <v>5</v>
      </c>
      <c r="V4830">
        <v>2024</v>
      </c>
      <c r="W4830">
        <v>2</v>
      </c>
      <c r="X4830" t="s">
        <v>9899</v>
      </c>
      <c r="Y4830" t="s">
        <v>9900</v>
      </c>
      <c r="Z4830" t="s">
        <v>9899</v>
      </c>
      <c r="AD4830">
        <f t="shared" si="151"/>
        <v>2</v>
      </c>
    </row>
    <row r="4831" spans="1:30" x14ac:dyDescent="0.25">
      <c r="A4831" t="s">
        <v>4855</v>
      </c>
      <c r="B4831" s="2">
        <v>44856</v>
      </c>
      <c r="C4831" s="2">
        <v>44863</v>
      </c>
      <c r="D4831" t="s">
        <v>5496</v>
      </c>
      <c r="E4831" t="s">
        <v>5996</v>
      </c>
      <c r="F4831" t="s">
        <v>6027</v>
      </c>
      <c r="G4831" t="s">
        <v>6029</v>
      </c>
      <c r="H4831" t="s">
        <v>6041</v>
      </c>
      <c r="I4831" t="s">
        <v>6046</v>
      </c>
      <c r="J4831" t="s">
        <v>6053</v>
      </c>
      <c r="K4831" t="s">
        <v>6056</v>
      </c>
      <c r="L4831" t="s">
        <v>9792</v>
      </c>
      <c r="M4831">
        <v>1322.7</v>
      </c>
      <c r="N4831">
        <v>3</v>
      </c>
      <c r="O4831">
        <v>0.34</v>
      </c>
      <c r="P4831">
        <v>-163.54</v>
      </c>
      <c r="Q4831" t="s">
        <v>9897</v>
      </c>
      <c r="R4831">
        <v>7</v>
      </c>
      <c r="S4831" s="5">
        <f t="shared" si="150"/>
        <v>-0.12364103727224615</v>
      </c>
      <c r="T4831">
        <v>440.9</v>
      </c>
      <c r="U4831">
        <v>10</v>
      </c>
      <c r="V4831">
        <v>2022</v>
      </c>
      <c r="W4831">
        <v>4</v>
      </c>
      <c r="X4831" t="s">
        <v>9898</v>
      </c>
      <c r="Y4831" t="s">
        <v>9902</v>
      </c>
      <c r="Z4831" t="s">
        <v>9898</v>
      </c>
      <c r="AD4831">
        <f t="shared" si="151"/>
        <v>7</v>
      </c>
    </row>
    <row r="4832" spans="1:30" x14ac:dyDescent="0.25">
      <c r="A4832" t="s">
        <v>4856</v>
      </c>
      <c r="B4832" s="2">
        <v>45320</v>
      </c>
      <c r="C4832" s="2">
        <v>45323</v>
      </c>
      <c r="D4832" t="s">
        <v>5090</v>
      </c>
      <c r="E4832" t="s">
        <v>5590</v>
      </c>
      <c r="F4832" t="s">
        <v>6027</v>
      </c>
      <c r="G4832" t="s">
        <v>6030</v>
      </c>
      <c r="H4832" t="s">
        <v>6039</v>
      </c>
      <c r="I4832" t="s">
        <v>6051</v>
      </c>
      <c r="J4832" t="s">
        <v>6054</v>
      </c>
      <c r="K4832" t="s">
        <v>6059</v>
      </c>
      <c r="L4832" t="s">
        <v>9793</v>
      </c>
      <c r="M4832">
        <v>1955.45</v>
      </c>
      <c r="N4832">
        <v>7</v>
      </c>
      <c r="O4832">
        <v>0.18</v>
      </c>
      <c r="P4832">
        <v>-144.32</v>
      </c>
      <c r="Q4832" t="s">
        <v>9895</v>
      </c>
      <c r="R4832">
        <v>3</v>
      </c>
      <c r="S4832" s="5">
        <f t="shared" si="150"/>
        <v>-7.3803983737758566E-2</v>
      </c>
      <c r="T4832">
        <v>279.35000000000002</v>
      </c>
      <c r="U4832">
        <v>1</v>
      </c>
      <c r="V4832">
        <v>2024</v>
      </c>
      <c r="W4832">
        <v>1</v>
      </c>
      <c r="X4832" t="s">
        <v>9898</v>
      </c>
      <c r="Y4832" t="s">
        <v>9900</v>
      </c>
      <c r="Z4832" t="s">
        <v>9898</v>
      </c>
      <c r="AD4832">
        <f t="shared" si="151"/>
        <v>3</v>
      </c>
    </row>
    <row r="4833" spans="1:30" x14ac:dyDescent="0.25">
      <c r="A4833" t="s">
        <v>4857</v>
      </c>
      <c r="B4833" s="2">
        <v>45410</v>
      </c>
      <c r="C4833" s="2">
        <v>45413</v>
      </c>
      <c r="D4833" t="s">
        <v>5370</v>
      </c>
      <c r="E4833" t="s">
        <v>5870</v>
      </c>
      <c r="F4833" t="s">
        <v>6026</v>
      </c>
      <c r="G4833" t="s">
        <v>6029</v>
      </c>
      <c r="H4833" t="s">
        <v>6044</v>
      </c>
      <c r="I4833" t="s">
        <v>6049</v>
      </c>
      <c r="J4833" t="s">
        <v>6054</v>
      </c>
      <c r="K4833" t="s">
        <v>6062</v>
      </c>
      <c r="L4833" t="s">
        <v>9116</v>
      </c>
      <c r="M4833">
        <v>594.71</v>
      </c>
      <c r="N4833">
        <v>6</v>
      </c>
      <c r="O4833">
        <v>0.26</v>
      </c>
      <c r="P4833">
        <v>18.87</v>
      </c>
      <c r="Q4833" t="s">
        <v>9894</v>
      </c>
      <c r="R4833">
        <v>3</v>
      </c>
      <c r="S4833" s="5">
        <f t="shared" si="150"/>
        <v>3.172975063476316E-2</v>
      </c>
      <c r="T4833">
        <v>99.118333333333339</v>
      </c>
      <c r="U4833">
        <v>4</v>
      </c>
      <c r="V4833">
        <v>2024</v>
      </c>
      <c r="W4833">
        <v>2</v>
      </c>
      <c r="X4833" t="s">
        <v>9899</v>
      </c>
      <c r="Y4833" t="s">
        <v>9900</v>
      </c>
      <c r="Z4833" t="s">
        <v>9899</v>
      </c>
      <c r="AD4833">
        <f t="shared" si="151"/>
        <v>3</v>
      </c>
    </row>
    <row r="4834" spans="1:30" x14ac:dyDescent="0.25">
      <c r="A4834" t="s">
        <v>4858</v>
      </c>
      <c r="B4834" s="2">
        <v>44816</v>
      </c>
      <c r="C4834" s="2">
        <v>44820</v>
      </c>
      <c r="D4834" t="s">
        <v>5192</v>
      </c>
      <c r="E4834" t="s">
        <v>5692</v>
      </c>
      <c r="F4834" t="s">
        <v>6027</v>
      </c>
      <c r="G4834" t="s">
        <v>6031</v>
      </c>
      <c r="H4834" t="s">
        <v>6037</v>
      </c>
      <c r="I4834" t="s">
        <v>6052</v>
      </c>
      <c r="J4834" t="s">
        <v>6055</v>
      </c>
      <c r="K4834" t="s">
        <v>6063</v>
      </c>
      <c r="L4834" t="s">
        <v>7037</v>
      </c>
      <c r="M4834">
        <v>1339.3</v>
      </c>
      <c r="N4834">
        <v>4</v>
      </c>
      <c r="O4834">
        <v>0.13</v>
      </c>
      <c r="P4834">
        <v>59.96</v>
      </c>
      <c r="Q4834" t="s">
        <v>9895</v>
      </c>
      <c r="R4834">
        <v>4</v>
      </c>
      <c r="S4834" s="5">
        <f t="shared" si="150"/>
        <v>4.4769655790338238E-2</v>
      </c>
      <c r="T4834">
        <v>334.82499999999999</v>
      </c>
      <c r="U4834">
        <v>9</v>
      </c>
      <c r="V4834">
        <v>2022</v>
      </c>
      <c r="W4834">
        <v>3</v>
      </c>
      <c r="X4834" t="s">
        <v>9899</v>
      </c>
      <c r="Y4834" t="s">
        <v>9901</v>
      </c>
      <c r="Z4834" t="s">
        <v>9898</v>
      </c>
      <c r="AD4834">
        <f t="shared" si="151"/>
        <v>4</v>
      </c>
    </row>
    <row r="4835" spans="1:30" x14ac:dyDescent="0.25">
      <c r="A4835" t="s">
        <v>4859</v>
      </c>
      <c r="B4835" s="2">
        <v>44854</v>
      </c>
      <c r="C4835" s="2">
        <v>44860</v>
      </c>
      <c r="D4835" t="s">
        <v>5482</v>
      </c>
      <c r="E4835" t="s">
        <v>5982</v>
      </c>
      <c r="F4835" t="s">
        <v>6028</v>
      </c>
      <c r="G4835" t="s">
        <v>6029</v>
      </c>
      <c r="H4835" t="s">
        <v>6032</v>
      </c>
      <c r="I4835" t="s">
        <v>6049</v>
      </c>
      <c r="J4835" t="s">
        <v>6054</v>
      </c>
      <c r="K4835" t="s">
        <v>6059</v>
      </c>
      <c r="L4835" t="s">
        <v>9794</v>
      </c>
      <c r="M4835">
        <v>922.87</v>
      </c>
      <c r="N4835">
        <v>7</v>
      </c>
      <c r="O4835">
        <v>0.26</v>
      </c>
      <c r="P4835">
        <v>-97.48</v>
      </c>
      <c r="Q4835" t="s">
        <v>9893</v>
      </c>
      <c r="R4835">
        <v>6</v>
      </c>
      <c r="S4835" s="5">
        <f t="shared" si="150"/>
        <v>-0.10562701138838623</v>
      </c>
      <c r="T4835">
        <v>131.83857142857141</v>
      </c>
      <c r="U4835">
        <v>10</v>
      </c>
      <c r="V4835">
        <v>2022</v>
      </c>
      <c r="W4835">
        <v>4</v>
      </c>
      <c r="X4835" t="s">
        <v>9898</v>
      </c>
      <c r="Y4835" t="s">
        <v>9900</v>
      </c>
      <c r="Z4835" t="s">
        <v>9899</v>
      </c>
      <c r="AD4835">
        <f t="shared" si="151"/>
        <v>6</v>
      </c>
    </row>
    <row r="4836" spans="1:30" x14ac:dyDescent="0.25">
      <c r="A4836" t="s">
        <v>4860</v>
      </c>
      <c r="B4836" s="2">
        <v>44631</v>
      </c>
      <c r="C4836" s="2">
        <v>44637</v>
      </c>
      <c r="D4836" t="s">
        <v>5516</v>
      </c>
      <c r="E4836" t="s">
        <v>6016</v>
      </c>
      <c r="F4836" t="s">
        <v>6027</v>
      </c>
      <c r="G4836" t="s">
        <v>6031</v>
      </c>
      <c r="H4836" t="s">
        <v>6043</v>
      </c>
      <c r="I4836" t="s">
        <v>6050</v>
      </c>
      <c r="J4836" t="s">
        <v>6053</v>
      </c>
      <c r="K4836" t="s">
        <v>6056</v>
      </c>
      <c r="L4836" t="s">
        <v>9795</v>
      </c>
      <c r="M4836">
        <v>1120.2</v>
      </c>
      <c r="N4836">
        <v>7</v>
      </c>
      <c r="O4836">
        <v>0.2</v>
      </c>
      <c r="P4836">
        <v>-85.03</v>
      </c>
      <c r="Q4836" t="s">
        <v>9895</v>
      </c>
      <c r="R4836">
        <v>6</v>
      </c>
      <c r="S4836" s="5">
        <f t="shared" si="150"/>
        <v>-7.5906088198535976E-2</v>
      </c>
      <c r="T4836">
        <v>160.02857142857141</v>
      </c>
      <c r="U4836">
        <v>3</v>
      </c>
      <c r="V4836">
        <v>2022</v>
      </c>
      <c r="W4836">
        <v>1</v>
      </c>
      <c r="X4836" t="s">
        <v>9898</v>
      </c>
      <c r="Y4836" t="s">
        <v>9900</v>
      </c>
      <c r="Z4836" t="s">
        <v>9898</v>
      </c>
      <c r="AD4836">
        <f t="shared" si="151"/>
        <v>6</v>
      </c>
    </row>
    <row r="4837" spans="1:30" x14ac:dyDescent="0.25">
      <c r="A4837" t="s">
        <v>4861</v>
      </c>
      <c r="B4837" s="2">
        <v>45112</v>
      </c>
      <c r="C4837" s="2">
        <v>45117</v>
      </c>
      <c r="D4837" t="s">
        <v>5290</v>
      </c>
      <c r="E4837" t="s">
        <v>5790</v>
      </c>
      <c r="F4837" t="s">
        <v>6028</v>
      </c>
      <c r="G4837" t="s">
        <v>6031</v>
      </c>
      <c r="H4837" t="s">
        <v>6037</v>
      </c>
      <c r="I4837" t="s">
        <v>6052</v>
      </c>
      <c r="J4837" t="s">
        <v>6055</v>
      </c>
      <c r="K4837" t="s">
        <v>6063</v>
      </c>
      <c r="L4837" t="s">
        <v>9796</v>
      </c>
      <c r="M4837">
        <v>1867.54</v>
      </c>
      <c r="N4837">
        <v>8</v>
      </c>
      <c r="O4837">
        <v>0.1</v>
      </c>
      <c r="P4837">
        <v>191.79</v>
      </c>
      <c r="Q4837" t="s">
        <v>9895</v>
      </c>
      <c r="R4837">
        <v>5</v>
      </c>
      <c r="S4837" s="5">
        <f t="shared" si="150"/>
        <v>0.10269659552138106</v>
      </c>
      <c r="T4837">
        <v>233.4425</v>
      </c>
      <c r="U4837">
        <v>7</v>
      </c>
      <c r="V4837">
        <v>2023</v>
      </c>
      <c r="W4837">
        <v>3</v>
      </c>
      <c r="X4837" t="s">
        <v>9899</v>
      </c>
      <c r="Y4837" t="s">
        <v>9901</v>
      </c>
      <c r="Z4837" t="s">
        <v>9898</v>
      </c>
      <c r="AD4837">
        <f t="shared" si="151"/>
        <v>5</v>
      </c>
    </row>
    <row r="4838" spans="1:30" x14ac:dyDescent="0.25">
      <c r="A4838" t="s">
        <v>4862</v>
      </c>
      <c r="B4838" s="2">
        <v>45277</v>
      </c>
      <c r="C4838" s="2">
        <v>45278</v>
      </c>
      <c r="D4838" t="s">
        <v>5518</v>
      </c>
      <c r="E4838" t="s">
        <v>6018</v>
      </c>
      <c r="F4838" t="s">
        <v>6028</v>
      </c>
      <c r="G4838" t="s">
        <v>6029</v>
      </c>
      <c r="H4838" t="s">
        <v>6036</v>
      </c>
      <c r="I4838" t="s">
        <v>6049</v>
      </c>
      <c r="J4838" t="s">
        <v>6054</v>
      </c>
      <c r="K4838" t="s">
        <v>6062</v>
      </c>
      <c r="L4838" t="s">
        <v>9797</v>
      </c>
      <c r="M4838">
        <v>1997.41</v>
      </c>
      <c r="N4838">
        <v>3</v>
      </c>
      <c r="O4838">
        <v>0.08</v>
      </c>
      <c r="P4838">
        <v>192.31</v>
      </c>
      <c r="Q4838" t="s">
        <v>9893</v>
      </c>
      <c r="R4838">
        <v>1</v>
      </c>
      <c r="S4838" s="5">
        <f t="shared" si="150"/>
        <v>9.6279682188434024E-2</v>
      </c>
      <c r="T4838">
        <v>665.8033333333334</v>
      </c>
      <c r="U4838">
        <v>12</v>
      </c>
      <c r="V4838">
        <v>2023</v>
      </c>
      <c r="W4838">
        <v>4</v>
      </c>
      <c r="X4838" t="s">
        <v>9899</v>
      </c>
      <c r="Y4838" t="s">
        <v>9901</v>
      </c>
      <c r="Z4838" t="s">
        <v>9898</v>
      </c>
      <c r="AD4838">
        <f t="shared" si="151"/>
        <v>1</v>
      </c>
    </row>
    <row r="4839" spans="1:30" x14ac:dyDescent="0.25">
      <c r="A4839" t="s">
        <v>4863</v>
      </c>
      <c r="B4839" s="2">
        <v>45276</v>
      </c>
      <c r="C4839" s="2">
        <v>45282</v>
      </c>
      <c r="D4839" t="s">
        <v>5290</v>
      </c>
      <c r="E4839" t="s">
        <v>5790</v>
      </c>
      <c r="F4839" t="s">
        <v>6027</v>
      </c>
      <c r="G4839" t="s">
        <v>6029</v>
      </c>
      <c r="H4839" t="s">
        <v>6044</v>
      </c>
      <c r="I4839" t="s">
        <v>6046</v>
      </c>
      <c r="J4839" t="s">
        <v>6055</v>
      </c>
      <c r="K4839" t="s">
        <v>6061</v>
      </c>
      <c r="L4839" t="s">
        <v>8173</v>
      </c>
      <c r="M4839">
        <v>1836.43</v>
      </c>
      <c r="N4839">
        <v>3</v>
      </c>
      <c r="O4839">
        <v>0.3</v>
      </c>
      <c r="P4839">
        <v>-187</v>
      </c>
      <c r="Q4839" t="s">
        <v>9895</v>
      </c>
      <c r="R4839">
        <v>6</v>
      </c>
      <c r="S4839" s="5">
        <f t="shared" si="150"/>
        <v>-0.10182800324542726</v>
      </c>
      <c r="T4839">
        <v>612.14333333333332</v>
      </c>
      <c r="U4839">
        <v>12</v>
      </c>
      <c r="V4839">
        <v>2023</v>
      </c>
      <c r="W4839">
        <v>4</v>
      </c>
      <c r="X4839" t="s">
        <v>9898</v>
      </c>
      <c r="Y4839" t="s">
        <v>9900</v>
      </c>
      <c r="Z4839" t="s">
        <v>9898</v>
      </c>
      <c r="AD4839">
        <f t="shared" si="151"/>
        <v>6</v>
      </c>
    </row>
    <row r="4840" spans="1:30" x14ac:dyDescent="0.25">
      <c r="A4840" t="s">
        <v>4864</v>
      </c>
      <c r="B4840" s="2">
        <v>44919</v>
      </c>
      <c r="C4840" s="2">
        <v>44924</v>
      </c>
      <c r="D4840" t="s">
        <v>5237</v>
      </c>
      <c r="E4840" t="s">
        <v>5737</v>
      </c>
      <c r="F4840" t="s">
        <v>6028</v>
      </c>
      <c r="G4840" t="s">
        <v>6029</v>
      </c>
      <c r="H4840" t="s">
        <v>6036</v>
      </c>
      <c r="I4840" t="s">
        <v>6046</v>
      </c>
      <c r="J4840" t="s">
        <v>6054</v>
      </c>
      <c r="K4840" t="s">
        <v>6060</v>
      </c>
      <c r="L4840" t="s">
        <v>8320</v>
      </c>
      <c r="M4840">
        <v>1878.36</v>
      </c>
      <c r="N4840">
        <v>6</v>
      </c>
      <c r="O4840">
        <v>0.16</v>
      </c>
      <c r="P4840">
        <v>242.72</v>
      </c>
      <c r="Q4840" t="s">
        <v>9894</v>
      </c>
      <c r="R4840">
        <v>5</v>
      </c>
      <c r="S4840" s="5">
        <f t="shared" si="150"/>
        <v>0.12921910602866332</v>
      </c>
      <c r="T4840">
        <v>313.06</v>
      </c>
      <c r="U4840">
        <v>12</v>
      </c>
      <c r="V4840">
        <v>2022</v>
      </c>
      <c r="W4840">
        <v>4</v>
      </c>
      <c r="X4840" t="s">
        <v>9899</v>
      </c>
      <c r="Y4840" t="s">
        <v>9900</v>
      </c>
      <c r="Z4840" t="s">
        <v>9898</v>
      </c>
      <c r="AD4840">
        <f t="shared" si="151"/>
        <v>5</v>
      </c>
    </row>
    <row r="4841" spans="1:30" x14ac:dyDescent="0.25">
      <c r="A4841" t="s">
        <v>4865</v>
      </c>
      <c r="B4841" s="2">
        <v>44951</v>
      </c>
      <c r="C4841" s="2">
        <v>44953</v>
      </c>
      <c r="D4841" t="s">
        <v>5318</v>
      </c>
      <c r="E4841" t="s">
        <v>5818</v>
      </c>
      <c r="F4841" t="s">
        <v>6027</v>
      </c>
      <c r="G4841" t="s">
        <v>6029</v>
      </c>
      <c r="H4841" t="s">
        <v>6041</v>
      </c>
      <c r="I4841" t="s">
        <v>6046</v>
      </c>
      <c r="J4841" t="s">
        <v>6054</v>
      </c>
      <c r="K4841" t="s">
        <v>6060</v>
      </c>
      <c r="L4841" t="s">
        <v>9729</v>
      </c>
      <c r="M4841">
        <v>1199.1199999999999</v>
      </c>
      <c r="N4841">
        <v>4</v>
      </c>
      <c r="O4841">
        <v>0.27</v>
      </c>
      <c r="P4841">
        <v>-92.38</v>
      </c>
      <c r="Q4841" t="s">
        <v>9894</v>
      </c>
      <c r="R4841">
        <v>2</v>
      </c>
      <c r="S4841" s="5">
        <f t="shared" si="150"/>
        <v>-7.7039829208085928E-2</v>
      </c>
      <c r="T4841">
        <v>299.77999999999997</v>
      </c>
      <c r="U4841">
        <v>1</v>
      </c>
      <c r="V4841">
        <v>2023</v>
      </c>
      <c r="W4841">
        <v>1</v>
      </c>
      <c r="X4841" t="s">
        <v>9898</v>
      </c>
      <c r="Y4841" t="s">
        <v>9900</v>
      </c>
      <c r="Z4841" t="s">
        <v>9898</v>
      </c>
      <c r="AD4841">
        <f t="shared" si="151"/>
        <v>2</v>
      </c>
    </row>
    <row r="4842" spans="1:30" x14ac:dyDescent="0.25">
      <c r="A4842" t="s">
        <v>4866</v>
      </c>
      <c r="B4842" s="2">
        <v>45158</v>
      </c>
      <c r="C4842" s="2">
        <v>45159</v>
      </c>
      <c r="D4842" t="s">
        <v>5406</v>
      </c>
      <c r="E4842" t="s">
        <v>5906</v>
      </c>
      <c r="F4842" t="s">
        <v>6028</v>
      </c>
      <c r="G4842" t="s">
        <v>6030</v>
      </c>
      <c r="H4842" t="s">
        <v>6035</v>
      </c>
      <c r="I4842" t="s">
        <v>6047</v>
      </c>
      <c r="J4842" t="s">
        <v>6054</v>
      </c>
      <c r="K4842" t="s">
        <v>6060</v>
      </c>
      <c r="L4842" t="s">
        <v>6635</v>
      </c>
      <c r="M4842">
        <v>828.33</v>
      </c>
      <c r="N4842">
        <v>5</v>
      </c>
      <c r="O4842">
        <v>0.08</v>
      </c>
      <c r="P4842">
        <v>36.53</v>
      </c>
      <c r="Q4842" t="s">
        <v>9894</v>
      </c>
      <c r="R4842">
        <v>1</v>
      </c>
      <c r="S4842" s="5">
        <f t="shared" si="150"/>
        <v>4.4100781089662332E-2</v>
      </c>
      <c r="T4842">
        <v>165.666</v>
      </c>
      <c r="U4842">
        <v>8</v>
      </c>
      <c r="V4842">
        <v>2023</v>
      </c>
      <c r="W4842">
        <v>3</v>
      </c>
      <c r="X4842" t="s">
        <v>9899</v>
      </c>
      <c r="Y4842" t="s">
        <v>9901</v>
      </c>
      <c r="Z4842" t="s">
        <v>9899</v>
      </c>
      <c r="AD4842">
        <f t="shared" si="151"/>
        <v>1</v>
      </c>
    </row>
    <row r="4843" spans="1:30" x14ac:dyDescent="0.25">
      <c r="A4843" t="s">
        <v>4867</v>
      </c>
      <c r="B4843" s="2">
        <v>45358</v>
      </c>
      <c r="C4843" s="2">
        <v>45361</v>
      </c>
      <c r="D4843" t="s">
        <v>5098</v>
      </c>
      <c r="E4843" t="s">
        <v>5598</v>
      </c>
      <c r="F4843" t="s">
        <v>6027</v>
      </c>
      <c r="G4843" t="s">
        <v>6031</v>
      </c>
      <c r="H4843" t="s">
        <v>6040</v>
      </c>
      <c r="I4843" t="s">
        <v>6048</v>
      </c>
      <c r="J4843" t="s">
        <v>6055</v>
      </c>
      <c r="K4843" t="s">
        <v>6064</v>
      </c>
      <c r="L4843" t="s">
        <v>7236</v>
      </c>
      <c r="M4843">
        <v>767.11</v>
      </c>
      <c r="N4843">
        <v>1</v>
      </c>
      <c r="O4843">
        <v>0.15</v>
      </c>
      <c r="P4843">
        <v>-14.57</v>
      </c>
      <c r="Q4843" t="s">
        <v>9896</v>
      </c>
      <c r="R4843">
        <v>3</v>
      </c>
      <c r="S4843" s="5">
        <f t="shared" si="150"/>
        <v>-1.8993364706495808E-2</v>
      </c>
      <c r="T4843">
        <v>767.11</v>
      </c>
      <c r="U4843">
        <v>3</v>
      </c>
      <c r="V4843">
        <v>2024</v>
      </c>
      <c r="W4843">
        <v>1</v>
      </c>
      <c r="X4843" t="s">
        <v>9898</v>
      </c>
      <c r="Y4843" t="s">
        <v>9901</v>
      </c>
      <c r="Z4843" t="s">
        <v>9899</v>
      </c>
      <c r="AD4843">
        <f t="shared" si="151"/>
        <v>3</v>
      </c>
    </row>
    <row r="4844" spans="1:30" x14ac:dyDescent="0.25">
      <c r="A4844" t="s">
        <v>4868</v>
      </c>
      <c r="B4844" s="2">
        <v>45360</v>
      </c>
      <c r="C4844" s="2">
        <v>45361</v>
      </c>
      <c r="D4844" t="s">
        <v>5284</v>
      </c>
      <c r="E4844" t="s">
        <v>5784</v>
      </c>
      <c r="F4844" t="s">
        <v>6028</v>
      </c>
      <c r="G4844" t="s">
        <v>6030</v>
      </c>
      <c r="H4844" t="s">
        <v>6038</v>
      </c>
      <c r="I4844" t="s">
        <v>6051</v>
      </c>
      <c r="J4844" t="s">
        <v>6054</v>
      </c>
      <c r="K4844" t="s">
        <v>6062</v>
      </c>
      <c r="L4844" t="s">
        <v>9798</v>
      </c>
      <c r="M4844">
        <v>1931.28</v>
      </c>
      <c r="N4844">
        <v>6</v>
      </c>
      <c r="O4844">
        <v>0.13</v>
      </c>
      <c r="P4844">
        <v>46.11</v>
      </c>
      <c r="Q4844" t="s">
        <v>9893</v>
      </c>
      <c r="R4844">
        <v>1</v>
      </c>
      <c r="S4844" s="5">
        <f t="shared" si="150"/>
        <v>2.387535727600348E-2</v>
      </c>
      <c r="T4844">
        <v>321.88</v>
      </c>
      <c r="U4844">
        <v>3</v>
      </c>
      <c r="V4844">
        <v>2024</v>
      </c>
      <c r="W4844">
        <v>1</v>
      </c>
      <c r="X4844" t="s">
        <v>9899</v>
      </c>
      <c r="Y4844" t="s">
        <v>9901</v>
      </c>
      <c r="Z4844" t="s">
        <v>9898</v>
      </c>
      <c r="AD4844">
        <f t="shared" si="151"/>
        <v>1</v>
      </c>
    </row>
    <row r="4845" spans="1:30" x14ac:dyDescent="0.25">
      <c r="A4845" t="s">
        <v>4869</v>
      </c>
      <c r="B4845" s="2">
        <v>44710</v>
      </c>
      <c r="C4845" s="2">
        <v>44714</v>
      </c>
      <c r="D4845" t="s">
        <v>5077</v>
      </c>
      <c r="E4845" t="s">
        <v>5577</v>
      </c>
      <c r="F4845" t="s">
        <v>6026</v>
      </c>
      <c r="G4845" t="s">
        <v>6029</v>
      </c>
      <c r="H4845" t="s">
        <v>6032</v>
      </c>
      <c r="I4845" t="s">
        <v>6050</v>
      </c>
      <c r="J4845" t="s">
        <v>6054</v>
      </c>
      <c r="K4845" t="s">
        <v>6062</v>
      </c>
      <c r="L4845" t="s">
        <v>9665</v>
      </c>
      <c r="M4845">
        <v>876.3</v>
      </c>
      <c r="N4845">
        <v>6</v>
      </c>
      <c r="O4845">
        <v>0</v>
      </c>
      <c r="P4845">
        <v>123.77</v>
      </c>
      <c r="Q4845" t="s">
        <v>9895</v>
      </c>
      <c r="R4845">
        <v>4</v>
      </c>
      <c r="S4845" s="5">
        <f t="shared" si="150"/>
        <v>0.14124158393244324</v>
      </c>
      <c r="T4845">
        <v>146.05000000000001</v>
      </c>
      <c r="U4845">
        <v>5</v>
      </c>
      <c r="V4845">
        <v>2022</v>
      </c>
      <c r="W4845">
        <v>2</v>
      </c>
      <c r="X4845" t="s">
        <v>9899</v>
      </c>
      <c r="Y4845" t="s">
        <v>9901</v>
      </c>
      <c r="Z4845" t="s">
        <v>9899</v>
      </c>
      <c r="AD4845">
        <f t="shared" si="151"/>
        <v>4</v>
      </c>
    </row>
    <row r="4846" spans="1:30" x14ac:dyDescent="0.25">
      <c r="A4846" t="s">
        <v>4870</v>
      </c>
      <c r="B4846" s="2">
        <v>44754</v>
      </c>
      <c r="C4846" s="2">
        <v>44755</v>
      </c>
      <c r="D4846" t="s">
        <v>5274</v>
      </c>
      <c r="E4846" t="s">
        <v>5774</v>
      </c>
      <c r="F4846" t="s">
        <v>6026</v>
      </c>
      <c r="G4846" t="s">
        <v>6031</v>
      </c>
      <c r="H4846" t="s">
        <v>6040</v>
      </c>
      <c r="I4846" t="s">
        <v>6052</v>
      </c>
      <c r="J4846" t="s">
        <v>6054</v>
      </c>
      <c r="K4846" t="s">
        <v>6059</v>
      </c>
      <c r="L4846" t="s">
        <v>9799</v>
      </c>
      <c r="M4846">
        <v>1906.85</v>
      </c>
      <c r="N4846">
        <v>6</v>
      </c>
      <c r="O4846">
        <v>0.17</v>
      </c>
      <c r="P4846">
        <v>10.18</v>
      </c>
      <c r="Q4846" t="s">
        <v>9893</v>
      </c>
      <c r="R4846">
        <v>1</v>
      </c>
      <c r="S4846" s="5">
        <f t="shared" si="150"/>
        <v>5.3386475076697172E-3</v>
      </c>
      <c r="T4846">
        <v>317.80833333333328</v>
      </c>
      <c r="U4846">
        <v>7</v>
      </c>
      <c r="V4846">
        <v>2022</v>
      </c>
      <c r="W4846">
        <v>3</v>
      </c>
      <c r="X4846" t="s">
        <v>9899</v>
      </c>
      <c r="Y4846" t="s">
        <v>9900</v>
      </c>
      <c r="Z4846" t="s">
        <v>9898</v>
      </c>
      <c r="AD4846">
        <f t="shared" si="151"/>
        <v>1</v>
      </c>
    </row>
    <row r="4847" spans="1:30" x14ac:dyDescent="0.25">
      <c r="A4847" t="s">
        <v>4871</v>
      </c>
      <c r="B4847" s="2">
        <v>45180</v>
      </c>
      <c r="C4847" s="2">
        <v>45187</v>
      </c>
      <c r="D4847" t="s">
        <v>5445</v>
      </c>
      <c r="E4847" t="s">
        <v>5945</v>
      </c>
      <c r="F4847" t="s">
        <v>6028</v>
      </c>
      <c r="G4847" t="s">
        <v>6030</v>
      </c>
      <c r="H4847" t="s">
        <v>6033</v>
      </c>
      <c r="I4847" t="s">
        <v>6051</v>
      </c>
      <c r="J4847" t="s">
        <v>6055</v>
      </c>
      <c r="K4847" t="s">
        <v>6064</v>
      </c>
      <c r="L4847" t="s">
        <v>9800</v>
      </c>
      <c r="M4847">
        <v>1355.81</v>
      </c>
      <c r="N4847">
        <v>3</v>
      </c>
      <c r="O4847">
        <v>0.06</v>
      </c>
      <c r="P4847">
        <v>285.75</v>
      </c>
      <c r="Q4847" t="s">
        <v>9895</v>
      </c>
      <c r="R4847">
        <v>7</v>
      </c>
      <c r="S4847" s="5">
        <f t="shared" si="150"/>
        <v>0.21075961971072643</v>
      </c>
      <c r="T4847">
        <v>451.93666666666672</v>
      </c>
      <c r="U4847">
        <v>9</v>
      </c>
      <c r="V4847">
        <v>2023</v>
      </c>
      <c r="W4847">
        <v>3</v>
      </c>
      <c r="X4847" t="s">
        <v>9899</v>
      </c>
      <c r="Y4847" t="s">
        <v>9901</v>
      </c>
      <c r="Z4847" t="s">
        <v>9898</v>
      </c>
      <c r="AD4847">
        <f t="shared" si="151"/>
        <v>7</v>
      </c>
    </row>
    <row r="4848" spans="1:30" x14ac:dyDescent="0.25">
      <c r="A4848" t="s">
        <v>4872</v>
      </c>
      <c r="B4848" s="2">
        <v>44660</v>
      </c>
      <c r="C4848" s="2">
        <v>44664</v>
      </c>
      <c r="D4848" t="s">
        <v>5137</v>
      </c>
      <c r="E4848" t="s">
        <v>5637</v>
      </c>
      <c r="F4848" t="s">
        <v>6027</v>
      </c>
      <c r="G4848" t="s">
        <v>6030</v>
      </c>
      <c r="H4848" t="s">
        <v>6035</v>
      </c>
      <c r="I4848" t="s">
        <v>6051</v>
      </c>
      <c r="J4848" t="s">
        <v>6055</v>
      </c>
      <c r="K4848" t="s">
        <v>6061</v>
      </c>
      <c r="L4848" t="s">
        <v>9801</v>
      </c>
      <c r="M4848">
        <v>775.19</v>
      </c>
      <c r="N4848">
        <v>6</v>
      </c>
      <c r="O4848">
        <v>0.1</v>
      </c>
      <c r="P4848">
        <v>75.81</v>
      </c>
      <c r="Q4848" t="s">
        <v>9895</v>
      </c>
      <c r="R4848">
        <v>4</v>
      </c>
      <c r="S4848" s="5">
        <f t="shared" si="150"/>
        <v>9.7795379197358062E-2</v>
      </c>
      <c r="T4848">
        <v>129.19833333333341</v>
      </c>
      <c r="U4848">
        <v>4</v>
      </c>
      <c r="V4848">
        <v>2022</v>
      </c>
      <c r="W4848">
        <v>2</v>
      </c>
      <c r="X4848" t="s">
        <v>9899</v>
      </c>
      <c r="Y4848" t="s">
        <v>9901</v>
      </c>
      <c r="Z4848" t="s">
        <v>9899</v>
      </c>
      <c r="AD4848">
        <f t="shared" si="151"/>
        <v>4</v>
      </c>
    </row>
    <row r="4849" spans="1:30" x14ac:dyDescent="0.25">
      <c r="A4849" t="s">
        <v>4873</v>
      </c>
      <c r="B4849" s="2">
        <v>44601</v>
      </c>
      <c r="C4849" s="2">
        <v>44605</v>
      </c>
      <c r="D4849" t="s">
        <v>5169</v>
      </c>
      <c r="E4849" t="s">
        <v>5669</v>
      </c>
      <c r="F4849" t="s">
        <v>6026</v>
      </c>
      <c r="G4849" t="s">
        <v>6029</v>
      </c>
      <c r="H4849" t="s">
        <v>6036</v>
      </c>
      <c r="I4849" t="s">
        <v>6046</v>
      </c>
      <c r="J4849" t="s">
        <v>6054</v>
      </c>
      <c r="K4849" t="s">
        <v>6062</v>
      </c>
      <c r="L4849" t="s">
        <v>9802</v>
      </c>
      <c r="M4849">
        <v>267.56</v>
      </c>
      <c r="N4849">
        <v>5</v>
      </c>
      <c r="O4849">
        <v>0.22</v>
      </c>
      <c r="P4849">
        <v>15.46</v>
      </c>
      <c r="Q4849" t="s">
        <v>9896</v>
      </c>
      <c r="R4849">
        <v>4</v>
      </c>
      <c r="S4849" s="5">
        <f t="shared" si="150"/>
        <v>5.7781432202122888E-2</v>
      </c>
      <c r="T4849">
        <v>53.512</v>
      </c>
      <c r="U4849">
        <v>2</v>
      </c>
      <c r="V4849">
        <v>2022</v>
      </c>
      <c r="W4849">
        <v>1</v>
      </c>
      <c r="X4849" t="s">
        <v>9899</v>
      </c>
      <c r="Y4849" t="s">
        <v>9900</v>
      </c>
      <c r="Z4849" t="s">
        <v>9899</v>
      </c>
      <c r="AD4849">
        <f t="shared" si="151"/>
        <v>4</v>
      </c>
    </row>
    <row r="4850" spans="1:30" x14ac:dyDescent="0.25">
      <c r="A4850" t="s">
        <v>4874</v>
      </c>
      <c r="B4850" s="2">
        <v>44673</v>
      </c>
      <c r="C4850" s="2">
        <v>44676</v>
      </c>
      <c r="D4850" t="s">
        <v>5268</v>
      </c>
      <c r="E4850" t="s">
        <v>5768</v>
      </c>
      <c r="F4850" t="s">
        <v>6026</v>
      </c>
      <c r="G4850" t="s">
        <v>6030</v>
      </c>
      <c r="H4850" t="s">
        <v>6033</v>
      </c>
      <c r="I4850" t="s">
        <v>6047</v>
      </c>
      <c r="J4850" t="s">
        <v>6055</v>
      </c>
      <c r="K4850" t="s">
        <v>6064</v>
      </c>
      <c r="L4850" t="s">
        <v>9803</v>
      </c>
      <c r="M4850">
        <v>1712.96</v>
      </c>
      <c r="N4850">
        <v>7</v>
      </c>
      <c r="O4850">
        <v>0.1</v>
      </c>
      <c r="P4850">
        <v>138.15</v>
      </c>
      <c r="Q4850" t="s">
        <v>9896</v>
      </c>
      <c r="R4850">
        <v>3</v>
      </c>
      <c r="S4850" s="5">
        <f t="shared" si="150"/>
        <v>8.0649869232206239E-2</v>
      </c>
      <c r="T4850">
        <v>244.70857142857139</v>
      </c>
      <c r="U4850">
        <v>4</v>
      </c>
      <c r="V4850">
        <v>2022</v>
      </c>
      <c r="W4850">
        <v>2</v>
      </c>
      <c r="X4850" t="s">
        <v>9899</v>
      </c>
      <c r="Y4850" t="s">
        <v>9901</v>
      </c>
      <c r="Z4850" t="s">
        <v>9898</v>
      </c>
      <c r="AD4850">
        <f t="shared" si="151"/>
        <v>3</v>
      </c>
    </row>
    <row r="4851" spans="1:30" x14ac:dyDescent="0.25">
      <c r="A4851" t="s">
        <v>4875</v>
      </c>
      <c r="B4851" s="2">
        <v>44616</v>
      </c>
      <c r="C4851" s="2">
        <v>44617</v>
      </c>
      <c r="D4851" t="s">
        <v>5144</v>
      </c>
      <c r="E4851" t="s">
        <v>5644</v>
      </c>
      <c r="F4851" t="s">
        <v>6026</v>
      </c>
      <c r="G4851" t="s">
        <v>6029</v>
      </c>
      <c r="H4851" t="s">
        <v>6036</v>
      </c>
      <c r="I4851" t="s">
        <v>6050</v>
      </c>
      <c r="J4851" t="s">
        <v>6054</v>
      </c>
      <c r="K4851" t="s">
        <v>6062</v>
      </c>
      <c r="L4851" t="s">
        <v>9804</v>
      </c>
      <c r="M4851">
        <v>837.56</v>
      </c>
      <c r="N4851">
        <v>5</v>
      </c>
      <c r="O4851">
        <v>0.11</v>
      </c>
      <c r="P4851">
        <v>78.45</v>
      </c>
      <c r="Q4851" t="s">
        <v>9893</v>
      </c>
      <c r="R4851">
        <v>1</v>
      </c>
      <c r="S4851" s="5">
        <f t="shared" si="150"/>
        <v>9.3664931467596357E-2</v>
      </c>
      <c r="T4851">
        <v>167.512</v>
      </c>
      <c r="U4851">
        <v>2</v>
      </c>
      <c r="V4851">
        <v>2022</v>
      </c>
      <c r="W4851">
        <v>1</v>
      </c>
      <c r="X4851" t="s">
        <v>9899</v>
      </c>
      <c r="Y4851" t="s">
        <v>9901</v>
      </c>
      <c r="Z4851" t="s">
        <v>9899</v>
      </c>
      <c r="AD4851">
        <f t="shared" si="151"/>
        <v>1</v>
      </c>
    </row>
    <row r="4852" spans="1:30" x14ac:dyDescent="0.25">
      <c r="A4852" t="s">
        <v>4876</v>
      </c>
      <c r="B4852" s="2">
        <v>44780</v>
      </c>
      <c r="C4852" s="2">
        <v>44784</v>
      </c>
      <c r="D4852" t="s">
        <v>5401</v>
      </c>
      <c r="E4852" t="s">
        <v>5901</v>
      </c>
      <c r="F4852" t="s">
        <v>6027</v>
      </c>
      <c r="G4852" t="s">
        <v>6031</v>
      </c>
      <c r="H4852" t="s">
        <v>6042</v>
      </c>
      <c r="I4852" t="s">
        <v>6048</v>
      </c>
      <c r="J4852" t="s">
        <v>6054</v>
      </c>
      <c r="K4852" t="s">
        <v>6060</v>
      </c>
      <c r="L4852" t="s">
        <v>8961</v>
      </c>
      <c r="M4852">
        <v>1532.37</v>
      </c>
      <c r="N4852">
        <v>7</v>
      </c>
      <c r="O4852">
        <v>0.23</v>
      </c>
      <c r="P4852">
        <v>-186.95</v>
      </c>
      <c r="Q4852" t="s">
        <v>9896</v>
      </c>
      <c r="R4852">
        <v>4</v>
      </c>
      <c r="S4852" s="5">
        <f t="shared" si="150"/>
        <v>-0.12200056122215915</v>
      </c>
      <c r="T4852">
        <v>218.91</v>
      </c>
      <c r="U4852">
        <v>8</v>
      </c>
      <c r="V4852">
        <v>2022</v>
      </c>
      <c r="W4852">
        <v>3</v>
      </c>
      <c r="X4852" t="s">
        <v>9898</v>
      </c>
      <c r="Y4852" t="s">
        <v>9900</v>
      </c>
      <c r="Z4852" t="s">
        <v>9898</v>
      </c>
      <c r="AD4852">
        <f t="shared" si="151"/>
        <v>4</v>
      </c>
    </row>
    <row r="4853" spans="1:30" x14ac:dyDescent="0.25">
      <c r="A4853" t="s">
        <v>4877</v>
      </c>
      <c r="B4853" s="2">
        <v>44926</v>
      </c>
      <c r="C4853" s="2">
        <v>44929</v>
      </c>
      <c r="D4853" t="s">
        <v>5442</v>
      </c>
      <c r="E4853" t="s">
        <v>5942</v>
      </c>
      <c r="F4853" t="s">
        <v>6027</v>
      </c>
      <c r="G4853" t="s">
        <v>6029</v>
      </c>
      <c r="H4853" t="s">
        <v>6045</v>
      </c>
      <c r="I4853" t="s">
        <v>6050</v>
      </c>
      <c r="J4853" t="s">
        <v>6053</v>
      </c>
      <c r="K4853" t="s">
        <v>6057</v>
      </c>
      <c r="L4853" t="s">
        <v>9805</v>
      </c>
      <c r="M4853">
        <v>659.01</v>
      </c>
      <c r="N4853">
        <v>3</v>
      </c>
      <c r="O4853">
        <v>0</v>
      </c>
      <c r="P4853">
        <v>178.92</v>
      </c>
      <c r="Q4853" t="s">
        <v>9895</v>
      </c>
      <c r="R4853">
        <v>3</v>
      </c>
      <c r="S4853" s="5">
        <f t="shared" si="150"/>
        <v>0.27149815632539714</v>
      </c>
      <c r="T4853">
        <v>219.67</v>
      </c>
      <c r="U4853">
        <v>12</v>
      </c>
      <c r="V4853">
        <v>2022</v>
      </c>
      <c r="W4853">
        <v>4</v>
      </c>
      <c r="X4853" t="s">
        <v>9899</v>
      </c>
      <c r="Y4853" t="s">
        <v>9901</v>
      </c>
      <c r="Z4853" t="s">
        <v>9899</v>
      </c>
      <c r="AD4853">
        <f t="shared" si="151"/>
        <v>3</v>
      </c>
    </row>
    <row r="4854" spans="1:30" x14ac:dyDescent="0.25">
      <c r="A4854" t="s">
        <v>4878</v>
      </c>
      <c r="B4854" s="2">
        <v>45367</v>
      </c>
      <c r="C4854" s="2">
        <v>45368</v>
      </c>
      <c r="D4854" t="s">
        <v>5267</v>
      </c>
      <c r="E4854" t="s">
        <v>5767</v>
      </c>
      <c r="F4854" t="s">
        <v>6028</v>
      </c>
      <c r="G4854" t="s">
        <v>6029</v>
      </c>
      <c r="H4854" t="s">
        <v>6041</v>
      </c>
      <c r="I4854" t="s">
        <v>6046</v>
      </c>
      <c r="J4854" t="s">
        <v>6055</v>
      </c>
      <c r="K4854" t="s">
        <v>6061</v>
      </c>
      <c r="L4854" t="s">
        <v>9806</v>
      </c>
      <c r="M4854">
        <v>1698.19</v>
      </c>
      <c r="N4854">
        <v>4</v>
      </c>
      <c r="O4854">
        <v>0.17</v>
      </c>
      <c r="P4854">
        <v>209.26</v>
      </c>
      <c r="Q4854" t="s">
        <v>9894</v>
      </c>
      <c r="R4854">
        <v>1</v>
      </c>
      <c r="S4854" s="5">
        <f t="shared" si="150"/>
        <v>0.12322531636624875</v>
      </c>
      <c r="T4854">
        <v>424.54750000000001</v>
      </c>
      <c r="U4854">
        <v>3</v>
      </c>
      <c r="V4854">
        <v>2024</v>
      </c>
      <c r="W4854">
        <v>1</v>
      </c>
      <c r="X4854" t="s">
        <v>9899</v>
      </c>
      <c r="Y4854" t="s">
        <v>9900</v>
      </c>
      <c r="Z4854" t="s">
        <v>9898</v>
      </c>
      <c r="AD4854">
        <f t="shared" si="151"/>
        <v>1</v>
      </c>
    </row>
    <row r="4855" spans="1:30" x14ac:dyDescent="0.25">
      <c r="A4855" t="s">
        <v>4879</v>
      </c>
      <c r="B4855" s="2">
        <v>44742</v>
      </c>
      <c r="C4855" s="2">
        <v>44745</v>
      </c>
      <c r="D4855" t="s">
        <v>5278</v>
      </c>
      <c r="E4855" t="s">
        <v>5778</v>
      </c>
      <c r="F4855" t="s">
        <v>6027</v>
      </c>
      <c r="G4855" t="s">
        <v>6029</v>
      </c>
      <c r="H4855" t="s">
        <v>6044</v>
      </c>
      <c r="I4855" t="s">
        <v>6049</v>
      </c>
      <c r="J4855" t="s">
        <v>6054</v>
      </c>
      <c r="K4855" t="s">
        <v>6060</v>
      </c>
      <c r="L4855" t="s">
        <v>9543</v>
      </c>
      <c r="M4855">
        <v>653.77</v>
      </c>
      <c r="N4855">
        <v>1</v>
      </c>
      <c r="O4855">
        <v>0.33</v>
      </c>
      <c r="P4855">
        <v>-97.49</v>
      </c>
      <c r="Q4855" t="s">
        <v>9893</v>
      </c>
      <c r="R4855">
        <v>3</v>
      </c>
      <c r="S4855" s="5">
        <f t="shared" si="150"/>
        <v>-0.14911972100279913</v>
      </c>
      <c r="T4855">
        <v>653.77</v>
      </c>
      <c r="U4855">
        <v>6</v>
      </c>
      <c r="V4855">
        <v>2022</v>
      </c>
      <c r="W4855">
        <v>2</v>
      </c>
      <c r="X4855" t="s">
        <v>9898</v>
      </c>
      <c r="Y4855" t="s">
        <v>9902</v>
      </c>
      <c r="Z4855" t="s">
        <v>9899</v>
      </c>
      <c r="AD4855">
        <f t="shared" si="151"/>
        <v>3</v>
      </c>
    </row>
    <row r="4856" spans="1:30" x14ac:dyDescent="0.25">
      <c r="A4856" t="s">
        <v>4880</v>
      </c>
      <c r="B4856" s="2">
        <v>44796</v>
      </c>
      <c r="C4856" s="2">
        <v>44801</v>
      </c>
      <c r="D4856" t="s">
        <v>5297</v>
      </c>
      <c r="E4856" t="s">
        <v>5797</v>
      </c>
      <c r="F4856" t="s">
        <v>6027</v>
      </c>
      <c r="G4856" t="s">
        <v>6030</v>
      </c>
      <c r="H4856" t="s">
        <v>6035</v>
      </c>
      <c r="I4856" t="s">
        <v>6051</v>
      </c>
      <c r="J4856" t="s">
        <v>6055</v>
      </c>
      <c r="K4856" t="s">
        <v>6061</v>
      </c>
      <c r="L4856" t="s">
        <v>9807</v>
      </c>
      <c r="M4856">
        <v>1782.72</v>
      </c>
      <c r="N4856">
        <v>4</v>
      </c>
      <c r="O4856">
        <v>0.28999999999999998</v>
      </c>
      <c r="P4856">
        <v>-0.77</v>
      </c>
      <c r="Q4856" t="s">
        <v>9894</v>
      </c>
      <c r="R4856">
        <v>5</v>
      </c>
      <c r="S4856" s="5">
        <f t="shared" si="150"/>
        <v>-4.3192425058337819E-4</v>
      </c>
      <c r="T4856">
        <v>445.68</v>
      </c>
      <c r="U4856">
        <v>8</v>
      </c>
      <c r="V4856">
        <v>2022</v>
      </c>
      <c r="W4856">
        <v>3</v>
      </c>
      <c r="X4856" t="s">
        <v>9898</v>
      </c>
      <c r="Y4856" t="s">
        <v>9900</v>
      </c>
      <c r="Z4856" t="s">
        <v>9898</v>
      </c>
      <c r="AD4856">
        <f t="shared" si="151"/>
        <v>5</v>
      </c>
    </row>
    <row r="4857" spans="1:30" x14ac:dyDescent="0.25">
      <c r="A4857" t="s">
        <v>4881</v>
      </c>
      <c r="B4857" s="2">
        <v>44957</v>
      </c>
      <c r="C4857" s="2">
        <v>44960</v>
      </c>
      <c r="D4857" t="s">
        <v>5305</v>
      </c>
      <c r="E4857" t="s">
        <v>5805</v>
      </c>
      <c r="F4857" t="s">
        <v>6028</v>
      </c>
      <c r="G4857" t="s">
        <v>6029</v>
      </c>
      <c r="H4857" t="s">
        <v>6044</v>
      </c>
      <c r="I4857" t="s">
        <v>6046</v>
      </c>
      <c r="J4857" t="s">
        <v>6055</v>
      </c>
      <c r="K4857" t="s">
        <v>6063</v>
      </c>
      <c r="L4857" t="s">
        <v>6227</v>
      </c>
      <c r="M4857">
        <v>1309.28</v>
      </c>
      <c r="N4857">
        <v>6</v>
      </c>
      <c r="O4857">
        <v>0.06</v>
      </c>
      <c r="P4857">
        <v>123.1</v>
      </c>
      <c r="Q4857" t="s">
        <v>9895</v>
      </c>
      <c r="R4857">
        <v>3</v>
      </c>
      <c r="S4857" s="5">
        <f t="shared" si="150"/>
        <v>9.4021141390688012E-2</v>
      </c>
      <c r="T4857">
        <v>218.21333333333331</v>
      </c>
      <c r="U4857">
        <v>1</v>
      </c>
      <c r="V4857">
        <v>2023</v>
      </c>
      <c r="W4857">
        <v>1</v>
      </c>
      <c r="X4857" t="s">
        <v>9899</v>
      </c>
      <c r="Y4857" t="s">
        <v>9901</v>
      </c>
      <c r="Z4857" t="s">
        <v>9898</v>
      </c>
      <c r="AD4857">
        <f t="shared" si="151"/>
        <v>3</v>
      </c>
    </row>
    <row r="4858" spans="1:30" x14ac:dyDescent="0.25">
      <c r="A4858" t="s">
        <v>4882</v>
      </c>
      <c r="B4858" s="2">
        <v>45022</v>
      </c>
      <c r="C4858" s="2">
        <v>45025</v>
      </c>
      <c r="D4858" t="s">
        <v>5489</v>
      </c>
      <c r="E4858" t="s">
        <v>5989</v>
      </c>
      <c r="F4858" t="s">
        <v>6028</v>
      </c>
      <c r="G4858" t="s">
        <v>6030</v>
      </c>
      <c r="H4858" t="s">
        <v>6035</v>
      </c>
      <c r="I4858" t="s">
        <v>6047</v>
      </c>
      <c r="J4858" t="s">
        <v>6053</v>
      </c>
      <c r="K4858" t="s">
        <v>6056</v>
      </c>
      <c r="L4858" t="s">
        <v>9808</v>
      </c>
      <c r="M4858">
        <v>859.92</v>
      </c>
      <c r="N4858">
        <v>6</v>
      </c>
      <c r="O4858">
        <v>0.27</v>
      </c>
      <c r="P4858">
        <v>-30.9</v>
      </c>
      <c r="Q4858" t="s">
        <v>9894</v>
      </c>
      <c r="R4858">
        <v>3</v>
      </c>
      <c r="S4858" s="5">
        <f t="shared" si="150"/>
        <v>-3.5933575216299189E-2</v>
      </c>
      <c r="T4858">
        <v>143.32</v>
      </c>
      <c r="U4858">
        <v>4</v>
      </c>
      <c r="V4858">
        <v>2023</v>
      </c>
      <c r="W4858">
        <v>2</v>
      </c>
      <c r="X4858" t="s">
        <v>9898</v>
      </c>
      <c r="Y4858" t="s">
        <v>9900</v>
      </c>
      <c r="Z4858" t="s">
        <v>9899</v>
      </c>
      <c r="AD4858">
        <f t="shared" si="151"/>
        <v>3</v>
      </c>
    </row>
    <row r="4859" spans="1:30" x14ac:dyDescent="0.25">
      <c r="A4859" t="s">
        <v>4883</v>
      </c>
      <c r="B4859" s="2">
        <v>45210</v>
      </c>
      <c r="C4859" s="2">
        <v>45212</v>
      </c>
      <c r="D4859" t="s">
        <v>5236</v>
      </c>
      <c r="E4859" t="s">
        <v>5736</v>
      </c>
      <c r="F4859" t="s">
        <v>6028</v>
      </c>
      <c r="G4859" t="s">
        <v>6029</v>
      </c>
      <c r="H4859" t="s">
        <v>6045</v>
      </c>
      <c r="I4859" t="s">
        <v>6046</v>
      </c>
      <c r="J4859" t="s">
        <v>6054</v>
      </c>
      <c r="K4859" t="s">
        <v>6060</v>
      </c>
      <c r="L4859" t="s">
        <v>9809</v>
      </c>
      <c r="M4859">
        <v>1889.67</v>
      </c>
      <c r="N4859">
        <v>6</v>
      </c>
      <c r="O4859">
        <v>0.34</v>
      </c>
      <c r="P4859">
        <v>-270.73</v>
      </c>
      <c r="Q4859" t="s">
        <v>9893</v>
      </c>
      <c r="R4859">
        <v>2</v>
      </c>
      <c r="S4859" s="5">
        <f t="shared" si="150"/>
        <v>-0.14326840136108421</v>
      </c>
      <c r="T4859">
        <v>314.94499999999999</v>
      </c>
      <c r="U4859">
        <v>10</v>
      </c>
      <c r="V4859">
        <v>2023</v>
      </c>
      <c r="W4859">
        <v>4</v>
      </c>
      <c r="X4859" t="s">
        <v>9898</v>
      </c>
      <c r="Y4859" t="s">
        <v>9902</v>
      </c>
      <c r="Z4859" t="s">
        <v>9898</v>
      </c>
      <c r="AD4859">
        <f t="shared" si="151"/>
        <v>2</v>
      </c>
    </row>
    <row r="4860" spans="1:30" x14ac:dyDescent="0.25">
      <c r="A4860" t="s">
        <v>4884</v>
      </c>
      <c r="B4860" s="2">
        <v>45304</v>
      </c>
      <c r="C4860" s="2">
        <v>45309</v>
      </c>
      <c r="D4860" t="s">
        <v>5249</v>
      </c>
      <c r="E4860" t="s">
        <v>5749</v>
      </c>
      <c r="F4860" t="s">
        <v>6026</v>
      </c>
      <c r="G4860" t="s">
        <v>6031</v>
      </c>
      <c r="H4860" t="s">
        <v>6042</v>
      </c>
      <c r="I4860" t="s">
        <v>6050</v>
      </c>
      <c r="J4860" t="s">
        <v>6055</v>
      </c>
      <c r="K4860" t="s">
        <v>6061</v>
      </c>
      <c r="L4860" t="s">
        <v>9503</v>
      </c>
      <c r="M4860">
        <v>1093.8800000000001</v>
      </c>
      <c r="N4860">
        <v>7</v>
      </c>
      <c r="O4860">
        <v>0.21</v>
      </c>
      <c r="P4860">
        <v>50.14</v>
      </c>
      <c r="Q4860" t="s">
        <v>9897</v>
      </c>
      <c r="R4860">
        <v>5</v>
      </c>
      <c r="S4860" s="5">
        <f t="shared" si="150"/>
        <v>4.5836837678721612E-2</v>
      </c>
      <c r="T4860">
        <v>156.26857142857139</v>
      </c>
      <c r="U4860">
        <v>1</v>
      </c>
      <c r="V4860">
        <v>2024</v>
      </c>
      <c r="W4860">
        <v>1</v>
      </c>
      <c r="X4860" t="s">
        <v>9899</v>
      </c>
      <c r="Y4860" t="s">
        <v>9900</v>
      </c>
      <c r="Z4860" t="s">
        <v>9898</v>
      </c>
      <c r="AD4860">
        <f t="shared" si="151"/>
        <v>5</v>
      </c>
    </row>
    <row r="4861" spans="1:30" x14ac:dyDescent="0.25">
      <c r="A4861" t="s">
        <v>4885</v>
      </c>
      <c r="B4861" s="2">
        <v>44949</v>
      </c>
      <c r="C4861" s="2">
        <v>44950</v>
      </c>
      <c r="D4861" t="s">
        <v>5301</v>
      </c>
      <c r="E4861" t="s">
        <v>5801</v>
      </c>
      <c r="F4861" t="s">
        <v>6026</v>
      </c>
      <c r="G4861" t="s">
        <v>6030</v>
      </c>
      <c r="H4861" t="s">
        <v>6033</v>
      </c>
      <c r="I4861" t="s">
        <v>6047</v>
      </c>
      <c r="J4861" t="s">
        <v>6055</v>
      </c>
      <c r="K4861" t="s">
        <v>6063</v>
      </c>
      <c r="L4861" t="s">
        <v>9810</v>
      </c>
      <c r="M4861">
        <v>1525.53</v>
      </c>
      <c r="N4861">
        <v>6</v>
      </c>
      <c r="O4861">
        <v>0.05</v>
      </c>
      <c r="P4861">
        <v>176.99</v>
      </c>
      <c r="Q4861" t="s">
        <v>9893</v>
      </c>
      <c r="R4861">
        <v>1</v>
      </c>
      <c r="S4861" s="5">
        <f t="shared" si="150"/>
        <v>0.11601869514201622</v>
      </c>
      <c r="T4861">
        <v>254.255</v>
      </c>
      <c r="U4861">
        <v>1</v>
      </c>
      <c r="V4861">
        <v>2023</v>
      </c>
      <c r="W4861">
        <v>1</v>
      </c>
      <c r="X4861" t="s">
        <v>9899</v>
      </c>
      <c r="Y4861" t="s">
        <v>9901</v>
      </c>
      <c r="Z4861" t="s">
        <v>9898</v>
      </c>
      <c r="AD4861">
        <f t="shared" si="151"/>
        <v>1</v>
      </c>
    </row>
    <row r="4862" spans="1:30" x14ac:dyDescent="0.25">
      <c r="A4862" t="s">
        <v>4886</v>
      </c>
      <c r="B4862" s="2">
        <v>45433</v>
      </c>
      <c r="C4862" s="2">
        <v>45438</v>
      </c>
      <c r="D4862" t="s">
        <v>5224</v>
      </c>
      <c r="E4862" t="s">
        <v>5724</v>
      </c>
      <c r="F4862" t="s">
        <v>6027</v>
      </c>
      <c r="G4862" t="s">
        <v>6030</v>
      </c>
      <c r="H4862" t="s">
        <v>6039</v>
      </c>
      <c r="I4862" t="s">
        <v>6047</v>
      </c>
      <c r="J4862" t="s">
        <v>6053</v>
      </c>
      <c r="K4862" t="s">
        <v>6058</v>
      </c>
      <c r="L4862" t="s">
        <v>9811</v>
      </c>
      <c r="M4862">
        <v>201.6</v>
      </c>
      <c r="N4862">
        <v>3</v>
      </c>
      <c r="O4862">
        <v>0.04</v>
      </c>
      <c r="P4862">
        <v>16.309999999999999</v>
      </c>
      <c r="Q4862" t="s">
        <v>9896</v>
      </c>
      <c r="R4862">
        <v>5</v>
      </c>
      <c r="S4862" s="5">
        <f t="shared" si="150"/>
        <v>8.0902777777777768E-2</v>
      </c>
      <c r="T4862">
        <v>67.2</v>
      </c>
      <c r="U4862">
        <v>5</v>
      </c>
      <c r="V4862">
        <v>2024</v>
      </c>
      <c r="W4862">
        <v>2</v>
      </c>
      <c r="X4862" t="s">
        <v>9899</v>
      </c>
      <c r="Y4862" t="s">
        <v>9901</v>
      </c>
      <c r="Z4862" t="s">
        <v>9899</v>
      </c>
      <c r="AD4862">
        <f t="shared" si="151"/>
        <v>5</v>
      </c>
    </row>
    <row r="4863" spans="1:30" x14ac:dyDescent="0.25">
      <c r="A4863" t="s">
        <v>4887</v>
      </c>
      <c r="B4863" s="2">
        <v>45218</v>
      </c>
      <c r="C4863" s="2">
        <v>45220</v>
      </c>
      <c r="D4863" t="s">
        <v>5380</v>
      </c>
      <c r="E4863" t="s">
        <v>5880</v>
      </c>
      <c r="F4863" t="s">
        <v>6026</v>
      </c>
      <c r="G4863" t="s">
        <v>6030</v>
      </c>
      <c r="H4863" t="s">
        <v>6033</v>
      </c>
      <c r="I4863" t="s">
        <v>6051</v>
      </c>
      <c r="J4863" t="s">
        <v>6054</v>
      </c>
      <c r="K4863" t="s">
        <v>6060</v>
      </c>
      <c r="L4863" t="s">
        <v>9812</v>
      </c>
      <c r="M4863">
        <v>813.21</v>
      </c>
      <c r="N4863">
        <v>7</v>
      </c>
      <c r="O4863">
        <v>0.09</v>
      </c>
      <c r="P4863">
        <v>68.819999999999993</v>
      </c>
      <c r="Q4863" t="s">
        <v>9893</v>
      </c>
      <c r="R4863">
        <v>2</v>
      </c>
      <c r="S4863" s="5">
        <f t="shared" si="150"/>
        <v>8.4627586970155294E-2</v>
      </c>
      <c r="T4863">
        <v>116.1728571428572</v>
      </c>
      <c r="U4863">
        <v>10</v>
      </c>
      <c r="V4863">
        <v>2023</v>
      </c>
      <c r="W4863">
        <v>4</v>
      </c>
      <c r="X4863" t="s">
        <v>9899</v>
      </c>
      <c r="Y4863" t="s">
        <v>9901</v>
      </c>
      <c r="Z4863" t="s">
        <v>9899</v>
      </c>
      <c r="AD4863">
        <f t="shared" si="151"/>
        <v>2</v>
      </c>
    </row>
    <row r="4864" spans="1:30" x14ac:dyDescent="0.25">
      <c r="A4864" t="s">
        <v>4888</v>
      </c>
      <c r="B4864" s="2">
        <v>44764</v>
      </c>
      <c r="C4864" s="2">
        <v>44769</v>
      </c>
      <c r="D4864" t="s">
        <v>5232</v>
      </c>
      <c r="E4864" t="s">
        <v>5732</v>
      </c>
      <c r="F4864" t="s">
        <v>6027</v>
      </c>
      <c r="G4864" t="s">
        <v>6030</v>
      </c>
      <c r="H4864" t="s">
        <v>6035</v>
      </c>
      <c r="I4864" t="s">
        <v>6051</v>
      </c>
      <c r="J4864" t="s">
        <v>6053</v>
      </c>
      <c r="K4864" t="s">
        <v>6058</v>
      </c>
      <c r="L4864" t="s">
        <v>9813</v>
      </c>
      <c r="M4864">
        <v>1347.95</v>
      </c>
      <c r="N4864">
        <v>2</v>
      </c>
      <c r="O4864">
        <v>7.0000000000000007E-2</v>
      </c>
      <c r="P4864">
        <v>88.17</v>
      </c>
      <c r="Q4864" t="s">
        <v>9897</v>
      </c>
      <c r="R4864">
        <v>5</v>
      </c>
      <c r="S4864" s="5">
        <f t="shared" si="150"/>
        <v>6.5410438072628807E-2</v>
      </c>
      <c r="T4864">
        <v>673.97500000000002</v>
      </c>
      <c r="U4864">
        <v>7</v>
      </c>
      <c r="V4864">
        <v>2022</v>
      </c>
      <c r="W4864">
        <v>3</v>
      </c>
      <c r="X4864" t="s">
        <v>9899</v>
      </c>
      <c r="Y4864" t="s">
        <v>9901</v>
      </c>
      <c r="Z4864" t="s">
        <v>9898</v>
      </c>
      <c r="AD4864">
        <f t="shared" si="151"/>
        <v>5</v>
      </c>
    </row>
    <row r="4865" spans="1:30" x14ac:dyDescent="0.25">
      <c r="A4865" t="s">
        <v>4889</v>
      </c>
      <c r="B4865" s="2">
        <v>45276</v>
      </c>
      <c r="C4865" s="2">
        <v>45278</v>
      </c>
      <c r="D4865" t="s">
        <v>5320</v>
      </c>
      <c r="E4865" t="s">
        <v>5820</v>
      </c>
      <c r="F4865" t="s">
        <v>6028</v>
      </c>
      <c r="G4865" t="s">
        <v>6031</v>
      </c>
      <c r="H4865" t="s">
        <v>6034</v>
      </c>
      <c r="I4865" t="s">
        <v>6050</v>
      </c>
      <c r="J4865" t="s">
        <v>6054</v>
      </c>
      <c r="K4865" t="s">
        <v>6060</v>
      </c>
      <c r="L4865" t="s">
        <v>9814</v>
      </c>
      <c r="M4865">
        <v>1701.83</v>
      </c>
      <c r="N4865">
        <v>3</v>
      </c>
      <c r="O4865">
        <v>0.28000000000000003</v>
      </c>
      <c r="P4865">
        <v>-263</v>
      </c>
      <c r="Q4865" t="s">
        <v>9897</v>
      </c>
      <c r="R4865">
        <v>2</v>
      </c>
      <c r="S4865" s="5">
        <f t="shared" si="150"/>
        <v>-0.15453952509945176</v>
      </c>
      <c r="T4865">
        <v>567.27666666666664</v>
      </c>
      <c r="U4865">
        <v>12</v>
      </c>
      <c r="V4865">
        <v>2023</v>
      </c>
      <c r="W4865">
        <v>4</v>
      </c>
      <c r="X4865" t="s">
        <v>9898</v>
      </c>
      <c r="Y4865" t="s">
        <v>9900</v>
      </c>
      <c r="Z4865" t="s">
        <v>9898</v>
      </c>
      <c r="AD4865">
        <f t="shared" si="151"/>
        <v>2</v>
      </c>
    </row>
    <row r="4866" spans="1:30" x14ac:dyDescent="0.25">
      <c r="A4866" t="s">
        <v>4890</v>
      </c>
      <c r="B4866" s="2">
        <v>45426</v>
      </c>
      <c r="C4866" s="2">
        <v>45428</v>
      </c>
      <c r="D4866" t="s">
        <v>5231</v>
      </c>
      <c r="E4866" t="s">
        <v>5731</v>
      </c>
      <c r="F4866" t="s">
        <v>6026</v>
      </c>
      <c r="G4866" t="s">
        <v>6031</v>
      </c>
      <c r="H4866" t="s">
        <v>6040</v>
      </c>
      <c r="I4866" t="s">
        <v>6052</v>
      </c>
      <c r="J4866" t="s">
        <v>6055</v>
      </c>
      <c r="K4866" t="s">
        <v>6063</v>
      </c>
      <c r="L4866" t="s">
        <v>9815</v>
      </c>
      <c r="M4866">
        <v>561.47</v>
      </c>
      <c r="N4866">
        <v>7</v>
      </c>
      <c r="O4866">
        <v>0.33</v>
      </c>
      <c r="P4866">
        <v>-36.65</v>
      </c>
      <c r="Q4866" t="s">
        <v>9894</v>
      </c>
      <c r="R4866">
        <v>2</v>
      </c>
      <c r="S4866" s="5">
        <f t="shared" si="150"/>
        <v>-6.5275081482536912E-2</v>
      </c>
      <c r="T4866">
        <v>80.210000000000008</v>
      </c>
      <c r="U4866">
        <v>5</v>
      </c>
      <c r="V4866">
        <v>2024</v>
      </c>
      <c r="W4866">
        <v>2</v>
      </c>
      <c r="X4866" t="s">
        <v>9898</v>
      </c>
      <c r="Y4866" t="s">
        <v>9902</v>
      </c>
      <c r="Z4866" t="s">
        <v>9899</v>
      </c>
      <c r="AD4866">
        <f t="shared" si="151"/>
        <v>2</v>
      </c>
    </row>
    <row r="4867" spans="1:30" x14ac:dyDescent="0.25">
      <c r="A4867" t="s">
        <v>4891</v>
      </c>
      <c r="B4867" s="2">
        <v>45349</v>
      </c>
      <c r="C4867" s="2">
        <v>45352</v>
      </c>
      <c r="D4867" t="s">
        <v>5423</v>
      </c>
      <c r="E4867" t="s">
        <v>5923</v>
      </c>
      <c r="F4867" t="s">
        <v>6026</v>
      </c>
      <c r="G4867" t="s">
        <v>6029</v>
      </c>
      <c r="H4867" t="s">
        <v>6036</v>
      </c>
      <c r="I4867" t="s">
        <v>6049</v>
      </c>
      <c r="J4867" t="s">
        <v>6053</v>
      </c>
      <c r="K4867" t="s">
        <v>6058</v>
      </c>
      <c r="L4867" t="s">
        <v>6540</v>
      </c>
      <c r="M4867">
        <v>1667.78</v>
      </c>
      <c r="N4867">
        <v>7</v>
      </c>
      <c r="O4867">
        <v>0.04</v>
      </c>
      <c r="P4867">
        <v>338.71</v>
      </c>
      <c r="Q4867" t="s">
        <v>9897</v>
      </c>
      <c r="R4867">
        <v>3</v>
      </c>
      <c r="S4867" s="5">
        <f t="shared" ref="S4867:S4930" si="152">P4867/M4867</f>
        <v>0.20309033565578194</v>
      </c>
      <c r="T4867">
        <v>238.25428571428569</v>
      </c>
      <c r="U4867">
        <v>2</v>
      </c>
      <c r="V4867">
        <v>2024</v>
      </c>
      <c r="W4867">
        <v>1</v>
      </c>
      <c r="X4867" t="s">
        <v>9899</v>
      </c>
      <c r="Y4867" t="s">
        <v>9901</v>
      </c>
      <c r="Z4867" t="s">
        <v>9898</v>
      </c>
      <c r="AD4867">
        <f t="shared" ref="AD4867:AD4930" si="153">C4867-B4867</f>
        <v>3</v>
      </c>
    </row>
    <row r="4868" spans="1:30" x14ac:dyDescent="0.25">
      <c r="A4868" t="s">
        <v>4892</v>
      </c>
      <c r="B4868" s="2">
        <v>45138</v>
      </c>
      <c r="C4868" s="2">
        <v>45140</v>
      </c>
      <c r="D4868" t="s">
        <v>5469</v>
      </c>
      <c r="E4868" t="s">
        <v>5969</v>
      </c>
      <c r="F4868" t="s">
        <v>6027</v>
      </c>
      <c r="G4868" t="s">
        <v>6031</v>
      </c>
      <c r="H4868" t="s">
        <v>6043</v>
      </c>
      <c r="I4868" t="s">
        <v>6048</v>
      </c>
      <c r="J4868" t="s">
        <v>6054</v>
      </c>
      <c r="K4868" t="s">
        <v>6059</v>
      </c>
      <c r="L4868" t="s">
        <v>9816</v>
      </c>
      <c r="M4868">
        <v>1058.3800000000001</v>
      </c>
      <c r="N4868">
        <v>3</v>
      </c>
      <c r="O4868">
        <v>0.2</v>
      </c>
      <c r="P4868">
        <v>13.53</v>
      </c>
      <c r="Q4868" t="s">
        <v>9894</v>
      </c>
      <c r="R4868">
        <v>2</v>
      </c>
      <c r="S4868" s="5">
        <f t="shared" si="152"/>
        <v>1.2783688278312135E-2</v>
      </c>
      <c r="T4868">
        <v>352.79333333333341</v>
      </c>
      <c r="U4868">
        <v>7</v>
      </c>
      <c r="V4868">
        <v>2023</v>
      </c>
      <c r="W4868">
        <v>3</v>
      </c>
      <c r="X4868" t="s">
        <v>9899</v>
      </c>
      <c r="Y4868" t="s">
        <v>9900</v>
      </c>
      <c r="Z4868" t="s">
        <v>9898</v>
      </c>
      <c r="AD4868">
        <f t="shared" si="153"/>
        <v>2</v>
      </c>
    </row>
    <row r="4869" spans="1:30" x14ac:dyDescent="0.25">
      <c r="A4869" t="s">
        <v>4893</v>
      </c>
      <c r="B4869" s="2">
        <v>44800</v>
      </c>
      <c r="C4869" s="2">
        <v>44806</v>
      </c>
      <c r="D4869" t="s">
        <v>5506</v>
      </c>
      <c r="E4869" t="s">
        <v>6006</v>
      </c>
      <c r="F4869" t="s">
        <v>6028</v>
      </c>
      <c r="G4869" t="s">
        <v>6031</v>
      </c>
      <c r="H4869" t="s">
        <v>6037</v>
      </c>
      <c r="I4869" t="s">
        <v>6048</v>
      </c>
      <c r="J4869" t="s">
        <v>6054</v>
      </c>
      <c r="K4869" t="s">
        <v>6062</v>
      </c>
      <c r="L4869" t="s">
        <v>9817</v>
      </c>
      <c r="M4869">
        <v>724.38</v>
      </c>
      <c r="N4869">
        <v>1</v>
      </c>
      <c r="O4869">
        <v>0.08</v>
      </c>
      <c r="P4869">
        <v>20.64</v>
      </c>
      <c r="Q4869" t="s">
        <v>9893</v>
      </c>
      <c r="R4869">
        <v>6</v>
      </c>
      <c r="S4869" s="5">
        <f t="shared" si="152"/>
        <v>2.8493332228940613E-2</v>
      </c>
      <c r="T4869">
        <v>724.38</v>
      </c>
      <c r="U4869">
        <v>8</v>
      </c>
      <c r="V4869">
        <v>2022</v>
      </c>
      <c r="W4869">
        <v>3</v>
      </c>
      <c r="X4869" t="s">
        <v>9899</v>
      </c>
      <c r="Y4869" t="s">
        <v>9901</v>
      </c>
      <c r="Z4869" t="s">
        <v>9899</v>
      </c>
      <c r="AD4869">
        <f t="shared" si="153"/>
        <v>6</v>
      </c>
    </row>
    <row r="4870" spans="1:30" x14ac:dyDescent="0.25">
      <c r="A4870" t="s">
        <v>4894</v>
      </c>
      <c r="B4870" s="2">
        <v>44794</v>
      </c>
      <c r="C4870" s="2">
        <v>44799</v>
      </c>
      <c r="D4870" t="s">
        <v>5208</v>
      </c>
      <c r="E4870" t="s">
        <v>5708</v>
      </c>
      <c r="F4870" t="s">
        <v>6027</v>
      </c>
      <c r="G4870" t="s">
        <v>6030</v>
      </c>
      <c r="H4870" t="s">
        <v>6039</v>
      </c>
      <c r="I4870" t="s">
        <v>6047</v>
      </c>
      <c r="J4870" t="s">
        <v>6053</v>
      </c>
      <c r="K4870" t="s">
        <v>6057</v>
      </c>
      <c r="L4870" t="s">
        <v>9818</v>
      </c>
      <c r="M4870">
        <v>440.34</v>
      </c>
      <c r="N4870">
        <v>8</v>
      </c>
      <c r="O4870">
        <v>0.04</v>
      </c>
      <c r="P4870">
        <v>32.549999999999997</v>
      </c>
      <c r="Q4870" t="s">
        <v>9895</v>
      </c>
      <c r="R4870">
        <v>5</v>
      </c>
      <c r="S4870" s="5">
        <f t="shared" si="152"/>
        <v>7.3920152609347325E-2</v>
      </c>
      <c r="T4870">
        <v>55.042499999999997</v>
      </c>
      <c r="U4870">
        <v>8</v>
      </c>
      <c r="V4870">
        <v>2022</v>
      </c>
      <c r="W4870">
        <v>3</v>
      </c>
      <c r="X4870" t="s">
        <v>9899</v>
      </c>
      <c r="Y4870" t="s">
        <v>9901</v>
      </c>
      <c r="Z4870" t="s">
        <v>9899</v>
      </c>
      <c r="AD4870">
        <f t="shared" si="153"/>
        <v>5</v>
      </c>
    </row>
    <row r="4871" spans="1:30" x14ac:dyDescent="0.25">
      <c r="A4871" t="s">
        <v>4895</v>
      </c>
      <c r="B4871" s="2">
        <v>44992</v>
      </c>
      <c r="C4871" s="2">
        <v>44995</v>
      </c>
      <c r="D4871" t="s">
        <v>5264</v>
      </c>
      <c r="E4871" t="s">
        <v>5764</v>
      </c>
      <c r="F4871" t="s">
        <v>6028</v>
      </c>
      <c r="G4871" t="s">
        <v>6031</v>
      </c>
      <c r="H4871" t="s">
        <v>6034</v>
      </c>
      <c r="I4871" t="s">
        <v>6050</v>
      </c>
      <c r="J4871" t="s">
        <v>6054</v>
      </c>
      <c r="K4871" t="s">
        <v>6059</v>
      </c>
      <c r="L4871" t="s">
        <v>9819</v>
      </c>
      <c r="M4871">
        <v>211.7</v>
      </c>
      <c r="N4871">
        <v>6</v>
      </c>
      <c r="O4871">
        <v>0.02</v>
      </c>
      <c r="P4871">
        <v>32.200000000000003</v>
      </c>
      <c r="Q4871" t="s">
        <v>9895</v>
      </c>
      <c r="R4871">
        <v>3</v>
      </c>
      <c r="S4871" s="5">
        <f t="shared" si="152"/>
        <v>0.15210203117619275</v>
      </c>
      <c r="T4871">
        <v>35.283333333333331</v>
      </c>
      <c r="U4871">
        <v>3</v>
      </c>
      <c r="V4871">
        <v>2023</v>
      </c>
      <c r="W4871">
        <v>1</v>
      </c>
      <c r="X4871" t="s">
        <v>9899</v>
      </c>
      <c r="Y4871" t="s">
        <v>9901</v>
      </c>
      <c r="Z4871" t="s">
        <v>9899</v>
      </c>
      <c r="AD4871">
        <f t="shared" si="153"/>
        <v>3</v>
      </c>
    </row>
    <row r="4872" spans="1:30" x14ac:dyDescent="0.25">
      <c r="A4872" t="s">
        <v>4896</v>
      </c>
      <c r="B4872" s="2">
        <v>45204</v>
      </c>
      <c r="C4872" s="2">
        <v>45205</v>
      </c>
      <c r="D4872" t="s">
        <v>5048</v>
      </c>
      <c r="E4872" t="s">
        <v>5548</v>
      </c>
      <c r="F4872" t="s">
        <v>6026</v>
      </c>
      <c r="G4872" t="s">
        <v>6029</v>
      </c>
      <c r="H4872" t="s">
        <v>6041</v>
      </c>
      <c r="I4872" t="s">
        <v>6050</v>
      </c>
      <c r="J4872" t="s">
        <v>6053</v>
      </c>
      <c r="K4872" t="s">
        <v>6058</v>
      </c>
      <c r="L4872" t="s">
        <v>9820</v>
      </c>
      <c r="M4872">
        <v>200.68</v>
      </c>
      <c r="N4872">
        <v>5</v>
      </c>
      <c r="O4872">
        <v>0.06</v>
      </c>
      <c r="P4872">
        <v>20.95</v>
      </c>
      <c r="Q4872" t="s">
        <v>9896</v>
      </c>
      <c r="R4872">
        <v>1</v>
      </c>
      <c r="S4872" s="5">
        <f t="shared" si="152"/>
        <v>0.10439505680685668</v>
      </c>
      <c r="T4872">
        <v>40.136000000000003</v>
      </c>
      <c r="U4872">
        <v>10</v>
      </c>
      <c r="V4872">
        <v>2023</v>
      </c>
      <c r="W4872">
        <v>4</v>
      </c>
      <c r="X4872" t="s">
        <v>9899</v>
      </c>
      <c r="Y4872" t="s">
        <v>9901</v>
      </c>
      <c r="Z4872" t="s">
        <v>9899</v>
      </c>
      <c r="AD4872">
        <f t="shared" si="153"/>
        <v>1</v>
      </c>
    </row>
    <row r="4873" spans="1:30" x14ac:dyDescent="0.25">
      <c r="A4873" t="s">
        <v>4897</v>
      </c>
      <c r="B4873" s="2">
        <v>44658</v>
      </c>
      <c r="C4873" s="2">
        <v>44665</v>
      </c>
      <c r="D4873" t="s">
        <v>5092</v>
      </c>
      <c r="E4873" t="s">
        <v>5592</v>
      </c>
      <c r="F4873" t="s">
        <v>6027</v>
      </c>
      <c r="G4873" t="s">
        <v>6031</v>
      </c>
      <c r="H4873" t="s">
        <v>6042</v>
      </c>
      <c r="I4873" t="s">
        <v>6048</v>
      </c>
      <c r="J4873" t="s">
        <v>6054</v>
      </c>
      <c r="K4873" t="s">
        <v>6060</v>
      </c>
      <c r="L4873" t="s">
        <v>9821</v>
      </c>
      <c r="M4873">
        <v>1169.3499999999999</v>
      </c>
      <c r="N4873">
        <v>1</v>
      </c>
      <c r="O4873">
        <v>0.33</v>
      </c>
      <c r="P4873">
        <v>-89.45</v>
      </c>
      <c r="Q4873" t="s">
        <v>9894</v>
      </c>
      <c r="R4873">
        <v>7</v>
      </c>
      <c r="S4873" s="5">
        <f t="shared" si="152"/>
        <v>-7.649548894685082E-2</v>
      </c>
      <c r="T4873">
        <v>1169.3499999999999</v>
      </c>
      <c r="U4873">
        <v>4</v>
      </c>
      <c r="V4873">
        <v>2022</v>
      </c>
      <c r="W4873">
        <v>2</v>
      </c>
      <c r="X4873" t="s">
        <v>9898</v>
      </c>
      <c r="Y4873" t="s">
        <v>9902</v>
      </c>
      <c r="Z4873" t="s">
        <v>9898</v>
      </c>
      <c r="AD4873">
        <f t="shared" si="153"/>
        <v>7</v>
      </c>
    </row>
    <row r="4874" spans="1:30" x14ac:dyDescent="0.25">
      <c r="A4874" t="s">
        <v>4898</v>
      </c>
      <c r="B4874" s="2">
        <v>44587</v>
      </c>
      <c r="C4874" s="2">
        <v>44591</v>
      </c>
      <c r="D4874" t="s">
        <v>5091</v>
      </c>
      <c r="E4874" t="s">
        <v>5591</v>
      </c>
      <c r="F4874" t="s">
        <v>6027</v>
      </c>
      <c r="G4874" t="s">
        <v>6031</v>
      </c>
      <c r="H4874" t="s">
        <v>6042</v>
      </c>
      <c r="I4874" t="s">
        <v>6052</v>
      </c>
      <c r="J4874" t="s">
        <v>6054</v>
      </c>
      <c r="K4874" t="s">
        <v>6062</v>
      </c>
      <c r="L4874" t="s">
        <v>9422</v>
      </c>
      <c r="M4874">
        <v>903.34</v>
      </c>
      <c r="N4874">
        <v>6</v>
      </c>
      <c r="O4874">
        <v>0.28999999999999998</v>
      </c>
      <c r="P4874">
        <v>-114.27</v>
      </c>
      <c r="Q4874" t="s">
        <v>9897</v>
      </c>
      <c r="R4874">
        <v>4</v>
      </c>
      <c r="S4874" s="5">
        <f t="shared" si="152"/>
        <v>-0.12649722142272013</v>
      </c>
      <c r="T4874">
        <v>150.5566666666667</v>
      </c>
      <c r="U4874">
        <v>1</v>
      </c>
      <c r="V4874">
        <v>2022</v>
      </c>
      <c r="W4874">
        <v>1</v>
      </c>
      <c r="X4874" t="s">
        <v>9898</v>
      </c>
      <c r="Y4874" t="s">
        <v>9900</v>
      </c>
      <c r="Z4874" t="s">
        <v>9899</v>
      </c>
      <c r="AD4874">
        <f t="shared" si="153"/>
        <v>4</v>
      </c>
    </row>
    <row r="4875" spans="1:30" x14ac:dyDescent="0.25">
      <c r="A4875" t="s">
        <v>4899</v>
      </c>
      <c r="B4875" s="2">
        <v>45448</v>
      </c>
      <c r="C4875" s="2">
        <v>45453</v>
      </c>
      <c r="D4875" t="s">
        <v>5301</v>
      </c>
      <c r="E4875" t="s">
        <v>5801</v>
      </c>
      <c r="F4875" t="s">
        <v>6026</v>
      </c>
      <c r="G4875" t="s">
        <v>6029</v>
      </c>
      <c r="H4875" t="s">
        <v>6036</v>
      </c>
      <c r="I4875" t="s">
        <v>6049</v>
      </c>
      <c r="J4875" t="s">
        <v>6055</v>
      </c>
      <c r="K4875" t="s">
        <v>6061</v>
      </c>
      <c r="L4875" t="s">
        <v>9822</v>
      </c>
      <c r="M4875">
        <v>538.70000000000005</v>
      </c>
      <c r="N4875">
        <v>7</v>
      </c>
      <c r="O4875">
        <v>0.17</v>
      </c>
      <c r="P4875">
        <v>57.58</v>
      </c>
      <c r="Q4875" t="s">
        <v>9896</v>
      </c>
      <c r="R4875">
        <v>5</v>
      </c>
      <c r="S4875" s="5">
        <f t="shared" si="152"/>
        <v>0.10688695006497122</v>
      </c>
      <c r="T4875">
        <v>76.95714285714287</v>
      </c>
      <c r="U4875">
        <v>6</v>
      </c>
      <c r="V4875">
        <v>2024</v>
      </c>
      <c r="W4875">
        <v>2</v>
      </c>
      <c r="X4875" t="s">
        <v>9899</v>
      </c>
      <c r="Y4875" t="s">
        <v>9900</v>
      </c>
      <c r="Z4875" t="s">
        <v>9899</v>
      </c>
      <c r="AD4875">
        <f t="shared" si="153"/>
        <v>5</v>
      </c>
    </row>
    <row r="4876" spans="1:30" x14ac:dyDescent="0.25">
      <c r="A4876" t="s">
        <v>4900</v>
      </c>
      <c r="B4876" s="2">
        <v>44610</v>
      </c>
      <c r="C4876" s="2">
        <v>44615</v>
      </c>
      <c r="D4876" t="s">
        <v>5271</v>
      </c>
      <c r="E4876" t="s">
        <v>5771</v>
      </c>
      <c r="F4876" t="s">
        <v>6026</v>
      </c>
      <c r="G4876" t="s">
        <v>6029</v>
      </c>
      <c r="H4876" t="s">
        <v>6044</v>
      </c>
      <c r="I4876" t="s">
        <v>6050</v>
      </c>
      <c r="J4876" t="s">
        <v>6055</v>
      </c>
      <c r="K4876" t="s">
        <v>6061</v>
      </c>
      <c r="L4876" t="s">
        <v>7900</v>
      </c>
      <c r="M4876">
        <v>303.33999999999997</v>
      </c>
      <c r="N4876">
        <v>6</v>
      </c>
      <c r="O4876">
        <v>7.0000000000000007E-2</v>
      </c>
      <c r="P4876">
        <v>24.17</v>
      </c>
      <c r="Q4876" t="s">
        <v>9894</v>
      </c>
      <c r="R4876">
        <v>5</v>
      </c>
      <c r="S4876" s="5">
        <f t="shared" si="152"/>
        <v>7.9679567482033378E-2</v>
      </c>
      <c r="T4876">
        <v>50.556666666666658</v>
      </c>
      <c r="U4876">
        <v>2</v>
      </c>
      <c r="V4876">
        <v>2022</v>
      </c>
      <c r="W4876">
        <v>1</v>
      </c>
      <c r="X4876" t="s">
        <v>9899</v>
      </c>
      <c r="Y4876" t="s">
        <v>9901</v>
      </c>
      <c r="Z4876" t="s">
        <v>9899</v>
      </c>
      <c r="AD4876">
        <f t="shared" si="153"/>
        <v>5</v>
      </c>
    </row>
    <row r="4877" spans="1:30" x14ac:dyDescent="0.25">
      <c r="A4877" t="s">
        <v>4901</v>
      </c>
      <c r="B4877" s="2">
        <v>45311</v>
      </c>
      <c r="C4877" s="2">
        <v>45317</v>
      </c>
      <c r="D4877" t="s">
        <v>5505</v>
      </c>
      <c r="E4877" t="s">
        <v>6005</v>
      </c>
      <c r="F4877" t="s">
        <v>6027</v>
      </c>
      <c r="G4877" t="s">
        <v>6031</v>
      </c>
      <c r="H4877" t="s">
        <v>6034</v>
      </c>
      <c r="I4877" t="s">
        <v>6052</v>
      </c>
      <c r="J4877" t="s">
        <v>6055</v>
      </c>
      <c r="K4877" t="s">
        <v>6061</v>
      </c>
      <c r="L4877" t="s">
        <v>8391</v>
      </c>
      <c r="M4877">
        <v>1718.42</v>
      </c>
      <c r="N4877">
        <v>5</v>
      </c>
      <c r="O4877">
        <v>0.28999999999999998</v>
      </c>
      <c r="P4877">
        <v>-170.48</v>
      </c>
      <c r="Q4877" t="s">
        <v>9893</v>
      </c>
      <c r="R4877">
        <v>6</v>
      </c>
      <c r="S4877" s="5">
        <f t="shared" si="152"/>
        <v>-9.920741145936382E-2</v>
      </c>
      <c r="T4877">
        <v>343.68400000000003</v>
      </c>
      <c r="U4877">
        <v>1</v>
      </c>
      <c r="V4877">
        <v>2024</v>
      </c>
      <c r="W4877">
        <v>1</v>
      </c>
      <c r="X4877" t="s">
        <v>9898</v>
      </c>
      <c r="Y4877" t="s">
        <v>9900</v>
      </c>
      <c r="Z4877" t="s">
        <v>9898</v>
      </c>
      <c r="AD4877">
        <f t="shared" si="153"/>
        <v>6</v>
      </c>
    </row>
    <row r="4878" spans="1:30" x14ac:dyDescent="0.25">
      <c r="A4878" t="s">
        <v>4902</v>
      </c>
      <c r="B4878" s="2">
        <v>44621</v>
      </c>
      <c r="C4878" s="2">
        <v>44622</v>
      </c>
      <c r="D4878" t="s">
        <v>5188</v>
      </c>
      <c r="E4878" t="s">
        <v>5688</v>
      </c>
      <c r="F4878" t="s">
        <v>6026</v>
      </c>
      <c r="G4878" t="s">
        <v>6029</v>
      </c>
      <c r="H4878" t="s">
        <v>6032</v>
      </c>
      <c r="I4878" t="s">
        <v>6046</v>
      </c>
      <c r="J4878" t="s">
        <v>6054</v>
      </c>
      <c r="K4878" t="s">
        <v>6060</v>
      </c>
      <c r="L4878" t="s">
        <v>9823</v>
      </c>
      <c r="M4878">
        <v>1325.49</v>
      </c>
      <c r="N4878">
        <v>7</v>
      </c>
      <c r="O4878">
        <v>0.34</v>
      </c>
      <c r="P4878">
        <v>-315.35000000000002</v>
      </c>
      <c r="Q4878" t="s">
        <v>9897</v>
      </c>
      <c r="R4878">
        <v>1</v>
      </c>
      <c r="S4878" s="5">
        <f t="shared" si="152"/>
        <v>-0.23791201744260615</v>
      </c>
      <c r="T4878">
        <v>189.3557142857143</v>
      </c>
      <c r="U4878">
        <v>3</v>
      </c>
      <c r="V4878">
        <v>2022</v>
      </c>
      <c r="W4878">
        <v>1</v>
      </c>
      <c r="X4878" t="s">
        <v>9898</v>
      </c>
      <c r="Y4878" t="s">
        <v>9902</v>
      </c>
      <c r="Z4878" t="s">
        <v>9898</v>
      </c>
      <c r="AD4878">
        <f t="shared" si="153"/>
        <v>1</v>
      </c>
    </row>
    <row r="4879" spans="1:30" x14ac:dyDescent="0.25">
      <c r="A4879" t="s">
        <v>4903</v>
      </c>
      <c r="B4879" s="2">
        <v>44570</v>
      </c>
      <c r="C4879" s="2">
        <v>44573</v>
      </c>
      <c r="D4879" t="s">
        <v>5399</v>
      </c>
      <c r="E4879" t="s">
        <v>5899</v>
      </c>
      <c r="F4879" t="s">
        <v>6028</v>
      </c>
      <c r="G4879" t="s">
        <v>6030</v>
      </c>
      <c r="H4879" t="s">
        <v>6033</v>
      </c>
      <c r="I4879" t="s">
        <v>6051</v>
      </c>
      <c r="J4879" t="s">
        <v>6054</v>
      </c>
      <c r="K4879" t="s">
        <v>6062</v>
      </c>
      <c r="L4879" t="s">
        <v>9824</v>
      </c>
      <c r="M4879">
        <v>507.09</v>
      </c>
      <c r="N4879">
        <v>5</v>
      </c>
      <c r="O4879">
        <v>0.21</v>
      </c>
      <c r="P4879">
        <v>41.36</v>
      </c>
      <c r="Q4879" t="s">
        <v>9893</v>
      </c>
      <c r="R4879">
        <v>3</v>
      </c>
      <c r="S4879" s="5">
        <f t="shared" si="152"/>
        <v>8.1563430554733876E-2</v>
      </c>
      <c r="T4879">
        <v>101.41800000000001</v>
      </c>
      <c r="U4879">
        <v>1</v>
      </c>
      <c r="V4879">
        <v>2022</v>
      </c>
      <c r="W4879">
        <v>1</v>
      </c>
      <c r="X4879" t="s">
        <v>9899</v>
      </c>
      <c r="Y4879" t="s">
        <v>9900</v>
      </c>
      <c r="Z4879" t="s">
        <v>9899</v>
      </c>
      <c r="AD4879">
        <f t="shared" si="153"/>
        <v>3</v>
      </c>
    </row>
    <row r="4880" spans="1:30" x14ac:dyDescent="0.25">
      <c r="A4880" t="s">
        <v>4904</v>
      </c>
      <c r="B4880" s="2">
        <v>45177</v>
      </c>
      <c r="C4880" s="2">
        <v>45183</v>
      </c>
      <c r="D4880" t="s">
        <v>5052</v>
      </c>
      <c r="E4880" t="s">
        <v>5552</v>
      </c>
      <c r="F4880" t="s">
        <v>6027</v>
      </c>
      <c r="G4880" t="s">
        <v>6029</v>
      </c>
      <c r="H4880" t="s">
        <v>6041</v>
      </c>
      <c r="I4880" t="s">
        <v>6050</v>
      </c>
      <c r="J4880" t="s">
        <v>6055</v>
      </c>
      <c r="K4880" t="s">
        <v>6063</v>
      </c>
      <c r="L4880" t="s">
        <v>8237</v>
      </c>
      <c r="M4880">
        <v>1519.81</v>
      </c>
      <c r="N4880">
        <v>5</v>
      </c>
      <c r="O4880">
        <v>0.03</v>
      </c>
      <c r="P4880">
        <v>148.88</v>
      </c>
      <c r="Q4880" t="s">
        <v>9894</v>
      </c>
      <c r="R4880">
        <v>6</v>
      </c>
      <c r="S4880" s="5">
        <f t="shared" si="152"/>
        <v>9.7959613372724227E-2</v>
      </c>
      <c r="T4880">
        <v>303.96199999999999</v>
      </c>
      <c r="U4880">
        <v>9</v>
      </c>
      <c r="V4880">
        <v>2023</v>
      </c>
      <c r="W4880">
        <v>3</v>
      </c>
      <c r="X4880" t="s">
        <v>9899</v>
      </c>
      <c r="Y4880" t="s">
        <v>9901</v>
      </c>
      <c r="Z4880" t="s">
        <v>9898</v>
      </c>
      <c r="AD4880">
        <f t="shared" si="153"/>
        <v>6</v>
      </c>
    </row>
    <row r="4881" spans="1:30" x14ac:dyDescent="0.25">
      <c r="A4881" t="s">
        <v>4905</v>
      </c>
      <c r="B4881" s="2">
        <v>44969</v>
      </c>
      <c r="C4881" s="2">
        <v>44972</v>
      </c>
      <c r="D4881" t="s">
        <v>5413</v>
      </c>
      <c r="E4881" t="s">
        <v>5913</v>
      </c>
      <c r="F4881" t="s">
        <v>6027</v>
      </c>
      <c r="G4881" t="s">
        <v>6031</v>
      </c>
      <c r="H4881" t="s">
        <v>6040</v>
      </c>
      <c r="I4881" t="s">
        <v>6052</v>
      </c>
      <c r="J4881" t="s">
        <v>6055</v>
      </c>
      <c r="K4881" t="s">
        <v>6061</v>
      </c>
      <c r="L4881" t="s">
        <v>9825</v>
      </c>
      <c r="M4881">
        <v>476.26</v>
      </c>
      <c r="N4881">
        <v>8</v>
      </c>
      <c r="O4881">
        <v>0.25</v>
      </c>
      <c r="P4881">
        <v>7.46</v>
      </c>
      <c r="Q4881" t="s">
        <v>9896</v>
      </c>
      <c r="R4881">
        <v>3</v>
      </c>
      <c r="S4881" s="5">
        <f t="shared" si="152"/>
        <v>1.5663713097887708E-2</v>
      </c>
      <c r="T4881">
        <v>59.532499999999999</v>
      </c>
      <c r="U4881">
        <v>2</v>
      </c>
      <c r="V4881">
        <v>2023</v>
      </c>
      <c r="W4881">
        <v>1</v>
      </c>
      <c r="X4881" t="s">
        <v>9899</v>
      </c>
      <c r="Y4881" t="s">
        <v>9900</v>
      </c>
      <c r="Z4881" t="s">
        <v>9899</v>
      </c>
      <c r="AD4881">
        <f t="shared" si="153"/>
        <v>3</v>
      </c>
    </row>
    <row r="4882" spans="1:30" x14ac:dyDescent="0.25">
      <c r="A4882" t="s">
        <v>4906</v>
      </c>
      <c r="B4882" s="2">
        <v>45460</v>
      </c>
      <c r="C4882" s="2">
        <v>45466</v>
      </c>
      <c r="D4882" t="s">
        <v>5214</v>
      </c>
      <c r="E4882" t="s">
        <v>5714</v>
      </c>
      <c r="F4882" t="s">
        <v>6027</v>
      </c>
      <c r="G4882" t="s">
        <v>6031</v>
      </c>
      <c r="H4882" t="s">
        <v>6042</v>
      </c>
      <c r="I4882" t="s">
        <v>6050</v>
      </c>
      <c r="J4882" t="s">
        <v>6053</v>
      </c>
      <c r="K4882" t="s">
        <v>6058</v>
      </c>
      <c r="L4882" t="s">
        <v>7050</v>
      </c>
      <c r="M4882">
        <v>1546.91</v>
      </c>
      <c r="N4882">
        <v>6</v>
      </c>
      <c r="O4882">
        <v>0.13</v>
      </c>
      <c r="P4882">
        <v>3.74</v>
      </c>
      <c r="Q4882" t="s">
        <v>9894</v>
      </c>
      <c r="R4882">
        <v>6</v>
      </c>
      <c r="S4882" s="5">
        <f t="shared" si="152"/>
        <v>2.4177230737405537E-3</v>
      </c>
      <c r="T4882">
        <v>257.81833333333333</v>
      </c>
      <c r="U4882">
        <v>6</v>
      </c>
      <c r="V4882">
        <v>2024</v>
      </c>
      <c r="W4882">
        <v>2</v>
      </c>
      <c r="X4882" t="s">
        <v>9899</v>
      </c>
      <c r="Y4882" t="s">
        <v>9901</v>
      </c>
      <c r="Z4882" t="s">
        <v>9898</v>
      </c>
      <c r="AD4882">
        <f t="shared" si="153"/>
        <v>6</v>
      </c>
    </row>
    <row r="4883" spans="1:30" x14ac:dyDescent="0.25">
      <c r="A4883" t="s">
        <v>4907</v>
      </c>
      <c r="B4883" s="2">
        <v>44599</v>
      </c>
      <c r="C4883" s="2">
        <v>44605</v>
      </c>
      <c r="D4883" t="s">
        <v>5321</v>
      </c>
      <c r="E4883" t="s">
        <v>5821</v>
      </c>
      <c r="F4883" t="s">
        <v>6028</v>
      </c>
      <c r="G4883" t="s">
        <v>6030</v>
      </c>
      <c r="H4883" t="s">
        <v>6033</v>
      </c>
      <c r="I4883" t="s">
        <v>6051</v>
      </c>
      <c r="J4883" t="s">
        <v>6054</v>
      </c>
      <c r="K4883" t="s">
        <v>6060</v>
      </c>
      <c r="L4883" t="s">
        <v>9826</v>
      </c>
      <c r="M4883">
        <v>745.03</v>
      </c>
      <c r="N4883">
        <v>1</v>
      </c>
      <c r="O4883">
        <v>0.2</v>
      </c>
      <c r="P4883">
        <v>29.02</v>
      </c>
      <c r="Q4883" t="s">
        <v>9893</v>
      </c>
      <c r="R4883">
        <v>6</v>
      </c>
      <c r="S4883" s="5">
        <f t="shared" si="152"/>
        <v>3.8951451619397878E-2</v>
      </c>
      <c r="T4883">
        <v>745.03</v>
      </c>
      <c r="U4883">
        <v>2</v>
      </c>
      <c r="V4883">
        <v>2022</v>
      </c>
      <c r="W4883">
        <v>1</v>
      </c>
      <c r="X4883" t="s">
        <v>9899</v>
      </c>
      <c r="Y4883" t="s">
        <v>9900</v>
      </c>
      <c r="Z4883" t="s">
        <v>9899</v>
      </c>
      <c r="AD4883">
        <f t="shared" si="153"/>
        <v>6</v>
      </c>
    </row>
    <row r="4884" spans="1:30" x14ac:dyDescent="0.25">
      <c r="A4884" t="s">
        <v>4908</v>
      </c>
      <c r="B4884" s="2">
        <v>45161</v>
      </c>
      <c r="C4884" s="2">
        <v>45167</v>
      </c>
      <c r="D4884" t="s">
        <v>5268</v>
      </c>
      <c r="E4884" t="s">
        <v>5768</v>
      </c>
      <c r="F4884" t="s">
        <v>6026</v>
      </c>
      <c r="G4884" t="s">
        <v>6029</v>
      </c>
      <c r="H4884" t="s">
        <v>6041</v>
      </c>
      <c r="I4884" t="s">
        <v>6046</v>
      </c>
      <c r="J4884" t="s">
        <v>6055</v>
      </c>
      <c r="K4884" t="s">
        <v>6063</v>
      </c>
      <c r="L4884" t="s">
        <v>9827</v>
      </c>
      <c r="M4884">
        <v>1859.7</v>
      </c>
      <c r="N4884">
        <v>5</v>
      </c>
      <c r="O4884">
        <v>0.05</v>
      </c>
      <c r="P4884">
        <v>152.30000000000001</v>
      </c>
      <c r="Q4884" t="s">
        <v>9896</v>
      </c>
      <c r="R4884">
        <v>6</v>
      </c>
      <c r="S4884" s="5">
        <f t="shared" si="152"/>
        <v>8.1894929289670376E-2</v>
      </c>
      <c r="T4884">
        <v>371.94</v>
      </c>
      <c r="U4884">
        <v>8</v>
      </c>
      <c r="V4884">
        <v>2023</v>
      </c>
      <c r="W4884">
        <v>3</v>
      </c>
      <c r="X4884" t="s">
        <v>9899</v>
      </c>
      <c r="Y4884" t="s">
        <v>9901</v>
      </c>
      <c r="Z4884" t="s">
        <v>9898</v>
      </c>
      <c r="AD4884">
        <f t="shared" si="153"/>
        <v>6</v>
      </c>
    </row>
    <row r="4885" spans="1:30" x14ac:dyDescent="0.25">
      <c r="A4885" t="s">
        <v>4909</v>
      </c>
      <c r="B4885" s="2">
        <v>45147</v>
      </c>
      <c r="C4885" s="2">
        <v>45149</v>
      </c>
      <c r="D4885" t="s">
        <v>5139</v>
      </c>
      <c r="E4885" t="s">
        <v>5639</v>
      </c>
      <c r="F4885" t="s">
        <v>6028</v>
      </c>
      <c r="G4885" t="s">
        <v>6031</v>
      </c>
      <c r="H4885" t="s">
        <v>6042</v>
      </c>
      <c r="I4885" t="s">
        <v>6050</v>
      </c>
      <c r="J4885" t="s">
        <v>6053</v>
      </c>
      <c r="K4885" t="s">
        <v>6058</v>
      </c>
      <c r="L4885" t="s">
        <v>8530</v>
      </c>
      <c r="M4885">
        <v>1047.05</v>
      </c>
      <c r="N4885">
        <v>8</v>
      </c>
      <c r="O4885">
        <v>0.32</v>
      </c>
      <c r="P4885">
        <v>-139.93</v>
      </c>
      <c r="Q4885" t="s">
        <v>9895</v>
      </c>
      <c r="R4885">
        <v>2</v>
      </c>
      <c r="S4885" s="5">
        <f t="shared" si="152"/>
        <v>-0.13364213743374243</v>
      </c>
      <c r="T4885">
        <v>130.88124999999999</v>
      </c>
      <c r="U4885">
        <v>8</v>
      </c>
      <c r="V4885">
        <v>2023</v>
      </c>
      <c r="W4885">
        <v>3</v>
      </c>
      <c r="X4885" t="s">
        <v>9898</v>
      </c>
      <c r="Y4885" t="s">
        <v>9902</v>
      </c>
      <c r="Z4885" t="s">
        <v>9898</v>
      </c>
      <c r="AD4885">
        <f t="shared" si="153"/>
        <v>2</v>
      </c>
    </row>
    <row r="4886" spans="1:30" x14ac:dyDescent="0.25">
      <c r="A4886" t="s">
        <v>4910</v>
      </c>
      <c r="B4886" s="2">
        <v>44828</v>
      </c>
      <c r="C4886" s="2">
        <v>44831</v>
      </c>
      <c r="D4886" t="s">
        <v>5302</v>
      </c>
      <c r="E4886" t="s">
        <v>5802</v>
      </c>
      <c r="F4886" t="s">
        <v>6026</v>
      </c>
      <c r="G4886" t="s">
        <v>6030</v>
      </c>
      <c r="H4886" t="s">
        <v>6038</v>
      </c>
      <c r="I4886" t="s">
        <v>6047</v>
      </c>
      <c r="J4886" t="s">
        <v>6055</v>
      </c>
      <c r="K4886" t="s">
        <v>6064</v>
      </c>
      <c r="L4886" t="s">
        <v>9828</v>
      </c>
      <c r="M4886">
        <v>240.67</v>
      </c>
      <c r="N4886">
        <v>1</v>
      </c>
      <c r="O4886">
        <v>0.15</v>
      </c>
      <c r="P4886">
        <v>18.05</v>
      </c>
      <c r="Q4886" t="s">
        <v>9895</v>
      </c>
      <c r="R4886">
        <v>3</v>
      </c>
      <c r="S4886" s="5">
        <f t="shared" si="152"/>
        <v>7.4998961233223929E-2</v>
      </c>
      <c r="T4886">
        <v>240.67</v>
      </c>
      <c r="U4886">
        <v>9</v>
      </c>
      <c r="V4886">
        <v>2022</v>
      </c>
      <c r="W4886">
        <v>3</v>
      </c>
      <c r="X4886" t="s">
        <v>9899</v>
      </c>
      <c r="Y4886" t="s">
        <v>9901</v>
      </c>
      <c r="Z4886" t="s">
        <v>9899</v>
      </c>
      <c r="AD4886">
        <f t="shared" si="153"/>
        <v>3</v>
      </c>
    </row>
    <row r="4887" spans="1:30" x14ac:dyDescent="0.25">
      <c r="A4887" t="s">
        <v>4911</v>
      </c>
      <c r="B4887" s="2">
        <v>44776</v>
      </c>
      <c r="C4887" s="2">
        <v>44779</v>
      </c>
      <c r="D4887" t="s">
        <v>5145</v>
      </c>
      <c r="E4887" t="s">
        <v>5645</v>
      </c>
      <c r="F4887" t="s">
        <v>6027</v>
      </c>
      <c r="G4887" t="s">
        <v>6030</v>
      </c>
      <c r="H4887" t="s">
        <v>6035</v>
      </c>
      <c r="I4887" t="s">
        <v>6051</v>
      </c>
      <c r="J4887" t="s">
        <v>6055</v>
      </c>
      <c r="K4887" t="s">
        <v>6063</v>
      </c>
      <c r="L4887" t="s">
        <v>7134</v>
      </c>
      <c r="M4887">
        <v>368.73</v>
      </c>
      <c r="N4887">
        <v>3</v>
      </c>
      <c r="O4887">
        <v>0.16</v>
      </c>
      <c r="P4887">
        <v>43.29</v>
      </c>
      <c r="Q4887" t="s">
        <v>9896</v>
      </c>
      <c r="R4887">
        <v>3</v>
      </c>
      <c r="S4887" s="5">
        <f t="shared" si="152"/>
        <v>0.11740297778862581</v>
      </c>
      <c r="T4887">
        <v>122.91</v>
      </c>
      <c r="U4887">
        <v>8</v>
      </c>
      <c r="V4887">
        <v>2022</v>
      </c>
      <c r="W4887">
        <v>3</v>
      </c>
      <c r="X4887" t="s">
        <v>9899</v>
      </c>
      <c r="Y4887" t="s">
        <v>9900</v>
      </c>
      <c r="Z4887" t="s">
        <v>9899</v>
      </c>
      <c r="AD4887">
        <f t="shared" si="153"/>
        <v>3</v>
      </c>
    </row>
    <row r="4888" spans="1:30" x14ac:dyDescent="0.25">
      <c r="A4888" t="s">
        <v>4912</v>
      </c>
      <c r="B4888" s="2">
        <v>44653</v>
      </c>
      <c r="C4888" s="2">
        <v>44658</v>
      </c>
      <c r="D4888" t="s">
        <v>5221</v>
      </c>
      <c r="E4888" t="s">
        <v>5721</v>
      </c>
      <c r="F4888" t="s">
        <v>6028</v>
      </c>
      <c r="G4888" t="s">
        <v>6031</v>
      </c>
      <c r="H4888" t="s">
        <v>6040</v>
      </c>
      <c r="I4888" t="s">
        <v>6048</v>
      </c>
      <c r="J4888" t="s">
        <v>6055</v>
      </c>
      <c r="K4888" t="s">
        <v>6064</v>
      </c>
      <c r="L4888" t="s">
        <v>9829</v>
      </c>
      <c r="M4888">
        <v>1451.21</v>
      </c>
      <c r="N4888">
        <v>1</v>
      </c>
      <c r="O4888">
        <v>0.35</v>
      </c>
      <c r="P4888">
        <v>-292.77</v>
      </c>
      <c r="Q4888" t="s">
        <v>9897</v>
      </c>
      <c r="R4888">
        <v>5</v>
      </c>
      <c r="S4888" s="5">
        <f t="shared" si="152"/>
        <v>-0.20174199461139322</v>
      </c>
      <c r="T4888">
        <v>1451.21</v>
      </c>
      <c r="U4888">
        <v>4</v>
      </c>
      <c r="V4888">
        <v>2022</v>
      </c>
      <c r="W4888">
        <v>2</v>
      </c>
      <c r="X4888" t="s">
        <v>9898</v>
      </c>
      <c r="Y4888" t="s">
        <v>9902</v>
      </c>
      <c r="Z4888" t="s">
        <v>9898</v>
      </c>
      <c r="AD4888">
        <f t="shared" si="153"/>
        <v>5</v>
      </c>
    </row>
    <row r="4889" spans="1:30" x14ac:dyDescent="0.25">
      <c r="A4889" t="s">
        <v>4913</v>
      </c>
      <c r="B4889" s="2">
        <v>45108</v>
      </c>
      <c r="C4889" s="2">
        <v>45115</v>
      </c>
      <c r="D4889" t="s">
        <v>5307</v>
      </c>
      <c r="E4889" t="s">
        <v>5807</v>
      </c>
      <c r="F4889" t="s">
        <v>6026</v>
      </c>
      <c r="G4889" t="s">
        <v>6030</v>
      </c>
      <c r="H4889" t="s">
        <v>6039</v>
      </c>
      <c r="I4889" t="s">
        <v>6051</v>
      </c>
      <c r="J4889" t="s">
        <v>6055</v>
      </c>
      <c r="K4889" t="s">
        <v>6064</v>
      </c>
      <c r="L4889" t="s">
        <v>9346</v>
      </c>
      <c r="M4889">
        <v>1769.61</v>
      </c>
      <c r="N4889">
        <v>6</v>
      </c>
      <c r="O4889">
        <v>0.05</v>
      </c>
      <c r="P4889">
        <v>118.92</v>
      </c>
      <c r="Q4889" t="s">
        <v>9893</v>
      </c>
      <c r="R4889">
        <v>7</v>
      </c>
      <c r="S4889" s="5">
        <f t="shared" si="152"/>
        <v>6.7201247732551248E-2</v>
      </c>
      <c r="T4889">
        <v>294.935</v>
      </c>
      <c r="U4889">
        <v>7</v>
      </c>
      <c r="V4889">
        <v>2023</v>
      </c>
      <c r="W4889">
        <v>3</v>
      </c>
      <c r="X4889" t="s">
        <v>9899</v>
      </c>
      <c r="Y4889" t="s">
        <v>9901</v>
      </c>
      <c r="Z4889" t="s">
        <v>9898</v>
      </c>
      <c r="AD4889">
        <f t="shared" si="153"/>
        <v>7</v>
      </c>
    </row>
    <row r="4890" spans="1:30" x14ac:dyDescent="0.25">
      <c r="A4890" t="s">
        <v>4914</v>
      </c>
      <c r="B4890" s="2">
        <v>44657</v>
      </c>
      <c r="C4890" s="2">
        <v>44663</v>
      </c>
      <c r="D4890" t="s">
        <v>5100</v>
      </c>
      <c r="E4890" t="s">
        <v>5600</v>
      </c>
      <c r="F4890" t="s">
        <v>6027</v>
      </c>
      <c r="G4890" t="s">
        <v>6031</v>
      </c>
      <c r="H4890" t="s">
        <v>6043</v>
      </c>
      <c r="I4890" t="s">
        <v>6052</v>
      </c>
      <c r="J4890" t="s">
        <v>6053</v>
      </c>
      <c r="K4890" t="s">
        <v>6058</v>
      </c>
      <c r="L4890" t="s">
        <v>6079</v>
      </c>
      <c r="M4890">
        <v>419.63</v>
      </c>
      <c r="N4890">
        <v>2</v>
      </c>
      <c r="O4890">
        <v>0.25</v>
      </c>
      <c r="P4890">
        <v>-4.96</v>
      </c>
      <c r="Q4890" t="s">
        <v>9895</v>
      </c>
      <c r="R4890">
        <v>6</v>
      </c>
      <c r="S4890" s="5">
        <f t="shared" si="152"/>
        <v>-1.1819936610823822E-2</v>
      </c>
      <c r="T4890">
        <v>209.815</v>
      </c>
      <c r="U4890">
        <v>4</v>
      </c>
      <c r="V4890">
        <v>2022</v>
      </c>
      <c r="W4890">
        <v>2</v>
      </c>
      <c r="X4890" t="s">
        <v>9898</v>
      </c>
      <c r="Y4890" t="s">
        <v>9900</v>
      </c>
      <c r="Z4890" t="s">
        <v>9899</v>
      </c>
      <c r="AD4890">
        <f t="shared" si="153"/>
        <v>6</v>
      </c>
    </row>
    <row r="4891" spans="1:30" x14ac:dyDescent="0.25">
      <c r="A4891" t="s">
        <v>4915</v>
      </c>
      <c r="B4891" s="2">
        <v>44596</v>
      </c>
      <c r="C4891" s="2">
        <v>44599</v>
      </c>
      <c r="D4891" t="s">
        <v>5403</v>
      </c>
      <c r="E4891" t="s">
        <v>5903</v>
      </c>
      <c r="F4891" t="s">
        <v>6026</v>
      </c>
      <c r="G4891" t="s">
        <v>6031</v>
      </c>
      <c r="H4891" t="s">
        <v>6043</v>
      </c>
      <c r="I4891" t="s">
        <v>6048</v>
      </c>
      <c r="J4891" t="s">
        <v>6055</v>
      </c>
      <c r="K4891" t="s">
        <v>6061</v>
      </c>
      <c r="L4891" t="s">
        <v>9830</v>
      </c>
      <c r="M4891">
        <v>1405.23</v>
      </c>
      <c r="N4891">
        <v>1</v>
      </c>
      <c r="O4891">
        <v>0.34</v>
      </c>
      <c r="P4891">
        <v>-93.2</v>
      </c>
      <c r="Q4891" t="s">
        <v>9896</v>
      </c>
      <c r="R4891">
        <v>3</v>
      </c>
      <c r="S4891" s="5">
        <f t="shared" si="152"/>
        <v>-6.6323662318623994E-2</v>
      </c>
      <c r="T4891">
        <v>1405.23</v>
      </c>
      <c r="U4891">
        <v>2</v>
      </c>
      <c r="V4891">
        <v>2022</v>
      </c>
      <c r="W4891">
        <v>1</v>
      </c>
      <c r="X4891" t="s">
        <v>9898</v>
      </c>
      <c r="Y4891" t="s">
        <v>9902</v>
      </c>
      <c r="Z4891" t="s">
        <v>9898</v>
      </c>
      <c r="AD4891">
        <f t="shared" si="153"/>
        <v>3</v>
      </c>
    </row>
    <row r="4892" spans="1:30" x14ac:dyDescent="0.25">
      <c r="A4892" t="s">
        <v>4916</v>
      </c>
      <c r="B4892" s="2">
        <v>45280</v>
      </c>
      <c r="C4892" s="2">
        <v>45283</v>
      </c>
      <c r="D4892" t="s">
        <v>5276</v>
      </c>
      <c r="E4892" t="s">
        <v>5776</v>
      </c>
      <c r="F4892" t="s">
        <v>6027</v>
      </c>
      <c r="G4892" t="s">
        <v>6031</v>
      </c>
      <c r="H4892" t="s">
        <v>6037</v>
      </c>
      <c r="I4892" t="s">
        <v>6052</v>
      </c>
      <c r="J4892" t="s">
        <v>6055</v>
      </c>
      <c r="K4892" t="s">
        <v>6064</v>
      </c>
      <c r="L4892" t="s">
        <v>6871</v>
      </c>
      <c r="M4892">
        <v>1465.92</v>
      </c>
      <c r="N4892">
        <v>5</v>
      </c>
      <c r="O4892">
        <v>0.31</v>
      </c>
      <c r="P4892">
        <v>-102.12</v>
      </c>
      <c r="Q4892" t="s">
        <v>9894</v>
      </c>
      <c r="R4892">
        <v>3</v>
      </c>
      <c r="S4892" s="5">
        <f t="shared" si="152"/>
        <v>-6.9662737393582183E-2</v>
      </c>
      <c r="T4892">
        <v>293.18400000000003</v>
      </c>
      <c r="U4892">
        <v>12</v>
      </c>
      <c r="V4892">
        <v>2023</v>
      </c>
      <c r="W4892">
        <v>4</v>
      </c>
      <c r="X4892" t="s">
        <v>9898</v>
      </c>
      <c r="Y4892" t="s">
        <v>9902</v>
      </c>
      <c r="Z4892" t="s">
        <v>9898</v>
      </c>
      <c r="AD4892">
        <f t="shared" si="153"/>
        <v>3</v>
      </c>
    </row>
    <row r="4893" spans="1:30" x14ac:dyDescent="0.25">
      <c r="A4893" t="s">
        <v>4917</v>
      </c>
      <c r="B4893" s="2">
        <v>44701</v>
      </c>
      <c r="C4893" s="2">
        <v>44706</v>
      </c>
      <c r="D4893" t="s">
        <v>5337</v>
      </c>
      <c r="E4893" t="s">
        <v>5837</v>
      </c>
      <c r="F4893" t="s">
        <v>6026</v>
      </c>
      <c r="G4893" t="s">
        <v>6031</v>
      </c>
      <c r="H4893" t="s">
        <v>6040</v>
      </c>
      <c r="I4893" t="s">
        <v>6048</v>
      </c>
      <c r="J4893" t="s">
        <v>6055</v>
      </c>
      <c r="K4893" t="s">
        <v>6063</v>
      </c>
      <c r="L4893" t="s">
        <v>9831</v>
      </c>
      <c r="M4893">
        <v>305.85000000000002</v>
      </c>
      <c r="N4893">
        <v>2</v>
      </c>
      <c r="O4893">
        <v>0.22</v>
      </c>
      <c r="P4893">
        <v>16.18</v>
      </c>
      <c r="Q4893" t="s">
        <v>9894</v>
      </c>
      <c r="R4893">
        <v>5</v>
      </c>
      <c r="S4893" s="5">
        <f t="shared" si="152"/>
        <v>5.2901749223475555E-2</v>
      </c>
      <c r="T4893">
        <v>152.92500000000001</v>
      </c>
      <c r="U4893">
        <v>5</v>
      </c>
      <c r="V4893">
        <v>2022</v>
      </c>
      <c r="W4893">
        <v>2</v>
      </c>
      <c r="X4893" t="s">
        <v>9899</v>
      </c>
      <c r="Y4893" t="s">
        <v>9900</v>
      </c>
      <c r="Z4893" t="s">
        <v>9899</v>
      </c>
      <c r="AD4893">
        <f t="shared" si="153"/>
        <v>5</v>
      </c>
    </row>
    <row r="4894" spans="1:30" x14ac:dyDescent="0.25">
      <c r="A4894" t="s">
        <v>4918</v>
      </c>
      <c r="B4894" s="2">
        <v>45107</v>
      </c>
      <c r="C4894" s="2">
        <v>45112</v>
      </c>
      <c r="D4894" t="s">
        <v>5365</v>
      </c>
      <c r="E4894" t="s">
        <v>5865</v>
      </c>
      <c r="F4894" t="s">
        <v>6028</v>
      </c>
      <c r="G4894" t="s">
        <v>6029</v>
      </c>
      <c r="H4894" t="s">
        <v>6041</v>
      </c>
      <c r="I4894" t="s">
        <v>6046</v>
      </c>
      <c r="J4894" t="s">
        <v>6054</v>
      </c>
      <c r="K4894" t="s">
        <v>6060</v>
      </c>
      <c r="L4894" t="s">
        <v>9832</v>
      </c>
      <c r="M4894">
        <v>1123.02</v>
      </c>
      <c r="N4894">
        <v>7</v>
      </c>
      <c r="O4894">
        <v>0.33</v>
      </c>
      <c r="P4894">
        <v>-79.02</v>
      </c>
      <c r="Q4894" t="s">
        <v>9896</v>
      </c>
      <c r="R4894">
        <v>5</v>
      </c>
      <c r="S4894" s="5">
        <f t="shared" si="152"/>
        <v>-7.0363840359031898E-2</v>
      </c>
      <c r="T4894">
        <v>160.4314285714286</v>
      </c>
      <c r="U4894">
        <v>6</v>
      </c>
      <c r="V4894">
        <v>2023</v>
      </c>
      <c r="W4894">
        <v>2</v>
      </c>
      <c r="X4894" t="s">
        <v>9898</v>
      </c>
      <c r="Y4894" t="s">
        <v>9902</v>
      </c>
      <c r="Z4894" t="s">
        <v>9898</v>
      </c>
      <c r="AD4894">
        <f t="shared" si="153"/>
        <v>5</v>
      </c>
    </row>
    <row r="4895" spans="1:30" x14ac:dyDescent="0.25">
      <c r="A4895" t="s">
        <v>4919</v>
      </c>
      <c r="B4895" s="2">
        <v>45089</v>
      </c>
      <c r="C4895" s="2">
        <v>45091</v>
      </c>
      <c r="D4895" t="s">
        <v>5420</v>
      </c>
      <c r="E4895" t="s">
        <v>5920</v>
      </c>
      <c r="F4895" t="s">
        <v>6026</v>
      </c>
      <c r="G4895" t="s">
        <v>6030</v>
      </c>
      <c r="H4895" t="s">
        <v>6035</v>
      </c>
      <c r="I4895" t="s">
        <v>6047</v>
      </c>
      <c r="J4895" t="s">
        <v>6053</v>
      </c>
      <c r="K4895" t="s">
        <v>6056</v>
      </c>
      <c r="L4895" t="s">
        <v>9833</v>
      </c>
      <c r="M4895">
        <v>914.64</v>
      </c>
      <c r="N4895">
        <v>4</v>
      </c>
      <c r="O4895">
        <v>0.2</v>
      </c>
      <c r="P4895">
        <v>-51.31</v>
      </c>
      <c r="Q4895" t="s">
        <v>9897</v>
      </c>
      <c r="R4895">
        <v>2</v>
      </c>
      <c r="S4895" s="5">
        <f t="shared" si="152"/>
        <v>-5.60985743024578E-2</v>
      </c>
      <c r="T4895">
        <v>228.66</v>
      </c>
      <c r="U4895">
        <v>6</v>
      </c>
      <c r="V4895">
        <v>2023</v>
      </c>
      <c r="W4895">
        <v>2</v>
      </c>
      <c r="X4895" t="s">
        <v>9898</v>
      </c>
      <c r="Y4895" t="s">
        <v>9900</v>
      </c>
      <c r="Z4895" t="s">
        <v>9899</v>
      </c>
      <c r="AD4895">
        <f t="shared" si="153"/>
        <v>2</v>
      </c>
    </row>
    <row r="4896" spans="1:30" x14ac:dyDescent="0.25">
      <c r="A4896" t="s">
        <v>4920</v>
      </c>
      <c r="B4896" s="2">
        <v>44870</v>
      </c>
      <c r="C4896" s="2">
        <v>44871</v>
      </c>
      <c r="D4896" t="s">
        <v>5037</v>
      </c>
      <c r="E4896" t="s">
        <v>5537</v>
      </c>
      <c r="F4896" t="s">
        <v>6027</v>
      </c>
      <c r="G4896" t="s">
        <v>6031</v>
      </c>
      <c r="H4896" t="s">
        <v>6043</v>
      </c>
      <c r="I4896" t="s">
        <v>6052</v>
      </c>
      <c r="J4896" t="s">
        <v>6053</v>
      </c>
      <c r="K4896" t="s">
        <v>6056</v>
      </c>
      <c r="L4896" t="s">
        <v>9578</v>
      </c>
      <c r="M4896">
        <v>1086.02</v>
      </c>
      <c r="N4896">
        <v>8</v>
      </c>
      <c r="O4896">
        <v>0.14000000000000001</v>
      </c>
      <c r="P4896">
        <v>68.33</v>
      </c>
      <c r="Q4896" t="s">
        <v>9896</v>
      </c>
      <c r="R4896">
        <v>1</v>
      </c>
      <c r="S4896" s="5">
        <f t="shared" si="152"/>
        <v>6.2917809985083145E-2</v>
      </c>
      <c r="T4896">
        <v>135.7525</v>
      </c>
      <c r="U4896">
        <v>11</v>
      </c>
      <c r="V4896">
        <v>2022</v>
      </c>
      <c r="W4896">
        <v>4</v>
      </c>
      <c r="X4896" t="s">
        <v>9899</v>
      </c>
      <c r="Y4896" t="s">
        <v>9901</v>
      </c>
      <c r="Z4896" t="s">
        <v>9898</v>
      </c>
      <c r="AD4896">
        <f t="shared" si="153"/>
        <v>1</v>
      </c>
    </row>
    <row r="4897" spans="1:30" x14ac:dyDescent="0.25">
      <c r="A4897" t="s">
        <v>4921</v>
      </c>
      <c r="B4897" s="2">
        <v>45193</v>
      </c>
      <c r="C4897" s="2">
        <v>45198</v>
      </c>
      <c r="D4897" t="s">
        <v>5347</v>
      </c>
      <c r="E4897" t="s">
        <v>5847</v>
      </c>
      <c r="F4897" t="s">
        <v>6028</v>
      </c>
      <c r="G4897" t="s">
        <v>6030</v>
      </c>
      <c r="H4897" t="s">
        <v>6038</v>
      </c>
      <c r="I4897" t="s">
        <v>6051</v>
      </c>
      <c r="J4897" t="s">
        <v>6055</v>
      </c>
      <c r="K4897" t="s">
        <v>6064</v>
      </c>
      <c r="L4897" t="s">
        <v>6119</v>
      </c>
      <c r="M4897">
        <v>901.93</v>
      </c>
      <c r="N4897">
        <v>7</v>
      </c>
      <c r="O4897">
        <v>0.1</v>
      </c>
      <c r="P4897">
        <v>69.55</v>
      </c>
      <c r="Q4897" t="s">
        <v>9897</v>
      </c>
      <c r="R4897">
        <v>5</v>
      </c>
      <c r="S4897" s="5">
        <f t="shared" si="152"/>
        <v>7.7112414488929304E-2</v>
      </c>
      <c r="T4897">
        <v>128.84714285714281</v>
      </c>
      <c r="U4897">
        <v>9</v>
      </c>
      <c r="V4897">
        <v>2023</v>
      </c>
      <c r="W4897">
        <v>3</v>
      </c>
      <c r="X4897" t="s">
        <v>9899</v>
      </c>
      <c r="Y4897" t="s">
        <v>9901</v>
      </c>
      <c r="Z4897" t="s">
        <v>9899</v>
      </c>
      <c r="AD4897">
        <f t="shared" si="153"/>
        <v>5</v>
      </c>
    </row>
    <row r="4898" spans="1:30" x14ac:dyDescent="0.25">
      <c r="A4898" t="s">
        <v>4922</v>
      </c>
      <c r="B4898" s="2">
        <v>45447</v>
      </c>
      <c r="C4898" s="2">
        <v>45453</v>
      </c>
      <c r="D4898" t="s">
        <v>5221</v>
      </c>
      <c r="E4898" t="s">
        <v>5721</v>
      </c>
      <c r="F4898" t="s">
        <v>6026</v>
      </c>
      <c r="G4898" t="s">
        <v>6029</v>
      </c>
      <c r="H4898" t="s">
        <v>6044</v>
      </c>
      <c r="I4898" t="s">
        <v>6049</v>
      </c>
      <c r="J4898" t="s">
        <v>6055</v>
      </c>
      <c r="K4898" t="s">
        <v>6064</v>
      </c>
      <c r="L4898" t="s">
        <v>9834</v>
      </c>
      <c r="M4898">
        <v>1522.8</v>
      </c>
      <c r="N4898">
        <v>2</v>
      </c>
      <c r="O4898">
        <v>0.18</v>
      </c>
      <c r="P4898">
        <v>105.44</v>
      </c>
      <c r="Q4898" t="s">
        <v>9895</v>
      </c>
      <c r="R4898">
        <v>6</v>
      </c>
      <c r="S4898" s="5">
        <f t="shared" si="152"/>
        <v>6.9240872077751509E-2</v>
      </c>
      <c r="T4898">
        <v>761.4</v>
      </c>
      <c r="U4898">
        <v>6</v>
      </c>
      <c r="V4898">
        <v>2024</v>
      </c>
      <c r="W4898">
        <v>2</v>
      </c>
      <c r="X4898" t="s">
        <v>9899</v>
      </c>
      <c r="Y4898" t="s">
        <v>9900</v>
      </c>
      <c r="Z4898" t="s">
        <v>9898</v>
      </c>
      <c r="AD4898">
        <f t="shared" si="153"/>
        <v>6</v>
      </c>
    </row>
    <row r="4899" spans="1:30" x14ac:dyDescent="0.25">
      <c r="A4899" t="s">
        <v>4923</v>
      </c>
      <c r="B4899" s="2">
        <v>45398</v>
      </c>
      <c r="C4899" s="2">
        <v>45405</v>
      </c>
      <c r="D4899" t="s">
        <v>5263</v>
      </c>
      <c r="E4899" t="s">
        <v>5763</v>
      </c>
      <c r="F4899" t="s">
        <v>6027</v>
      </c>
      <c r="G4899" t="s">
        <v>6030</v>
      </c>
      <c r="H4899" t="s">
        <v>6039</v>
      </c>
      <c r="I4899" t="s">
        <v>6047</v>
      </c>
      <c r="J4899" t="s">
        <v>6053</v>
      </c>
      <c r="K4899" t="s">
        <v>6057</v>
      </c>
      <c r="L4899" t="s">
        <v>9835</v>
      </c>
      <c r="M4899">
        <v>935.46</v>
      </c>
      <c r="N4899">
        <v>3</v>
      </c>
      <c r="O4899">
        <v>0.18</v>
      </c>
      <c r="P4899">
        <v>52.47</v>
      </c>
      <c r="Q4899" t="s">
        <v>9893</v>
      </c>
      <c r="R4899">
        <v>7</v>
      </c>
      <c r="S4899" s="5">
        <f t="shared" si="152"/>
        <v>5.6090051953049835E-2</v>
      </c>
      <c r="T4899">
        <v>311.82</v>
      </c>
      <c r="U4899">
        <v>4</v>
      </c>
      <c r="V4899">
        <v>2024</v>
      </c>
      <c r="W4899">
        <v>2</v>
      </c>
      <c r="X4899" t="s">
        <v>9899</v>
      </c>
      <c r="Y4899" t="s">
        <v>9900</v>
      </c>
      <c r="Z4899" t="s">
        <v>9899</v>
      </c>
      <c r="AD4899">
        <f t="shared" si="153"/>
        <v>7</v>
      </c>
    </row>
    <row r="4900" spans="1:30" x14ac:dyDescent="0.25">
      <c r="A4900" t="s">
        <v>4924</v>
      </c>
      <c r="B4900" s="2">
        <v>45088</v>
      </c>
      <c r="C4900" s="2">
        <v>45094</v>
      </c>
      <c r="D4900" t="s">
        <v>5400</v>
      </c>
      <c r="E4900" t="s">
        <v>5900</v>
      </c>
      <c r="F4900" t="s">
        <v>6027</v>
      </c>
      <c r="G4900" t="s">
        <v>6031</v>
      </c>
      <c r="H4900" t="s">
        <v>6043</v>
      </c>
      <c r="I4900" t="s">
        <v>6052</v>
      </c>
      <c r="J4900" t="s">
        <v>6055</v>
      </c>
      <c r="K4900" t="s">
        <v>6061</v>
      </c>
      <c r="L4900" t="s">
        <v>9836</v>
      </c>
      <c r="M4900">
        <v>1169.71</v>
      </c>
      <c r="N4900">
        <v>3</v>
      </c>
      <c r="O4900">
        <v>0.11</v>
      </c>
      <c r="P4900">
        <v>205.12</v>
      </c>
      <c r="Q4900" t="s">
        <v>9894</v>
      </c>
      <c r="R4900">
        <v>6</v>
      </c>
      <c r="S4900" s="5">
        <f t="shared" si="152"/>
        <v>0.17535970454215147</v>
      </c>
      <c r="T4900">
        <v>389.90333333333342</v>
      </c>
      <c r="U4900">
        <v>6</v>
      </c>
      <c r="V4900">
        <v>2023</v>
      </c>
      <c r="W4900">
        <v>2</v>
      </c>
      <c r="X4900" t="s">
        <v>9899</v>
      </c>
      <c r="Y4900" t="s">
        <v>9901</v>
      </c>
      <c r="Z4900" t="s">
        <v>9898</v>
      </c>
      <c r="AD4900">
        <f t="shared" si="153"/>
        <v>6</v>
      </c>
    </row>
    <row r="4901" spans="1:30" x14ac:dyDescent="0.25">
      <c r="A4901" t="s">
        <v>4925</v>
      </c>
      <c r="B4901" s="2">
        <v>45300</v>
      </c>
      <c r="C4901" s="2">
        <v>45303</v>
      </c>
      <c r="D4901" t="s">
        <v>5108</v>
      </c>
      <c r="E4901" t="s">
        <v>5608</v>
      </c>
      <c r="F4901" t="s">
        <v>6026</v>
      </c>
      <c r="G4901" t="s">
        <v>6031</v>
      </c>
      <c r="H4901" t="s">
        <v>6037</v>
      </c>
      <c r="I4901" t="s">
        <v>6048</v>
      </c>
      <c r="J4901" t="s">
        <v>6054</v>
      </c>
      <c r="K4901" t="s">
        <v>6060</v>
      </c>
      <c r="L4901" t="s">
        <v>9837</v>
      </c>
      <c r="M4901">
        <v>132.65</v>
      </c>
      <c r="N4901">
        <v>8</v>
      </c>
      <c r="O4901">
        <v>0.33</v>
      </c>
      <c r="P4901">
        <v>-28.58</v>
      </c>
      <c r="Q4901" t="s">
        <v>9897</v>
      </c>
      <c r="R4901">
        <v>3</v>
      </c>
      <c r="S4901" s="5">
        <f t="shared" si="152"/>
        <v>-0.21545420278929511</v>
      </c>
      <c r="T4901">
        <v>16.581250000000001</v>
      </c>
      <c r="U4901">
        <v>1</v>
      </c>
      <c r="V4901">
        <v>2024</v>
      </c>
      <c r="W4901">
        <v>1</v>
      </c>
      <c r="X4901" t="s">
        <v>9898</v>
      </c>
      <c r="Y4901" t="s">
        <v>9902</v>
      </c>
      <c r="Z4901" t="s">
        <v>9899</v>
      </c>
      <c r="AD4901">
        <f t="shared" si="153"/>
        <v>3</v>
      </c>
    </row>
    <row r="4902" spans="1:30" x14ac:dyDescent="0.25">
      <c r="A4902" t="s">
        <v>4926</v>
      </c>
      <c r="B4902" s="2">
        <v>44643</v>
      </c>
      <c r="C4902" s="2">
        <v>44644</v>
      </c>
      <c r="D4902" t="s">
        <v>5495</v>
      </c>
      <c r="E4902" t="s">
        <v>5995</v>
      </c>
      <c r="F4902" t="s">
        <v>6026</v>
      </c>
      <c r="G4902" t="s">
        <v>6030</v>
      </c>
      <c r="H4902" t="s">
        <v>6035</v>
      </c>
      <c r="I4902" t="s">
        <v>6051</v>
      </c>
      <c r="J4902" t="s">
        <v>6053</v>
      </c>
      <c r="K4902" t="s">
        <v>6057</v>
      </c>
      <c r="L4902" t="s">
        <v>7901</v>
      </c>
      <c r="M4902">
        <v>156.4</v>
      </c>
      <c r="N4902">
        <v>6</v>
      </c>
      <c r="O4902">
        <v>0.02</v>
      </c>
      <c r="P4902">
        <v>26.43</v>
      </c>
      <c r="Q4902" t="s">
        <v>9893</v>
      </c>
      <c r="R4902">
        <v>1</v>
      </c>
      <c r="S4902" s="5">
        <f t="shared" si="152"/>
        <v>0.16898976982097186</v>
      </c>
      <c r="T4902">
        <v>26.06666666666667</v>
      </c>
      <c r="U4902">
        <v>3</v>
      </c>
      <c r="V4902">
        <v>2022</v>
      </c>
      <c r="W4902">
        <v>1</v>
      </c>
      <c r="X4902" t="s">
        <v>9899</v>
      </c>
      <c r="Y4902" t="s">
        <v>9901</v>
      </c>
      <c r="Z4902" t="s">
        <v>9899</v>
      </c>
      <c r="AD4902">
        <f t="shared" si="153"/>
        <v>1</v>
      </c>
    </row>
    <row r="4903" spans="1:30" x14ac:dyDescent="0.25">
      <c r="A4903" t="s">
        <v>4927</v>
      </c>
      <c r="B4903" s="2">
        <v>45146</v>
      </c>
      <c r="C4903" s="2">
        <v>45152</v>
      </c>
      <c r="D4903" t="s">
        <v>5100</v>
      </c>
      <c r="E4903" t="s">
        <v>5600</v>
      </c>
      <c r="F4903" t="s">
        <v>6026</v>
      </c>
      <c r="G4903" t="s">
        <v>6030</v>
      </c>
      <c r="H4903" t="s">
        <v>6035</v>
      </c>
      <c r="I4903" t="s">
        <v>6051</v>
      </c>
      <c r="J4903" t="s">
        <v>6053</v>
      </c>
      <c r="K4903" t="s">
        <v>6058</v>
      </c>
      <c r="L4903" t="s">
        <v>9838</v>
      </c>
      <c r="M4903">
        <v>1380.91</v>
      </c>
      <c r="N4903">
        <v>6</v>
      </c>
      <c r="O4903">
        <v>0.35</v>
      </c>
      <c r="P4903">
        <v>-118.84</v>
      </c>
      <c r="Q4903" t="s">
        <v>9896</v>
      </c>
      <c r="R4903">
        <v>6</v>
      </c>
      <c r="S4903" s="5">
        <f t="shared" si="152"/>
        <v>-8.605919285109094E-2</v>
      </c>
      <c r="T4903">
        <v>230.1516666666667</v>
      </c>
      <c r="U4903">
        <v>8</v>
      </c>
      <c r="V4903">
        <v>2023</v>
      </c>
      <c r="W4903">
        <v>3</v>
      </c>
      <c r="X4903" t="s">
        <v>9898</v>
      </c>
      <c r="Y4903" t="s">
        <v>9902</v>
      </c>
      <c r="Z4903" t="s">
        <v>9898</v>
      </c>
      <c r="AD4903">
        <f t="shared" si="153"/>
        <v>6</v>
      </c>
    </row>
    <row r="4904" spans="1:30" x14ac:dyDescent="0.25">
      <c r="A4904" t="s">
        <v>4928</v>
      </c>
      <c r="B4904" s="2">
        <v>45326</v>
      </c>
      <c r="C4904" s="2">
        <v>45328</v>
      </c>
      <c r="D4904" t="s">
        <v>5192</v>
      </c>
      <c r="E4904" t="s">
        <v>5692</v>
      </c>
      <c r="F4904" t="s">
        <v>6028</v>
      </c>
      <c r="G4904" t="s">
        <v>6030</v>
      </c>
      <c r="H4904" t="s">
        <v>6033</v>
      </c>
      <c r="I4904" t="s">
        <v>6051</v>
      </c>
      <c r="J4904" t="s">
        <v>6053</v>
      </c>
      <c r="K4904" t="s">
        <v>6057</v>
      </c>
      <c r="L4904" t="s">
        <v>9839</v>
      </c>
      <c r="M4904">
        <v>497.47</v>
      </c>
      <c r="N4904">
        <v>3</v>
      </c>
      <c r="O4904">
        <v>0.18</v>
      </c>
      <c r="P4904">
        <v>-21.05</v>
      </c>
      <c r="Q4904" t="s">
        <v>9895</v>
      </c>
      <c r="R4904">
        <v>2</v>
      </c>
      <c r="S4904" s="5">
        <f t="shared" si="152"/>
        <v>-4.2314109393531266E-2</v>
      </c>
      <c r="T4904">
        <v>165.82333333333341</v>
      </c>
      <c r="U4904">
        <v>2</v>
      </c>
      <c r="V4904">
        <v>2024</v>
      </c>
      <c r="W4904">
        <v>1</v>
      </c>
      <c r="X4904" t="s">
        <v>9898</v>
      </c>
      <c r="Y4904" t="s">
        <v>9900</v>
      </c>
      <c r="Z4904" t="s">
        <v>9899</v>
      </c>
      <c r="AD4904">
        <f t="shared" si="153"/>
        <v>2</v>
      </c>
    </row>
    <row r="4905" spans="1:30" x14ac:dyDescent="0.25">
      <c r="A4905" t="s">
        <v>4929</v>
      </c>
      <c r="B4905" s="2">
        <v>45196</v>
      </c>
      <c r="C4905" s="2">
        <v>45201</v>
      </c>
      <c r="D4905" t="s">
        <v>5300</v>
      </c>
      <c r="E4905" t="s">
        <v>5800</v>
      </c>
      <c r="F4905" t="s">
        <v>6026</v>
      </c>
      <c r="G4905" t="s">
        <v>6030</v>
      </c>
      <c r="H4905" t="s">
        <v>6038</v>
      </c>
      <c r="I4905" t="s">
        <v>6047</v>
      </c>
      <c r="J4905" t="s">
        <v>6053</v>
      </c>
      <c r="K4905" t="s">
        <v>6056</v>
      </c>
      <c r="L4905" t="s">
        <v>9334</v>
      </c>
      <c r="M4905">
        <v>592.36</v>
      </c>
      <c r="N4905">
        <v>5</v>
      </c>
      <c r="O4905">
        <v>0.32</v>
      </c>
      <c r="P4905">
        <v>-39.21</v>
      </c>
      <c r="Q4905" t="s">
        <v>9893</v>
      </c>
      <c r="R4905">
        <v>5</v>
      </c>
      <c r="S4905" s="5">
        <f t="shared" si="152"/>
        <v>-6.6192855695860628E-2</v>
      </c>
      <c r="T4905">
        <v>118.47199999999999</v>
      </c>
      <c r="U4905">
        <v>9</v>
      </c>
      <c r="V4905">
        <v>2023</v>
      </c>
      <c r="W4905">
        <v>3</v>
      </c>
      <c r="X4905" t="s">
        <v>9898</v>
      </c>
      <c r="Y4905" t="s">
        <v>9902</v>
      </c>
      <c r="Z4905" t="s">
        <v>9899</v>
      </c>
      <c r="AD4905">
        <f t="shared" si="153"/>
        <v>5</v>
      </c>
    </row>
    <row r="4906" spans="1:30" x14ac:dyDescent="0.25">
      <c r="A4906" t="s">
        <v>4930</v>
      </c>
      <c r="B4906" s="2">
        <v>44885</v>
      </c>
      <c r="C4906" s="2">
        <v>44892</v>
      </c>
      <c r="D4906" t="s">
        <v>5203</v>
      </c>
      <c r="E4906" t="s">
        <v>5703</v>
      </c>
      <c r="F4906" t="s">
        <v>6026</v>
      </c>
      <c r="G4906" t="s">
        <v>6029</v>
      </c>
      <c r="H4906" t="s">
        <v>6036</v>
      </c>
      <c r="I4906" t="s">
        <v>6046</v>
      </c>
      <c r="J4906" t="s">
        <v>6053</v>
      </c>
      <c r="K4906" t="s">
        <v>6056</v>
      </c>
      <c r="L4906" t="s">
        <v>9840</v>
      </c>
      <c r="M4906">
        <v>952.95</v>
      </c>
      <c r="N4906">
        <v>1</v>
      </c>
      <c r="O4906">
        <v>0.33</v>
      </c>
      <c r="P4906">
        <v>-39.81</v>
      </c>
      <c r="Q4906" t="s">
        <v>9895</v>
      </c>
      <c r="R4906">
        <v>7</v>
      </c>
      <c r="S4906" s="5">
        <f t="shared" si="152"/>
        <v>-4.1775539115378561E-2</v>
      </c>
      <c r="T4906">
        <v>952.95</v>
      </c>
      <c r="U4906">
        <v>11</v>
      </c>
      <c r="V4906">
        <v>2022</v>
      </c>
      <c r="W4906">
        <v>4</v>
      </c>
      <c r="X4906" t="s">
        <v>9898</v>
      </c>
      <c r="Y4906" t="s">
        <v>9902</v>
      </c>
      <c r="Z4906" t="s">
        <v>9899</v>
      </c>
      <c r="AD4906">
        <f t="shared" si="153"/>
        <v>7</v>
      </c>
    </row>
    <row r="4907" spans="1:30" x14ac:dyDescent="0.25">
      <c r="A4907" t="s">
        <v>4931</v>
      </c>
      <c r="B4907" s="2">
        <v>45009</v>
      </c>
      <c r="C4907" s="2">
        <v>45016</v>
      </c>
      <c r="D4907" t="s">
        <v>5168</v>
      </c>
      <c r="E4907" t="s">
        <v>5668</v>
      </c>
      <c r="F4907" t="s">
        <v>6026</v>
      </c>
      <c r="G4907" t="s">
        <v>6031</v>
      </c>
      <c r="H4907" t="s">
        <v>6043</v>
      </c>
      <c r="I4907" t="s">
        <v>6048</v>
      </c>
      <c r="J4907" t="s">
        <v>6053</v>
      </c>
      <c r="K4907" t="s">
        <v>6058</v>
      </c>
      <c r="L4907" t="s">
        <v>6257</v>
      </c>
      <c r="M4907">
        <v>1772.86</v>
      </c>
      <c r="N4907">
        <v>7</v>
      </c>
      <c r="O4907">
        <v>0.23</v>
      </c>
      <c r="P4907">
        <v>-106.23</v>
      </c>
      <c r="Q4907" t="s">
        <v>9895</v>
      </c>
      <c r="R4907">
        <v>7</v>
      </c>
      <c r="S4907" s="5">
        <f t="shared" si="152"/>
        <v>-5.9920129057003946E-2</v>
      </c>
      <c r="T4907">
        <v>253.2657142857143</v>
      </c>
      <c r="U4907">
        <v>3</v>
      </c>
      <c r="V4907">
        <v>2023</v>
      </c>
      <c r="W4907">
        <v>1</v>
      </c>
      <c r="X4907" t="s">
        <v>9898</v>
      </c>
      <c r="Y4907" t="s">
        <v>9900</v>
      </c>
      <c r="Z4907" t="s">
        <v>9898</v>
      </c>
      <c r="AD4907">
        <f t="shared" si="153"/>
        <v>7</v>
      </c>
    </row>
    <row r="4908" spans="1:30" x14ac:dyDescent="0.25">
      <c r="A4908" t="s">
        <v>4932</v>
      </c>
      <c r="B4908" s="2">
        <v>45020</v>
      </c>
      <c r="C4908" s="2">
        <v>45025</v>
      </c>
      <c r="D4908" t="s">
        <v>5200</v>
      </c>
      <c r="E4908" t="s">
        <v>5700</v>
      </c>
      <c r="F4908" t="s">
        <v>6028</v>
      </c>
      <c r="G4908" t="s">
        <v>6029</v>
      </c>
      <c r="H4908" t="s">
        <v>6032</v>
      </c>
      <c r="I4908" t="s">
        <v>6049</v>
      </c>
      <c r="J4908" t="s">
        <v>6054</v>
      </c>
      <c r="K4908" t="s">
        <v>6060</v>
      </c>
      <c r="L4908" t="s">
        <v>9841</v>
      </c>
      <c r="M4908">
        <v>436.69</v>
      </c>
      <c r="N4908">
        <v>4</v>
      </c>
      <c r="O4908">
        <v>0.26</v>
      </c>
      <c r="P4908">
        <v>-40.799999999999997</v>
      </c>
      <c r="Q4908" t="s">
        <v>9893</v>
      </c>
      <c r="R4908">
        <v>5</v>
      </c>
      <c r="S4908" s="5">
        <f t="shared" si="152"/>
        <v>-9.3430122054546691E-2</v>
      </c>
      <c r="T4908">
        <v>109.1725</v>
      </c>
      <c r="U4908">
        <v>4</v>
      </c>
      <c r="V4908">
        <v>2023</v>
      </c>
      <c r="W4908">
        <v>2</v>
      </c>
      <c r="X4908" t="s">
        <v>9898</v>
      </c>
      <c r="Y4908" t="s">
        <v>9900</v>
      </c>
      <c r="Z4908" t="s">
        <v>9899</v>
      </c>
      <c r="AD4908">
        <f t="shared" si="153"/>
        <v>5</v>
      </c>
    </row>
    <row r="4909" spans="1:30" x14ac:dyDescent="0.25">
      <c r="A4909" t="s">
        <v>4933</v>
      </c>
      <c r="B4909" s="2">
        <v>45173</v>
      </c>
      <c r="C4909" s="2">
        <v>45176</v>
      </c>
      <c r="D4909" t="s">
        <v>5242</v>
      </c>
      <c r="E4909" t="s">
        <v>5742</v>
      </c>
      <c r="F4909" t="s">
        <v>6028</v>
      </c>
      <c r="G4909" t="s">
        <v>6030</v>
      </c>
      <c r="H4909" t="s">
        <v>6039</v>
      </c>
      <c r="I4909" t="s">
        <v>6051</v>
      </c>
      <c r="J4909" t="s">
        <v>6053</v>
      </c>
      <c r="K4909" t="s">
        <v>6057</v>
      </c>
      <c r="L4909" t="s">
        <v>9842</v>
      </c>
      <c r="M4909">
        <v>813.07</v>
      </c>
      <c r="N4909">
        <v>8</v>
      </c>
      <c r="O4909">
        <v>0.19</v>
      </c>
      <c r="P4909">
        <v>86.17</v>
      </c>
      <c r="Q4909" t="s">
        <v>9893</v>
      </c>
      <c r="R4909">
        <v>3</v>
      </c>
      <c r="S4909" s="5">
        <f t="shared" si="152"/>
        <v>0.10598103484324843</v>
      </c>
      <c r="T4909">
        <v>101.63375000000001</v>
      </c>
      <c r="U4909">
        <v>9</v>
      </c>
      <c r="V4909">
        <v>2023</v>
      </c>
      <c r="W4909">
        <v>3</v>
      </c>
      <c r="X4909" t="s">
        <v>9899</v>
      </c>
      <c r="Y4909" t="s">
        <v>9900</v>
      </c>
      <c r="Z4909" t="s">
        <v>9899</v>
      </c>
      <c r="AD4909">
        <f t="shared" si="153"/>
        <v>3</v>
      </c>
    </row>
    <row r="4910" spans="1:30" x14ac:dyDescent="0.25">
      <c r="A4910" t="s">
        <v>4934</v>
      </c>
      <c r="B4910" s="2">
        <v>45423</v>
      </c>
      <c r="C4910" s="2">
        <v>45429</v>
      </c>
      <c r="D4910" t="s">
        <v>5418</v>
      </c>
      <c r="E4910" t="s">
        <v>5918</v>
      </c>
      <c r="F4910" t="s">
        <v>6027</v>
      </c>
      <c r="G4910" t="s">
        <v>6029</v>
      </c>
      <c r="H4910" t="s">
        <v>6044</v>
      </c>
      <c r="I4910" t="s">
        <v>6049</v>
      </c>
      <c r="J4910" t="s">
        <v>6054</v>
      </c>
      <c r="K4910" t="s">
        <v>6059</v>
      </c>
      <c r="L4910" t="s">
        <v>9843</v>
      </c>
      <c r="M4910">
        <v>993.14</v>
      </c>
      <c r="N4910">
        <v>6</v>
      </c>
      <c r="O4910">
        <v>0.24</v>
      </c>
      <c r="P4910">
        <v>-51.44</v>
      </c>
      <c r="Q4910" t="s">
        <v>9897</v>
      </c>
      <c r="R4910">
        <v>6</v>
      </c>
      <c r="S4910" s="5">
        <f t="shared" si="152"/>
        <v>-5.1795315866846568E-2</v>
      </c>
      <c r="T4910">
        <v>165.52333333333331</v>
      </c>
      <c r="U4910">
        <v>5</v>
      </c>
      <c r="V4910">
        <v>2024</v>
      </c>
      <c r="W4910">
        <v>2</v>
      </c>
      <c r="X4910" t="s">
        <v>9898</v>
      </c>
      <c r="Y4910" t="s">
        <v>9900</v>
      </c>
      <c r="Z4910" t="s">
        <v>9899</v>
      </c>
      <c r="AD4910">
        <f t="shared" si="153"/>
        <v>6</v>
      </c>
    </row>
    <row r="4911" spans="1:30" x14ac:dyDescent="0.25">
      <c r="A4911" t="s">
        <v>4935</v>
      </c>
      <c r="B4911" s="2">
        <v>44755</v>
      </c>
      <c r="C4911" s="2">
        <v>44757</v>
      </c>
      <c r="D4911" t="s">
        <v>5138</v>
      </c>
      <c r="E4911" t="s">
        <v>5638</v>
      </c>
      <c r="F4911" t="s">
        <v>6028</v>
      </c>
      <c r="G4911" t="s">
        <v>6030</v>
      </c>
      <c r="H4911" t="s">
        <v>6038</v>
      </c>
      <c r="I4911" t="s">
        <v>6047</v>
      </c>
      <c r="J4911" t="s">
        <v>6053</v>
      </c>
      <c r="K4911" t="s">
        <v>6057</v>
      </c>
      <c r="L4911" t="s">
        <v>9844</v>
      </c>
      <c r="M4911">
        <v>1937.72</v>
      </c>
      <c r="N4911">
        <v>1</v>
      </c>
      <c r="O4911">
        <v>0.25</v>
      </c>
      <c r="P4911">
        <v>-192.23</v>
      </c>
      <c r="Q4911" t="s">
        <v>9894</v>
      </c>
      <c r="R4911">
        <v>2</v>
      </c>
      <c r="S4911" s="5">
        <f t="shared" si="152"/>
        <v>-9.9204219391862594E-2</v>
      </c>
      <c r="T4911">
        <v>1937.72</v>
      </c>
      <c r="U4911">
        <v>7</v>
      </c>
      <c r="V4911">
        <v>2022</v>
      </c>
      <c r="W4911">
        <v>3</v>
      </c>
      <c r="X4911" t="s">
        <v>9898</v>
      </c>
      <c r="Y4911" t="s">
        <v>9900</v>
      </c>
      <c r="Z4911" t="s">
        <v>9898</v>
      </c>
      <c r="AD4911">
        <f t="shared" si="153"/>
        <v>2</v>
      </c>
    </row>
    <row r="4912" spans="1:30" x14ac:dyDescent="0.25">
      <c r="A4912" t="s">
        <v>4936</v>
      </c>
      <c r="B4912" s="2">
        <v>44776</v>
      </c>
      <c r="C4912" s="2">
        <v>44782</v>
      </c>
      <c r="D4912" t="s">
        <v>5253</v>
      </c>
      <c r="E4912" t="s">
        <v>5753</v>
      </c>
      <c r="F4912" t="s">
        <v>6027</v>
      </c>
      <c r="G4912" t="s">
        <v>6031</v>
      </c>
      <c r="H4912" t="s">
        <v>6040</v>
      </c>
      <c r="I4912" t="s">
        <v>6050</v>
      </c>
      <c r="J4912" t="s">
        <v>6055</v>
      </c>
      <c r="K4912" t="s">
        <v>6061</v>
      </c>
      <c r="L4912" t="s">
        <v>9845</v>
      </c>
      <c r="M4912">
        <v>1769.57</v>
      </c>
      <c r="N4912">
        <v>1</v>
      </c>
      <c r="O4912">
        <v>0.11</v>
      </c>
      <c r="P4912">
        <v>227.05</v>
      </c>
      <c r="Q4912" t="s">
        <v>9894</v>
      </c>
      <c r="R4912">
        <v>6</v>
      </c>
      <c r="S4912" s="5">
        <f t="shared" si="152"/>
        <v>0.12830800702995643</v>
      </c>
      <c r="T4912">
        <v>1769.57</v>
      </c>
      <c r="U4912">
        <v>8</v>
      </c>
      <c r="V4912">
        <v>2022</v>
      </c>
      <c r="W4912">
        <v>3</v>
      </c>
      <c r="X4912" t="s">
        <v>9899</v>
      </c>
      <c r="Y4912" t="s">
        <v>9901</v>
      </c>
      <c r="Z4912" t="s">
        <v>9898</v>
      </c>
      <c r="AD4912">
        <f t="shared" si="153"/>
        <v>6</v>
      </c>
    </row>
    <row r="4913" spans="1:30" x14ac:dyDescent="0.25">
      <c r="A4913" t="s">
        <v>4937</v>
      </c>
      <c r="B4913" s="2">
        <v>44953</v>
      </c>
      <c r="C4913" s="2">
        <v>44955</v>
      </c>
      <c r="D4913" t="s">
        <v>5429</v>
      </c>
      <c r="E4913" t="s">
        <v>5929</v>
      </c>
      <c r="F4913" t="s">
        <v>6026</v>
      </c>
      <c r="G4913" t="s">
        <v>6030</v>
      </c>
      <c r="H4913" t="s">
        <v>6039</v>
      </c>
      <c r="I4913" t="s">
        <v>6051</v>
      </c>
      <c r="J4913" t="s">
        <v>6054</v>
      </c>
      <c r="K4913" t="s">
        <v>6059</v>
      </c>
      <c r="L4913" t="s">
        <v>8687</v>
      </c>
      <c r="M4913">
        <v>1494.08</v>
      </c>
      <c r="N4913">
        <v>3</v>
      </c>
      <c r="O4913">
        <v>0.05</v>
      </c>
      <c r="P4913">
        <v>317.64</v>
      </c>
      <c r="Q4913" t="s">
        <v>9897</v>
      </c>
      <c r="R4913">
        <v>2</v>
      </c>
      <c r="S4913" s="5">
        <f t="shared" si="152"/>
        <v>0.21259905761405012</v>
      </c>
      <c r="T4913">
        <v>498.02666666666659</v>
      </c>
      <c r="U4913">
        <v>1</v>
      </c>
      <c r="V4913">
        <v>2023</v>
      </c>
      <c r="W4913">
        <v>1</v>
      </c>
      <c r="X4913" t="s">
        <v>9899</v>
      </c>
      <c r="Y4913" t="s">
        <v>9901</v>
      </c>
      <c r="Z4913" t="s">
        <v>9898</v>
      </c>
      <c r="AD4913">
        <f t="shared" si="153"/>
        <v>2</v>
      </c>
    </row>
    <row r="4914" spans="1:30" x14ac:dyDescent="0.25">
      <c r="A4914" t="s">
        <v>4938</v>
      </c>
      <c r="B4914" s="2">
        <v>44901</v>
      </c>
      <c r="C4914" s="2">
        <v>44906</v>
      </c>
      <c r="D4914" t="s">
        <v>5179</v>
      </c>
      <c r="E4914" t="s">
        <v>5679</v>
      </c>
      <c r="F4914" t="s">
        <v>6027</v>
      </c>
      <c r="G4914" t="s">
        <v>6029</v>
      </c>
      <c r="H4914" t="s">
        <v>6032</v>
      </c>
      <c r="I4914" t="s">
        <v>6049</v>
      </c>
      <c r="J4914" t="s">
        <v>6054</v>
      </c>
      <c r="K4914" t="s">
        <v>6062</v>
      </c>
      <c r="L4914" t="s">
        <v>9607</v>
      </c>
      <c r="M4914">
        <v>1828.74</v>
      </c>
      <c r="N4914">
        <v>7</v>
      </c>
      <c r="O4914">
        <v>0.14000000000000001</v>
      </c>
      <c r="P4914">
        <v>183.48</v>
      </c>
      <c r="Q4914" t="s">
        <v>9896</v>
      </c>
      <c r="R4914">
        <v>5</v>
      </c>
      <c r="S4914" s="5">
        <f t="shared" si="152"/>
        <v>0.10033137570130253</v>
      </c>
      <c r="T4914">
        <v>261.24857142857138</v>
      </c>
      <c r="U4914">
        <v>12</v>
      </c>
      <c r="V4914">
        <v>2022</v>
      </c>
      <c r="W4914">
        <v>4</v>
      </c>
      <c r="X4914" t="s">
        <v>9899</v>
      </c>
      <c r="Y4914" t="s">
        <v>9901</v>
      </c>
      <c r="Z4914" t="s">
        <v>9898</v>
      </c>
      <c r="AD4914">
        <f t="shared" si="153"/>
        <v>5</v>
      </c>
    </row>
    <row r="4915" spans="1:30" x14ac:dyDescent="0.25">
      <c r="A4915" t="s">
        <v>4939</v>
      </c>
      <c r="B4915" s="2">
        <v>45090</v>
      </c>
      <c r="C4915" s="2">
        <v>45095</v>
      </c>
      <c r="D4915" t="s">
        <v>5165</v>
      </c>
      <c r="E4915" t="s">
        <v>5665</v>
      </c>
      <c r="F4915" t="s">
        <v>6027</v>
      </c>
      <c r="G4915" t="s">
        <v>6029</v>
      </c>
      <c r="H4915" t="s">
        <v>6041</v>
      </c>
      <c r="I4915" t="s">
        <v>6046</v>
      </c>
      <c r="J4915" t="s">
        <v>6054</v>
      </c>
      <c r="K4915" t="s">
        <v>6060</v>
      </c>
      <c r="L4915" t="s">
        <v>9846</v>
      </c>
      <c r="M4915">
        <v>245.76</v>
      </c>
      <c r="N4915">
        <v>3</v>
      </c>
      <c r="O4915">
        <v>0.34</v>
      </c>
      <c r="P4915">
        <v>-34.01</v>
      </c>
      <c r="Q4915" t="s">
        <v>9896</v>
      </c>
      <c r="R4915">
        <v>5</v>
      </c>
      <c r="S4915" s="5">
        <f t="shared" si="152"/>
        <v>-0.13838704427083334</v>
      </c>
      <c r="T4915">
        <v>81.92</v>
      </c>
      <c r="U4915">
        <v>6</v>
      </c>
      <c r="V4915">
        <v>2023</v>
      </c>
      <c r="W4915">
        <v>2</v>
      </c>
      <c r="X4915" t="s">
        <v>9898</v>
      </c>
      <c r="Y4915" t="s">
        <v>9902</v>
      </c>
      <c r="Z4915" t="s">
        <v>9899</v>
      </c>
      <c r="AD4915">
        <f t="shared" si="153"/>
        <v>5</v>
      </c>
    </row>
    <row r="4916" spans="1:30" x14ac:dyDescent="0.25">
      <c r="A4916" t="s">
        <v>4940</v>
      </c>
      <c r="B4916" s="2">
        <v>44762</v>
      </c>
      <c r="C4916" s="2">
        <v>44766</v>
      </c>
      <c r="D4916" t="s">
        <v>5466</v>
      </c>
      <c r="E4916" t="s">
        <v>5966</v>
      </c>
      <c r="F4916" t="s">
        <v>6027</v>
      </c>
      <c r="G4916" t="s">
        <v>6029</v>
      </c>
      <c r="H4916" t="s">
        <v>6045</v>
      </c>
      <c r="I4916" t="s">
        <v>6050</v>
      </c>
      <c r="J4916" t="s">
        <v>6054</v>
      </c>
      <c r="K4916" t="s">
        <v>6060</v>
      </c>
      <c r="L4916" t="s">
        <v>7597</v>
      </c>
      <c r="M4916">
        <v>1203.4000000000001</v>
      </c>
      <c r="N4916">
        <v>5</v>
      </c>
      <c r="O4916">
        <v>7.0000000000000007E-2</v>
      </c>
      <c r="P4916">
        <v>166.66</v>
      </c>
      <c r="Q4916" t="s">
        <v>9897</v>
      </c>
      <c r="R4916">
        <v>4</v>
      </c>
      <c r="S4916" s="5">
        <f t="shared" si="152"/>
        <v>0.13849094233006481</v>
      </c>
      <c r="T4916">
        <v>240.68</v>
      </c>
      <c r="U4916">
        <v>7</v>
      </c>
      <c r="V4916">
        <v>2022</v>
      </c>
      <c r="W4916">
        <v>3</v>
      </c>
      <c r="X4916" t="s">
        <v>9899</v>
      </c>
      <c r="Y4916" t="s">
        <v>9901</v>
      </c>
      <c r="Z4916" t="s">
        <v>9898</v>
      </c>
      <c r="AD4916">
        <f t="shared" si="153"/>
        <v>4</v>
      </c>
    </row>
    <row r="4917" spans="1:30" x14ac:dyDescent="0.25">
      <c r="A4917" t="s">
        <v>4941</v>
      </c>
      <c r="B4917" s="2">
        <v>44846</v>
      </c>
      <c r="C4917" s="2">
        <v>44852</v>
      </c>
      <c r="D4917" t="s">
        <v>5264</v>
      </c>
      <c r="E4917" t="s">
        <v>5764</v>
      </c>
      <c r="F4917" t="s">
        <v>6028</v>
      </c>
      <c r="G4917" t="s">
        <v>6030</v>
      </c>
      <c r="H4917" t="s">
        <v>6035</v>
      </c>
      <c r="I4917" t="s">
        <v>6051</v>
      </c>
      <c r="J4917" t="s">
        <v>6055</v>
      </c>
      <c r="K4917" t="s">
        <v>6064</v>
      </c>
      <c r="L4917" t="s">
        <v>8083</v>
      </c>
      <c r="M4917">
        <v>1247.3399999999999</v>
      </c>
      <c r="N4917">
        <v>5</v>
      </c>
      <c r="O4917">
        <v>0.15</v>
      </c>
      <c r="P4917">
        <v>2.13</v>
      </c>
      <c r="Q4917" t="s">
        <v>9897</v>
      </c>
      <c r="R4917">
        <v>6</v>
      </c>
      <c r="S4917" s="5">
        <f t="shared" si="152"/>
        <v>1.7076338448217807E-3</v>
      </c>
      <c r="T4917">
        <v>249.46799999999999</v>
      </c>
      <c r="U4917">
        <v>10</v>
      </c>
      <c r="V4917">
        <v>2022</v>
      </c>
      <c r="W4917">
        <v>4</v>
      </c>
      <c r="X4917" t="s">
        <v>9899</v>
      </c>
      <c r="Y4917" t="s">
        <v>9901</v>
      </c>
      <c r="Z4917" t="s">
        <v>9898</v>
      </c>
      <c r="AD4917">
        <f t="shared" si="153"/>
        <v>6</v>
      </c>
    </row>
    <row r="4918" spans="1:30" x14ac:dyDescent="0.25">
      <c r="A4918" t="s">
        <v>4942</v>
      </c>
      <c r="B4918" s="2">
        <v>44574</v>
      </c>
      <c r="C4918" s="2">
        <v>44579</v>
      </c>
      <c r="D4918" t="s">
        <v>5149</v>
      </c>
      <c r="E4918" t="s">
        <v>5649</v>
      </c>
      <c r="F4918" t="s">
        <v>6026</v>
      </c>
      <c r="G4918" t="s">
        <v>6030</v>
      </c>
      <c r="H4918" t="s">
        <v>6039</v>
      </c>
      <c r="I4918" t="s">
        <v>6051</v>
      </c>
      <c r="J4918" t="s">
        <v>6055</v>
      </c>
      <c r="K4918" t="s">
        <v>6063</v>
      </c>
      <c r="L4918" t="s">
        <v>9847</v>
      </c>
      <c r="M4918">
        <v>1704.49</v>
      </c>
      <c r="N4918">
        <v>4</v>
      </c>
      <c r="O4918">
        <v>0.02</v>
      </c>
      <c r="P4918">
        <v>404.5</v>
      </c>
      <c r="Q4918" t="s">
        <v>9894</v>
      </c>
      <c r="R4918">
        <v>5</v>
      </c>
      <c r="S4918" s="5">
        <f t="shared" si="152"/>
        <v>0.23731438729473331</v>
      </c>
      <c r="T4918">
        <v>426.1225</v>
      </c>
      <c r="U4918">
        <v>1</v>
      </c>
      <c r="V4918">
        <v>2022</v>
      </c>
      <c r="W4918">
        <v>1</v>
      </c>
      <c r="X4918" t="s">
        <v>9899</v>
      </c>
      <c r="Y4918" t="s">
        <v>9901</v>
      </c>
      <c r="Z4918" t="s">
        <v>9898</v>
      </c>
      <c r="AD4918">
        <f t="shared" si="153"/>
        <v>5</v>
      </c>
    </row>
    <row r="4919" spans="1:30" x14ac:dyDescent="0.25">
      <c r="A4919" t="s">
        <v>4943</v>
      </c>
      <c r="B4919" s="2">
        <v>45166</v>
      </c>
      <c r="C4919" s="2">
        <v>45170</v>
      </c>
      <c r="D4919" t="s">
        <v>5071</v>
      </c>
      <c r="E4919" t="s">
        <v>5571</v>
      </c>
      <c r="F4919" t="s">
        <v>6028</v>
      </c>
      <c r="G4919" t="s">
        <v>6030</v>
      </c>
      <c r="H4919" t="s">
        <v>6035</v>
      </c>
      <c r="I4919" t="s">
        <v>6047</v>
      </c>
      <c r="J4919" t="s">
        <v>6053</v>
      </c>
      <c r="K4919" t="s">
        <v>6056</v>
      </c>
      <c r="L4919" t="s">
        <v>9848</v>
      </c>
      <c r="M4919">
        <v>1452.91</v>
      </c>
      <c r="N4919">
        <v>5</v>
      </c>
      <c r="O4919">
        <v>0.21</v>
      </c>
      <c r="P4919">
        <v>-122.74</v>
      </c>
      <c r="Q4919" t="s">
        <v>9894</v>
      </c>
      <c r="R4919">
        <v>4</v>
      </c>
      <c r="S4919" s="5">
        <f t="shared" si="152"/>
        <v>-8.4478735778540995E-2</v>
      </c>
      <c r="T4919">
        <v>290.58199999999999</v>
      </c>
      <c r="U4919">
        <v>8</v>
      </c>
      <c r="V4919">
        <v>2023</v>
      </c>
      <c r="W4919">
        <v>3</v>
      </c>
      <c r="X4919" t="s">
        <v>9898</v>
      </c>
      <c r="Y4919" t="s">
        <v>9900</v>
      </c>
      <c r="Z4919" t="s">
        <v>9898</v>
      </c>
      <c r="AD4919">
        <f t="shared" si="153"/>
        <v>4</v>
      </c>
    </row>
    <row r="4920" spans="1:30" x14ac:dyDescent="0.25">
      <c r="A4920" t="s">
        <v>4944</v>
      </c>
      <c r="B4920" s="2">
        <v>44628</v>
      </c>
      <c r="C4920" s="2">
        <v>44632</v>
      </c>
      <c r="D4920" t="s">
        <v>5265</v>
      </c>
      <c r="E4920" t="s">
        <v>5765</v>
      </c>
      <c r="F4920" t="s">
        <v>6026</v>
      </c>
      <c r="G4920" t="s">
        <v>6031</v>
      </c>
      <c r="H4920" t="s">
        <v>6042</v>
      </c>
      <c r="I4920" t="s">
        <v>6052</v>
      </c>
      <c r="J4920" t="s">
        <v>6055</v>
      </c>
      <c r="K4920" t="s">
        <v>6063</v>
      </c>
      <c r="L4920" t="s">
        <v>9849</v>
      </c>
      <c r="M4920">
        <v>1499.61</v>
      </c>
      <c r="N4920">
        <v>3</v>
      </c>
      <c r="O4920">
        <v>0.3</v>
      </c>
      <c r="P4920">
        <v>-192.07</v>
      </c>
      <c r="Q4920" t="s">
        <v>9895</v>
      </c>
      <c r="R4920">
        <v>4</v>
      </c>
      <c r="S4920" s="5">
        <f t="shared" si="152"/>
        <v>-0.1280799674582058</v>
      </c>
      <c r="T4920">
        <v>499.86999999999989</v>
      </c>
      <c r="U4920">
        <v>3</v>
      </c>
      <c r="V4920">
        <v>2022</v>
      </c>
      <c r="W4920">
        <v>1</v>
      </c>
      <c r="X4920" t="s">
        <v>9898</v>
      </c>
      <c r="Y4920" t="s">
        <v>9900</v>
      </c>
      <c r="Z4920" t="s">
        <v>9898</v>
      </c>
      <c r="AD4920">
        <f t="shared" si="153"/>
        <v>4</v>
      </c>
    </row>
    <row r="4921" spans="1:30" x14ac:dyDescent="0.25">
      <c r="A4921" t="s">
        <v>4945</v>
      </c>
      <c r="B4921" s="2">
        <v>44732</v>
      </c>
      <c r="C4921" s="2">
        <v>44737</v>
      </c>
      <c r="D4921" t="s">
        <v>5102</v>
      </c>
      <c r="E4921" t="s">
        <v>5602</v>
      </c>
      <c r="F4921" t="s">
        <v>6028</v>
      </c>
      <c r="G4921" t="s">
        <v>6029</v>
      </c>
      <c r="H4921" t="s">
        <v>6041</v>
      </c>
      <c r="I4921" t="s">
        <v>6049</v>
      </c>
      <c r="J4921" t="s">
        <v>6054</v>
      </c>
      <c r="K4921" t="s">
        <v>6060</v>
      </c>
      <c r="L4921" t="s">
        <v>7195</v>
      </c>
      <c r="M4921">
        <v>1294.28</v>
      </c>
      <c r="N4921">
        <v>1</v>
      </c>
      <c r="O4921">
        <v>0.24</v>
      </c>
      <c r="P4921">
        <v>20.350000000000001</v>
      </c>
      <c r="Q4921" t="s">
        <v>9895</v>
      </c>
      <c r="R4921">
        <v>5</v>
      </c>
      <c r="S4921" s="5">
        <f t="shared" si="152"/>
        <v>1.5723027474734988E-2</v>
      </c>
      <c r="T4921">
        <v>1294.28</v>
      </c>
      <c r="U4921">
        <v>6</v>
      </c>
      <c r="V4921">
        <v>2022</v>
      </c>
      <c r="W4921">
        <v>2</v>
      </c>
      <c r="X4921" t="s">
        <v>9899</v>
      </c>
      <c r="Y4921" t="s">
        <v>9900</v>
      </c>
      <c r="Z4921" t="s">
        <v>9898</v>
      </c>
      <c r="AD4921">
        <f t="shared" si="153"/>
        <v>5</v>
      </c>
    </row>
    <row r="4922" spans="1:30" x14ac:dyDescent="0.25">
      <c r="A4922" t="s">
        <v>4946</v>
      </c>
      <c r="B4922" s="2">
        <v>45159</v>
      </c>
      <c r="C4922" s="2">
        <v>45162</v>
      </c>
      <c r="D4922" t="s">
        <v>5160</v>
      </c>
      <c r="E4922" t="s">
        <v>5660</v>
      </c>
      <c r="F4922" t="s">
        <v>6027</v>
      </c>
      <c r="G4922" t="s">
        <v>6029</v>
      </c>
      <c r="H4922" t="s">
        <v>6045</v>
      </c>
      <c r="I4922" t="s">
        <v>6050</v>
      </c>
      <c r="J4922" t="s">
        <v>6054</v>
      </c>
      <c r="K4922" t="s">
        <v>6060</v>
      </c>
      <c r="L4922" t="s">
        <v>9850</v>
      </c>
      <c r="M4922">
        <v>758.83</v>
      </c>
      <c r="N4922">
        <v>2</v>
      </c>
      <c r="O4922">
        <v>0.01</v>
      </c>
      <c r="P4922">
        <v>137.19</v>
      </c>
      <c r="Q4922" t="s">
        <v>9897</v>
      </c>
      <c r="R4922">
        <v>3</v>
      </c>
      <c r="S4922" s="5">
        <f t="shared" si="152"/>
        <v>0.18079148162302491</v>
      </c>
      <c r="T4922">
        <v>379.41500000000002</v>
      </c>
      <c r="U4922">
        <v>8</v>
      </c>
      <c r="V4922">
        <v>2023</v>
      </c>
      <c r="W4922">
        <v>3</v>
      </c>
      <c r="X4922" t="s">
        <v>9899</v>
      </c>
      <c r="Y4922" t="s">
        <v>9901</v>
      </c>
      <c r="Z4922" t="s">
        <v>9899</v>
      </c>
      <c r="AD4922">
        <f t="shared" si="153"/>
        <v>3</v>
      </c>
    </row>
    <row r="4923" spans="1:30" x14ac:dyDescent="0.25">
      <c r="A4923" t="s">
        <v>4947</v>
      </c>
      <c r="B4923" s="2">
        <v>45300</v>
      </c>
      <c r="C4923" s="2">
        <v>45307</v>
      </c>
      <c r="D4923" t="s">
        <v>5067</v>
      </c>
      <c r="E4923" t="s">
        <v>5567</v>
      </c>
      <c r="F4923" t="s">
        <v>6028</v>
      </c>
      <c r="G4923" t="s">
        <v>6029</v>
      </c>
      <c r="H4923" t="s">
        <v>6036</v>
      </c>
      <c r="I4923" t="s">
        <v>6049</v>
      </c>
      <c r="J4923" t="s">
        <v>6055</v>
      </c>
      <c r="K4923" t="s">
        <v>6064</v>
      </c>
      <c r="L4923" t="s">
        <v>6781</v>
      </c>
      <c r="M4923">
        <v>1671.39</v>
      </c>
      <c r="N4923">
        <v>6</v>
      </c>
      <c r="O4923">
        <v>0.24</v>
      </c>
      <c r="P4923">
        <v>-206.05</v>
      </c>
      <c r="Q4923" t="s">
        <v>9895</v>
      </c>
      <c r="R4923">
        <v>7</v>
      </c>
      <c r="S4923" s="5">
        <f t="shared" si="152"/>
        <v>-0.12328062271522505</v>
      </c>
      <c r="T4923">
        <v>278.565</v>
      </c>
      <c r="U4923">
        <v>1</v>
      </c>
      <c r="V4923">
        <v>2024</v>
      </c>
      <c r="W4923">
        <v>1</v>
      </c>
      <c r="X4923" t="s">
        <v>9898</v>
      </c>
      <c r="Y4923" t="s">
        <v>9900</v>
      </c>
      <c r="Z4923" t="s">
        <v>9898</v>
      </c>
      <c r="AD4923">
        <f t="shared" si="153"/>
        <v>7</v>
      </c>
    </row>
    <row r="4924" spans="1:30" x14ac:dyDescent="0.25">
      <c r="A4924" t="s">
        <v>4948</v>
      </c>
      <c r="B4924" s="2">
        <v>45408</v>
      </c>
      <c r="C4924" s="2">
        <v>45411</v>
      </c>
      <c r="D4924" t="s">
        <v>5121</v>
      </c>
      <c r="E4924" t="s">
        <v>5621</v>
      </c>
      <c r="F4924" t="s">
        <v>6026</v>
      </c>
      <c r="G4924" t="s">
        <v>6029</v>
      </c>
      <c r="H4924" t="s">
        <v>6032</v>
      </c>
      <c r="I4924" t="s">
        <v>6049</v>
      </c>
      <c r="J4924" t="s">
        <v>6053</v>
      </c>
      <c r="K4924" t="s">
        <v>6057</v>
      </c>
      <c r="L4924" t="s">
        <v>6723</v>
      </c>
      <c r="M4924">
        <v>1426.88</v>
      </c>
      <c r="N4924">
        <v>1</v>
      </c>
      <c r="O4924">
        <v>0.23</v>
      </c>
      <c r="P4924">
        <v>-39.700000000000003</v>
      </c>
      <c r="Q4924" t="s">
        <v>9894</v>
      </c>
      <c r="R4924">
        <v>3</v>
      </c>
      <c r="S4924" s="5">
        <f t="shared" si="152"/>
        <v>-2.782294236375869E-2</v>
      </c>
      <c r="T4924">
        <v>1426.88</v>
      </c>
      <c r="U4924">
        <v>4</v>
      </c>
      <c r="V4924">
        <v>2024</v>
      </c>
      <c r="W4924">
        <v>2</v>
      </c>
      <c r="X4924" t="s">
        <v>9898</v>
      </c>
      <c r="Y4924" t="s">
        <v>9900</v>
      </c>
      <c r="Z4924" t="s">
        <v>9898</v>
      </c>
      <c r="AD4924">
        <f t="shared" si="153"/>
        <v>3</v>
      </c>
    </row>
    <row r="4925" spans="1:30" x14ac:dyDescent="0.25">
      <c r="A4925" t="s">
        <v>4949</v>
      </c>
      <c r="B4925" s="2">
        <v>44669</v>
      </c>
      <c r="C4925" s="2">
        <v>44671</v>
      </c>
      <c r="D4925" t="s">
        <v>5461</v>
      </c>
      <c r="E4925" t="s">
        <v>5961</v>
      </c>
      <c r="F4925" t="s">
        <v>6028</v>
      </c>
      <c r="G4925" t="s">
        <v>6029</v>
      </c>
      <c r="H4925" t="s">
        <v>6041</v>
      </c>
      <c r="I4925" t="s">
        <v>6049</v>
      </c>
      <c r="J4925" t="s">
        <v>6055</v>
      </c>
      <c r="K4925" t="s">
        <v>6064</v>
      </c>
      <c r="L4925" t="s">
        <v>9851</v>
      </c>
      <c r="M4925">
        <v>756.02</v>
      </c>
      <c r="N4925">
        <v>4</v>
      </c>
      <c r="O4925">
        <v>0.16</v>
      </c>
      <c r="P4925">
        <v>32.020000000000003</v>
      </c>
      <c r="Q4925" t="s">
        <v>9893</v>
      </c>
      <c r="R4925">
        <v>2</v>
      </c>
      <c r="S4925" s="5">
        <f t="shared" si="152"/>
        <v>4.2353376894791149E-2</v>
      </c>
      <c r="T4925">
        <v>189.005</v>
      </c>
      <c r="U4925">
        <v>4</v>
      </c>
      <c r="V4925">
        <v>2022</v>
      </c>
      <c r="W4925">
        <v>2</v>
      </c>
      <c r="X4925" t="s">
        <v>9899</v>
      </c>
      <c r="Y4925" t="s">
        <v>9900</v>
      </c>
      <c r="Z4925" t="s">
        <v>9899</v>
      </c>
      <c r="AD4925">
        <f t="shared" si="153"/>
        <v>2</v>
      </c>
    </row>
    <row r="4926" spans="1:30" x14ac:dyDescent="0.25">
      <c r="A4926" t="s">
        <v>4950</v>
      </c>
      <c r="B4926" s="2">
        <v>44714</v>
      </c>
      <c r="C4926" s="2">
        <v>44721</v>
      </c>
      <c r="D4926" t="s">
        <v>5441</v>
      </c>
      <c r="E4926" t="s">
        <v>5941</v>
      </c>
      <c r="F4926" t="s">
        <v>6027</v>
      </c>
      <c r="G4926" t="s">
        <v>6030</v>
      </c>
      <c r="H4926" t="s">
        <v>6035</v>
      </c>
      <c r="I4926" t="s">
        <v>6051</v>
      </c>
      <c r="J4926" t="s">
        <v>6055</v>
      </c>
      <c r="K4926" t="s">
        <v>6064</v>
      </c>
      <c r="L4926" t="s">
        <v>8920</v>
      </c>
      <c r="M4926">
        <v>1721.37</v>
      </c>
      <c r="N4926">
        <v>7</v>
      </c>
      <c r="O4926">
        <v>0.33</v>
      </c>
      <c r="P4926">
        <v>-124.77</v>
      </c>
      <c r="Q4926" t="s">
        <v>9895</v>
      </c>
      <c r="R4926">
        <v>7</v>
      </c>
      <c r="S4926" s="5">
        <f t="shared" si="152"/>
        <v>-7.248296415064745E-2</v>
      </c>
      <c r="T4926">
        <v>245.91</v>
      </c>
      <c r="U4926">
        <v>6</v>
      </c>
      <c r="V4926">
        <v>2022</v>
      </c>
      <c r="W4926">
        <v>2</v>
      </c>
      <c r="X4926" t="s">
        <v>9898</v>
      </c>
      <c r="Y4926" t="s">
        <v>9902</v>
      </c>
      <c r="Z4926" t="s">
        <v>9898</v>
      </c>
      <c r="AD4926">
        <f t="shared" si="153"/>
        <v>7</v>
      </c>
    </row>
    <row r="4927" spans="1:30" x14ac:dyDescent="0.25">
      <c r="A4927" t="s">
        <v>4951</v>
      </c>
      <c r="B4927" s="2">
        <v>45076</v>
      </c>
      <c r="C4927" s="2">
        <v>45078</v>
      </c>
      <c r="D4927" t="s">
        <v>5266</v>
      </c>
      <c r="E4927" t="s">
        <v>5766</v>
      </c>
      <c r="F4927" t="s">
        <v>6026</v>
      </c>
      <c r="G4927" t="s">
        <v>6030</v>
      </c>
      <c r="H4927" t="s">
        <v>6039</v>
      </c>
      <c r="I4927" t="s">
        <v>6051</v>
      </c>
      <c r="J4927" t="s">
        <v>6055</v>
      </c>
      <c r="K4927" t="s">
        <v>6061</v>
      </c>
      <c r="L4927" t="s">
        <v>7643</v>
      </c>
      <c r="M4927">
        <v>358.47</v>
      </c>
      <c r="N4927">
        <v>8</v>
      </c>
      <c r="O4927">
        <v>0.3</v>
      </c>
      <c r="P4927">
        <v>-6.64</v>
      </c>
      <c r="Q4927" t="s">
        <v>9893</v>
      </c>
      <c r="R4927">
        <v>2</v>
      </c>
      <c r="S4927" s="5">
        <f t="shared" si="152"/>
        <v>-1.8523167908053671E-2</v>
      </c>
      <c r="T4927">
        <v>44.808750000000003</v>
      </c>
      <c r="U4927">
        <v>5</v>
      </c>
      <c r="V4927">
        <v>2023</v>
      </c>
      <c r="W4927">
        <v>2</v>
      </c>
      <c r="X4927" t="s">
        <v>9898</v>
      </c>
      <c r="Y4927" t="s">
        <v>9900</v>
      </c>
      <c r="Z4927" t="s">
        <v>9899</v>
      </c>
      <c r="AD4927">
        <f t="shared" si="153"/>
        <v>2</v>
      </c>
    </row>
    <row r="4928" spans="1:30" x14ac:dyDescent="0.25">
      <c r="A4928" t="s">
        <v>4952</v>
      </c>
      <c r="B4928" s="2">
        <v>45049</v>
      </c>
      <c r="C4928" s="2">
        <v>45055</v>
      </c>
      <c r="D4928" t="s">
        <v>5457</v>
      </c>
      <c r="E4928" t="s">
        <v>5957</v>
      </c>
      <c r="F4928" t="s">
        <v>6027</v>
      </c>
      <c r="G4928" t="s">
        <v>6029</v>
      </c>
      <c r="H4928" t="s">
        <v>6044</v>
      </c>
      <c r="I4928" t="s">
        <v>6050</v>
      </c>
      <c r="J4928" t="s">
        <v>6053</v>
      </c>
      <c r="K4928" t="s">
        <v>6056</v>
      </c>
      <c r="L4928" t="s">
        <v>7945</v>
      </c>
      <c r="M4928">
        <v>956.12</v>
      </c>
      <c r="N4928">
        <v>4</v>
      </c>
      <c r="O4928">
        <v>0.12</v>
      </c>
      <c r="P4928">
        <v>157.18</v>
      </c>
      <c r="Q4928" t="s">
        <v>9894</v>
      </c>
      <c r="R4928">
        <v>6</v>
      </c>
      <c r="S4928" s="5">
        <f t="shared" si="152"/>
        <v>0.16439359076266577</v>
      </c>
      <c r="T4928">
        <v>239.03</v>
      </c>
      <c r="U4928">
        <v>5</v>
      </c>
      <c r="V4928">
        <v>2023</v>
      </c>
      <c r="W4928">
        <v>2</v>
      </c>
      <c r="X4928" t="s">
        <v>9899</v>
      </c>
      <c r="Y4928" t="s">
        <v>9901</v>
      </c>
      <c r="Z4928" t="s">
        <v>9899</v>
      </c>
      <c r="AD4928">
        <f t="shared" si="153"/>
        <v>6</v>
      </c>
    </row>
    <row r="4929" spans="1:30" x14ac:dyDescent="0.25">
      <c r="A4929" t="s">
        <v>4953</v>
      </c>
      <c r="B4929" s="2">
        <v>44803</v>
      </c>
      <c r="C4929" s="2">
        <v>44805</v>
      </c>
      <c r="D4929" t="s">
        <v>5430</v>
      </c>
      <c r="E4929" t="s">
        <v>5930</v>
      </c>
      <c r="F4929" t="s">
        <v>6026</v>
      </c>
      <c r="G4929" t="s">
        <v>6031</v>
      </c>
      <c r="H4929" t="s">
        <v>6042</v>
      </c>
      <c r="I4929" t="s">
        <v>6050</v>
      </c>
      <c r="J4929" t="s">
        <v>6053</v>
      </c>
      <c r="K4929" t="s">
        <v>6058</v>
      </c>
      <c r="L4929" t="s">
        <v>7186</v>
      </c>
      <c r="M4929">
        <v>1059.51</v>
      </c>
      <c r="N4929">
        <v>7</v>
      </c>
      <c r="O4929">
        <v>0.17</v>
      </c>
      <c r="P4929">
        <v>53.79</v>
      </c>
      <c r="Q4929" t="s">
        <v>9897</v>
      </c>
      <c r="R4929">
        <v>2</v>
      </c>
      <c r="S4929" s="5">
        <f t="shared" si="152"/>
        <v>5.076875159271739E-2</v>
      </c>
      <c r="T4929">
        <v>151.35857142857139</v>
      </c>
      <c r="U4929">
        <v>8</v>
      </c>
      <c r="V4929">
        <v>2022</v>
      </c>
      <c r="W4929">
        <v>3</v>
      </c>
      <c r="X4929" t="s">
        <v>9899</v>
      </c>
      <c r="Y4929" t="s">
        <v>9900</v>
      </c>
      <c r="Z4929" t="s">
        <v>9898</v>
      </c>
      <c r="AD4929">
        <f t="shared" si="153"/>
        <v>2</v>
      </c>
    </row>
    <row r="4930" spans="1:30" x14ac:dyDescent="0.25">
      <c r="A4930" t="s">
        <v>4954</v>
      </c>
      <c r="B4930" s="2">
        <v>44969</v>
      </c>
      <c r="C4930" s="2">
        <v>44976</v>
      </c>
      <c r="D4930" t="s">
        <v>5249</v>
      </c>
      <c r="E4930" t="s">
        <v>5749</v>
      </c>
      <c r="F4930" t="s">
        <v>6027</v>
      </c>
      <c r="G4930" t="s">
        <v>6031</v>
      </c>
      <c r="H4930" t="s">
        <v>6040</v>
      </c>
      <c r="I4930" t="s">
        <v>6050</v>
      </c>
      <c r="J4930" t="s">
        <v>6055</v>
      </c>
      <c r="K4930" t="s">
        <v>6064</v>
      </c>
      <c r="L4930" t="s">
        <v>9852</v>
      </c>
      <c r="M4930">
        <v>1372.35</v>
      </c>
      <c r="N4930">
        <v>2</v>
      </c>
      <c r="O4930">
        <v>0.22</v>
      </c>
      <c r="P4930">
        <v>57.85</v>
      </c>
      <c r="Q4930" t="s">
        <v>9897</v>
      </c>
      <c r="R4930">
        <v>7</v>
      </c>
      <c r="S4930" s="5">
        <f t="shared" si="152"/>
        <v>4.2153969468430072E-2</v>
      </c>
      <c r="T4930">
        <v>686.17499999999995</v>
      </c>
      <c r="U4930">
        <v>2</v>
      </c>
      <c r="V4930">
        <v>2023</v>
      </c>
      <c r="W4930">
        <v>1</v>
      </c>
      <c r="X4930" t="s">
        <v>9899</v>
      </c>
      <c r="Y4930" t="s">
        <v>9900</v>
      </c>
      <c r="Z4930" t="s">
        <v>9898</v>
      </c>
      <c r="AD4930">
        <f t="shared" si="153"/>
        <v>7</v>
      </c>
    </row>
    <row r="4931" spans="1:30" x14ac:dyDescent="0.25">
      <c r="A4931" t="s">
        <v>4955</v>
      </c>
      <c r="B4931" s="2">
        <v>44850</v>
      </c>
      <c r="C4931" s="2">
        <v>44852</v>
      </c>
      <c r="D4931" t="s">
        <v>5474</v>
      </c>
      <c r="E4931" t="s">
        <v>5974</v>
      </c>
      <c r="F4931" t="s">
        <v>6028</v>
      </c>
      <c r="G4931" t="s">
        <v>6031</v>
      </c>
      <c r="H4931" t="s">
        <v>6040</v>
      </c>
      <c r="I4931" t="s">
        <v>6048</v>
      </c>
      <c r="J4931" t="s">
        <v>6054</v>
      </c>
      <c r="K4931" t="s">
        <v>6059</v>
      </c>
      <c r="L4931" t="s">
        <v>7250</v>
      </c>
      <c r="M4931">
        <v>1610.84</v>
      </c>
      <c r="N4931">
        <v>5</v>
      </c>
      <c r="O4931">
        <v>0.1</v>
      </c>
      <c r="P4931">
        <v>170.56</v>
      </c>
      <c r="Q4931" t="s">
        <v>9895</v>
      </c>
      <c r="R4931">
        <v>2</v>
      </c>
      <c r="S4931" s="5">
        <f t="shared" ref="S4931:S4994" si="154">P4931/M4931</f>
        <v>0.10588264507958581</v>
      </c>
      <c r="T4931">
        <v>322.16800000000001</v>
      </c>
      <c r="U4931">
        <v>10</v>
      </c>
      <c r="V4931">
        <v>2022</v>
      </c>
      <c r="W4931">
        <v>4</v>
      </c>
      <c r="X4931" t="s">
        <v>9899</v>
      </c>
      <c r="Y4931" t="s">
        <v>9901</v>
      </c>
      <c r="Z4931" t="s">
        <v>9898</v>
      </c>
      <c r="AD4931">
        <f t="shared" ref="AD4931:AD4994" si="155">C4931-B4931</f>
        <v>2</v>
      </c>
    </row>
    <row r="4932" spans="1:30" x14ac:dyDescent="0.25">
      <c r="A4932" t="s">
        <v>4956</v>
      </c>
      <c r="B4932" s="2">
        <v>44916</v>
      </c>
      <c r="C4932" s="2">
        <v>44922</v>
      </c>
      <c r="D4932" t="s">
        <v>5465</v>
      </c>
      <c r="E4932" t="s">
        <v>5965</v>
      </c>
      <c r="F4932" t="s">
        <v>6026</v>
      </c>
      <c r="G4932" t="s">
        <v>6029</v>
      </c>
      <c r="H4932" t="s">
        <v>6041</v>
      </c>
      <c r="I4932" t="s">
        <v>6050</v>
      </c>
      <c r="J4932" t="s">
        <v>6055</v>
      </c>
      <c r="K4932" t="s">
        <v>6063</v>
      </c>
      <c r="L4932" t="s">
        <v>9853</v>
      </c>
      <c r="M4932">
        <v>1567.01</v>
      </c>
      <c r="N4932">
        <v>7</v>
      </c>
      <c r="O4932">
        <v>0.26</v>
      </c>
      <c r="P4932">
        <v>-108.57</v>
      </c>
      <c r="Q4932" t="s">
        <v>9894</v>
      </c>
      <c r="R4932">
        <v>6</v>
      </c>
      <c r="S4932" s="5">
        <f t="shared" si="154"/>
        <v>-6.9284816306213734E-2</v>
      </c>
      <c r="T4932">
        <v>223.85857142857139</v>
      </c>
      <c r="U4932">
        <v>12</v>
      </c>
      <c r="V4932">
        <v>2022</v>
      </c>
      <c r="W4932">
        <v>4</v>
      </c>
      <c r="X4932" t="s">
        <v>9898</v>
      </c>
      <c r="Y4932" t="s">
        <v>9900</v>
      </c>
      <c r="Z4932" t="s">
        <v>9898</v>
      </c>
      <c r="AD4932">
        <f t="shared" si="155"/>
        <v>6</v>
      </c>
    </row>
    <row r="4933" spans="1:30" x14ac:dyDescent="0.25">
      <c r="A4933" t="s">
        <v>4957</v>
      </c>
      <c r="B4933" s="2">
        <v>45400</v>
      </c>
      <c r="C4933" s="2">
        <v>45404</v>
      </c>
      <c r="D4933" t="s">
        <v>5416</v>
      </c>
      <c r="E4933" t="s">
        <v>5916</v>
      </c>
      <c r="F4933" t="s">
        <v>6026</v>
      </c>
      <c r="G4933" t="s">
        <v>6031</v>
      </c>
      <c r="H4933" t="s">
        <v>6037</v>
      </c>
      <c r="I4933" t="s">
        <v>6050</v>
      </c>
      <c r="J4933" t="s">
        <v>6055</v>
      </c>
      <c r="K4933" t="s">
        <v>6064</v>
      </c>
      <c r="L4933" t="s">
        <v>6531</v>
      </c>
      <c r="M4933">
        <v>882.9</v>
      </c>
      <c r="N4933">
        <v>1</v>
      </c>
      <c r="O4933">
        <v>0.11</v>
      </c>
      <c r="P4933">
        <v>43.08</v>
      </c>
      <c r="Q4933" t="s">
        <v>9897</v>
      </c>
      <c r="R4933">
        <v>4</v>
      </c>
      <c r="S4933" s="5">
        <f t="shared" si="154"/>
        <v>4.8793747876316684E-2</v>
      </c>
      <c r="T4933">
        <v>882.9</v>
      </c>
      <c r="U4933">
        <v>4</v>
      </c>
      <c r="V4933">
        <v>2024</v>
      </c>
      <c r="W4933">
        <v>2</v>
      </c>
      <c r="X4933" t="s">
        <v>9899</v>
      </c>
      <c r="Y4933" t="s">
        <v>9901</v>
      </c>
      <c r="Z4933" t="s">
        <v>9899</v>
      </c>
      <c r="AD4933">
        <f t="shared" si="155"/>
        <v>4</v>
      </c>
    </row>
    <row r="4934" spans="1:30" x14ac:dyDescent="0.25">
      <c r="A4934" t="s">
        <v>4958</v>
      </c>
      <c r="B4934" s="2">
        <v>44672</v>
      </c>
      <c r="C4934" s="2">
        <v>44673</v>
      </c>
      <c r="D4934" t="s">
        <v>5391</v>
      </c>
      <c r="E4934" t="s">
        <v>5891</v>
      </c>
      <c r="F4934" t="s">
        <v>6026</v>
      </c>
      <c r="G4934" t="s">
        <v>6029</v>
      </c>
      <c r="H4934" t="s">
        <v>6044</v>
      </c>
      <c r="I4934" t="s">
        <v>6049</v>
      </c>
      <c r="J4934" t="s">
        <v>6055</v>
      </c>
      <c r="K4934" t="s">
        <v>6064</v>
      </c>
      <c r="L4934" t="s">
        <v>9854</v>
      </c>
      <c r="M4934">
        <v>737.07</v>
      </c>
      <c r="N4934">
        <v>6</v>
      </c>
      <c r="O4934">
        <v>0.09</v>
      </c>
      <c r="P4934">
        <v>109.74</v>
      </c>
      <c r="Q4934" t="s">
        <v>9896</v>
      </c>
      <c r="R4934">
        <v>1</v>
      </c>
      <c r="S4934" s="5">
        <f t="shared" si="154"/>
        <v>0.14888680857991776</v>
      </c>
      <c r="T4934">
        <v>122.845</v>
      </c>
      <c r="U4934">
        <v>4</v>
      </c>
      <c r="V4934">
        <v>2022</v>
      </c>
      <c r="W4934">
        <v>2</v>
      </c>
      <c r="X4934" t="s">
        <v>9899</v>
      </c>
      <c r="Y4934" t="s">
        <v>9901</v>
      </c>
      <c r="Z4934" t="s">
        <v>9899</v>
      </c>
      <c r="AD4934">
        <f t="shared" si="155"/>
        <v>1</v>
      </c>
    </row>
    <row r="4935" spans="1:30" x14ac:dyDescent="0.25">
      <c r="A4935" t="s">
        <v>4959</v>
      </c>
      <c r="B4935" s="2">
        <v>44933</v>
      </c>
      <c r="C4935" s="2">
        <v>44939</v>
      </c>
      <c r="D4935" t="s">
        <v>5505</v>
      </c>
      <c r="E4935" t="s">
        <v>6005</v>
      </c>
      <c r="F4935" t="s">
        <v>6028</v>
      </c>
      <c r="G4935" t="s">
        <v>6029</v>
      </c>
      <c r="H4935" t="s">
        <v>6041</v>
      </c>
      <c r="I4935" t="s">
        <v>6046</v>
      </c>
      <c r="J4935" t="s">
        <v>6054</v>
      </c>
      <c r="K4935" t="s">
        <v>6060</v>
      </c>
      <c r="L4935" t="s">
        <v>6593</v>
      </c>
      <c r="M4935">
        <v>379.78</v>
      </c>
      <c r="N4935">
        <v>2</v>
      </c>
      <c r="O4935">
        <v>0.22</v>
      </c>
      <c r="P4935">
        <v>-21.47</v>
      </c>
      <c r="Q4935" t="s">
        <v>9894</v>
      </c>
      <c r="R4935">
        <v>6</v>
      </c>
      <c r="S4935" s="5">
        <f t="shared" si="154"/>
        <v>-5.6532729474959187E-2</v>
      </c>
      <c r="T4935">
        <v>189.89</v>
      </c>
      <c r="U4935">
        <v>1</v>
      </c>
      <c r="V4935">
        <v>2023</v>
      </c>
      <c r="W4935">
        <v>1</v>
      </c>
      <c r="X4935" t="s">
        <v>9898</v>
      </c>
      <c r="Y4935" t="s">
        <v>9900</v>
      </c>
      <c r="Z4935" t="s">
        <v>9899</v>
      </c>
      <c r="AD4935">
        <f t="shared" si="155"/>
        <v>6</v>
      </c>
    </row>
    <row r="4936" spans="1:30" x14ac:dyDescent="0.25">
      <c r="A4936" t="s">
        <v>4960</v>
      </c>
      <c r="B4936" s="2">
        <v>45120</v>
      </c>
      <c r="C4936" s="2">
        <v>45124</v>
      </c>
      <c r="D4936" t="s">
        <v>5153</v>
      </c>
      <c r="E4936" t="s">
        <v>5653</v>
      </c>
      <c r="F4936" t="s">
        <v>6028</v>
      </c>
      <c r="G4936" t="s">
        <v>6031</v>
      </c>
      <c r="H4936" t="s">
        <v>6037</v>
      </c>
      <c r="I4936" t="s">
        <v>6052</v>
      </c>
      <c r="J4936" t="s">
        <v>6053</v>
      </c>
      <c r="K4936" t="s">
        <v>6058</v>
      </c>
      <c r="L4936" t="s">
        <v>8856</v>
      </c>
      <c r="M4936">
        <v>521.57000000000005</v>
      </c>
      <c r="N4936">
        <v>2</v>
      </c>
      <c r="O4936">
        <v>0.16</v>
      </c>
      <c r="P4936">
        <v>-5.55</v>
      </c>
      <c r="Q4936" t="s">
        <v>9893</v>
      </c>
      <c r="R4936">
        <v>4</v>
      </c>
      <c r="S4936" s="5">
        <f t="shared" si="154"/>
        <v>-1.0640949441110492E-2</v>
      </c>
      <c r="T4936">
        <v>260.78500000000003</v>
      </c>
      <c r="U4936">
        <v>7</v>
      </c>
      <c r="V4936">
        <v>2023</v>
      </c>
      <c r="W4936">
        <v>3</v>
      </c>
      <c r="X4936" t="s">
        <v>9898</v>
      </c>
      <c r="Y4936" t="s">
        <v>9900</v>
      </c>
      <c r="Z4936" t="s">
        <v>9899</v>
      </c>
      <c r="AD4936">
        <f t="shared" si="155"/>
        <v>4</v>
      </c>
    </row>
    <row r="4937" spans="1:30" x14ac:dyDescent="0.25">
      <c r="A4937" t="s">
        <v>4961</v>
      </c>
      <c r="B4937" s="2">
        <v>45448</v>
      </c>
      <c r="C4937" s="2">
        <v>45451</v>
      </c>
      <c r="D4937" t="s">
        <v>5088</v>
      </c>
      <c r="E4937" t="s">
        <v>5588</v>
      </c>
      <c r="F4937" t="s">
        <v>6028</v>
      </c>
      <c r="G4937" t="s">
        <v>6031</v>
      </c>
      <c r="H4937" t="s">
        <v>6037</v>
      </c>
      <c r="I4937" t="s">
        <v>6050</v>
      </c>
      <c r="J4937" t="s">
        <v>6055</v>
      </c>
      <c r="K4937" t="s">
        <v>6063</v>
      </c>
      <c r="L4937" t="s">
        <v>6801</v>
      </c>
      <c r="M4937">
        <v>801.64</v>
      </c>
      <c r="N4937">
        <v>4</v>
      </c>
      <c r="O4937">
        <v>0.22</v>
      </c>
      <c r="P4937">
        <v>-25.13</v>
      </c>
      <c r="Q4937" t="s">
        <v>9894</v>
      </c>
      <c r="R4937">
        <v>3</v>
      </c>
      <c r="S4937" s="5">
        <f t="shared" si="154"/>
        <v>-3.1348236115962276E-2</v>
      </c>
      <c r="T4937">
        <v>200.41</v>
      </c>
      <c r="U4937">
        <v>6</v>
      </c>
      <c r="V4937">
        <v>2024</v>
      </c>
      <c r="W4937">
        <v>2</v>
      </c>
      <c r="X4937" t="s">
        <v>9898</v>
      </c>
      <c r="Y4937" t="s">
        <v>9900</v>
      </c>
      <c r="Z4937" t="s">
        <v>9899</v>
      </c>
      <c r="AD4937">
        <f t="shared" si="155"/>
        <v>3</v>
      </c>
    </row>
    <row r="4938" spans="1:30" x14ac:dyDescent="0.25">
      <c r="A4938" t="s">
        <v>4962</v>
      </c>
      <c r="B4938" s="2">
        <v>45300</v>
      </c>
      <c r="C4938" s="2">
        <v>45301</v>
      </c>
      <c r="D4938" t="s">
        <v>5412</v>
      </c>
      <c r="E4938" t="s">
        <v>5912</v>
      </c>
      <c r="F4938" t="s">
        <v>6026</v>
      </c>
      <c r="G4938" t="s">
        <v>6029</v>
      </c>
      <c r="H4938" t="s">
        <v>6045</v>
      </c>
      <c r="I4938" t="s">
        <v>6046</v>
      </c>
      <c r="J4938" t="s">
        <v>6055</v>
      </c>
      <c r="K4938" t="s">
        <v>6064</v>
      </c>
      <c r="L4938" t="s">
        <v>9855</v>
      </c>
      <c r="M4938">
        <v>717.21</v>
      </c>
      <c r="N4938">
        <v>6</v>
      </c>
      <c r="O4938">
        <v>0.27</v>
      </c>
      <c r="P4938">
        <v>-16.86</v>
      </c>
      <c r="Q4938" t="s">
        <v>9897</v>
      </c>
      <c r="R4938">
        <v>1</v>
      </c>
      <c r="S4938" s="5">
        <f t="shared" si="154"/>
        <v>-2.3507759233697242E-2</v>
      </c>
      <c r="T4938">
        <v>119.535</v>
      </c>
      <c r="U4938">
        <v>1</v>
      </c>
      <c r="V4938">
        <v>2024</v>
      </c>
      <c r="W4938">
        <v>1</v>
      </c>
      <c r="X4938" t="s">
        <v>9898</v>
      </c>
      <c r="Y4938" t="s">
        <v>9900</v>
      </c>
      <c r="Z4938" t="s">
        <v>9899</v>
      </c>
      <c r="AD4938">
        <f t="shared" si="155"/>
        <v>1</v>
      </c>
    </row>
    <row r="4939" spans="1:30" x14ac:dyDescent="0.25">
      <c r="A4939" t="s">
        <v>4963</v>
      </c>
      <c r="B4939" s="2">
        <v>45224</v>
      </c>
      <c r="C4939" s="2">
        <v>45231</v>
      </c>
      <c r="D4939" t="s">
        <v>5131</v>
      </c>
      <c r="E4939" t="s">
        <v>5631</v>
      </c>
      <c r="F4939" t="s">
        <v>6026</v>
      </c>
      <c r="G4939" t="s">
        <v>6031</v>
      </c>
      <c r="H4939" t="s">
        <v>6040</v>
      </c>
      <c r="I4939" t="s">
        <v>6050</v>
      </c>
      <c r="J4939" t="s">
        <v>6054</v>
      </c>
      <c r="K4939" t="s">
        <v>6059</v>
      </c>
      <c r="L4939" t="s">
        <v>9856</v>
      </c>
      <c r="M4939">
        <v>1422.94</v>
      </c>
      <c r="N4939">
        <v>3</v>
      </c>
      <c r="O4939">
        <v>0.18</v>
      </c>
      <c r="P4939">
        <v>-81.8</v>
      </c>
      <c r="Q4939" t="s">
        <v>9897</v>
      </c>
      <c r="R4939">
        <v>7</v>
      </c>
      <c r="S4939" s="5">
        <f t="shared" si="154"/>
        <v>-5.7486612225392496E-2</v>
      </c>
      <c r="T4939">
        <v>474.31333333333328</v>
      </c>
      <c r="U4939">
        <v>10</v>
      </c>
      <c r="V4939">
        <v>2023</v>
      </c>
      <c r="W4939">
        <v>4</v>
      </c>
      <c r="X4939" t="s">
        <v>9898</v>
      </c>
      <c r="Y4939" t="s">
        <v>9900</v>
      </c>
      <c r="Z4939" t="s">
        <v>9898</v>
      </c>
      <c r="AD4939">
        <f t="shared" si="155"/>
        <v>7</v>
      </c>
    </row>
    <row r="4940" spans="1:30" x14ac:dyDescent="0.25">
      <c r="A4940" t="s">
        <v>4964</v>
      </c>
      <c r="B4940" s="2">
        <v>44824</v>
      </c>
      <c r="C4940" s="2">
        <v>44829</v>
      </c>
      <c r="D4940" t="s">
        <v>5334</v>
      </c>
      <c r="E4940" t="s">
        <v>5834</v>
      </c>
      <c r="F4940" t="s">
        <v>6026</v>
      </c>
      <c r="G4940" t="s">
        <v>6031</v>
      </c>
      <c r="H4940" t="s">
        <v>6040</v>
      </c>
      <c r="I4940" t="s">
        <v>6050</v>
      </c>
      <c r="J4940" t="s">
        <v>6054</v>
      </c>
      <c r="K4940" t="s">
        <v>6062</v>
      </c>
      <c r="L4940" t="s">
        <v>9857</v>
      </c>
      <c r="M4940">
        <v>324.39999999999998</v>
      </c>
      <c r="N4940">
        <v>5</v>
      </c>
      <c r="O4940">
        <v>0.3</v>
      </c>
      <c r="P4940">
        <v>-9.49</v>
      </c>
      <c r="Q4940" t="s">
        <v>9894</v>
      </c>
      <c r="R4940">
        <v>5</v>
      </c>
      <c r="S4940" s="5">
        <f t="shared" si="154"/>
        <v>-2.9254007398273739E-2</v>
      </c>
      <c r="T4940">
        <v>64.88</v>
      </c>
      <c r="U4940">
        <v>9</v>
      </c>
      <c r="V4940">
        <v>2022</v>
      </c>
      <c r="W4940">
        <v>3</v>
      </c>
      <c r="X4940" t="s">
        <v>9898</v>
      </c>
      <c r="Y4940" t="s">
        <v>9900</v>
      </c>
      <c r="Z4940" t="s">
        <v>9899</v>
      </c>
      <c r="AD4940">
        <f t="shared" si="155"/>
        <v>5</v>
      </c>
    </row>
    <row r="4941" spans="1:30" x14ac:dyDescent="0.25">
      <c r="A4941" t="s">
        <v>4965</v>
      </c>
      <c r="B4941" s="2">
        <v>45040</v>
      </c>
      <c r="C4941" s="2">
        <v>45041</v>
      </c>
      <c r="D4941" t="s">
        <v>5260</v>
      </c>
      <c r="E4941" t="s">
        <v>5760</v>
      </c>
      <c r="F4941" t="s">
        <v>6026</v>
      </c>
      <c r="G4941" t="s">
        <v>6031</v>
      </c>
      <c r="H4941" t="s">
        <v>6043</v>
      </c>
      <c r="I4941" t="s">
        <v>6050</v>
      </c>
      <c r="J4941" t="s">
        <v>6053</v>
      </c>
      <c r="K4941" t="s">
        <v>6057</v>
      </c>
      <c r="L4941" t="s">
        <v>6411</v>
      </c>
      <c r="M4941">
        <v>1813.33</v>
      </c>
      <c r="N4941">
        <v>1</v>
      </c>
      <c r="O4941">
        <v>0.33</v>
      </c>
      <c r="P4941">
        <v>-414.98</v>
      </c>
      <c r="Q4941" t="s">
        <v>9895</v>
      </c>
      <c r="R4941">
        <v>1</v>
      </c>
      <c r="S4941" s="5">
        <f t="shared" si="154"/>
        <v>-0.22884968538545108</v>
      </c>
      <c r="T4941">
        <v>1813.33</v>
      </c>
      <c r="U4941">
        <v>4</v>
      </c>
      <c r="V4941">
        <v>2023</v>
      </c>
      <c r="W4941">
        <v>2</v>
      </c>
      <c r="X4941" t="s">
        <v>9898</v>
      </c>
      <c r="Y4941" t="s">
        <v>9902</v>
      </c>
      <c r="Z4941" t="s">
        <v>9898</v>
      </c>
      <c r="AD4941">
        <f t="shared" si="155"/>
        <v>1</v>
      </c>
    </row>
    <row r="4942" spans="1:30" x14ac:dyDescent="0.25">
      <c r="A4942" t="s">
        <v>4966</v>
      </c>
      <c r="B4942" s="2">
        <v>44815</v>
      </c>
      <c r="C4942" s="2">
        <v>44821</v>
      </c>
      <c r="D4942" t="s">
        <v>5212</v>
      </c>
      <c r="E4942" t="s">
        <v>5712</v>
      </c>
      <c r="F4942" t="s">
        <v>6026</v>
      </c>
      <c r="G4942" t="s">
        <v>6030</v>
      </c>
      <c r="H4942" t="s">
        <v>6035</v>
      </c>
      <c r="I4942" t="s">
        <v>6047</v>
      </c>
      <c r="J4942" t="s">
        <v>6055</v>
      </c>
      <c r="K4942" t="s">
        <v>6064</v>
      </c>
      <c r="L4942" t="s">
        <v>9858</v>
      </c>
      <c r="M4942">
        <v>713.07</v>
      </c>
      <c r="N4942">
        <v>1</v>
      </c>
      <c r="O4942">
        <v>0.08</v>
      </c>
      <c r="P4942">
        <v>64.56</v>
      </c>
      <c r="Q4942" t="s">
        <v>9893</v>
      </c>
      <c r="R4942">
        <v>6</v>
      </c>
      <c r="S4942" s="5">
        <f t="shared" si="154"/>
        <v>9.0538095839118177E-2</v>
      </c>
      <c r="T4942">
        <v>713.07</v>
      </c>
      <c r="U4942">
        <v>9</v>
      </c>
      <c r="V4942">
        <v>2022</v>
      </c>
      <c r="W4942">
        <v>3</v>
      </c>
      <c r="X4942" t="s">
        <v>9899</v>
      </c>
      <c r="Y4942" t="s">
        <v>9901</v>
      </c>
      <c r="Z4942" t="s">
        <v>9899</v>
      </c>
      <c r="AD4942">
        <f t="shared" si="155"/>
        <v>6</v>
      </c>
    </row>
    <row r="4943" spans="1:30" x14ac:dyDescent="0.25">
      <c r="A4943" t="s">
        <v>4967</v>
      </c>
      <c r="B4943" s="2">
        <v>44699</v>
      </c>
      <c r="C4943" s="2">
        <v>44701</v>
      </c>
      <c r="D4943" t="s">
        <v>5506</v>
      </c>
      <c r="E4943" t="s">
        <v>6006</v>
      </c>
      <c r="F4943" t="s">
        <v>6026</v>
      </c>
      <c r="G4943" t="s">
        <v>6031</v>
      </c>
      <c r="H4943" t="s">
        <v>6034</v>
      </c>
      <c r="I4943" t="s">
        <v>6048</v>
      </c>
      <c r="J4943" t="s">
        <v>6053</v>
      </c>
      <c r="K4943" t="s">
        <v>6058</v>
      </c>
      <c r="L4943" t="s">
        <v>9859</v>
      </c>
      <c r="M4943">
        <v>1845.21</v>
      </c>
      <c r="N4943">
        <v>8</v>
      </c>
      <c r="O4943">
        <v>0.02</v>
      </c>
      <c r="P4943">
        <v>371.5</v>
      </c>
      <c r="Q4943" t="s">
        <v>9895</v>
      </c>
      <c r="R4943">
        <v>2</v>
      </c>
      <c r="S4943" s="5">
        <f t="shared" si="154"/>
        <v>0.20133209770161661</v>
      </c>
      <c r="T4943">
        <v>230.65125</v>
      </c>
      <c r="U4943">
        <v>5</v>
      </c>
      <c r="V4943">
        <v>2022</v>
      </c>
      <c r="W4943">
        <v>2</v>
      </c>
      <c r="X4943" t="s">
        <v>9899</v>
      </c>
      <c r="Y4943" t="s">
        <v>9901</v>
      </c>
      <c r="Z4943" t="s">
        <v>9898</v>
      </c>
      <c r="AD4943">
        <f t="shared" si="155"/>
        <v>2</v>
      </c>
    </row>
    <row r="4944" spans="1:30" x14ac:dyDescent="0.25">
      <c r="A4944" t="s">
        <v>4968</v>
      </c>
      <c r="B4944" s="2">
        <v>45440</v>
      </c>
      <c r="C4944" s="2">
        <v>45441</v>
      </c>
      <c r="D4944" t="s">
        <v>5062</v>
      </c>
      <c r="E4944" t="s">
        <v>5562</v>
      </c>
      <c r="F4944" t="s">
        <v>6027</v>
      </c>
      <c r="G4944" t="s">
        <v>6029</v>
      </c>
      <c r="H4944" t="s">
        <v>6044</v>
      </c>
      <c r="I4944" t="s">
        <v>6049</v>
      </c>
      <c r="J4944" t="s">
        <v>6053</v>
      </c>
      <c r="K4944" t="s">
        <v>6058</v>
      </c>
      <c r="L4944" t="s">
        <v>9860</v>
      </c>
      <c r="M4944">
        <v>396.96</v>
      </c>
      <c r="N4944">
        <v>3</v>
      </c>
      <c r="O4944">
        <v>0.2</v>
      </c>
      <c r="P4944">
        <v>26.49</v>
      </c>
      <c r="Q4944" t="s">
        <v>9897</v>
      </c>
      <c r="R4944">
        <v>1</v>
      </c>
      <c r="S4944" s="5">
        <f t="shared" si="154"/>
        <v>6.6732164449818623E-2</v>
      </c>
      <c r="T4944">
        <v>132.32</v>
      </c>
      <c r="U4944">
        <v>5</v>
      </c>
      <c r="V4944">
        <v>2024</v>
      </c>
      <c r="W4944">
        <v>2</v>
      </c>
      <c r="X4944" t="s">
        <v>9899</v>
      </c>
      <c r="Y4944" t="s">
        <v>9900</v>
      </c>
      <c r="Z4944" t="s">
        <v>9899</v>
      </c>
      <c r="AD4944">
        <f t="shared" si="155"/>
        <v>1</v>
      </c>
    </row>
    <row r="4945" spans="1:30" x14ac:dyDescent="0.25">
      <c r="A4945" t="s">
        <v>4969</v>
      </c>
      <c r="B4945" s="2">
        <v>44817</v>
      </c>
      <c r="C4945" s="2">
        <v>44824</v>
      </c>
      <c r="D4945" t="s">
        <v>5032</v>
      </c>
      <c r="E4945" t="s">
        <v>5532</v>
      </c>
      <c r="F4945" t="s">
        <v>6028</v>
      </c>
      <c r="G4945" t="s">
        <v>6030</v>
      </c>
      <c r="H4945" t="s">
        <v>6038</v>
      </c>
      <c r="I4945" t="s">
        <v>6051</v>
      </c>
      <c r="J4945" t="s">
        <v>6054</v>
      </c>
      <c r="K4945" t="s">
        <v>6062</v>
      </c>
      <c r="L4945" t="s">
        <v>9861</v>
      </c>
      <c r="M4945">
        <v>739.54</v>
      </c>
      <c r="N4945">
        <v>5</v>
      </c>
      <c r="O4945">
        <v>0.05</v>
      </c>
      <c r="P4945">
        <v>100.29</v>
      </c>
      <c r="Q4945" t="s">
        <v>9895</v>
      </c>
      <c r="R4945">
        <v>7</v>
      </c>
      <c r="S4945" s="5">
        <f t="shared" si="154"/>
        <v>0.13561132595938016</v>
      </c>
      <c r="T4945">
        <v>147.90799999999999</v>
      </c>
      <c r="U4945">
        <v>9</v>
      </c>
      <c r="V4945">
        <v>2022</v>
      </c>
      <c r="W4945">
        <v>3</v>
      </c>
      <c r="X4945" t="s">
        <v>9899</v>
      </c>
      <c r="Y4945" t="s">
        <v>9901</v>
      </c>
      <c r="Z4945" t="s">
        <v>9899</v>
      </c>
      <c r="AD4945">
        <f t="shared" si="155"/>
        <v>7</v>
      </c>
    </row>
    <row r="4946" spans="1:30" x14ac:dyDescent="0.25">
      <c r="A4946" t="s">
        <v>4970</v>
      </c>
      <c r="B4946" s="2">
        <v>44640</v>
      </c>
      <c r="C4946" s="2">
        <v>44647</v>
      </c>
      <c r="D4946" t="s">
        <v>5140</v>
      </c>
      <c r="E4946" t="s">
        <v>5640</v>
      </c>
      <c r="F4946" t="s">
        <v>6028</v>
      </c>
      <c r="G4946" t="s">
        <v>6030</v>
      </c>
      <c r="H4946" t="s">
        <v>6035</v>
      </c>
      <c r="I4946" t="s">
        <v>6047</v>
      </c>
      <c r="J4946" t="s">
        <v>6054</v>
      </c>
      <c r="K4946" t="s">
        <v>6060</v>
      </c>
      <c r="L4946" t="s">
        <v>9862</v>
      </c>
      <c r="M4946">
        <v>185.82</v>
      </c>
      <c r="N4946">
        <v>2</v>
      </c>
      <c r="O4946">
        <v>0.27</v>
      </c>
      <c r="P4946">
        <v>4.95</v>
      </c>
      <c r="Q4946" t="s">
        <v>9893</v>
      </c>
      <c r="R4946">
        <v>7</v>
      </c>
      <c r="S4946" s="5">
        <f t="shared" si="154"/>
        <v>2.6638682596060705E-2</v>
      </c>
      <c r="T4946">
        <v>92.91</v>
      </c>
      <c r="U4946">
        <v>3</v>
      </c>
      <c r="V4946">
        <v>2022</v>
      </c>
      <c r="W4946">
        <v>1</v>
      </c>
      <c r="X4946" t="s">
        <v>9899</v>
      </c>
      <c r="Y4946" t="s">
        <v>9900</v>
      </c>
      <c r="Z4946" t="s">
        <v>9899</v>
      </c>
      <c r="AD4946">
        <f t="shared" si="155"/>
        <v>7</v>
      </c>
    </row>
    <row r="4947" spans="1:30" x14ac:dyDescent="0.25">
      <c r="A4947" t="s">
        <v>4971</v>
      </c>
      <c r="B4947" s="2">
        <v>44567</v>
      </c>
      <c r="C4947" s="2">
        <v>44573</v>
      </c>
      <c r="D4947" t="s">
        <v>5480</v>
      </c>
      <c r="E4947" t="s">
        <v>5980</v>
      </c>
      <c r="F4947" t="s">
        <v>6026</v>
      </c>
      <c r="G4947" t="s">
        <v>6029</v>
      </c>
      <c r="H4947" t="s">
        <v>6041</v>
      </c>
      <c r="I4947" t="s">
        <v>6046</v>
      </c>
      <c r="J4947" t="s">
        <v>6055</v>
      </c>
      <c r="K4947" t="s">
        <v>6061</v>
      </c>
      <c r="L4947" t="s">
        <v>9199</v>
      </c>
      <c r="M4947">
        <v>1347.38</v>
      </c>
      <c r="N4947">
        <v>7</v>
      </c>
      <c r="O4947">
        <v>0.28999999999999998</v>
      </c>
      <c r="P4947">
        <v>-252.61</v>
      </c>
      <c r="Q4947" t="s">
        <v>9895</v>
      </c>
      <c r="R4947">
        <v>6</v>
      </c>
      <c r="S4947" s="5">
        <f t="shared" si="154"/>
        <v>-0.18748237319835531</v>
      </c>
      <c r="T4947">
        <v>192.4828571428572</v>
      </c>
      <c r="U4947">
        <v>1</v>
      </c>
      <c r="V4947">
        <v>2022</v>
      </c>
      <c r="W4947">
        <v>1</v>
      </c>
      <c r="X4947" t="s">
        <v>9898</v>
      </c>
      <c r="Y4947" t="s">
        <v>9900</v>
      </c>
      <c r="Z4947" t="s">
        <v>9898</v>
      </c>
      <c r="AD4947">
        <f t="shared" si="155"/>
        <v>6</v>
      </c>
    </row>
    <row r="4948" spans="1:30" x14ac:dyDescent="0.25">
      <c r="A4948" t="s">
        <v>4972</v>
      </c>
      <c r="B4948" s="2">
        <v>45167</v>
      </c>
      <c r="C4948" s="2">
        <v>45174</v>
      </c>
      <c r="D4948" t="s">
        <v>5069</v>
      </c>
      <c r="E4948" t="s">
        <v>5569</v>
      </c>
      <c r="F4948" t="s">
        <v>6026</v>
      </c>
      <c r="G4948" t="s">
        <v>6030</v>
      </c>
      <c r="H4948" t="s">
        <v>6033</v>
      </c>
      <c r="I4948" t="s">
        <v>6051</v>
      </c>
      <c r="J4948" t="s">
        <v>6055</v>
      </c>
      <c r="K4948" t="s">
        <v>6061</v>
      </c>
      <c r="L4948" t="s">
        <v>9863</v>
      </c>
      <c r="M4948">
        <v>1085.25</v>
      </c>
      <c r="N4948">
        <v>7</v>
      </c>
      <c r="O4948">
        <v>0.03</v>
      </c>
      <c r="P4948">
        <v>278.37</v>
      </c>
      <c r="Q4948" t="s">
        <v>9896</v>
      </c>
      <c r="R4948">
        <v>7</v>
      </c>
      <c r="S4948" s="5">
        <f t="shared" si="154"/>
        <v>0.25650310988251557</v>
      </c>
      <c r="T4948">
        <v>155.03571428571431</v>
      </c>
      <c r="U4948">
        <v>8</v>
      </c>
      <c r="V4948">
        <v>2023</v>
      </c>
      <c r="W4948">
        <v>3</v>
      </c>
      <c r="X4948" t="s">
        <v>9899</v>
      </c>
      <c r="Y4948" t="s">
        <v>9901</v>
      </c>
      <c r="Z4948" t="s">
        <v>9898</v>
      </c>
      <c r="AD4948">
        <f t="shared" si="155"/>
        <v>7</v>
      </c>
    </row>
    <row r="4949" spans="1:30" x14ac:dyDescent="0.25">
      <c r="A4949" t="s">
        <v>4973</v>
      </c>
      <c r="B4949" s="2">
        <v>45125</v>
      </c>
      <c r="C4949" s="2">
        <v>45130</v>
      </c>
      <c r="D4949" t="s">
        <v>5107</v>
      </c>
      <c r="E4949" t="s">
        <v>5607</v>
      </c>
      <c r="F4949" t="s">
        <v>6028</v>
      </c>
      <c r="G4949" t="s">
        <v>6031</v>
      </c>
      <c r="H4949" t="s">
        <v>6040</v>
      </c>
      <c r="I4949" t="s">
        <v>6050</v>
      </c>
      <c r="J4949" t="s">
        <v>6054</v>
      </c>
      <c r="K4949" t="s">
        <v>6062</v>
      </c>
      <c r="L4949" t="s">
        <v>7985</v>
      </c>
      <c r="M4949">
        <v>837.39</v>
      </c>
      <c r="N4949">
        <v>7</v>
      </c>
      <c r="O4949">
        <v>0.04</v>
      </c>
      <c r="P4949">
        <v>162.82</v>
      </c>
      <c r="Q4949" t="s">
        <v>9895</v>
      </c>
      <c r="R4949">
        <v>5</v>
      </c>
      <c r="S4949" s="5">
        <f t="shared" si="154"/>
        <v>0.19443747835536607</v>
      </c>
      <c r="T4949">
        <v>119.6271428571429</v>
      </c>
      <c r="U4949">
        <v>7</v>
      </c>
      <c r="V4949">
        <v>2023</v>
      </c>
      <c r="W4949">
        <v>3</v>
      </c>
      <c r="X4949" t="s">
        <v>9899</v>
      </c>
      <c r="Y4949" t="s">
        <v>9901</v>
      </c>
      <c r="Z4949" t="s">
        <v>9899</v>
      </c>
      <c r="AD4949">
        <f t="shared" si="155"/>
        <v>5</v>
      </c>
    </row>
    <row r="4950" spans="1:30" x14ac:dyDescent="0.25">
      <c r="A4950" t="s">
        <v>4974</v>
      </c>
      <c r="B4950" s="2">
        <v>45119</v>
      </c>
      <c r="C4950" s="2">
        <v>45122</v>
      </c>
      <c r="D4950" t="s">
        <v>5185</v>
      </c>
      <c r="E4950" t="s">
        <v>5685</v>
      </c>
      <c r="F4950" t="s">
        <v>6027</v>
      </c>
      <c r="G4950" t="s">
        <v>6031</v>
      </c>
      <c r="H4950" t="s">
        <v>6043</v>
      </c>
      <c r="I4950" t="s">
        <v>6052</v>
      </c>
      <c r="J4950" t="s">
        <v>6054</v>
      </c>
      <c r="K4950" t="s">
        <v>6059</v>
      </c>
      <c r="L4950" t="s">
        <v>7199</v>
      </c>
      <c r="M4950">
        <v>531.98</v>
      </c>
      <c r="N4950">
        <v>6</v>
      </c>
      <c r="O4950">
        <v>7.0000000000000007E-2</v>
      </c>
      <c r="P4950">
        <v>36.54</v>
      </c>
      <c r="Q4950" t="s">
        <v>9897</v>
      </c>
      <c r="R4950">
        <v>3</v>
      </c>
      <c r="S4950" s="5">
        <f t="shared" si="154"/>
        <v>6.8686792736569038E-2</v>
      </c>
      <c r="T4950">
        <v>88.663333333333341</v>
      </c>
      <c r="U4950">
        <v>7</v>
      </c>
      <c r="V4950">
        <v>2023</v>
      </c>
      <c r="W4950">
        <v>3</v>
      </c>
      <c r="X4950" t="s">
        <v>9899</v>
      </c>
      <c r="Y4950" t="s">
        <v>9901</v>
      </c>
      <c r="Z4950" t="s">
        <v>9899</v>
      </c>
      <c r="AD4950">
        <f t="shared" si="155"/>
        <v>3</v>
      </c>
    </row>
    <row r="4951" spans="1:30" x14ac:dyDescent="0.25">
      <c r="A4951" t="s">
        <v>4975</v>
      </c>
      <c r="B4951" s="2">
        <v>44997</v>
      </c>
      <c r="C4951" s="2">
        <v>45002</v>
      </c>
      <c r="D4951" t="s">
        <v>5366</v>
      </c>
      <c r="E4951" t="s">
        <v>5866</v>
      </c>
      <c r="F4951" t="s">
        <v>6027</v>
      </c>
      <c r="G4951" t="s">
        <v>6029</v>
      </c>
      <c r="H4951" t="s">
        <v>6036</v>
      </c>
      <c r="I4951" t="s">
        <v>6049</v>
      </c>
      <c r="J4951" t="s">
        <v>6055</v>
      </c>
      <c r="K4951" t="s">
        <v>6061</v>
      </c>
      <c r="L4951" t="s">
        <v>7201</v>
      </c>
      <c r="M4951">
        <v>1635.28</v>
      </c>
      <c r="N4951">
        <v>1</v>
      </c>
      <c r="O4951">
        <v>0.14000000000000001</v>
      </c>
      <c r="P4951">
        <v>230.19</v>
      </c>
      <c r="Q4951" t="s">
        <v>9893</v>
      </c>
      <c r="R4951">
        <v>5</v>
      </c>
      <c r="S4951" s="5">
        <f t="shared" si="154"/>
        <v>0.14076488430115944</v>
      </c>
      <c r="T4951">
        <v>1635.28</v>
      </c>
      <c r="U4951">
        <v>3</v>
      </c>
      <c r="V4951">
        <v>2023</v>
      </c>
      <c r="W4951">
        <v>1</v>
      </c>
      <c r="X4951" t="s">
        <v>9899</v>
      </c>
      <c r="Y4951" t="s">
        <v>9901</v>
      </c>
      <c r="Z4951" t="s">
        <v>9898</v>
      </c>
      <c r="AD4951">
        <f t="shared" si="155"/>
        <v>5</v>
      </c>
    </row>
    <row r="4952" spans="1:30" x14ac:dyDescent="0.25">
      <c r="A4952" t="s">
        <v>4976</v>
      </c>
      <c r="B4952" s="2">
        <v>44638</v>
      </c>
      <c r="C4952" s="2">
        <v>44642</v>
      </c>
      <c r="D4952" t="s">
        <v>5429</v>
      </c>
      <c r="E4952" t="s">
        <v>5929</v>
      </c>
      <c r="F4952" t="s">
        <v>6026</v>
      </c>
      <c r="G4952" t="s">
        <v>6031</v>
      </c>
      <c r="H4952" t="s">
        <v>6042</v>
      </c>
      <c r="I4952" t="s">
        <v>6052</v>
      </c>
      <c r="J4952" t="s">
        <v>6053</v>
      </c>
      <c r="K4952" t="s">
        <v>6057</v>
      </c>
      <c r="L4952" t="s">
        <v>9864</v>
      </c>
      <c r="M4952">
        <v>664.78</v>
      </c>
      <c r="N4952">
        <v>8</v>
      </c>
      <c r="O4952">
        <v>0.27</v>
      </c>
      <c r="P4952">
        <v>-22.13</v>
      </c>
      <c r="Q4952" t="s">
        <v>9896</v>
      </c>
      <c r="R4952">
        <v>4</v>
      </c>
      <c r="S4952" s="5">
        <f t="shared" si="154"/>
        <v>-3.3289208459941634E-2</v>
      </c>
      <c r="T4952">
        <v>83.097499999999997</v>
      </c>
      <c r="U4952">
        <v>3</v>
      </c>
      <c r="V4952">
        <v>2022</v>
      </c>
      <c r="W4952">
        <v>1</v>
      </c>
      <c r="X4952" t="s">
        <v>9898</v>
      </c>
      <c r="Y4952" t="s">
        <v>9900</v>
      </c>
      <c r="Z4952" t="s">
        <v>9899</v>
      </c>
      <c r="AD4952">
        <f t="shared" si="155"/>
        <v>4</v>
      </c>
    </row>
    <row r="4953" spans="1:30" x14ac:dyDescent="0.25">
      <c r="A4953" t="s">
        <v>4977</v>
      </c>
      <c r="B4953" s="2">
        <v>44603</v>
      </c>
      <c r="C4953" s="2">
        <v>44604</v>
      </c>
      <c r="D4953" t="s">
        <v>5257</v>
      </c>
      <c r="E4953" t="s">
        <v>5757</v>
      </c>
      <c r="F4953" t="s">
        <v>6028</v>
      </c>
      <c r="G4953" t="s">
        <v>6030</v>
      </c>
      <c r="H4953" t="s">
        <v>6039</v>
      </c>
      <c r="I4953" t="s">
        <v>6047</v>
      </c>
      <c r="J4953" t="s">
        <v>6053</v>
      </c>
      <c r="K4953" t="s">
        <v>6057</v>
      </c>
      <c r="L4953" t="s">
        <v>6979</v>
      </c>
      <c r="M4953">
        <v>1404.76</v>
      </c>
      <c r="N4953">
        <v>6</v>
      </c>
      <c r="O4953">
        <v>0.3</v>
      </c>
      <c r="P4953">
        <v>-183.62</v>
      </c>
      <c r="Q4953" t="s">
        <v>9896</v>
      </c>
      <c r="R4953">
        <v>1</v>
      </c>
      <c r="S4953" s="5">
        <f t="shared" si="154"/>
        <v>-0.13071271961046727</v>
      </c>
      <c r="T4953">
        <v>234.12666666666669</v>
      </c>
      <c r="U4953">
        <v>2</v>
      </c>
      <c r="V4953">
        <v>2022</v>
      </c>
      <c r="W4953">
        <v>1</v>
      </c>
      <c r="X4953" t="s">
        <v>9898</v>
      </c>
      <c r="Y4953" t="s">
        <v>9900</v>
      </c>
      <c r="Z4953" t="s">
        <v>9898</v>
      </c>
      <c r="AD4953">
        <f t="shared" si="155"/>
        <v>1</v>
      </c>
    </row>
    <row r="4954" spans="1:30" x14ac:dyDescent="0.25">
      <c r="A4954" t="s">
        <v>4978</v>
      </c>
      <c r="B4954" s="2">
        <v>45314</v>
      </c>
      <c r="C4954" s="2">
        <v>45321</v>
      </c>
      <c r="D4954" t="s">
        <v>5090</v>
      </c>
      <c r="E4954" t="s">
        <v>5590</v>
      </c>
      <c r="F4954" t="s">
        <v>6026</v>
      </c>
      <c r="G4954" t="s">
        <v>6031</v>
      </c>
      <c r="H4954" t="s">
        <v>6037</v>
      </c>
      <c r="I4954" t="s">
        <v>6050</v>
      </c>
      <c r="J4954" t="s">
        <v>6053</v>
      </c>
      <c r="K4954" t="s">
        <v>6057</v>
      </c>
      <c r="L4954" t="s">
        <v>9865</v>
      </c>
      <c r="M4954">
        <v>1177.2</v>
      </c>
      <c r="N4954">
        <v>3</v>
      </c>
      <c r="O4954">
        <v>0.34</v>
      </c>
      <c r="P4954">
        <v>-60.97</v>
      </c>
      <c r="Q4954" t="s">
        <v>9894</v>
      </c>
      <c r="R4954">
        <v>7</v>
      </c>
      <c r="S4954" s="5">
        <f t="shared" si="154"/>
        <v>-5.179238871899422E-2</v>
      </c>
      <c r="T4954">
        <v>392.4</v>
      </c>
      <c r="U4954">
        <v>1</v>
      </c>
      <c r="V4954">
        <v>2024</v>
      </c>
      <c r="W4954">
        <v>1</v>
      </c>
      <c r="X4954" t="s">
        <v>9898</v>
      </c>
      <c r="Y4954" t="s">
        <v>9902</v>
      </c>
      <c r="Z4954" t="s">
        <v>9898</v>
      </c>
      <c r="AD4954">
        <f t="shared" si="155"/>
        <v>7</v>
      </c>
    </row>
    <row r="4955" spans="1:30" x14ac:dyDescent="0.25">
      <c r="A4955" t="s">
        <v>4979</v>
      </c>
      <c r="B4955" s="2">
        <v>45040</v>
      </c>
      <c r="C4955" s="2">
        <v>45043</v>
      </c>
      <c r="D4955" t="s">
        <v>5116</v>
      </c>
      <c r="E4955" t="s">
        <v>5616</v>
      </c>
      <c r="F4955" t="s">
        <v>6027</v>
      </c>
      <c r="G4955" t="s">
        <v>6029</v>
      </c>
      <c r="H4955" t="s">
        <v>6045</v>
      </c>
      <c r="I4955" t="s">
        <v>6050</v>
      </c>
      <c r="J4955" t="s">
        <v>6054</v>
      </c>
      <c r="K4955" t="s">
        <v>6060</v>
      </c>
      <c r="L4955" t="s">
        <v>6612</v>
      </c>
      <c r="M4955">
        <v>1297.99</v>
      </c>
      <c r="N4955">
        <v>5</v>
      </c>
      <c r="O4955">
        <v>0.13</v>
      </c>
      <c r="P4955">
        <v>-16.579999999999998</v>
      </c>
      <c r="Q4955" t="s">
        <v>9897</v>
      </c>
      <c r="R4955">
        <v>3</v>
      </c>
      <c r="S4955" s="5">
        <f t="shared" si="154"/>
        <v>-1.2773596098583192E-2</v>
      </c>
      <c r="T4955">
        <v>259.59800000000001</v>
      </c>
      <c r="U4955">
        <v>4</v>
      </c>
      <c r="V4955">
        <v>2023</v>
      </c>
      <c r="W4955">
        <v>2</v>
      </c>
      <c r="X4955" t="s">
        <v>9898</v>
      </c>
      <c r="Y4955" t="s">
        <v>9901</v>
      </c>
      <c r="Z4955" t="s">
        <v>9898</v>
      </c>
      <c r="AD4955">
        <f t="shared" si="155"/>
        <v>3</v>
      </c>
    </row>
    <row r="4956" spans="1:30" x14ac:dyDescent="0.25">
      <c r="A4956" t="s">
        <v>4980</v>
      </c>
      <c r="B4956" s="2">
        <v>44977</v>
      </c>
      <c r="C4956" s="2">
        <v>44980</v>
      </c>
      <c r="D4956" t="s">
        <v>5316</v>
      </c>
      <c r="E4956" t="s">
        <v>5816</v>
      </c>
      <c r="F4956" t="s">
        <v>6027</v>
      </c>
      <c r="G4956" t="s">
        <v>6031</v>
      </c>
      <c r="H4956" t="s">
        <v>6034</v>
      </c>
      <c r="I4956" t="s">
        <v>6050</v>
      </c>
      <c r="J4956" t="s">
        <v>6053</v>
      </c>
      <c r="K4956" t="s">
        <v>6057</v>
      </c>
      <c r="L4956" t="s">
        <v>6159</v>
      </c>
      <c r="M4956">
        <v>1620.62</v>
      </c>
      <c r="N4956">
        <v>3</v>
      </c>
      <c r="O4956">
        <v>0.11</v>
      </c>
      <c r="P4956">
        <v>306.86</v>
      </c>
      <c r="Q4956" t="s">
        <v>9897</v>
      </c>
      <c r="R4956">
        <v>3</v>
      </c>
      <c r="S4956" s="5">
        <f t="shared" si="154"/>
        <v>0.18934728684083871</v>
      </c>
      <c r="T4956">
        <v>540.20666666666659</v>
      </c>
      <c r="U4956">
        <v>2</v>
      </c>
      <c r="V4956">
        <v>2023</v>
      </c>
      <c r="W4956">
        <v>1</v>
      </c>
      <c r="X4956" t="s">
        <v>9899</v>
      </c>
      <c r="Y4956" t="s">
        <v>9901</v>
      </c>
      <c r="Z4956" t="s">
        <v>9898</v>
      </c>
      <c r="AD4956">
        <f t="shared" si="155"/>
        <v>3</v>
      </c>
    </row>
    <row r="4957" spans="1:30" x14ac:dyDescent="0.25">
      <c r="A4957" t="s">
        <v>4981</v>
      </c>
      <c r="B4957" s="2">
        <v>45184</v>
      </c>
      <c r="C4957" s="2">
        <v>45186</v>
      </c>
      <c r="D4957" t="s">
        <v>5079</v>
      </c>
      <c r="E4957" t="s">
        <v>5579</v>
      </c>
      <c r="F4957" t="s">
        <v>6028</v>
      </c>
      <c r="G4957" t="s">
        <v>6031</v>
      </c>
      <c r="H4957" t="s">
        <v>6040</v>
      </c>
      <c r="I4957" t="s">
        <v>6048</v>
      </c>
      <c r="J4957" t="s">
        <v>6054</v>
      </c>
      <c r="K4957" t="s">
        <v>6059</v>
      </c>
      <c r="L4957" t="s">
        <v>9866</v>
      </c>
      <c r="M4957">
        <v>800.9</v>
      </c>
      <c r="N4957">
        <v>5</v>
      </c>
      <c r="O4957">
        <v>0.27</v>
      </c>
      <c r="P4957">
        <v>-44.86</v>
      </c>
      <c r="Q4957" t="s">
        <v>9897</v>
      </c>
      <c r="R4957">
        <v>2</v>
      </c>
      <c r="S4957" s="5">
        <f t="shared" si="154"/>
        <v>-5.6011986515170434E-2</v>
      </c>
      <c r="T4957">
        <v>160.18</v>
      </c>
      <c r="U4957">
        <v>9</v>
      </c>
      <c r="V4957">
        <v>2023</v>
      </c>
      <c r="W4957">
        <v>3</v>
      </c>
      <c r="X4957" t="s">
        <v>9898</v>
      </c>
      <c r="Y4957" t="s">
        <v>9900</v>
      </c>
      <c r="Z4957" t="s">
        <v>9899</v>
      </c>
      <c r="AD4957">
        <f t="shared" si="155"/>
        <v>2</v>
      </c>
    </row>
    <row r="4958" spans="1:30" x14ac:dyDescent="0.25">
      <c r="A4958" t="s">
        <v>4982</v>
      </c>
      <c r="B4958" s="2">
        <v>45069</v>
      </c>
      <c r="C4958" s="2">
        <v>45071</v>
      </c>
      <c r="D4958" t="s">
        <v>5398</v>
      </c>
      <c r="E4958" t="s">
        <v>5898</v>
      </c>
      <c r="F4958" t="s">
        <v>6027</v>
      </c>
      <c r="G4958" t="s">
        <v>6031</v>
      </c>
      <c r="H4958" t="s">
        <v>6042</v>
      </c>
      <c r="I4958" t="s">
        <v>6052</v>
      </c>
      <c r="J4958" t="s">
        <v>6053</v>
      </c>
      <c r="K4958" t="s">
        <v>6056</v>
      </c>
      <c r="L4958" t="s">
        <v>9867</v>
      </c>
      <c r="M4958">
        <v>1551.38</v>
      </c>
      <c r="N4958">
        <v>8</v>
      </c>
      <c r="O4958">
        <v>0.26</v>
      </c>
      <c r="P4958">
        <v>-182.48</v>
      </c>
      <c r="Q4958" t="s">
        <v>9894</v>
      </c>
      <c r="R4958">
        <v>2</v>
      </c>
      <c r="S4958" s="5">
        <f t="shared" si="154"/>
        <v>-0.1176243086800139</v>
      </c>
      <c r="T4958">
        <v>193.92250000000001</v>
      </c>
      <c r="U4958">
        <v>5</v>
      </c>
      <c r="V4958">
        <v>2023</v>
      </c>
      <c r="W4958">
        <v>2</v>
      </c>
      <c r="X4958" t="s">
        <v>9898</v>
      </c>
      <c r="Y4958" t="s">
        <v>9900</v>
      </c>
      <c r="Z4958" t="s">
        <v>9898</v>
      </c>
      <c r="AD4958">
        <f t="shared" si="155"/>
        <v>2</v>
      </c>
    </row>
    <row r="4959" spans="1:30" x14ac:dyDescent="0.25">
      <c r="A4959" t="s">
        <v>4983</v>
      </c>
      <c r="B4959" s="2">
        <v>44675</v>
      </c>
      <c r="C4959" s="2">
        <v>44677</v>
      </c>
      <c r="D4959" t="s">
        <v>5432</v>
      </c>
      <c r="E4959" t="s">
        <v>5932</v>
      </c>
      <c r="F4959" t="s">
        <v>6026</v>
      </c>
      <c r="G4959" t="s">
        <v>6031</v>
      </c>
      <c r="H4959" t="s">
        <v>6037</v>
      </c>
      <c r="I4959" t="s">
        <v>6048</v>
      </c>
      <c r="J4959" t="s">
        <v>6054</v>
      </c>
      <c r="K4959" t="s">
        <v>6062</v>
      </c>
      <c r="L4959" t="s">
        <v>9868</v>
      </c>
      <c r="M4959">
        <v>119.75</v>
      </c>
      <c r="N4959">
        <v>6</v>
      </c>
      <c r="O4959">
        <v>0.1</v>
      </c>
      <c r="P4959">
        <v>4.3899999999999997</v>
      </c>
      <c r="Q4959" t="s">
        <v>9894</v>
      </c>
      <c r="R4959">
        <v>2</v>
      </c>
      <c r="S4959" s="5">
        <f t="shared" si="154"/>
        <v>3.6659707724425887E-2</v>
      </c>
      <c r="T4959">
        <v>19.958333333333329</v>
      </c>
      <c r="U4959">
        <v>4</v>
      </c>
      <c r="V4959">
        <v>2022</v>
      </c>
      <c r="W4959">
        <v>2</v>
      </c>
      <c r="X4959" t="s">
        <v>9899</v>
      </c>
      <c r="Y4959" t="s">
        <v>9901</v>
      </c>
      <c r="Z4959" t="s">
        <v>9899</v>
      </c>
      <c r="AD4959">
        <f t="shared" si="155"/>
        <v>2</v>
      </c>
    </row>
    <row r="4960" spans="1:30" x14ac:dyDescent="0.25">
      <c r="A4960" t="s">
        <v>4984</v>
      </c>
      <c r="B4960" s="2">
        <v>44606</v>
      </c>
      <c r="C4960" s="2">
        <v>44609</v>
      </c>
      <c r="D4960" t="s">
        <v>5071</v>
      </c>
      <c r="E4960" t="s">
        <v>5571</v>
      </c>
      <c r="F4960" t="s">
        <v>6026</v>
      </c>
      <c r="G4960" t="s">
        <v>6029</v>
      </c>
      <c r="H4960" t="s">
        <v>6044</v>
      </c>
      <c r="I4960" t="s">
        <v>6046</v>
      </c>
      <c r="J4960" t="s">
        <v>6054</v>
      </c>
      <c r="K4960" t="s">
        <v>6060</v>
      </c>
      <c r="L4960" t="s">
        <v>9192</v>
      </c>
      <c r="M4960">
        <v>558.95000000000005</v>
      </c>
      <c r="N4960">
        <v>6</v>
      </c>
      <c r="O4960">
        <v>0.16</v>
      </c>
      <c r="P4960">
        <v>3.86</v>
      </c>
      <c r="Q4960" t="s">
        <v>9895</v>
      </c>
      <c r="R4960">
        <v>3</v>
      </c>
      <c r="S4960" s="5">
        <f t="shared" si="154"/>
        <v>6.9058055282225595E-3</v>
      </c>
      <c r="T4960">
        <v>93.158333333333346</v>
      </c>
      <c r="U4960">
        <v>2</v>
      </c>
      <c r="V4960">
        <v>2022</v>
      </c>
      <c r="W4960">
        <v>1</v>
      </c>
      <c r="X4960" t="s">
        <v>9899</v>
      </c>
      <c r="Y4960" t="s">
        <v>9900</v>
      </c>
      <c r="Z4960" t="s">
        <v>9899</v>
      </c>
      <c r="AD4960">
        <f t="shared" si="155"/>
        <v>3</v>
      </c>
    </row>
    <row r="4961" spans="1:30" x14ac:dyDescent="0.25">
      <c r="A4961" t="s">
        <v>4985</v>
      </c>
      <c r="B4961" s="2">
        <v>45236</v>
      </c>
      <c r="C4961" s="2">
        <v>45242</v>
      </c>
      <c r="D4961" t="s">
        <v>5170</v>
      </c>
      <c r="E4961" t="s">
        <v>5670</v>
      </c>
      <c r="F4961" t="s">
        <v>6026</v>
      </c>
      <c r="G4961" t="s">
        <v>6030</v>
      </c>
      <c r="H4961" t="s">
        <v>6039</v>
      </c>
      <c r="I4961" t="s">
        <v>6051</v>
      </c>
      <c r="J4961" t="s">
        <v>6055</v>
      </c>
      <c r="K4961" t="s">
        <v>6064</v>
      </c>
      <c r="L4961" t="s">
        <v>8317</v>
      </c>
      <c r="M4961">
        <v>1461.11</v>
      </c>
      <c r="N4961">
        <v>5</v>
      </c>
      <c r="O4961">
        <v>0.09</v>
      </c>
      <c r="P4961">
        <v>99.71</v>
      </c>
      <c r="Q4961" t="s">
        <v>9894</v>
      </c>
      <c r="R4961">
        <v>6</v>
      </c>
      <c r="S4961" s="5">
        <f t="shared" si="154"/>
        <v>6.8242637446872589E-2</v>
      </c>
      <c r="T4961">
        <v>292.22199999999998</v>
      </c>
      <c r="U4961">
        <v>11</v>
      </c>
      <c r="V4961">
        <v>2023</v>
      </c>
      <c r="W4961">
        <v>4</v>
      </c>
      <c r="X4961" t="s">
        <v>9899</v>
      </c>
      <c r="Y4961" t="s">
        <v>9901</v>
      </c>
      <c r="Z4961" t="s">
        <v>9898</v>
      </c>
      <c r="AD4961">
        <f t="shared" si="155"/>
        <v>6</v>
      </c>
    </row>
    <row r="4962" spans="1:30" x14ac:dyDescent="0.25">
      <c r="A4962" t="s">
        <v>4986</v>
      </c>
      <c r="B4962" s="2">
        <v>44854</v>
      </c>
      <c r="C4962" s="2">
        <v>44858</v>
      </c>
      <c r="D4962" t="s">
        <v>5157</v>
      </c>
      <c r="E4962" t="s">
        <v>5657</v>
      </c>
      <c r="F4962" t="s">
        <v>6028</v>
      </c>
      <c r="G4962" t="s">
        <v>6029</v>
      </c>
      <c r="H4962" t="s">
        <v>6036</v>
      </c>
      <c r="I4962" t="s">
        <v>6049</v>
      </c>
      <c r="J4962" t="s">
        <v>6054</v>
      </c>
      <c r="K4962" t="s">
        <v>6059</v>
      </c>
      <c r="L4962" t="s">
        <v>7169</v>
      </c>
      <c r="M4962">
        <v>481.22</v>
      </c>
      <c r="N4962">
        <v>8</v>
      </c>
      <c r="O4962">
        <v>7.0000000000000007E-2</v>
      </c>
      <c r="P4962">
        <v>92.76</v>
      </c>
      <c r="Q4962" t="s">
        <v>9897</v>
      </c>
      <c r="R4962">
        <v>4</v>
      </c>
      <c r="S4962" s="5">
        <f t="shared" si="154"/>
        <v>0.19276006816009308</v>
      </c>
      <c r="T4962">
        <v>60.152500000000003</v>
      </c>
      <c r="U4962">
        <v>10</v>
      </c>
      <c r="V4962">
        <v>2022</v>
      </c>
      <c r="W4962">
        <v>4</v>
      </c>
      <c r="X4962" t="s">
        <v>9899</v>
      </c>
      <c r="Y4962" t="s">
        <v>9901</v>
      </c>
      <c r="Z4962" t="s">
        <v>9899</v>
      </c>
      <c r="AD4962">
        <f t="shared" si="155"/>
        <v>4</v>
      </c>
    </row>
    <row r="4963" spans="1:30" x14ac:dyDescent="0.25">
      <c r="A4963" t="s">
        <v>4987</v>
      </c>
      <c r="B4963" s="2">
        <v>45348</v>
      </c>
      <c r="C4963" s="2">
        <v>45351</v>
      </c>
      <c r="D4963" t="s">
        <v>5482</v>
      </c>
      <c r="E4963" t="s">
        <v>5982</v>
      </c>
      <c r="F4963" t="s">
        <v>6026</v>
      </c>
      <c r="G4963" t="s">
        <v>6029</v>
      </c>
      <c r="H4963" t="s">
        <v>6044</v>
      </c>
      <c r="I4963" t="s">
        <v>6049</v>
      </c>
      <c r="J4963" t="s">
        <v>6054</v>
      </c>
      <c r="K4963" t="s">
        <v>6062</v>
      </c>
      <c r="L4963" t="s">
        <v>9869</v>
      </c>
      <c r="M4963">
        <v>1953.89</v>
      </c>
      <c r="N4963">
        <v>7</v>
      </c>
      <c r="O4963">
        <v>0.16</v>
      </c>
      <c r="P4963">
        <v>265.63</v>
      </c>
      <c r="Q4963" t="s">
        <v>9896</v>
      </c>
      <c r="R4963">
        <v>3</v>
      </c>
      <c r="S4963" s="5">
        <f t="shared" si="154"/>
        <v>0.13594931137372113</v>
      </c>
      <c r="T4963">
        <v>279.12714285714293</v>
      </c>
      <c r="U4963">
        <v>2</v>
      </c>
      <c r="V4963">
        <v>2024</v>
      </c>
      <c r="W4963">
        <v>1</v>
      </c>
      <c r="X4963" t="s">
        <v>9899</v>
      </c>
      <c r="Y4963" t="s">
        <v>9900</v>
      </c>
      <c r="Z4963" t="s">
        <v>9898</v>
      </c>
      <c r="AD4963">
        <f t="shared" si="155"/>
        <v>3</v>
      </c>
    </row>
    <row r="4964" spans="1:30" x14ac:dyDescent="0.25">
      <c r="A4964" t="s">
        <v>4988</v>
      </c>
      <c r="B4964" s="2">
        <v>45018</v>
      </c>
      <c r="C4964" s="2">
        <v>45023</v>
      </c>
      <c r="D4964" t="s">
        <v>5473</v>
      </c>
      <c r="E4964" t="s">
        <v>5973</v>
      </c>
      <c r="F4964" t="s">
        <v>6027</v>
      </c>
      <c r="G4964" t="s">
        <v>6030</v>
      </c>
      <c r="H4964" t="s">
        <v>6033</v>
      </c>
      <c r="I4964" t="s">
        <v>6051</v>
      </c>
      <c r="J4964" t="s">
        <v>6055</v>
      </c>
      <c r="K4964" t="s">
        <v>6063</v>
      </c>
      <c r="L4964" t="s">
        <v>9870</v>
      </c>
      <c r="M4964">
        <v>322.97000000000003</v>
      </c>
      <c r="N4964">
        <v>3</v>
      </c>
      <c r="O4964">
        <v>0.25</v>
      </c>
      <c r="P4964">
        <v>8.19</v>
      </c>
      <c r="Q4964" t="s">
        <v>9896</v>
      </c>
      <c r="R4964">
        <v>5</v>
      </c>
      <c r="S4964" s="5">
        <f t="shared" si="154"/>
        <v>2.5358392420348635E-2</v>
      </c>
      <c r="T4964">
        <v>107.65666666666669</v>
      </c>
      <c r="U4964">
        <v>4</v>
      </c>
      <c r="V4964">
        <v>2023</v>
      </c>
      <c r="W4964">
        <v>2</v>
      </c>
      <c r="X4964" t="s">
        <v>9899</v>
      </c>
      <c r="Y4964" t="s">
        <v>9900</v>
      </c>
      <c r="Z4964" t="s">
        <v>9899</v>
      </c>
      <c r="AD4964">
        <f t="shared" si="155"/>
        <v>5</v>
      </c>
    </row>
    <row r="4965" spans="1:30" x14ac:dyDescent="0.25">
      <c r="A4965" t="s">
        <v>4989</v>
      </c>
      <c r="B4965" s="2">
        <v>44938</v>
      </c>
      <c r="C4965" s="2">
        <v>44942</v>
      </c>
      <c r="D4965" t="s">
        <v>5280</v>
      </c>
      <c r="E4965" t="s">
        <v>5780</v>
      </c>
      <c r="F4965" t="s">
        <v>6026</v>
      </c>
      <c r="G4965" t="s">
        <v>6031</v>
      </c>
      <c r="H4965" t="s">
        <v>6040</v>
      </c>
      <c r="I4965" t="s">
        <v>6048</v>
      </c>
      <c r="J4965" t="s">
        <v>6055</v>
      </c>
      <c r="K4965" t="s">
        <v>6063</v>
      </c>
      <c r="L4965" t="s">
        <v>7735</v>
      </c>
      <c r="M4965">
        <v>478.25</v>
      </c>
      <c r="N4965">
        <v>7</v>
      </c>
      <c r="O4965">
        <v>0.27</v>
      </c>
      <c r="P4965">
        <v>-61.81</v>
      </c>
      <c r="Q4965" t="s">
        <v>9895</v>
      </c>
      <c r="R4965">
        <v>4</v>
      </c>
      <c r="S4965" s="5">
        <f t="shared" si="154"/>
        <v>-0.12924202822791428</v>
      </c>
      <c r="T4965">
        <v>68.321428571428569</v>
      </c>
      <c r="U4965">
        <v>1</v>
      </c>
      <c r="V4965">
        <v>2023</v>
      </c>
      <c r="W4965">
        <v>1</v>
      </c>
      <c r="X4965" t="s">
        <v>9898</v>
      </c>
      <c r="Y4965" t="s">
        <v>9900</v>
      </c>
      <c r="Z4965" t="s">
        <v>9899</v>
      </c>
      <c r="AD4965">
        <f t="shared" si="155"/>
        <v>4</v>
      </c>
    </row>
    <row r="4966" spans="1:30" x14ac:dyDescent="0.25">
      <c r="A4966" t="s">
        <v>4990</v>
      </c>
      <c r="B4966" s="2">
        <v>45119</v>
      </c>
      <c r="C4966" s="2">
        <v>45126</v>
      </c>
      <c r="D4966" t="s">
        <v>5341</v>
      </c>
      <c r="E4966" t="s">
        <v>5841</v>
      </c>
      <c r="F4966" t="s">
        <v>6027</v>
      </c>
      <c r="G4966" t="s">
        <v>6030</v>
      </c>
      <c r="H4966" t="s">
        <v>6033</v>
      </c>
      <c r="I4966" t="s">
        <v>6051</v>
      </c>
      <c r="J4966" t="s">
        <v>6055</v>
      </c>
      <c r="K4966" t="s">
        <v>6061</v>
      </c>
      <c r="L4966" t="s">
        <v>9871</v>
      </c>
      <c r="M4966">
        <v>371.19</v>
      </c>
      <c r="N4966">
        <v>8</v>
      </c>
      <c r="O4966">
        <v>0.17</v>
      </c>
      <c r="P4966">
        <v>7.67</v>
      </c>
      <c r="Q4966" t="s">
        <v>9897</v>
      </c>
      <c r="R4966">
        <v>7</v>
      </c>
      <c r="S4966" s="5">
        <f t="shared" si="154"/>
        <v>2.0663272178668608E-2</v>
      </c>
      <c r="T4966">
        <v>46.39875</v>
      </c>
      <c r="U4966">
        <v>7</v>
      </c>
      <c r="V4966">
        <v>2023</v>
      </c>
      <c r="W4966">
        <v>3</v>
      </c>
      <c r="X4966" t="s">
        <v>9899</v>
      </c>
      <c r="Y4966" t="s">
        <v>9900</v>
      </c>
      <c r="Z4966" t="s">
        <v>9899</v>
      </c>
      <c r="AD4966">
        <f t="shared" si="155"/>
        <v>7</v>
      </c>
    </row>
    <row r="4967" spans="1:30" x14ac:dyDescent="0.25">
      <c r="A4967" t="s">
        <v>4991</v>
      </c>
      <c r="B4967" s="2">
        <v>45110</v>
      </c>
      <c r="C4967" s="2">
        <v>45114</v>
      </c>
      <c r="D4967" t="s">
        <v>5127</v>
      </c>
      <c r="E4967" t="s">
        <v>5627</v>
      </c>
      <c r="F4967" t="s">
        <v>6027</v>
      </c>
      <c r="G4967" t="s">
        <v>6029</v>
      </c>
      <c r="H4967" t="s">
        <v>6044</v>
      </c>
      <c r="I4967" t="s">
        <v>6046</v>
      </c>
      <c r="J4967" t="s">
        <v>6054</v>
      </c>
      <c r="K4967" t="s">
        <v>6062</v>
      </c>
      <c r="L4967" t="s">
        <v>9872</v>
      </c>
      <c r="M4967">
        <v>1954.01</v>
      </c>
      <c r="N4967">
        <v>1</v>
      </c>
      <c r="O4967">
        <v>0.24</v>
      </c>
      <c r="P4967">
        <v>6.74</v>
      </c>
      <c r="Q4967" t="s">
        <v>9893</v>
      </c>
      <c r="R4967">
        <v>4</v>
      </c>
      <c r="S4967" s="5">
        <f t="shared" si="154"/>
        <v>3.4493170454603611E-3</v>
      </c>
      <c r="T4967">
        <v>1954.01</v>
      </c>
      <c r="U4967">
        <v>7</v>
      </c>
      <c r="V4967">
        <v>2023</v>
      </c>
      <c r="W4967">
        <v>3</v>
      </c>
      <c r="X4967" t="s">
        <v>9899</v>
      </c>
      <c r="Y4967" t="s">
        <v>9900</v>
      </c>
      <c r="Z4967" t="s">
        <v>9898</v>
      </c>
      <c r="AD4967">
        <f t="shared" si="155"/>
        <v>4</v>
      </c>
    </row>
    <row r="4968" spans="1:30" x14ac:dyDescent="0.25">
      <c r="A4968" t="s">
        <v>4992</v>
      </c>
      <c r="B4968" s="2">
        <v>45267</v>
      </c>
      <c r="C4968" s="2">
        <v>45268</v>
      </c>
      <c r="D4968" t="s">
        <v>5142</v>
      </c>
      <c r="E4968" t="s">
        <v>5642</v>
      </c>
      <c r="F4968" t="s">
        <v>6027</v>
      </c>
      <c r="G4968" t="s">
        <v>6030</v>
      </c>
      <c r="H4968" t="s">
        <v>6038</v>
      </c>
      <c r="I4968" t="s">
        <v>6051</v>
      </c>
      <c r="J4968" t="s">
        <v>6055</v>
      </c>
      <c r="K4968" t="s">
        <v>6061</v>
      </c>
      <c r="L4968" t="s">
        <v>8578</v>
      </c>
      <c r="M4968">
        <v>151.06</v>
      </c>
      <c r="N4968">
        <v>4</v>
      </c>
      <c r="O4968">
        <v>0.34</v>
      </c>
      <c r="P4968">
        <v>-21.83</v>
      </c>
      <c r="Q4968" t="s">
        <v>9893</v>
      </c>
      <c r="R4968">
        <v>1</v>
      </c>
      <c r="S4968" s="5">
        <f t="shared" si="154"/>
        <v>-0.14451211439163245</v>
      </c>
      <c r="T4968">
        <v>37.765000000000001</v>
      </c>
      <c r="U4968">
        <v>12</v>
      </c>
      <c r="V4968">
        <v>2023</v>
      </c>
      <c r="W4968">
        <v>4</v>
      </c>
      <c r="X4968" t="s">
        <v>9898</v>
      </c>
      <c r="Y4968" t="s">
        <v>9902</v>
      </c>
      <c r="Z4968" t="s">
        <v>9899</v>
      </c>
      <c r="AD4968">
        <f t="shared" si="155"/>
        <v>1</v>
      </c>
    </row>
    <row r="4969" spans="1:30" x14ac:dyDescent="0.25">
      <c r="A4969" t="s">
        <v>4993</v>
      </c>
      <c r="B4969" s="2">
        <v>44612</v>
      </c>
      <c r="C4969" s="2">
        <v>44615</v>
      </c>
      <c r="D4969" t="s">
        <v>5269</v>
      </c>
      <c r="E4969" t="s">
        <v>5769</v>
      </c>
      <c r="F4969" t="s">
        <v>6028</v>
      </c>
      <c r="G4969" t="s">
        <v>6030</v>
      </c>
      <c r="H4969" t="s">
        <v>6033</v>
      </c>
      <c r="I4969" t="s">
        <v>6047</v>
      </c>
      <c r="J4969" t="s">
        <v>6054</v>
      </c>
      <c r="K4969" t="s">
        <v>6060</v>
      </c>
      <c r="L4969" t="s">
        <v>7854</v>
      </c>
      <c r="M4969">
        <v>359.86</v>
      </c>
      <c r="N4969">
        <v>5</v>
      </c>
      <c r="O4969">
        <v>0.28999999999999998</v>
      </c>
      <c r="P4969">
        <v>-48.1</v>
      </c>
      <c r="Q4969" t="s">
        <v>9893</v>
      </c>
      <c r="R4969">
        <v>3</v>
      </c>
      <c r="S4969" s="5">
        <f t="shared" si="154"/>
        <v>-0.13366309120213415</v>
      </c>
      <c r="T4969">
        <v>71.972000000000008</v>
      </c>
      <c r="U4969">
        <v>2</v>
      </c>
      <c r="V4969">
        <v>2022</v>
      </c>
      <c r="W4969">
        <v>1</v>
      </c>
      <c r="X4969" t="s">
        <v>9898</v>
      </c>
      <c r="Y4969" t="s">
        <v>9900</v>
      </c>
      <c r="Z4969" t="s">
        <v>9899</v>
      </c>
      <c r="AD4969">
        <f t="shared" si="155"/>
        <v>3</v>
      </c>
    </row>
    <row r="4970" spans="1:30" x14ac:dyDescent="0.25">
      <c r="A4970" t="s">
        <v>4994</v>
      </c>
      <c r="B4970" s="2">
        <v>44638</v>
      </c>
      <c r="C4970" s="2">
        <v>44641</v>
      </c>
      <c r="D4970" t="s">
        <v>5072</v>
      </c>
      <c r="E4970" t="s">
        <v>5572</v>
      </c>
      <c r="F4970" t="s">
        <v>6027</v>
      </c>
      <c r="G4970" t="s">
        <v>6030</v>
      </c>
      <c r="H4970" t="s">
        <v>6035</v>
      </c>
      <c r="I4970" t="s">
        <v>6047</v>
      </c>
      <c r="J4970" t="s">
        <v>6053</v>
      </c>
      <c r="K4970" t="s">
        <v>6058</v>
      </c>
      <c r="L4970" t="s">
        <v>9873</v>
      </c>
      <c r="M4970">
        <v>838.91</v>
      </c>
      <c r="N4970">
        <v>5</v>
      </c>
      <c r="O4970">
        <v>0.33</v>
      </c>
      <c r="P4970">
        <v>-168.07</v>
      </c>
      <c r="Q4970" t="s">
        <v>9896</v>
      </c>
      <c r="R4970">
        <v>3</v>
      </c>
      <c r="S4970" s="5">
        <f t="shared" si="154"/>
        <v>-0.20034330261887448</v>
      </c>
      <c r="T4970">
        <v>167.78200000000001</v>
      </c>
      <c r="U4970">
        <v>3</v>
      </c>
      <c r="V4970">
        <v>2022</v>
      </c>
      <c r="W4970">
        <v>1</v>
      </c>
      <c r="X4970" t="s">
        <v>9898</v>
      </c>
      <c r="Y4970" t="s">
        <v>9902</v>
      </c>
      <c r="Z4970" t="s">
        <v>9899</v>
      </c>
      <c r="AD4970">
        <f t="shared" si="155"/>
        <v>3</v>
      </c>
    </row>
    <row r="4971" spans="1:30" x14ac:dyDescent="0.25">
      <c r="A4971" t="s">
        <v>4995</v>
      </c>
      <c r="B4971" s="2">
        <v>45059</v>
      </c>
      <c r="C4971" s="2">
        <v>45063</v>
      </c>
      <c r="D4971" t="s">
        <v>5335</v>
      </c>
      <c r="E4971" t="s">
        <v>5835</v>
      </c>
      <c r="F4971" t="s">
        <v>6027</v>
      </c>
      <c r="G4971" t="s">
        <v>6029</v>
      </c>
      <c r="H4971" t="s">
        <v>6044</v>
      </c>
      <c r="I4971" t="s">
        <v>6049</v>
      </c>
      <c r="J4971" t="s">
        <v>6054</v>
      </c>
      <c r="K4971" t="s">
        <v>6060</v>
      </c>
      <c r="L4971" t="s">
        <v>9874</v>
      </c>
      <c r="M4971">
        <v>148.69999999999999</v>
      </c>
      <c r="N4971">
        <v>1</v>
      </c>
      <c r="O4971">
        <v>0.08</v>
      </c>
      <c r="P4971">
        <v>31.55</v>
      </c>
      <c r="Q4971" t="s">
        <v>9897</v>
      </c>
      <c r="R4971">
        <v>4</v>
      </c>
      <c r="S4971" s="5">
        <f t="shared" si="154"/>
        <v>0.2121721587088097</v>
      </c>
      <c r="T4971">
        <v>148.69999999999999</v>
      </c>
      <c r="U4971">
        <v>5</v>
      </c>
      <c r="V4971">
        <v>2023</v>
      </c>
      <c r="W4971">
        <v>2</v>
      </c>
      <c r="X4971" t="s">
        <v>9899</v>
      </c>
      <c r="Y4971" t="s">
        <v>9901</v>
      </c>
      <c r="Z4971" t="s">
        <v>9899</v>
      </c>
      <c r="AD4971">
        <f t="shared" si="155"/>
        <v>4</v>
      </c>
    </row>
    <row r="4972" spans="1:30" x14ac:dyDescent="0.25">
      <c r="A4972" t="s">
        <v>4996</v>
      </c>
      <c r="B4972" s="2">
        <v>45399</v>
      </c>
      <c r="C4972" s="2">
        <v>45403</v>
      </c>
      <c r="D4972" t="s">
        <v>5174</v>
      </c>
      <c r="E4972" t="s">
        <v>5674</v>
      </c>
      <c r="F4972" t="s">
        <v>6028</v>
      </c>
      <c r="G4972" t="s">
        <v>6031</v>
      </c>
      <c r="H4972" t="s">
        <v>6043</v>
      </c>
      <c r="I4972" t="s">
        <v>6048</v>
      </c>
      <c r="J4972" t="s">
        <v>6055</v>
      </c>
      <c r="K4972" t="s">
        <v>6064</v>
      </c>
      <c r="L4972" t="s">
        <v>8384</v>
      </c>
      <c r="M4972">
        <v>986.15</v>
      </c>
      <c r="N4972">
        <v>7</v>
      </c>
      <c r="O4972">
        <v>0.04</v>
      </c>
      <c r="P4972">
        <v>165.15</v>
      </c>
      <c r="Q4972" t="s">
        <v>9895</v>
      </c>
      <c r="R4972">
        <v>4</v>
      </c>
      <c r="S4972" s="5">
        <f t="shared" si="154"/>
        <v>0.1674694519089388</v>
      </c>
      <c r="T4972">
        <v>140.87857142857141</v>
      </c>
      <c r="U4972">
        <v>4</v>
      </c>
      <c r="V4972">
        <v>2024</v>
      </c>
      <c r="W4972">
        <v>2</v>
      </c>
      <c r="X4972" t="s">
        <v>9899</v>
      </c>
      <c r="Y4972" t="s">
        <v>9901</v>
      </c>
      <c r="Z4972" t="s">
        <v>9899</v>
      </c>
      <c r="AD4972">
        <f t="shared" si="155"/>
        <v>4</v>
      </c>
    </row>
    <row r="4973" spans="1:30" x14ac:dyDescent="0.25">
      <c r="A4973" t="s">
        <v>4997</v>
      </c>
      <c r="B4973" s="2">
        <v>44719</v>
      </c>
      <c r="C4973" s="2">
        <v>44722</v>
      </c>
      <c r="D4973" t="s">
        <v>5209</v>
      </c>
      <c r="E4973" t="s">
        <v>5709</v>
      </c>
      <c r="F4973" t="s">
        <v>6028</v>
      </c>
      <c r="G4973" t="s">
        <v>6030</v>
      </c>
      <c r="H4973" t="s">
        <v>6035</v>
      </c>
      <c r="I4973" t="s">
        <v>6047</v>
      </c>
      <c r="J4973" t="s">
        <v>6054</v>
      </c>
      <c r="K4973" t="s">
        <v>6060</v>
      </c>
      <c r="L4973" t="s">
        <v>9875</v>
      </c>
      <c r="M4973">
        <v>1193.3699999999999</v>
      </c>
      <c r="N4973">
        <v>8</v>
      </c>
      <c r="O4973">
        <v>0.01</v>
      </c>
      <c r="P4973">
        <v>335.67</v>
      </c>
      <c r="Q4973" t="s">
        <v>9894</v>
      </c>
      <c r="R4973">
        <v>3</v>
      </c>
      <c r="S4973" s="5">
        <f t="shared" si="154"/>
        <v>0.28127906684431486</v>
      </c>
      <c r="T4973">
        <v>149.17124999999999</v>
      </c>
      <c r="U4973">
        <v>6</v>
      </c>
      <c r="V4973">
        <v>2022</v>
      </c>
      <c r="W4973">
        <v>2</v>
      </c>
      <c r="X4973" t="s">
        <v>9899</v>
      </c>
      <c r="Y4973" t="s">
        <v>9901</v>
      </c>
      <c r="Z4973" t="s">
        <v>9898</v>
      </c>
      <c r="AD4973">
        <f t="shared" si="155"/>
        <v>3</v>
      </c>
    </row>
    <row r="4974" spans="1:30" x14ac:dyDescent="0.25">
      <c r="A4974" t="s">
        <v>4998</v>
      </c>
      <c r="B4974" s="2">
        <v>45240</v>
      </c>
      <c r="C4974" s="2">
        <v>45243</v>
      </c>
      <c r="D4974" t="s">
        <v>5288</v>
      </c>
      <c r="E4974" t="s">
        <v>5788</v>
      </c>
      <c r="F4974" t="s">
        <v>6028</v>
      </c>
      <c r="G4974" t="s">
        <v>6031</v>
      </c>
      <c r="H4974" t="s">
        <v>6043</v>
      </c>
      <c r="I4974" t="s">
        <v>6050</v>
      </c>
      <c r="J4974" t="s">
        <v>6053</v>
      </c>
      <c r="K4974" t="s">
        <v>6056</v>
      </c>
      <c r="L4974" t="s">
        <v>9876</v>
      </c>
      <c r="M4974">
        <v>820.82</v>
      </c>
      <c r="N4974">
        <v>3</v>
      </c>
      <c r="O4974">
        <v>0.21</v>
      </c>
      <c r="P4974">
        <v>7.13</v>
      </c>
      <c r="Q4974" t="s">
        <v>9893</v>
      </c>
      <c r="R4974">
        <v>3</v>
      </c>
      <c r="S4974" s="5">
        <f t="shared" si="154"/>
        <v>8.6864355157038071E-3</v>
      </c>
      <c r="T4974">
        <v>273.60666666666668</v>
      </c>
      <c r="U4974">
        <v>11</v>
      </c>
      <c r="V4974">
        <v>2023</v>
      </c>
      <c r="W4974">
        <v>4</v>
      </c>
      <c r="X4974" t="s">
        <v>9899</v>
      </c>
      <c r="Y4974" t="s">
        <v>9900</v>
      </c>
      <c r="Z4974" t="s">
        <v>9899</v>
      </c>
      <c r="AD4974">
        <f t="shared" si="155"/>
        <v>3</v>
      </c>
    </row>
    <row r="4975" spans="1:30" x14ac:dyDescent="0.25">
      <c r="A4975" t="s">
        <v>4999</v>
      </c>
      <c r="B4975" s="2">
        <v>45130</v>
      </c>
      <c r="C4975" s="2">
        <v>45137</v>
      </c>
      <c r="D4975" t="s">
        <v>5292</v>
      </c>
      <c r="E4975" t="s">
        <v>5792</v>
      </c>
      <c r="F4975" t="s">
        <v>6028</v>
      </c>
      <c r="G4975" t="s">
        <v>6029</v>
      </c>
      <c r="H4975" t="s">
        <v>6044</v>
      </c>
      <c r="I4975" t="s">
        <v>6049</v>
      </c>
      <c r="J4975" t="s">
        <v>6054</v>
      </c>
      <c r="K4975" t="s">
        <v>6059</v>
      </c>
      <c r="L4975" t="s">
        <v>9877</v>
      </c>
      <c r="M4975">
        <v>1728.91</v>
      </c>
      <c r="N4975">
        <v>5</v>
      </c>
      <c r="O4975">
        <v>0.21</v>
      </c>
      <c r="P4975">
        <v>-148.72</v>
      </c>
      <c r="Q4975" t="s">
        <v>9897</v>
      </c>
      <c r="R4975">
        <v>7</v>
      </c>
      <c r="S4975" s="5">
        <f t="shared" si="154"/>
        <v>-8.6019515185868548E-2</v>
      </c>
      <c r="T4975">
        <v>345.78199999999998</v>
      </c>
      <c r="U4975">
        <v>7</v>
      </c>
      <c r="V4975">
        <v>2023</v>
      </c>
      <c r="W4975">
        <v>3</v>
      </c>
      <c r="X4975" t="s">
        <v>9898</v>
      </c>
      <c r="Y4975" t="s">
        <v>9900</v>
      </c>
      <c r="Z4975" t="s">
        <v>9898</v>
      </c>
      <c r="AD4975">
        <f t="shared" si="155"/>
        <v>7</v>
      </c>
    </row>
    <row r="4976" spans="1:30" x14ac:dyDescent="0.25">
      <c r="A4976" t="s">
        <v>5000</v>
      </c>
      <c r="B4976" s="2">
        <v>45110</v>
      </c>
      <c r="C4976" s="2">
        <v>45115</v>
      </c>
      <c r="D4976" t="s">
        <v>5393</v>
      </c>
      <c r="E4976" t="s">
        <v>5893</v>
      </c>
      <c r="F4976" t="s">
        <v>6026</v>
      </c>
      <c r="G4976" t="s">
        <v>6030</v>
      </c>
      <c r="H4976" t="s">
        <v>6038</v>
      </c>
      <c r="I4976" t="s">
        <v>6051</v>
      </c>
      <c r="J4976" t="s">
        <v>6053</v>
      </c>
      <c r="K4976" t="s">
        <v>6057</v>
      </c>
      <c r="L4976" t="s">
        <v>9878</v>
      </c>
      <c r="M4976">
        <v>1689.54</v>
      </c>
      <c r="N4976">
        <v>3</v>
      </c>
      <c r="O4976">
        <v>0.1</v>
      </c>
      <c r="P4976">
        <v>19.239999999999998</v>
      </c>
      <c r="Q4976" t="s">
        <v>9896</v>
      </c>
      <c r="R4976">
        <v>5</v>
      </c>
      <c r="S4976" s="5">
        <f t="shared" si="154"/>
        <v>1.1387714999348935E-2</v>
      </c>
      <c r="T4976">
        <v>563.17999999999995</v>
      </c>
      <c r="U4976">
        <v>7</v>
      </c>
      <c r="V4976">
        <v>2023</v>
      </c>
      <c r="W4976">
        <v>3</v>
      </c>
      <c r="X4976" t="s">
        <v>9899</v>
      </c>
      <c r="Y4976" t="s">
        <v>9901</v>
      </c>
      <c r="Z4976" t="s">
        <v>9898</v>
      </c>
      <c r="AD4976">
        <f t="shared" si="155"/>
        <v>5</v>
      </c>
    </row>
    <row r="4977" spans="1:30" x14ac:dyDescent="0.25">
      <c r="A4977" t="s">
        <v>5001</v>
      </c>
      <c r="B4977" s="2">
        <v>45088</v>
      </c>
      <c r="C4977" s="2">
        <v>45093</v>
      </c>
      <c r="D4977" t="s">
        <v>5232</v>
      </c>
      <c r="E4977" t="s">
        <v>5732</v>
      </c>
      <c r="F4977" t="s">
        <v>6028</v>
      </c>
      <c r="G4977" t="s">
        <v>6030</v>
      </c>
      <c r="H4977" t="s">
        <v>6039</v>
      </c>
      <c r="I4977" t="s">
        <v>6051</v>
      </c>
      <c r="J4977" t="s">
        <v>6053</v>
      </c>
      <c r="K4977" t="s">
        <v>6056</v>
      </c>
      <c r="L4977" t="s">
        <v>9879</v>
      </c>
      <c r="M4977">
        <v>1252.5899999999999</v>
      </c>
      <c r="N4977">
        <v>3</v>
      </c>
      <c r="O4977">
        <v>0.18</v>
      </c>
      <c r="P4977">
        <v>-21.02</v>
      </c>
      <c r="Q4977" t="s">
        <v>9895</v>
      </c>
      <c r="R4977">
        <v>5</v>
      </c>
      <c r="S4977" s="5">
        <f t="shared" si="154"/>
        <v>-1.6781229292905101E-2</v>
      </c>
      <c r="T4977">
        <v>417.53</v>
      </c>
      <c r="U4977">
        <v>6</v>
      </c>
      <c r="V4977">
        <v>2023</v>
      </c>
      <c r="W4977">
        <v>2</v>
      </c>
      <c r="X4977" t="s">
        <v>9898</v>
      </c>
      <c r="Y4977" t="s">
        <v>9900</v>
      </c>
      <c r="Z4977" t="s">
        <v>9898</v>
      </c>
      <c r="AD4977">
        <f t="shared" si="155"/>
        <v>5</v>
      </c>
    </row>
    <row r="4978" spans="1:30" x14ac:dyDescent="0.25">
      <c r="A4978" t="s">
        <v>5002</v>
      </c>
      <c r="B4978" s="2">
        <v>45264</v>
      </c>
      <c r="C4978" s="2">
        <v>45265</v>
      </c>
      <c r="D4978" t="s">
        <v>5359</v>
      </c>
      <c r="E4978" t="s">
        <v>5859</v>
      </c>
      <c r="F4978" t="s">
        <v>6028</v>
      </c>
      <c r="G4978" t="s">
        <v>6030</v>
      </c>
      <c r="H4978" t="s">
        <v>6033</v>
      </c>
      <c r="I4978" t="s">
        <v>6047</v>
      </c>
      <c r="J4978" t="s">
        <v>6055</v>
      </c>
      <c r="K4978" t="s">
        <v>6061</v>
      </c>
      <c r="L4978" t="s">
        <v>9880</v>
      </c>
      <c r="M4978">
        <v>286.94</v>
      </c>
      <c r="N4978">
        <v>7</v>
      </c>
      <c r="O4978">
        <v>0.34</v>
      </c>
      <c r="P4978">
        <v>-40.17</v>
      </c>
      <c r="Q4978" t="s">
        <v>9894</v>
      </c>
      <c r="R4978">
        <v>1</v>
      </c>
      <c r="S4978" s="5">
        <f t="shared" si="154"/>
        <v>-0.13999442392137729</v>
      </c>
      <c r="T4978">
        <v>40.991428571428571</v>
      </c>
      <c r="U4978">
        <v>12</v>
      </c>
      <c r="V4978">
        <v>2023</v>
      </c>
      <c r="W4978">
        <v>4</v>
      </c>
      <c r="X4978" t="s">
        <v>9898</v>
      </c>
      <c r="Y4978" t="s">
        <v>9902</v>
      </c>
      <c r="Z4978" t="s">
        <v>9899</v>
      </c>
      <c r="AD4978">
        <f t="shared" si="155"/>
        <v>1</v>
      </c>
    </row>
    <row r="4979" spans="1:30" x14ac:dyDescent="0.25">
      <c r="A4979" t="s">
        <v>5003</v>
      </c>
      <c r="B4979" s="2">
        <v>44803</v>
      </c>
      <c r="C4979" s="2">
        <v>44810</v>
      </c>
      <c r="D4979" t="s">
        <v>5298</v>
      </c>
      <c r="E4979" t="s">
        <v>5798</v>
      </c>
      <c r="F4979" t="s">
        <v>6026</v>
      </c>
      <c r="G4979" t="s">
        <v>6031</v>
      </c>
      <c r="H4979" t="s">
        <v>6034</v>
      </c>
      <c r="I4979" t="s">
        <v>6052</v>
      </c>
      <c r="J4979" t="s">
        <v>6054</v>
      </c>
      <c r="K4979" t="s">
        <v>6059</v>
      </c>
      <c r="L4979" t="s">
        <v>9881</v>
      </c>
      <c r="M4979">
        <v>1136.33</v>
      </c>
      <c r="N4979">
        <v>7</v>
      </c>
      <c r="O4979">
        <v>0.35</v>
      </c>
      <c r="P4979">
        <v>-107.94</v>
      </c>
      <c r="Q4979" t="s">
        <v>9895</v>
      </c>
      <c r="R4979">
        <v>7</v>
      </c>
      <c r="S4979" s="5">
        <f t="shared" si="154"/>
        <v>-9.4990011704346455E-2</v>
      </c>
      <c r="T4979">
        <v>162.33285714285711</v>
      </c>
      <c r="U4979">
        <v>8</v>
      </c>
      <c r="V4979">
        <v>2022</v>
      </c>
      <c r="W4979">
        <v>3</v>
      </c>
      <c r="X4979" t="s">
        <v>9898</v>
      </c>
      <c r="Y4979" t="s">
        <v>9902</v>
      </c>
      <c r="Z4979" t="s">
        <v>9898</v>
      </c>
      <c r="AD4979">
        <f t="shared" si="155"/>
        <v>7</v>
      </c>
    </row>
    <row r="4980" spans="1:30" x14ac:dyDescent="0.25">
      <c r="A4980" t="s">
        <v>5004</v>
      </c>
      <c r="B4980" s="2">
        <v>45253</v>
      </c>
      <c r="C4980" s="2">
        <v>45257</v>
      </c>
      <c r="D4980" t="s">
        <v>5307</v>
      </c>
      <c r="E4980" t="s">
        <v>5807</v>
      </c>
      <c r="F4980" t="s">
        <v>6027</v>
      </c>
      <c r="G4980" t="s">
        <v>6030</v>
      </c>
      <c r="H4980" t="s">
        <v>6033</v>
      </c>
      <c r="I4980" t="s">
        <v>6051</v>
      </c>
      <c r="J4980" t="s">
        <v>6054</v>
      </c>
      <c r="K4980" t="s">
        <v>6060</v>
      </c>
      <c r="L4980" t="s">
        <v>9255</v>
      </c>
      <c r="M4980">
        <v>453.77</v>
      </c>
      <c r="N4980">
        <v>7</v>
      </c>
      <c r="O4980">
        <v>0.1</v>
      </c>
      <c r="P4980">
        <v>38.119999999999997</v>
      </c>
      <c r="Q4980" t="s">
        <v>9893</v>
      </c>
      <c r="R4980">
        <v>4</v>
      </c>
      <c r="S4980" s="5">
        <f t="shared" si="154"/>
        <v>8.4007316481918157E-2</v>
      </c>
      <c r="T4980">
        <v>64.824285714285708</v>
      </c>
      <c r="U4980">
        <v>11</v>
      </c>
      <c r="V4980">
        <v>2023</v>
      </c>
      <c r="W4980">
        <v>4</v>
      </c>
      <c r="X4980" t="s">
        <v>9899</v>
      </c>
      <c r="Y4980" t="s">
        <v>9901</v>
      </c>
      <c r="Z4980" t="s">
        <v>9899</v>
      </c>
      <c r="AD4980">
        <f t="shared" si="155"/>
        <v>4</v>
      </c>
    </row>
    <row r="4981" spans="1:30" x14ac:dyDescent="0.25">
      <c r="A4981" t="s">
        <v>5005</v>
      </c>
      <c r="B4981" s="2">
        <v>45422</v>
      </c>
      <c r="C4981" s="2">
        <v>45426</v>
      </c>
      <c r="D4981" t="s">
        <v>5361</v>
      </c>
      <c r="E4981" t="s">
        <v>5861</v>
      </c>
      <c r="F4981" t="s">
        <v>6027</v>
      </c>
      <c r="G4981" t="s">
        <v>6030</v>
      </c>
      <c r="H4981" t="s">
        <v>6033</v>
      </c>
      <c r="I4981" t="s">
        <v>6047</v>
      </c>
      <c r="J4981" t="s">
        <v>6055</v>
      </c>
      <c r="K4981" t="s">
        <v>6063</v>
      </c>
      <c r="L4981" t="s">
        <v>9882</v>
      </c>
      <c r="M4981">
        <v>625.63</v>
      </c>
      <c r="N4981">
        <v>8</v>
      </c>
      <c r="O4981">
        <v>0.2</v>
      </c>
      <c r="P4981">
        <v>30.78</v>
      </c>
      <c r="Q4981" t="s">
        <v>9894</v>
      </c>
      <c r="R4981">
        <v>4</v>
      </c>
      <c r="S4981" s="5">
        <f t="shared" si="154"/>
        <v>4.9198408004731235E-2</v>
      </c>
      <c r="T4981">
        <v>78.203749999999999</v>
      </c>
      <c r="U4981">
        <v>5</v>
      </c>
      <c r="V4981">
        <v>2024</v>
      </c>
      <c r="W4981">
        <v>2</v>
      </c>
      <c r="X4981" t="s">
        <v>9899</v>
      </c>
      <c r="Y4981" t="s">
        <v>9900</v>
      </c>
      <c r="Z4981" t="s">
        <v>9899</v>
      </c>
      <c r="AD4981">
        <f t="shared" si="155"/>
        <v>4</v>
      </c>
    </row>
    <row r="4982" spans="1:30" x14ac:dyDescent="0.25">
      <c r="A4982" t="s">
        <v>5006</v>
      </c>
      <c r="B4982" s="2">
        <v>45264</v>
      </c>
      <c r="C4982" s="2">
        <v>45266</v>
      </c>
      <c r="D4982" t="s">
        <v>5264</v>
      </c>
      <c r="E4982" t="s">
        <v>5764</v>
      </c>
      <c r="F4982" t="s">
        <v>6026</v>
      </c>
      <c r="G4982" t="s">
        <v>6031</v>
      </c>
      <c r="H4982" t="s">
        <v>6040</v>
      </c>
      <c r="I4982" t="s">
        <v>6050</v>
      </c>
      <c r="J4982" t="s">
        <v>6054</v>
      </c>
      <c r="K4982" t="s">
        <v>6060</v>
      </c>
      <c r="L4982" t="s">
        <v>9883</v>
      </c>
      <c r="M4982">
        <v>1052.24</v>
      </c>
      <c r="N4982">
        <v>1</v>
      </c>
      <c r="O4982">
        <v>0.28000000000000003</v>
      </c>
      <c r="P4982">
        <v>-172.89</v>
      </c>
      <c r="Q4982" t="s">
        <v>9896</v>
      </c>
      <c r="R4982">
        <v>2</v>
      </c>
      <c r="S4982" s="5">
        <f t="shared" si="154"/>
        <v>-0.16430662206340757</v>
      </c>
      <c r="T4982">
        <v>1052.24</v>
      </c>
      <c r="U4982">
        <v>12</v>
      </c>
      <c r="V4982">
        <v>2023</v>
      </c>
      <c r="W4982">
        <v>4</v>
      </c>
      <c r="X4982" t="s">
        <v>9898</v>
      </c>
      <c r="Y4982" t="s">
        <v>9900</v>
      </c>
      <c r="Z4982" t="s">
        <v>9898</v>
      </c>
      <c r="AD4982">
        <f t="shared" si="155"/>
        <v>2</v>
      </c>
    </row>
    <row r="4983" spans="1:30" x14ac:dyDescent="0.25">
      <c r="A4983" t="s">
        <v>5007</v>
      </c>
      <c r="B4983" s="2">
        <v>44742</v>
      </c>
      <c r="C4983" s="2">
        <v>44746</v>
      </c>
      <c r="D4983" t="s">
        <v>5076</v>
      </c>
      <c r="E4983" t="s">
        <v>5576</v>
      </c>
      <c r="F4983" t="s">
        <v>6028</v>
      </c>
      <c r="G4983" t="s">
        <v>6031</v>
      </c>
      <c r="H4983" t="s">
        <v>6043</v>
      </c>
      <c r="I4983" t="s">
        <v>6050</v>
      </c>
      <c r="J4983" t="s">
        <v>6054</v>
      </c>
      <c r="K4983" t="s">
        <v>6060</v>
      </c>
      <c r="L4983" t="s">
        <v>9884</v>
      </c>
      <c r="M4983">
        <v>1163.44</v>
      </c>
      <c r="N4983">
        <v>2</v>
      </c>
      <c r="O4983">
        <v>0.09</v>
      </c>
      <c r="P4983">
        <v>134.9</v>
      </c>
      <c r="Q4983" t="s">
        <v>9895</v>
      </c>
      <c r="R4983">
        <v>4</v>
      </c>
      <c r="S4983" s="5">
        <f t="shared" si="154"/>
        <v>0.1159492539366018</v>
      </c>
      <c r="T4983">
        <v>581.72</v>
      </c>
      <c r="U4983">
        <v>6</v>
      </c>
      <c r="V4983">
        <v>2022</v>
      </c>
      <c r="W4983">
        <v>2</v>
      </c>
      <c r="X4983" t="s">
        <v>9899</v>
      </c>
      <c r="Y4983" t="s">
        <v>9901</v>
      </c>
      <c r="Z4983" t="s">
        <v>9898</v>
      </c>
      <c r="AD4983">
        <f t="shared" si="155"/>
        <v>4</v>
      </c>
    </row>
    <row r="4984" spans="1:30" x14ac:dyDescent="0.25">
      <c r="A4984" t="s">
        <v>5008</v>
      </c>
      <c r="B4984" s="2">
        <v>44652</v>
      </c>
      <c r="C4984" s="2">
        <v>44659</v>
      </c>
      <c r="D4984" t="s">
        <v>5232</v>
      </c>
      <c r="E4984" t="s">
        <v>5732</v>
      </c>
      <c r="F4984" t="s">
        <v>6028</v>
      </c>
      <c r="G4984" t="s">
        <v>6030</v>
      </c>
      <c r="H4984" t="s">
        <v>6039</v>
      </c>
      <c r="I4984" t="s">
        <v>6047</v>
      </c>
      <c r="J4984" t="s">
        <v>6055</v>
      </c>
      <c r="K4984" t="s">
        <v>6064</v>
      </c>
      <c r="L4984" t="s">
        <v>7483</v>
      </c>
      <c r="M4984">
        <v>647.09</v>
      </c>
      <c r="N4984">
        <v>1</v>
      </c>
      <c r="O4984">
        <v>0.05</v>
      </c>
      <c r="P4984">
        <v>94.04</v>
      </c>
      <c r="Q4984" t="s">
        <v>9894</v>
      </c>
      <c r="R4984">
        <v>7</v>
      </c>
      <c r="S4984" s="5">
        <f t="shared" si="154"/>
        <v>0.14532754330927691</v>
      </c>
      <c r="T4984">
        <v>647.09</v>
      </c>
      <c r="U4984">
        <v>4</v>
      </c>
      <c r="V4984">
        <v>2022</v>
      </c>
      <c r="W4984">
        <v>2</v>
      </c>
      <c r="X4984" t="s">
        <v>9899</v>
      </c>
      <c r="Y4984" t="s">
        <v>9901</v>
      </c>
      <c r="Z4984" t="s">
        <v>9899</v>
      </c>
      <c r="AD4984">
        <f t="shared" si="155"/>
        <v>7</v>
      </c>
    </row>
    <row r="4985" spans="1:30" x14ac:dyDescent="0.25">
      <c r="A4985" t="s">
        <v>5009</v>
      </c>
      <c r="B4985" s="2">
        <v>45252</v>
      </c>
      <c r="C4985" s="2">
        <v>45256</v>
      </c>
      <c r="D4985" t="s">
        <v>5188</v>
      </c>
      <c r="E4985" t="s">
        <v>5688</v>
      </c>
      <c r="F4985" t="s">
        <v>6026</v>
      </c>
      <c r="G4985" t="s">
        <v>6031</v>
      </c>
      <c r="H4985" t="s">
        <v>6037</v>
      </c>
      <c r="I4985" t="s">
        <v>6050</v>
      </c>
      <c r="J4985" t="s">
        <v>6055</v>
      </c>
      <c r="K4985" t="s">
        <v>6063</v>
      </c>
      <c r="L4985" t="s">
        <v>9885</v>
      </c>
      <c r="M4985">
        <v>1010</v>
      </c>
      <c r="N4985">
        <v>5</v>
      </c>
      <c r="O4985">
        <v>0.13</v>
      </c>
      <c r="P4985">
        <v>162.9</v>
      </c>
      <c r="Q4985" t="s">
        <v>9896</v>
      </c>
      <c r="R4985">
        <v>4</v>
      </c>
      <c r="S4985" s="5">
        <f t="shared" si="154"/>
        <v>0.16128712871287129</v>
      </c>
      <c r="T4985">
        <v>202</v>
      </c>
      <c r="U4985">
        <v>11</v>
      </c>
      <c r="V4985">
        <v>2023</v>
      </c>
      <c r="W4985">
        <v>4</v>
      </c>
      <c r="X4985" t="s">
        <v>9899</v>
      </c>
      <c r="Y4985" t="s">
        <v>9901</v>
      </c>
      <c r="Z4985" t="s">
        <v>9898</v>
      </c>
      <c r="AD4985">
        <f t="shared" si="155"/>
        <v>4</v>
      </c>
    </row>
    <row r="4986" spans="1:30" x14ac:dyDescent="0.25">
      <c r="A4986" t="s">
        <v>5010</v>
      </c>
      <c r="B4986" s="2">
        <v>45029</v>
      </c>
      <c r="C4986" s="2">
        <v>45033</v>
      </c>
      <c r="D4986" t="s">
        <v>5176</v>
      </c>
      <c r="E4986" t="s">
        <v>5676</v>
      </c>
      <c r="F4986" t="s">
        <v>6026</v>
      </c>
      <c r="G4986" t="s">
        <v>6029</v>
      </c>
      <c r="H4986" t="s">
        <v>6045</v>
      </c>
      <c r="I4986" t="s">
        <v>6046</v>
      </c>
      <c r="J4986" t="s">
        <v>6055</v>
      </c>
      <c r="K4986" t="s">
        <v>6061</v>
      </c>
      <c r="L4986" t="s">
        <v>9886</v>
      </c>
      <c r="M4986">
        <v>1754.16</v>
      </c>
      <c r="N4986">
        <v>6</v>
      </c>
      <c r="O4986">
        <v>0.03</v>
      </c>
      <c r="P4986">
        <v>469.69</v>
      </c>
      <c r="Q4986" t="s">
        <v>9894</v>
      </c>
      <c r="R4986">
        <v>4</v>
      </c>
      <c r="S4986" s="5">
        <f t="shared" si="154"/>
        <v>0.2677577872029917</v>
      </c>
      <c r="T4986">
        <v>292.36</v>
      </c>
      <c r="U4986">
        <v>4</v>
      </c>
      <c r="V4986">
        <v>2023</v>
      </c>
      <c r="W4986">
        <v>2</v>
      </c>
      <c r="X4986" t="s">
        <v>9899</v>
      </c>
      <c r="Y4986" t="s">
        <v>9901</v>
      </c>
      <c r="Z4986" t="s">
        <v>9898</v>
      </c>
      <c r="AD4986">
        <f t="shared" si="155"/>
        <v>4</v>
      </c>
    </row>
    <row r="4987" spans="1:30" x14ac:dyDescent="0.25">
      <c r="A4987" t="s">
        <v>5011</v>
      </c>
      <c r="B4987" s="2">
        <v>45164</v>
      </c>
      <c r="C4987" s="2">
        <v>45171</v>
      </c>
      <c r="D4987" t="s">
        <v>5517</v>
      </c>
      <c r="E4987" t="s">
        <v>6017</v>
      </c>
      <c r="F4987" t="s">
        <v>6026</v>
      </c>
      <c r="G4987" t="s">
        <v>6030</v>
      </c>
      <c r="H4987" t="s">
        <v>6039</v>
      </c>
      <c r="I4987" t="s">
        <v>6047</v>
      </c>
      <c r="J4987" t="s">
        <v>6055</v>
      </c>
      <c r="K4987" t="s">
        <v>6063</v>
      </c>
      <c r="L4987" t="s">
        <v>8311</v>
      </c>
      <c r="M4987">
        <v>1814.3</v>
      </c>
      <c r="N4987">
        <v>5</v>
      </c>
      <c r="O4987">
        <v>0.08</v>
      </c>
      <c r="P4987">
        <v>374.46</v>
      </c>
      <c r="Q4987" t="s">
        <v>9896</v>
      </c>
      <c r="R4987">
        <v>7</v>
      </c>
      <c r="S4987" s="5">
        <f t="shared" si="154"/>
        <v>0.20639365044369729</v>
      </c>
      <c r="T4987">
        <v>362.86</v>
      </c>
      <c r="U4987">
        <v>8</v>
      </c>
      <c r="V4987">
        <v>2023</v>
      </c>
      <c r="W4987">
        <v>3</v>
      </c>
      <c r="X4987" t="s">
        <v>9899</v>
      </c>
      <c r="Y4987" t="s">
        <v>9901</v>
      </c>
      <c r="Z4987" t="s">
        <v>9898</v>
      </c>
      <c r="AD4987">
        <f t="shared" si="155"/>
        <v>7</v>
      </c>
    </row>
    <row r="4988" spans="1:30" x14ac:dyDescent="0.25">
      <c r="A4988" t="s">
        <v>5012</v>
      </c>
      <c r="B4988" s="2">
        <v>45346</v>
      </c>
      <c r="C4988" s="2">
        <v>45349</v>
      </c>
      <c r="D4988" t="s">
        <v>5434</v>
      </c>
      <c r="E4988" t="s">
        <v>5934</v>
      </c>
      <c r="F4988" t="s">
        <v>6026</v>
      </c>
      <c r="G4988" t="s">
        <v>6029</v>
      </c>
      <c r="H4988" t="s">
        <v>6041</v>
      </c>
      <c r="I4988" t="s">
        <v>6050</v>
      </c>
      <c r="J4988" t="s">
        <v>6053</v>
      </c>
      <c r="K4988" t="s">
        <v>6058</v>
      </c>
      <c r="L4988" t="s">
        <v>9887</v>
      </c>
      <c r="M4988">
        <v>128.18</v>
      </c>
      <c r="N4988">
        <v>2</v>
      </c>
      <c r="O4988">
        <v>0.04</v>
      </c>
      <c r="P4988">
        <v>19.77</v>
      </c>
      <c r="Q4988" t="s">
        <v>9893</v>
      </c>
      <c r="R4988">
        <v>3</v>
      </c>
      <c r="S4988" s="5">
        <f t="shared" si="154"/>
        <v>0.154236230301139</v>
      </c>
      <c r="T4988">
        <v>64.09</v>
      </c>
      <c r="U4988">
        <v>2</v>
      </c>
      <c r="V4988">
        <v>2024</v>
      </c>
      <c r="W4988">
        <v>1</v>
      </c>
      <c r="X4988" t="s">
        <v>9899</v>
      </c>
      <c r="Y4988" t="s">
        <v>9901</v>
      </c>
      <c r="Z4988" t="s">
        <v>9899</v>
      </c>
      <c r="AD4988">
        <f t="shared" si="155"/>
        <v>3</v>
      </c>
    </row>
    <row r="4989" spans="1:30" x14ac:dyDescent="0.25">
      <c r="A4989" t="s">
        <v>5013</v>
      </c>
      <c r="B4989" s="2">
        <v>44761</v>
      </c>
      <c r="C4989" s="2">
        <v>44768</v>
      </c>
      <c r="D4989" t="s">
        <v>5213</v>
      </c>
      <c r="E4989" t="s">
        <v>5713</v>
      </c>
      <c r="F4989" t="s">
        <v>6026</v>
      </c>
      <c r="G4989" t="s">
        <v>6029</v>
      </c>
      <c r="H4989" t="s">
        <v>6041</v>
      </c>
      <c r="I4989" t="s">
        <v>6046</v>
      </c>
      <c r="J4989" t="s">
        <v>6054</v>
      </c>
      <c r="K4989" t="s">
        <v>6062</v>
      </c>
      <c r="L4989" t="s">
        <v>7554</v>
      </c>
      <c r="M4989">
        <v>1392.21</v>
      </c>
      <c r="N4989">
        <v>5</v>
      </c>
      <c r="O4989">
        <v>0.35</v>
      </c>
      <c r="P4989">
        <v>-302.74</v>
      </c>
      <c r="Q4989" t="s">
        <v>9897</v>
      </c>
      <c r="R4989">
        <v>7</v>
      </c>
      <c r="S4989" s="5">
        <f t="shared" si="154"/>
        <v>-0.21745282680055453</v>
      </c>
      <c r="T4989">
        <v>278.44200000000001</v>
      </c>
      <c r="U4989">
        <v>7</v>
      </c>
      <c r="V4989">
        <v>2022</v>
      </c>
      <c r="W4989">
        <v>3</v>
      </c>
      <c r="X4989" t="s">
        <v>9898</v>
      </c>
      <c r="Y4989" t="s">
        <v>9902</v>
      </c>
      <c r="Z4989" t="s">
        <v>9898</v>
      </c>
      <c r="AD4989">
        <f t="shared" si="155"/>
        <v>7</v>
      </c>
    </row>
    <row r="4990" spans="1:30" x14ac:dyDescent="0.25">
      <c r="A4990" t="s">
        <v>5014</v>
      </c>
      <c r="B4990" s="2">
        <v>45107</v>
      </c>
      <c r="C4990" s="2">
        <v>45114</v>
      </c>
      <c r="D4990" t="s">
        <v>5146</v>
      </c>
      <c r="E4990" t="s">
        <v>5646</v>
      </c>
      <c r="F4990" t="s">
        <v>6026</v>
      </c>
      <c r="G4990" t="s">
        <v>6030</v>
      </c>
      <c r="H4990" t="s">
        <v>6035</v>
      </c>
      <c r="I4990" t="s">
        <v>6047</v>
      </c>
      <c r="J4990" t="s">
        <v>6055</v>
      </c>
      <c r="K4990" t="s">
        <v>6064</v>
      </c>
      <c r="L4990" t="s">
        <v>8780</v>
      </c>
      <c r="M4990">
        <v>1263.9000000000001</v>
      </c>
      <c r="N4990">
        <v>5</v>
      </c>
      <c r="O4990">
        <v>0.3</v>
      </c>
      <c r="P4990">
        <v>-59.35</v>
      </c>
      <c r="Q4990" t="s">
        <v>9896</v>
      </c>
      <c r="R4990">
        <v>7</v>
      </c>
      <c r="S4990" s="5">
        <f t="shared" si="154"/>
        <v>-4.6957828942163146E-2</v>
      </c>
      <c r="T4990">
        <v>252.78</v>
      </c>
      <c r="U4990">
        <v>6</v>
      </c>
      <c r="V4990">
        <v>2023</v>
      </c>
      <c r="W4990">
        <v>2</v>
      </c>
      <c r="X4990" t="s">
        <v>9898</v>
      </c>
      <c r="Y4990" t="s">
        <v>9900</v>
      </c>
      <c r="Z4990" t="s">
        <v>9898</v>
      </c>
      <c r="AD4990">
        <f t="shared" si="155"/>
        <v>7</v>
      </c>
    </row>
    <row r="4991" spans="1:30" x14ac:dyDescent="0.25">
      <c r="A4991" t="s">
        <v>5015</v>
      </c>
      <c r="B4991" s="2">
        <v>45242</v>
      </c>
      <c r="C4991" s="2">
        <v>45243</v>
      </c>
      <c r="D4991" t="s">
        <v>5366</v>
      </c>
      <c r="E4991" t="s">
        <v>5866</v>
      </c>
      <c r="F4991" t="s">
        <v>6026</v>
      </c>
      <c r="G4991" t="s">
        <v>6031</v>
      </c>
      <c r="H4991" t="s">
        <v>6034</v>
      </c>
      <c r="I4991" t="s">
        <v>6050</v>
      </c>
      <c r="J4991" t="s">
        <v>6054</v>
      </c>
      <c r="K4991" t="s">
        <v>6060</v>
      </c>
      <c r="L4991" t="s">
        <v>6718</v>
      </c>
      <c r="M4991">
        <v>780.72</v>
      </c>
      <c r="N4991">
        <v>7</v>
      </c>
      <c r="O4991">
        <v>0.08</v>
      </c>
      <c r="P4991">
        <v>24.64</v>
      </c>
      <c r="Q4991" t="s">
        <v>9897</v>
      </c>
      <c r="R4991">
        <v>1</v>
      </c>
      <c r="S4991" s="5">
        <f t="shared" si="154"/>
        <v>3.1560610718311302E-2</v>
      </c>
      <c r="T4991">
        <v>111.53142857142861</v>
      </c>
      <c r="U4991">
        <v>11</v>
      </c>
      <c r="V4991">
        <v>2023</v>
      </c>
      <c r="W4991">
        <v>4</v>
      </c>
      <c r="X4991" t="s">
        <v>9899</v>
      </c>
      <c r="Y4991" t="s">
        <v>9901</v>
      </c>
      <c r="Z4991" t="s">
        <v>9899</v>
      </c>
      <c r="AD4991">
        <f t="shared" si="155"/>
        <v>1</v>
      </c>
    </row>
    <row r="4992" spans="1:30" x14ac:dyDescent="0.25">
      <c r="A4992" t="s">
        <v>5016</v>
      </c>
      <c r="B4992" s="2">
        <v>44666</v>
      </c>
      <c r="C4992" s="2">
        <v>44668</v>
      </c>
      <c r="D4992" t="s">
        <v>5076</v>
      </c>
      <c r="E4992" t="s">
        <v>5576</v>
      </c>
      <c r="F4992" t="s">
        <v>6026</v>
      </c>
      <c r="G4992" t="s">
        <v>6031</v>
      </c>
      <c r="H4992" t="s">
        <v>6042</v>
      </c>
      <c r="I4992" t="s">
        <v>6048</v>
      </c>
      <c r="J4992" t="s">
        <v>6054</v>
      </c>
      <c r="K4992" t="s">
        <v>6062</v>
      </c>
      <c r="L4992" t="s">
        <v>9888</v>
      </c>
      <c r="M4992">
        <v>1882.44</v>
      </c>
      <c r="N4992">
        <v>7</v>
      </c>
      <c r="O4992">
        <v>0.19</v>
      </c>
      <c r="P4992">
        <v>-148.16999999999999</v>
      </c>
      <c r="Q4992" t="s">
        <v>9895</v>
      </c>
      <c r="R4992">
        <v>2</v>
      </c>
      <c r="S4992" s="5">
        <f t="shared" si="154"/>
        <v>-7.8711672085166051E-2</v>
      </c>
      <c r="T4992">
        <v>268.92</v>
      </c>
      <c r="U4992">
        <v>4</v>
      </c>
      <c r="V4992">
        <v>2022</v>
      </c>
      <c r="W4992">
        <v>2</v>
      </c>
      <c r="X4992" t="s">
        <v>9898</v>
      </c>
      <c r="Y4992" t="s">
        <v>9900</v>
      </c>
      <c r="Z4992" t="s">
        <v>9898</v>
      </c>
      <c r="AD4992">
        <f t="shared" si="155"/>
        <v>2</v>
      </c>
    </row>
    <row r="4993" spans="1:30" x14ac:dyDescent="0.25">
      <c r="A4993" t="s">
        <v>5017</v>
      </c>
      <c r="B4993" s="2">
        <v>44954</v>
      </c>
      <c r="C4993" s="2">
        <v>44959</v>
      </c>
      <c r="D4993" t="s">
        <v>5385</v>
      </c>
      <c r="E4993" t="s">
        <v>5885</v>
      </c>
      <c r="F4993" t="s">
        <v>6027</v>
      </c>
      <c r="G4993" t="s">
        <v>6029</v>
      </c>
      <c r="H4993" t="s">
        <v>6045</v>
      </c>
      <c r="I4993" t="s">
        <v>6046</v>
      </c>
      <c r="J4993" t="s">
        <v>6055</v>
      </c>
      <c r="K4993" t="s">
        <v>6063</v>
      </c>
      <c r="L4993" t="s">
        <v>7353</v>
      </c>
      <c r="M4993">
        <v>1153.8599999999999</v>
      </c>
      <c r="N4993">
        <v>2</v>
      </c>
      <c r="O4993">
        <v>0.28000000000000003</v>
      </c>
      <c r="P4993">
        <v>-0.86</v>
      </c>
      <c r="Q4993" t="s">
        <v>9895</v>
      </c>
      <c r="R4993">
        <v>5</v>
      </c>
      <c r="S4993" s="5">
        <f t="shared" si="154"/>
        <v>-7.4532438944066007E-4</v>
      </c>
      <c r="T4993">
        <v>576.92999999999995</v>
      </c>
      <c r="U4993">
        <v>1</v>
      </c>
      <c r="V4993">
        <v>2023</v>
      </c>
      <c r="W4993">
        <v>1</v>
      </c>
      <c r="X4993" t="s">
        <v>9898</v>
      </c>
      <c r="Y4993" t="s">
        <v>9900</v>
      </c>
      <c r="Z4993" t="s">
        <v>9898</v>
      </c>
      <c r="AD4993">
        <f t="shared" si="155"/>
        <v>5</v>
      </c>
    </row>
    <row r="4994" spans="1:30" x14ac:dyDescent="0.25">
      <c r="A4994" t="s">
        <v>5018</v>
      </c>
      <c r="B4994" s="2">
        <v>44819</v>
      </c>
      <c r="C4994" s="2">
        <v>44826</v>
      </c>
      <c r="D4994" t="s">
        <v>5217</v>
      </c>
      <c r="E4994" t="s">
        <v>5717</v>
      </c>
      <c r="F4994" t="s">
        <v>6027</v>
      </c>
      <c r="G4994" t="s">
        <v>6030</v>
      </c>
      <c r="H4994" t="s">
        <v>6039</v>
      </c>
      <c r="I4994" t="s">
        <v>6051</v>
      </c>
      <c r="J4994" t="s">
        <v>6054</v>
      </c>
      <c r="K4994" t="s">
        <v>6062</v>
      </c>
      <c r="L4994" t="s">
        <v>7103</v>
      </c>
      <c r="M4994">
        <v>1279.55</v>
      </c>
      <c r="N4994">
        <v>2</v>
      </c>
      <c r="O4994">
        <v>0.19</v>
      </c>
      <c r="P4994">
        <v>113.94</v>
      </c>
      <c r="Q4994" t="s">
        <v>9896</v>
      </c>
      <c r="R4994">
        <v>7</v>
      </c>
      <c r="S4994" s="5">
        <f t="shared" si="154"/>
        <v>8.9046930561525545E-2</v>
      </c>
      <c r="T4994">
        <v>639.77499999999998</v>
      </c>
      <c r="U4994">
        <v>9</v>
      </c>
      <c r="V4994">
        <v>2022</v>
      </c>
      <c r="W4994">
        <v>3</v>
      </c>
      <c r="X4994" t="s">
        <v>9899</v>
      </c>
      <c r="Y4994" t="s">
        <v>9900</v>
      </c>
      <c r="Z4994" t="s">
        <v>9898</v>
      </c>
      <c r="AD4994">
        <f t="shared" si="155"/>
        <v>7</v>
      </c>
    </row>
    <row r="4995" spans="1:30" x14ac:dyDescent="0.25">
      <c r="A4995" t="s">
        <v>5019</v>
      </c>
      <c r="B4995" s="2">
        <v>44886</v>
      </c>
      <c r="C4995" s="2">
        <v>44888</v>
      </c>
      <c r="D4995" t="s">
        <v>5194</v>
      </c>
      <c r="E4995" t="s">
        <v>5694</v>
      </c>
      <c r="F4995" t="s">
        <v>6027</v>
      </c>
      <c r="G4995" t="s">
        <v>6029</v>
      </c>
      <c r="H4995" t="s">
        <v>6041</v>
      </c>
      <c r="I4995" t="s">
        <v>6046</v>
      </c>
      <c r="J4995" t="s">
        <v>6055</v>
      </c>
      <c r="K4995" t="s">
        <v>6061</v>
      </c>
      <c r="L4995" t="s">
        <v>9703</v>
      </c>
      <c r="M4995">
        <v>1008.32</v>
      </c>
      <c r="N4995">
        <v>4</v>
      </c>
      <c r="O4995">
        <v>0.14000000000000001</v>
      </c>
      <c r="P4995">
        <v>78.98</v>
      </c>
      <c r="Q4995" t="s">
        <v>9895</v>
      </c>
      <c r="R4995">
        <v>2</v>
      </c>
      <c r="S4995" s="5">
        <f t="shared" ref="S4995:S5001" si="156">P4995/M4995</f>
        <v>7.8328308473500474E-2</v>
      </c>
      <c r="T4995">
        <v>252.08</v>
      </c>
      <c r="U4995">
        <v>11</v>
      </c>
      <c r="V4995">
        <v>2022</v>
      </c>
      <c r="W4995">
        <v>4</v>
      </c>
      <c r="X4995" t="s">
        <v>9899</v>
      </c>
      <c r="Y4995" t="s">
        <v>9901</v>
      </c>
      <c r="Z4995" t="s">
        <v>9898</v>
      </c>
      <c r="AD4995">
        <f t="shared" ref="AD4995:AD5001" si="157">C4995-B4995</f>
        <v>2</v>
      </c>
    </row>
    <row r="4996" spans="1:30" x14ac:dyDescent="0.25">
      <c r="A4996" t="s">
        <v>5020</v>
      </c>
      <c r="B4996" s="2">
        <v>44663</v>
      </c>
      <c r="C4996" s="2">
        <v>44666</v>
      </c>
      <c r="D4996" t="s">
        <v>5370</v>
      </c>
      <c r="E4996" t="s">
        <v>5870</v>
      </c>
      <c r="F4996" t="s">
        <v>6026</v>
      </c>
      <c r="G4996" t="s">
        <v>6030</v>
      </c>
      <c r="H4996" t="s">
        <v>6039</v>
      </c>
      <c r="I4996" t="s">
        <v>6051</v>
      </c>
      <c r="J4996" t="s">
        <v>6055</v>
      </c>
      <c r="K4996" t="s">
        <v>6061</v>
      </c>
      <c r="L4996" t="s">
        <v>9889</v>
      </c>
      <c r="M4996">
        <v>1290.21</v>
      </c>
      <c r="N4996">
        <v>2</v>
      </c>
      <c r="O4996">
        <v>0.24</v>
      </c>
      <c r="P4996">
        <v>-7.71</v>
      </c>
      <c r="Q4996" t="s">
        <v>9894</v>
      </c>
      <c r="R4996">
        <v>3</v>
      </c>
      <c r="S4996" s="5">
        <f t="shared" si="156"/>
        <v>-5.9757713860534327E-3</v>
      </c>
      <c r="T4996">
        <v>645.10500000000002</v>
      </c>
      <c r="U4996">
        <v>4</v>
      </c>
      <c r="V4996">
        <v>2022</v>
      </c>
      <c r="W4996">
        <v>2</v>
      </c>
      <c r="X4996" t="s">
        <v>9898</v>
      </c>
      <c r="Y4996" t="s">
        <v>9900</v>
      </c>
      <c r="Z4996" t="s">
        <v>9898</v>
      </c>
      <c r="AD4996">
        <f t="shared" si="157"/>
        <v>3</v>
      </c>
    </row>
    <row r="4997" spans="1:30" x14ac:dyDescent="0.25">
      <c r="A4997" t="s">
        <v>5021</v>
      </c>
      <c r="B4997" s="2">
        <v>45371</v>
      </c>
      <c r="C4997" s="2">
        <v>45375</v>
      </c>
      <c r="D4997" t="s">
        <v>5091</v>
      </c>
      <c r="E4997" t="s">
        <v>5591</v>
      </c>
      <c r="F4997" t="s">
        <v>6028</v>
      </c>
      <c r="G4997" t="s">
        <v>6030</v>
      </c>
      <c r="H4997" t="s">
        <v>6033</v>
      </c>
      <c r="I4997" t="s">
        <v>6051</v>
      </c>
      <c r="J4997" t="s">
        <v>6055</v>
      </c>
      <c r="K4997" t="s">
        <v>6061</v>
      </c>
      <c r="L4997" t="s">
        <v>9890</v>
      </c>
      <c r="M4997">
        <v>218.7</v>
      </c>
      <c r="N4997">
        <v>8</v>
      </c>
      <c r="O4997">
        <v>0.22</v>
      </c>
      <c r="P4997">
        <v>1.42</v>
      </c>
      <c r="Q4997" t="s">
        <v>9894</v>
      </c>
      <c r="R4997">
        <v>4</v>
      </c>
      <c r="S4997" s="5">
        <f t="shared" si="156"/>
        <v>6.4929126657521721E-3</v>
      </c>
      <c r="T4997">
        <v>27.337499999999999</v>
      </c>
      <c r="U4997">
        <v>3</v>
      </c>
      <c r="V4997">
        <v>2024</v>
      </c>
      <c r="W4997">
        <v>1</v>
      </c>
      <c r="X4997" t="s">
        <v>9899</v>
      </c>
      <c r="Y4997" t="s">
        <v>9900</v>
      </c>
      <c r="Z4997" t="s">
        <v>9899</v>
      </c>
      <c r="AD4997">
        <f t="shared" si="157"/>
        <v>4</v>
      </c>
    </row>
    <row r="4998" spans="1:30" x14ac:dyDescent="0.25">
      <c r="A4998" t="s">
        <v>5022</v>
      </c>
      <c r="B4998" s="2">
        <v>44794</v>
      </c>
      <c r="C4998" s="2">
        <v>44801</v>
      </c>
      <c r="D4998" t="s">
        <v>5071</v>
      </c>
      <c r="E4998" t="s">
        <v>5571</v>
      </c>
      <c r="F4998" t="s">
        <v>6026</v>
      </c>
      <c r="G4998" t="s">
        <v>6031</v>
      </c>
      <c r="H4998" t="s">
        <v>6040</v>
      </c>
      <c r="I4998" t="s">
        <v>6052</v>
      </c>
      <c r="J4998" t="s">
        <v>6054</v>
      </c>
      <c r="K4998" t="s">
        <v>6059</v>
      </c>
      <c r="L4998" t="s">
        <v>6965</v>
      </c>
      <c r="M4998">
        <v>1543.29</v>
      </c>
      <c r="N4998">
        <v>5</v>
      </c>
      <c r="O4998">
        <v>0.23</v>
      </c>
      <c r="P4998">
        <v>33.97</v>
      </c>
      <c r="Q4998" t="s">
        <v>9897</v>
      </c>
      <c r="R4998">
        <v>7</v>
      </c>
      <c r="S4998" s="5">
        <f t="shared" si="156"/>
        <v>2.2011417167220677E-2</v>
      </c>
      <c r="T4998">
        <v>308.65800000000002</v>
      </c>
      <c r="U4998">
        <v>8</v>
      </c>
      <c r="V4998">
        <v>2022</v>
      </c>
      <c r="W4998">
        <v>3</v>
      </c>
      <c r="X4998" t="s">
        <v>9899</v>
      </c>
      <c r="Y4998" t="s">
        <v>9900</v>
      </c>
      <c r="Z4998" t="s">
        <v>9898</v>
      </c>
      <c r="AD4998">
        <f t="shared" si="157"/>
        <v>7</v>
      </c>
    </row>
    <row r="4999" spans="1:30" x14ac:dyDescent="0.25">
      <c r="A4999" t="s">
        <v>5023</v>
      </c>
      <c r="B4999" s="2">
        <v>45365</v>
      </c>
      <c r="C4999" s="2">
        <v>45366</v>
      </c>
      <c r="D4999" t="s">
        <v>5373</v>
      </c>
      <c r="E4999" t="s">
        <v>5873</v>
      </c>
      <c r="F4999" t="s">
        <v>6027</v>
      </c>
      <c r="G4999" t="s">
        <v>6030</v>
      </c>
      <c r="H4999" t="s">
        <v>6035</v>
      </c>
      <c r="I4999" t="s">
        <v>6047</v>
      </c>
      <c r="J4999" t="s">
        <v>6053</v>
      </c>
      <c r="K4999" t="s">
        <v>6057</v>
      </c>
      <c r="L4999" t="s">
        <v>9891</v>
      </c>
      <c r="M4999">
        <v>1837.88</v>
      </c>
      <c r="N4999">
        <v>2</v>
      </c>
      <c r="O4999">
        <v>0.35</v>
      </c>
      <c r="P4999">
        <v>-274.02999999999997</v>
      </c>
      <c r="Q4999" t="s">
        <v>9893</v>
      </c>
      <c r="R4999">
        <v>1</v>
      </c>
      <c r="S4999" s="5">
        <f t="shared" si="156"/>
        <v>-0.14910113826800442</v>
      </c>
      <c r="T4999">
        <v>918.94</v>
      </c>
      <c r="U4999">
        <v>3</v>
      </c>
      <c r="V4999">
        <v>2024</v>
      </c>
      <c r="W4999">
        <v>1</v>
      </c>
      <c r="X4999" t="s">
        <v>9898</v>
      </c>
      <c r="Y4999" t="s">
        <v>9902</v>
      </c>
      <c r="Z4999" t="s">
        <v>9898</v>
      </c>
      <c r="AD4999">
        <f t="shared" si="157"/>
        <v>1</v>
      </c>
    </row>
    <row r="5000" spans="1:30" x14ac:dyDescent="0.25">
      <c r="A5000" t="s">
        <v>5024</v>
      </c>
      <c r="B5000" s="2">
        <v>45278</v>
      </c>
      <c r="C5000" s="2">
        <v>45279</v>
      </c>
      <c r="D5000" t="s">
        <v>5319</v>
      </c>
      <c r="E5000" t="s">
        <v>5819</v>
      </c>
      <c r="F5000" t="s">
        <v>6027</v>
      </c>
      <c r="G5000" t="s">
        <v>6031</v>
      </c>
      <c r="H5000" t="s">
        <v>6040</v>
      </c>
      <c r="I5000" t="s">
        <v>6048</v>
      </c>
      <c r="J5000" t="s">
        <v>6054</v>
      </c>
      <c r="K5000" t="s">
        <v>6060</v>
      </c>
      <c r="L5000" t="s">
        <v>8011</v>
      </c>
      <c r="M5000">
        <v>1922.93</v>
      </c>
      <c r="N5000">
        <v>7</v>
      </c>
      <c r="O5000">
        <v>0.14000000000000001</v>
      </c>
      <c r="P5000">
        <v>232.78</v>
      </c>
      <c r="Q5000" t="s">
        <v>9897</v>
      </c>
      <c r="R5000">
        <v>1</v>
      </c>
      <c r="S5000" s="5">
        <f t="shared" si="156"/>
        <v>0.12105484859043231</v>
      </c>
      <c r="T5000">
        <v>274.70428571428567</v>
      </c>
      <c r="U5000">
        <v>12</v>
      </c>
      <c r="V5000">
        <v>2023</v>
      </c>
      <c r="W5000">
        <v>4</v>
      </c>
      <c r="X5000" t="s">
        <v>9899</v>
      </c>
      <c r="Y5000" t="s">
        <v>9901</v>
      </c>
      <c r="Z5000" t="s">
        <v>9898</v>
      </c>
      <c r="AD5000">
        <f t="shared" si="157"/>
        <v>1</v>
      </c>
    </row>
    <row r="5001" spans="1:30" x14ac:dyDescent="0.25">
      <c r="A5001" t="s">
        <v>5025</v>
      </c>
      <c r="B5001" s="2">
        <v>45081</v>
      </c>
      <c r="C5001" s="2">
        <v>45082</v>
      </c>
      <c r="D5001" t="s">
        <v>5287</v>
      </c>
      <c r="E5001" t="s">
        <v>5787</v>
      </c>
      <c r="F5001" t="s">
        <v>6027</v>
      </c>
      <c r="G5001" t="s">
        <v>6030</v>
      </c>
      <c r="H5001" t="s">
        <v>6039</v>
      </c>
      <c r="I5001" t="s">
        <v>6047</v>
      </c>
      <c r="J5001" t="s">
        <v>6054</v>
      </c>
      <c r="K5001" t="s">
        <v>6060</v>
      </c>
      <c r="L5001" t="s">
        <v>9892</v>
      </c>
      <c r="M5001">
        <v>445.32</v>
      </c>
      <c r="N5001">
        <v>8</v>
      </c>
      <c r="O5001">
        <v>0.13</v>
      </c>
      <c r="P5001">
        <v>57.23</v>
      </c>
      <c r="Q5001" t="s">
        <v>9893</v>
      </c>
      <c r="R5001">
        <v>1</v>
      </c>
      <c r="S5001" s="5">
        <f t="shared" si="156"/>
        <v>0.12851432677625077</v>
      </c>
      <c r="T5001">
        <v>55.664999999999999</v>
      </c>
      <c r="U5001">
        <v>6</v>
      </c>
      <c r="V5001">
        <v>2023</v>
      </c>
      <c r="W5001">
        <v>2</v>
      </c>
      <c r="X5001" t="s">
        <v>9899</v>
      </c>
      <c r="Y5001" t="s">
        <v>9901</v>
      </c>
      <c r="Z5001" t="s">
        <v>9899</v>
      </c>
      <c r="AD5001">
        <f t="shared" si="157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shivani gour</cp:lastModifiedBy>
  <dcterms:created xsi:type="dcterms:W3CDTF">2026-03-07T10:55:53Z</dcterms:created>
  <dcterms:modified xsi:type="dcterms:W3CDTF">2026-03-14T10:33:47Z</dcterms:modified>
</cp:coreProperties>
</file>